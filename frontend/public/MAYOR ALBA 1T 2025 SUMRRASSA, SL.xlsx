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Z:\PROGRAMES\Expedientes empresas\Sumrrassa, sl -SOC-\CONTABILIDAD\2025\MAYORES Y LISTADOS\"/>
    </mc:Choice>
  </mc:AlternateContent>
  <xr:revisionPtr revIDLastSave="0" documentId="13_ncr:1_{617C663F-A9DD-4FE5-92B6-0C4083BD349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VEEDORES" sheetId="2" r:id="rId1"/>
    <sheet name="CLIENTES" sheetId="3" r:id="rId2"/>
    <sheet name="OTRAS CUENTAS" sheetId="4" r:id="rId3"/>
  </sheets>
  <definedNames>
    <definedName name="_xlnm.Print_Area" localSheetId="0">PROVEEDORES!$A$1:$J$7813</definedName>
    <definedName name="_xlnm.Print_Titles" localSheetId="0">PROVEEDORES!$1:$8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6" i="3" l="1"/>
  <c r="I107" i="3" s="1"/>
  <c r="I108" i="3" s="1"/>
  <c r="I109" i="3" s="1"/>
  <c r="I110" i="3" s="1"/>
  <c r="I111" i="3" s="1"/>
  <c r="I112" i="3" s="1"/>
  <c r="I113" i="3" s="1"/>
  <c r="I114" i="3" s="1"/>
  <c r="I115" i="3" s="1"/>
  <c r="I92" i="3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54" i="3"/>
  <c r="I17" i="3"/>
  <c r="J3" i="4" l="1"/>
  <c r="I1698" i="2"/>
  <c r="I1699" i="2" s="1"/>
  <c r="I1700" i="2" s="1"/>
  <c r="I1701" i="2" s="1"/>
  <c r="I1702" i="2" s="1"/>
  <c r="I1703" i="2" s="1"/>
  <c r="I1749" i="2"/>
  <c r="J1603" i="2"/>
  <c r="J1552" i="2"/>
  <c r="J1468" i="2"/>
  <c r="I1430" i="2"/>
  <c r="I1405" i="2"/>
  <c r="J1379" i="2"/>
  <c r="I1379" i="2"/>
  <c r="I1380" i="2" s="1"/>
  <c r="I1381" i="2" s="1"/>
  <c r="I1382" i="2" s="1"/>
  <c r="I1383" i="2" s="1"/>
  <c r="J1369" i="2"/>
  <c r="I1364" i="2"/>
  <c r="I1365" i="2" s="1"/>
  <c r="I1366" i="2" s="1"/>
  <c r="I1345" i="2"/>
  <c r="I1346" i="2" s="1"/>
  <c r="I1347" i="2" s="1"/>
  <c r="I1348" i="2" s="1"/>
  <c r="I1349" i="2" s="1"/>
  <c r="I1302" i="2"/>
  <c r="J1266" i="2"/>
  <c r="J1245" i="2"/>
  <c r="I1244" i="2"/>
  <c r="I1245" i="2" s="1"/>
  <c r="I1246" i="2" s="1"/>
  <c r="I1247" i="2" s="1"/>
  <c r="I1248" i="2" s="1"/>
  <c r="I1249" i="2" s="1"/>
  <c r="I1250" i="2"/>
  <c r="I1251" i="2" s="1"/>
  <c r="I1252" i="2" s="1"/>
  <c r="I1253" i="2" s="1"/>
  <c r="I1254" i="2" s="1"/>
  <c r="I1224" i="2"/>
  <c r="I1214" i="2"/>
  <c r="I1215" i="2" s="1"/>
  <c r="I1185" i="2"/>
  <c r="I1186" i="2" s="1"/>
  <c r="J1150" i="2"/>
  <c r="I1142" i="2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14" i="2"/>
  <c r="I1115" i="2" s="1"/>
  <c r="I1082" i="2"/>
  <c r="I1083" i="2" s="1"/>
  <c r="I1084" i="2" s="1"/>
  <c r="I1085" i="2" s="1"/>
  <c r="I1086" i="2" s="1"/>
  <c r="I1087" i="2" s="1"/>
  <c r="I1041" i="2"/>
  <c r="I1042" i="2" s="1"/>
  <c r="I1043" i="2" s="1"/>
  <c r="J915" i="2"/>
  <c r="I910" i="2"/>
  <c r="J897" i="2" l="1"/>
  <c r="J891" i="2"/>
  <c r="J892" i="2" s="1"/>
  <c r="I889" i="2"/>
  <c r="I890" i="2" s="1"/>
  <c r="I891" i="2" s="1"/>
  <c r="I892" i="2" s="1"/>
  <c r="I893" i="2" s="1"/>
  <c r="J881" i="2"/>
  <c r="J856" i="2"/>
  <c r="I850" i="2"/>
  <c r="I851" i="2" s="1"/>
  <c r="I852" i="2" s="1"/>
  <c r="I806" i="2"/>
  <c r="I807" i="2" s="1"/>
  <c r="I775" i="2"/>
  <c r="I776" i="2" s="1"/>
  <c r="I777" i="2" s="1"/>
  <c r="J761" i="2"/>
  <c r="J756" i="2"/>
  <c r="I651" i="2"/>
  <c r="I652" i="2" s="1"/>
  <c r="I653" i="2" s="1"/>
  <c r="I654" i="2" s="1"/>
  <c r="I655" i="2" s="1"/>
  <c r="I656" i="2" s="1"/>
  <c r="I657" i="2" s="1"/>
  <c r="I658" i="2" s="1"/>
  <c r="I659" i="2" s="1"/>
  <c r="I660" i="2" s="1"/>
  <c r="I663" i="2"/>
  <c r="I664" i="2" s="1"/>
  <c r="I665" i="2" s="1"/>
  <c r="I666" i="2" s="1"/>
  <c r="I667" i="2" s="1"/>
  <c r="I668" i="2" s="1"/>
  <c r="I669" i="2" s="1"/>
  <c r="K600" i="2"/>
  <c r="J535" i="2"/>
  <c r="K531" i="2"/>
  <c r="J530" i="2"/>
  <c r="I424" i="2"/>
  <c r="J372" i="2"/>
  <c r="J369" i="2"/>
  <c r="I342" i="2"/>
  <c r="I343" i="2" s="1"/>
  <c r="I661" i="2" l="1"/>
  <c r="I662" i="2" s="1"/>
  <c r="K195" i="2"/>
  <c r="I193" i="2"/>
  <c r="I194" i="2" s="1"/>
  <c r="I195" i="2" s="1"/>
  <c r="I206" i="2"/>
  <c r="I207" i="2" s="1"/>
  <c r="I208" i="2" s="1"/>
  <c r="I209" i="2" s="1"/>
  <c r="I210" i="2" s="1"/>
  <c r="I211" i="2" s="1"/>
  <c r="I212" i="2" s="1"/>
  <c r="I213" i="2" s="1"/>
  <c r="K150" i="2"/>
  <c r="H696" i="4" l="1"/>
  <c r="G696" i="4"/>
  <c r="I696" i="4" s="1"/>
  <c r="I695" i="4"/>
  <c r="H692" i="4"/>
  <c r="G692" i="4"/>
  <c r="I692" i="4" s="1"/>
  <c r="I691" i="4"/>
  <c r="H688" i="4"/>
  <c r="G688" i="4"/>
  <c r="I688" i="4" s="1"/>
  <c r="I687" i="4"/>
  <c r="H684" i="4"/>
  <c r="G684" i="4"/>
  <c r="I684" i="4" s="1"/>
  <c r="I683" i="4"/>
  <c r="H680" i="4"/>
  <c r="G680" i="4"/>
  <c r="I680" i="4" s="1"/>
  <c r="I678" i="4"/>
  <c r="I679" i="4" s="1"/>
  <c r="H675" i="4"/>
  <c r="G675" i="4"/>
  <c r="I674" i="4"/>
  <c r="H671" i="4"/>
  <c r="G671" i="4"/>
  <c r="I671" i="4" s="1"/>
  <c r="I670" i="4"/>
  <c r="H667" i="4"/>
  <c r="G667" i="4"/>
  <c r="I667" i="4" s="1"/>
  <c r="I661" i="4"/>
  <c r="I662" i="4" s="1"/>
  <c r="I663" i="4" s="1"/>
  <c r="I664" i="4" s="1"/>
  <c r="I665" i="4" s="1"/>
  <c r="I666" i="4" s="1"/>
  <c r="I660" i="4"/>
  <c r="H657" i="4"/>
  <c r="G657" i="4"/>
  <c r="I657" i="4" s="1"/>
  <c r="I656" i="4"/>
  <c r="H653" i="4"/>
  <c r="G653" i="4"/>
  <c r="I653" i="4" s="1"/>
  <c r="I646" i="4"/>
  <c r="I647" i="4" s="1"/>
  <c r="I648" i="4" s="1"/>
  <c r="I649" i="4" s="1"/>
  <c r="I650" i="4" s="1"/>
  <c r="I651" i="4" s="1"/>
  <c r="I652" i="4" s="1"/>
  <c r="H643" i="4"/>
  <c r="G643" i="4"/>
  <c r="I643" i="4" s="1"/>
  <c r="I640" i="4"/>
  <c r="I641" i="4" s="1"/>
  <c r="I642" i="4" s="1"/>
  <c r="H637" i="4"/>
  <c r="G637" i="4"/>
  <c r="I637" i="4" s="1"/>
  <c r="I80" i="4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H77" i="4"/>
  <c r="G77" i="4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H6060" i="3"/>
  <c r="G6060" i="3"/>
  <c r="I6053" i="3"/>
  <c r="I6054" i="3" s="1"/>
  <c r="I6055" i="3" s="1"/>
  <c r="I6056" i="3" s="1"/>
  <c r="I6057" i="3" s="1"/>
  <c r="I6058" i="3" s="1"/>
  <c r="I6059" i="3" s="1"/>
  <c r="H6050" i="3"/>
  <c r="G6050" i="3"/>
  <c r="I6045" i="3"/>
  <c r="I6046" i="3" s="1"/>
  <c r="I6047" i="3" s="1"/>
  <c r="I6048" i="3" s="1"/>
  <c r="I6049" i="3" s="1"/>
  <c r="H6042" i="3"/>
  <c r="G6042" i="3"/>
  <c r="I6042" i="3" s="1"/>
  <c r="I6041" i="3"/>
  <c r="H6038" i="3"/>
  <c r="G6038" i="3"/>
  <c r="I6038" i="3" s="1"/>
  <c r="I6022" i="3"/>
  <c r="I6023" i="3" s="1"/>
  <c r="I6024" i="3" s="1"/>
  <c r="I6025" i="3" s="1"/>
  <c r="I6026" i="3" s="1"/>
  <c r="I6027" i="3" s="1"/>
  <c r="I6028" i="3" s="1"/>
  <c r="I6029" i="3" s="1"/>
  <c r="I6030" i="3" s="1"/>
  <c r="I6031" i="3" s="1"/>
  <c r="I6032" i="3" s="1"/>
  <c r="I6033" i="3" s="1"/>
  <c r="I6034" i="3" s="1"/>
  <c r="I6035" i="3" s="1"/>
  <c r="I6036" i="3" s="1"/>
  <c r="I6037" i="3" s="1"/>
  <c r="H6019" i="3"/>
  <c r="G6019" i="3"/>
  <c r="I6010" i="3"/>
  <c r="I6011" i="3" s="1"/>
  <c r="I6012" i="3" s="1"/>
  <c r="I6013" i="3" s="1"/>
  <c r="I6014" i="3" s="1"/>
  <c r="I6015" i="3" s="1"/>
  <c r="I6016" i="3" s="1"/>
  <c r="I6017" i="3" s="1"/>
  <c r="I6018" i="3" s="1"/>
  <c r="H6007" i="3"/>
  <c r="G6007" i="3"/>
  <c r="I5995" i="3"/>
  <c r="I5996" i="3" s="1"/>
  <c r="I5997" i="3" s="1"/>
  <c r="I5998" i="3" s="1"/>
  <c r="I5999" i="3" s="1"/>
  <c r="I6000" i="3" s="1"/>
  <c r="I6001" i="3" s="1"/>
  <c r="I6002" i="3" s="1"/>
  <c r="I6003" i="3" s="1"/>
  <c r="I6004" i="3" s="1"/>
  <c r="I6005" i="3" s="1"/>
  <c r="I6006" i="3" s="1"/>
  <c r="H5992" i="3"/>
  <c r="G5992" i="3"/>
  <c r="I5992" i="3" s="1"/>
  <c r="I5986" i="3"/>
  <c r="I5987" i="3" s="1"/>
  <c r="I5988" i="3" s="1"/>
  <c r="I5989" i="3" s="1"/>
  <c r="I5990" i="3" s="1"/>
  <c r="I5991" i="3" s="1"/>
  <c r="H5983" i="3"/>
  <c r="G5983" i="3"/>
  <c r="I5983" i="3" s="1"/>
  <c r="I5972" i="3"/>
  <c r="I5973" i="3" s="1"/>
  <c r="I5974" i="3" s="1"/>
  <c r="I5975" i="3" s="1"/>
  <c r="I5976" i="3" s="1"/>
  <c r="I5977" i="3" s="1"/>
  <c r="I5978" i="3" s="1"/>
  <c r="I5979" i="3" s="1"/>
  <c r="I5980" i="3" s="1"/>
  <c r="I5981" i="3" s="1"/>
  <c r="I5982" i="3" s="1"/>
  <c r="H5969" i="3"/>
  <c r="G5969" i="3"/>
  <c r="I4635" i="3"/>
  <c r="I4636" i="3" s="1"/>
  <c r="I4637" i="3" s="1"/>
  <c r="I4638" i="3" s="1"/>
  <c r="I4639" i="3" s="1"/>
  <c r="I4640" i="3" s="1"/>
  <c r="I4641" i="3" s="1"/>
  <c r="I4642" i="3" s="1"/>
  <c r="I4643" i="3" s="1"/>
  <c r="I4644" i="3" s="1"/>
  <c r="I4645" i="3" s="1"/>
  <c r="I4646" i="3" s="1"/>
  <c r="I4647" i="3" s="1"/>
  <c r="I4648" i="3" s="1"/>
  <c r="I4649" i="3" s="1"/>
  <c r="I4650" i="3" s="1"/>
  <c r="I4651" i="3" s="1"/>
  <c r="I4652" i="3" s="1"/>
  <c r="I4653" i="3" s="1"/>
  <c r="I4654" i="3" s="1"/>
  <c r="I4655" i="3" s="1"/>
  <c r="I4656" i="3" s="1"/>
  <c r="I4657" i="3" s="1"/>
  <c r="I4658" i="3" s="1"/>
  <c r="I4659" i="3" s="1"/>
  <c r="I4660" i="3" s="1"/>
  <c r="I4661" i="3" s="1"/>
  <c r="I4662" i="3" s="1"/>
  <c r="I4663" i="3" s="1"/>
  <c r="I4664" i="3" s="1"/>
  <c r="I4665" i="3" s="1"/>
  <c r="I4666" i="3" s="1"/>
  <c r="I4667" i="3" s="1"/>
  <c r="I4668" i="3" s="1"/>
  <c r="I4669" i="3" s="1"/>
  <c r="I4670" i="3" s="1"/>
  <c r="I4671" i="3" s="1"/>
  <c r="I4672" i="3" s="1"/>
  <c r="I4673" i="3" s="1"/>
  <c r="I4674" i="3" s="1"/>
  <c r="I4675" i="3" s="1"/>
  <c r="I4676" i="3" s="1"/>
  <c r="I4677" i="3" s="1"/>
  <c r="I4678" i="3" s="1"/>
  <c r="I4679" i="3" s="1"/>
  <c r="I4680" i="3" s="1"/>
  <c r="I4681" i="3" s="1"/>
  <c r="I4682" i="3" s="1"/>
  <c r="I4683" i="3" s="1"/>
  <c r="I4684" i="3" s="1"/>
  <c r="I4685" i="3" s="1"/>
  <c r="I4686" i="3" s="1"/>
  <c r="I4687" i="3" s="1"/>
  <c r="I4688" i="3" s="1"/>
  <c r="I4689" i="3" s="1"/>
  <c r="I4690" i="3" s="1"/>
  <c r="I4691" i="3" s="1"/>
  <c r="I4692" i="3" s="1"/>
  <c r="I4693" i="3" s="1"/>
  <c r="I4694" i="3" s="1"/>
  <c r="I4695" i="3" s="1"/>
  <c r="I4696" i="3" s="1"/>
  <c r="I4697" i="3" s="1"/>
  <c r="I4698" i="3" s="1"/>
  <c r="I4699" i="3" s="1"/>
  <c r="I4700" i="3" s="1"/>
  <c r="I4701" i="3" s="1"/>
  <c r="I4702" i="3" s="1"/>
  <c r="I4703" i="3" s="1"/>
  <c r="I4704" i="3" s="1"/>
  <c r="I4705" i="3" s="1"/>
  <c r="I4706" i="3" s="1"/>
  <c r="I4707" i="3" s="1"/>
  <c r="I4708" i="3" s="1"/>
  <c r="I4709" i="3" s="1"/>
  <c r="I4710" i="3" s="1"/>
  <c r="I4711" i="3" s="1"/>
  <c r="I4712" i="3" s="1"/>
  <c r="I4713" i="3" s="1"/>
  <c r="I4714" i="3" s="1"/>
  <c r="I4715" i="3" s="1"/>
  <c r="I4716" i="3" s="1"/>
  <c r="I4717" i="3" s="1"/>
  <c r="I4718" i="3" s="1"/>
  <c r="I4719" i="3" s="1"/>
  <c r="I4720" i="3" s="1"/>
  <c r="I4721" i="3" s="1"/>
  <c r="I4722" i="3" s="1"/>
  <c r="I4723" i="3" s="1"/>
  <c r="I4724" i="3" s="1"/>
  <c r="I4725" i="3" s="1"/>
  <c r="I4726" i="3" s="1"/>
  <c r="I4727" i="3" s="1"/>
  <c r="I4728" i="3" s="1"/>
  <c r="I4729" i="3" s="1"/>
  <c r="I4730" i="3" s="1"/>
  <c r="I4731" i="3" s="1"/>
  <c r="I4732" i="3" s="1"/>
  <c r="I4733" i="3" s="1"/>
  <c r="I4734" i="3" s="1"/>
  <c r="I4735" i="3" s="1"/>
  <c r="I4736" i="3" s="1"/>
  <c r="I4737" i="3" s="1"/>
  <c r="I4738" i="3" s="1"/>
  <c r="I4739" i="3" s="1"/>
  <c r="I4740" i="3" s="1"/>
  <c r="I4741" i="3" s="1"/>
  <c r="I4742" i="3" s="1"/>
  <c r="I4743" i="3" s="1"/>
  <c r="I4744" i="3" s="1"/>
  <c r="I4745" i="3" s="1"/>
  <c r="I4746" i="3" s="1"/>
  <c r="I4747" i="3" s="1"/>
  <c r="I4748" i="3" s="1"/>
  <c r="I4749" i="3" s="1"/>
  <c r="I4750" i="3" s="1"/>
  <c r="I4751" i="3" s="1"/>
  <c r="I4752" i="3" s="1"/>
  <c r="I4753" i="3" s="1"/>
  <c r="I4754" i="3" s="1"/>
  <c r="I4755" i="3" s="1"/>
  <c r="I4756" i="3" s="1"/>
  <c r="I4757" i="3" s="1"/>
  <c r="I4758" i="3" s="1"/>
  <c r="I4759" i="3" s="1"/>
  <c r="I4760" i="3" s="1"/>
  <c r="I4761" i="3" s="1"/>
  <c r="I4762" i="3" s="1"/>
  <c r="I4763" i="3" s="1"/>
  <c r="I4764" i="3" s="1"/>
  <c r="I4765" i="3" s="1"/>
  <c r="I4766" i="3" s="1"/>
  <c r="I4767" i="3" s="1"/>
  <c r="I4768" i="3" s="1"/>
  <c r="I4769" i="3" s="1"/>
  <c r="I4770" i="3" s="1"/>
  <c r="I4771" i="3" s="1"/>
  <c r="I4772" i="3" s="1"/>
  <c r="I4773" i="3" s="1"/>
  <c r="I4774" i="3" s="1"/>
  <c r="I4775" i="3" s="1"/>
  <c r="I4776" i="3" s="1"/>
  <c r="I4777" i="3" s="1"/>
  <c r="I4778" i="3" s="1"/>
  <c r="I4779" i="3" s="1"/>
  <c r="I4780" i="3" s="1"/>
  <c r="I4781" i="3" s="1"/>
  <c r="I4782" i="3" s="1"/>
  <c r="I4783" i="3" s="1"/>
  <c r="I4784" i="3" s="1"/>
  <c r="I4785" i="3" s="1"/>
  <c r="I4786" i="3" s="1"/>
  <c r="I4787" i="3" s="1"/>
  <c r="I4788" i="3" s="1"/>
  <c r="I4789" i="3" s="1"/>
  <c r="I4790" i="3" s="1"/>
  <c r="I4791" i="3" s="1"/>
  <c r="I4792" i="3" s="1"/>
  <c r="I4793" i="3" s="1"/>
  <c r="I4794" i="3" s="1"/>
  <c r="I4795" i="3" s="1"/>
  <c r="I4796" i="3" s="1"/>
  <c r="I4797" i="3" s="1"/>
  <c r="I4798" i="3" s="1"/>
  <c r="I4799" i="3" s="1"/>
  <c r="I4800" i="3" s="1"/>
  <c r="I4801" i="3" s="1"/>
  <c r="I4802" i="3" s="1"/>
  <c r="I4803" i="3" s="1"/>
  <c r="I4804" i="3" s="1"/>
  <c r="I4805" i="3" s="1"/>
  <c r="I4806" i="3" s="1"/>
  <c r="I4807" i="3" s="1"/>
  <c r="I4808" i="3" s="1"/>
  <c r="I4809" i="3" s="1"/>
  <c r="I4810" i="3" s="1"/>
  <c r="I4811" i="3" s="1"/>
  <c r="I4812" i="3" s="1"/>
  <c r="I4813" i="3" s="1"/>
  <c r="I4814" i="3" s="1"/>
  <c r="I4815" i="3" s="1"/>
  <c r="I4816" i="3" s="1"/>
  <c r="I4817" i="3" s="1"/>
  <c r="I4818" i="3" s="1"/>
  <c r="I4819" i="3" s="1"/>
  <c r="I4820" i="3" s="1"/>
  <c r="I4821" i="3" s="1"/>
  <c r="I4822" i="3" s="1"/>
  <c r="I4823" i="3" s="1"/>
  <c r="I4824" i="3" s="1"/>
  <c r="I4825" i="3" s="1"/>
  <c r="I4826" i="3" s="1"/>
  <c r="I4827" i="3" s="1"/>
  <c r="I4828" i="3" s="1"/>
  <c r="I4829" i="3" s="1"/>
  <c r="I4830" i="3" s="1"/>
  <c r="I4831" i="3" s="1"/>
  <c r="I4832" i="3" s="1"/>
  <c r="I4833" i="3" s="1"/>
  <c r="I4834" i="3" s="1"/>
  <c r="I4835" i="3" s="1"/>
  <c r="I4836" i="3" s="1"/>
  <c r="I4837" i="3" s="1"/>
  <c r="I4838" i="3" s="1"/>
  <c r="I4839" i="3" s="1"/>
  <c r="I4840" i="3" s="1"/>
  <c r="I4841" i="3" s="1"/>
  <c r="I4842" i="3" s="1"/>
  <c r="I4843" i="3" s="1"/>
  <c r="I4844" i="3" s="1"/>
  <c r="I4845" i="3" s="1"/>
  <c r="I4846" i="3" s="1"/>
  <c r="I4847" i="3" s="1"/>
  <c r="I4848" i="3" s="1"/>
  <c r="I4849" i="3" s="1"/>
  <c r="I4850" i="3" s="1"/>
  <c r="I4851" i="3" s="1"/>
  <c r="I4852" i="3" s="1"/>
  <c r="I4853" i="3" s="1"/>
  <c r="I4854" i="3" s="1"/>
  <c r="I4855" i="3" s="1"/>
  <c r="I4856" i="3" s="1"/>
  <c r="I4857" i="3" s="1"/>
  <c r="I4858" i="3" s="1"/>
  <c r="I4859" i="3" s="1"/>
  <c r="I4860" i="3" s="1"/>
  <c r="I4861" i="3" s="1"/>
  <c r="I4862" i="3" s="1"/>
  <c r="I4863" i="3" s="1"/>
  <c r="I4864" i="3" s="1"/>
  <c r="I4865" i="3" s="1"/>
  <c r="I4866" i="3" s="1"/>
  <c r="I4867" i="3" s="1"/>
  <c r="I4868" i="3" s="1"/>
  <c r="I4869" i="3" s="1"/>
  <c r="I4870" i="3" s="1"/>
  <c r="I4871" i="3" s="1"/>
  <c r="I4872" i="3" s="1"/>
  <c r="I4873" i="3" s="1"/>
  <c r="I4874" i="3" s="1"/>
  <c r="I4875" i="3" s="1"/>
  <c r="I4876" i="3" s="1"/>
  <c r="I4877" i="3" s="1"/>
  <c r="I4878" i="3" s="1"/>
  <c r="I4879" i="3" s="1"/>
  <c r="I4880" i="3" s="1"/>
  <c r="I4881" i="3" s="1"/>
  <c r="I4882" i="3" s="1"/>
  <c r="I4883" i="3" s="1"/>
  <c r="I4884" i="3" s="1"/>
  <c r="I4885" i="3" s="1"/>
  <c r="I4886" i="3" s="1"/>
  <c r="I4887" i="3" s="1"/>
  <c r="I4888" i="3" s="1"/>
  <c r="I4889" i="3" s="1"/>
  <c r="I4890" i="3" s="1"/>
  <c r="I4891" i="3" s="1"/>
  <c r="I4892" i="3" s="1"/>
  <c r="I4893" i="3" s="1"/>
  <c r="I4894" i="3" s="1"/>
  <c r="I4895" i="3" s="1"/>
  <c r="I4896" i="3" s="1"/>
  <c r="I4897" i="3" s="1"/>
  <c r="I4898" i="3" s="1"/>
  <c r="I4899" i="3" s="1"/>
  <c r="I4900" i="3" s="1"/>
  <c r="I4901" i="3" s="1"/>
  <c r="I4902" i="3" s="1"/>
  <c r="I4903" i="3" s="1"/>
  <c r="I4904" i="3" s="1"/>
  <c r="I4905" i="3" s="1"/>
  <c r="I4906" i="3" s="1"/>
  <c r="I4907" i="3" s="1"/>
  <c r="I4908" i="3" s="1"/>
  <c r="I4909" i="3" s="1"/>
  <c r="I4910" i="3" s="1"/>
  <c r="I4911" i="3" s="1"/>
  <c r="I4912" i="3" s="1"/>
  <c r="I4913" i="3" s="1"/>
  <c r="I4914" i="3" s="1"/>
  <c r="I4915" i="3" s="1"/>
  <c r="I4916" i="3" s="1"/>
  <c r="I4917" i="3" s="1"/>
  <c r="I4918" i="3" s="1"/>
  <c r="I4919" i="3" s="1"/>
  <c r="I4920" i="3" s="1"/>
  <c r="I4921" i="3" s="1"/>
  <c r="I4922" i="3" s="1"/>
  <c r="I4923" i="3" s="1"/>
  <c r="I4924" i="3" s="1"/>
  <c r="I4925" i="3" s="1"/>
  <c r="I4926" i="3" s="1"/>
  <c r="I4927" i="3" s="1"/>
  <c r="I4928" i="3" s="1"/>
  <c r="I4929" i="3" s="1"/>
  <c r="I4930" i="3" s="1"/>
  <c r="I4931" i="3" s="1"/>
  <c r="I4932" i="3" s="1"/>
  <c r="I4933" i="3" s="1"/>
  <c r="I4934" i="3" s="1"/>
  <c r="I4935" i="3" s="1"/>
  <c r="I4936" i="3" s="1"/>
  <c r="I4937" i="3" s="1"/>
  <c r="I4938" i="3" s="1"/>
  <c r="I4939" i="3" s="1"/>
  <c r="I4940" i="3" s="1"/>
  <c r="I4941" i="3" s="1"/>
  <c r="I4942" i="3" s="1"/>
  <c r="I4943" i="3" s="1"/>
  <c r="I4944" i="3" s="1"/>
  <c r="I4945" i="3" s="1"/>
  <c r="I4946" i="3" s="1"/>
  <c r="I4947" i="3" s="1"/>
  <c r="I4948" i="3" s="1"/>
  <c r="I4949" i="3" s="1"/>
  <c r="I4950" i="3" s="1"/>
  <c r="I4951" i="3" s="1"/>
  <c r="I4952" i="3" s="1"/>
  <c r="I4953" i="3" s="1"/>
  <c r="I4954" i="3" s="1"/>
  <c r="I4955" i="3" s="1"/>
  <c r="I4956" i="3" s="1"/>
  <c r="I4957" i="3" s="1"/>
  <c r="I4958" i="3" s="1"/>
  <c r="I4959" i="3" s="1"/>
  <c r="I4960" i="3" s="1"/>
  <c r="I4961" i="3" s="1"/>
  <c r="I4962" i="3" s="1"/>
  <c r="I4963" i="3" s="1"/>
  <c r="I4964" i="3" s="1"/>
  <c r="I4965" i="3" s="1"/>
  <c r="I4966" i="3" s="1"/>
  <c r="I4967" i="3" s="1"/>
  <c r="I4968" i="3" s="1"/>
  <c r="I4969" i="3" s="1"/>
  <c r="I4970" i="3" s="1"/>
  <c r="I4971" i="3" s="1"/>
  <c r="I4972" i="3" s="1"/>
  <c r="I4973" i="3" s="1"/>
  <c r="I4974" i="3" s="1"/>
  <c r="I4975" i="3" s="1"/>
  <c r="I4976" i="3" s="1"/>
  <c r="I4977" i="3" s="1"/>
  <c r="I4978" i="3" s="1"/>
  <c r="I4979" i="3" s="1"/>
  <c r="I4980" i="3" s="1"/>
  <c r="I4981" i="3" s="1"/>
  <c r="I4982" i="3" s="1"/>
  <c r="I4983" i="3" s="1"/>
  <c r="I4984" i="3" s="1"/>
  <c r="I4985" i="3" s="1"/>
  <c r="I4986" i="3" s="1"/>
  <c r="I4987" i="3" s="1"/>
  <c r="I4988" i="3" s="1"/>
  <c r="I4989" i="3" s="1"/>
  <c r="I4990" i="3" s="1"/>
  <c r="I4991" i="3" s="1"/>
  <c r="I4992" i="3" s="1"/>
  <c r="I4993" i="3" s="1"/>
  <c r="I4994" i="3" s="1"/>
  <c r="I4995" i="3" s="1"/>
  <c r="I4996" i="3" s="1"/>
  <c r="I4997" i="3" s="1"/>
  <c r="I4998" i="3" s="1"/>
  <c r="I4999" i="3" s="1"/>
  <c r="I5000" i="3" s="1"/>
  <c r="I5001" i="3" s="1"/>
  <c r="I5002" i="3" s="1"/>
  <c r="I5003" i="3" s="1"/>
  <c r="I5004" i="3" s="1"/>
  <c r="I5005" i="3" s="1"/>
  <c r="I5006" i="3" s="1"/>
  <c r="I5007" i="3" s="1"/>
  <c r="I5008" i="3" s="1"/>
  <c r="I5009" i="3" s="1"/>
  <c r="I5010" i="3" s="1"/>
  <c r="I5011" i="3" s="1"/>
  <c r="I5012" i="3" s="1"/>
  <c r="I5013" i="3" s="1"/>
  <c r="I5014" i="3" s="1"/>
  <c r="I5015" i="3" s="1"/>
  <c r="I5016" i="3" s="1"/>
  <c r="I5017" i="3" s="1"/>
  <c r="I5018" i="3" s="1"/>
  <c r="I5019" i="3" s="1"/>
  <c r="I5020" i="3" s="1"/>
  <c r="I5021" i="3" s="1"/>
  <c r="I5022" i="3" s="1"/>
  <c r="I5023" i="3" s="1"/>
  <c r="I5024" i="3" s="1"/>
  <c r="I5025" i="3" s="1"/>
  <c r="I5026" i="3" s="1"/>
  <c r="I5027" i="3" s="1"/>
  <c r="I5028" i="3" s="1"/>
  <c r="I5029" i="3" s="1"/>
  <c r="I5030" i="3" s="1"/>
  <c r="I5031" i="3" s="1"/>
  <c r="I5032" i="3" s="1"/>
  <c r="I5033" i="3" s="1"/>
  <c r="I5034" i="3" s="1"/>
  <c r="I5035" i="3" s="1"/>
  <c r="I5036" i="3" s="1"/>
  <c r="I5037" i="3" s="1"/>
  <c r="I5038" i="3" s="1"/>
  <c r="I5039" i="3" s="1"/>
  <c r="I5040" i="3" s="1"/>
  <c r="I5041" i="3" s="1"/>
  <c r="I5042" i="3" s="1"/>
  <c r="I5043" i="3" s="1"/>
  <c r="I5044" i="3" s="1"/>
  <c r="I5045" i="3" s="1"/>
  <c r="I5046" i="3" s="1"/>
  <c r="I5047" i="3" s="1"/>
  <c r="I5048" i="3" s="1"/>
  <c r="I5049" i="3" s="1"/>
  <c r="I5050" i="3" s="1"/>
  <c r="I5051" i="3" s="1"/>
  <c r="I5052" i="3" s="1"/>
  <c r="I5053" i="3" s="1"/>
  <c r="I5054" i="3" s="1"/>
  <c r="I5055" i="3" s="1"/>
  <c r="I5056" i="3" s="1"/>
  <c r="I5057" i="3" s="1"/>
  <c r="I5058" i="3" s="1"/>
  <c r="I5059" i="3" s="1"/>
  <c r="I5060" i="3" s="1"/>
  <c r="I5061" i="3" s="1"/>
  <c r="I5062" i="3" s="1"/>
  <c r="I5063" i="3" s="1"/>
  <c r="I5064" i="3" s="1"/>
  <c r="I5065" i="3" s="1"/>
  <c r="I5066" i="3" s="1"/>
  <c r="I5067" i="3" s="1"/>
  <c r="I5068" i="3" s="1"/>
  <c r="I5069" i="3" s="1"/>
  <c r="I5070" i="3" s="1"/>
  <c r="I5071" i="3" s="1"/>
  <c r="I5072" i="3" s="1"/>
  <c r="I5073" i="3" s="1"/>
  <c r="I5074" i="3" s="1"/>
  <c r="I5075" i="3" s="1"/>
  <c r="I5076" i="3" s="1"/>
  <c r="I5077" i="3" s="1"/>
  <c r="I5078" i="3" s="1"/>
  <c r="I5079" i="3" s="1"/>
  <c r="I5080" i="3" s="1"/>
  <c r="I5081" i="3" s="1"/>
  <c r="I5082" i="3" s="1"/>
  <c r="I5083" i="3" s="1"/>
  <c r="I5084" i="3" s="1"/>
  <c r="I5085" i="3" s="1"/>
  <c r="I5086" i="3" s="1"/>
  <c r="I5087" i="3" s="1"/>
  <c r="I5088" i="3" s="1"/>
  <c r="I5089" i="3" s="1"/>
  <c r="I5090" i="3" s="1"/>
  <c r="I5091" i="3" s="1"/>
  <c r="I5092" i="3" s="1"/>
  <c r="I5093" i="3" s="1"/>
  <c r="I5094" i="3" s="1"/>
  <c r="I5095" i="3" s="1"/>
  <c r="I5096" i="3" s="1"/>
  <c r="I5097" i="3" s="1"/>
  <c r="I5098" i="3" s="1"/>
  <c r="I5099" i="3" s="1"/>
  <c r="I5100" i="3" s="1"/>
  <c r="I5101" i="3" s="1"/>
  <c r="I5102" i="3" s="1"/>
  <c r="I5103" i="3" s="1"/>
  <c r="I5104" i="3" s="1"/>
  <c r="I5105" i="3" s="1"/>
  <c r="I5106" i="3" s="1"/>
  <c r="I5107" i="3" s="1"/>
  <c r="I5108" i="3" s="1"/>
  <c r="I5109" i="3" s="1"/>
  <c r="I5110" i="3" s="1"/>
  <c r="I5111" i="3" s="1"/>
  <c r="I5112" i="3" s="1"/>
  <c r="I5113" i="3" s="1"/>
  <c r="I5114" i="3" s="1"/>
  <c r="I5115" i="3" s="1"/>
  <c r="I5116" i="3" s="1"/>
  <c r="I5117" i="3" s="1"/>
  <c r="I5118" i="3" s="1"/>
  <c r="I5119" i="3" s="1"/>
  <c r="I5120" i="3" s="1"/>
  <c r="I5121" i="3" s="1"/>
  <c r="I5122" i="3" s="1"/>
  <c r="I5123" i="3" s="1"/>
  <c r="I5124" i="3" s="1"/>
  <c r="I5125" i="3" s="1"/>
  <c r="I5126" i="3" s="1"/>
  <c r="I5127" i="3" s="1"/>
  <c r="I5128" i="3" s="1"/>
  <c r="I5129" i="3" s="1"/>
  <c r="I5130" i="3" s="1"/>
  <c r="I5131" i="3" s="1"/>
  <c r="I5132" i="3" s="1"/>
  <c r="I5133" i="3" s="1"/>
  <c r="I5134" i="3" s="1"/>
  <c r="I5135" i="3" s="1"/>
  <c r="I5136" i="3" s="1"/>
  <c r="I5137" i="3" s="1"/>
  <c r="I5138" i="3" s="1"/>
  <c r="I5139" i="3" s="1"/>
  <c r="I5140" i="3" s="1"/>
  <c r="I5141" i="3" s="1"/>
  <c r="I5142" i="3" s="1"/>
  <c r="I5143" i="3" s="1"/>
  <c r="I5144" i="3" s="1"/>
  <c r="I5145" i="3" s="1"/>
  <c r="I5146" i="3" s="1"/>
  <c r="I5147" i="3" s="1"/>
  <c r="I5148" i="3" s="1"/>
  <c r="I5149" i="3" s="1"/>
  <c r="I5150" i="3" s="1"/>
  <c r="I5151" i="3" s="1"/>
  <c r="I5152" i="3" s="1"/>
  <c r="I5153" i="3" s="1"/>
  <c r="I5154" i="3" s="1"/>
  <c r="I5155" i="3" s="1"/>
  <c r="I5156" i="3" s="1"/>
  <c r="I5157" i="3" s="1"/>
  <c r="I5158" i="3" s="1"/>
  <c r="I5159" i="3" s="1"/>
  <c r="I5160" i="3" s="1"/>
  <c r="I5161" i="3" s="1"/>
  <c r="I5162" i="3" s="1"/>
  <c r="I5163" i="3" s="1"/>
  <c r="I5164" i="3" s="1"/>
  <c r="I5165" i="3" s="1"/>
  <c r="I5166" i="3" s="1"/>
  <c r="I5167" i="3" s="1"/>
  <c r="I5168" i="3" s="1"/>
  <c r="I5169" i="3" s="1"/>
  <c r="I5170" i="3" s="1"/>
  <c r="I5171" i="3" s="1"/>
  <c r="I5172" i="3" s="1"/>
  <c r="I5173" i="3" s="1"/>
  <c r="I5174" i="3" s="1"/>
  <c r="I5175" i="3" s="1"/>
  <c r="I5176" i="3" s="1"/>
  <c r="I5177" i="3" s="1"/>
  <c r="I5178" i="3" s="1"/>
  <c r="I5179" i="3" s="1"/>
  <c r="I5180" i="3" s="1"/>
  <c r="I5181" i="3" s="1"/>
  <c r="I5182" i="3" s="1"/>
  <c r="I5183" i="3" s="1"/>
  <c r="I5184" i="3" s="1"/>
  <c r="I5185" i="3" s="1"/>
  <c r="I5186" i="3" s="1"/>
  <c r="I5187" i="3" s="1"/>
  <c r="I5188" i="3" s="1"/>
  <c r="I5189" i="3" s="1"/>
  <c r="I5190" i="3" s="1"/>
  <c r="I5191" i="3" s="1"/>
  <c r="I5192" i="3" s="1"/>
  <c r="I5193" i="3" s="1"/>
  <c r="I5194" i="3" s="1"/>
  <c r="I5195" i="3" s="1"/>
  <c r="I5196" i="3" s="1"/>
  <c r="I5197" i="3" s="1"/>
  <c r="I5198" i="3" s="1"/>
  <c r="I5199" i="3" s="1"/>
  <c r="I5200" i="3" s="1"/>
  <c r="I5201" i="3" s="1"/>
  <c r="I5202" i="3" s="1"/>
  <c r="I5203" i="3" s="1"/>
  <c r="I5204" i="3" s="1"/>
  <c r="I5205" i="3" s="1"/>
  <c r="I5206" i="3" s="1"/>
  <c r="I5207" i="3" s="1"/>
  <c r="I5208" i="3" s="1"/>
  <c r="I5209" i="3" s="1"/>
  <c r="I5210" i="3" s="1"/>
  <c r="I5211" i="3" s="1"/>
  <c r="I5212" i="3" s="1"/>
  <c r="I5213" i="3" s="1"/>
  <c r="I5214" i="3" s="1"/>
  <c r="I5215" i="3" s="1"/>
  <c r="I5216" i="3" s="1"/>
  <c r="I5217" i="3" s="1"/>
  <c r="I5218" i="3" s="1"/>
  <c r="I5219" i="3" s="1"/>
  <c r="I5220" i="3" s="1"/>
  <c r="I5221" i="3" s="1"/>
  <c r="I5222" i="3" s="1"/>
  <c r="I5223" i="3" s="1"/>
  <c r="I5224" i="3" s="1"/>
  <c r="I5225" i="3" s="1"/>
  <c r="I5226" i="3" s="1"/>
  <c r="I5227" i="3" s="1"/>
  <c r="I5228" i="3" s="1"/>
  <c r="I5229" i="3" s="1"/>
  <c r="I5230" i="3" s="1"/>
  <c r="I5231" i="3" s="1"/>
  <c r="I5232" i="3" s="1"/>
  <c r="I5233" i="3" s="1"/>
  <c r="I5234" i="3" s="1"/>
  <c r="I5235" i="3" s="1"/>
  <c r="I5236" i="3" s="1"/>
  <c r="I5237" i="3" s="1"/>
  <c r="I5238" i="3" s="1"/>
  <c r="I5239" i="3" s="1"/>
  <c r="I5240" i="3" s="1"/>
  <c r="I5241" i="3" s="1"/>
  <c r="I5242" i="3" s="1"/>
  <c r="I5243" i="3" s="1"/>
  <c r="I5244" i="3" s="1"/>
  <c r="I5245" i="3" s="1"/>
  <c r="I5246" i="3" s="1"/>
  <c r="I5247" i="3" s="1"/>
  <c r="I5248" i="3" s="1"/>
  <c r="I5249" i="3" s="1"/>
  <c r="I5250" i="3" s="1"/>
  <c r="I5251" i="3" s="1"/>
  <c r="I5252" i="3" s="1"/>
  <c r="I5253" i="3" s="1"/>
  <c r="I5254" i="3" s="1"/>
  <c r="I5255" i="3" s="1"/>
  <c r="I5256" i="3" s="1"/>
  <c r="I5257" i="3" s="1"/>
  <c r="I5258" i="3" s="1"/>
  <c r="I5259" i="3" s="1"/>
  <c r="I5260" i="3" s="1"/>
  <c r="I5261" i="3" s="1"/>
  <c r="I5262" i="3" s="1"/>
  <c r="I5263" i="3" s="1"/>
  <c r="I5264" i="3" s="1"/>
  <c r="I5265" i="3" s="1"/>
  <c r="I5266" i="3" s="1"/>
  <c r="I5267" i="3" s="1"/>
  <c r="I5268" i="3" s="1"/>
  <c r="I5269" i="3" s="1"/>
  <c r="I5270" i="3" s="1"/>
  <c r="I5271" i="3" s="1"/>
  <c r="I5272" i="3" s="1"/>
  <c r="I5273" i="3" s="1"/>
  <c r="I5274" i="3" s="1"/>
  <c r="I5275" i="3" s="1"/>
  <c r="I5276" i="3" s="1"/>
  <c r="I5277" i="3" s="1"/>
  <c r="I5278" i="3" s="1"/>
  <c r="I5279" i="3" s="1"/>
  <c r="I5280" i="3" s="1"/>
  <c r="I5281" i="3" s="1"/>
  <c r="I5282" i="3" s="1"/>
  <c r="I5283" i="3" s="1"/>
  <c r="I5284" i="3" s="1"/>
  <c r="I5285" i="3" s="1"/>
  <c r="I5286" i="3" s="1"/>
  <c r="I5287" i="3" s="1"/>
  <c r="I5288" i="3" s="1"/>
  <c r="I5289" i="3" s="1"/>
  <c r="I5290" i="3" s="1"/>
  <c r="I5291" i="3" s="1"/>
  <c r="I5292" i="3" s="1"/>
  <c r="I5293" i="3" s="1"/>
  <c r="I5294" i="3" s="1"/>
  <c r="I5295" i="3" s="1"/>
  <c r="I5296" i="3" s="1"/>
  <c r="I5297" i="3" s="1"/>
  <c r="I5298" i="3" s="1"/>
  <c r="I5299" i="3" s="1"/>
  <c r="I5300" i="3" s="1"/>
  <c r="I5301" i="3" s="1"/>
  <c r="I5302" i="3" s="1"/>
  <c r="I5303" i="3" s="1"/>
  <c r="I5304" i="3" s="1"/>
  <c r="I5305" i="3" s="1"/>
  <c r="I5306" i="3" s="1"/>
  <c r="I5307" i="3" s="1"/>
  <c r="I5308" i="3" s="1"/>
  <c r="I5309" i="3" s="1"/>
  <c r="I5310" i="3" s="1"/>
  <c r="I5311" i="3" s="1"/>
  <c r="I5312" i="3" s="1"/>
  <c r="I5313" i="3" s="1"/>
  <c r="I5314" i="3" s="1"/>
  <c r="I5315" i="3" s="1"/>
  <c r="I5316" i="3" s="1"/>
  <c r="I5317" i="3" s="1"/>
  <c r="I5318" i="3" s="1"/>
  <c r="I5319" i="3" s="1"/>
  <c r="I5320" i="3" s="1"/>
  <c r="I5321" i="3" s="1"/>
  <c r="I5322" i="3" s="1"/>
  <c r="I5323" i="3" s="1"/>
  <c r="I5324" i="3" s="1"/>
  <c r="I5325" i="3" s="1"/>
  <c r="I5326" i="3" s="1"/>
  <c r="I5327" i="3" s="1"/>
  <c r="I5328" i="3" s="1"/>
  <c r="I5329" i="3" s="1"/>
  <c r="I5330" i="3" s="1"/>
  <c r="I5331" i="3" s="1"/>
  <c r="I5332" i="3" s="1"/>
  <c r="I5333" i="3" s="1"/>
  <c r="I5334" i="3" s="1"/>
  <c r="I5335" i="3" s="1"/>
  <c r="I5336" i="3" s="1"/>
  <c r="I5337" i="3" s="1"/>
  <c r="I5338" i="3" s="1"/>
  <c r="I5339" i="3" s="1"/>
  <c r="I5340" i="3" s="1"/>
  <c r="I5341" i="3" s="1"/>
  <c r="I5342" i="3" s="1"/>
  <c r="I5343" i="3" s="1"/>
  <c r="I5344" i="3" s="1"/>
  <c r="I5345" i="3" s="1"/>
  <c r="I5346" i="3" s="1"/>
  <c r="I5347" i="3" s="1"/>
  <c r="I5348" i="3" s="1"/>
  <c r="I5349" i="3" s="1"/>
  <c r="I5350" i="3" s="1"/>
  <c r="I5351" i="3" s="1"/>
  <c r="I5352" i="3" s="1"/>
  <c r="I5353" i="3" s="1"/>
  <c r="I5354" i="3" s="1"/>
  <c r="I5355" i="3" s="1"/>
  <c r="I5356" i="3" s="1"/>
  <c r="I5357" i="3" s="1"/>
  <c r="I5358" i="3" s="1"/>
  <c r="I5359" i="3" s="1"/>
  <c r="I5360" i="3" s="1"/>
  <c r="I5361" i="3" s="1"/>
  <c r="I5362" i="3" s="1"/>
  <c r="I5363" i="3" s="1"/>
  <c r="I5364" i="3" s="1"/>
  <c r="I5365" i="3" s="1"/>
  <c r="I5366" i="3" s="1"/>
  <c r="I5367" i="3" s="1"/>
  <c r="I5368" i="3" s="1"/>
  <c r="I5369" i="3" s="1"/>
  <c r="I5370" i="3" s="1"/>
  <c r="I5371" i="3" s="1"/>
  <c r="I5372" i="3" s="1"/>
  <c r="I5373" i="3" s="1"/>
  <c r="I5374" i="3" s="1"/>
  <c r="I5375" i="3" s="1"/>
  <c r="I5376" i="3" s="1"/>
  <c r="I5377" i="3" s="1"/>
  <c r="I5378" i="3" s="1"/>
  <c r="I5379" i="3" s="1"/>
  <c r="I5380" i="3" s="1"/>
  <c r="I5381" i="3" s="1"/>
  <c r="I5382" i="3" s="1"/>
  <c r="I5383" i="3" s="1"/>
  <c r="I5384" i="3" s="1"/>
  <c r="I5385" i="3" s="1"/>
  <c r="I5386" i="3" s="1"/>
  <c r="I5387" i="3" s="1"/>
  <c r="I5388" i="3" s="1"/>
  <c r="I5389" i="3" s="1"/>
  <c r="I5390" i="3" s="1"/>
  <c r="I5391" i="3" s="1"/>
  <c r="I5392" i="3" s="1"/>
  <c r="I5393" i="3" s="1"/>
  <c r="I5394" i="3" s="1"/>
  <c r="I5395" i="3" s="1"/>
  <c r="I5396" i="3" s="1"/>
  <c r="I5397" i="3" s="1"/>
  <c r="I5398" i="3" s="1"/>
  <c r="I5399" i="3" s="1"/>
  <c r="I5400" i="3" s="1"/>
  <c r="I5401" i="3" s="1"/>
  <c r="I5402" i="3" s="1"/>
  <c r="I5403" i="3" s="1"/>
  <c r="I5404" i="3" s="1"/>
  <c r="I5405" i="3" s="1"/>
  <c r="I5406" i="3" s="1"/>
  <c r="I5407" i="3" s="1"/>
  <c r="I5408" i="3" s="1"/>
  <c r="I5409" i="3" s="1"/>
  <c r="I5410" i="3" s="1"/>
  <c r="I5411" i="3" s="1"/>
  <c r="I5412" i="3" s="1"/>
  <c r="I5413" i="3" s="1"/>
  <c r="I5414" i="3" s="1"/>
  <c r="I5415" i="3" s="1"/>
  <c r="I5416" i="3" s="1"/>
  <c r="I5417" i="3" s="1"/>
  <c r="I5418" i="3" s="1"/>
  <c r="I5419" i="3" s="1"/>
  <c r="I5420" i="3" s="1"/>
  <c r="I5421" i="3" s="1"/>
  <c r="I5422" i="3" s="1"/>
  <c r="I5423" i="3" s="1"/>
  <c r="I5424" i="3" s="1"/>
  <c r="I5425" i="3" s="1"/>
  <c r="I5426" i="3" s="1"/>
  <c r="I5427" i="3" s="1"/>
  <c r="I5428" i="3" s="1"/>
  <c r="I5429" i="3" s="1"/>
  <c r="I5430" i="3" s="1"/>
  <c r="I5431" i="3" s="1"/>
  <c r="I5432" i="3" s="1"/>
  <c r="I5433" i="3" s="1"/>
  <c r="I5434" i="3" s="1"/>
  <c r="I5435" i="3" s="1"/>
  <c r="I5436" i="3" s="1"/>
  <c r="I5437" i="3" s="1"/>
  <c r="I5438" i="3" s="1"/>
  <c r="I5439" i="3" s="1"/>
  <c r="I5440" i="3" s="1"/>
  <c r="I5441" i="3" s="1"/>
  <c r="I5442" i="3" s="1"/>
  <c r="I5443" i="3" s="1"/>
  <c r="I5444" i="3" s="1"/>
  <c r="I5445" i="3" s="1"/>
  <c r="I5446" i="3" s="1"/>
  <c r="I5447" i="3" s="1"/>
  <c r="I5448" i="3" s="1"/>
  <c r="I5449" i="3" s="1"/>
  <c r="I5450" i="3" s="1"/>
  <c r="I5451" i="3" s="1"/>
  <c r="I5452" i="3" s="1"/>
  <c r="I5453" i="3" s="1"/>
  <c r="I5454" i="3" s="1"/>
  <c r="I5455" i="3" s="1"/>
  <c r="I5456" i="3" s="1"/>
  <c r="I5457" i="3" s="1"/>
  <c r="I5458" i="3" s="1"/>
  <c r="I5459" i="3" s="1"/>
  <c r="I5460" i="3" s="1"/>
  <c r="I5461" i="3" s="1"/>
  <c r="I5462" i="3" s="1"/>
  <c r="I5463" i="3" s="1"/>
  <c r="I5464" i="3" s="1"/>
  <c r="I5465" i="3" s="1"/>
  <c r="I5466" i="3" s="1"/>
  <c r="I5467" i="3" s="1"/>
  <c r="I5468" i="3" s="1"/>
  <c r="I5469" i="3" s="1"/>
  <c r="I5470" i="3" s="1"/>
  <c r="I5471" i="3" s="1"/>
  <c r="I5472" i="3" s="1"/>
  <c r="I5473" i="3" s="1"/>
  <c r="I5474" i="3" s="1"/>
  <c r="I5475" i="3" s="1"/>
  <c r="I5476" i="3" s="1"/>
  <c r="I5477" i="3" s="1"/>
  <c r="I5478" i="3" s="1"/>
  <c r="I5479" i="3" s="1"/>
  <c r="I5480" i="3" s="1"/>
  <c r="I5481" i="3" s="1"/>
  <c r="I5482" i="3" s="1"/>
  <c r="I5483" i="3" s="1"/>
  <c r="I5484" i="3" s="1"/>
  <c r="I5485" i="3" s="1"/>
  <c r="I5486" i="3" s="1"/>
  <c r="I5487" i="3" s="1"/>
  <c r="I5488" i="3" s="1"/>
  <c r="I5489" i="3" s="1"/>
  <c r="I5490" i="3" s="1"/>
  <c r="I5491" i="3" s="1"/>
  <c r="I5492" i="3" s="1"/>
  <c r="I5493" i="3" s="1"/>
  <c r="I5494" i="3" s="1"/>
  <c r="I5495" i="3" s="1"/>
  <c r="I5496" i="3" s="1"/>
  <c r="I5497" i="3" s="1"/>
  <c r="I5498" i="3" s="1"/>
  <c r="I5499" i="3" s="1"/>
  <c r="I5500" i="3" s="1"/>
  <c r="I5501" i="3" s="1"/>
  <c r="I5502" i="3" s="1"/>
  <c r="I5503" i="3" s="1"/>
  <c r="I5504" i="3" s="1"/>
  <c r="I5505" i="3" s="1"/>
  <c r="I5506" i="3" s="1"/>
  <c r="I5507" i="3" s="1"/>
  <c r="I5508" i="3" s="1"/>
  <c r="I5509" i="3" s="1"/>
  <c r="I5510" i="3" s="1"/>
  <c r="I5511" i="3" s="1"/>
  <c r="I5512" i="3" s="1"/>
  <c r="I5513" i="3" s="1"/>
  <c r="I5514" i="3" s="1"/>
  <c r="I5515" i="3" s="1"/>
  <c r="I5516" i="3" s="1"/>
  <c r="I5517" i="3" s="1"/>
  <c r="I5518" i="3" s="1"/>
  <c r="I5519" i="3" s="1"/>
  <c r="I5520" i="3" s="1"/>
  <c r="I5521" i="3" s="1"/>
  <c r="I5522" i="3" s="1"/>
  <c r="I5523" i="3" s="1"/>
  <c r="I5524" i="3" s="1"/>
  <c r="I5525" i="3" s="1"/>
  <c r="I5526" i="3" s="1"/>
  <c r="I5527" i="3" s="1"/>
  <c r="I5528" i="3" s="1"/>
  <c r="I5529" i="3" s="1"/>
  <c r="I5530" i="3" s="1"/>
  <c r="I5531" i="3" s="1"/>
  <c r="I5532" i="3" s="1"/>
  <c r="I5533" i="3" s="1"/>
  <c r="I5534" i="3" s="1"/>
  <c r="I5535" i="3" s="1"/>
  <c r="I5536" i="3" s="1"/>
  <c r="I5537" i="3" s="1"/>
  <c r="I5538" i="3" s="1"/>
  <c r="I5539" i="3" s="1"/>
  <c r="I5540" i="3" s="1"/>
  <c r="I5541" i="3" s="1"/>
  <c r="I5542" i="3" s="1"/>
  <c r="I5543" i="3" s="1"/>
  <c r="I5544" i="3" s="1"/>
  <c r="I5545" i="3" s="1"/>
  <c r="I5546" i="3" s="1"/>
  <c r="I5547" i="3" s="1"/>
  <c r="I5548" i="3" s="1"/>
  <c r="I5549" i="3" s="1"/>
  <c r="I5550" i="3" s="1"/>
  <c r="I5551" i="3" s="1"/>
  <c r="I5552" i="3" s="1"/>
  <c r="I5553" i="3" s="1"/>
  <c r="I5554" i="3" s="1"/>
  <c r="I5555" i="3" s="1"/>
  <c r="I5556" i="3" s="1"/>
  <c r="I5557" i="3" s="1"/>
  <c r="I5558" i="3" s="1"/>
  <c r="I5559" i="3" s="1"/>
  <c r="I5560" i="3" s="1"/>
  <c r="I5561" i="3" s="1"/>
  <c r="I5562" i="3" s="1"/>
  <c r="I5563" i="3" s="1"/>
  <c r="I5564" i="3" s="1"/>
  <c r="I5565" i="3" s="1"/>
  <c r="I5566" i="3" s="1"/>
  <c r="I5567" i="3" s="1"/>
  <c r="I5568" i="3" s="1"/>
  <c r="I5569" i="3" s="1"/>
  <c r="I5570" i="3" s="1"/>
  <c r="I5571" i="3" s="1"/>
  <c r="I5572" i="3" s="1"/>
  <c r="I5573" i="3" s="1"/>
  <c r="I5574" i="3" s="1"/>
  <c r="I5575" i="3" s="1"/>
  <c r="I5576" i="3" s="1"/>
  <c r="I5577" i="3" s="1"/>
  <c r="I5578" i="3" s="1"/>
  <c r="I5579" i="3" s="1"/>
  <c r="I5580" i="3" s="1"/>
  <c r="I5581" i="3" s="1"/>
  <c r="I5582" i="3" s="1"/>
  <c r="I5583" i="3" s="1"/>
  <c r="I5584" i="3" s="1"/>
  <c r="I5585" i="3" s="1"/>
  <c r="I5586" i="3" s="1"/>
  <c r="I5587" i="3" s="1"/>
  <c r="I5588" i="3" s="1"/>
  <c r="I5589" i="3" s="1"/>
  <c r="I5590" i="3" s="1"/>
  <c r="I5591" i="3" s="1"/>
  <c r="I5592" i="3" s="1"/>
  <c r="I5593" i="3" s="1"/>
  <c r="I5594" i="3" s="1"/>
  <c r="I5595" i="3" s="1"/>
  <c r="I5596" i="3" s="1"/>
  <c r="I5597" i="3" s="1"/>
  <c r="I5598" i="3" s="1"/>
  <c r="I5599" i="3" s="1"/>
  <c r="I5600" i="3" s="1"/>
  <c r="I5601" i="3" s="1"/>
  <c r="I5602" i="3" s="1"/>
  <c r="I5603" i="3" s="1"/>
  <c r="I5604" i="3" s="1"/>
  <c r="I5605" i="3" s="1"/>
  <c r="I5606" i="3" s="1"/>
  <c r="I5607" i="3" s="1"/>
  <c r="I5608" i="3" s="1"/>
  <c r="I5609" i="3" s="1"/>
  <c r="I5610" i="3" s="1"/>
  <c r="I5611" i="3" s="1"/>
  <c r="I5612" i="3" s="1"/>
  <c r="I5613" i="3" s="1"/>
  <c r="I5614" i="3" s="1"/>
  <c r="I5615" i="3" s="1"/>
  <c r="I5616" i="3" s="1"/>
  <c r="I5617" i="3" s="1"/>
  <c r="I5618" i="3" s="1"/>
  <c r="I5619" i="3" s="1"/>
  <c r="I5620" i="3" s="1"/>
  <c r="I5621" i="3" s="1"/>
  <c r="I5622" i="3" s="1"/>
  <c r="I5623" i="3" s="1"/>
  <c r="I5624" i="3" s="1"/>
  <c r="I5625" i="3" s="1"/>
  <c r="I5626" i="3" s="1"/>
  <c r="I5627" i="3" s="1"/>
  <c r="I5628" i="3" s="1"/>
  <c r="I5629" i="3" s="1"/>
  <c r="I5630" i="3" s="1"/>
  <c r="I5631" i="3" s="1"/>
  <c r="I5632" i="3" s="1"/>
  <c r="I5633" i="3" s="1"/>
  <c r="I5634" i="3" s="1"/>
  <c r="I5635" i="3" s="1"/>
  <c r="I5636" i="3" s="1"/>
  <c r="I5637" i="3" s="1"/>
  <c r="I5638" i="3" s="1"/>
  <c r="I5639" i="3" s="1"/>
  <c r="I5640" i="3" s="1"/>
  <c r="I5641" i="3" s="1"/>
  <c r="I5642" i="3" s="1"/>
  <c r="I5643" i="3" s="1"/>
  <c r="I5644" i="3" s="1"/>
  <c r="I5645" i="3" s="1"/>
  <c r="I5646" i="3" s="1"/>
  <c r="I5647" i="3" s="1"/>
  <c r="I5648" i="3" s="1"/>
  <c r="I5649" i="3" s="1"/>
  <c r="I5650" i="3" s="1"/>
  <c r="I5651" i="3" s="1"/>
  <c r="I5652" i="3" s="1"/>
  <c r="I5653" i="3" s="1"/>
  <c r="I5654" i="3" s="1"/>
  <c r="I5655" i="3" s="1"/>
  <c r="I5656" i="3" s="1"/>
  <c r="I5657" i="3" s="1"/>
  <c r="I5658" i="3" s="1"/>
  <c r="I5659" i="3" s="1"/>
  <c r="I5660" i="3" s="1"/>
  <c r="I5661" i="3" s="1"/>
  <c r="I5662" i="3" s="1"/>
  <c r="I5663" i="3" s="1"/>
  <c r="I5664" i="3" s="1"/>
  <c r="I5665" i="3" s="1"/>
  <c r="I5666" i="3" s="1"/>
  <c r="I5667" i="3" s="1"/>
  <c r="I5668" i="3" s="1"/>
  <c r="I5669" i="3" s="1"/>
  <c r="I5670" i="3" s="1"/>
  <c r="I5671" i="3" s="1"/>
  <c r="I5672" i="3" s="1"/>
  <c r="I5673" i="3" s="1"/>
  <c r="I5674" i="3" s="1"/>
  <c r="I5675" i="3" s="1"/>
  <c r="I5676" i="3" s="1"/>
  <c r="I5677" i="3" s="1"/>
  <c r="I5678" i="3" s="1"/>
  <c r="I5679" i="3" s="1"/>
  <c r="I5680" i="3" s="1"/>
  <c r="I5681" i="3" s="1"/>
  <c r="I5682" i="3" s="1"/>
  <c r="I5683" i="3" s="1"/>
  <c r="I5684" i="3" s="1"/>
  <c r="I5685" i="3" s="1"/>
  <c r="I5686" i="3" s="1"/>
  <c r="I5687" i="3" s="1"/>
  <c r="I5688" i="3" s="1"/>
  <c r="I5689" i="3" s="1"/>
  <c r="I5690" i="3" s="1"/>
  <c r="I5691" i="3" s="1"/>
  <c r="I5692" i="3" s="1"/>
  <c r="I5693" i="3" s="1"/>
  <c r="I5694" i="3" s="1"/>
  <c r="I5695" i="3" s="1"/>
  <c r="I5696" i="3" s="1"/>
  <c r="I5697" i="3" s="1"/>
  <c r="I5698" i="3" s="1"/>
  <c r="I5699" i="3" s="1"/>
  <c r="I5700" i="3" s="1"/>
  <c r="I5701" i="3" s="1"/>
  <c r="I5702" i="3" s="1"/>
  <c r="I5703" i="3" s="1"/>
  <c r="I5704" i="3" s="1"/>
  <c r="I5705" i="3" s="1"/>
  <c r="I5706" i="3" s="1"/>
  <c r="I5707" i="3" s="1"/>
  <c r="I5708" i="3" s="1"/>
  <c r="I5709" i="3" s="1"/>
  <c r="I5710" i="3" s="1"/>
  <c r="I5711" i="3" s="1"/>
  <c r="I5712" i="3" s="1"/>
  <c r="I5713" i="3" s="1"/>
  <c r="I5714" i="3" s="1"/>
  <c r="I5715" i="3" s="1"/>
  <c r="I5716" i="3" s="1"/>
  <c r="I5717" i="3" s="1"/>
  <c r="I5718" i="3" s="1"/>
  <c r="I5719" i="3" s="1"/>
  <c r="I5720" i="3" s="1"/>
  <c r="I5721" i="3" s="1"/>
  <c r="I5722" i="3" s="1"/>
  <c r="I5723" i="3" s="1"/>
  <c r="I5724" i="3" s="1"/>
  <c r="I5725" i="3" s="1"/>
  <c r="I5726" i="3" s="1"/>
  <c r="I5727" i="3" s="1"/>
  <c r="I5728" i="3" s="1"/>
  <c r="I5729" i="3" s="1"/>
  <c r="I5730" i="3" s="1"/>
  <c r="I5731" i="3" s="1"/>
  <c r="I5732" i="3" s="1"/>
  <c r="I5733" i="3" s="1"/>
  <c r="I5734" i="3" s="1"/>
  <c r="I5735" i="3" s="1"/>
  <c r="I5736" i="3" s="1"/>
  <c r="I5737" i="3" s="1"/>
  <c r="I5738" i="3" s="1"/>
  <c r="I5739" i="3" s="1"/>
  <c r="I5740" i="3" s="1"/>
  <c r="I5741" i="3" s="1"/>
  <c r="I5742" i="3" s="1"/>
  <c r="I5743" i="3" s="1"/>
  <c r="I5744" i="3" s="1"/>
  <c r="I5745" i="3" s="1"/>
  <c r="I5746" i="3" s="1"/>
  <c r="I5747" i="3" s="1"/>
  <c r="I5748" i="3" s="1"/>
  <c r="I5749" i="3" s="1"/>
  <c r="I5750" i="3" s="1"/>
  <c r="I5751" i="3" s="1"/>
  <c r="I5752" i="3" s="1"/>
  <c r="I5753" i="3" s="1"/>
  <c r="I5754" i="3" s="1"/>
  <c r="I5755" i="3" s="1"/>
  <c r="I5756" i="3" s="1"/>
  <c r="I5757" i="3" s="1"/>
  <c r="I5758" i="3" s="1"/>
  <c r="I5759" i="3" s="1"/>
  <c r="I5760" i="3" s="1"/>
  <c r="I5761" i="3" s="1"/>
  <c r="I5762" i="3" s="1"/>
  <c r="I5763" i="3" s="1"/>
  <c r="I5764" i="3" s="1"/>
  <c r="I5765" i="3" s="1"/>
  <c r="I5766" i="3" s="1"/>
  <c r="I5767" i="3" s="1"/>
  <c r="I5768" i="3" s="1"/>
  <c r="I5769" i="3" s="1"/>
  <c r="I5770" i="3" s="1"/>
  <c r="I5771" i="3" s="1"/>
  <c r="I5772" i="3" s="1"/>
  <c r="I5773" i="3" s="1"/>
  <c r="I5774" i="3" s="1"/>
  <c r="I5775" i="3" s="1"/>
  <c r="I5776" i="3" s="1"/>
  <c r="I5777" i="3" s="1"/>
  <c r="I5778" i="3" s="1"/>
  <c r="I5779" i="3" s="1"/>
  <c r="I5780" i="3" s="1"/>
  <c r="I5781" i="3" s="1"/>
  <c r="I5782" i="3" s="1"/>
  <c r="I5783" i="3" s="1"/>
  <c r="I5784" i="3" s="1"/>
  <c r="I5785" i="3" s="1"/>
  <c r="I5786" i="3" s="1"/>
  <c r="I5787" i="3" s="1"/>
  <c r="I5788" i="3" s="1"/>
  <c r="I5789" i="3" s="1"/>
  <c r="I5790" i="3" s="1"/>
  <c r="I5791" i="3" s="1"/>
  <c r="I5792" i="3" s="1"/>
  <c r="I5793" i="3" s="1"/>
  <c r="I5794" i="3" s="1"/>
  <c r="I5795" i="3" s="1"/>
  <c r="I5796" i="3" s="1"/>
  <c r="I5797" i="3" s="1"/>
  <c r="I5798" i="3" s="1"/>
  <c r="I5799" i="3" s="1"/>
  <c r="I5800" i="3" s="1"/>
  <c r="I5801" i="3" s="1"/>
  <c r="I5802" i="3" s="1"/>
  <c r="I5803" i="3" s="1"/>
  <c r="I5804" i="3" s="1"/>
  <c r="I5805" i="3" s="1"/>
  <c r="I5806" i="3" s="1"/>
  <c r="I5807" i="3" s="1"/>
  <c r="I5808" i="3" s="1"/>
  <c r="I5809" i="3" s="1"/>
  <c r="I5810" i="3" s="1"/>
  <c r="I5811" i="3" s="1"/>
  <c r="I5812" i="3" s="1"/>
  <c r="I5813" i="3" s="1"/>
  <c r="I5814" i="3" s="1"/>
  <c r="I5815" i="3" s="1"/>
  <c r="I5816" i="3" s="1"/>
  <c r="I5817" i="3" s="1"/>
  <c r="I5818" i="3" s="1"/>
  <c r="I5819" i="3" s="1"/>
  <c r="I5820" i="3" s="1"/>
  <c r="I5821" i="3" s="1"/>
  <c r="I5822" i="3" s="1"/>
  <c r="I5823" i="3" s="1"/>
  <c r="I5824" i="3" s="1"/>
  <c r="I5825" i="3" s="1"/>
  <c r="I5826" i="3" s="1"/>
  <c r="I5827" i="3" s="1"/>
  <c r="I5828" i="3" s="1"/>
  <c r="I5829" i="3" s="1"/>
  <c r="I5830" i="3" s="1"/>
  <c r="I5831" i="3" s="1"/>
  <c r="I5832" i="3" s="1"/>
  <c r="I5833" i="3" s="1"/>
  <c r="I5834" i="3" s="1"/>
  <c r="I5835" i="3" s="1"/>
  <c r="I5836" i="3" s="1"/>
  <c r="I5837" i="3" s="1"/>
  <c r="I5838" i="3" s="1"/>
  <c r="I5839" i="3" s="1"/>
  <c r="I5840" i="3" s="1"/>
  <c r="I5841" i="3" s="1"/>
  <c r="I5842" i="3" s="1"/>
  <c r="I5843" i="3" s="1"/>
  <c r="I5844" i="3" s="1"/>
  <c r="I5845" i="3" s="1"/>
  <c r="I5846" i="3" s="1"/>
  <c r="I5847" i="3" s="1"/>
  <c r="I5848" i="3" s="1"/>
  <c r="I5849" i="3" s="1"/>
  <c r="I5850" i="3" s="1"/>
  <c r="I5851" i="3" s="1"/>
  <c r="I5852" i="3" s="1"/>
  <c r="I5853" i="3" s="1"/>
  <c r="I5854" i="3" s="1"/>
  <c r="I5855" i="3" s="1"/>
  <c r="I5856" i="3" s="1"/>
  <c r="I5857" i="3" s="1"/>
  <c r="I5858" i="3" s="1"/>
  <c r="I5859" i="3" s="1"/>
  <c r="I5860" i="3" s="1"/>
  <c r="I5861" i="3" s="1"/>
  <c r="I5862" i="3" s="1"/>
  <c r="I5863" i="3" s="1"/>
  <c r="I5864" i="3" s="1"/>
  <c r="I5865" i="3" s="1"/>
  <c r="I5866" i="3" s="1"/>
  <c r="I5867" i="3" s="1"/>
  <c r="I5868" i="3" s="1"/>
  <c r="I5869" i="3" s="1"/>
  <c r="I5870" i="3" s="1"/>
  <c r="I5871" i="3" s="1"/>
  <c r="I5872" i="3" s="1"/>
  <c r="I5873" i="3" s="1"/>
  <c r="I5874" i="3" s="1"/>
  <c r="I5875" i="3" s="1"/>
  <c r="I5876" i="3" s="1"/>
  <c r="I5877" i="3" s="1"/>
  <c r="I5878" i="3" s="1"/>
  <c r="I5879" i="3" s="1"/>
  <c r="I5880" i="3" s="1"/>
  <c r="I5881" i="3" s="1"/>
  <c r="I5882" i="3" s="1"/>
  <c r="I5883" i="3" s="1"/>
  <c r="I5884" i="3" s="1"/>
  <c r="I5885" i="3" s="1"/>
  <c r="I5886" i="3" s="1"/>
  <c r="I5887" i="3" s="1"/>
  <c r="I5888" i="3" s="1"/>
  <c r="I5889" i="3" s="1"/>
  <c r="I5890" i="3" s="1"/>
  <c r="I5891" i="3" s="1"/>
  <c r="I5892" i="3" s="1"/>
  <c r="I5893" i="3" s="1"/>
  <c r="I5894" i="3" s="1"/>
  <c r="I5895" i="3" s="1"/>
  <c r="I5896" i="3" s="1"/>
  <c r="I5897" i="3" s="1"/>
  <c r="I5898" i="3" s="1"/>
  <c r="I5899" i="3" s="1"/>
  <c r="I5900" i="3" s="1"/>
  <c r="I5901" i="3" s="1"/>
  <c r="I5902" i="3" s="1"/>
  <c r="I5903" i="3" s="1"/>
  <c r="I5904" i="3" s="1"/>
  <c r="I5905" i="3" s="1"/>
  <c r="I5906" i="3" s="1"/>
  <c r="I5907" i="3" s="1"/>
  <c r="I5908" i="3" s="1"/>
  <c r="I5909" i="3" s="1"/>
  <c r="I5910" i="3" s="1"/>
  <c r="I5911" i="3" s="1"/>
  <c r="I5912" i="3" s="1"/>
  <c r="I5913" i="3" s="1"/>
  <c r="I5914" i="3" s="1"/>
  <c r="I5915" i="3" s="1"/>
  <c r="I5916" i="3" s="1"/>
  <c r="I5917" i="3" s="1"/>
  <c r="I5918" i="3" s="1"/>
  <c r="I5919" i="3" s="1"/>
  <c r="I5920" i="3" s="1"/>
  <c r="I5921" i="3" s="1"/>
  <c r="I5922" i="3" s="1"/>
  <c r="I5923" i="3" s="1"/>
  <c r="I5924" i="3" s="1"/>
  <c r="I5925" i="3" s="1"/>
  <c r="I5926" i="3" s="1"/>
  <c r="I5927" i="3" s="1"/>
  <c r="I5928" i="3" s="1"/>
  <c r="I5929" i="3" s="1"/>
  <c r="I5930" i="3" s="1"/>
  <c r="I5931" i="3" s="1"/>
  <c r="I5932" i="3" s="1"/>
  <c r="I5933" i="3" s="1"/>
  <c r="I5934" i="3" s="1"/>
  <c r="I5935" i="3" s="1"/>
  <c r="I5936" i="3" s="1"/>
  <c r="I5937" i="3" s="1"/>
  <c r="I5938" i="3" s="1"/>
  <c r="I5939" i="3" s="1"/>
  <c r="I5940" i="3" s="1"/>
  <c r="I5941" i="3" s="1"/>
  <c r="I5942" i="3" s="1"/>
  <c r="I5943" i="3" s="1"/>
  <c r="I5944" i="3" s="1"/>
  <c r="I5945" i="3" s="1"/>
  <c r="I5946" i="3" s="1"/>
  <c r="I5947" i="3" s="1"/>
  <c r="I5948" i="3" s="1"/>
  <c r="I5949" i="3" s="1"/>
  <c r="I5950" i="3" s="1"/>
  <c r="I5951" i="3" s="1"/>
  <c r="I5952" i="3" s="1"/>
  <c r="I5953" i="3" s="1"/>
  <c r="I5954" i="3" s="1"/>
  <c r="I5955" i="3" s="1"/>
  <c r="I5956" i="3" s="1"/>
  <c r="I5957" i="3" s="1"/>
  <c r="I5958" i="3" s="1"/>
  <c r="I5959" i="3" s="1"/>
  <c r="I5960" i="3" s="1"/>
  <c r="I5961" i="3" s="1"/>
  <c r="I5962" i="3" s="1"/>
  <c r="I5963" i="3" s="1"/>
  <c r="I5964" i="3" s="1"/>
  <c r="I5965" i="3" s="1"/>
  <c r="I5966" i="3" s="1"/>
  <c r="I5967" i="3" s="1"/>
  <c r="I5968" i="3" s="1"/>
  <c r="H4632" i="3"/>
  <c r="G4632" i="3"/>
  <c r="I4632" i="3" s="1"/>
  <c r="I4631" i="3"/>
  <c r="H4628" i="3"/>
  <c r="G4628" i="3"/>
  <c r="I4627" i="3"/>
  <c r="I4626" i="3"/>
  <c r="H4623" i="3"/>
  <c r="G4623" i="3"/>
  <c r="I4618" i="3"/>
  <c r="I4619" i="3" s="1"/>
  <c r="I4620" i="3" s="1"/>
  <c r="I4621" i="3" s="1"/>
  <c r="I4622" i="3" s="1"/>
  <c r="H4615" i="3"/>
  <c r="G4615" i="3"/>
  <c r="I4615" i="3" s="1"/>
  <c r="I4614" i="3"/>
  <c r="H4611" i="3"/>
  <c r="G4611" i="3"/>
  <c r="I4605" i="3"/>
  <c r="I4606" i="3" s="1"/>
  <c r="I4607" i="3" s="1"/>
  <c r="I4608" i="3" s="1"/>
  <c r="I4609" i="3" s="1"/>
  <c r="I4610" i="3" s="1"/>
  <c r="H4602" i="3"/>
  <c r="G4602" i="3"/>
  <c r="I4595" i="3"/>
  <c r="I4596" i="3" s="1"/>
  <c r="I4597" i="3" s="1"/>
  <c r="I4598" i="3" s="1"/>
  <c r="I4599" i="3" s="1"/>
  <c r="I4600" i="3" s="1"/>
  <c r="I4601" i="3" s="1"/>
  <c r="H4592" i="3"/>
  <c r="G4592" i="3"/>
  <c r="I4580" i="3"/>
  <c r="I4581" i="3" s="1"/>
  <c r="I4582" i="3" s="1"/>
  <c r="I4583" i="3" s="1"/>
  <c r="I4584" i="3" s="1"/>
  <c r="I4585" i="3" s="1"/>
  <c r="I4586" i="3" s="1"/>
  <c r="I4587" i="3" s="1"/>
  <c r="I4588" i="3" s="1"/>
  <c r="I4589" i="3" s="1"/>
  <c r="I4590" i="3" s="1"/>
  <c r="I4591" i="3" s="1"/>
  <c r="H4577" i="3"/>
  <c r="G4577" i="3"/>
  <c r="I4576" i="3"/>
  <c r="H4573" i="3"/>
  <c r="G4573" i="3"/>
  <c r="I4573" i="3" s="1"/>
  <c r="I4572" i="3"/>
  <c r="H4569" i="3"/>
  <c r="G4569" i="3"/>
  <c r="I4559" i="3"/>
  <c r="I4560" i="3" s="1"/>
  <c r="I4561" i="3" s="1"/>
  <c r="I4562" i="3" s="1"/>
  <c r="I4563" i="3" s="1"/>
  <c r="I4564" i="3" s="1"/>
  <c r="I4565" i="3" s="1"/>
  <c r="I4566" i="3" s="1"/>
  <c r="I4567" i="3" s="1"/>
  <c r="I4568" i="3" s="1"/>
  <c r="H4556" i="3"/>
  <c r="G4556" i="3"/>
  <c r="I4551" i="3"/>
  <c r="I4552" i="3" s="1"/>
  <c r="I4553" i="3" s="1"/>
  <c r="I4554" i="3" s="1"/>
  <c r="I4555" i="3" s="1"/>
  <c r="H4548" i="3"/>
  <c r="G4548" i="3"/>
  <c r="I4548" i="3" s="1"/>
  <c r="I4537" i="3"/>
  <c r="I4538" i="3" s="1"/>
  <c r="I4539" i="3" s="1"/>
  <c r="I4540" i="3" s="1"/>
  <c r="I4541" i="3" s="1"/>
  <c r="I4542" i="3" s="1"/>
  <c r="I4543" i="3" s="1"/>
  <c r="I4544" i="3" s="1"/>
  <c r="I4545" i="3" s="1"/>
  <c r="I4546" i="3" s="1"/>
  <c r="I4547" i="3" s="1"/>
  <c r="H4534" i="3"/>
  <c r="G4534" i="3"/>
  <c r="I4534" i="3" s="1"/>
  <c r="I4521" i="3"/>
  <c r="I4522" i="3" s="1"/>
  <c r="I4523" i="3" s="1"/>
  <c r="I4524" i="3" s="1"/>
  <c r="I4525" i="3" s="1"/>
  <c r="I4526" i="3" s="1"/>
  <c r="I4527" i="3" s="1"/>
  <c r="I4528" i="3" s="1"/>
  <c r="I4529" i="3" s="1"/>
  <c r="I4530" i="3" s="1"/>
  <c r="I4531" i="3" s="1"/>
  <c r="I4532" i="3" s="1"/>
  <c r="I4533" i="3" s="1"/>
  <c r="H4518" i="3"/>
  <c r="G4518" i="3"/>
  <c r="I4505" i="3"/>
  <c r="I4506" i="3" s="1"/>
  <c r="I4507" i="3" s="1"/>
  <c r="I4508" i="3" s="1"/>
  <c r="I4509" i="3" s="1"/>
  <c r="I4510" i="3" s="1"/>
  <c r="I4511" i="3" s="1"/>
  <c r="I4512" i="3" s="1"/>
  <c r="I4513" i="3" s="1"/>
  <c r="I4514" i="3" s="1"/>
  <c r="I4515" i="3" s="1"/>
  <c r="I4516" i="3" s="1"/>
  <c r="I4517" i="3" s="1"/>
  <c r="H4502" i="3"/>
  <c r="G4502" i="3"/>
  <c r="I4501" i="3"/>
  <c r="H4498" i="3"/>
  <c r="G4498" i="3"/>
  <c r="I4498" i="3" s="1"/>
  <c r="I4491" i="3"/>
  <c r="I4492" i="3" s="1"/>
  <c r="I4493" i="3" s="1"/>
  <c r="I4494" i="3" s="1"/>
  <c r="I4495" i="3" s="1"/>
  <c r="I4496" i="3" s="1"/>
  <c r="I4497" i="3" s="1"/>
  <c r="H4488" i="3"/>
  <c r="G4488" i="3"/>
  <c r="I4479" i="3"/>
  <c r="I4480" i="3" s="1"/>
  <c r="I4481" i="3" s="1"/>
  <c r="I4482" i="3" s="1"/>
  <c r="I4483" i="3" s="1"/>
  <c r="I4484" i="3" s="1"/>
  <c r="I4485" i="3" s="1"/>
  <c r="I4486" i="3" s="1"/>
  <c r="I4487" i="3" s="1"/>
  <c r="H4476" i="3"/>
  <c r="G4476" i="3"/>
  <c r="I4473" i="3"/>
  <c r="I4474" i="3" s="1"/>
  <c r="I4475" i="3" s="1"/>
  <c r="H4470" i="3"/>
  <c r="G4470" i="3"/>
  <c r="I4457" i="3"/>
  <c r="I4458" i="3" s="1"/>
  <c r="I4459" i="3" s="1"/>
  <c r="I4460" i="3" s="1"/>
  <c r="I4461" i="3" s="1"/>
  <c r="I4462" i="3" s="1"/>
  <c r="I4463" i="3" s="1"/>
  <c r="I4464" i="3" s="1"/>
  <c r="I4465" i="3" s="1"/>
  <c r="I4466" i="3" s="1"/>
  <c r="I4467" i="3" s="1"/>
  <c r="I4468" i="3" s="1"/>
  <c r="I4469" i="3" s="1"/>
  <c r="H4454" i="3"/>
  <c r="G4454" i="3"/>
  <c r="I4442" i="3"/>
  <c r="I4443" i="3" s="1"/>
  <c r="I4444" i="3" s="1"/>
  <c r="I4445" i="3" s="1"/>
  <c r="I4446" i="3" s="1"/>
  <c r="I4447" i="3" s="1"/>
  <c r="I4448" i="3" s="1"/>
  <c r="I4449" i="3" s="1"/>
  <c r="I4450" i="3" s="1"/>
  <c r="I4451" i="3" s="1"/>
  <c r="I4452" i="3" s="1"/>
  <c r="I4453" i="3" s="1"/>
  <c r="H4439" i="3"/>
  <c r="G4439" i="3"/>
  <c r="I4438" i="3"/>
  <c r="H4435" i="3"/>
  <c r="G4435" i="3"/>
  <c r="I4428" i="3"/>
  <c r="I4429" i="3" s="1"/>
  <c r="I4430" i="3" s="1"/>
  <c r="I4431" i="3" s="1"/>
  <c r="I4432" i="3" s="1"/>
  <c r="I4433" i="3" s="1"/>
  <c r="I4434" i="3" s="1"/>
  <c r="H4425" i="3"/>
  <c r="G4425" i="3"/>
  <c r="I4416" i="3"/>
  <c r="I4417" i="3" s="1"/>
  <c r="I4418" i="3" s="1"/>
  <c r="I4419" i="3" s="1"/>
  <c r="I4420" i="3" s="1"/>
  <c r="I4421" i="3" s="1"/>
  <c r="I4422" i="3" s="1"/>
  <c r="I4423" i="3" s="1"/>
  <c r="I4424" i="3" s="1"/>
  <c r="H4413" i="3"/>
  <c r="G4413" i="3"/>
  <c r="I4405" i="3"/>
  <c r="I4406" i="3" s="1"/>
  <c r="I4407" i="3" s="1"/>
  <c r="I4408" i="3" s="1"/>
  <c r="I4409" i="3" s="1"/>
  <c r="I4410" i="3" s="1"/>
  <c r="I4411" i="3" s="1"/>
  <c r="I4412" i="3" s="1"/>
  <c r="H4402" i="3"/>
  <c r="G4402" i="3"/>
  <c r="I4401" i="3"/>
  <c r="H4398" i="3"/>
  <c r="G4398" i="3"/>
  <c r="I4396" i="3"/>
  <c r="I4397" i="3" s="1"/>
  <c r="H4393" i="3"/>
  <c r="G4393" i="3"/>
  <c r="I4389" i="3"/>
  <c r="I4390" i="3" s="1"/>
  <c r="I4391" i="3" s="1"/>
  <c r="I4392" i="3" s="1"/>
  <c r="H4386" i="3"/>
  <c r="I4386" i="3" s="1"/>
  <c r="G4386" i="3"/>
  <c r="I4385" i="3"/>
  <c r="H4382" i="3"/>
  <c r="G4382" i="3"/>
  <c r="I4370" i="3"/>
  <c r="I4371" i="3" s="1"/>
  <c r="I4372" i="3" s="1"/>
  <c r="I4373" i="3" s="1"/>
  <c r="I4374" i="3" s="1"/>
  <c r="I4375" i="3" s="1"/>
  <c r="I4376" i="3" s="1"/>
  <c r="I4377" i="3" s="1"/>
  <c r="I4378" i="3" s="1"/>
  <c r="I4379" i="3" s="1"/>
  <c r="I4380" i="3" s="1"/>
  <c r="I4381" i="3" s="1"/>
  <c r="H4367" i="3"/>
  <c r="G4367" i="3"/>
  <c r="I4360" i="3"/>
  <c r="I4361" i="3" s="1"/>
  <c r="I4362" i="3" s="1"/>
  <c r="I4363" i="3" s="1"/>
  <c r="I4364" i="3" s="1"/>
  <c r="I4365" i="3" s="1"/>
  <c r="I4366" i="3" s="1"/>
  <c r="H4357" i="3"/>
  <c r="G4357" i="3"/>
  <c r="I4357" i="3" s="1"/>
  <c r="I4349" i="3"/>
  <c r="I4350" i="3" s="1"/>
  <c r="I4351" i="3" s="1"/>
  <c r="I4352" i="3" s="1"/>
  <c r="I4353" i="3" s="1"/>
  <c r="I4354" i="3" s="1"/>
  <c r="I4355" i="3" s="1"/>
  <c r="I4356" i="3" s="1"/>
  <c r="H4346" i="3"/>
  <c r="G4346" i="3"/>
  <c r="I4345" i="3"/>
  <c r="H4342" i="3"/>
  <c r="G4342" i="3"/>
  <c r="I4338" i="3"/>
  <c r="I4339" i="3" s="1"/>
  <c r="I4340" i="3" s="1"/>
  <c r="I4341" i="3" s="1"/>
  <c r="H4335" i="3"/>
  <c r="G4335" i="3"/>
  <c r="I4335" i="3" s="1"/>
  <c r="I4330" i="3"/>
  <c r="I4331" i="3" s="1"/>
  <c r="I4332" i="3" s="1"/>
  <c r="I4333" i="3" s="1"/>
  <c r="I4334" i="3" s="1"/>
  <c r="H4327" i="3"/>
  <c r="G4327" i="3"/>
  <c r="I4320" i="3"/>
  <c r="I4321" i="3" s="1"/>
  <c r="I4322" i="3" s="1"/>
  <c r="I4323" i="3" s="1"/>
  <c r="I4324" i="3" s="1"/>
  <c r="I4325" i="3" s="1"/>
  <c r="I4326" i="3" s="1"/>
  <c r="H4317" i="3"/>
  <c r="G4317" i="3"/>
  <c r="I4303" i="3"/>
  <c r="I4304" i="3" s="1"/>
  <c r="I4305" i="3" s="1"/>
  <c r="I4306" i="3" s="1"/>
  <c r="I4307" i="3" s="1"/>
  <c r="I4308" i="3" s="1"/>
  <c r="I4309" i="3" s="1"/>
  <c r="I4310" i="3" s="1"/>
  <c r="I4311" i="3" s="1"/>
  <c r="I4312" i="3" s="1"/>
  <c r="I4313" i="3" s="1"/>
  <c r="I4314" i="3" s="1"/>
  <c r="I4315" i="3" s="1"/>
  <c r="I4316" i="3" s="1"/>
  <c r="H4300" i="3"/>
  <c r="G4300" i="3"/>
  <c r="I4297" i="3"/>
  <c r="I4298" i="3" s="1"/>
  <c r="I4299" i="3" s="1"/>
  <c r="H4294" i="3"/>
  <c r="G4294" i="3"/>
  <c r="I4283" i="3"/>
  <c r="I4284" i="3" s="1"/>
  <c r="I4285" i="3" s="1"/>
  <c r="I4286" i="3" s="1"/>
  <c r="I4287" i="3" s="1"/>
  <c r="I4288" i="3" s="1"/>
  <c r="I4289" i="3" s="1"/>
  <c r="I4290" i="3" s="1"/>
  <c r="I4291" i="3" s="1"/>
  <c r="I4292" i="3" s="1"/>
  <c r="I4293" i="3" s="1"/>
  <c r="H4280" i="3"/>
  <c r="G4280" i="3"/>
  <c r="I4279" i="3"/>
  <c r="H4276" i="3"/>
  <c r="G4276" i="3"/>
  <c r="I4275" i="3"/>
  <c r="H4272" i="3"/>
  <c r="G4272" i="3"/>
  <c r="I4269" i="3"/>
  <c r="I4270" i="3" s="1"/>
  <c r="I4271" i="3" s="1"/>
  <c r="H4266" i="3"/>
  <c r="G4266" i="3"/>
  <c r="I4254" i="3"/>
  <c r="I4255" i="3" s="1"/>
  <c r="I4256" i="3" s="1"/>
  <c r="I4257" i="3" s="1"/>
  <c r="I4258" i="3" s="1"/>
  <c r="I4259" i="3" s="1"/>
  <c r="I4260" i="3" s="1"/>
  <c r="I4261" i="3" s="1"/>
  <c r="I4262" i="3" s="1"/>
  <c r="I4263" i="3" s="1"/>
  <c r="I4264" i="3" s="1"/>
  <c r="I4265" i="3" s="1"/>
  <c r="H4251" i="3"/>
  <c r="G4251" i="3"/>
  <c r="I4241" i="3"/>
  <c r="I4242" i="3" s="1"/>
  <c r="I4243" i="3" s="1"/>
  <c r="I4244" i="3" s="1"/>
  <c r="I4245" i="3" s="1"/>
  <c r="I4246" i="3" s="1"/>
  <c r="I4247" i="3" s="1"/>
  <c r="I4248" i="3" s="1"/>
  <c r="I4249" i="3" s="1"/>
  <c r="I4250" i="3" s="1"/>
  <c r="H4238" i="3"/>
  <c r="G4238" i="3"/>
  <c r="I4237" i="3"/>
  <c r="H4234" i="3"/>
  <c r="G4234" i="3"/>
  <c r="I4223" i="3"/>
  <c r="I4224" i="3" s="1"/>
  <c r="I4225" i="3" s="1"/>
  <c r="I4226" i="3" s="1"/>
  <c r="I4227" i="3" s="1"/>
  <c r="I4228" i="3" s="1"/>
  <c r="I4229" i="3" s="1"/>
  <c r="I4230" i="3" s="1"/>
  <c r="I4231" i="3" s="1"/>
  <c r="I4232" i="3" s="1"/>
  <c r="I4233" i="3" s="1"/>
  <c r="I4221" i="3"/>
  <c r="I4222" i="3" s="1"/>
  <c r="H4218" i="3"/>
  <c r="G4218" i="3"/>
  <c r="I4218" i="3" s="1"/>
  <c r="I4207" i="3"/>
  <c r="I4208" i="3" s="1"/>
  <c r="I4209" i="3" s="1"/>
  <c r="I4210" i="3" s="1"/>
  <c r="I4211" i="3" s="1"/>
  <c r="I4212" i="3" s="1"/>
  <c r="I4213" i="3" s="1"/>
  <c r="I4214" i="3" s="1"/>
  <c r="I4215" i="3" s="1"/>
  <c r="I4216" i="3" s="1"/>
  <c r="I4217" i="3" s="1"/>
  <c r="H4204" i="3"/>
  <c r="G4204" i="3"/>
  <c r="I4197" i="3"/>
  <c r="I4198" i="3" s="1"/>
  <c r="I4199" i="3" s="1"/>
  <c r="I4200" i="3" s="1"/>
  <c r="I4201" i="3" s="1"/>
  <c r="I4202" i="3" s="1"/>
  <c r="I4203" i="3" s="1"/>
  <c r="H4194" i="3"/>
  <c r="G4194" i="3"/>
  <c r="I4184" i="3"/>
  <c r="I4185" i="3" s="1"/>
  <c r="I4186" i="3" s="1"/>
  <c r="I4187" i="3" s="1"/>
  <c r="I4188" i="3" s="1"/>
  <c r="I4189" i="3" s="1"/>
  <c r="I4190" i="3" s="1"/>
  <c r="I4191" i="3" s="1"/>
  <c r="I4192" i="3" s="1"/>
  <c r="I4193" i="3" s="1"/>
  <c r="H4181" i="3"/>
  <c r="G4181" i="3"/>
  <c r="I4181" i="3" s="1"/>
  <c r="I4171" i="3"/>
  <c r="I4172" i="3" s="1"/>
  <c r="I4173" i="3" s="1"/>
  <c r="I4174" i="3" s="1"/>
  <c r="I4175" i="3" s="1"/>
  <c r="I4176" i="3" s="1"/>
  <c r="I4177" i="3" s="1"/>
  <c r="I4178" i="3" s="1"/>
  <c r="I4179" i="3" s="1"/>
  <c r="I4180" i="3" s="1"/>
  <c r="H4168" i="3"/>
  <c r="G4168" i="3"/>
  <c r="I4168" i="3" s="1"/>
  <c r="I4153" i="3"/>
  <c r="I4154" i="3" s="1"/>
  <c r="I4155" i="3" s="1"/>
  <c r="I4156" i="3" s="1"/>
  <c r="I4157" i="3" s="1"/>
  <c r="I4158" i="3" s="1"/>
  <c r="I4159" i="3" s="1"/>
  <c r="I4160" i="3" s="1"/>
  <c r="I4161" i="3" s="1"/>
  <c r="I4162" i="3" s="1"/>
  <c r="I4163" i="3" s="1"/>
  <c r="I4164" i="3" s="1"/>
  <c r="I4165" i="3" s="1"/>
  <c r="I4166" i="3" s="1"/>
  <c r="I4167" i="3" s="1"/>
  <c r="H4150" i="3"/>
  <c r="G4150" i="3"/>
  <c r="I4150" i="3" s="1"/>
  <c r="I4149" i="3"/>
  <c r="H4146" i="3"/>
  <c r="G4146" i="3"/>
  <c r="I4134" i="3"/>
  <c r="I4135" i="3" s="1"/>
  <c r="I4136" i="3" s="1"/>
  <c r="I4137" i="3" s="1"/>
  <c r="I4138" i="3" s="1"/>
  <c r="I4139" i="3" s="1"/>
  <c r="I4140" i="3" s="1"/>
  <c r="I4141" i="3" s="1"/>
  <c r="I4142" i="3" s="1"/>
  <c r="I4143" i="3" s="1"/>
  <c r="I4144" i="3" s="1"/>
  <c r="I4145" i="3" s="1"/>
  <c r="H4131" i="3"/>
  <c r="G4131" i="3"/>
  <c r="I4121" i="3"/>
  <c r="I4122" i="3" s="1"/>
  <c r="I4123" i="3" s="1"/>
  <c r="I4124" i="3" s="1"/>
  <c r="I4125" i="3" s="1"/>
  <c r="I4126" i="3" s="1"/>
  <c r="I4127" i="3" s="1"/>
  <c r="I4128" i="3" s="1"/>
  <c r="I4129" i="3" s="1"/>
  <c r="I4130" i="3" s="1"/>
  <c r="H4118" i="3"/>
  <c r="G4118" i="3"/>
  <c r="I4117" i="3"/>
  <c r="H4114" i="3"/>
  <c r="G4114" i="3"/>
  <c r="I4108" i="3"/>
  <c r="I4109" i="3" s="1"/>
  <c r="I4110" i="3" s="1"/>
  <c r="I4111" i="3" s="1"/>
  <c r="I4112" i="3" s="1"/>
  <c r="I4113" i="3" s="1"/>
  <c r="H4105" i="3"/>
  <c r="G4105" i="3"/>
  <c r="I4095" i="3"/>
  <c r="I4096" i="3" s="1"/>
  <c r="I4097" i="3" s="1"/>
  <c r="I4098" i="3" s="1"/>
  <c r="I4099" i="3" s="1"/>
  <c r="I4100" i="3" s="1"/>
  <c r="I4101" i="3" s="1"/>
  <c r="I4102" i="3" s="1"/>
  <c r="I4103" i="3" s="1"/>
  <c r="I4104" i="3" s="1"/>
  <c r="H4092" i="3"/>
  <c r="G4092" i="3"/>
  <c r="I4078" i="3"/>
  <c r="I4079" i="3" s="1"/>
  <c r="I4080" i="3" s="1"/>
  <c r="I4081" i="3" s="1"/>
  <c r="I4082" i="3" s="1"/>
  <c r="I4083" i="3" s="1"/>
  <c r="I4084" i="3" s="1"/>
  <c r="I4085" i="3" s="1"/>
  <c r="I4086" i="3" s="1"/>
  <c r="I4087" i="3" s="1"/>
  <c r="I4088" i="3" s="1"/>
  <c r="I4089" i="3" s="1"/>
  <c r="I4090" i="3" s="1"/>
  <c r="I4091" i="3" s="1"/>
  <c r="H4075" i="3"/>
  <c r="G4075" i="3"/>
  <c r="I4064" i="3"/>
  <c r="I4065" i="3" s="1"/>
  <c r="I4066" i="3" s="1"/>
  <c r="I4067" i="3" s="1"/>
  <c r="I4068" i="3" s="1"/>
  <c r="I4069" i="3" s="1"/>
  <c r="I4070" i="3" s="1"/>
  <c r="I4071" i="3" s="1"/>
  <c r="I4072" i="3" s="1"/>
  <c r="I4073" i="3" s="1"/>
  <c r="I4074" i="3" s="1"/>
  <c r="H4061" i="3"/>
  <c r="G4061" i="3"/>
  <c r="I4059" i="3"/>
  <c r="I4060" i="3" s="1"/>
  <c r="H4056" i="3"/>
  <c r="G4056" i="3"/>
  <c r="I4042" i="3"/>
  <c r="I4043" i="3" s="1"/>
  <c r="I4044" i="3" s="1"/>
  <c r="I4045" i="3" s="1"/>
  <c r="I4046" i="3" s="1"/>
  <c r="I4047" i="3" s="1"/>
  <c r="I4048" i="3" s="1"/>
  <c r="I4049" i="3" s="1"/>
  <c r="I4050" i="3" s="1"/>
  <c r="I4051" i="3" s="1"/>
  <c r="I4052" i="3" s="1"/>
  <c r="I4053" i="3" s="1"/>
  <c r="I4054" i="3" s="1"/>
  <c r="I4055" i="3" s="1"/>
  <c r="H4039" i="3"/>
  <c r="G4039" i="3"/>
  <c r="I4031" i="3"/>
  <c r="I4032" i="3" s="1"/>
  <c r="I4033" i="3" s="1"/>
  <c r="I4034" i="3" s="1"/>
  <c r="I4035" i="3" s="1"/>
  <c r="I4036" i="3" s="1"/>
  <c r="I4037" i="3" s="1"/>
  <c r="I4038" i="3" s="1"/>
  <c r="H4028" i="3"/>
  <c r="G4028" i="3"/>
  <c r="I4022" i="3"/>
  <c r="I4023" i="3" s="1"/>
  <c r="I4024" i="3" s="1"/>
  <c r="I4025" i="3" s="1"/>
  <c r="I4026" i="3" s="1"/>
  <c r="I4027" i="3" s="1"/>
  <c r="H4019" i="3"/>
  <c r="G4019" i="3"/>
  <c r="I4019" i="3" s="1"/>
  <c r="I4010" i="3"/>
  <c r="I4011" i="3" s="1"/>
  <c r="I4012" i="3" s="1"/>
  <c r="I4013" i="3" s="1"/>
  <c r="I4014" i="3" s="1"/>
  <c r="I4015" i="3" s="1"/>
  <c r="I4016" i="3" s="1"/>
  <c r="I4017" i="3" s="1"/>
  <c r="I4018" i="3" s="1"/>
  <c r="H4007" i="3"/>
  <c r="G4007" i="3"/>
  <c r="I4000" i="3"/>
  <c r="I4001" i="3" s="1"/>
  <c r="I4002" i="3" s="1"/>
  <c r="I4003" i="3" s="1"/>
  <c r="I4004" i="3" s="1"/>
  <c r="I4005" i="3" s="1"/>
  <c r="I4006" i="3" s="1"/>
  <c r="I3998" i="3"/>
  <c r="I3999" i="3" s="1"/>
  <c r="H3995" i="3"/>
  <c r="G3995" i="3"/>
  <c r="I3994" i="3"/>
  <c r="H3991" i="3"/>
  <c r="G3991" i="3"/>
  <c r="I3987" i="3"/>
  <c r="I3988" i="3" s="1"/>
  <c r="I3989" i="3" s="1"/>
  <c r="I3990" i="3" s="1"/>
  <c r="H3984" i="3"/>
  <c r="G3984" i="3"/>
  <c r="I3983" i="3"/>
  <c r="H3980" i="3"/>
  <c r="G3980" i="3"/>
  <c r="I3965" i="3"/>
  <c r="I3966" i="3" s="1"/>
  <c r="I3967" i="3" s="1"/>
  <c r="I3968" i="3" s="1"/>
  <c r="I3969" i="3" s="1"/>
  <c r="I3970" i="3" s="1"/>
  <c r="I3971" i="3" s="1"/>
  <c r="I3972" i="3" s="1"/>
  <c r="I3973" i="3" s="1"/>
  <c r="I3974" i="3" s="1"/>
  <c r="I3975" i="3" s="1"/>
  <c r="I3976" i="3" s="1"/>
  <c r="I3977" i="3" s="1"/>
  <c r="I3978" i="3" s="1"/>
  <c r="I3979" i="3" s="1"/>
  <c r="H3962" i="3"/>
  <c r="G3962" i="3"/>
  <c r="I3955" i="3"/>
  <c r="I3956" i="3" s="1"/>
  <c r="I3957" i="3" s="1"/>
  <c r="I3958" i="3" s="1"/>
  <c r="I3959" i="3" s="1"/>
  <c r="I3960" i="3" s="1"/>
  <c r="I3961" i="3" s="1"/>
  <c r="H3952" i="3"/>
  <c r="G3952" i="3"/>
  <c r="I3950" i="3"/>
  <c r="I3951" i="3" s="1"/>
  <c r="H3947" i="3"/>
  <c r="G3947" i="3"/>
  <c r="I3941" i="3"/>
  <c r="I3942" i="3" s="1"/>
  <c r="I3943" i="3" s="1"/>
  <c r="I3944" i="3" s="1"/>
  <c r="I3945" i="3" s="1"/>
  <c r="I3946" i="3" s="1"/>
  <c r="H3938" i="3"/>
  <c r="G3938" i="3"/>
  <c r="I3937" i="3"/>
  <c r="H3934" i="3"/>
  <c r="I3934" i="3" s="1"/>
  <c r="G3934" i="3"/>
  <c r="I3915" i="3"/>
  <c r="I3916" i="3" s="1"/>
  <c r="I3917" i="3" s="1"/>
  <c r="I3918" i="3" s="1"/>
  <c r="I3919" i="3" s="1"/>
  <c r="I3920" i="3" s="1"/>
  <c r="I3921" i="3" s="1"/>
  <c r="I3922" i="3" s="1"/>
  <c r="I3923" i="3" s="1"/>
  <c r="I3924" i="3" s="1"/>
  <c r="I3925" i="3" s="1"/>
  <c r="I3926" i="3" s="1"/>
  <c r="I3927" i="3" s="1"/>
  <c r="I3928" i="3" s="1"/>
  <c r="I3929" i="3" s="1"/>
  <c r="I3930" i="3" s="1"/>
  <c r="I3931" i="3" s="1"/>
  <c r="I3932" i="3" s="1"/>
  <c r="I3933" i="3" s="1"/>
  <c r="H3912" i="3"/>
  <c r="G3912" i="3"/>
  <c r="I3899" i="3"/>
  <c r="I3900" i="3" s="1"/>
  <c r="I3901" i="3" s="1"/>
  <c r="I3902" i="3" s="1"/>
  <c r="I3903" i="3" s="1"/>
  <c r="I3904" i="3" s="1"/>
  <c r="I3905" i="3" s="1"/>
  <c r="I3906" i="3" s="1"/>
  <c r="I3907" i="3" s="1"/>
  <c r="I3908" i="3" s="1"/>
  <c r="I3909" i="3" s="1"/>
  <c r="I3910" i="3" s="1"/>
  <c r="I3911" i="3" s="1"/>
  <c r="H3896" i="3"/>
  <c r="G3896" i="3"/>
  <c r="I3894" i="3"/>
  <c r="I3895" i="3" s="1"/>
  <c r="H3891" i="3"/>
  <c r="G3891" i="3"/>
  <c r="I3883" i="3"/>
  <c r="I3884" i="3" s="1"/>
  <c r="I3885" i="3" s="1"/>
  <c r="I3886" i="3" s="1"/>
  <c r="I3887" i="3" s="1"/>
  <c r="I3888" i="3" s="1"/>
  <c r="I3889" i="3" s="1"/>
  <c r="I3890" i="3" s="1"/>
  <c r="H3880" i="3"/>
  <c r="G3880" i="3"/>
  <c r="I3874" i="3"/>
  <c r="I3875" i="3" s="1"/>
  <c r="I3876" i="3" s="1"/>
  <c r="I3877" i="3" s="1"/>
  <c r="I3878" i="3" s="1"/>
  <c r="I3879" i="3" s="1"/>
  <c r="H3871" i="3"/>
  <c r="G3871" i="3"/>
  <c r="I3858" i="3"/>
  <c r="I3859" i="3" s="1"/>
  <c r="I3860" i="3" s="1"/>
  <c r="I3861" i="3" s="1"/>
  <c r="I3862" i="3" s="1"/>
  <c r="I3863" i="3" s="1"/>
  <c r="I3864" i="3" s="1"/>
  <c r="I3865" i="3" s="1"/>
  <c r="I3866" i="3" s="1"/>
  <c r="I3867" i="3" s="1"/>
  <c r="I3868" i="3" s="1"/>
  <c r="I3869" i="3" s="1"/>
  <c r="I3870" i="3" s="1"/>
  <c r="H3855" i="3"/>
  <c r="G3855" i="3"/>
  <c r="I3854" i="3"/>
  <c r="H3851" i="3"/>
  <c r="G3851" i="3"/>
  <c r="I3850" i="3"/>
  <c r="H3847" i="3"/>
  <c r="G3847" i="3"/>
  <c r="I3845" i="3"/>
  <c r="I3846" i="3" s="1"/>
  <c r="H3842" i="3"/>
  <c r="G3842" i="3"/>
  <c r="I3841" i="3"/>
  <c r="H3838" i="3"/>
  <c r="G3838" i="3"/>
  <c r="I3837" i="3"/>
  <c r="H3834" i="3"/>
  <c r="G3834" i="3"/>
  <c r="I3830" i="3"/>
  <c r="I3831" i="3" s="1"/>
  <c r="I3832" i="3" s="1"/>
  <c r="I3833" i="3" s="1"/>
  <c r="H3827" i="3"/>
  <c r="I3827" i="3" s="1"/>
  <c r="G3827" i="3"/>
  <c r="I3818" i="3"/>
  <c r="I3819" i="3" s="1"/>
  <c r="I3820" i="3" s="1"/>
  <c r="I3821" i="3" s="1"/>
  <c r="I3822" i="3" s="1"/>
  <c r="I3823" i="3" s="1"/>
  <c r="I3824" i="3" s="1"/>
  <c r="I3825" i="3" s="1"/>
  <c r="I3826" i="3" s="1"/>
  <c r="H3815" i="3"/>
  <c r="G3815" i="3"/>
  <c r="I3814" i="3"/>
  <c r="H3811" i="3"/>
  <c r="G3811" i="3"/>
  <c r="I3810" i="3"/>
  <c r="H3807" i="3"/>
  <c r="G3807" i="3"/>
  <c r="I3806" i="3"/>
  <c r="H3803" i="3"/>
  <c r="G3803" i="3"/>
  <c r="I3798" i="3"/>
  <c r="I3799" i="3" s="1"/>
  <c r="I3800" i="3" s="1"/>
  <c r="I3801" i="3" s="1"/>
  <c r="I3802" i="3" s="1"/>
  <c r="H3795" i="3"/>
  <c r="G3795" i="3"/>
  <c r="I3782" i="3"/>
  <c r="I3783" i="3" s="1"/>
  <c r="I3784" i="3" s="1"/>
  <c r="I3785" i="3" s="1"/>
  <c r="I3786" i="3" s="1"/>
  <c r="I3787" i="3" s="1"/>
  <c r="I3788" i="3" s="1"/>
  <c r="I3789" i="3" s="1"/>
  <c r="I3790" i="3" s="1"/>
  <c r="I3791" i="3" s="1"/>
  <c r="I3792" i="3" s="1"/>
  <c r="I3793" i="3" s="1"/>
  <c r="I3794" i="3" s="1"/>
  <c r="H3779" i="3"/>
  <c r="G3779" i="3"/>
  <c r="I3779" i="3" s="1"/>
  <c r="I3778" i="3"/>
  <c r="H3775" i="3"/>
  <c r="G3775" i="3"/>
  <c r="I3763" i="3"/>
  <c r="I3764" i="3" s="1"/>
  <c r="I3765" i="3" s="1"/>
  <c r="I3766" i="3" s="1"/>
  <c r="I3767" i="3" s="1"/>
  <c r="I3768" i="3" s="1"/>
  <c r="I3769" i="3" s="1"/>
  <c r="I3770" i="3" s="1"/>
  <c r="I3771" i="3" s="1"/>
  <c r="I3772" i="3" s="1"/>
  <c r="I3773" i="3" s="1"/>
  <c r="I3774" i="3" s="1"/>
  <c r="H3760" i="3"/>
  <c r="G3760" i="3"/>
  <c r="I3730" i="3"/>
  <c r="I3731" i="3" s="1"/>
  <c r="I3732" i="3" s="1"/>
  <c r="I3733" i="3" s="1"/>
  <c r="I3734" i="3" s="1"/>
  <c r="I3735" i="3" s="1"/>
  <c r="I3736" i="3" s="1"/>
  <c r="I3737" i="3" s="1"/>
  <c r="I3738" i="3" s="1"/>
  <c r="I3739" i="3" s="1"/>
  <c r="I3740" i="3" s="1"/>
  <c r="I3741" i="3" s="1"/>
  <c r="I3742" i="3" s="1"/>
  <c r="I3743" i="3" s="1"/>
  <c r="I3744" i="3" s="1"/>
  <c r="I3745" i="3" s="1"/>
  <c r="I3746" i="3" s="1"/>
  <c r="I3747" i="3" s="1"/>
  <c r="I3748" i="3" s="1"/>
  <c r="I3749" i="3" s="1"/>
  <c r="I3750" i="3" s="1"/>
  <c r="I3751" i="3" s="1"/>
  <c r="I3752" i="3" s="1"/>
  <c r="I3753" i="3" s="1"/>
  <c r="I3754" i="3" s="1"/>
  <c r="I3755" i="3" s="1"/>
  <c r="I3756" i="3" s="1"/>
  <c r="I3757" i="3" s="1"/>
  <c r="I3758" i="3" s="1"/>
  <c r="I3759" i="3" s="1"/>
  <c r="H3727" i="3"/>
  <c r="G3727" i="3"/>
  <c r="I3726" i="3"/>
  <c r="H3723" i="3"/>
  <c r="G3723" i="3"/>
  <c r="I3715" i="3"/>
  <c r="I3716" i="3" s="1"/>
  <c r="I3717" i="3" s="1"/>
  <c r="I3718" i="3" s="1"/>
  <c r="I3719" i="3" s="1"/>
  <c r="I3720" i="3" s="1"/>
  <c r="I3721" i="3" s="1"/>
  <c r="I3722" i="3" s="1"/>
  <c r="H3712" i="3"/>
  <c r="G3712" i="3"/>
  <c r="I3699" i="3"/>
  <c r="I3700" i="3" s="1"/>
  <c r="I3701" i="3" s="1"/>
  <c r="I3702" i="3" s="1"/>
  <c r="I3703" i="3" s="1"/>
  <c r="I3704" i="3" s="1"/>
  <c r="I3705" i="3" s="1"/>
  <c r="I3706" i="3" s="1"/>
  <c r="I3707" i="3" s="1"/>
  <c r="I3708" i="3" s="1"/>
  <c r="I3709" i="3" s="1"/>
  <c r="I3710" i="3" s="1"/>
  <c r="I3711" i="3" s="1"/>
  <c r="H3696" i="3"/>
  <c r="G3696" i="3"/>
  <c r="I3695" i="3"/>
  <c r="H3692" i="3"/>
  <c r="G3692" i="3"/>
  <c r="I3691" i="3"/>
  <c r="H3688" i="3"/>
  <c r="G3688" i="3"/>
  <c r="I3664" i="3"/>
  <c r="I3665" i="3" s="1"/>
  <c r="I3666" i="3" s="1"/>
  <c r="I3667" i="3" s="1"/>
  <c r="I3668" i="3" s="1"/>
  <c r="I3669" i="3" s="1"/>
  <c r="I3670" i="3" s="1"/>
  <c r="I3671" i="3" s="1"/>
  <c r="I3672" i="3" s="1"/>
  <c r="I3673" i="3" s="1"/>
  <c r="I3674" i="3" s="1"/>
  <c r="I3675" i="3" s="1"/>
  <c r="I3676" i="3" s="1"/>
  <c r="I3677" i="3" s="1"/>
  <c r="I3678" i="3" s="1"/>
  <c r="I3679" i="3" s="1"/>
  <c r="I3680" i="3" s="1"/>
  <c r="I3681" i="3" s="1"/>
  <c r="I3682" i="3" s="1"/>
  <c r="I3683" i="3" s="1"/>
  <c r="I3684" i="3" s="1"/>
  <c r="I3685" i="3" s="1"/>
  <c r="I3686" i="3" s="1"/>
  <c r="I3687" i="3" s="1"/>
  <c r="H3661" i="3"/>
  <c r="G3661" i="3"/>
  <c r="I3660" i="3"/>
  <c r="H3657" i="3"/>
  <c r="G3657" i="3"/>
  <c r="I3656" i="3"/>
  <c r="H3653" i="3"/>
  <c r="G3653" i="3"/>
  <c r="I3644" i="3"/>
  <c r="I3645" i="3" s="1"/>
  <c r="I3646" i="3" s="1"/>
  <c r="I3647" i="3" s="1"/>
  <c r="I3648" i="3" s="1"/>
  <c r="I3649" i="3" s="1"/>
  <c r="I3650" i="3" s="1"/>
  <c r="I3651" i="3" s="1"/>
  <c r="I3652" i="3" s="1"/>
  <c r="H3641" i="3"/>
  <c r="G3641" i="3"/>
  <c r="I3641" i="3" s="1"/>
  <c r="I3640" i="3"/>
  <c r="H3637" i="3"/>
  <c r="G3637" i="3"/>
  <c r="I3636" i="3"/>
  <c r="H3633" i="3"/>
  <c r="G3633" i="3"/>
  <c r="I3620" i="3"/>
  <c r="I3621" i="3" s="1"/>
  <c r="I3622" i="3" s="1"/>
  <c r="I3623" i="3" s="1"/>
  <c r="I3624" i="3" s="1"/>
  <c r="I3625" i="3" s="1"/>
  <c r="I3626" i="3" s="1"/>
  <c r="I3627" i="3" s="1"/>
  <c r="I3628" i="3" s="1"/>
  <c r="I3629" i="3" s="1"/>
  <c r="I3630" i="3" s="1"/>
  <c r="I3631" i="3" s="1"/>
  <c r="I3632" i="3" s="1"/>
  <c r="H3617" i="3"/>
  <c r="G3617" i="3"/>
  <c r="I3616" i="3"/>
  <c r="H3613" i="3"/>
  <c r="G3613" i="3"/>
  <c r="I3610" i="3"/>
  <c r="I3611" i="3" s="1"/>
  <c r="I3612" i="3" s="1"/>
  <c r="H3607" i="3"/>
  <c r="G3607" i="3"/>
  <c r="I3606" i="3"/>
  <c r="H3603" i="3"/>
  <c r="G3603" i="3"/>
  <c r="I3591" i="3"/>
  <c r="I3592" i="3" s="1"/>
  <c r="I3593" i="3" s="1"/>
  <c r="I3594" i="3" s="1"/>
  <c r="I3595" i="3" s="1"/>
  <c r="I3596" i="3" s="1"/>
  <c r="I3597" i="3" s="1"/>
  <c r="I3598" i="3" s="1"/>
  <c r="I3599" i="3" s="1"/>
  <c r="I3600" i="3" s="1"/>
  <c r="I3601" i="3" s="1"/>
  <c r="I3602" i="3" s="1"/>
  <c r="H3588" i="3"/>
  <c r="G3588" i="3"/>
  <c r="I3580" i="3"/>
  <c r="I3581" i="3" s="1"/>
  <c r="I3582" i="3" s="1"/>
  <c r="I3583" i="3" s="1"/>
  <c r="I3584" i="3" s="1"/>
  <c r="I3585" i="3" s="1"/>
  <c r="I3586" i="3" s="1"/>
  <c r="I3587" i="3" s="1"/>
  <c r="H3577" i="3"/>
  <c r="G3577" i="3"/>
  <c r="I3576" i="3"/>
  <c r="H3573" i="3"/>
  <c r="G3573" i="3"/>
  <c r="I3572" i="3"/>
  <c r="H3569" i="3"/>
  <c r="G3569" i="3"/>
  <c r="I3567" i="3"/>
  <c r="I3568" i="3" s="1"/>
  <c r="H3564" i="3"/>
  <c r="G3564" i="3"/>
  <c r="I3563" i="3"/>
  <c r="H3560" i="3"/>
  <c r="G3560" i="3"/>
  <c r="I3548" i="3"/>
  <c r="I3549" i="3" s="1"/>
  <c r="I3550" i="3" s="1"/>
  <c r="I3551" i="3" s="1"/>
  <c r="I3552" i="3" s="1"/>
  <c r="I3553" i="3" s="1"/>
  <c r="I3554" i="3" s="1"/>
  <c r="I3555" i="3" s="1"/>
  <c r="I3556" i="3" s="1"/>
  <c r="I3557" i="3" s="1"/>
  <c r="I3558" i="3" s="1"/>
  <c r="I3559" i="3" s="1"/>
  <c r="H3545" i="3"/>
  <c r="G3545" i="3"/>
  <c r="I3540" i="3"/>
  <c r="I3541" i="3" s="1"/>
  <c r="I3542" i="3" s="1"/>
  <c r="I3543" i="3" s="1"/>
  <c r="I3544" i="3" s="1"/>
  <c r="H3537" i="3"/>
  <c r="G3537" i="3"/>
  <c r="I3534" i="3"/>
  <c r="I3535" i="3" s="1"/>
  <c r="I3536" i="3" s="1"/>
  <c r="H3531" i="3"/>
  <c r="G3531" i="3"/>
  <c r="I3525" i="3"/>
  <c r="I3526" i="3" s="1"/>
  <c r="I3527" i="3" s="1"/>
  <c r="I3528" i="3" s="1"/>
  <c r="I3529" i="3" s="1"/>
  <c r="I3530" i="3" s="1"/>
  <c r="H3522" i="3"/>
  <c r="G3522" i="3"/>
  <c r="I3512" i="3"/>
  <c r="I3513" i="3" s="1"/>
  <c r="I3514" i="3" s="1"/>
  <c r="I3515" i="3" s="1"/>
  <c r="I3516" i="3" s="1"/>
  <c r="I3517" i="3" s="1"/>
  <c r="I3518" i="3" s="1"/>
  <c r="I3519" i="3" s="1"/>
  <c r="I3520" i="3" s="1"/>
  <c r="I3521" i="3" s="1"/>
  <c r="H3509" i="3"/>
  <c r="G3509" i="3"/>
  <c r="I3508" i="3"/>
  <c r="H3505" i="3"/>
  <c r="G3505" i="3"/>
  <c r="I3494" i="3"/>
  <c r="I3495" i="3" s="1"/>
  <c r="I3496" i="3" s="1"/>
  <c r="I3497" i="3" s="1"/>
  <c r="I3498" i="3" s="1"/>
  <c r="I3499" i="3" s="1"/>
  <c r="I3500" i="3" s="1"/>
  <c r="I3501" i="3" s="1"/>
  <c r="I3502" i="3" s="1"/>
  <c r="I3503" i="3" s="1"/>
  <c r="I3504" i="3" s="1"/>
  <c r="H3491" i="3"/>
  <c r="G3491" i="3"/>
  <c r="I3488" i="3"/>
  <c r="I3489" i="3" s="1"/>
  <c r="I3490" i="3" s="1"/>
  <c r="H3485" i="3"/>
  <c r="G3485" i="3"/>
  <c r="I3484" i="3"/>
  <c r="H3481" i="3"/>
  <c r="G3481" i="3"/>
  <c r="I3480" i="3"/>
  <c r="H3477" i="3"/>
  <c r="G3477" i="3"/>
  <c r="I3466" i="3"/>
  <c r="I3467" i="3" s="1"/>
  <c r="I3468" i="3" s="1"/>
  <c r="I3469" i="3" s="1"/>
  <c r="I3470" i="3" s="1"/>
  <c r="I3471" i="3" s="1"/>
  <c r="I3472" i="3" s="1"/>
  <c r="I3473" i="3" s="1"/>
  <c r="I3474" i="3" s="1"/>
  <c r="I3475" i="3" s="1"/>
  <c r="I3476" i="3" s="1"/>
  <c r="H3463" i="3"/>
  <c r="G3463" i="3"/>
  <c r="I3450" i="3"/>
  <c r="I3451" i="3" s="1"/>
  <c r="I3452" i="3" s="1"/>
  <c r="I3453" i="3" s="1"/>
  <c r="I3454" i="3" s="1"/>
  <c r="I3455" i="3" s="1"/>
  <c r="I3456" i="3" s="1"/>
  <c r="I3457" i="3" s="1"/>
  <c r="I3458" i="3" s="1"/>
  <c r="I3459" i="3" s="1"/>
  <c r="I3460" i="3" s="1"/>
  <c r="I3461" i="3" s="1"/>
  <c r="I3462" i="3" s="1"/>
  <c r="H3447" i="3"/>
  <c r="I3447" i="3" s="1"/>
  <c r="G3447" i="3"/>
  <c r="I3439" i="3"/>
  <c r="I3440" i="3" s="1"/>
  <c r="I3441" i="3" s="1"/>
  <c r="I3442" i="3" s="1"/>
  <c r="I3443" i="3" s="1"/>
  <c r="I3444" i="3" s="1"/>
  <c r="I3445" i="3" s="1"/>
  <c r="I3446" i="3" s="1"/>
  <c r="H3436" i="3"/>
  <c r="G3436" i="3"/>
  <c r="I3435" i="3"/>
  <c r="H3432" i="3"/>
  <c r="G3432" i="3"/>
  <c r="I3417" i="3"/>
  <c r="I3418" i="3" s="1"/>
  <c r="I3419" i="3" s="1"/>
  <c r="I3420" i="3" s="1"/>
  <c r="I3421" i="3" s="1"/>
  <c r="I3422" i="3" s="1"/>
  <c r="I3423" i="3" s="1"/>
  <c r="I3424" i="3" s="1"/>
  <c r="I3425" i="3" s="1"/>
  <c r="I3426" i="3" s="1"/>
  <c r="I3427" i="3" s="1"/>
  <c r="I3428" i="3" s="1"/>
  <c r="I3429" i="3" s="1"/>
  <c r="I3430" i="3" s="1"/>
  <c r="I3431" i="3" s="1"/>
  <c r="H3414" i="3"/>
  <c r="G3414" i="3"/>
  <c r="I3413" i="3"/>
  <c r="H3410" i="3"/>
  <c r="G3410" i="3"/>
  <c r="I3409" i="3"/>
  <c r="H3406" i="3"/>
  <c r="G3406" i="3"/>
  <c r="I3405" i="3"/>
  <c r="H3402" i="3"/>
  <c r="G3402" i="3"/>
  <c r="I3394" i="3"/>
  <c r="I3395" i="3" s="1"/>
  <c r="I3396" i="3" s="1"/>
  <c r="I3397" i="3" s="1"/>
  <c r="I3398" i="3" s="1"/>
  <c r="I3399" i="3" s="1"/>
  <c r="I3400" i="3" s="1"/>
  <c r="I3401" i="3" s="1"/>
  <c r="H3391" i="3"/>
  <c r="G3391" i="3"/>
  <c r="I3382" i="3"/>
  <c r="I3383" i="3" s="1"/>
  <c r="I3384" i="3" s="1"/>
  <c r="I3385" i="3" s="1"/>
  <c r="I3386" i="3" s="1"/>
  <c r="I3387" i="3" s="1"/>
  <c r="I3388" i="3" s="1"/>
  <c r="I3389" i="3" s="1"/>
  <c r="I3390" i="3" s="1"/>
  <c r="H3379" i="3"/>
  <c r="G3379" i="3"/>
  <c r="I3370" i="3"/>
  <c r="I3371" i="3" s="1"/>
  <c r="I3372" i="3" s="1"/>
  <c r="I3373" i="3" s="1"/>
  <c r="I3374" i="3" s="1"/>
  <c r="I3375" i="3" s="1"/>
  <c r="I3376" i="3" s="1"/>
  <c r="I3377" i="3" s="1"/>
  <c r="I3378" i="3" s="1"/>
  <c r="H3367" i="3"/>
  <c r="G3367" i="3"/>
  <c r="I3355" i="3"/>
  <c r="I3356" i="3" s="1"/>
  <c r="I3357" i="3" s="1"/>
  <c r="I3358" i="3" s="1"/>
  <c r="I3359" i="3" s="1"/>
  <c r="I3360" i="3" s="1"/>
  <c r="I3361" i="3" s="1"/>
  <c r="I3362" i="3" s="1"/>
  <c r="I3363" i="3" s="1"/>
  <c r="I3364" i="3" s="1"/>
  <c r="I3365" i="3" s="1"/>
  <c r="I3366" i="3" s="1"/>
  <c r="H3352" i="3"/>
  <c r="G3352" i="3"/>
  <c r="I3340" i="3"/>
  <c r="I3341" i="3" s="1"/>
  <c r="I3342" i="3" s="1"/>
  <c r="I3343" i="3" s="1"/>
  <c r="I3344" i="3" s="1"/>
  <c r="I3345" i="3" s="1"/>
  <c r="I3346" i="3" s="1"/>
  <c r="I3347" i="3" s="1"/>
  <c r="I3348" i="3" s="1"/>
  <c r="I3349" i="3" s="1"/>
  <c r="I3350" i="3" s="1"/>
  <c r="I3351" i="3" s="1"/>
  <c r="I3337" i="3"/>
  <c r="I3338" i="3" s="1"/>
  <c r="I3339" i="3" s="1"/>
  <c r="H3334" i="3"/>
  <c r="G3334" i="3"/>
  <c r="I3331" i="3"/>
  <c r="I3332" i="3" s="1"/>
  <c r="I3333" i="3" s="1"/>
  <c r="H3328" i="3"/>
  <c r="G3328" i="3"/>
  <c r="I3327" i="3"/>
  <c r="H3324" i="3"/>
  <c r="G3324" i="3"/>
  <c r="I3316" i="3"/>
  <c r="I3317" i="3" s="1"/>
  <c r="I3318" i="3" s="1"/>
  <c r="I3319" i="3" s="1"/>
  <c r="I3320" i="3" s="1"/>
  <c r="I3321" i="3" s="1"/>
  <c r="I3322" i="3" s="1"/>
  <c r="I3323" i="3" s="1"/>
  <c r="H3313" i="3"/>
  <c r="G3313" i="3"/>
  <c r="I3306" i="3"/>
  <c r="I3307" i="3" s="1"/>
  <c r="I3308" i="3" s="1"/>
  <c r="I3309" i="3" s="1"/>
  <c r="I3310" i="3" s="1"/>
  <c r="I3311" i="3" s="1"/>
  <c r="I3312" i="3" s="1"/>
  <c r="H3303" i="3"/>
  <c r="G3303" i="3"/>
  <c r="I3296" i="3"/>
  <c r="I3297" i="3" s="1"/>
  <c r="I3298" i="3" s="1"/>
  <c r="I3299" i="3" s="1"/>
  <c r="I3300" i="3" s="1"/>
  <c r="I3301" i="3" s="1"/>
  <c r="I3302" i="3" s="1"/>
  <c r="H3293" i="3"/>
  <c r="G3293" i="3"/>
  <c r="I3282" i="3"/>
  <c r="I3283" i="3" s="1"/>
  <c r="I3284" i="3" s="1"/>
  <c r="I3285" i="3" s="1"/>
  <c r="I3286" i="3" s="1"/>
  <c r="I3287" i="3" s="1"/>
  <c r="I3288" i="3" s="1"/>
  <c r="I3289" i="3" s="1"/>
  <c r="I3290" i="3" s="1"/>
  <c r="I3291" i="3" s="1"/>
  <c r="I3292" i="3" s="1"/>
  <c r="H3279" i="3"/>
  <c r="G3279" i="3"/>
  <c r="I3274" i="3"/>
  <c r="I3275" i="3" s="1"/>
  <c r="I3276" i="3" s="1"/>
  <c r="I3277" i="3" s="1"/>
  <c r="I3278" i="3" s="1"/>
  <c r="H3271" i="3"/>
  <c r="G3271" i="3"/>
  <c r="I3270" i="3"/>
  <c r="H3267" i="3"/>
  <c r="G3267" i="3"/>
  <c r="I3254" i="3"/>
  <c r="I3255" i="3" s="1"/>
  <c r="I3256" i="3" s="1"/>
  <c r="I3257" i="3" s="1"/>
  <c r="I3258" i="3" s="1"/>
  <c r="I3259" i="3" s="1"/>
  <c r="I3260" i="3" s="1"/>
  <c r="I3261" i="3" s="1"/>
  <c r="I3262" i="3" s="1"/>
  <c r="I3263" i="3" s="1"/>
  <c r="I3264" i="3" s="1"/>
  <c r="I3265" i="3" s="1"/>
  <c r="I3266" i="3" s="1"/>
  <c r="H3251" i="3"/>
  <c r="G3251" i="3"/>
  <c r="I3250" i="3"/>
  <c r="H3247" i="3"/>
  <c r="G3247" i="3"/>
  <c r="I3236" i="3"/>
  <c r="I3237" i="3" s="1"/>
  <c r="I3238" i="3" s="1"/>
  <c r="I3239" i="3" s="1"/>
  <c r="I3240" i="3" s="1"/>
  <c r="I3241" i="3" s="1"/>
  <c r="I3242" i="3" s="1"/>
  <c r="I3243" i="3" s="1"/>
  <c r="I3244" i="3" s="1"/>
  <c r="I3245" i="3" s="1"/>
  <c r="I3246" i="3" s="1"/>
  <c r="H3233" i="3"/>
  <c r="G3233" i="3"/>
  <c r="I3220" i="3"/>
  <c r="I3221" i="3" s="1"/>
  <c r="I3222" i="3" s="1"/>
  <c r="I3223" i="3" s="1"/>
  <c r="I3224" i="3" s="1"/>
  <c r="I3225" i="3" s="1"/>
  <c r="I3226" i="3" s="1"/>
  <c r="I3227" i="3" s="1"/>
  <c r="I3228" i="3" s="1"/>
  <c r="I3229" i="3" s="1"/>
  <c r="I3230" i="3" s="1"/>
  <c r="I3231" i="3" s="1"/>
  <c r="I3232" i="3" s="1"/>
  <c r="H3217" i="3"/>
  <c r="G3217" i="3"/>
  <c r="I3216" i="3"/>
  <c r="H3213" i="3"/>
  <c r="G3213" i="3"/>
  <c r="I3213" i="3" s="1"/>
  <c r="I3203" i="3"/>
  <c r="I3204" i="3" s="1"/>
  <c r="I3205" i="3" s="1"/>
  <c r="I3206" i="3" s="1"/>
  <c r="I3207" i="3" s="1"/>
  <c r="I3208" i="3" s="1"/>
  <c r="I3209" i="3" s="1"/>
  <c r="I3210" i="3" s="1"/>
  <c r="I3211" i="3" s="1"/>
  <c r="I3212" i="3" s="1"/>
  <c r="H3200" i="3"/>
  <c r="G3200" i="3"/>
  <c r="I3189" i="3"/>
  <c r="I3190" i="3" s="1"/>
  <c r="I3191" i="3" s="1"/>
  <c r="I3192" i="3" s="1"/>
  <c r="I3193" i="3" s="1"/>
  <c r="I3194" i="3" s="1"/>
  <c r="I3195" i="3" s="1"/>
  <c r="I3196" i="3" s="1"/>
  <c r="I3197" i="3" s="1"/>
  <c r="I3198" i="3" s="1"/>
  <c r="I3199" i="3" s="1"/>
  <c r="H3186" i="3"/>
  <c r="G3186" i="3"/>
  <c r="I3185" i="3"/>
  <c r="H3182" i="3"/>
  <c r="G3182" i="3"/>
  <c r="I3181" i="3"/>
  <c r="H3178" i="3"/>
  <c r="G3178" i="3"/>
  <c r="I3178" i="3" s="1"/>
  <c r="I3171" i="3"/>
  <c r="I3172" i="3" s="1"/>
  <c r="I3173" i="3" s="1"/>
  <c r="I3174" i="3" s="1"/>
  <c r="I3175" i="3" s="1"/>
  <c r="I3176" i="3" s="1"/>
  <c r="I3177" i="3" s="1"/>
  <c r="H3168" i="3"/>
  <c r="G3168" i="3"/>
  <c r="I3167" i="3"/>
  <c r="H3164" i="3"/>
  <c r="G3164" i="3"/>
  <c r="I3163" i="3"/>
  <c r="H3160" i="3"/>
  <c r="G3160" i="3"/>
  <c r="I3149" i="3"/>
  <c r="I3150" i="3" s="1"/>
  <c r="I3151" i="3" s="1"/>
  <c r="I3152" i="3" s="1"/>
  <c r="I3153" i="3" s="1"/>
  <c r="I3154" i="3" s="1"/>
  <c r="I3155" i="3" s="1"/>
  <c r="I3156" i="3" s="1"/>
  <c r="I3157" i="3" s="1"/>
  <c r="I3158" i="3" s="1"/>
  <c r="I3159" i="3" s="1"/>
  <c r="H3146" i="3"/>
  <c r="G3146" i="3"/>
  <c r="I3146" i="3" s="1"/>
  <c r="I3135" i="3"/>
  <c r="I3136" i="3" s="1"/>
  <c r="I3137" i="3" s="1"/>
  <c r="I3138" i="3" s="1"/>
  <c r="I3139" i="3" s="1"/>
  <c r="I3140" i="3" s="1"/>
  <c r="I3141" i="3" s="1"/>
  <c r="I3142" i="3" s="1"/>
  <c r="I3143" i="3" s="1"/>
  <c r="I3144" i="3" s="1"/>
  <c r="I3145" i="3" s="1"/>
  <c r="H3132" i="3"/>
  <c r="G3132" i="3"/>
  <c r="I3125" i="3"/>
  <c r="I3126" i="3" s="1"/>
  <c r="I3127" i="3" s="1"/>
  <c r="I3128" i="3" s="1"/>
  <c r="I3129" i="3" s="1"/>
  <c r="I3130" i="3" s="1"/>
  <c r="I3131" i="3" s="1"/>
  <c r="H3122" i="3"/>
  <c r="G3122" i="3"/>
  <c r="I3121" i="3"/>
  <c r="H3118" i="3"/>
  <c r="G3118" i="3"/>
  <c r="I3111" i="3"/>
  <c r="I3112" i="3" s="1"/>
  <c r="I3113" i="3" s="1"/>
  <c r="I3114" i="3" s="1"/>
  <c r="I3115" i="3" s="1"/>
  <c r="I3116" i="3" s="1"/>
  <c r="I3117" i="3" s="1"/>
  <c r="H3108" i="3"/>
  <c r="G3108" i="3"/>
  <c r="I3107" i="3"/>
  <c r="H3104" i="3"/>
  <c r="G3104" i="3"/>
  <c r="I3103" i="3"/>
  <c r="H3100" i="3"/>
  <c r="G3100" i="3"/>
  <c r="I3094" i="3"/>
  <c r="I3095" i="3" s="1"/>
  <c r="I3096" i="3" s="1"/>
  <c r="I3097" i="3" s="1"/>
  <c r="I3098" i="3" s="1"/>
  <c r="I3099" i="3" s="1"/>
  <c r="H3091" i="3"/>
  <c r="G3091" i="3"/>
  <c r="I3085" i="3"/>
  <c r="I3086" i="3" s="1"/>
  <c r="I3087" i="3" s="1"/>
  <c r="I3088" i="3" s="1"/>
  <c r="I3089" i="3" s="1"/>
  <c r="I3090" i="3" s="1"/>
  <c r="H3082" i="3"/>
  <c r="G3082" i="3"/>
  <c r="I3077" i="3"/>
  <c r="I3078" i="3" s="1"/>
  <c r="I3079" i="3" s="1"/>
  <c r="I3080" i="3" s="1"/>
  <c r="I3081" i="3" s="1"/>
  <c r="H3074" i="3"/>
  <c r="G3074" i="3"/>
  <c r="I3071" i="3"/>
  <c r="I3072" i="3" s="1"/>
  <c r="I3073" i="3" s="1"/>
  <c r="H3068" i="3"/>
  <c r="G3068" i="3"/>
  <c r="I3061" i="3"/>
  <c r="I3062" i="3" s="1"/>
  <c r="I3063" i="3" s="1"/>
  <c r="I3064" i="3" s="1"/>
  <c r="I3065" i="3" s="1"/>
  <c r="I3066" i="3" s="1"/>
  <c r="I3067" i="3" s="1"/>
  <c r="H3058" i="3"/>
  <c r="G3058" i="3"/>
  <c r="I3053" i="3"/>
  <c r="I3054" i="3" s="1"/>
  <c r="I3055" i="3" s="1"/>
  <c r="I3056" i="3" s="1"/>
  <c r="I3057" i="3" s="1"/>
  <c r="H3050" i="3"/>
  <c r="G3050" i="3"/>
  <c r="I3050" i="3" s="1"/>
  <c r="I3047" i="3"/>
  <c r="I3048" i="3" s="1"/>
  <c r="I3049" i="3" s="1"/>
  <c r="H3044" i="3"/>
  <c r="G3044" i="3"/>
  <c r="I3033" i="3"/>
  <c r="I3034" i="3" s="1"/>
  <c r="I3035" i="3" s="1"/>
  <c r="I3036" i="3" s="1"/>
  <c r="I3037" i="3" s="1"/>
  <c r="I3038" i="3" s="1"/>
  <c r="I3039" i="3" s="1"/>
  <c r="I3040" i="3" s="1"/>
  <c r="I3041" i="3" s="1"/>
  <c r="I3042" i="3" s="1"/>
  <c r="I3043" i="3" s="1"/>
  <c r="H3030" i="3"/>
  <c r="G3030" i="3"/>
  <c r="I3015" i="3"/>
  <c r="I3016" i="3" s="1"/>
  <c r="I3017" i="3" s="1"/>
  <c r="I3018" i="3" s="1"/>
  <c r="I3019" i="3" s="1"/>
  <c r="I3020" i="3" s="1"/>
  <c r="I3021" i="3" s="1"/>
  <c r="I3022" i="3" s="1"/>
  <c r="I3023" i="3" s="1"/>
  <c r="I3024" i="3" s="1"/>
  <c r="I3025" i="3" s="1"/>
  <c r="I3026" i="3" s="1"/>
  <c r="I3027" i="3" s="1"/>
  <c r="I3028" i="3" s="1"/>
  <c r="I3029" i="3" s="1"/>
  <c r="H3012" i="3"/>
  <c r="G3012" i="3"/>
  <c r="I3009" i="3"/>
  <c r="I3010" i="3" s="1"/>
  <c r="I3011" i="3" s="1"/>
  <c r="H3006" i="3"/>
  <c r="G3006" i="3"/>
  <c r="I3006" i="3" s="1"/>
  <c r="I3000" i="3"/>
  <c r="I3001" i="3" s="1"/>
  <c r="I3002" i="3" s="1"/>
  <c r="I3003" i="3" s="1"/>
  <c r="I3004" i="3" s="1"/>
  <c r="I3005" i="3" s="1"/>
  <c r="H2997" i="3"/>
  <c r="G2997" i="3"/>
  <c r="I2987" i="3"/>
  <c r="I2988" i="3" s="1"/>
  <c r="I2989" i="3" s="1"/>
  <c r="I2990" i="3" s="1"/>
  <c r="I2991" i="3" s="1"/>
  <c r="I2992" i="3" s="1"/>
  <c r="I2993" i="3" s="1"/>
  <c r="I2994" i="3" s="1"/>
  <c r="I2995" i="3" s="1"/>
  <c r="I2996" i="3" s="1"/>
  <c r="H2984" i="3"/>
  <c r="G2984" i="3"/>
  <c r="I2983" i="3"/>
  <c r="H2980" i="3"/>
  <c r="G2980" i="3"/>
  <c r="I2965" i="3"/>
  <c r="I2966" i="3" s="1"/>
  <c r="I2967" i="3" s="1"/>
  <c r="I2968" i="3" s="1"/>
  <c r="I2969" i="3" s="1"/>
  <c r="I2970" i="3" s="1"/>
  <c r="I2971" i="3" s="1"/>
  <c r="I2972" i="3" s="1"/>
  <c r="I2973" i="3" s="1"/>
  <c r="I2974" i="3" s="1"/>
  <c r="I2975" i="3" s="1"/>
  <c r="I2976" i="3" s="1"/>
  <c r="I2977" i="3" s="1"/>
  <c r="I2978" i="3" s="1"/>
  <c r="I2979" i="3" s="1"/>
  <c r="H2962" i="3"/>
  <c r="G2962" i="3"/>
  <c r="I2962" i="3" s="1"/>
  <c r="I2959" i="3"/>
  <c r="I2960" i="3" s="1"/>
  <c r="I2961" i="3" s="1"/>
  <c r="H2956" i="3"/>
  <c r="G2956" i="3"/>
  <c r="I2951" i="3"/>
  <c r="I2952" i="3" s="1"/>
  <c r="I2953" i="3" s="1"/>
  <c r="I2954" i="3" s="1"/>
  <c r="I2955" i="3" s="1"/>
  <c r="H2948" i="3"/>
  <c r="G2948" i="3"/>
  <c r="I2947" i="3"/>
  <c r="H2944" i="3"/>
  <c r="G2944" i="3"/>
  <c r="I2943" i="3"/>
  <c r="H2940" i="3"/>
  <c r="G2940" i="3"/>
  <c r="I2939" i="3"/>
  <c r="H2936" i="3"/>
  <c r="G2936" i="3"/>
  <c r="I2928" i="3"/>
  <c r="I2929" i="3" s="1"/>
  <c r="I2930" i="3" s="1"/>
  <c r="I2931" i="3" s="1"/>
  <c r="I2932" i="3" s="1"/>
  <c r="I2933" i="3" s="1"/>
  <c r="I2934" i="3" s="1"/>
  <c r="I2935" i="3" s="1"/>
  <c r="I2927" i="3"/>
  <c r="H2924" i="3"/>
  <c r="G2924" i="3"/>
  <c r="I2923" i="3"/>
  <c r="H2920" i="3"/>
  <c r="G2920" i="3"/>
  <c r="I2905" i="3"/>
  <c r="I2906" i="3" s="1"/>
  <c r="I2907" i="3" s="1"/>
  <c r="I2908" i="3" s="1"/>
  <c r="I2909" i="3" s="1"/>
  <c r="I2910" i="3" s="1"/>
  <c r="I2911" i="3" s="1"/>
  <c r="I2912" i="3" s="1"/>
  <c r="I2913" i="3" s="1"/>
  <c r="I2914" i="3" s="1"/>
  <c r="I2915" i="3" s="1"/>
  <c r="I2916" i="3" s="1"/>
  <c r="I2917" i="3" s="1"/>
  <c r="I2918" i="3" s="1"/>
  <c r="I2919" i="3" s="1"/>
  <c r="H2902" i="3"/>
  <c r="G2902" i="3"/>
  <c r="I2895" i="3"/>
  <c r="I2896" i="3" s="1"/>
  <c r="I2897" i="3" s="1"/>
  <c r="I2898" i="3" s="1"/>
  <c r="I2899" i="3" s="1"/>
  <c r="I2900" i="3" s="1"/>
  <c r="I2901" i="3" s="1"/>
  <c r="H2892" i="3"/>
  <c r="G2892" i="3"/>
  <c r="I2886" i="3"/>
  <c r="I2887" i="3" s="1"/>
  <c r="I2888" i="3" s="1"/>
  <c r="I2889" i="3" s="1"/>
  <c r="I2890" i="3" s="1"/>
  <c r="I2891" i="3" s="1"/>
  <c r="H2883" i="3"/>
  <c r="G2883" i="3"/>
  <c r="I2872" i="3"/>
  <c r="I2873" i="3" s="1"/>
  <c r="I2874" i="3" s="1"/>
  <c r="I2875" i="3" s="1"/>
  <c r="I2876" i="3" s="1"/>
  <c r="I2877" i="3" s="1"/>
  <c r="I2878" i="3" s="1"/>
  <c r="I2879" i="3" s="1"/>
  <c r="I2880" i="3" s="1"/>
  <c r="I2881" i="3" s="1"/>
  <c r="I2882" i="3" s="1"/>
  <c r="H2869" i="3"/>
  <c r="G2869" i="3"/>
  <c r="I2864" i="3"/>
  <c r="I2865" i="3" s="1"/>
  <c r="I2866" i="3" s="1"/>
  <c r="I2867" i="3" s="1"/>
  <c r="I2868" i="3" s="1"/>
  <c r="H2861" i="3"/>
  <c r="G2861" i="3"/>
  <c r="I2852" i="3"/>
  <c r="I2853" i="3" s="1"/>
  <c r="I2854" i="3" s="1"/>
  <c r="I2855" i="3" s="1"/>
  <c r="I2856" i="3" s="1"/>
  <c r="I2857" i="3" s="1"/>
  <c r="I2858" i="3" s="1"/>
  <c r="I2859" i="3" s="1"/>
  <c r="I2860" i="3" s="1"/>
  <c r="H2849" i="3"/>
  <c r="G2849" i="3"/>
  <c r="I2848" i="3"/>
  <c r="H2845" i="3"/>
  <c r="G2845" i="3"/>
  <c r="I2844" i="3"/>
  <c r="H2841" i="3"/>
  <c r="I2841" i="3" s="1"/>
  <c r="G2841" i="3"/>
  <c r="I2831" i="3"/>
  <c r="I2832" i="3" s="1"/>
  <c r="I2833" i="3" s="1"/>
  <c r="I2834" i="3" s="1"/>
  <c r="I2835" i="3" s="1"/>
  <c r="I2836" i="3" s="1"/>
  <c r="I2837" i="3" s="1"/>
  <c r="I2838" i="3" s="1"/>
  <c r="I2839" i="3" s="1"/>
  <c r="I2840" i="3" s="1"/>
  <c r="H2828" i="3"/>
  <c r="G2828" i="3"/>
  <c r="I2827" i="3"/>
  <c r="H2824" i="3"/>
  <c r="G2824" i="3"/>
  <c r="I2813" i="3"/>
  <c r="I2814" i="3" s="1"/>
  <c r="I2815" i="3" s="1"/>
  <c r="I2816" i="3" s="1"/>
  <c r="I2817" i="3" s="1"/>
  <c r="I2818" i="3" s="1"/>
  <c r="I2819" i="3" s="1"/>
  <c r="I2820" i="3" s="1"/>
  <c r="I2821" i="3" s="1"/>
  <c r="I2822" i="3" s="1"/>
  <c r="I2823" i="3" s="1"/>
  <c r="H2810" i="3"/>
  <c r="G2810" i="3"/>
  <c r="I2795" i="3"/>
  <c r="I2796" i="3" s="1"/>
  <c r="I2797" i="3" s="1"/>
  <c r="I2798" i="3" s="1"/>
  <c r="I2799" i="3" s="1"/>
  <c r="I2800" i="3" s="1"/>
  <c r="I2801" i="3" s="1"/>
  <c r="I2802" i="3" s="1"/>
  <c r="I2803" i="3" s="1"/>
  <c r="I2804" i="3" s="1"/>
  <c r="I2805" i="3" s="1"/>
  <c r="I2806" i="3" s="1"/>
  <c r="I2807" i="3" s="1"/>
  <c r="I2808" i="3" s="1"/>
  <c r="I2809" i="3" s="1"/>
  <c r="H2792" i="3"/>
  <c r="G2792" i="3"/>
  <c r="I2779" i="3"/>
  <c r="I2780" i="3" s="1"/>
  <c r="I2781" i="3" s="1"/>
  <c r="I2782" i="3" s="1"/>
  <c r="I2783" i="3" s="1"/>
  <c r="I2784" i="3" s="1"/>
  <c r="I2785" i="3" s="1"/>
  <c r="I2786" i="3" s="1"/>
  <c r="I2787" i="3" s="1"/>
  <c r="I2788" i="3" s="1"/>
  <c r="I2789" i="3" s="1"/>
  <c r="I2790" i="3" s="1"/>
  <c r="I2791" i="3" s="1"/>
  <c r="H2776" i="3"/>
  <c r="G2776" i="3"/>
  <c r="I2763" i="3"/>
  <c r="I2764" i="3" s="1"/>
  <c r="I2765" i="3" s="1"/>
  <c r="I2766" i="3" s="1"/>
  <c r="I2767" i="3" s="1"/>
  <c r="I2768" i="3" s="1"/>
  <c r="I2769" i="3" s="1"/>
  <c r="I2770" i="3" s="1"/>
  <c r="I2771" i="3" s="1"/>
  <c r="I2772" i="3" s="1"/>
  <c r="I2773" i="3" s="1"/>
  <c r="I2774" i="3" s="1"/>
  <c r="I2775" i="3" s="1"/>
  <c r="H2760" i="3"/>
  <c r="G2760" i="3"/>
  <c r="I2754" i="3"/>
  <c r="I2755" i="3" s="1"/>
  <c r="I2756" i="3" s="1"/>
  <c r="I2757" i="3" s="1"/>
  <c r="I2758" i="3" s="1"/>
  <c r="I2759" i="3" s="1"/>
  <c r="H2751" i="3"/>
  <c r="G2751" i="3"/>
  <c r="I2746" i="3"/>
  <c r="I2747" i="3" s="1"/>
  <c r="I2748" i="3" s="1"/>
  <c r="I2749" i="3" s="1"/>
  <c r="I2750" i="3" s="1"/>
  <c r="H2743" i="3"/>
  <c r="G2743" i="3"/>
  <c r="I2732" i="3"/>
  <c r="I2733" i="3" s="1"/>
  <c r="I2734" i="3" s="1"/>
  <c r="I2735" i="3" s="1"/>
  <c r="I2736" i="3" s="1"/>
  <c r="I2737" i="3" s="1"/>
  <c r="I2738" i="3" s="1"/>
  <c r="I2739" i="3" s="1"/>
  <c r="I2740" i="3" s="1"/>
  <c r="I2741" i="3" s="1"/>
  <c r="I2742" i="3" s="1"/>
  <c r="H2729" i="3"/>
  <c r="G2729" i="3"/>
  <c r="I2719" i="3"/>
  <c r="I2720" i="3" s="1"/>
  <c r="I2721" i="3" s="1"/>
  <c r="I2722" i="3" s="1"/>
  <c r="I2723" i="3" s="1"/>
  <c r="I2724" i="3" s="1"/>
  <c r="I2725" i="3" s="1"/>
  <c r="I2726" i="3" s="1"/>
  <c r="I2727" i="3" s="1"/>
  <c r="I2728" i="3" s="1"/>
  <c r="H2716" i="3"/>
  <c r="G2716" i="3"/>
  <c r="I2716" i="3" s="1"/>
  <c r="I2701" i="3"/>
  <c r="I2702" i="3" s="1"/>
  <c r="I2703" i="3" s="1"/>
  <c r="I2704" i="3" s="1"/>
  <c r="I2705" i="3" s="1"/>
  <c r="I2706" i="3" s="1"/>
  <c r="I2707" i="3" s="1"/>
  <c r="I2708" i="3" s="1"/>
  <c r="I2709" i="3" s="1"/>
  <c r="I2710" i="3" s="1"/>
  <c r="I2711" i="3" s="1"/>
  <c r="I2712" i="3" s="1"/>
  <c r="I2713" i="3" s="1"/>
  <c r="I2714" i="3" s="1"/>
  <c r="I2715" i="3" s="1"/>
  <c r="H2698" i="3"/>
  <c r="G2698" i="3"/>
  <c r="I2685" i="3"/>
  <c r="I2686" i="3" s="1"/>
  <c r="I2687" i="3" s="1"/>
  <c r="I2688" i="3" s="1"/>
  <c r="I2689" i="3" s="1"/>
  <c r="I2690" i="3" s="1"/>
  <c r="I2691" i="3" s="1"/>
  <c r="I2692" i="3" s="1"/>
  <c r="I2693" i="3" s="1"/>
  <c r="I2694" i="3" s="1"/>
  <c r="I2695" i="3" s="1"/>
  <c r="I2696" i="3" s="1"/>
  <c r="I2697" i="3" s="1"/>
  <c r="H2682" i="3"/>
  <c r="G2682" i="3"/>
  <c r="I2682" i="3" s="1"/>
  <c r="I2681" i="3"/>
  <c r="H2678" i="3"/>
  <c r="G2678" i="3"/>
  <c r="I2677" i="3"/>
  <c r="H2674" i="3"/>
  <c r="G2674" i="3"/>
  <c r="I2662" i="3"/>
  <c r="I2663" i="3" s="1"/>
  <c r="I2664" i="3" s="1"/>
  <c r="I2665" i="3" s="1"/>
  <c r="I2666" i="3" s="1"/>
  <c r="I2667" i="3" s="1"/>
  <c r="I2668" i="3" s="1"/>
  <c r="I2669" i="3" s="1"/>
  <c r="I2670" i="3" s="1"/>
  <c r="I2671" i="3" s="1"/>
  <c r="I2672" i="3" s="1"/>
  <c r="I2673" i="3" s="1"/>
  <c r="H2659" i="3"/>
  <c r="G2659" i="3"/>
  <c r="I2650" i="3"/>
  <c r="I2651" i="3" s="1"/>
  <c r="I2652" i="3" s="1"/>
  <c r="I2653" i="3" s="1"/>
  <c r="I2654" i="3" s="1"/>
  <c r="I2655" i="3" s="1"/>
  <c r="I2656" i="3" s="1"/>
  <c r="I2657" i="3" s="1"/>
  <c r="I2658" i="3" s="1"/>
  <c r="H2647" i="3"/>
  <c r="G2647" i="3"/>
  <c r="I2632" i="3"/>
  <c r="I2633" i="3" s="1"/>
  <c r="I2634" i="3" s="1"/>
  <c r="I2635" i="3" s="1"/>
  <c r="I2636" i="3" s="1"/>
  <c r="I2637" i="3" s="1"/>
  <c r="I2638" i="3" s="1"/>
  <c r="I2639" i="3" s="1"/>
  <c r="I2640" i="3" s="1"/>
  <c r="I2641" i="3" s="1"/>
  <c r="I2642" i="3" s="1"/>
  <c r="I2643" i="3" s="1"/>
  <c r="I2644" i="3" s="1"/>
  <c r="I2645" i="3" s="1"/>
  <c r="I2646" i="3" s="1"/>
  <c r="H2629" i="3"/>
  <c r="G2629" i="3"/>
  <c r="I2620" i="3"/>
  <c r="I2621" i="3" s="1"/>
  <c r="I2622" i="3" s="1"/>
  <c r="I2623" i="3" s="1"/>
  <c r="I2624" i="3" s="1"/>
  <c r="I2625" i="3" s="1"/>
  <c r="I2626" i="3" s="1"/>
  <c r="I2627" i="3" s="1"/>
  <c r="I2628" i="3" s="1"/>
  <c r="H2617" i="3"/>
  <c r="G2617" i="3"/>
  <c r="I2608" i="3"/>
  <c r="I2609" i="3" s="1"/>
  <c r="I2610" i="3" s="1"/>
  <c r="I2611" i="3" s="1"/>
  <c r="I2612" i="3" s="1"/>
  <c r="I2613" i="3" s="1"/>
  <c r="I2614" i="3" s="1"/>
  <c r="I2615" i="3" s="1"/>
  <c r="I2616" i="3" s="1"/>
  <c r="H2605" i="3"/>
  <c r="G2605" i="3"/>
  <c r="I2593" i="3"/>
  <c r="I2594" i="3" s="1"/>
  <c r="I2595" i="3" s="1"/>
  <c r="I2596" i="3" s="1"/>
  <c r="I2597" i="3" s="1"/>
  <c r="I2598" i="3" s="1"/>
  <c r="I2599" i="3" s="1"/>
  <c r="I2600" i="3" s="1"/>
  <c r="I2601" i="3" s="1"/>
  <c r="I2602" i="3" s="1"/>
  <c r="I2603" i="3" s="1"/>
  <c r="I2604" i="3" s="1"/>
  <c r="I2592" i="3"/>
  <c r="H2589" i="3"/>
  <c r="G2589" i="3"/>
  <c r="I2573" i="3"/>
  <c r="I2574" i="3" s="1"/>
  <c r="I2575" i="3" s="1"/>
  <c r="I2576" i="3" s="1"/>
  <c r="I2577" i="3" s="1"/>
  <c r="I2578" i="3" s="1"/>
  <c r="I2579" i="3" s="1"/>
  <c r="I2580" i="3" s="1"/>
  <c r="I2581" i="3" s="1"/>
  <c r="I2582" i="3" s="1"/>
  <c r="I2583" i="3" s="1"/>
  <c r="I2584" i="3" s="1"/>
  <c r="I2585" i="3" s="1"/>
  <c r="I2586" i="3" s="1"/>
  <c r="I2587" i="3" s="1"/>
  <c r="I2588" i="3" s="1"/>
  <c r="H2570" i="3"/>
  <c r="G2570" i="3"/>
  <c r="I2567" i="3"/>
  <c r="I2568" i="3" s="1"/>
  <c r="I2569" i="3" s="1"/>
  <c r="H2564" i="3"/>
  <c r="G2564" i="3"/>
  <c r="I2555" i="3"/>
  <c r="I2556" i="3" s="1"/>
  <c r="I2557" i="3" s="1"/>
  <c r="I2558" i="3" s="1"/>
  <c r="I2559" i="3" s="1"/>
  <c r="I2560" i="3" s="1"/>
  <c r="I2561" i="3" s="1"/>
  <c r="I2562" i="3" s="1"/>
  <c r="I2563" i="3" s="1"/>
  <c r="H2552" i="3"/>
  <c r="G2552" i="3"/>
  <c r="I2539" i="3"/>
  <c r="I2540" i="3" s="1"/>
  <c r="I2541" i="3" s="1"/>
  <c r="I2542" i="3" s="1"/>
  <c r="I2543" i="3" s="1"/>
  <c r="I2544" i="3" s="1"/>
  <c r="I2545" i="3" s="1"/>
  <c r="I2546" i="3" s="1"/>
  <c r="I2547" i="3" s="1"/>
  <c r="I2548" i="3" s="1"/>
  <c r="I2549" i="3" s="1"/>
  <c r="I2550" i="3" s="1"/>
  <c r="I2551" i="3" s="1"/>
  <c r="H2536" i="3"/>
  <c r="G2536" i="3"/>
  <c r="I2536" i="3" s="1"/>
  <c r="I2526" i="3"/>
  <c r="I2527" i="3" s="1"/>
  <c r="I2528" i="3" s="1"/>
  <c r="I2529" i="3" s="1"/>
  <c r="I2530" i="3" s="1"/>
  <c r="I2531" i="3" s="1"/>
  <c r="I2532" i="3" s="1"/>
  <c r="I2533" i="3" s="1"/>
  <c r="I2534" i="3" s="1"/>
  <c r="I2535" i="3" s="1"/>
  <c r="H2523" i="3"/>
  <c r="G2523" i="3"/>
  <c r="I2522" i="3"/>
  <c r="H2519" i="3"/>
  <c r="G2519" i="3"/>
  <c r="I2514" i="3"/>
  <c r="I2515" i="3" s="1"/>
  <c r="I2516" i="3" s="1"/>
  <c r="I2517" i="3" s="1"/>
  <c r="I2518" i="3" s="1"/>
  <c r="H2511" i="3"/>
  <c r="G2511" i="3"/>
  <c r="I2499" i="3"/>
  <c r="I2500" i="3" s="1"/>
  <c r="I2501" i="3" s="1"/>
  <c r="I2502" i="3" s="1"/>
  <c r="I2503" i="3" s="1"/>
  <c r="I2504" i="3" s="1"/>
  <c r="I2505" i="3" s="1"/>
  <c r="I2506" i="3" s="1"/>
  <c r="I2507" i="3" s="1"/>
  <c r="I2508" i="3" s="1"/>
  <c r="I2509" i="3" s="1"/>
  <c r="I2510" i="3" s="1"/>
  <c r="H2496" i="3"/>
  <c r="G2496" i="3"/>
  <c r="I2483" i="3"/>
  <c r="I2484" i="3" s="1"/>
  <c r="I2485" i="3" s="1"/>
  <c r="I2486" i="3" s="1"/>
  <c r="I2487" i="3" s="1"/>
  <c r="I2488" i="3" s="1"/>
  <c r="I2489" i="3" s="1"/>
  <c r="I2490" i="3" s="1"/>
  <c r="I2491" i="3" s="1"/>
  <c r="I2492" i="3" s="1"/>
  <c r="I2493" i="3" s="1"/>
  <c r="I2494" i="3" s="1"/>
  <c r="I2495" i="3" s="1"/>
  <c r="H2480" i="3"/>
  <c r="G2480" i="3"/>
  <c r="I2468" i="3"/>
  <c r="I2469" i="3" s="1"/>
  <c r="I2470" i="3" s="1"/>
  <c r="I2471" i="3" s="1"/>
  <c r="I2472" i="3" s="1"/>
  <c r="I2473" i="3" s="1"/>
  <c r="I2474" i="3" s="1"/>
  <c r="I2475" i="3" s="1"/>
  <c r="I2476" i="3" s="1"/>
  <c r="I2477" i="3" s="1"/>
  <c r="I2478" i="3" s="1"/>
  <c r="I2479" i="3" s="1"/>
  <c r="H2465" i="3"/>
  <c r="G2465" i="3"/>
  <c r="I2459" i="3"/>
  <c r="I2460" i="3" s="1"/>
  <c r="I2461" i="3" s="1"/>
  <c r="I2462" i="3" s="1"/>
  <c r="I2463" i="3" s="1"/>
  <c r="I2464" i="3" s="1"/>
  <c r="H2456" i="3"/>
  <c r="G2456" i="3"/>
  <c r="I2455" i="3"/>
  <c r="H2452" i="3"/>
  <c r="G2452" i="3"/>
  <c r="I2439" i="3"/>
  <c r="I2440" i="3" s="1"/>
  <c r="I2441" i="3" s="1"/>
  <c r="I2442" i="3" s="1"/>
  <c r="I2443" i="3" s="1"/>
  <c r="I2444" i="3" s="1"/>
  <c r="I2445" i="3" s="1"/>
  <c r="I2446" i="3" s="1"/>
  <c r="I2447" i="3" s="1"/>
  <c r="I2448" i="3" s="1"/>
  <c r="I2449" i="3" s="1"/>
  <c r="I2450" i="3" s="1"/>
  <c r="I2451" i="3" s="1"/>
  <c r="H2436" i="3"/>
  <c r="G2436" i="3"/>
  <c r="I2431" i="3"/>
  <c r="I2432" i="3" s="1"/>
  <c r="I2433" i="3" s="1"/>
  <c r="I2434" i="3" s="1"/>
  <c r="I2435" i="3" s="1"/>
  <c r="H2428" i="3"/>
  <c r="G2428" i="3"/>
  <c r="I2421" i="3"/>
  <c r="I2422" i="3" s="1"/>
  <c r="I2423" i="3" s="1"/>
  <c r="I2424" i="3" s="1"/>
  <c r="I2425" i="3" s="1"/>
  <c r="I2426" i="3" s="1"/>
  <c r="I2427" i="3" s="1"/>
  <c r="H2418" i="3"/>
  <c r="G2418" i="3"/>
  <c r="I2405" i="3"/>
  <c r="I2406" i="3" s="1"/>
  <c r="I2407" i="3" s="1"/>
  <c r="I2408" i="3" s="1"/>
  <c r="I2409" i="3" s="1"/>
  <c r="I2410" i="3" s="1"/>
  <c r="I2411" i="3" s="1"/>
  <c r="I2412" i="3" s="1"/>
  <c r="I2413" i="3" s="1"/>
  <c r="I2414" i="3" s="1"/>
  <c r="I2415" i="3" s="1"/>
  <c r="I2416" i="3" s="1"/>
  <c r="I2417" i="3" s="1"/>
  <c r="H2402" i="3"/>
  <c r="G2402" i="3"/>
  <c r="I2396" i="3"/>
  <c r="I2397" i="3" s="1"/>
  <c r="I2398" i="3" s="1"/>
  <c r="I2399" i="3" s="1"/>
  <c r="I2400" i="3" s="1"/>
  <c r="I2401" i="3" s="1"/>
  <c r="H2393" i="3"/>
  <c r="G2393" i="3"/>
  <c r="I2391" i="3"/>
  <c r="I2392" i="3" s="1"/>
  <c r="H2388" i="3"/>
  <c r="G2388" i="3"/>
  <c r="I2387" i="3"/>
  <c r="H2384" i="3"/>
  <c r="G2384" i="3"/>
  <c r="I2380" i="3"/>
  <c r="I2381" i="3" s="1"/>
  <c r="I2382" i="3" s="1"/>
  <c r="I2383" i="3" s="1"/>
  <c r="H2377" i="3"/>
  <c r="G2377" i="3"/>
  <c r="I2365" i="3"/>
  <c r="I2366" i="3" s="1"/>
  <c r="I2367" i="3" s="1"/>
  <c r="I2368" i="3" s="1"/>
  <c r="I2369" i="3" s="1"/>
  <c r="I2370" i="3" s="1"/>
  <c r="I2371" i="3" s="1"/>
  <c r="I2372" i="3" s="1"/>
  <c r="I2373" i="3" s="1"/>
  <c r="I2374" i="3" s="1"/>
  <c r="I2375" i="3" s="1"/>
  <c r="I2376" i="3" s="1"/>
  <c r="H2362" i="3"/>
  <c r="G2362" i="3"/>
  <c r="I2356" i="3"/>
  <c r="I2357" i="3" s="1"/>
  <c r="I2358" i="3" s="1"/>
  <c r="I2359" i="3" s="1"/>
  <c r="I2360" i="3" s="1"/>
  <c r="I2361" i="3" s="1"/>
  <c r="H2353" i="3"/>
  <c r="G2353" i="3"/>
  <c r="I2338" i="3"/>
  <c r="I2339" i="3" s="1"/>
  <c r="I2340" i="3" s="1"/>
  <c r="I2341" i="3" s="1"/>
  <c r="I2342" i="3" s="1"/>
  <c r="I2343" i="3" s="1"/>
  <c r="I2344" i="3" s="1"/>
  <c r="I2345" i="3" s="1"/>
  <c r="I2346" i="3" s="1"/>
  <c r="I2347" i="3" s="1"/>
  <c r="I2348" i="3" s="1"/>
  <c r="I2349" i="3" s="1"/>
  <c r="I2350" i="3" s="1"/>
  <c r="I2351" i="3" s="1"/>
  <c r="I2352" i="3" s="1"/>
  <c r="H2335" i="3"/>
  <c r="G2335" i="3"/>
  <c r="I2334" i="3"/>
  <c r="H2331" i="3"/>
  <c r="G2331" i="3"/>
  <c r="I2316" i="3"/>
  <c r="I2317" i="3" s="1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I2328" i="3" s="1"/>
  <c r="I2329" i="3" s="1"/>
  <c r="I2330" i="3" s="1"/>
  <c r="H2313" i="3"/>
  <c r="G2313" i="3"/>
  <c r="I2312" i="3"/>
  <c r="H2309" i="3"/>
  <c r="G2309" i="3"/>
  <c r="I2303" i="3"/>
  <c r="I2304" i="3" s="1"/>
  <c r="I2305" i="3" s="1"/>
  <c r="I2306" i="3" s="1"/>
  <c r="I2307" i="3" s="1"/>
  <c r="I2308" i="3" s="1"/>
  <c r="H2300" i="3"/>
  <c r="G2300" i="3"/>
  <c r="I2295" i="3"/>
  <c r="I2296" i="3" s="1"/>
  <c r="I2297" i="3" s="1"/>
  <c r="I2298" i="3" s="1"/>
  <c r="I2299" i="3" s="1"/>
  <c r="H2292" i="3"/>
  <c r="G2292" i="3"/>
  <c r="I2269" i="3"/>
  <c r="I2270" i="3" s="1"/>
  <c r="I2271" i="3" s="1"/>
  <c r="I2272" i="3" s="1"/>
  <c r="I2273" i="3" s="1"/>
  <c r="I2274" i="3" s="1"/>
  <c r="I2275" i="3" s="1"/>
  <c r="I2276" i="3" s="1"/>
  <c r="I2277" i="3" s="1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H2266" i="3"/>
  <c r="G2266" i="3"/>
  <c r="I2255" i="3"/>
  <c r="I2256" i="3" s="1"/>
  <c r="I2257" i="3" s="1"/>
  <c r="I2258" i="3" s="1"/>
  <c r="I2259" i="3" s="1"/>
  <c r="I2260" i="3" s="1"/>
  <c r="I2261" i="3" s="1"/>
  <c r="I2262" i="3" s="1"/>
  <c r="I2263" i="3" s="1"/>
  <c r="I2264" i="3" s="1"/>
  <c r="I2265" i="3" s="1"/>
  <c r="H2252" i="3"/>
  <c r="G2252" i="3"/>
  <c r="I2243" i="3"/>
  <c r="I2244" i="3" s="1"/>
  <c r="I2245" i="3" s="1"/>
  <c r="I2246" i="3" s="1"/>
  <c r="I2247" i="3" s="1"/>
  <c r="I2248" i="3" s="1"/>
  <c r="I2249" i="3" s="1"/>
  <c r="I2250" i="3" s="1"/>
  <c r="I2251" i="3" s="1"/>
  <c r="H2240" i="3"/>
  <c r="G2240" i="3"/>
  <c r="I2236" i="3"/>
  <c r="I2237" i="3" s="1"/>
  <c r="I2238" i="3" s="1"/>
  <c r="I2239" i="3" s="1"/>
  <c r="H2233" i="3"/>
  <c r="G2233" i="3"/>
  <c r="I2225" i="3"/>
  <c r="I2226" i="3" s="1"/>
  <c r="I2227" i="3" s="1"/>
  <c r="I2228" i="3" s="1"/>
  <c r="I2229" i="3" s="1"/>
  <c r="I2230" i="3" s="1"/>
  <c r="I2231" i="3" s="1"/>
  <c r="I2232" i="3" s="1"/>
  <c r="H2222" i="3"/>
  <c r="G2222" i="3"/>
  <c r="I2215" i="3"/>
  <c r="I2216" i="3" s="1"/>
  <c r="I2217" i="3" s="1"/>
  <c r="I2218" i="3" s="1"/>
  <c r="I2219" i="3" s="1"/>
  <c r="I2220" i="3" s="1"/>
  <c r="I2221" i="3" s="1"/>
  <c r="H2212" i="3"/>
  <c r="G2212" i="3"/>
  <c r="I2209" i="3"/>
  <c r="I2210" i="3" s="1"/>
  <c r="I2211" i="3" s="1"/>
  <c r="H2206" i="3"/>
  <c r="G2206" i="3"/>
  <c r="I2200" i="3"/>
  <c r="I2201" i="3" s="1"/>
  <c r="I2202" i="3" s="1"/>
  <c r="I2203" i="3" s="1"/>
  <c r="I2204" i="3" s="1"/>
  <c r="I2205" i="3" s="1"/>
  <c r="H2197" i="3"/>
  <c r="G2197" i="3"/>
  <c r="I2187" i="3"/>
  <c r="I2188" i="3" s="1"/>
  <c r="I2189" i="3" s="1"/>
  <c r="I2190" i="3" s="1"/>
  <c r="I2191" i="3" s="1"/>
  <c r="I2192" i="3" s="1"/>
  <c r="I2193" i="3" s="1"/>
  <c r="I2194" i="3" s="1"/>
  <c r="I2195" i="3" s="1"/>
  <c r="I2196" i="3" s="1"/>
  <c r="H2184" i="3"/>
  <c r="G2184" i="3"/>
  <c r="I2183" i="3"/>
  <c r="H2180" i="3"/>
  <c r="G2180" i="3"/>
  <c r="I2169" i="3"/>
  <c r="I2170" i="3" s="1"/>
  <c r="I2171" i="3" s="1"/>
  <c r="I2172" i="3" s="1"/>
  <c r="I2173" i="3" s="1"/>
  <c r="I2174" i="3" s="1"/>
  <c r="I2175" i="3" s="1"/>
  <c r="I2176" i="3" s="1"/>
  <c r="I2177" i="3" s="1"/>
  <c r="I2178" i="3" s="1"/>
  <c r="I2179" i="3" s="1"/>
  <c r="H2166" i="3"/>
  <c r="G2166" i="3"/>
  <c r="I2153" i="3"/>
  <c r="I2154" i="3" s="1"/>
  <c r="I2155" i="3" s="1"/>
  <c r="I2156" i="3" s="1"/>
  <c r="I2157" i="3" s="1"/>
  <c r="I2158" i="3" s="1"/>
  <c r="I2159" i="3" s="1"/>
  <c r="I2160" i="3" s="1"/>
  <c r="I2161" i="3" s="1"/>
  <c r="I2162" i="3" s="1"/>
  <c r="I2163" i="3" s="1"/>
  <c r="I2164" i="3" s="1"/>
  <c r="I2165" i="3" s="1"/>
  <c r="H2150" i="3"/>
  <c r="G2150" i="3"/>
  <c r="I2145" i="3"/>
  <c r="I2146" i="3" s="1"/>
  <c r="I2147" i="3" s="1"/>
  <c r="I2148" i="3" s="1"/>
  <c r="I2149" i="3" s="1"/>
  <c r="H2142" i="3"/>
  <c r="G2142" i="3"/>
  <c r="I2132" i="3"/>
  <c r="I2133" i="3" s="1"/>
  <c r="I2134" i="3" s="1"/>
  <c r="I2135" i="3" s="1"/>
  <c r="I2136" i="3" s="1"/>
  <c r="I2137" i="3" s="1"/>
  <c r="I2138" i="3" s="1"/>
  <c r="I2139" i="3" s="1"/>
  <c r="I2140" i="3" s="1"/>
  <c r="I2141" i="3" s="1"/>
  <c r="H2129" i="3"/>
  <c r="G2129" i="3"/>
  <c r="I2128" i="3"/>
  <c r="H2125" i="3"/>
  <c r="G2125" i="3"/>
  <c r="I2116" i="3"/>
  <c r="I2117" i="3" s="1"/>
  <c r="I2118" i="3" s="1"/>
  <c r="I2119" i="3" s="1"/>
  <c r="I2120" i="3" s="1"/>
  <c r="I2121" i="3" s="1"/>
  <c r="I2122" i="3" s="1"/>
  <c r="I2123" i="3" s="1"/>
  <c r="I2124" i="3" s="1"/>
  <c r="H2113" i="3"/>
  <c r="G2113" i="3"/>
  <c r="I2105" i="3"/>
  <c r="I2106" i="3" s="1"/>
  <c r="I2107" i="3" s="1"/>
  <c r="I2108" i="3" s="1"/>
  <c r="I2109" i="3" s="1"/>
  <c r="I2110" i="3" s="1"/>
  <c r="I2111" i="3" s="1"/>
  <c r="I2112" i="3" s="1"/>
  <c r="H2102" i="3"/>
  <c r="G2102" i="3"/>
  <c r="I2098" i="3"/>
  <c r="I2099" i="3" s="1"/>
  <c r="I2100" i="3" s="1"/>
  <c r="I2101" i="3" s="1"/>
  <c r="H2095" i="3"/>
  <c r="G2095" i="3"/>
  <c r="I2090" i="3"/>
  <c r="I2091" i="3" s="1"/>
  <c r="I2092" i="3" s="1"/>
  <c r="I2093" i="3" s="1"/>
  <c r="I2094" i="3" s="1"/>
  <c r="H2087" i="3"/>
  <c r="G2087" i="3"/>
  <c r="I2072" i="3"/>
  <c r="I2073" i="3" s="1"/>
  <c r="I2074" i="3" s="1"/>
  <c r="I2075" i="3" s="1"/>
  <c r="I2076" i="3" s="1"/>
  <c r="I2077" i="3" s="1"/>
  <c r="I2078" i="3" s="1"/>
  <c r="I2079" i="3" s="1"/>
  <c r="I2080" i="3" s="1"/>
  <c r="I2081" i="3" s="1"/>
  <c r="I2082" i="3" s="1"/>
  <c r="I2083" i="3" s="1"/>
  <c r="I2084" i="3" s="1"/>
  <c r="I2085" i="3" s="1"/>
  <c r="I2086" i="3" s="1"/>
  <c r="H2069" i="3"/>
  <c r="G2069" i="3"/>
  <c r="I2057" i="3"/>
  <c r="I2058" i="3" s="1"/>
  <c r="I2059" i="3" s="1"/>
  <c r="I2060" i="3" s="1"/>
  <c r="I2061" i="3" s="1"/>
  <c r="I2062" i="3" s="1"/>
  <c r="I2063" i="3" s="1"/>
  <c r="I2064" i="3" s="1"/>
  <c r="I2065" i="3" s="1"/>
  <c r="I2066" i="3" s="1"/>
  <c r="I2067" i="3" s="1"/>
  <c r="I2068" i="3" s="1"/>
  <c r="H2054" i="3"/>
  <c r="G2054" i="3"/>
  <c r="I2053" i="3"/>
  <c r="H2050" i="3"/>
  <c r="G2050" i="3"/>
  <c r="I2038" i="3"/>
  <c r="I2039" i="3" s="1"/>
  <c r="I2040" i="3" s="1"/>
  <c r="I2041" i="3" s="1"/>
  <c r="I2042" i="3" s="1"/>
  <c r="I2043" i="3" s="1"/>
  <c r="I2044" i="3" s="1"/>
  <c r="I2045" i="3" s="1"/>
  <c r="I2046" i="3" s="1"/>
  <c r="I2047" i="3" s="1"/>
  <c r="I2048" i="3" s="1"/>
  <c r="I2049" i="3" s="1"/>
  <c r="H2035" i="3"/>
  <c r="G2035" i="3"/>
  <c r="I2027" i="3"/>
  <c r="I2028" i="3" s="1"/>
  <c r="I2029" i="3" s="1"/>
  <c r="I2030" i="3" s="1"/>
  <c r="I2031" i="3" s="1"/>
  <c r="I2032" i="3" s="1"/>
  <c r="I2033" i="3" s="1"/>
  <c r="I2034" i="3" s="1"/>
  <c r="H2024" i="3"/>
  <c r="G2024" i="3"/>
  <c r="I2017" i="3"/>
  <c r="I2018" i="3" s="1"/>
  <c r="I2019" i="3" s="1"/>
  <c r="I2020" i="3" s="1"/>
  <c r="I2021" i="3" s="1"/>
  <c r="I2022" i="3" s="1"/>
  <c r="I2023" i="3" s="1"/>
  <c r="H2014" i="3"/>
  <c r="G2014" i="3"/>
  <c r="I2005" i="3"/>
  <c r="I2006" i="3" s="1"/>
  <c r="I2007" i="3" s="1"/>
  <c r="I2008" i="3" s="1"/>
  <c r="I2009" i="3" s="1"/>
  <c r="I2010" i="3" s="1"/>
  <c r="I2011" i="3" s="1"/>
  <c r="I2012" i="3" s="1"/>
  <c r="I2013" i="3" s="1"/>
  <c r="H2002" i="3"/>
  <c r="G2002" i="3"/>
  <c r="I1998" i="3"/>
  <c r="I1999" i="3" s="1"/>
  <c r="I2000" i="3" s="1"/>
  <c r="I2001" i="3" s="1"/>
  <c r="H1995" i="3"/>
  <c r="G1995" i="3"/>
  <c r="I1994" i="3"/>
  <c r="H1991" i="3"/>
  <c r="G1991" i="3"/>
  <c r="I1984" i="3"/>
  <c r="I1985" i="3" s="1"/>
  <c r="I1986" i="3" s="1"/>
  <c r="I1987" i="3" s="1"/>
  <c r="I1988" i="3" s="1"/>
  <c r="I1989" i="3" s="1"/>
  <c r="I1990" i="3" s="1"/>
  <c r="H1981" i="3"/>
  <c r="G1981" i="3"/>
  <c r="I1966" i="3"/>
  <c r="I1967" i="3" s="1"/>
  <c r="I1968" i="3" s="1"/>
  <c r="I1969" i="3" s="1"/>
  <c r="I1970" i="3" s="1"/>
  <c r="I1971" i="3" s="1"/>
  <c r="I1972" i="3" s="1"/>
  <c r="I1973" i="3" s="1"/>
  <c r="I1974" i="3" s="1"/>
  <c r="I1975" i="3" s="1"/>
  <c r="I1976" i="3" s="1"/>
  <c r="I1977" i="3" s="1"/>
  <c r="I1978" i="3" s="1"/>
  <c r="I1979" i="3" s="1"/>
  <c r="I1980" i="3" s="1"/>
  <c r="H1963" i="3"/>
  <c r="G1963" i="3"/>
  <c r="I1956" i="3"/>
  <c r="I1957" i="3" s="1"/>
  <c r="I1958" i="3" s="1"/>
  <c r="I1959" i="3" s="1"/>
  <c r="I1960" i="3" s="1"/>
  <c r="I1961" i="3" s="1"/>
  <c r="I1962" i="3" s="1"/>
  <c r="H1953" i="3"/>
  <c r="G1953" i="3"/>
  <c r="I1947" i="3"/>
  <c r="I1948" i="3" s="1"/>
  <c r="I1949" i="3" s="1"/>
  <c r="I1950" i="3" s="1"/>
  <c r="I1951" i="3" s="1"/>
  <c r="I1952" i="3" s="1"/>
  <c r="H1944" i="3"/>
  <c r="G1944" i="3"/>
  <c r="I1943" i="3"/>
  <c r="H1940" i="3"/>
  <c r="G1940" i="3"/>
  <c r="I1929" i="3"/>
  <c r="I1930" i="3" s="1"/>
  <c r="I1931" i="3" s="1"/>
  <c r="I1932" i="3" s="1"/>
  <c r="I1933" i="3" s="1"/>
  <c r="I1934" i="3" s="1"/>
  <c r="I1935" i="3" s="1"/>
  <c r="I1936" i="3" s="1"/>
  <c r="I1937" i="3" s="1"/>
  <c r="I1938" i="3" s="1"/>
  <c r="I1939" i="3" s="1"/>
  <c r="H1926" i="3"/>
  <c r="G1926" i="3"/>
  <c r="I1926" i="3" s="1"/>
  <c r="I1918" i="3"/>
  <c r="I1919" i="3" s="1"/>
  <c r="I1920" i="3" s="1"/>
  <c r="I1921" i="3" s="1"/>
  <c r="I1922" i="3" s="1"/>
  <c r="I1923" i="3" s="1"/>
  <c r="I1924" i="3" s="1"/>
  <c r="I1925" i="3" s="1"/>
  <c r="H1915" i="3"/>
  <c r="G1915" i="3"/>
  <c r="I1900" i="3"/>
  <c r="I1901" i="3" s="1"/>
  <c r="I1902" i="3" s="1"/>
  <c r="I1903" i="3" s="1"/>
  <c r="I1904" i="3" s="1"/>
  <c r="I1905" i="3" s="1"/>
  <c r="I1906" i="3" s="1"/>
  <c r="I1907" i="3" s="1"/>
  <c r="I1908" i="3" s="1"/>
  <c r="I1909" i="3" s="1"/>
  <c r="I1910" i="3" s="1"/>
  <c r="I1911" i="3" s="1"/>
  <c r="I1912" i="3" s="1"/>
  <c r="I1913" i="3" s="1"/>
  <c r="I1914" i="3" s="1"/>
  <c r="H1897" i="3"/>
  <c r="G1897" i="3"/>
  <c r="I1884" i="3"/>
  <c r="I1885" i="3" s="1"/>
  <c r="I1886" i="3" s="1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H1881" i="3"/>
  <c r="G1881" i="3"/>
  <c r="I1878" i="3"/>
  <c r="I1879" i="3" s="1"/>
  <c r="I1880" i="3" s="1"/>
  <c r="H1875" i="3"/>
  <c r="G1875" i="3"/>
  <c r="I1874" i="3"/>
  <c r="H1871" i="3"/>
  <c r="G1871" i="3"/>
  <c r="I1870" i="3"/>
  <c r="H1867" i="3"/>
  <c r="G1867" i="3"/>
  <c r="I1863" i="3"/>
  <c r="I1864" i="3" s="1"/>
  <c r="I1865" i="3" s="1"/>
  <c r="I1866" i="3" s="1"/>
  <c r="H1860" i="3"/>
  <c r="G1860" i="3"/>
  <c r="I1853" i="3"/>
  <c r="I1854" i="3" s="1"/>
  <c r="I1855" i="3" s="1"/>
  <c r="I1856" i="3" s="1"/>
  <c r="I1857" i="3" s="1"/>
  <c r="I1858" i="3" s="1"/>
  <c r="I1859" i="3" s="1"/>
  <c r="H1850" i="3"/>
  <c r="G1850" i="3"/>
  <c r="I1842" i="3"/>
  <c r="I1843" i="3" s="1"/>
  <c r="I1844" i="3" s="1"/>
  <c r="I1845" i="3" s="1"/>
  <c r="I1846" i="3" s="1"/>
  <c r="I1847" i="3" s="1"/>
  <c r="I1848" i="3" s="1"/>
  <c r="I1849" i="3" s="1"/>
  <c r="H1839" i="3"/>
  <c r="G1839" i="3"/>
  <c r="I1836" i="3"/>
  <c r="I1837" i="3" s="1"/>
  <c r="I1838" i="3" s="1"/>
  <c r="H1833" i="3"/>
  <c r="G1833" i="3"/>
  <c r="I1825" i="3"/>
  <c r="I1826" i="3" s="1"/>
  <c r="I1827" i="3" s="1"/>
  <c r="I1828" i="3" s="1"/>
  <c r="I1829" i="3" s="1"/>
  <c r="I1830" i="3" s="1"/>
  <c r="I1831" i="3" s="1"/>
  <c r="I1832" i="3" s="1"/>
  <c r="H1822" i="3"/>
  <c r="G1822" i="3"/>
  <c r="I1819" i="3"/>
  <c r="I1820" i="3" s="1"/>
  <c r="I1821" i="3" s="1"/>
  <c r="H1816" i="3"/>
  <c r="G1816" i="3"/>
  <c r="I1811" i="3"/>
  <c r="I1812" i="3" s="1"/>
  <c r="I1813" i="3" s="1"/>
  <c r="I1814" i="3" s="1"/>
  <c r="I1815" i="3" s="1"/>
  <c r="H1808" i="3"/>
  <c r="G1808" i="3"/>
  <c r="I1805" i="3"/>
  <c r="I1806" i="3" s="1"/>
  <c r="I1807" i="3" s="1"/>
  <c r="H1802" i="3"/>
  <c r="G1802" i="3"/>
  <c r="I1791" i="3"/>
  <c r="I1792" i="3" s="1"/>
  <c r="I1793" i="3" s="1"/>
  <c r="I1794" i="3" s="1"/>
  <c r="I1795" i="3" s="1"/>
  <c r="I1796" i="3" s="1"/>
  <c r="I1797" i="3" s="1"/>
  <c r="I1798" i="3" s="1"/>
  <c r="I1799" i="3" s="1"/>
  <c r="I1800" i="3" s="1"/>
  <c r="I1801" i="3" s="1"/>
  <c r="H1788" i="3"/>
  <c r="I1788" i="3" s="1"/>
  <c r="G1788" i="3"/>
  <c r="I1787" i="3"/>
  <c r="H1784" i="3"/>
  <c r="G1784" i="3"/>
  <c r="I1783" i="3"/>
  <c r="H1780" i="3"/>
  <c r="G1780" i="3"/>
  <c r="I1765" i="3"/>
  <c r="I1766" i="3" s="1"/>
  <c r="I1767" i="3" s="1"/>
  <c r="I1768" i="3" s="1"/>
  <c r="I1769" i="3" s="1"/>
  <c r="I1770" i="3" s="1"/>
  <c r="I1771" i="3" s="1"/>
  <c r="I1772" i="3" s="1"/>
  <c r="I1773" i="3" s="1"/>
  <c r="I1774" i="3" s="1"/>
  <c r="I1775" i="3" s="1"/>
  <c r="I1776" i="3" s="1"/>
  <c r="I1777" i="3" s="1"/>
  <c r="I1778" i="3" s="1"/>
  <c r="I1779" i="3" s="1"/>
  <c r="H1762" i="3"/>
  <c r="G1762" i="3"/>
  <c r="I1750" i="3"/>
  <c r="I1751" i="3" s="1"/>
  <c r="I1752" i="3" s="1"/>
  <c r="I1753" i="3" s="1"/>
  <c r="I1754" i="3" s="1"/>
  <c r="I1755" i="3" s="1"/>
  <c r="I1756" i="3" s="1"/>
  <c r="I1757" i="3" s="1"/>
  <c r="I1758" i="3" s="1"/>
  <c r="I1759" i="3" s="1"/>
  <c r="I1760" i="3" s="1"/>
  <c r="I1761" i="3" s="1"/>
  <c r="H1747" i="3"/>
  <c r="I1747" i="3" s="1"/>
  <c r="G1747" i="3"/>
  <c r="I1746" i="3"/>
  <c r="H1743" i="3"/>
  <c r="G1743" i="3"/>
  <c r="I1742" i="3"/>
  <c r="H1739" i="3"/>
  <c r="G1739" i="3"/>
  <c r="I1731" i="3"/>
  <c r="I1732" i="3" s="1"/>
  <c r="I1733" i="3" s="1"/>
  <c r="I1734" i="3" s="1"/>
  <c r="I1735" i="3" s="1"/>
  <c r="I1736" i="3" s="1"/>
  <c r="I1737" i="3" s="1"/>
  <c r="I1738" i="3" s="1"/>
  <c r="H1728" i="3"/>
  <c r="G1728" i="3"/>
  <c r="I1725" i="3"/>
  <c r="I1726" i="3" s="1"/>
  <c r="I1727" i="3" s="1"/>
  <c r="H1722" i="3"/>
  <c r="G1722" i="3"/>
  <c r="I1719" i="3"/>
  <c r="I1720" i="3" s="1"/>
  <c r="I1721" i="3" s="1"/>
  <c r="H1716" i="3"/>
  <c r="G1716" i="3"/>
  <c r="I1715" i="3"/>
  <c r="H1712" i="3"/>
  <c r="G1712" i="3"/>
  <c r="I1703" i="3"/>
  <c r="I1704" i="3" s="1"/>
  <c r="I1705" i="3" s="1"/>
  <c r="I1706" i="3" s="1"/>
  <c r="I1707" i="3" s="1"/>
  <c r="I1708" i="3" s="1"/>
  <c r="I1709" i="3" s="1"/>
  <c r="I1710" i="3" s="1"/>
  <c r="I1711" i="3" s="1"/>
  <c r="H1700" i="3"/>
  <c r="G1700" i="3"/>
  <c r="I1694" i="3"/>
  <c r="I1695" i="3" s="1"/>
  <c r="I1696" i="3" s="1"/>
  <c r="I1697" i="3" s="1"/>
  <c r="I1698" i="3" s="1"/>
  <c r="I1699" i="3" s="1"/>
  <c r="H1691" i="3"/>
  <c r="I1691" i="3" s="1"/>
  <c r="G1691" i="3"/>
  <c r="I1676" i="3"/>
  <c r="I1677" i="3" s="1"/>
  <c r="I1678" i="3" s="1"/>
  <c r="I1679" i="3" s="1"/>
  <c r="I1680" i="3" s="1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H1673" i="3"/>
  <c r="G1673" i="3"/>
  <c r="I1667" i="3"/>
  <c r="I1668" i="3" s="1"/>
  <c r="I1669" i="3" s="1"/>
  <c r="I1670" i="3" s="1"/>
  <c r="I1671" i="3" s="1"/>
  <c r="I1672" i="3" s="1"/>
  <c r="H1664" i="3"/>
  <c r="G1664" i="3"/>
  <c r="I1649" i="3"/>
  <c r="I1650" i="3" s="1"/>
  <c r="I1651" i="3" s="1"/>
  <c r="I1652" i="3" s="1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H1646" i="3"/>
  <c r="G1646" i="3"/>
  <c r="I1631" i="3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H1628" i="3"/>
  <c r="G1628" i="3"/>
  <c r="I1627" i="3"/>
  <c r="H1624" i="3"/>
  <c r="G1624" i="3"/>
  <c r="I1613" i="3"/>
  <c r="I1614" i="3" s="1"/>
  <c r="I1615" i="3" s="1"/>
  <c r="I1616" i="3" s="1"/>
  <c r="I1617" i="3" s="1"/>
  <c r="I1618" i="3" s="1"/>
  <c r="I1619" i="3" s="1"/>
  <c r="I1620" i="3" s="1"/>
  <c r="I1621" i="3" s="1"/>
  <c r="I1622" i="3" s="1"/>
  <c r="I1623" i="3" s="1"/>
  <c r="H1610" i="3"/>
  <c r="G1610" i="3"/>
  <c r="I1595" i="3"/>
  <c r="I1596" i="3" s="1"/>
  <c r="I1597" i="3" s="1"/>
  <c r="I1598" i="3" s="1"/>
  <c r="I1599" i="3" s="1"/>
  <c r="I1600" i="3" s="1"/>
  <c r="I1601" i="3" s="1"/>
  <c r="I1602" i="3" s="1"/>
  <c r="I1603" i="3" s="1"/>
  <c r="I1604" i="3" s="1"/>
  <c r="I1605" i="3" s="1"/>
  <c r="I1606" i="3" s="1"/>
  <c r="I1607" i="3" s="1"/>
  <c r="I1608" i="3" s="1"/>
  <c r="I1609" i="3" s="1"/>
  <c r="H1592" i="3"/>
  <c r="G1592" i="3"/>
  <c r="I1579" i="3"/>
  <c r="I1580" i="3" s="1"/>
  <c r="I1581" i="3" s="1"/>
  <c r="I1582" i="3" s="1"/>
  <c r="I1583" i="3" s="1"/>
  <c r="I1584" i="3" s="1"/>
  <c r="I1585" i="3" s="1"/>
  <c r="I1586" i="3" s="1"/>
  <c r="I1587" i="3" s="1"/>
  <c r="I1588" i="3" s="1"/>
  <c r="I1589" i="3" s="1"/>
  <c r="I1590" i="3" s="1"/>
  <c r="I1591" i="3" s="1"/>
  <c r="H1576" i="3"/>
  <c r="G1576" i="3"/>
  <c r="I1567" i="3"/>
  <c r="I1568" i="3" s="1"/>
  <c r="I1569" i="3" s="1"/>
  <c r="I1570" i="3" s="1"/>
  <c r="I1571" i="3" s="1"/>
  <c r="I1572" i="3" s="1"/>
  <c r="I1573" i="3" s="1"/>
  <c r="I1574" i="3" s="1"/>
  <c r="I1575" i="3" s="1"/>
  <c r="H1564" i="3"/>
  <c r="G1564" i="3"/>
  <c r="I1555" i="3"/>
  <c r="I1556" i="3" s="1"/>
  <c r="I1557" i="3" s="1"/>
  <c r="I1558" i="3" s="1"/>
  <c r="I1559" i="3" s="1"/>
  <c r="I1560" i="3" s="1"/>
  <c r="I1561" i="3" s="1"/>
  <c r="I1562" i="3" s="1"/>
  <c r="I1563" i="3" s="1"/>
  <c r="H1552" i="3"/>
  <c r="G1552" i="3"/>
  <c r="I1547" i="3"/>
  <c r="I1548" i="3" s="1"/>
  <c r="I1549" i="3" s="1"/>
  <c r="I1550" i="3" s="1"/>
  <c r="I1551" i="3" s="1"/>
  <c r="H1544" i="3"/>
  <c r="G1544" i="3"/>
  <c r="I1543" i="3"/>
  <c r="H1540" i="3"/>
  <c r="G1540" i="3"/>
  <c r="I1532" i="3"/>
  <c r="I1533" i="3" s="1"/>
  <c r="I1534" i="3" s="1"/>
  <c r="I1535" i="3" s="1"/>
  <c r="I1536" i="3" s="1"/>
  <c r="I1537" i="3" s="1"/>
  <c r="I1538" i="3" s="1"/>
  <c r="I1539" i="3" s="1"/>
  <c r="H1529" i="3"/>
  <c r="G1529" i="3"/>
  <c r="I1523" i="3"/>
  <c r="I1524" i="3" s="1"/>
  <c r="I1525" i="3" s="1"/>
  <c r="I1526" i="3" s="1"/>
  <c r="I1527" i="3" s="1"/>
  <c r="I1528" i="3" s="1"/>
  <c r="H1520" i="3"/>
  <c r="G1520" i="3"/>
  <c r="I1519" i="3"/>
  <c r="H1516" i="3"/>
  <c r="G1516" i="3"/>
  <c r="I1512" i="3"/>
  <c r="I1513" i="3" s="1"/>
  <c r="I1514" i="3" s="1"/>
  <c r="I1515" i="3" s="1"/>
  <c r="H1509" i="3"/>
  <c r="G1509" i="3"/>
  <c r="I1508" i="3"/>
  <c r="H1505" i="3"/>
  <c r="G1505" i="3"/>
  <c r="I1505" i="3" s="1"/>
  <c r="I1501" i="3"/>
  <c r="I1502" i="3" s="1"/>
  <c r="I1503" i="3" s="1"/>
  <c r="I1504" i="3" s="1"/>
  <c r="H1498" i="3"/>
  <c r="G1498" i="3"/>
  <c r="I1486" i="3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H1483" i="3"/>
  <c r="G1483" i="3"/>
  <c r="I1481" i="3"/>
  <c r="I1482" i="3" s="1"/>
  <c r="H1478" i="3"/>
  <c r="G1478" i="3"/>
  <c r="I1477" i="3"/>
  <c r="H1474" i="3"/>
  <c r="G1474" i="3"/>
  <c r="I1461" i="3"/>
  <c r="I1462" i="3" s="1"/>
  <c r="I1463" i="3" s="1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H1458" i="3"/>
  <c r="G1458" i="3"/>
  <c r="I1457" i="3"/>
  <c r="H1454" i="3"/>
  <c r="G1454" i="3"/>
  <c r="I1448" i="3"/>
  <c r="I1449" i="3" s="1"/>
  <c r="I1450" i="3" s="1"/>
  <c r="I1451" i="3" s="1"/>
  <c r="I1452" i="3" s="1"/>
  <c r="I1453" i="3" s="1"/>
  <c r="H1445" i="3"/>
  <c r="G1445" i="3"/>
  <c r="I1435" i="3"/>
  <c r="I1436" i="3" s="1"/>
  <c r="I1437" i="3" s="1"/>
  <c r="I1438" i="3" s="1"/>
  <c r="I1439" i="3" s="1"/>
  <c r="I1440" i="3" s="1"/>
  <c r="I1441" i="3" s="1"/>
  <c r="I1442" i="3" s="1"/>
  <c r="I1443" i="3" s="1"/>
  <c r="I1444" i="3" s="1"/>
  <c r="H1432" i="3"/>
  <c r="G1432" i="3"/>
  <c r="I1418" i="3"/>
  <c r="I1419" i="3" s="1"/>
  <c r="I1420" i="3" s="1"/>
  <c r="I1421" i="3" s="1"/>
  <c r="I1422" i="3" s="1"/>
  <c r="I1423" i="3" s="1"/>
  <c r="I1424" i="3" s="1"/>
  <c r="I1425" i="3" s="1"/>
  <c r="I1426" i="3" s="1"/>
  <c r="I1427" i="3" s="1"/>
  <c r="I1428" i="3" s="1"/>
  <c r="I1429" i="3" s="1"/>
  <c r="I1430" i="3" s="1"/>
  <c r="I1431" i="3" s="1"/>
  <c r="H1415" i="3"/>
  <c r="G1415" i="3"/>
  <c r="I1413" i="3"/>
  <c r="I1414" i="3" s="1"/>
  <c r="H1410" i="3"/>
  <c r="G1410" i="3"/>
  <c r="I1399" i="3"/>
  <c r="I1400" i="3" s="1"/>
  <c r="I1401" i="3" s="1"/>
  <c r="I1402" i="3" s="1"/>
  <c r="I1403" i="3" s="1"/>
  <c r="I1404" i="3" s="1"/>
  <c r="I1405" i="3" s="1"/>
  <c r="I1406" i="3" s="1"/>
  <c r="I1407" i="3" s="1"/>
  <c r="I1408" i="3" s="1"/>
  <c r="I1409" i="3" s="1"/>
  <c r="H1396" i="3"/>
  <c r="G1396" i="3"/>
  <c r="I1393" i="3"/>
  <c r="I1394" i="3" s="1"/>
  <c r="I1395" i="3" s="1"/>
  <c r="H1390" i="3"/>
  <c r="G1390" i="3"/>
  <c r="I1379" i="3"/>
  <c r="I1380" i="3" s="1"/>
  <c r="I1381" i="3" s="1"/>
  <c r="I1382" i="3" s="1"/>
  <c r="I1383" i="3" s="1"/>
  <c r="I1384" i="3" s="1"/>
  <c r="I1385" i="3" s="1"/>
  <c r="I1386" i="3" s="1"/>
  <c r="I1387" i="3" s="1"/>
  <c r="I1388" i="3" s="1"/>
  <c r="I1389" i="3" s="1"/>
  <c r="H1376" i="3"/>
  <c r="G1376" i="3"/>
  <c r="I1365" i="3"/>
  <c r="I1366" i="3" s="1"/>
  <c r="I1367" i="3" s="1"/>
  <c r="I1368" i="3" s="1"/>
  <c r="I1369" i="3" s="1"/>
  <c r="I1370" i="3" s="1"/>
  <c r="I1371" i="3" s="1"/>
  <c r="I1372" i="3" s="1"/>
  <c r="I1373" i="3" s="1"/>
  <c r="I1374" i="3" s="1"/>
  <c r="I1375" i="3" s="1"/>
  <c r="H1362" i="3"/>
  <c r="G1362" i="3"/>
  <c r="I1348" i="3"/>
  <c r="I1349" i="3" s="1"/>
  <c r="I1350" i="3" s="1"/>
  <c r="I1351" i="3" s="1"/>
  <c r="I1352" i="3" s="1"/>
  <c r="I1353" i="3" s="1"/>
  <c r="I1354" i="3" s="1"/>
  <c r="I1355" i="3" s="1"/>
  <c r="I1356" i="3" s="1"/>
  <c r="I1357" i="3" s="1"/>
  <c r="I1358" i="3" s="1"/>
  <c r="I1359" i="3" s="1"/>
  <c r="I1360" i="3" s="1"/>
  <c r="I1361" i="3" s="1"/>
  <c r="H1345" i="3"/>
  <c r="G1345" i="3"/>
  <c r="I1333" i="3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32" i="3"/>
  <c r="H1329" i="3"/>
  <c r="G1329" i="3"/>
  <c r="I1328" i="3"/>
  <c r="H1325" i="3"/>
  <c r="G1325" i="3"/>
  <c r="I1319" i="3"/>
  <c r="I1320" i="3" s="1"/>
  <c r="I1321" i="3" s="1"/>
  <c r="I1322" i="3" s="1"/>
  <c r="I1323" i="3" s="1"/>
  <c r="I1324" i="3" s="1"/>
  <c r="H1316" i="3"/>
  <c r="G1316" i="3"/>
  <c r="I1302" i="3"/>
  <c r="I1303" i="3" s="1"/>
  <c r="I1304" i="3" s="1"/>
  <c r="I1305" i="3" s="1"/>
  <c r="I1306" i="3" s="1"/>
  <c r="I1307" i="3" s="1"/>
  <c r="I1308" i="3" s="1"/>
  <c r="I1309" i="3" s="1"/>
  <c r="I1310" i="3" s="1"/>
  <c r="I1311" i="3" s="1"/>
  <c r="I1312" i="3" s="1"/>
  <c r="I1313" i="3" s="1"/>
  <c r="I1314" i="3" s="1"/>
  <c r="I1315" i="3" s="1"/>
  <c r="H1299" i="3"/>
  <c r="G1299" i="3"/>
  <c r="I1298" i="3"/>
  <c r="H1295" i="3"/>
  <c r="G1295" i="3"/>
  <c r="I1288" i="3"/>
  <c r="I1289" i="3" s="1"/>
  <c r="I1290" i="3" s="1"/>
  <c r="I1291" i="3" s="1"/>
  <c r="I1292" i="3" s="1"/>
  <c r="I1293" i="3" s="1"/>
  <c r="I1294" i="3" s="1"/>
  <c r="H1285" i="3"/>
  <c r="G1285" i="3"/>
  <c r="I1272" i="3"/>
  <c r="I1273" i="3" s="1"/>
  <c r="I1274" i="3" s="1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H1269" i="3"/>
  <c r="G1269" i="3"/>
  <c r="I1254" i="3"/>
  <c r="I1255" i="3" s="1"/>
  <c r="I1256" i="3" s="1"/>
  <c r="I1257" i="3" s="1"/>
  <c r="I1258" i="3" s="1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H1251" i="3"/>
  <c r="G1251" i="3"/>
  <c r="I1237" i="3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H1234" i="3"/>
  <c r="G1234" i="3"/>
  <c r="I1220" i="3"/>
  <c r="I1221" i="3" s="1"/>
  <c r="I1222" i="3" s="1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H1217" i="3"/>
  <c r="G1217" i="3"/>
  <c r="I1208" i="3"/>
  <c r="I1209" i="3" s="1"/>
  <c r="I1210" i="3" s="1"/>
  <c r="I1211" i="3" s="1"/>
  <c r="I1212" i="3" s="1"/>
  <c r="I1213" i="3" s="1"/>
  <c r="I1214" i="3" s="1"/>
  <c r="I1215" i="3" s="1"/>
  <c r="I1216" i="3" s="1"/>
  <c r="H1205" i="3"/>
  <c r="G1205" i="3"/>
  <c r="I1195" i="3"/>
  <c r="I1196" i="3" s="1"/>
  <c r="I1197" i="3" s="1"/>
  <c r="I1198" i="3" s="1"/>
  <c r="I1199" i="3" s="1"/>
  <c r="I1200" i="3" s="1"/>
  <c r="I1201" i="3" s="1"/>
  <c r="I1202" i="3" s="1"/>
  <c r="I1203" i="3" s="1"/>
  <c r="I1204" i="3" s="1"/>
  <c r="H1192" i="3"/>
  <c r="G1192" i="3"/>
  <c r="I1190" i="3"/>
  <c r="I1191" i="3" s="1"/>
  <c r="H1187" i="3"/>
  <c r="G1187" i="3"/>
  <c r="I1177" i="3"/>
  <c r="I1178" i="3" s="1"/>
  <c r="I1179" i="3" s="1"/>
  <c r="I1180" i="3" s="1"/>
  <c r="I1181" i="3" s="1"/>
  <c r="I1182" i="3" s="1"/>
  <c r="I1183" i="3" s="1"/>
  <c r="I1184" i="3" s="1"/>
  <c r="I1185" i="3" s="1"/>
  <c r="I1186" i="3" s="1"/>
  <c r="H1174" i="3"/>
  <c r="G1174" i="3"/>
  <c r="I1161" i="3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I1173" i="3" s="1"/>
  <c r="H1158" i="3"/>
  <c r="G1158" i="3"/>
  <c r="I1158" i="3" s="1"/>
  <c r="I1157" i="3"/>
  <c r="H1154" i="3"/>
  <c r="G1154" i="3"/>
  <c r="I1139" i="3"/>
  <c r="I1140" i="3" s="1"/>
  <c r="I1141" i="3" s="1"/>
  <c r="I1142" i="3" s="1"/>
  <c r="I1143" i="3" s="1"/>
  <c r="I1144" i="3" s="1"/>
  <c r="I1145" i="3" s="1"/>
  <c r="I1146" i="3" s="1"/>
  <c r="I1147" i="3" s="1"/>
  <c r="I1148" i="3" s="1"/>
  <c r="I1149" i="3" s="1"/>
  <c r="I1150" i="3" s="1"/>
  <c r="I1151" i="3" s="1"/>
  <c r="I1152" i="3" s="1"/>
  <c r="I1153" i="3" s="1"/>
  <c r="H1136" i="3"/>
  <c r="G1136" i="3"/>
  <c r="I1121" i="3"/>
  <c r="I1122" i="3" s="1"/>
  <c r="I1123" i="3" s="1"/>
  <c r="I1124" i="3" s="1"/>
  <c r="I1125" i="3" s="1"/>
  <c r="I1126" i="3" s="1"/>
  <c r="I1127" i="3" s="1"/>
  <c r="I1128" i="3" s="1"/>
  <c r="I1129" i="3" s="1"/>
  <c r="I1130" i="3" s="1"/>
  <c r="I1131" i="3" s="1"/>
  <c r="I1132" i="3" s="1"/>
  <c r="I1133" i="3" s="1"/>
  <c r="I1134" i="3" s="1"/>
  <c r="I1135" i="3" s="1"/>
  <c r="H1118" i="3"/>
  <c r="G1118" i="3"/>
  <c r="I1111" i="3"/>
  <c r="I1112" i="3" s="1"/>
  <c r="I1113" i="3" s="1"/>
  <c r="I1114" i="3" s="1"/>
  <c r="I1115" i="3" s="1"/>
  <c r="I1116" i="3" s="1"/>
  <c r="I1117" i="3" s="1"/>
  <c r="H1108" i="3"/>
  <c r="G1108" i="3"/>
  <c r="I1104" i="3"/>
  <c r="I1105" i="3" s="1"/>
  <c r="I1106" i="3" s="1"/>
  <c r="I1107" i="3" s="1"/>
  <c r="H1101" i="3"/>
  <c r="G1101" i="3"/>
  <c r="I1096" i="3"/>
  <c r="I1097" i="3" s="1"/>
  <c r="I1098" i="3" s="1"/>
  <c r="I1099" i="3" s="1"/>
  <c r="I1100" i="3" s="1"/>
  <c r="H1093" i="3"/>
  <c r="G1093" i="3"/>
  <c r="I1088" i="3"/>
  <c r="I1089" i="3" s="1"/>
  <c r="I1090" i="3" s="1"/>
  <c r="I1091" i="3" s="1"/>
  <c r="I1092" i="3" s="1"/>
  <c r="H1085" i="3"/>
  <c r="G1085" i="3"/>
  <c r="I1082" i="3"/>
  <c r="I1083" i="3" s="1"/>
  <c r="I1084" i="3" s="1"/>
  <c r="H1079" i="3"/>
  <c r="G1079" i="3"/>
  <c r="I1078" i="3"/>
  <c r="H1075" i="3"/>
  <c r="G1075" i="3"/>
  <c r="I1062" i="3"/>
  <c r="I1063" i="3" s="1"/>
  <c r="I1064" i="3" s="1"/>
  <c r="I1065" i="3" s="1"/>
  <c r="I1066" i="3" s="1"/>
  <c r="I1067" i="3" s="1"/>
  <c r="I1068" i="3" s="1"/>
  <c r="I1069" i="3" s="1"/>
  <c r="I1070" i="3" s="1"/>
  <c r="I1071" i="3" s="1"/>
  <c r="I1072" i="3" s="1"/>
  <c r="I1073" i="3" s="1"/>
  <c r="I1074" i="3" s="1"/>
  <c r="H1059" i="3"/>
  <c r="G1059" i="3"/>
  <c r="I1044" i="3"/>
  <c r="I1045" i="3" s="1"/>
  <c r="I1046" i="3" s="1"/>
  <c r="I1047" i="3" s="1"/>
  <c r="I1048" i="3" s="1"/>
  <c r="I1049" i="3" s="1"/>
  <c r="I1050" i="3" s="1"/>
  <c r="I1051" i="3" s="1"/>
  <c r="I1052" i="3" s="1"/>
  <c r="I1053" i="3" s="1"/>
  <c r="I1054" i="3" s="1"/>
  <c r="I1055" i="3" s="1"/>
  <c r="I1056" i="3" s="1"/>
  <c r="I1057" i="3" s="1"/>
  <c r="I1058" i="3" s="1"/>
  <c r="H1041" i="3"/>
  <c r="G1041" i="3"/>
  <c r="I1038" i="3"/>
  <c r="I1039" i="3" s="1"/>
  <c r="I1040" i="3" s="1"/>
  <c r="H1035" i="3"/>
  <c r="G1035" i="3"/>
  <c r="I1025" i="3"/>
  <c r="I1026" i="3" s="1"/>
  <c r="I1027" i="3" s="1"/>
  <c r="I1028" i="3" s="1"/>
  <c r="I1029" i="3" s="1"/>
  <c r="I1030" i="3" s="1"/>
  <c r="I1031" i="3" s="1"/>
  <c r="I1032" i="3" s="1"/>
  <c r="I1033" i="3" s="1"/>
  <c r="I1034" i="3" s="1"/>
  <c r="H1022" i="3"/>
  <c r="G1022" i="3"/>
  <c r="I1020" i="3"/>
  <c r="I1021" i="3" s="1"/>
  <c r="H1017" i="3"/>
  <c r="G1017" i="3"/>
  <c r="I1016" i="3"/>
  <c r="H1013" i="3"/>
  <c r="G1013" i="3"/>
  <c r="I1011" i="3"/>
  <c r="I1012" i="3" s="1"/>
  <c r="H1008" i="3"/>
  <c r="G1008" i="3"/>
  <c r="I1007" i="3"/>
  <c r="H1004" i="3"/>
  <c r="G1004" i="3"/>
  <c r="I1003" i="3"/>
  <c r="H1000" i="3"/>
  <c r="G1000" i="3"/>
  <c r="I999" i="3"/>
  <c r="H996" i="3"/>
  <c r="G996" i="3"/>
  <c r="I995" i="3"/>
  <c r="H992" i="3"/>
  <c r="G992" i="3"/>
  <c r="I992" i="3" s="1"/>
  <c r="I980" i="3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H977" i="3"/>
  <c r="G977" i="3"/>
  <c r="I967" i="3"/>
  <c r="I968" i="3" s="1"/>
  <c r="I969" i="3" s="1"/>
  <c r="I970" i="3" s="1"/>
  <c r="I971" i="3" s="1"/>
  <c r="I972" i="3" s="1"/>
  <c r="I973" i="3" s="1"/>
  <c r="I974" i="3" s="1"/>
  <c r="I975" i="3" s="1"/>
  <c r="I976" i="3" s="1"/>
  <c r="H964" i="3"/>
  <c r="G964" i="3"/>
  <c r="I953" i="3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H950" i="3"/>
  <c r="G950" i="3"/>
  <c r="I935" i="3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H932" i="3"/>
  <c r="G932" i="3"/>
  <c r="I932" i="3" s="1"/>
  <c r="I772" i="3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H769" i="3"/>
  <c r="G769" i="3"/>
  <c r="I768" i="3"/>
  <c r="H765" i="3"/>
  <c r="G765" i="3"/>
  <c r="I752" i="3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H749" i="3"/>
  <c r="G749" i="3"/>
  <c r="I739" i="3"/>
  <c r="I740" i="3" s="1"/>
  <c r="I741" i="3" s="1"/>
  <c r="I742" i="3" s="1"/>
  <c r="I743" i="3" s="1"/>
  <c r="I744" i="3" s="1"/>
  <c r="I745" i="3" s="1"/>
  <c r="I746" i="3" s="1"/>
  <c r="I747" i="3" s="1"/>
  <c r="I748" i="3" s="1"/>
  <c r="H736" i="3"/>
  <c r="G736" i="3"/>
  <c r="I725" i="3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H722" i="3"/>
  <c r="G722" i="3"/>
  <c r="I722" i="3" s="1"/>
  <c r="I711" i="3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H708" i="3"/>
  <c r="G708" i="3"/>
  <c r="I697" i="3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H694" i="3"/>
  <c r="G694" i="3"/>
  <c r="I680" i="3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H677" i="3"/>
  <c r="G677" i="3"/>
  <c r="I668" i="3"/>
  <c r="I669" i="3" s="1"/>
  <c r="I670" i="3" s="1"/>
  <c r="I671" i="3" s="1"/>
  <c r="I672" i="3" s="1"/>
  <c r="I673" i="3" s="1"/>
  <c r="I674" i="3" s="1"/>
  <c r="I675" i="3" s="1"/>
  <c r="I676" i="3" s="1"/>
  <c r="H665" i="3"/>
  <c r="G665" i="3"/>
  <c r="I664" i="3"/>
  <c r="H661" i="3"/>
  <c r="G661" i="3"/>
  <c r="I658" i="3"/>
  <c r="I659" i="3" s="1"/>
  <c r="I660" i="3" s="1"/>
  <c r="H655" i="3"/>
  <c r="G655" i="3"/>
  <c r="I650" i="3"/>
  <c r="I651" i="3" s="1"/>
  <c r="I652" i="3" s="1"/>
  <c r="I653" i="3" s="1"/>
  <c r="I654" i="3" s="1"/>
  <c r="H647" i="3"/>
  <c r="G647" i="3"/>
  <c r="I632" i="3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H629" i="3"/>
  <c r="G629" i="3"/>
  <c r="I620" i="3"/>
  <c r="I621" i="3" s="1"/>
  <c r="I622" i="3" s="1"/>
  <c r="I623" i="3" s="1"/>
  <c r="I624" i="3" s="1"/>
  <c r="I625" i="3" s="1"/>
  <c r="I626" i="3" s="1"/>
  <c r="I627" i="3" s="1"/>
  <c r="I628" i="3" s="1"/>
  <c r="H617" i="3"/>
  <c r="G617" i="3"/>
  <c r="I608" i="3"/>
  <c r="I609" i="3" s="1"/>
  <c r="I610" i="3" s="1"/>
  <c r="I611" i="3" s="1"/>
  <c r="I612" i="3" s="1"/>
  <c r="I613" i="3" s="1"/>
  <c r="I614" i="3" s="1"/>
  <c r="I615" i="3" s="1"/>
  <c r="I616" i="3" s="1"/>
  <c r="H605" i="3"/>
  <c r="G605" i="3"/>
  <c r="I598" i="3"/>
  <c r="I599" i="3" s="1"/>
  <c r="I600" i="3" s="1"/>
  <c r="I601" i="3" s="1"/>
  <c r="I602" i="3" s="1"/>
  <c r="I603" i="3" s="1"/>
  <c r="I604" i="3" s="1"/>
  <c r="H595" i="3"/>
  <c r="G595" i="3"/>
  <c r="I588" i="3"/>
  <c r="I589" i="3" s="1"/>
  <c r="I590" i="3" s="1"/>
  <c r="I591" i="3" s="1"/>
  <c r="I592" i="3" s="1"/>
  <c r="I593" i="3" s="1"/>
  <c r="I594" i="3" s="1"/>
  <c r="H585" i="3"/>
  <c r="G585" i="3"/>
  <c r="I574" i="3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H571" i="3"/>
  <c r="G571" i="3"/>
  <c r="I568" i="3"/>
  <c r="I569" i="3" s="1"/>
  <c r="I570" i="3" s="1"/>
  <c r="H565" i="3"/>
  <c r="G565" i="3"/>
  <c r="I552" i="3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H549" i="3"/>
  <c r="G549" i="3"/>
  <c r="I535" i="3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H532" i="3"/>
  <c r="G532" i="3"/>
  <c r="I524" i="3"/>
  <c r="I525" i="3" s="1"/>
  <c r="I526" i="3" s="1"/>
  <c r="I527" i="3" s="1"/>
  <c r="I528" i="3" s="1"/>
  <c r="I529" i="3" s="1"/>
  <c r="I530" i="3" s="1"/>
  <c r="I531" i="3" s="1"/>
  <c r="H521" i="3"/>
  <c r="G521" i="3"/>
  <c r="I508" i="3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H505" i="3"/>
  <c r="G505" i="3"/>
  <c r="I504" i="3"/>
  <c r="H501" i="3"/>
  <c r="G501" i="3"/>
  <c r="I500" i="3"/>
  <c r="H497" i="3"/>
  <c r="G497" i="3"/>
  <c r="I496" i="3"/>
  <c r="H493" i="3"/>
  <c r="G493" i="3"/>
  <c r="I492" i="3"/>
  <c r="H489" i="3"/>
  <c r="G489" i="3"/>
  <c r="I476" i="3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H473" i="3"/>
  <c r="G473" i="3"/>
  <c r="I466" i="3"/>
  <c r="I467" i="3" s="1"/>
  <c r="I468" i="3" s="1"/>
  <c r="I469" i="3" s="1"/>
  <c r="I470" i="3" s="1"/>
  <c r="I471" i="3" s="1"/>
  <c r="I472" i="3" s="1"/>
  <c r="H463" i="3"/>
  <c r="G463" i="3"/>
  <c r="I456" i="3"/>
  <c r="I457" i="3" s="1"/>
  <c r="I458" i="3" s="1"/>
  <c r="I459" i="3" s="1"/>
  <c r="I460" i="3" s="1"/>
  <c r="I461" i="3" s="1"/>
  <c r="I462" i="3" s="1"/>
  <c r="H453" i="3"/>
  <c r="G453" i="3"/>
  <c r="I440" i="3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H437" i="3"/>
  <c r="G437" i="3"/>
  <c r="I424" i="3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H421" i="3"/>
  <c r="G421" i="3"/>
  <c r="I420" i="3"/>
  <c r="H417" i="3"/>
  <c r="G417" i="3"/>
  <c r="I412" i="3"/>
  <c r="I413" i="3" s="1"/>
  <c r="I414" i="3" s="1"/>
  <c r="I415" i="3" s="1"/>
  <c r="I416" i="3" s="1"/>
  <c r="H409" i="3"/>
  <c r="G409" i="3"/>
  <c r="I368" i="3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H365" i="3"/>
  <c r="G365" i="3"/>
  <c r="I364" i="3"/>
  <c r="H361" i="3"/>
  <c r="G361" i="3"/>
  <c r="I358" i="3"/>
  <c r="I359" i="3" s="1"/>
  <c r="I360" i="3" s="1"/>
  <c r="H355" i="3"/>
  <c r="G355" i="3"/>
  <c r="I340" i="3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H337" i="3"/>
  <c r="G337" i="3"/>
  <c r="I323" i="3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H320" i="3"/>
  <c r="G320" i="3"/>
  <c r="I316" i="3"/>
  <c r="I317" i="3" s="1"/>
  <c r="I318" i="3" s="1"/>
  <c r="I319" i="3" s="1"/>
  <c r="H313" i="3"/>
  <c r="G313" i="3"/>
  <c r="I300" i="3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H297" i="3"/>
  <c r="G297" i="3"/>
  <c r="I284" i="3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H281" i="3"/>
  <c r="G281" i="3"/>
  <c r="I274" i="3"/>
  <c r="I275" i="3" s="1"/>
  <c r="I276" i="3" s="1"/>
  <c r="I277" i="3" s="1"/>
  <c r="I278" i="3" s="1"/>
  <c r="I279" i="3" s="1"/>
  <c r="I280" i="3" s="1"/>
  <c r="H271" i="3"/>
  <c r="G271" i="3"/>
  <c r="I258" i="3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H255" i="3"/>
  <c r="G255" i="3"/>
  <c r="I241" i="3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H238" i="3"/>
  <c r="G238" i="3"/>
  <c r="I225" i="3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H222" i="3"/>
  <c r="G222" i="3"/>
  <c r="I213" i="3"/>
  <c r="I214" i="3" s="1"/>
  <c r="I215" i="3" s="1"/>
  <c r="I216" i="3" s="1"/>
  <c r="I217" i="3" s="1"/>
  <c r="I218" i="3" s="1"/>
  <c r="I219" i="3" s="1"/>
  <c r="I220" i="3" s="1"/>
  <c r="I221" i="3" s="1"/>
  <c r="H210" i="3"/>
  <c r="G210" i="3"/>
  <c r="I203" i="3"/>
  <c r="I204" i="3" s="1"/>
  <c r="I205" i="3" s="1"/>
  <c r="I206" i="3" s="1"/>
  <c r="I207" i="3" s="1"/>
  <c r="I208" i="3" s="1"/>
  <c r="I209" i="3" s="1"/>
  <c r="H200" i="3"/>
  <c r="G200" i="3"/>
  <c r="I187" i="3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H184" i="3"/>
  <c r="G184" i="3"/>
  <c r="I184" i="3" s="1"/>
  <c r="I181" i="3"/>
  <c r="I182" i="3" s="1"/>
  <c r="I183" i="3" s="1"/>
  <c r="H178" i="3"/>
  <c r="G178" i="3"/>
  <c r="I176" i="3"/>
  <c r="I177" i="3" s="1"/>
  <c r="H173" i="3"/>
  <c r="G173" i="3"/>
  <c r="I168" i="3"/>
  <c r="I169" i="3" s="1"/>
  <c r="I170" i="3" s="1"/>
  <c r="I171" i="3" s="1"/>
  <c r="I172" i="3" s="1"/>
  <c r="H165" i="3"/>
  <c r="G165" i="3"/>
  <c r="I161" i="3"/>
  <c r="I162" i="3" s="1"/>
  <c r="I163" i="3" s="1"/>
  <c r="I164" i="3" s="1"/>
  <c r="H158" i="3"/>
  <c r="G158" i="3"/>
  <c r="I158" i="3" s="1"/>
  <c r="I137" i="3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H134" i="3"/>
  <c r="G134" i="3"/>
  <c r="I117" i="3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H89" i="3"/>
  <c r="G89" i="3"/>
  <c r="I82" i="3"/>
  <c r="I83" i="3" s="1"/>
  <c r="I84" i="3" s="1"/>
  <c r="I85" i="3" s="1"/>
  <c r="I86" i="3" s="1"/>
  <c r="I87" i="3" s="1"/>
  <c r="I88" i="3" s="1"/>
  <c r="H79" i="3"/>
  <c r="G79" i="3"/>
  <c r="I74" i="3"/>
  <c r="I75" i="3" s="1"/>
  <c r="I76" i="3" s="1"/>
  <c r="I77" i="3" s="1"/>
  <c r="I78" i="3" s="1"/>
  <c r="H71" i="3"/>
  <c r="G71" i="3"/>
  <c r="I58" i="3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H55" i="3"/>
  <c r="G55" i="3"/>
  <c r="H51" i="3"/>
  <c r="G51" i="3"/>
  <c r="I42" i="3"/>
  <c r="I43" i="3" s="1"/>
  <c r="I44" i="3" s="1"/>
  <c r="I45" i="3" s="1"/>
  <c r="I46" i="3" s="1"/>
  <c r="I47" i="3" s="1"/>
  <c r="I48" i="3" s="1"/>
  <c r="I49" i="3" s="1"/>
  <c r="I50" i="3" s="1"/>
  <c r="H39" i="3"/>
  <c r="G39" i="3"/>
  <c r="I34" i="3"/>
  <c r="I35" i="3" s="1"/>
  <c r="I36" i="3" s="1"/>
  <c r="I37" i="3" s="1"/>
  <c r="I38" i="3" s="1"/>
  <c r="H31" i="3"/>
  <c r="G31" i="3"/>
  <c r="I18" i="3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H14" i="3"/>
  <c r="G14" i="3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0" i="2"/>
  <c r="I11" i="2" s="1"/>
  <c r="I12" i="2" s="1"/>
  <c r="I13" i="2" s="1"/>
  <c r="I14" i="2" s="1"/>
  <c r="I15" i="2" s="1"/>
  <c r="I16" i="2" s="1"/>
  <c r="H1778" i="2"/>
  <c r="G1778" i="2"/>
  <c r="I1777" i="2"/>
  <c r="H1774" i="2"/>
  <c r="G1774" i="2"/>
  <c r="I1768" i="2"/>
  <c r="I1769" i="2" s="1"/>
  <c r="I1770" i="2" s="1"/>
  <c r="I1771" i="2" s="1"/>
  <c r="I1772" i="2" s="1"/>
  <c r="I1773" i="2" s="1"/>
  <c r="H1765" i="2"/>
  <c r="G1765" i="2"/>
  <c r="I1759" i="2"/>
  <c r="I1760" i="2" s="1"/>
  <c r="I1761" i="2" s="1"/>
  <c r="I1762" i="2" s="1"/>
  <c r="I1763" i="2" s="1"/>
  <c r="I1764" i="2" s="1"/>
  <c r="H1756" i="2"/>
  <c r="G1756" i="2"/>
  <c r="I1753" i="2"/>
  <c r="I1754" i="2" s="1"/>
  <c r="I1755" i="2" s="1"/>
  <c r="H1750" i="2"/>
  <c r="G1750" i="2"/>
  <c r="H1746" i="2"/>
  <c r="G1746" i="2"/>
  <c r="I1739" i="2"/>
  <c r="I1740" i="2" s="1"/>
  <c r="I1741" i="2" s="1"/>
  <c r="I1742" i="2" s="1"/>
  <c r="I1743" i="2" s="1"/>
  <c r="I1744" i="2" s="1"/>
  <c r="I1745" i="2" s="1"/>
  <c r="H1736" i="2"/>
  <c r="G1736" i="2"/>
  <c r="I1728" i="2"/>
  <c r="I1729" i="2" s="1"/>
  <c r="I1730" i="2" s="1"/>
  <c r="I1731" i="2" s="1"/>
  <c r="I1732" i="2" s="1"/>
  <c r="I1733" i="2" s="1"/>
  <c r="I1734" i="2" s="1"/>
  <c r="I1735" i="2" s="1"/>
  <c r="H1725" i="2"/>
  <c r="G1725" i="2"/>
  <c r="I1724" i="2"/>
  <c r="H1721" i="2"/>
  <c r="G1721" i="2"/>
  <c r="I1704" i="2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H1695" i="2"/>
  <c r="G1695" i="2"/>
  <c r="I1687" i="2"/>
  <c r="I1688" i="2" s="1"/>
  <c r="I1689" i="2" s="1"/>
  <c r="I1690" i="2" s="1"/>
  <c r="I1691" i="2" s="1"/>
  <c r="I1692" i="2" s="1"/>
  <c r="I1693" i="2" s="1"/>
  <c r="I1694" i="2" s="1"/>
  <c r="H1684" i="2"/>
  <c r="G1684" i="2"/>
  <c r="I1683" i="2"/>
  <c r="H1680" i="2"/>
  <c r="G1680" i="2"/>
  <c r="I1669" i="2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H1666" i="2"/>
  <c r="G1666" i="2"/>
  <c r="I1661" i="2"/>
  <c r="I1662" i="2" s="1"/>
  <c r="I1663" i="2" s="1"/>
  <c r="I1664" i="2" s="1"/>
  <c r="I1665" i="2" s="1"/>
  <c r="H1658" i="2"/>
  <c r="G1658" i="2"/>
  <c r="I1650" i="2"/>
  <c r="I1651" i="2" s="1"/>
  <c r="I1652" i="2" s="1"/>
  <c r="I1653" i="2" s="1"/>
  <c r="I1654" i="2" s="1"/>
  <c r="I1655" i="2" s="1"/>
  <c r="I1656" i="2" s="1"/>
  <c r="I1657" i="2" s="1"/>
  <c r="H1647" i="2"/>
  <c r="G1647" i="2"/>
  <c r="I1646" i="2"/>
  <c r="H1643" i="2"/>
  <c r="G1643" i="2"/>
  <c r="I1637" i="2"/>
  <c r="I1638" i="2" s="1"/>
  <c r="I1639" i="2" s="1"/>
  <c r="I1640" i="2" s="1"/>
  <c r="I1641" i="2" s="1"/>
  <c r="I1642" i="2" s="1"/>
  <c r="H1629" i="2"/>
  <c r="G1629" i="2"/>
  <c r="I1624" i="2"/>
  <c r="I1625" i="2" s="1"/>
  <c r="I1626" i="2" s="1"/>
  <c r="I1627" i="2" s="1"/>
  <c r="I1628" i="2" s="1"/>
  <c r="H1621" i="2"/>
  <c r="G1621" i="2"/>
  <c r="I1608" i="2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H1599" i="2"/>
  <c r="G1599" i="2"/>
  <c r="I1549" i="2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H1546" i="2"/>
  <c r="G1546" i="2"/>
  <c r="I1530" i="2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H1527" i="2"/>
  <c r="G1527" i="2"/>
  <c r="I1516" i="2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H1513" i="2"/>
  <c r="G1513" i="2"/>
  <c r="I1468" i="2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H1465" i="2"/>
  <c r="G1465" i="2"/>
  <c r="I1458" i="2"/>
  <c r="I1459" i="2" s="1"/>
  <c r="I1460" i="2" s="1"/>
  <c r="I1461" i="2" s="1"/>
  <c r="I1462" i="2" s="1"/>
  <c r="I1463" i="2" s="1"/>
  <c r="I1464" i="2" s="1"/>
  <c r="H1455" i="2"/>
  <c r="G1455" i="2"/>
  <c r="I1452" i="2"/>
  <c r="I1453" i="2" s="1"/>
  <c r="I1454" i="2" s="1"/>
  <c r="H1449" i="2"/>
  <c r="G1449" i="2"/>
  <c r="I1439" i="2"/>
  <c r="I1440" i="2" s="1"/>
  <c r="I1441" i="2" s="1"/>
  <c r="I1442" i="2" s="1"/>
  <c r="I1443" i="2" s="1"/>
  <c r="I1444" i="2" s="1"/>
  <c r="I1445" i="2" s="1"/>
  <c r="I1446" i="2" s="1"/>
  <c r="I1447" i="2" s="1"/>
  <c r="I1448" i="2" s="1"/>
  <c r="H1436" i="2"/>
  <c r="G1436" i="2"/>
  <c r="I1431" i="2"/>
  <c r="I1432" i="2" s="1"/>
  <c r="I1433" i="2" s="1"/>
  <c r="I1434" i="2" s="1"/>
  <c r="I1435" i="2" s="1"/>
  <c r="H1427" i="2"/>
  <c r="G1427" i="2"/>
  <c r="I1413" i="2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H1410" i="2"/>
  <c r="G1410" i="2"/>
  <c r="I1406" i="2"/>
  <c r="I1407" i="2" s="1"/>
  <c r="I1408" i="2" s="1"/>
  <c r="I1409" i="2" s="1"/>
  <c r="H1402" i="2"/>
  <c r="G1402" i="2"/>
  <c r="I1399" i="2"/>
  <c r="I1400" i="2" s="1"/>
  <c r="I1401" i="2" s="1"/>
  <c r="H1396" i="2"/>
  <c r="G1396" i="2"/>
  <c r="I1384" i="2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H1376" i="2"/>
  <c r="G1376" i="2"/>
  <c r="I1367" i="2"/>
  <c r="I1368" i="2" s="1"/>
  <c r="I1369" i="2" s="1"/>
  <c r="I1370" i="2" s="1"/>
  <c r="I1371" i="2" s="1"/>
  <c r="I1372" i="2" s="1"/>
  <c r="I1373" i="2" s="1"/>
  <c r="I1374" i="2" s="1"/>
  <c r="I1375" i="2" s="1"/>
  <c r="H1361" i="2"/>
  <c r="G1361" i="2"/>
  <c r="I1350" i="2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H1339" i="2"/>
  <c r="G1339" i="2"/>
  <c r="I1338" i="2"/>
  <c r="H1335" i="2"/>
  <c r="G1335" i="2"/>
  <c r="I1331" i="2"/>
  <c r="I1332" i="2" s="1"/>
  <c r="I1333" i="2" s="1"/>
  <c r="I1334" i="2" s="1"/>
  <c r="H1328" i="2"/>
  <c r="G1328" i="2"/>
  <c r="I1323" i="2"/>
  <c r="I1324" i="2" s="1"/>
  <c r="I1325" i="2" s="1"/>
  <c r="I1326" i="2" s="1"/>
  <c r="I1327" i="2" s="1"/>
  <c r="H1320" i="2"/>
  <c r="G1320" i="2"/>
  <c r="I1316" i="2"/>
  <c r="I1317" i="2" s="1"/>
  <c r="I1318" i="2" s="1"/>
  <c r="I1319" i="2" s="1"/>
  <c r="H1313" i="2"/>
  <c r="G1313" i="2"/>
  <c r="I1308" i="2"/>
  <c r="I1309" i="2" s="1"/>
  <c r="I1310" i="2" s="1"/>
  <c r="I1311" i="2" s="1"/>
  <c r="I1312" i="2" s="1"/>
  <c r="H1305" i="2"/>
  <c r="G1305" i="2"/>
  <c r="I1303" i="2"/>
  <c r="I1304" i="2" s="1"/>
  <c r="H1299" i="2"/>
  <c r="G1299" i="2"/>
  <c r="I1291" i="2"/>
  <c r="I1292" i="2" s="1"/>
  <c r="I1293" i="2" s="1"/>
  <c r="I1294" i="2" s="1"/>
  <c r="I1295" i="2" s="1"/>
  <c r="I1296" i="2" s="1"/>
  <c r="I1297" i="2" s="1"/>
  <c r="I1298" i="2" s="1"/>
  <c r="H1285" i="2"/>
  <c r="G1285" i="2"/>
  <c r="I1284" i="2"/>
  <c r="H1281" i="2"/>
  <c r="G1281" i="2"/>
  <c r="I1266" i="2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H1263" i="2"/>
  <c r="G1263" i="2"/>
  <c r="I1255" i="2"/>
  <c r="I1256" i="2" s="1"/>
  <c r="I1257" i="2" s="1"/>
  <c r="I1258" i="2" s="1"/>
  <c r="I1259" i="2" s="1"/>
  <c r="I1260" i="2" s="1"/>
  <c r="I1261" i="2" s="1"/>
  <c r="I1262" i="2" s="1"/>
  <c r="H1241" i="2"/>
  <c r="G1241" i="2"/>
  <c r="I1230" i="2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H1227" i="2"/>
  <c r="G1227" i="2"/>
  <c r="I1225" i="2"/>
  <c r="I1226" i="2" s="1"/>
  <c r="H1221" i="2"/>
  <c r="G1221" i="2"/>
  <c r="I1216" i="2"/>
  <c r="I1217" i="2" s="1"/>
  <c r="I1218" i="2" s="1"/>
  <c r="I1219" i="2" s="1"/>
  <c r="I1220" i="2" s="1"/>
  <c r="H1211" i="2"/>
  <c r="G1211" i="2"/>
  <c r="I1205" i="2"/>
  <c r="I1206" i="2" s="1"/>
  <c r="I1207" i="2" s="1"/>
  <c r="I1208" i="2" s="1"/>
  <c r="I1209" i="2" s="1"/>
  <c r="I1210" i="2" s="1"/>
  <c r="H1202" i="2"/>
  <c r="G1202" i="2"/>
  <c r="I1197" i="2"/>
  <c r="I1198" i="2" s="1"/>
  <c r="I1199" i="2" s="1"/>
  <c r="I1200" i="2" s="1"/>
  <c r="I1201" i="2" s="1"/>
  <c r="H1194" i="2"/>
  <c r="G1194" i="2"/>
  <c r="I1187" i="2"/>
  <c r="I1188" i="2" s="1"/>
  <c r="I1189" i="2" s="1"/>
  <c r="I1190" i="2" s="1"/>
  <c r="I1191" i="2" s="1"/>
  <c r="I1192" i="2" s="1"/>
  <c r="I1193" i="2" s="1"/>
  <c r="H1182" i="2"/>
  <c r="G1182" i="2"/>
  <c r="I1176" i="2"/>
  <c r="I1177" i="2" s="1"/>
  <c r="I1178" i="2" s="1"/>
  <c r="I1179" i="2" s="1"/>
  <c r="I1180" i="2" s="1"/>
  <c r="I1181" i="2" s="1"/>
  <c r="H1173" i="2"/>
  <c r="G1173" i="2"/>
  <c r="I1170" i="2"/>
  <c r="I1171" i="2" s="1"/>
  <c r="I1172" i="2" s="1"/>
  <c r="H1167" i="2"/>
  <c r="G1167" i="2"/>
  <c r="H1139" i="2"/>
  <c r="G1139" i="2"/>
  <c r="I1137" i="2"/>
  <c r="I1138" i="2" s="1"/>
  <c r="H1134" i="2"/>
  <c r="G1134" i="2"/>
  <c r="I1131" i="2"/>
  <c r="I1132" i="2" s="1"/>
  <c r="I1133" i="2" s="1"/>
  <c r="H1128" i="2"/>
  <c r="G1128" i="2"/>
  <c r="I1125" i="2"/>
  <c r="I1126" i="2" s="1"/>
  <c r="I1127" i="2" s="1"/>
  <c r="H1122" i="2"/>
  <c r="G1122" i="2"/>
  <c r="I1116" i="2"/>
  <c r="I1117" i="2" s="1"/>
  <c r="I1118" i="2" s="1"/>
  <c r="I1119" i="2" s="1"/>
  <c r="I1120" i="2" s="1"/>
  <c r="I1121" i="2" s="1"/>
  <c r="H1111" i="2"/>
  <c r="G1111" i="2"/>
  <c r="I1108" i="2"/>
  <c r="I1109" i="2" s="1"/>
  <c r="I1110" i="2" s="1"/>
  <c r="H1105" i="2"/>
  <c r="G1105" i="2"/>
  <c r="I1088" i="2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H1079" i="2"/>
  <c r="G1079" i="2"/>
  <c r="I1078" i="2"/>
  <c r="H1075" i="2"/>
  <c r="G1075" i="2"/>
  <c r="I1069" i="2"/>
  <c r="I1070" i="2" s="1"/>
  <c r="I1071" i="2" s="1"/>
  <c r="I1072" i="2" s="1"/>
  <c r="I1073" i="2" s="1"/>
  <c r="I1074" i="2" s="1"/>
  <c r="H1066" i="2"/>
  <c r="G1066" i="2"/>
  <c r="I1059" i="2"/>
  <c r="I1060" i="2" s="1"/>
  <c r="I1061" i="2" s="1"/>
  <c r="I1062" i="2" s="1"/>
  <c r="I1063" i="2" s="1"/>
  <c r="I1064" i="2" s="1"/>
  <c r="I1065" i="2" s="1"/>
  <c r="H1056" i="2"/>
  <c r="G1056" i="2"/>
  <c r="I1055" i="2"/>
  <c r="H1052" i="2"/>
  <c r="G1052" i="2"/>
  <c r="I1050" i="2"/>
  <c r="I1051" i="2" s="1"/>
  <c r="H1047" i="2"/>
  <c r="G1047" i="2"/>
  <c r="I1044" i="2"/>
  <c r="I1045" i="2" s="1"/>
  <c r="I1046" i="2" s="1"/>
  <c r="H1038" i="2"/>
  <c r="G1038" i="2"/>
  <c r="I1031" i="2"/>
  <c r="I1032" i="2" s="1"/>
  <c r="I1033" i="2" s="1"/>
  <c r="I1034" i="2" s="1"/>
  <c r="I1035" i="2" s="1"/>
  <c r="I1036" i="2" s="1"/>
  <c r="I1037" i="2" s="1"/>
  <c r="H1028" i="2"/>
  <c r="G1028" i="2"/>
  <c r="I1024" i="2"/>
  <c r="I1025" i="2" s="1"/>
  <c r="I1026" i="2" s="1"/>
  <c r="I1027" i="2" s="1"/>
  <c r="H1021" i="2"/>
  <c r="G1021" i="2"/>
  <c r="I1010" i="2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H1007" i="2"/>
  <c r="G1007" i="2"/>
  <c r="I1004" i="2"/>
  <c r="I1005" i="2" s="1"/>
  <c r="I1006" i="2" s="1"/>
  <c r="H1001" i="2"/>
  <c r="G1001" i="2"/>
  <c r="I993" i="2"/>
  <c r="I994" i="2" s="1"/>
  <c r="I995" i="2" s="1"/>
  <c r="I996" i="2" s="1"/>
  <c r="I997" i="2" s="1"/>
  <c r="I998" i="2" s="1"/>
  <c r="I999" i="2" s="1"/>
  <c r="I1000" i="2" s="1"/>
  <c r="H990" i="2"/>
  <c r="G990" i="2"/>
  <c r="I975" i="2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H972" i="2"/>
  <c r="G972" i="2"/>
  <c r="I971" i="2"/>
  <c r="H968" i="2"/>
  <c r="G968" i="2"/>
  <c r="I959" i="2"/>
  <c r="I960" i="2" s="1"/>
  <c r="I961" i="2" s="1"/>
  <c r="I962" i="2" s="1"/>
  <c r="I963" i="2" s="1"/>
  <c r="I964" i="2" s="1"/>
  <c r="I965" i="2" s="1"/>
  <c r="I966" i="2" s="1"/>
  <c r="I967" i="2" s="1"/>
  <c r="H953" i="2"/>
  <c r="G953" i="2"/>
  <c r="I945" i="2"/>
  <c r="I946" i="2" s="1"/>
  <c r="I947" i="2" s="1"/>
  <c r="I948" i="2" s="1"/>
  <c r="I949" i="2" s="1"/>
  <c r="I950" i="2" s="1"/>
  <c r="I951" i="2" s="1"/>
  <c r="I952" i="2" s="1"/>
  <c r="H942" i="2"/>
  <c r="G942" i="2"/>
  <c r="I935" i="2"/>
  <c r="I936" i="2" s="1"/>
  <c r="I937" i="2" s="1"/>
  <c r="I938" i="2" s="1"/>
  <c r="I939" i="2" s="1"/>
  <c r="I940" i="2" s="1"/>
  <c r="I941" i="2" s="1"/>
  <c r="H932" i="2"/>
  <c r="G932" i="2"/>
  <c r="I927" i="2"/>
  <c r="I928" i="2" s="1"/>
  <c r="I929" i="2" s="1"/>
  <c r="I930" i="2" s="1"/>
  <c r="I931" i="2" s="1"/>
  <c r="H924" i="2"/>
  <c r="G924" i="2"/>
  <c r="I923" i="2"/>
  <c r="H920" i="2"/>
  <c r="G920" i="2"/>
  <c r="I916" i="2"/>
  <c r="I917" i="2" s="1"/>
  <c r="I918" i="2" s="1"/>
  <c r="I919" i="2" s="1"/>
  <c r="H911" i="2"/>
  <c r="G911" i="2"/>
  <c r="H907" i="2"/>
  <c r="G907" i="2"/>
  <c r="I894" i="2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H886" i="2"/>
  <c r="G886" i="2"/>
  <c r="I871" i="2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H864" i="2"/>
  <c r="G864" i="2"/>
  <c r="I853" i="2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H847" i="2"/>
  <c r="G847" i="2"/>
  <c r="I837" i="2"/>
  <c r="I838" i="2" s="1"/>
  <c r="I839" i="2" s="1"/>
  <c r="I840" i="2" s="1"/>
  <c r="I841" i="2" s="1"/>
  <c r="I842" i="2" s="1"/>
  <c r="I843" i="2" s="1"/>
  <c r="I844" i="2" s="1"/>
  <c r="I845" i="2" s="1"/>
  <c r="I846" i="2" s="1"/>
  <c r="H832" i="2"/>
  <c r="G832" i="2"/>
  <c r="I814" i="2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H811" i="2"/>
  <c r="G811" i="2"/>
  <c r="I808" i="2"/>
  <c r="I809" i="2" s="1"/>
  <c r="I810" i="2" s="1"/>
  <c r="H803" i="2"/>
  <c r="G803" i="2"/>
  <c r="I794" i="2"/>
  <c r="I795" i="2" s="1"/>
  <c r="I796" i="2" s="1"/>
  <c r="I797" i="2" s="1"/>
  <c r="I798" i="2" s="1"/>
  <c r="I799" i="2" s="1"/>
  <c r="I800" i="2" s="1"/>
  <c r="I801" i="2" s="1"/>
  <c r="I802" i="2" s="1"/>
  <c r="H791" i="2"/>
  <c r="G791" i="2"/>
  <c r="I790" i="2"/>
  <c r="H787" i="2"/>
  <c r="G787" i="2"/>
  <c r="I778" i="2"/>
  <c r="I779" i="2" s="1"/>
  <c r="I780" i="2" s="1"/>
  <c r="I781" i="2" s="1"/>
  <c r="I782" i="2" s="1"/>
  <c r="I783" i="2" s="1"/>
  <c r="I784" i="2" s="1"/>
  <c r="I785" i="2" s="1"/>
  <c r="I786" i="2" s="1"/>
  <c r="H772" i="2"/>
  <c r="G772" i="2"/>
  <c r="I759" i="2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H752" i="2"/>
  <c r="G752" i="2"/>
  <c r="I745" i="2"/>
  <c r="I746" i="2" s="1"/>
  <c r="I747" i="2" s="1"/>
  <c r="I748" i="2" s="1"/>
  <c r="I749" i="2" s="1"/>
  <c r="I750" i="2" s="1"/>
  <c r="I751" i="2" s="1"/>
  <c r="H742" i="2"/>
  <c r="G742" i="2"/>
  <c r="I724" i="2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H721" i="2"/>
  <c r="G721" i="2"/>
  <c r="I697" i="2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H694" i="2"/>
  <c r="G694" i="2"/>
  <c r="I693" i="2"/>
  <c r="H690" i="2"/>
  <c r="G690" i="2"/>
  <c r="I682" i="2"/>
  <c r="I683" i="2" s="1"/>
  <c r="I684" i="2" s="1"/>
  <c r="I685" i="2" s="1"/>
  <c r="I686" i="2" s="1"/>
  <c r="I687" i="2" s="1"/>
  <c r="I688" i="2" s="1"/>
  <c r="I689" i="2" s="1"/>
  <c r="H679" i="2"/>
  <c r="G679" i="2"/>
  <c r="I670" i="2"/>
  <c r="I671" i="2" s="1"/>
  <c r="I672" i="2" s="1"/>
  <c r="I673" i="2" s="1"/>
  <c r="I674" i="2" s="1"/>
  <c r="I675" i="2" s="1"/>
  <c r="I676" i="2" s="1"/>
  <c r="I677" i="2" s="1"/>
  <c r="I678" i="2" s="1"/>
  <c r="H648" i="2"/>
  <c r="G648" i="2"/>
  <c r="I634" i="2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H631" i="2"/>
  <c r="G631" i="2"/>
  <c r="I628" i="2"/>
  <c r="I629" i="2" s="1"/>
  <c r="I630" i="2" s="1"/>
  <c r="H625" i="2"/>
  <c r="G625" i="2"/>
  <c r="I618" i="2"/>
  <c r="I619" i="2" s="1"/>
  <c r="I620" i="2" s="1"/>
  <c r="I621" i="2" s="1"/>
  <c r="I622" i="2" s="1"/>
  <c r="I623" i="2" s="1"/>
  <c r="I624" i="2" s="1"/>
  <c r="H615" i="2"/>
  <c r="G615" i="2"/>
  <c r="I614" i="2"/>
  <c r="H611" i="2"/>
  <c r="G611" i="2"/>
  <c r="I596" i="2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H589" i="2"/>
  <c r="G589" i="2"/>
  <c r="I588" i="2"/>
  <c r="H585" i="2"/>
  <c r="G585" i="2"/>
  <c r="I577" i="2"/>
  <c r="I578" i="2" s="1"/>
  <c r="I579" i="2" s="1"/>
  <c r="I580" i="2" s="1"/>
  <c r="I581" i="2" s="1"/>
  <c r="I582" i="2" s="1"/>
  <c r="I583" i="2" s="1"/>
  <c r="I584" i="2" s="1"/>
  <c r="H574" i="2"/>
  <c r="G574" i="2"/>
  <c r="I563" i="2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H555" i="2"/>
  <c r="G555" i="2"/>
  <c r="I551" i="2"/>
  <c r="I552" i="2" s="1"/>
  <c r="I553" i="2" s="1"/>
  <c r="I554" i="2" s="1"/>
  <c r="H548" i="2"/>
  <c r="G548" i="2"/>
  <c r="I543" i="2"/>
  <c r="I544" i="2" s="1"/>
  <c r="I545" i="2" s="1"/>
  <c r="I546" i="2" s="1"/>
  <c r="I547" i="2" s="1"/>
  <c r="H537" i="2"/>
  <c r="G537" i="2"/>
  <c r="I526" i="2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H523" i="2"/>
  <c r="G523" i="2"/>
  <c r="I522" i="2"/>
  <c r="H519" i="2"/>
  <c r="G519" i="2"/>
  <c r="I518" i="2"/>
  <c r="H515" i="2"/>
  <c r="G515" i="2"/>
  <c r="I508" i="2"/>
  <c r="I509" i="2" s="1"/>
  <c r="I510" i="2" s="1"/>
  <c r="I511" i="2" s="1"/>
  <c r="I512" i="2" s="1"/>
  <c r="I513" i="2" s="1"/>
  <c r="I514" i="2" s="1"/>
  <c r="H505" i="2"/>
  <c r="G505" i="2"/>
  <c r="I504" i="2"/>
  <c r="H501" i="2"/>
  <c r="G501" i="2"/>
  <c r="I495" i="2"/>
  <c r="I496" i="2" s="1"/>
  <c r="I497" i="2" s="1"/>
  <c r="I498" i="2" s="1"/>
  <c r="I499" i="2" s="1"/>
  <c r="I500" i="2" s="1"/>
  <c r="H492" i="2"/>
  <c r="G492" i="2"/>
  <c r="I488" i="2"/>
  <c r="I489" i="2" s="1"/>
  <c r="I490" i="2" s="1"/>
  <c r="I491" i="2" s="1"/>
  <c r="H485" i="2"/>
  <c r="G485" i="2"/>
  <c r="I479" i="2"/>
  <c r="I480" i="2" s="1"/>
  <c r="I481" i="2" s="1"/>
  <c r="I482" i="2" s="1"/>
  <c r="I483" i="2" s="1"/>
  <c r="I484" i="2" s="1"/>
  <c r="H476" i="2"/>
  <c r="G476" i="2"/>
  <c r="I472" i="2"/>
  <c r="I473" i="2" s="1"/>
  <c r="I474" i="2" s="1"/>
  <c r="I475" i="2" s="1"/>
  <c r="G469" i="2"/>
  <c r="I445" i="2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H442" i="2"/>
  <c r="G442" i="2"/>
  <c r="I435" i="2"/>
  <c r="I436" i="2" s="1"/>
  <c r="I437" i="2" s="1"/>
  <c r="I438" i="2" s="1"/>
  <c r="I439" i="2" s="1"/>
  <c r="I440" i="2" s="1"/>
  <c r="I441" i="2" s="1"/>
  <c r="H432" i="2"/>
  <c r="G432" i="2"/>
  <c r="I431" i="2"/>
  <c r="H428" i="2"/>
  <c r="G428" i="2"/>
  <c r="I425" i="2"/>
  <c r="I426" i="2" s="1"/>
  <c r="I427" i="2" s="1"/>
  <c r="H421" i="2"/>
  <c r="G421" i="2"/>
  <c r="I411" i="2"/>
  <c r="I412" i="2" s="1"/>
  <c r="I413" i="2" s="1"/>
  <c r="I414" i="2" s="1"/>
  <c r="I415" i="2" s="1"/>
  <c r="I416" i="2" s="1"/>
  <c r="I417" i="2" s="1"/>
  <c r="I418" i="2" s="1"/>
  <c r="I419" i="2" s="1"/>
  <c r="I420" i="2" s="1"/>
  <c r="H405" i="2"/>
  <c r="G405" i="2"/>
  <c r="I404" i="2"/>
  <c r="H401" i="2"/>
  <c r="G401" i="2"/>
  <c r="I389" i="2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H375" i="2"/>
  <c r="G375" i="2"/>
  <c r="I367" i="2"/>
  <c r="I368" i="2" s="1"/>
  <c r="I369" i="2" s="1"/>
  <c r="I370" i="2" s="1"/>
  <c r="I371" i="2" s="1"/>
  <c r="I372" i="2" s="1"/>
  <c r="I373" i="2" s="1"/>
  <c r="I374" i="2" s="1"/>
  <c r="H362" i="2"/>
  <c r="G362" i="2"/>
  <c r="I353" i="2"/>
  <c r="I354" i="2" s="1"/>
  <c r="I355" i="2" s="1"/>
  <c r="I356" i="2" s="1"/>
  <c r="I357" i="2" s="1"/>
  <c r="I358" i="2" s="1"/>
  <c r="I359" i="2" s="1"/>
  <c r="I360" i="2" s="1"/>
  <c r="I361" i="2" s="1"/>
  <c r="H350" i="2"/>
  <c r="G350" i="2"/>
  <c r="I344" i="2"/>
  <c r="I345" i="2" s="1"/>
  <c r="I346" i="2" s="1"/>
  <c r="I347" i="2" s="1"/>
  <c r="I348" i="2" s="1"/>
  <c r="I349" i="2" s="1"/>
  <c r="H337" i="2"/>
  <c r="G337" i="2"/>
  <c r="I329" i="2"/>
  <c r="I330" i="2" s="1"/>
  <c r="I331" i="2" s="1"/>
  <c r="I332" i="2" s="1"/>
  <c r="I333" i="2" s="1"/>
  <c r="I334" i="2" s="1"/>
  <c r="I335" i="2" s="1"/>
  <c r="I336" i="2" s="1"/>
  <c r="H326" i="2"/>
  <c r="G326" i="2"/>
  <c r="I307" i="2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H304" i="2"/>
  <c r="G304" i="2"/>
  <c r="I300" i="2"/>
  <c r="I301" i="2" s="1"/>
  <c r="I302" i="2" s="1"/>
  <c r="I303" i="2" s="1"/>
  <c r="H297" i="2"/>
  <c r="G297" i="2"/>
  <c r="I296" i="2"/>
  <c r="H293" i="2"/>
  <c r="G293" i="2"/>
  <c r="I289" i="2"/>
  <c r="I290" i="2" s="1"/>
  <c r="I291" i="2" s="1"/>
  <c r="I292" i="2" s="1"/>
  <c r="H286" i="2"/>
  <c r="G286" i="2"/>
  <c r="I280" i="2"/>
  <c r="I281" i="2" s="1"/>
  <c r="I282" i="2" s="1"/>
  <c r="I283" i="2" s="1"/>
  <c r="I284" i="2" s="1"/>
  <c r="I285" i="2" s="1"/>
  <c r="H277" i="2"/>
  <c r="G277" i="2"/>
  <c r="I274" i="2"/>
  <c r="I275" i="2" s="1"/>
  <c r="I276" i="2" s="1"/>
  <c r="H271" i="2"/>
  <c r="G271" i="2"/>
  <c r="I254" i="2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H246" i="2"/>
  <c r="G246" i="2"/>
  <c r="I237" i="2"/>
  <c r="I238" i="2" s="1"/>
  <c r="I239" i="2" s="1"/>
  <c r="I240" i="2" s="1"/>
  <c r="I241" i="2" s="1"/>
  <c r="I242" i="2" s="1"/>
  <c r="I243" i="2" s="1"/>
  <c r="I244" i="2" s="1"/>
  <c r="I245" i="2" s="1"/>
  <c r="H234" i="2"/>
  <c r="G234" i="2"/>
  <c r="I233" i="2"/>
  <c r="H230" i="2"/>
  <c r="G230" i="2"/>
  <c r="I214" i="2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H203" i="2"/>
  <c r="G203" i="2"/>
  <c r="I196" i="2"/>
  <c r="I197" i="2" s="1"/>
  <c r="I198" i="2" s="1"/>
  <c r="I199" i="2" s="1"/>
  <c r="I200" i="2" s="1"/>
  <c r="I201" i="2" s="1"/>
  <c r="I202" i="2" s="1"/>
  <c r="H190" i="2"/>
  <c r="G190" i="2"/>
  <c r="I183" i="2"/>
  <c r="I184" i="2" s="1"/>
  <c r="I185" i="2" s="1"/>
  <c r="I186" i="2" s="1"/>
  <c r="I187" i="2" s="1"/>
  <c r="I188" i="2" s="1"/>
  <c r="I189" i="2" s="1"/>
  <c r="H180" i="2"/>
  <c r="G180" i="2"/>
  <c r="I178" i="2"/>
  <c r="I179" i="2" s="1"/>
  <c r="H175" i="2"/>
  <c r="G175" i="2"/>
  <c r="I171" i="2"/>
  <c r="I172" i="2" s="1"/>
  <c r="I173" i="2" s="1"/>
  <c r="I174" i="2" s="1"/>
  <c r="H168" i="2"/>
  <c r="G168" i="2"/>
  <c r="I157" i="2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H154" i="2"/>
  <c r="G154" i="2"/>
  <c r="I146" i="2"/>
  <c r="I147" i="2" s="1"/>
  <c r="I148" i="2" s="1"/>
  <c r="I149" i="2" s="1"/>
  <c r="I150" i="2" s="1"/>
  <c r="I151" i="2" s="1"/>
  <c r="I152" i="2" s="1"/>
  <c r="I153" i="2" s="1"/>
  <c r="H143" i="2"/>
  <c r="G143" i="2"/>
  <c r="I136" i="2"/>
  <c r="I137" i="2" s="1"/>
  <c r="I138" i="2" s="1"/>
  <c r="I139" i="2" s="1"/>
  <c r="I140" i="2" s="1"/>
  <c r="I141" i="2" s="1"/>
  <c r="I142" i="2" s="1"/>
  <c r="H133" i="2"/>
  <c r="G133" i="2"/>
  <c r="I114" i="2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H111" i="2"/>
  <c r="G111" i="2"/>
  <c r="I95" i="2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H92" i="2"/>
  <c r="G92" i="2"/>
  <c r="I74" i="2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H71" i="2"/>
  <c r="G71" i="2"/>
  <c r="I64" i="2"/>
  <c r="I65" i="2" s="1"/>
  <c r="I66" i="2" s="1"/>
  <c r="I67" i="2" s="1"/>
  <c r="I68" i="2" s="1"/>
  <c r="I69" i="2" s="1"/>
  <c r="I70" i="2" s="1"/>
  <c r="H61" i="2"/>
  <c r="G61" i="2"/>
  <c r="I49" i="2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H46" i="2"/>
  <c r="G46" i="2"/>
  <c r="I31" i="2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H28" i="2"/>
  <c r="G28" i="2"/>
  <c r="I20" i="2"/>
  <c r="I21" i="2" s="1"/>
  <c r="I22" i="2" s="1"/>
  <c r="I23" i="2" s="1"/>
  <c r="I24" i="2" s="1"/>
  <c r="I25" i="2" s="1"/>
  <c r="I26" i="2" s="1"/>
  <c r="I27" i="2" s="1"/>
  <c r="H17" i="2"/>
  <c r="G17" i="2"/>
  <c r="I749" i="3" l="1"/>
  <c r="I2024" i="3"/>
  <c r="I4300" i="3"/>
  <c r="I4342" i="3"/>
  <c r="I3509" i="3"/>
  <c r="I3573" i="3"/>
  <c r="I3607" i="3"/>
  <c r="I3661" i="3"/>
  <c r="I765" i="3"/>
  <c r="I1059" i="3"/>
  <c r="I1329" i="3"/>
  <c r="I2944" i="3"/>
  <c r="I6060" i="3"/>
  <c r="I2519" i="3"/>
  <c r="I2564" i="3"/>
  <c r="I2883" i="3"/>
  <c r="I3727" i="3"/>
  <c r="I3815" i="3"/>
  <c r="I3871" i="3"/>
  <c r="I3952" i="3"/>
  <c r="I473" i="3"/>
  <c r="I2570" i="3"/>
  <c r="I2892" i="3"/>
  <c r="I1743" i="3"/>
  <c r="I79" i="3"/>
  <c r="I165" i="3"/>
  <c r="I200" i="3"/>
  <c r="I313" i="3"/>
  <c r="I1445" i="3"/>
  <c r="I2035" i="3"/>
  <c r="I2087" i="3"/>
  <c r="I2125" i="3"/>
  <c r="I4146" i="3"/>
  <c r="I2552" i="3"/>
  <c r="I4238" i="3"/>
  <c r="I89" i="3"/>
  <c r="I320" i="3"/>
  <c r="I1362" i="3"/>
  <c r="I1410" i="3"/>
  <c r="I1483" i="3"/>
  <c r="I2810" i="3"/>
  <c r="I489" i="3"/>
  <c r="I134" i="3"/>
  <c r="I222" i="3"/>
  <c r="I281" i="3"/>
  <c r="I1217" i="3"/>
  <c r="I1458" i="3"/>
  <c r="I1498" i="3"/>
  <c r="I1552" i="3"/>
  <c r="I2102" i="3"/>
  <c r="I2142" i="3"/>
  <c r="I2266" i="3"/>
  <c r="I2362" i="3"/>
  <c r="I2393" i="3"/>
  <c r="I1664" i="3"/>
  <c r="I1712" i="3"/>
  <c r="I3505" i="3"/>
  <c r="I3537" i="3"/>
  <c r="I3657" i="3"/>
  <c r="I3334" i="3"/>
  <c r="I3560" i="3"/>
  <c r="I3938" i="3"/>
  <c r="I4039" i="3"/>
  <c r="I501" i="3"/>
  <c r="I1017" i="3"/>
  <c r="I1093" i="3"/>
  <c r="I1136" i="3"/>
  <c r="I1187" i="3"/>
  <c r="I2050" i="3"/>
  <c r="I2335" i="3"/>
  <c r="I2861" i="3"/>
  <c r="I3122" i="3"/>
  <c r="I4439" i="3"/>
  <c r="I1564" i="3"/>
  <c r="I1833" i="3"/>
  <c r="I1940" i="3"/>
  <c r="I2309" i="3"/>
  <c r="I2792" i="3"/>
  <c r="I2997" i="3"/>
  <c r="I3074" i="3"/>
  <c r="I3531" i="3"/>
  <c r="I3896" i="3"/>
  <c r="I3947" i="3"/>
  <c r="I4276" i="3"/>
  <c r="I1251" i="3"/>
  <c r="I1299" i="3"/>
  <c r="I2428" i="3"/>
  <c r="I2902" i="3"/>
  <c r="I3279" i="3"/>
  <c r="I3692" i="3"/>
  <c r="I1544" i="3"/>
  <c r="I2980" i="3"/>
  <c r="I3091" i="3"/>
  <c r="I3118" i="3"/>
  <c r="I3545" i="3"/>
  <c r="I2184" i="3"/>
  <c r="I463" i="3"/>
  <c r="I1041" i="3"/>
  <c r="I1592" i="3"/>
  <c r="I1995" i="3"/>
  <c r="I2292" i="3"/>
  <c r="I2452" i="3"/>
  <c r="I3217" i="3"/>
  <c r="I3410" i="3"/>
  <c r="I3995" i="3"/>
  <c r="I4398" i="3"/>
  <c r="I595" i="3"/>
  <c r="I977" i="3"/>
  <c r="I1004" i="3"/>
  <c r="I1285" i="3"/>
  <c r="I1762" i="3"/>
  <c r="I1944" i="3"/>
  <c r="I1991" i="3"/>
  <c r="I2300" i="3"/>
  <c r="I2760" i="3"/>
  <c r="I2869" i="3"/>
  <c r="I3186" i="3"/>
  <c r="I3267" i="3"/>
  <c r="I3436" i="3"/>
  <c r="I3477" i="3"/>
  <c r="I3838" i="3"/>
  <c r="I3980" i="3"/>
  <c r="I178" i="3"/>
  <c r="I453" i="3"/>
  <c r="I1234" i="3"/>
  <c r="I1325" i="3"/>
  <c r="I1953" i="3"/>
  <c r="I2384" i="3"/>
  <c r="I2418" i="3"/>
  <c r="I2678" i="3"/>
  <c r="I2729" i="3"/>
  <c r="I2920" i="3"/>
  <c r="I3132" i="3"/>
  <c r="I3168" i="3"/>
  <c r="I3617" i="3"/>
  <c r="I3653" i="3"/>
  <c r="I4266" i="3"/>
  <c r="I6050" i="3"/>
  <c r="I238" i="3"/>
  <c r="I355" i="3"/>
  <c r="I521" i="3"/>
  <c r="I655" i="3"/>
  <c r="I694" i="3"/>
  <c r="I1035" i="3"/>
  <c r="I1075" i="3"/>
  <c r="I1192" i="3"/>
  <c r="I1454" i="3"/>
  <c r="I1739" i="3"/>
  <c r="I1808" i="3"/>
  <c r="I1860" i="3"/>
  <c r="I1881" i="3"/>
  <c r="I2113" i="3"/>
  <c r="I2222" i="3"/>
  <c r="I2511" i="3"/>
  <c r="I2776" i="3"/>
  <c r="I2824" i="3"/>
  <c r="I3108" i="3"/>
  <c r="I3795" i="3"/>
  <c r="I3842" i="3"/>
  <c r="I4007" i="3"/>
  <c r="I4056" i="3"/>
  <c r="I4393" i="3"/>
  <c r="I4577" i="3"/>
  <c r="I1839" i="3"/>
  <c r="I2313" i="3"/>
  <c r="I2388" i="3"/>
  <c r="I2605" i="3"/>
  <c r="I2743" i="3"/>
  <c r="I3485" i="3"/>
  <c r="I3603" i="3"/>
  <c r="I3633" i="3"/>
  <c r="I3696" i="3"/>
  <c r="I3760" i="3"/>
  <c r="I3803" i="3"/>
  <c r="I4194" i="3"/>
  <c r="I4272" i="3"/>
  <c r="I4367" i="3"/>
  <c r="I4502" i="3"/>
  <c r="I4556" i="3"/>
  <c r="I4592" i="3"/>
  <c r="I4623" i="3"/>
  <c r="I39" i="3"/>
  <c r="I421" i="3"/>
  <c r="I1722" i="3"/>
  <c r="I1816" i="3"/>
  <c r="I2197" i="3"/>
  <c r="I2233" i="3"/>
  <c r="I2828" i="3"/>
  <c r="I3058" i="3"/>
  <c r="I3324" i="3"/>
  <c r="I4114" i="3"/>
  <c r="I708" i="3"/>
  <c r="I1205" i="3"/>
  <c r="I1390" i="3"/>
  <c r="I3160" i="3"/>
  <c r="I3991" i="3"/>
  <c r="I585" i="3"/>
  <c r="I1269" i="3"/>
  <c r="I1871" i="3"/>
  <c r="I1981" i="3"/>
  <c r="I2014" i="3"/>
  <c r="I2166" i="3"/>
  <c r="I2331" i="3"/>
  <c r="I2436" i="3"/>
  <c r="I2936" i="3"/>
  <c r="I3030" i="3"/>
  <c r="I3182" i="3"/>
  <c r="I3251" i="3"/>
  <c r="I3491" i="3"/>
  <c r="I3712" i="3"/>
  <c r="I3775" i="3"/>
  <c r="I3834" i="3"/>
  <c r="I3851" i="3"/>
  <c r="I4204" i="3"/>
  <c r="I4569" i="3"/>
  <c r="I51" i="3"/>
  <c r="I365" i="3"/>
  <c r="I1085" i="3"/>
  <c r="I1118" i="3"/>
  <c r="I1174" i="3"/>
  <c r="I1345" i="3"/>
  <c r="I1700" i="3"/>
  <c r="I2377" i="3"/>
  <c r="I2523" i="3"/>
  <c r="I3367" i="3"/>
  <c r="I3577" i="3"/>
  <c r="I3962" i="3"/>
  <c r="I4028" i="3"/>
  <c r="I4251" i="3"/>
  <c r="I4317" i="3"/>
  <c r="I4382" i="3"/>
  <c r="I4402" i="3"/>
  <c r="I4628" i="3"/>
  <c r="I55" i="3"/>
  <c r="I71" i="3"/>
  <c r="I210" i="3"/>
  <c r="I271" i="3"/>
  <c r="I361" i="3"/>
  <c r="I417" i="3"/>
  <c r="I617" i="3"/>
  <c r="I950" i="3"/>
  <c r="I1008" i="3"/>
  <c r="I1376" i="3"/>
  <c r="I1610" i="3"/>
  <c r="I1875" i="3"/>
  <c r="I2069" i="3"/>
  <c r="I2129" i="3"/>
  <c r="I2252" i="3"/>
  <c r="I2659" i="3"/>
  <c r="I2698" i="3"/>
  <c r="I2924" i="3"/>
  <c r="I3082" i="3"/>
  <c r="I3164" i="3"/>
  <c r="I3271" i="3"/>
  <c r="I3303" i="3"/>
  <c r="I3463" i="3"/>
  <c r="I3522" i="3"/>
  <c r="I3569" i="3"/>
  <c r="I3688" i="3"/>
  <c r="I4092" i="3"/>
  <c r="I4234" i="3"/>
  <c r="I4294" i="3"/>
  <c r="I4327" i="3"/>
  <c r="I549" i="3"/>
  <c r="I996" i="3"/>
  <c r="I1316" i="3"/>
  <c r="I1478" i="3"/>
  <c r="I1520" i="3"/>
  <c r="I1576" i="3"/>
  <c r="I2002" i="3"/>
  <c r="I2456" i="3"/>
  <c r="I2589" i="3"/>
  <c r="I2629" i="3"/>
  <c r="I2674" i="3"/>
  <c r="I2948" i="3"/>
  <c r="I3247" i="3"/>
  <c r="I3313" i="3"/>
  <c r="I3379" i="3"/>
  <c r="I3406" i="3"/>
  <c r="I3432" i="3"/>
  <c r="I3891" i="3"/>
  <c r="I4413" i="3"/>
  <c r="I4476" i="3"/>
  <c r="I736" i="3"/>
  <c r="I3723" i="3"/>
  <c r="I6007" i="3"/>
  <c r="I629" i="3"/>
  <c r="I661" i="3"/>
  <c r="I964" i="3"/>
  <c r="I1013" i="3"/>
  <c r="I1295" i="3"/>
  <c r="I1415" i="3"/>
  <c r="I1509" i="3"/>
  <c r="I1529" i="3"/>
  <c r="I1915" i="3"/>
  <c r="I2180" i="3"/>
  <c r="I2206" i="3"/>
  <c r="I2496" i="3"/>
  <c r="I2849" i="3"/>
  <c r="I2984" i="3"/>
  <c r="I3044" i="3"/>
  <c r="I3068" i="3"/>
  <c r="I3352" i="3"/>
  <c r="I3855" i="3"/>
  <c r="I4105" i="3"/>
  <c r="I4131" i="3"/>
  <c r="I297" i="3"/>
  <c r="I1000" i="3"/>
  <c r="I1079" i="3"/>
  <c r="I1101" i="3"/>
  <c r="I1728" i="3"/>
  <c r="I1867" i="3"/>
  <c r="I2751" i="3"/>
  <c r="I2956" i="3"/>
  <c r="I3391" i="3"/>
  <c r="I3807" i="3"/>
  <c r="I4061" i="3"/>
  <c r="I4425" i="3"/>
  <c r="I4454" i="3"/>
  <c r="I4518" i="3"/>
  <c r="I14" i="3"/>
  <c r="I409" i="3"/>
  <c r="I437" i="3"/>
  <c r="I497" i="3"/>
  <c r="I665" i="3"/>
  <c r="I1673" i="3"/>
  <c r="I2212" i="3"/>
  <c r="I2240" i="3"/>
  <c r="I2402" i="3"/>
  <c r="I2465" i="3"/>
  <c r="I3100" i="3"/>
  <c r="I1154" i="3"/>
  <c r="I1432" i="3"/>
  <c r="I1540" i="3"/>
  <c r="I2150" i="3"/>
  <c r="I2353" i="3"/>
  <c r="I2940" i="3"/>
  <c r="I3293" i="3"/>
  <c r="I3328" i="3"/>
  <c r="I3414" i="3"/>
  <c r="I3481" i="3"/>
  <c r="I3564" i="3"/>
  <c r="I3637" i="3"/>
  <c r="I3811" i="3"/>
  <c r="I3847" i="3"/>
  <c r="I3912" i="3"/>
  <c r="I2647" i="3"/>
  <c r="I4075" i="3"/>
  <c r="I4280" i="3"/>
  <c r="I31" i="3"/>
  <c r="I173" i="3"/>
  <c r="I255" i="3"/>
  <c r="I532" i="3"/>
  <c r="I571" i="3"/>
  <c r="I1022" i="3"/>
  <c r="I1516" i="3"/>
  <c r="I1646" i="3"/>
  <c r="I1716" i="3"/>
  <c r="I1802" i="3"/>
  <c r="I1822" i="3"/>
  <c r="I1897" i="3"/>
  <c r="I1963" i="3"/>
  <c r="I2095" i="3"/>
  <c r="I2480" i="3"/>
  <c r="I2617" i="3"/>
  <c r="I3104" i="3"/>
  <c r="I3200" i="3"/>
  <c r="I3233" i="3"/>
  <c r="I3402" i="3"/>
  <c r="I3588" i="3"/>
  <c r="I3613" i="3"/>
  <c r="I3880" i="3"/>
  <c r="I3984" i="3"/>
  <c r="I4118" i="3"/>
  <c r="I4346" i="3"/>
  <c r="I4435" i="3"/>
  <c r="I4611" i="3"/>
  <c r="I77" i="4"/>
  <c r="I675" i="4"/>
  <c r="J1021" i="2"/>
  <c r="I297" i="2"/>
  <c r="I1173" i="2"/>
  <c r="I1263" i="2"/>
  <c r="I1128" i="2"/>
  <c r="J469" i="2"/>
  <c r="I1001" i="2"/>
  <c r="I1227" i="2"/>
  <c r="I1285" i="2"/>
  <c r="I1361" i="2"/>
  <c r="I1410" i="2"/>
  <c r="I1695" i="2"/>
  <c r="I501" i="2"/>
  <c r="I523" i="2"/>
  <c r="I1182" i="2"/>
  <c r="I1449" i="2"/>
  <c r="I350" i="2"/>
  <c r="I611" i="2"/>
  <c r="I679" i="2"/>
  <c r="I1721" i="2"/>
  <c r="I787" i="2"/>
  <c r="I277" i="2"/>
  <c r="I742" i="2"/>
  <c r="I17" i="2"/>
  <c r="I772" i="2"/>
  <c r="I811" i="2"/>
  <c r="I362" i="2"/>
  <c r="I1328" i="2"/>
  <c r="I1684" i="2"/>
  <c r="I476" i="2"/>
  <c r="I585" i="2"/>
  <c r="I1221" i="2"/>
  <c r="I1339" i="2"/>
  <c r="I1750" i="2"/>
  <c r="I694" i="2"/>
  <c r="I924" i="2"/>
  <c r="I519" i="2"/>
  <c r="I46" i="2"/>
  <c r="I485" i="2"/>
  <c r="I548" i="2"/>
  <c r="I942" i="2"/>
  <c r="I990" i="2"/>
  <c r="I1736" i="2"/>
  <c r="I442" i="2"/>
  <c r="I920" i="2"/>
  <c r="I1105" i="2"/>
  <c r="I133" i="2"/>
  <c r="J133" i="2"/>
  <c r="I1658" i="2"/>
  <c r="I492" i="2"/>
  <c r="I648" i="2"/>
  <c r="I1774" i="2"/>
  <c r="I721" i="2"/>
  <c r="I1194" i="2"/>
  <c r="I143" i="2"/>
  <c r="I28" i="2"/>
  <c r="I92" i="2"/>
  <c r="J92" i="2"/>
  <c r="I537" i="2"/>
  <c r="I791" i="2"/>
  <c r="I1047" i="2"/>
  <c r="I1546" i="2"/>
  <c r="I293" i="2"/>
  <c r="I71" i="2"/>
  <c r="I1139" i="2"/>
  <c r="I1305" i="2"/>
  <c r="I1376" i="2"/>
  <c r="I180" i="2"/>
  <c r="I234" i="2"/>
  <c r="I286" i="2"/>
  <c r="I631" i="2"/>
  <c r="I911" i="2"/>
  <c r="I972" i="2"/>
  <c r="I1007" i="2"/>
  <c r="I1075" i="2"/>
  <c r="I1680" i="2"/>
  <c r="I1778" i="2"/>
  <c r="I469" i="2"/>
  <c r="I1167" i="2"/>
  <c r="I154" i="2"/>
  <c r="I190" i="2"/>
  <c r="I246" i="2"/>
  <c r="I555" i="2"/>
  <c r="I864" i="2"/>
  <c r="I1021" i="2"/>
  <c r="I1052" i="2"/>
  <c r="I1313" i="2"/>
  <c r="I1028" i="2"/>
  <c r="I1621" i="2"/>
  <c r="I401" i="2"/>
  <c r="I432" i="2"/>
  <c r="I505" i="2"/>
  <c r="I1320" i="2"/>
  <c r="I61" i="2"/>
  <c r="I1436" i="2"/>
  <c r="I625" i="2"/>
  <c r="I832" i="2"/>
  <c r="I907" i="2"/>
  <c r="I932" i="2"/>
  <c r="I1066" i="2"/>
  <c r="I1211" i="2"/>
  <c r="I1629" i="2"/>
  <c r="I175" i="2"/>
  <c r="I230" i="2"/>
  <c r="I337" i="2"/>
  <c r="I375" i="2"/>
  <c r="I428" i="2"/>
  <c r="I968" i="2"/>
  <c r="I1299" i="2"/>
  <c r="I493" i="3"/>
  <c r="I847" i="2"/>
  <c r="I886" i="2"/>
  <c r="I1038" i="2"/>
  <c r="I1056" i="2"/>
  <c r="I1079" i="2"/>
  <c r="I1402" i="2"/>
  <c r="I1465" i="2"/>
  <c r="I1765" i="2"/>
  <c r="I589" i="2"/>
  <c r="I752" i="2"/>
  <c r="I1202" i="2"/>
  <c r="I1281" i="2"/>
  <c r="I1513" i="2"/>
  <c r="I1599" i="2"/>
  <c r="I1746" i="2"/>
  <c r="I1134" i="2"/>
  <c r="I1643" i="2"/>
  <c r="I565" i="3"/>
  <c r="I677" i="3"/>
  <c r="I304" i="2"/>
  <c r="I405" i="2"/>
  <c r="I1111" i="2"/>
  <c r="I1241" i="2"/>
  <c r="I1335" i="2"/>
  <c r="I1455" i="2"/>
  <c r="I1527" i="2"/>
  <c r="I1647" i="2"/>
  <c r="I605" i="3"/>
  <c r="I769" i="3"/>
  <c r="I168" i="2"/>
  <c r="I203" i="2"/>
  <c r="I326" i="2"/>
  <c r="I421" i="2"/>
  <c r="I690" i="2"/>
  <c r="I953" i="2"/>
  <c r="I1396" i="2"/>
  <c r="I1427" i="2"/>
  <c r="I1725" i="2"/>
  <c r="I647" i="3"/>
  <c r="I515" i="2"/>
  <c r="I615" i="2"/>
  <c r="I803" i="2"/>
  <c r="I1122" i="2"/>
  <c r="I1756" i="2"/>
  <c r="I337" i="3"/>
  <c r="I505" i="3"/>
  <c r="I1108" i="3"/>
  <c r="I1624" i="3"/>
  <c r="I1784" i="3"/>
  <c r="I1474" i="3"/>
  <c r="I1628" i="3"/>
  <c r="I1850" i="3"/>
  <c r="I1396" i="3"/>
  <c r="I1780" i="3"/>
  <c r="I2054" i="3"/>
  <c r="I3012" i="3"/>
  <c r="I2845" i="3"/>
  <c r="I4488" i="3"/>
  <c r="I4470" i="3"/>
  <c r="I4602" i="3"/>
  <c r="I5969" i="3"/>
  <c r="I6019" i="3"/>
  <c r="I111" i="2"/>
  <c r="I574" i="2"/>
  <c r="I271" i="2"/>
  <c r="I1666" i="2"/>
</calcChain>
</file>

<file path=xl/sharedStrings.xml><?xml version="1.0" encoding="utf-8"?>
<sst xmlns="http://schemas.openxmlformats.org/spreadsheetml/2006/main" count="14437" uniqueCount="8421">
  <si>
    <t>Cuenta</t>
  </si>
  <si>
    <t>Descripción</t>
  </si>
  <si>
    <t>Punt.</t>
  </si>
  <si>
    <t>Fecha</t>
  </si>
  <si>
    <t>Concepto</t>
  </si>
  <si>
    <t>Documento</t>
  </si>
  <si>
    <t>Debe</t>
  </si>
  <si>
    <t>Haber</t>
  </si>
  <si>
    <t>Saldo</t>
  </si>
  <si>
    <t>DROGAS Y PINTURAS LA MODERNA,</t>
  </si>
  <si>
    <t>Saldos anteriores</t>
  </si>
  <si>
    <t>PAGO A PROVEEDORES.</t>
  </si>
  <si>
    <t>241016134</t>
  </si>
  <si>
    <t>DROGAS Y PINTUR_251000568_31</t>
  </si>
  <si>
    <t>251000568</t>
  </si>
  <si>
    <t>241017635</t>
  </si>
  <si>
    <t>DROGAS Y PINTUR_251002114_28</t>
  </si>
  <si>
    <t>251002114</t>
  </si>
  <si>
    <t>DROGAS Y PINTUR_251003690_31</t>
  </si>
  <si>
    <t>251003690</t>
  </si>
  <si>
    <t>Total cuenta</t>
  </si>
  <si>
    <t>UTILNORM,SL</t>
  </si>
  <si>
    <t>UTILNORM,SL_FV2500181_03-01-</t>
  </si>
  <si>
    <t>FV2500181</t>
  </si>
  <si>
    <t>FV2402401</t>
  </si>
  <si>
    <t>FV2402761</t>
  </si>
  <si>
    <t>UTILNORM,SL_FV2500367_27-02-</t>
  </si>
  <si>
    <t>FV2500367</t>
  </si>
  <si>
    <t>FV2402998</t>
  </si>
  <si>
    <t>UTILNORM,SL_FV2500629_27-03-</t>
  </si>
  <si>
    <t>FV2500629</t>
  </si>
  <si>
    <t>TELEFONICA MOVILES ESPANA, S.A</t>
  </si>
  <si>
    <t>TELEFONICA MOVI_28-A5U1-0663</t>
  </si>
  <si>
    <t>5U1-066387</t>
  </si>
  <si>
    <t>TELEFONICA MOVI_28-A5M0-0829</t>
  </si>
  <si>
    <t>5M0-082953</t>
  </si>
  <si>
    <t>TELEFONICA MOVI_28-B5U1-0606</t>
  </si>
  <si>
    <t>5U1-060689</t>
  </si>
  <si>
    <t>TELEFONICA MOVI_28-B5M0-0831</t>
  </si>
  <si>
    <t>5M0-083171</t>
  </si>
  <si>
    <t>4U1-062455</t>
  </si>
  <si>
    <t>N 2025030001771684 TELEFONIC</t>
  </si>
  <si>
    <t/>
  </si>
  <si>
    <t>TELEFONICA MOVI_059014_01-03</t>
  </si>
  <si>
    <t>059014</t>
  </si>
  <si>
    <t>TELEFONICA MOVI_078370_01-03</t>
  </si>
  <si>
    <t>078370</t>
  </si>
  <si>
    <t>TELEFONICA DE ESPANA, SA</t>
  </si>
  <si>
    <t>TELEFONICA DE E_TA7DS0154971</t>
  </si>
  <si>
    <t>7DS0154971</t>
  </si>
  <si>
    <t>TELEFONICA DE E_TA7HP0016671</t>
  </si>
  <si>
    <t>7HP0016671</t>
  </si>
  <si>
    <t>TELEFONICA DE E_TA7H40153663</t>
  </si>
  <si>
    <t>7H40153663</t>
  </si>
  <si>
    <t>TELEFONICA DE E_TA7HQ0016264</t>
  </si>
  <si>
    <t>7HQ0016264</t>
  </si>
  <si>
    <t>TELEFONICA MOVI_52580_01-03-</t>
  </si>
  <si>
    <t>52580</t>
  </si>
  <si>
    <t>TELEFONICA DE E_TA7HR0015617</t>
  </si>
  <si>
    <t>7HR0015617</t>
  </si>
  <si>
    <t>N 2025087001662315 TELEFONIC</t>
  </si>
  <si>
    <t>TECNOL. MEDI. AMB. GRUPO F. SA</t>
  </si>
  <si>
    <t>N 2025020001088946 TECNOLOGI</t>
  </si>
  <si>
    <t>TECNOL. MEDI. A_AL2025000670</t>
  </si>
  <si>
    <t>2025000670</t>
  </si>
  <si>
    <t>N 2025051000923944 TECNOLOGI</t>
  </si>
  <si>
    <t>TECNOL. MEDI. A_AL2025001391</t>
  </si>
  <si>
    <t>2025001391</t>
  </si>
  <si>
    <t>N 2025080001065412 TECNOLOGI</t>
  </si>
  <si>
    <t>TECNOL. MEDI. A_AL2025002321</t>
  </si>
  <si>
    <t>2025002321</t>
  </si>
  <si>
    <t>SNA EUROPE INDUSTRIES IBERIA S</t>
  </si>
  <si>
    <t>Cobro Por Financiación 07/01</t>
  </si>
  <si>
    <t>N 2025015000008305 SNA EUROP</t>
  </si>
  <si>
    <t>SUMRRASSA,S.L.</t>
  </si>
  <si>
    <t>SNA EUROPE INDU_10426186_22-</t>
  </si>
  <si>
    <t>10426186</t>
  </si>
  <si>
    <t>N 2025029000006397 SNA EUROP</t>
  </si>
  <si>
    <t>SNA EUROPE INDU_10429009_31-</t>
  </si>
  <si>
    <t>10429009</t>
  </si>
  <si>
    <t>SNA EUROPE INDU_80005485_06-</t>
  </si>
  <si>
    <t>80005485</t>
  </si>
  <si>
    <t>N 2025048000015379 SNA EUROP</t>
  </si>
  <si>
    <t>SNA EUROPE INDU_10433900_19-</t>
  </si>
  <si>
    <t>10433900</t>
  </si>
  <si>
    <t>N 2025057000003724 SNA EUROP</t>
  </si>
  <si>
    <t>SNA EUROPE V2/RAPPEL</t>
  </si>
  <si>
    <t>SNA EUROPE INDU_10436676_28-</t>
  </si>
  <si>
    <t>10436676</t>
  </si>
  <si>
    <t>N 2025076000027583 SNA EUROP</t>
  </si>
  <si>
    <t>SNA EUROPE INDU_10443231_26-</t>
  </si>
  <si>
    <t>10443231</t>
  </si>
  <si>
    <t>SNA EUROPE INDU_10443232_26-</t>
  </si>
  <si>
    <t>10443232</t>
  </si>
  <si>
    <t>LORK INDUSTRIAS, SL2.024 / RE/</t>
  </si>
  <si>
    <t>LORK INDUSTRIAS_2.023 / 8.46</t>
  </si>
  <si>
    <t>23 / 8.463</t>
  </si>
  <si>
    <t>LORK INDUSTRIAS_2.025 / 100_</t>
  </si>
  <si>
    <t>.025 / 100</t>
  </si>
  <si>
    <t>24 / 9.120</t>
  </si>
  <si>
    <t>24 / 9.652</t>
  </si>
  <si>
    <t>LORK INDUSTRIAS_2.025 / 553_</t>
  </si>
  <si>
    <t>.025 / 553</t>
  </si>
  <si>
    <t>LORK INDUSTRIAS_2.025/1.042_</t>
  </si>
  <si>
    <t>.025/1.042</t>
  </si>
  <si>
    <t>024/10.140</t>
  </si>
  <si>
    <t>024/10.612</t>
  </si>
  <si>
    <t>LORK INDUSTRIAS_2.025 / 1.59</t>
  </si>
  <si>
    <t>25 / 1.590</t>
  </si>
  <si>
    <t>LORK INDUSTRIAS_2.025 / 2.07</t>
  </si>
  <si>
    <t>25 / 2.072</t>
  </si>
  <si>
    <t>4 / 10.998</t>
  </si>
  <si>
    <t>LORK INDUSTRIAS_2.025 / 2.56</t>
  </si>
  <si>
    <t>25 / 2.565</t>
  </si>
  <si>
    <t>IZAR CUTTING TOOLS, S.A.L</t>
  </si>
  <si>
    <t>IZAR CUTTING TO_N020227_15-0</t>
  </si>
  <si>
    <t>N020227</t>
  </si>
  <si>
    <t>IZAR CUTTING TO_N019269_15-0</t>
  </si>
  <si>
    <t>N019269</t>
  </si>
  <si>
    <t>N 2025013000483320 IZAR CUTT</t>
  </si>
  <si>
    <t>IZAR CUTTING TO_N022343_31-0</t>
  </si>
  <si>
    <t>N022343</t>
  </si>
  <si>
    <t>IZAR CUTTING TO_N021215_31-0</t>
  </si>
  <si>
    <t>N021215</t>
  </si>
  <si>
    <t>Sí</t>
  </si>
  <si>
    <t>Transf otras entid/izar v1</t>
  </si>
  <si>
    <t>IZAR CUTTING TO_N022697_11-0</t>
  </si>
  <si>
    <t>N022697</t>
  </si>
  <si>
    <t>IZAR CUTTING TO_N023413_15-0</t>
  </si>
  <si>
    <t>N023413</t>
  </si>
  <si>
    <t>IZAR CUTTING TO_N023957_15-0</t>
  </si>
  <si>
    <t>N023957</t>
  </si>
  <si>
    <t>IZAR CUTTING TO_N024302_20-0</t>
  </si>
  <si>
    <t>N024302</t>
  </si>
  <si>
    <t>N 2025052000111957 IZAR CUTT</t>
  </si>
  <si>
    <t>IZAR CUTTING TO_N025683_28-0</t>
  </si>
  <si>
    <t>N025683</t>
  </si>
  <si>
    <t>IZAR CUTTING TO_N024536_28-0</t>
  </si>
  <si>
    <t>N024536</t>
  </si>
  <si>
    <t>IZAR CUTTING TO_N026972_15-0</t>
  </si>
  <si>
    <t>N026972</t>
  </si>
  <si>
    <t>PENDENT 2024</t>
  </si>
  <si>
    <t>IZAR CUTTING TO_N029108_31-0</t>
  </si>
  <si>
    <t>N029108</t>
  </si>
  <si>
    <t>IZAR CUTTING TO_N028975_31-0</t>
  </si>
  <si>
    <t>N028975</t>
  </si>
  <si>
    <t>EURO BEARINGS SPAIN, SL</t>
  </si>
  <si>
    <t>FVN-009952</t>
  </si>
  <si>
    <t>EURO BEARINGS S_25FVN-000982</t>
  </si>
  <si>
    <t>FVN-000982</t>
  </si>
  <si>
    <t>FVN-010941</t>
  </si>
  <si>
    <t>EURO BEARINGS S_25FVN-002033</t>
  </si>
  <si>
    <t>FVN-002033</t>
  </si>
  <si>
    <t>FVN-011775</t>
  </si>
  <si>
    <t>DUERTO, SL</t>
  </si>
  <si>
    <t>01 252.958</t>
  </si>
  <si>
    <t>DUERTO, SL_NV /2025/00295_31</t>
  </si>
  <si>
    <t>2025/00295</t>
  </si>
  <si>
    <t>01 253.751</t>
  </si>
  <si>
    <t>Trans inm/duerto f01253751</t>
  </si>
  <si>
    <t>01 254.494</t>
  </si>
  <si>
    <t>FESTO AUTOMATION, SAU</t>
  </si>
  <si>
    <t>FESTO AUTOMATIO_1234534138_1</t>
  </si>
  <si>
    <t>1234534138</t>
  </si>
  <si>
    <t>1234530335</t>
  </si>
  <si>
    <t>FESTO AUTOMATIO_1234537915_3</t>
  </si>
  <si>
    <t>1234537915</t>
  </si>
  <si>
    <t>FESTO AUTOMATIO_1234537916_3</t>
  </si>
  <si>
    <t>1234537916</t>
  </si>
  <si>
    <t>FESTO AUTOMATIO_1234537914_3</t>
  </si>
  <si>
    <t>1234537914</t>
  </si>
  <si>
    <t>Transf otra/festo f123453033</t>
  </si>
  <si>
    <t>FESTO AUTOMATIO_1234547348_1</t>
  </si>
  <si>
    <t>1234547348</t>
  </si>
  <si>
    <t>N 2025076000283763 FESTO AUT</t>
  </si>
  <si>
    <t>PLASTIPOL, SA</t>
  </si>
  <si>
    <t>F/2409471</t>
  </si>
  <si>
    <t>F/2410129</t>
  </si>
  <si>
    <t>PLASTIPOL, SA_F/2502038_04-0</t>
  </si>
  <si>
    <t>F/2502038</t>
  </si>
  <si>
    <t>INDUVACUUM SL</t>
  </si>
  <si>
    <t>INDUVACUUM SL_350021_31-01-2</t>
  </si>
  <si>
    <t>350021</t>
  </si>
  <si>
    <t>04265 IND1NACUUM S.L.</t>
  </si>
  <si>
    <t>SENIGRUP, SL</t>
  </si>
  <si>
    <t>143267</t>
  </si>
  <si>
    <t>SENIGRUP, SL_144181_30-01-20</t>
  </si>
  <si>
    <t>144181</t>
  </si>
  <si>
    <t>143617</t>
  </si>
  <si>
    <t>SENIGRUP, SL_144521_28-02-20</t>
  </si>
  <si>
    <t>144521</t>
  </si>
  <si>
    <t>143876</t>
  </si>
  <si>
    <t>SENIGRUP, SL_144816_30-03-20</t>
  </si>
  <si>
    <t>144816</t>
  </si>
  <si>
    <t>INDUSTRIAS MURTRA, SA</t>
  </si>
  <si>
    <t>INDUSTRIAS MURT_302418006_12</t>
  </si>
  <si>
    <t>302418006</t>
  </si>
  <si>
    <t>INDUSTRIAS MURT_302420719_28</t>
  </si>
  <si>
    <t>302420719</t>
  </si>
  <si>
    <t>Trans inm/murtra f302407274</t>
  </si>
  <si>
    <t>PAGO FRA. 254926 DE METEOR T</t>
  </si>
  <si>
    <t>254926</t>
  </si>
  <si>
    <t>INDUSTRIAS MURT_302425489_31</t>
  </si>
  <si>
    <t>302425489</t>
  </si>
  <si>
    <t>AIGNEP IBERICA, SA</t>
  </si>
  <si>
    <t>AIGNEP IBERICA,_1100000009_1</t>
  </si>
  <si>
    <t>1100000009</t>
  </si>
  <si>
    <t>AIGNEP IBERICA,_0100000159_1</t>
  </si>
  <si>
    <t>0100000159</t>
  </si>
  <si>
    <t>AIGNEP IBERICA,_0100000727_3</t>
  </si>
  <si>
    <t>0100000727</t>
  </si>
  <si>
    <t>AIGNEP IBERICA,_0100001483_1</t>
  </si>
  <si>
    <t>0100001483</t>
  </si>
  <si>
    <t>AIGNEP IBERICA,_1100000102_1</t>
  </si>
  <si>
    <t>1100000102</t>
  </si>
  <si>
    <t>N 2025050000122626 AIGNEP IB</t>
  </si>
  <si>
    <t>SIV2349168</t>
  </si>
  <si>
    <t>0100014364</t>
  </si>
  <si>
    <t>0100013665</t>
  </si>
  <si>
    <t>AIGNEP IBERICA,_0100002155_2</t>
  </si>
  <si>
    <t>0100002155</t>
  </si>
  <si>
    <t>AIGNEP IBERICA,_0100002829_1</t>
  </si>
  <si>
    <t>0100002829</t>
  </si>
  <si>
    <t>N 2025076000417859 AIGNEP IB</t>
  </si>
  <si>
    <t>AIGNEP IBERICA,_0100003533_3</t>
  </si>
  <si>
    <t>0100003533</t>
  </si>
  <si>
    <t>AIGNEP IBERICA,_1100000249_3</t>
  </si>
  <si>
    <t>1100000249</t>
  </si>
  <si>
    <t>AIGNEP IBERICA,_0100003532_3</t>
  </si>
  <si>
    <t>0100003532</t>
  </si>
  <si>
    <t>OIL SEALS NAK,SL</t>
  </si>
  <si>
    <t>OIL SEALS NAK,S_25-1/1681_31</t>
  </si>
  <si>
    <t>25-1/1681</t>
  </si>
  <si>
    <t>OPAC, SL</t>
  </si>
  <si>
    <t>OPAC, SL_439_15-01-2025</t>
  </si>
  <si>
    <t>439</t>
  </si>
  <si>
    <t>OPAC, SL_1047_31-01-2025</t>
  </si>
  <si>
    <t>1047</t>
  </si>
  <si>
    <t>OPAC, SL_1662_15-02-2025</t>
  </si>
  <si>
    <t>1662</t>
  </si>
  <si>
    <t>N 2025048000514450 OPAC S.L.</t>
  </si>
  <si>
    <t>OPAC, SL_2270_28-02-2025</t>
  </si>
  <si>
    <t>2270</t>
  </si>
  <si>
    <t>OPAC, SL_2846_15-03-2025</t>
  </si>
  <si>
    <t>2846</t>
  </si>
  <si>
    <t>N 2025092000661974 OPAC S.L.</t>
  </si>
  <si>
    <t>TECNODIN, SL</t>
  </si>
  <si>
    <t>TECNODIN, SL_FV25-01-0196_15</t>
  </si>
  <si>
    <t>25-01-0196</t>
  </si>
  <si>
    <t>24-11-0270</t>
  </si>
  <si>
    <t>24-10-0836</t>
  </si>
  <si>
    <t>TECNODIN, SL_FV25-01-0605_31</t>
  </si>
  <si>
    <t>25-01-0605</t>
  </si>
  <si>
    <t>TECNODIN, SL_FV25-02-0315_14</t>
  </si>
  <si>
    <t>25-02-0315</t>
  </si>
  <si>
    <t>24-11-0702</t>
  </si>
  <si>
    <t>24-12-0274</t>
  </si>
  <si>
    <t>TECNODIN FV24-11-</t>
  </si>
  <si>
    <t>TECNODIN, SL_FV25-02-0765_28</t>
  </si>
  <si>
    <t>25-02-0765</t>
  </si>
  <si>
    <t>TECNODIN, SL_FV25-03-0321_14</t>
  </si>
  <si>
    <t>25-03-0321</t>
  </si>
  <si>
    <t>N 2025076000157143 TECNODIN</t>
  </si>
  <si>
    <t>TECNODIN, SL_FV25-03-0812_31</t>
  </si>
  <si>
    <t>25-03-0812</t>
  </si>
  <si>
    <t>TRAME, SL</t>
  </si>
  <si>
    <t>TRAME, SL_A/28986_31-01-2025</t>
  </si>
  <si>
    <t>A/28986</t>
  </si>
  <si>
    <t>TRAME, SL_A/29030_14-02-2025</t>
  </si>
  <si>
    <t>A/29030</t>
  </si>
  <si>
    <t>METALURGICA ROES, SA</t>
  </si>
  <si>
    <t>TRANSFERENCIA A METALURGIA R</t>
  </si>
  <si>
    <t>METALURGICA ROE_No250054_20-</t>
  </si>
  <si>
    <t>No250054</t>
  </si>
  <si>
    <t>M ROES ALB. R/115432</t>
  </si>
  <si>
    <t>METALURGICA ROE_No250542_20-</t>
  </si>
  <si>
    <t>No250542</t>
  </si>
  <si>
    <t>M ROES ALB. R/115532</t>
  </si>
  <si>
    <t>TRILLA Y VENTURA, SL</t>
  </si>
  <si>
    <t>241007</t>
  </si>
  <si>
    <t>TRILLA Y VENTUR_250193_28-02</t>
  </si>
  <si>
    <t>250193</t>
  </si>
  <si>
    <t>TRILLA Y VENTUR_250291_28-03</t>
  </si>
  <si>
    <t>250291</t>
  </si>
  <si>
    <t>FECIN CEPILLERIA INDUSTRIAL, S</t>
  </si>
  <si>
    <t>N 2025048000126947 FECIN, SA</t>
  </si>
  <si>
    <t>RODAMIENTOS B.N.P., SA</t>
  </si>
  <si>
    <t>90664</t>
  </si>
  <si>
    <t>90921</t>
  </si>
  <si>
    <t>RODAMIENTOS B.N_91684_15-03-</t>
  </si>
  <si>
    <t>91684</t>
  </si>
  <si>
    <t>DIFUSORA DE ARTICULOS MEC. ESP</t>
  </si>
  <si>
    <t>DIFUSORA DE ART_25F00492_15-</t>
  </si>
  <si>
    <t>25F00492</t>
  </si>
  <si>
    <t>24F40857</t>
  </si>
  <si>
    <t>N 2025015000181902 DIFUSORA</t>
  </si>
  <si>
    <t>24F38997</t>
  </si>
  <si>
    <t>24F42650</t>
  </si>
  <si>
    <t>24F41459</t>
  </si>
  <si>
    <t>DIFUSORA DE ART_25F03162_31-</t>
  </si>
  <si>
    <t>25F03162</t>
  </si>
  <si>
    <t>DIFUSORA DE ART_25F04671_15-</t>
  </si>
  <si>
    <t>25F04671</t>
  </si>
  <si>
    <t>24F43405</t>
  </si>
  <si>
    <t>24F44982</t>
  </si>
  <si>
    <t>DIFUSORA DE ART_25A00349_28-</t>
  </si>
  <si>
    <t>25A00349</t>
  </si>
  <si>
    <t>DIFUSORA DE ART_25F07318_28-</t>
  </si>
  <si>
    <t>25F07318</t>
  </si>
  <si>
    <t>DIFUSORA DE ART_25F09345_15-</t>
  </si>
  <si>
    <t>25F09345</t>
  </si>
  <si>
    <t>DIFUSORA DE ART_25F10679_31-</t>
  </si>
  <si>
    <t>25F10679</t>
  </si>
  <si>
    <t>N 2025105000599567 DIFUSORA</t>
  </si>
  <si>
    <t>OPTOR, SA</t>
  </si>
  <si>
    <t>2024/10074</t>
  </si>
  <si>
    <t>OPTOR, SA_INV/2025/00701_31-</t>
  </si>
  <si>
    <t>2025/00701</t>
  </si>
  <si>
    <t>Transf otras ent/optor f1007</t>
  </si>
  <si>
    <t>OPTOR, SA_INV/2025/01260_14-</t>
  </si>
  <si>
    <t>2025/01260</t>
  </si>
  <si>
    <t>OPTOR, SA_INV/2025/01571_28-</t>
  </si>
  <si>
    <t>2025/01571</t>
  </si>
  <si>
    <t>OPTOR, SA_INV/2025/03255_31-</t>
  </si>
  <si>
    <t>2025/03255</t>
  </si>
  <si>
    <t>RECITECNIC SEGURIDAD, SA</t>
  </si>
  <si>
    <t>1/151271</t>
  </si>
  <si>
    <t>RECITECNIC SEGU_1/152474_30-</t>
  </si>
  <si>
    <t>1/152474</t>
  </si>
  <si>
    <t>RECITECNIC SEGU_1/153643_28-</t>
  </si>
  <si>
    <t>1/153643</t>
  </si>
  <si>
    <t>1/154778</t>
  </si>
  <si>
    <t>RECITECNIC SEGU_1/154778_30-</t>
  </si>
  <si>
    <t>AC MARCA ADHESIVES, SAU (CEYS</t>
  </si>
  <si>
    <t>3024152310</t>
  </si>
  <si>
    <t>AC MARCA ADHESI_3025104279_2</t>
  </si>
  <si>
    <t>3025104279</t>
  </si>
  <si>
    <t>AC MARCA ADHESI_3025105495_0</t>
  </si>
  <si>
    <t>3025105495</t>
  </si>
  <si>
    <t>3024158483</t>
  </si>
  <si>
    <t>AC MARCA ADHESI_3025108161_1</t>
  </si>
  <si>
    <t>3025108161</t>
  </si>
  <si>
    <t>AC MARCA ADHESI_3025112414_1</t>
  </si>
  <si>
    <t>3025112414</t>
  </si>
  <si>
    <t>3024145591</t>
  </si>
  <si>
    <t>FERRETERIA UNCETA, SA</t>
  </si>
  <si>
    <t>2024/35842</t>
  </si>
  <si>
    <t>UNCETA F24/35842</t>
  </si>
  <si>
    <t>2024/39600</t>
  </si>
  <si>
    <t>Trans inm/unceta f39600</t>
  </si>
  <si>
    <t>FERRETERIA UNCE_2025/07778_1</t>
  </si>
  <si>
    <t>2025/07778</t>
  </si>
  <si>
    <t>ASSESSORIA EGARA SL</t>
  </si>
  <si>
    <t>Su Fra. 0000118</t>
  </si>
  <si>
    <t>1/0000118</t>
  </si>
  <si>
    <t>Su Fra. 0000163</t>
  </si>
  <si>
    <t>1/0000163</t>
  </si>
  <si>
    <t>Su Fra. 0000286</t>
  </si>
  <si>
    <t>1/0000286</t>
  </si>
  <si>
    <t>N 2025049000306340 ASSESSORI</t>
  </si>
  <si>
    <t>Cobro Por Financiación 05/03</t>
  </si>
  <si>
    <t>Su Fra. 0000329</t>
  </si>
  <si>
    <t>1/0000329</t>
  </si>
  <si>
    <t>Su Fra. 0000448</t>
  </si>
  <si>
    <t>1/0000448</t>
  </si>
  <si>
    <t>Cobro Por Financiación 07/04</t>
  </si>
  <si>
    <t>INDUSTRIES CONESA, SL</t>
  </si>
  <si>
    <t>INDUSTRIES CONE_5005_10-01-2</t>
  </si>
  <si>
    <t>5005</t>
  </si>
  <si>
    <t>REYZABAL INDUSTRIAL, SA</t>
  </si>
  <si>
    <t>2.421.848</t>
  </si>
  <si>
    <t>REYZABAL INDUST_2.520.076_31</t>
  </si>
  <si>
    <t>2.520.076</t>
  </si>
  <si>
    <t>Transf otra/reyzabal f242184</t>
  </si>
  <si>
    <t>2.422.054</t>
  </si>
  <si>
    <t>REYZABAL INDUST_2.520.274_28</t>
  </si>
  <si>
    <t>2.520.274</t>
  </si>
  <si>
    <t>2.422.226</t>
  </si>
  <si>
    <t>REYZABAL INDUST_2.520.481_31</t>
  </si>
  <si>
    <t>2.520.481</t>
  </si>
  <si>
    <t>ROTULAS Y ARTICULACIONES, SL</t>
  </si>
  <si>
    <t>ROTULAS Y ARTICULACIONES F.7</t>
  </si>
  <si>
    <t>ROTULAS Y ARTIC_A 262_31-03-</t>
  </si>
  <si>
    <t>A 262</t>
  </si>
  <si>
    <t>HIPER ALUMINIO, SA</t>
  </si>
  <si>
    <t>HIPER ALUMINIO FPROF25-04422</t>
  </si>
  <si>
    <t>EINES CANELA SA</t>
  </si>
  <si>
    <t>VR24-02852</t>
  </si>
  <si>
    <t>EINES CANELA SA_FVR25-00609_</t>
  </si>
  <si>
    <t>VR25-00609</t>
  </si>
  <si>
    <t>EINES CANELA SA_FVR25-01369_</t>
  </si>
  <si>
    <t>VR25-01369</t>
  </si>
  <si>
    <t>EINES CANELA SA_FVR25-01720_</t>
  </si>
  <si>
    <t>VR25-01720</t>
  </si>
  <si>
    <t>VR24-03970</t>
  </si>
  <si>
    <t>ASLAK, SL</t>
  </si>
  <si>
    <t>ASLAK, SL_25000063_05-01-202</t>
  </si>
  <si>
    <t>25000063</t>
  </si>
  <si>
    <t>ASLAK, SL_25000458_13-01-202</t>
  </si>
  <si>
    <t>25000458</t>
  </si>
  <si>
    <t>ASLAK, SL_25001025_15-01-202</t>
  </si>
  <si>
    <t>25001025</t>
  </si>
  <si>
    <t>ASLAK, SL_25100100_16-01-202</t>
  </si>
  <si>
    <t>25100100</t>
  </si>
  <si>
    <t>ASLAK, SL_25100101_16-01-202</t>
  </si>
  <si>
    <t>25100101</t>
  </si>
  <si>
    <t>ASLAK, SL_25001476_21-01-202</t>
  </si>
  <si>
    <t>25001476</t>
  </si>
  <si>
    <t>ASLAK, SL_25002029_25-01-202</t>
  </si>
  <si>
    <t>25002029</t>
  </si>
  <si>
    <t>ASLAK, SL_25002626_31-01-202</t>
  </si>
  <si>
    <t>25002626</t>
  </si>
  <si>
    <t>ASLAK, SL_25003312_05-02-202</t>
  </si>
  <si>
    <t>25003312</t>
  </si>
  <si>
    <t>ASLAK, SL_25003882_10-02-202</t>
  </si>
  <si>
    <t>25003882</t>
  </si>
  <si>
    <t>ASLAK, SL_25004450_15-02-202</t>
  </si>
  <si>
    <t>25004450</t>
  </si>
  <si>
    <t>ASLAK, SL_25004977_20-02-202</t>
  </si>
  <si>
    <t>25004977</t>
  </si>
  <si>
    <t>ASLAK, SL_25005649_25-02-202</t>
  </si>
  <si>
    <t>25005649</t>
  </si>
  <si>
    <t>ASLAK, SL_25006041_28-02-202</t>
  </si>
  <si>
    <t>25006041</t>
  </si>
  <si>
    <t>ASLAK, SL_25006521_05-03-202</t>
  </si>
  <si>
    <t>25006521</t>
  </si>
  <si>
    <t>ASLAK, SL_25007024_10-03-202</t>
  </si>
  <si>
    <t>25007024</t>
  </si>
  <si>
    <t>ASLAK, SL_25007574_15-03-202</t>
  </si>
  <si>
    <t>25007574</t>
  </si>
  <si>
    <t>ASLAK, SL_25008132_20-03-202</t>
  </si>
  <si>
    <t>25008132</t>
  </si>
  <si>
    <t>ASLAK, SL_25100482_24-03-202</t>
  </si>
  <si>
    <t>25100482</t>
  </si>
  <si>
    <t>ASLAK, SL_25008716_25-03-202</t>
  </si>
  <si>
    <t>25008716</t>
  </si>
  <si>
    <t>ASLAK, SL_25100507_26-03-202</t>
  </si>
  <si>
    <t>25100507</t>
  </si>
  <si>
    <t>TRU 27/3/2025   2401244RAP</t>
  </si>
  <si>
    <t>ASLAK, SL_25009591_31-03-202</t>
  </si>
  <si>
    <t>25009591</t>
  </si>
  <si>
    <t>RODAMIENTOS FEYC, SA</t>
  </si>
  <si>
    <t>RODAMIENTOS FEY_16303535_28-</t>
  </si>
  <si>
    <t>16303535</t>
  </si>
  <si>
    <t>RODAMIENTOS FEY_16304370_15-</t>
  </si>
  <si>
    <t>16304370</t>
  </si>
  <si>
    <t>16301425</t>
  </si>
  <si>
    <t>GRAUPE, SA</t>
  </si>
  <si>
    <t>31607</t>
  </si>
  <si>
    <t>31669</t>
  </si>
  <si>
    <t>GRAUPE, SA_31951_28-02-2025</t>
  </si>
  <si>
    <t>31951</t>
  </si>
  <si>
    <t>31750</t>
  </si>
  <si>
    <t>GRAUPE, SA_32024_31-03-2025</t>
  </si>
  <si>
    <t>32024</t>
  </si>
  <si>
    <t>FARU,SL</t>
  </si>
  <si>
    <t>215166</t>
  </si>
  <si>
    <t>FARU F215166</t>
  </si>
  <si>
    <t>S.L DE HERRAMIENTAS ESPECIALES</t>
  </si>
  <si>
    <t>S.L DE HERRAMIE_CR 197619_27</t>
  </si>
  <si>
    <t>CR 197619</t>
  </si>
  <si>
    <t>S.L DE HERRAMIE_AN 7368_29-0</t>
  </si>
  <si>
    <t>AN 7368</t>
  </si>
  <si>
    <t>S.L DE HERRAMIE_CR 197823_31</t>
  </si>
  <si>
    <t>CR 197823</t>
  </si>
  <si>
    <t>S.L DE HERRAMIE_CR 198393_10</t>
  </si>
  <si>
    <t>CR 198393</t>
  </si>
  <si>
    <t>S.L DE HERRAMIE_CR 198534_24</t>
  </si>
  <si>
    <t>CR 198534</t>
  </si>
  <si>
    <t>N 2025105000331733 SOCIEDAD</t>
  </si>
  <si>
    <t>BBVA</t>
  </si>
  <si>
    <t>BBVA_50797A00078520_20-02-20</t>
  </si>
  <si>
    <t>7A00078520</t>
  </si>
  <si>
    <t>LARWIND NEUMATICA, SA</t>
  </si>
  <si>
    <t>LARWIND NEUMATI_52500112_20-</t>
  </si>
  <si>
    <t>52500112</t>
  </si>
  <si>
    <t>52405317</t>
  </si>
  <si>
    <t>LARWIND NEUMATI_32500034_20-</t>
  </si>
  <si>
    <t>32500034</t>
  </si>
  <si>
    <t>LARWIND NEUMATI_52500881_28-</t>
  </si>
  <si>
    <t>52500881</t>
  </si>
  <si>
    <t>52405635</t>
  </si>
  <si>
    <t>N 2025105000147688 LARWIND N</t>
  </si>
  <si>
    <t>ACCESORIOS Y RUEDAS, SA</t>
  </si>
  <si>
    <t>TALLERES EMIT, SA</t>
  </si>
  <si>
    <t>TALLERES EMIT, _2025/45193_1</t>
  </si>
  <si>
    <t>2025/45193</t>
  </si>
  <si>
    <t>ABRASIVOS SAIT ESPANA, SA</t>
  </si>
  <si>
    <t>aular fra recibida</t>
  </si>
  <si>
    <t>24000181</t>
  </si>
  <si>
    <t>FRA RECIBIDA CORRECTA</t>
  </si>
  <si>
    <t>181</t>
  </si>
  <si>
    <t>ABRASIVOS SAIT _24000339_31-</t>
  </si>
  <si>
    <t>24000339</t>
  </si>
  <si>
    <t>ABRASIVOS SAIT _25000023_10-</t>
  </si>
  <si>
    <t>25000023</t>
  </si>
  <si>
    <t>ABRASIVOS SAIT _25000366_31-</t>
  </si>
  <si>
    <t>25000366</t>
  </si>
  <si>
    <t>ABRASIVOS SAIT _25000487_07-</t>
  </si>
  <si>
    <t>25000487</t>
  </si>
  <si>
    <t>ABRASIVOS SAIT _25000608_17-</t>
  </si>
  <si>
    <t>25000608</t>
  </si>
  <si>
    <t>N 2025048000454407 ABRASIVOS</t>
  </si>
  <si>
    <t>N 2025076000246328 ABRASIVOS</t>
  </si>
  <si>
    <t>N 2025105000344080 ABRASIVOS</t>
  </si>
  <si>
    <t>MANTENIMENT BASIC TECNIC EGARA</t>
  </si>
  <si>
    <t>N 2025013000485723 MANTENIME</t>
  </si>
  <si>
    <t>MANTENIMENT BAS_1 250241_15-</t>
  </si>
  <si>
    <t>1 250241</t>
  </si>
  <si>
    <t>N 2025044000261412 MANTENIME</t>
  </si>
  <si>
    <t>SCOA MAYORISTA DE FERRETERIA S</t>
  </si>
  <si>
    <t>SCOA MAYORISTA _C-SGR2500417</t>
  </si>
  <si>
    <t>GR25004172</t>
  </si>
  <si>
    <t>GR24031958</t>
  </si>
  <si>
    <t>SCOA MAYORISTA _C-SGR2500703</t>
  </si>
  <si>
    <t>GR25007038</t>
  </si>
  <si>
    <t>ALUMINIOS Y PLASTICOS CATALUNA</t>
  </si>
  <si>
    <t>136803</t>
  </si>
  <si>
    <t>136920</t>
  </si>
  <si>
    <t>ALUMINIOS Y PLA_137276_19-01</t>
  </si>
  <si>
    <t>137276</t>
  </si>
  <si>
    <t>ALUMINIOS Y PLA_N-000085_31-</t>
  </si>
  <si>
    <t>N-000085</t>
  </si>
  <si>
    <t>ALUMINIOS Y PLA_N - 000203_1</t>
  </si>
  <si>
    <t>N - 000203</t>
  </si>
  <si>
    <t>137015</t>
  </si>
  <si>
    <t>ALUMINIOS Y PLA_000319_28-02</t>
  </si>
  <si>
    <t>000319</t>
  </si>
  <si>
    <t>ALUMINIOS Y PLA_000451_14-03</t>
  </si>
  <si>
    <t>000451</t>
  </si>
  <si>
    <t>137153</t>
  </si>
  <si>
    <t>ALUMINIOS Y PLA_000566_31-03</t>
  </si>
  <si>
    <t>000566</t>
  </si>
  <si>
    <t>LUMETAL PLASTIC, SL</t>
  </si>
  <si>
    <t>LUMETAL PLASTIC_2500006_10-0</t>
  </si>
  <si>
    <t>2500006</t>
  </si>
  <si>
    <t>2405090</t>
  </si>
  <si>
    <t>LUMETAL PLASTIC_2500505_05-0</t>
  </si>
  <si>
    <t>2500505</t>
  </si>
  <si>
    <t>LUMETAL PLASTIC_2500782_19-0</t>
  </si>
  <si>
    <t>2500782</t>
  </si>
  <si>
    <t>LUMETAL PLASTIC_2501056_06-0</t>
  </si>
  <si>
    <t>2501056</t>
  </si>
  <si>
    <t>LUMETAL PLASTIC_2501449_28-0</t>
  </si>
  <si>
    <t>2501449</t>
  </si>
  <si>
    <t>KALKUM EZQUERRA, SL</t>
  </si>
  <si>
    <t>KALKUM EZQUERRA_00/54084_27-</t>
  </si>
  <si>
    <t>00/54084</t>
  </si>
  <si>
    <t>CELESA, SA</t>
  </si>
  <si>
    <t>CELESA, SA_25100590_07-01-20</t>
  </si>
  <si>
    <t>25100590</t>
  </si>
  <si>
    <t>24133538</t>
  </si>
  <si>
    <t>24132000</t>
  </si>
  <si>
    <t>Transferencia A Favor De Cel</t>
  </si>
  <si>
    <t>CELESA, SA_25104086_06-02-20</t>
  </si>
  <si>
    <t>25104086</t>
  </si>
  <si>
    <t>24136707</t>
  </si>
  <si>
    <t>24135321</t>
  </si>
  <si>
    <t>CELESA, SA_25106109_26-02-20</t>
  </si>
  <si>
    <t>25106109</t>
  </si>
  <si>
    <t>CELESA, SA_25107649_12-03-20</t>
  </si>
  <si>
    <t>25107649</t>
  </si>
  <si>
    <t>CELESA, SA_25109645_24-03-20</t>
  </si>
  <si>
    <t>25109645</t>
  </si>
  <si>
    <t>PALLARES, CB</t>
  </si>
  <si>
    <t>PALLARES, CB_250466_27-02-20</t>
  </si>
  <si>
    <t>250466</t>
  </si>
  <si>
    <t>FERRETERIA EGARA, SL</t>
  </si>
  <si>
    <t>B 497</t>
  </si>
  <si>
    <t>FERRETERIA EGAR_B 29_31-01-2</t>
  </si>
  <si>
    <t>B 29</t>
  </si>
  <si>
    <t>B 547</t>
  </si>
  <si>
    <t>FERRETERIA EGAR_B 84_28-02-2</t>
  </si>
  <si>
    <t>B 84</t>
  </si>
  <si>
    <t>B 595</t>
  </si>
  <si>
    <t>FERRETERIA EGAR_127_31-03-20</t>
  </si>
  <si>
    <t>127</t>
  </si>
  <si>
    <t>MECANIZADOS LUNA GREGORIO, SA</t>
  </si>
  <si>
    <t>MECANIZADOS LUN_121_31-01-20</t>
  </si>
  <si>
    <t>121</t>
  </si>
  <si>
    <t>MECANIZADOS LUN_461_15-03-20</t>
  </si>
  <si>
    <t>461</t>
  </si>
  <si>
    <t>DAUNIS, SA</t>
  </si>
  <si>
    <t>DAUNIS, SA_FR927098_15-01-20</t>
  </si>
  <si>
    <t>FR927098</t>
  </si>
  <si>
    <t>FR921675</t>
  </si>
  <si>
    <t>DAUNIS, SA_FR928365_31-01-20</t>
  </si>
  <si>
    <t>FR928365</t>
  </si>
  <si>
    <t>DAUNIS, SA_FR929547_15-02-20</t>
  </si>
  <si>
    <t>FR929547</t>
  </si>
  <si>
    <t>FR923984</t>
  </si>
  <si>
    <t>FR925150</t>
  </si>
  <si>
    <t>DAUNIS, SA_FR930690_28-02-20</t>
  </si>
  <si>
    <t>FR930690</t>
  </si>
  <si>
    <t>DAUNIS, SA_FR931780_15-03-20</t>
  </si>
  <si>
    <t>FR931780</t>
  </si>
  <si>
    <t>FR926119</t>
  </si>
  <si>
    <t>DAUNIS, SA_FR932991_31-03-20</t>
  </si>
  <si>
    <t>FR932991</t>
  </si>
  <si>
    <t>SOLTER SOLDADURA, SL</t>
  </si>
  <si>
    <t>N 2025015000372350 Solter So</t>
  </si>
  <si>
    <t>SOLTER 08850/0887</t>
  </si>
  <si>
    <t>2024/09562</t>
  </si>
  <si>
    <t>SOLTER SOLDADUR_S01/2025/005</t>
  </si>
  <si>
    <t>2025/00564</t>
  </si>
  <si>
    <t>SOLTER SOLDADUR_S01/2025/009</t>
  </si>
  <si>
    <t>2025/00950</t>
  </si>
  <si>
    <t>SOLTER SOLDADUR_S01/2025/011</t>
  </si>
  <si>
    <t>2025/01149</t>
  </si>
  <si>
    <t>N 2025048000461225 Solter So</t>
  </si>
  <si>
    <t>SOLTER SOLDADUR_S01/2025/013</t>
  </si>
  <si>
    <t>2025/01368</t>
  </si>
  <si>
    <t>SOLTER SOLDADUR_501/2025/017</t>
  </si>
  <si>
    <t>2025/01726</t>
  </si>
  <si>
    <t>SOLTER SOLDADUR_S01/2025/019</t>
  </si>
  <si>
    <t>2025/01919</t>
  </si>
  <si>
    <t>SOLTER SOLDADUR_S01/2025/023</t>
  </si>
  <si>
    <t>2025/02334</t>
  </si>
  <si>
    <t>SOLTER SOLDADUR_S01/2025/025</t>
  </si>
  <si>
    <t>2025/02523</t>
  </si>
  <si>
    <t>N 2025105000346150 Solter So</t>
  </si>
  <si>
    <t>SISTEMAS DE EMBALAJE SORSA, S.</t>
  </si>
  <si>
    <t>SISTEMAS DE EMB_FVREG25-0064</t>
  </si>
  <si>
    <t>EG25-00646</t>
  </si>
  <si>
    <t>EG24-07336</t>
  </si>
  <si>
    <t>Transf i/sorsa ffvreg24-0733</t>
  </si>
  <si>
    <t>SISTEMAS DE EMB_FVREG25-0194</t>
  </si>
  <si>
    <t>EG25-01944</t>
  </si>
  <si>
    <t>EG25-01945</t>
  </si>
  <si>
    <t>FRANK KEERL, SA</t>
  </si>
  <si>
    <t>FRANK KEERL, SA_VF25-01235_1</t>
  </si>
  <si>
    <t>VF25-01235</t>
  </si>
  <si>
    <t>CELO DISTRIBUCION, SA</t>
  </si>
  <si>
    <t>CELO DISTRIBUCI_25010212/FA_</t>
  </si>
  <si>
    <t>5010212/FA</t>
  </si>
  <si>
    <t>4100818/FA</t>
  </si>
  <si>
    <t>4101152/FA</t>
  </si>
  <si>
    <t>4110015/FA</t>
  </si>
  <si>
    <t>4100982/FA</t>
  </si>
  <si>
    <t>CELO DISTRIBUCI_25010721/FA_</t>
  </si>
  <si>
    <t>5010721/FA</t>
  </si>
  <si>
    <t>CELO DISTRIBUCI_25011069/FA_</t>
  </si>
  <si>
    <t>5011069/FA</t>
  </si>
  <si>
    <t>CELO DISTRIBUCI_25011123/FA_</t>
  </si>
  <si>
    <t>5011123/FA</t>
  </si>
  <si>
    <t>CELO DISTRIBUCI_25020021/FA_</t>
  </si>
  <si>
    <t>5020021/FA</t>
  </si>
  <si>
    <t>CELO DISTRIBUCI_25020378/FA_</t>
  </si>
  <si>
    <t>5020378/FA</t>
  </si>
  <si>
    <t>4110661/FA</t>
  </si>
  <si>
    <t>4111080/FA</t>
  </si>
  <si>
    <t>4110972/FA</t>
  </si>
  <si>
    <t>4120148/FA</t>
  </si>
  <si>
    <t>4120224/FA</t>
  </si>
  <si>
    <t>CELO DISTRIBUCI_25020848/FA_</t>
  </si>
  <si>
    <t>5020848/FA</t>
  </si>
  <si>
    <t>CELO DISTRIBUCI_25030272/FA_</t>
  </si>
  <si>
    <t>5030272/FA</t>
  </si>
  <si>
    <t>CELO DISTRIBUCI_25030015/DV_</t>
  </si>
  <si>
    <t>5030015/DV</t>
  </si>
  <si>
    <t>4120669/FA</t>
  </si>
  <si>
    <t>CELO DISTRIBUCI_25030725/FA_</t>
  </si>
  <si>
    <t>5030725/FA</t>
  </si>
  <si>
    <t>CELO DISTRIBUCI_25030816/FA_</t>
  </si>
  <si>
    <t>5030816/FA</t>
  </si>
  <si>
    <t>CELO DISTRIBUCI_25031094/FA_</t>
  </si>
  <si>
    <t>5031094/FA</t>
  </si>
  <si>
    <t>3L INTERNACIONAL, SA</t>
  </si>
  <si>
    <t>3L INTERNACIONA_210452_10-01</t>
  </si>
  <si>
    <t>210452</t>
  </si>
  <si>
    <t>3L INTERNACIONA_210691_15-01</t>
  </si>
  <si>
    <t>210691</t>
  </si>
  <si>
    <t>3L INTERNACIONA_210757_15-01</t>
  </si>
  <si>
    <t>210757</t>
  </si>
  <si>
    <t>207784</t>
  </si>
  <si>
    <t>206712</t>
  </si>
  <si>
    <t>Transferencia A Favor De 3l</t>
  </si>
  <si>
    <t>3L INTERNACIONA_212345_12-02</t>
  </si>
  <si>
    <t>212345</t>
  </si>
  <si>
    <t>208743</t>
  </si>
  <si>
    <t>209508</t>
  </si>
  <si>
    <t>209966</t>
  </si>
  <si>
    <t>210025</t>
  </si>
  <si>
    <t>3L INTERNACIONA_214322_19-03</t>
  </si>
  <si>
    <t>214322</t>
  </si>
  <si>
    <t>BUENO HERMANOS, SA</t>
  </si>
  <si>
    <t>32413815</t>
  </si>
  <si>
    <t>Transferencia A Favor De 3cl</t>
  </si>
  <si>
    <t>BUENO HERMANOS,_32501688_06-</t>
  </si>
  <si>
    <t>32501688</t>
  </si>
  <si>
    <t>BUENO HERMANOS,_32503077_07-</t>
  </si>
  <si>
    <t>32503077</t>
  </si>
  <si>
    <t>DISTRIBUCIONES ISMA 1944, SL</t>
  </si>
  <si>
    <t>24001592</t>
  </si>
  <si>
    <t>ISMA 24001131</t>
  </si>
  <si>
    <t>DISTRIBUCIONES _25000083_31-</t>
  </si>
  <si>
    <t>25000083</t>
  </si>
  <si>
    <t>Transf otras e/isma f2400159</t>
  </si>
  <si>
    <t>DISTRIBUCIONES _25000217_15-</t>
  </si>
  <si>
    <t>25000217</t>
  </si>
  <si>
    <t>24001758</t>
  </si>
  <si>
    <t>Trans inm/isma f24001758</t>
  </si>
  <si>
    <t>24001928</t>
  </si>
  <si>
    <t>DISTRIBUCIONES _25000448_31-</t>
  </si>
  <si>
    <t>25000448</t>
  </si>
  <si>
    <t>ALMACENES SIDEROMETALURGICOS S</t>
  </si>
  <si>
    <t>RA24101929</t>
  </si>
  <si>
    <t>ALMACENES SIDER_VFRG25000007</t>
  </si>
  <si>
    <t>RG25000007</t>
  </si>
  <si>
    <t>ALSIMET F24101929</t>
  </si>
  <si>
    <t>N 2025048000452285 Almacenes</t>
  </si>
  <si>
    <t>RA24112240</t>
  </si>
  <si>
    <t>RA24120822</t>
  </si>
  <si>
    <t>ALMACENES SIDER_VFRA25022826</t>
  </si>
  <si>
    <t>RA25022826</t>
  </si>
  <si>
    <t>CRC INDUSTRIES IBERIA, S.L.U</t>
  </si>
  <si>
    <t>Transferencia Inmediata A Fa</t>
  </si>
  <si>
    <t>AGENCIA INTERNACIONAL DEL COME</t>
  </si>
  <si>
    <t>AGENCIA INTERNA_0000773_13-0</t>
  </si>
  <si>
    <t>0000773</t>
  </si>
  <si>
    <t>0007854</t>
  </si>
  <si>
    <t>PAGO FRA. 24713 DE KOMET TRA</t>
  </si>
  <si>
    <t>24713</t>
  </si>
  <si>
    <t>AGINCO F950/0007854</t>
  </si>
  <si>
    <t>AGENCIA INTERNA_0002011_31-0</t>
  </si>
  <si>
    <t>0002011</t>
  </si>
  <si>
    <t>ROMOSOLD, SL</t>
  </si>
  <si>
    <t>ROMOSOLD, SL_INV/2025/0463_1</t>
  </si>
  <si>
    <t>/2025/0463</t>
  </si>
  <si>
    <t>/2024/3927</t>
  </si>
  <si>
    <t>GAYNER, SA</t>
  </si>
  <si>
    <t>F2415228</t>
  </si>
  <si>
    <t>F2416623</t>
  </si>
  <si>
    <t>F2415543</t>
  </si>
  <si>
    <t>GAYNER, SA_F250100672_17-01-</t>
  </si>
  <si>
    <t>F250100672</t>
  </si>
  <si>
    <t>GAYNER, SA_F250101227_30-01-</t>
  </si>
  <si>
    <t>F250101227</t>
  </si>
  <si>
    <t>GAYNER, SA_F250101510_31-01-</t>
  </si>
  <si>
    <t>F250101510</t>
  </si>
  <si>
    <t>GAYNER, SA_F250200013_05-02-</t>
  </si>
  <si>
    <t>F250200013</t>
  </si>
  <si>
    <t>F2417474</t>
  </si>
  <si>
    <t>F2418108</t>
  </si>
  <si>
    <t>Trans inm/gayner f2418108</t>
  </si>
  <si>
    <t>GAYNER, SA_F250300728_20-03-</t>
  </si>
  <si>
    <t>F250300728</t>
  </si>
  <si>
    <t>GAYNER, SA_F250301035_25-03-</t>
  </si>
  <si>
    <t>F250301035</t>
  </si>
  <si>
    <t>COMPANIA INTER. TRANSMISIONES,</t>
  </si>
  <si>
    <t>COMPANIA INTER._V-FAC12460_1</t>
  </si>
  <si>
    <t>V-FAC12460</t>
  </si>
  <si>
    <t>COMPA.IA INTERNACIONAL TRANS</t>
  </si>
  <si>
    <t>AB-00275</t>
  </si>
  <si>
    <t>COMPANIA INTER._V-FAC12681_0</t>
  </si>
  <si>
    <t>V-FAC12681</t>
  </si>
  <si>
    <t>V-FAC12428</t>
  </si>
  <si>
    <t>COMPANIA INTER._V-FAC12874_0</t>
  </si>
  <si>
    <t>V-FAC12874</t>
  </si>
  <si>
    <t>COMPANIA INTER._V-FAC12931_1</t>
  </si>
  <si>
    <t>V-FAC12931</t>
  </si>
  <si>
    <t>COMPANIA INTER._V-FAC12970_2</t>
  </si>
  <si>
    <t>V-FAC12970</t>
  </si>
  <si>
    <t>SUMINISTROS INDUSTRIALES Y EMB</t>
  </si>
  <si>
    <t>SUMINISTROS IND_F1160764_15-</t>
  </si>
  <si>
    <t>F1160764</t>
  </si>
  <si>
    <t>N 2025015000068142 SIESA</t>
  </si>
  <si>
    <t>SIESA F1160083</t>
  </si>
  <si>
    <t>SUMINISTROS IND_F1161237_14-</t>
  </si>
  <si>
    <t>F1161237</t>
  </si>
  <si>
    <t>N 2025048000082701 SIESA</t>
  </si>
  <si>
    <t>N 2025048000082980 SIESA</t>
  </si>
  <si>
    <t>SUMINISTROS IND_R1 83572_19-</t>
  </si>
  <si>
    <t>R1 83572</t>
  </si>
  <si>
    <t>N 2025076000101031 SIESA</t>
  </si>
  <si>
    <t>MANGUERAS SOMA,SL</t>
  </si>
  <si>
    <t>MANGUERAS SOMA,_FV2500077_15</t>
  </si>
  <si>
    <t>FV2500077</t>
  </si>
  <si>
    <t>24/10829</t>
  </si>
  <si>
    <t>MANGUERAS SOMA,_FV2500588_31</t>
  </si>
  <si>
    <t>FV2500588</t>
  </si>
  <si>
    <t>MANGUERAS SOMA,_FV251248_17-</t>
  </si>
  <si>
    <t>FV251248</t>
  </si>
  <si>
    <t>24/12635</t>
  </si>
  <si>
    <t>24/12080</t>
  </si>
  <si>
    <t>MANGUERAS SOMA,_FV2501853_28</t>
  </si>
  <si>
    <t>FV2501853</t>
  </si>
  <si>
    <t>Trans inm/msoma f24/12635-12</t>
  </si>
  <si>
    <t>MANGUERAS SOMA,_FV2502442_15</t>
  </si>
  <si>
    <t>FV2502442</t>
  </si>
  <si>
    <t>24/13141</t>
  </si>
  <si>
    <t>MANGUERAS SOMA,_FV2502995_31</t>
  </si>
  <si>
    <t>FV2502995</t>
  </si>
  <si>
    <t>HISPANOX, SA</t>
  </si>
  <si>
    <t>HISPANOX, SA_F2500430_15-01-</t>
  </si>
  <si>
    <t>F2500430</t>
  </si>
  <si>
    <t>N 2025015000369087 HISPANOX</t>
  </si>
  <si>
    <t>FIN3684410010588</t>
  </si>
  <si>
    <t>Transferencia A Favor De His</t>
  </si>
  <si>
    <t>HISPANOX, SA_F2502051_15-02-</t>
  </si>
  <si>
    <t>F2502051</t>
  </si>
  <si>
    <t>N 2025048000457355 HISPANOX</t>
  </si>
  <si>
    <t>HISPANOX, SA_F2502823_28-02-</t>
  </si>
  <si>
    <t>F2502823</t>
  </si>
  <si>
    <t>HISPANOX, SA_F2503542_15-03-</t>
  </si>
  <si>
    <t>F2503542</t>
  </si>
  <si>
    <t>HISPANOX, SA_F2504241_30-03-</t>
  </si>
  <si>
    <t>F2504241</t>
  </si>
  <si>
    <t>COLOMES BERCIAL, JOAN</t>
  </si>
  <si>
    <t>TRACTEL IBERICA, SA</t>
  </si>
  <si>
    <t>TRACTEL IBERICA_500539_06-02</t>
  </si>
  <si>
    <t>500539</t>
  </si>
  <si>
    <t>ROMAISOL, SL</t>
  </si>
  <si>
    <t>ROMAISOL, SL_1972_31-03-2025</t>
  </si>
  <si>
    <t>1972</t>
  </si>
  <si>
    <t>PFERD RUGGEBERG, SA</t>
  </si>
  <si>
    <t>PFERD RUGGEBERG_0265279041_3</t>
  </si>
  <si>
    <t>0265279041</t>
  </si>
  <si>
    <t>PFERD RUGGEBERG_0265279292_3</t>
  </si>
  <si>
    <t>0265279292</t>
  </si>
  <si>
    <t>N 2025104000679799 PFERD RUG</t>
  </si>
  <si>
    <t>HENKEL IBERICA,SA</t>
  </si>
  <si>
    <t>N 2025045000269608 HENKEL IB</t>
  </si>
  <si>
    <t>Trans inm/henkel f1851871498</t>
  </si>
  <si>
    <t>HENKEL IBERICA,_1851924367_1</t>
  </si>
  <si>
    <t>1851924367</t>
  </si>
  <si>
    <t>HENKEL IBERICA,_1851925776_1</t>
  </si>
  <si>
    <t>1851925776</t>
  </si>
  <si>
    <t>HENKEL IBERICA,_0423804810_1</t>
  </si>
  <si>
    <t>0423804810</t>
  </si>
  <si>
    <t>SUBMINISTRAM. SUMHIFLEX, SL</t>
  </si>
  <si>
    <t>2401999</t>
  </si>
  <si>
    <t>SUBMINISTRAM. S_2500121_31-0</t>
  </si>
  <si>
    <t>2500121</t>
  </si>
  <si>
    <t>2402234</t>
  </si>
  <si>
    <t>SUBMINISTRAM. S_2500350_28-0</t>
  </si>
  <si>
    <t>2500350</t>
  </si>
  <si>
    <t>2402436</t>
  </si>
  <si>
    <t>SUBMINISTRAM. S_2500558_31-0</t>
  </si>
  <si>
    <t>2500558</t>
  </si>
  <si>
    <t>GRUPO ELECTRO STOCKS SL</t>
  </si>
  <si>
    <t>GRUPO ELECTRO S_1250100787_1</t>
  </si>
  <si>
    <t>1250100787</t>
  </si>
  <si>
    <t>1241100710</t>
  </si>
  <si>
    <t>GES F1241100710</t>
  </si>
  <si>
    <t>1241200683</t>
  </si>
  <si>
    <t>GRUPO ELECTRO S_1250213457_2</t>
  </si>
  <si>
    <t>1250213457</t>
  </si>
  <si>
    <t>N 2025076000140182 GRUPO ELE</t>
  </si>
  <si>
    <t>GRUPO ELECTRO S_1250313539_3</t>
  </si>
  <si>
    <t>1250313539</t>
  </si>
  <si>
    <t>IGUS POLYMER INNOVATIONS,SL  U</t>
  </si>
  <si>
    <t>N 2025038001380216 IGUS POLY</t>
  </si>
  <si>
    <t>ARGOM SEALS ,SL</t>
  </si>
  <si>
    <t>ARGOM SEALS ,SL_F25000074_15</t>
  </si>
  <si>
    <t>F25000074</t>
  </si>
  <si>
    <t>F24003319</t>
  </si>
  <si>
    <t>F24003159</t>
  </si>
  <si>
    <t>ARGOM SEALS ,SL_F25000223_31</t>
  </si>
  <si>
    <t>F25000223</t>
  </si>
  <si>
    <t>ARGOM SEALS ,SL_F25000387_15</t>
  </si>
  <si>
    <t>F25000387</t>
  </si>
  <si>
    <t>F24003464</t>
  </si>
  <si>
    <t>F24003606</t>
  </si>
  <si>
    <t>ARGOM SEALS ,SL_F25000547_28</t>
  </si>
  <si>
    <t>F25000547</t>
  </si>
  <si>
    <t>ARGOM SEALS ,SL_F25000717_15</t>
  </si>
  <si>
    <t>F25000717</t>
  </si>
  <si>
    <t>ARGOM SEALS ,SL_F25000870_31</t>
  </si>
  <si>
    <t>F25000870</t>
  </si>
  <si>
    <t>BANDO IBERICA, SA</t>
  </si>
  <si>
    <t>R24-102265</t>
  </si>
  <si>
    <t>BANDO IBERICA, _FVR25-100154</t>
  </si>
  <si>
    <t>R25-100154</t>
  </si>
  <si>
    <t>R24-102497</t>
  </si>
  <si>
    <t>BANDO IBERICA, _FVR25-100374</t>
  </si>
  <si>
    <t>R25-100374</t>
  </si>
  <si>
    <t>R24-102655</t>
  </si>
  <si>
    <t>BANDO IBERICA, _FVR25-100612</t>
  </si>
  <si>
    <t>R25-100612</t>
  </si>
  <si>
    <t>VINOS ARTESANALES CALIDAD,SL</t>
  </si>
  <si>
    <t>VINOS ARTESANAL_FV-24005753_</t>
  </si>
  <si>
    <t>V-24005753</t>
  </si>
  <si>
    <t>VINOS ARTESANAL_FV-25001076_</t>
  </si>
  <si>
    <t>V-25001076</t>
  </si>
  <si>
    <t>HIKOKI POWER TOOLS IBERICASIV2</t>
  </si>
  <si>
    <t>HIKOKI F24036302</t>
  </si>
  <si>
    <t>HIKOKI 2Venc F24038645</t>
  </si>
  <si>
    <t>AB241123</t>
  </si>
  <si>
    <t>PRODUCTOS CLIMAX, SA</t>
  </si>
  <si>
    <t>12.827</t>
  </si>
  <si>
    <t>CLIMAX F12827</t>
  </si>
  <si>
    <t>GIMENEZ CONSUEGRA,JORDI</t>
  </si>
  <si>
    <t>GIMENEZ CONSUEG_F25034_19-02</t>
  </si>
  <si>
    <t>F25034</t>
  </si>
  <si>
    <t>GIMENEZ CONSUEG_F25036_24-02</t>
  </si>
  <si>
    <t>F25036</t>
  </si>
  <si>
    <t>GIMENEZ CONSUEG_F25053_19-03</t>
  </si>
  <si>
    <t>F25053</t>
  </si>
  <si>
    <t>Importe factura recibida.</t>
  </si>
  <si>
    <t>25067</t>
  </si>
  <si>
    <t>SUMES SUBMINISTRAMENTS ESPECIA</t>
  </si>
  <si>
    <t>243027</t>
  </si>
  <si>
    <t>242913</t>
  </si>
  <si>
    <t>LLAMBRICH PRECISION, SL</t>
  </si>
  <si>
    <t>LLAMBRICH 2400101</t>
  </si>
  <si>
    <t>FIC5 SHOP, SLU</t>
  </si>
  <si>
    <t>TRU 27/2/2025   159986FIC5</t>
  </si>
  <si>
    <t>MUELLEXPRESS MIGUEL ANGEL MONT</t>
  </si>
  <si>
    <t>15642</t>
  </si>
  <si>
    <t>MUELLEXPRESS MI_250048_31-01</t>
  </si>
  <si>
    <t>250048</t>
  </si>
  <si>
    <t>15790</t>
  </si>
  <si>
    <t>MUELLEXPRESS MI_250201_28-02</t>
  </si>
  <si>
    <t>250201</t>
  </si>
  <si>
    <t>15961</t>
  </si>
  <si>
    <t>MUELLEXPRESS MI_250341_31-03</t>
  </si>
  <si>
    <t>250341</t>
  </si>
  <si>
    <t>EUROPEAN AEROSOLS, SA</t>
  </si>
  <si>
    <t>0/23013721</t>
  </si>
  <si>
    <t>EUROPEAN AEROSO_100/25000426</t>
  </si>
  <si>
    <t>0/25000426</t>
  </si>
  <si>
    <t>EUROPEAN AEROSO_100/25002069</t>
  </si>
  <si>
    <t>0/25002069</t>
  </si>
  <si>
    <t>EUROPEAN AEROSO_101/ 2500019</t>
  </si>
  <si>
    <t>/ 25000190</t>
  </si>
  <si>
    <t>TECH PARTS TRADING, SL</t>
  </si>
  <si>
    <t>TECH PARTS TRAD_A-25000242_2</t>
  </si>
  <si>
    <t>A-25000242</t>
  </si>
  <si>
    <t>TORFIX, SL</t>
  </si>
  <si>
    <t>TORFIX, SL_010000111_15-01-2</t>
  </si>
  <si>
    <t>010000111</t>
  </si>
  <si>
    <t>010006285</t>
  </si>
  <si>
    <t>010005883</t>
  </si>
  <si>
    <t>N 2025015000278815 COSA</t>
  </si>
  <si>
    <t>TORFIX 010006080</t>
  </si>
  <si>
    <t>TORFIX, SL_010000430_31-01-2</t>
  </si>
  <si>
    <t>010000430</t>
  </si>
  <si>
    <t>TORFIX, SL_010000782_15-02-2</t>
  </si>
  <si>
    <t>010000782</t>
  </si>
  <si>
    <t>010006604</t>
  </si>
  <si>
    <t>010006915</t>
  </si>
  <si>
    <t>TORFIX, SL_010001113_28-02-2</t>
  </si>
  <si>
    <t>010001113</t>
  </si>
  <si>
    <t>TORFIX, SL_010001431_15-03-2</t>
  </si>
  <si>
    <t>010001431</t>
  </si>
  <si>
    <t>N 2025076000127178 COSA</t>
  </si>
  <si>
    <t>N 2025076000093434 COSA</t>
  </si>
  <si>
    <t>TORFIX, SL_010001770_31-03-2</t>
  </si>
  <si>
    <t>010001770</t>
  </si>
  <si>
    <t>N 2025105000315262 COSA</t>
  </si>
  <si>
    <t>FERRETERIA INDUSTRIAL MORENO S</t>
  </si>
  <si>
    <t>0.058780</t>
  </si>
  <si>
    <t>FERRETERIA INDU_0.059333_31-</t>
  </si>
  <si>
    <t>0.059333</t>
  </si>
  <si>
    <t>FERROS GUMA S.L.</t>
  </si>
  <si>
    <t>FERROS GUMA S.L_25001784_15-</t>
  </si>
  <si>
    <t>25001784</t>
  </si>
  <si>
    <t>FERROS GUMA S.L_25003084_15-</t>
  </si>
  <si>
    <t>25003084</t>
  </si>
  <si>
    <t>FERROS GUMA S.L_25003744_31-</t>
  </si>
  <si>
    <t>25003744</t>
  </si>
  <si>
    <t>ROBERT BOSCH ESPANA SLU</t>
  </si>
  <si>
    <t>3277296661</t>
  </si>
  <si>
    <t>ROBERT BOSCH ES_3277390985_3</t>
  </si>
  <si>
    <t>3277390985</t>
  </si>
  <si>
    <t>SUCESORES DE FALIP NAVARRO SA</t>
  </si>
  <si>
    <t>3240253</t>
  </si>
  <si>
    <t>SUCESORES DE FA_3250128_28-0</t>
  </si>
  <si>
    <t>3250128</t>
  </si>
  <si>
    <t>STAMVALLES, S.L.</t>
  </si>
  <si>
    <t>STAMVALLES, S.L_F25000070_15</t>
  </si>
  <si>
    <t>F25000070</t>
  </si>
  <si>
    <t>STAMVALLES, S.L_F25000102_10</t>
  </si>
  <si>
    <t>F25000102</t>
  </si>
  <si>
    <t>RUEDAS ALEX S.L.U.</t>
  </si>
  <si>
    <t>RUEDAS ALEX S.L_959/2401244_</t>
  </si>
  <si>
    <t>59/2401244</t>
  </si>
  <si>
    <t>N 2025013000495402 RUEDAS AL</t>
  </si>
  <si>
    <t>50/2418554</t>
  </si>
  <si>
    <t>ALEX F2413202</t>
  </si>
  <si>
    <t>RUEDAS ALEX S.L_950/2501709_</t>
  </si>
  <si>
    <t>50/2501709</t>
  </si>
  <si>
    <t>50/2420597</t>
  </si>
  <si>
    <t>RUEDAS ALEX S.L_950/2503627_</t>
  </si>
  <si>
    <t>50/2503627</t>
  </si>
  <si>
    <t>50/2422202</t>
  </si>
  <si>
    <t>RUEDAS ALEX S.L_950/2505721_</t>
  </si>
  <si>
    <t>50/2505721</t>
  </si>
  <si>
    <t>ESPIRAL DISTRILINE SL</t>
  </si>
  <si>
    <t>0-24002905</t>
  </si>
  <si>
    <t>ESPIRAL DISTRIL_600-25000698</t>
  </si>
  <si>
    <t>0-25000698</t>
  </si>
  <si>
    <t>TECNILIMP, SL</t>
  </si>
  <si>
    <t>TECNILIMP, SL_ATC250170_25-0</t>
  </si>
  <si>
    <t>ATC250170</t>
  </si>
  <si>
    <t>ATC243013</t>
  </si>
  <si>
    <t>TECNILIMP, SL_ATC250376_25-0</t>
  </si>
  <si>
    <t>ATC250376</t>
  </si>
  <si>
    <t>TECNILIMP, SL_ATC250635_25-0</t>
  </si>
  <si>
    <t>ATC250635</t>
  </si>
  <si>
    <t>PRODUCTOS QUIMICOS ILLA, SL</t>
  </si>
  <si>
    <t>PRODUCTOS QUIMI_172_31-01-20</t>
  </si>
  <si>
    <t>172</t>
  </si>
  <si>
    <t>PRODUCTOS QUIMI_243_10-02-20</t>
  </si>
  <si>
    <t>243</t>
  </si>
  <si>
    <t>PRODUCTOS QUIMI_313_20-02-20</t>
  </si>
  <si>
    <t>313</t>
  </si>
  <si>
    <t>Cobro Por Financiación 12/03</t>
  </si>
  <si>
    <t>2048</t>
  </si>
  <si>
    <t>LINDIS, SL</t>
  </si>
  <si>
    <t>7713</t>
  </si>
  <si>
    <t>LINDIS, SL_1851_31-03-2025</t>
  </si>
  <si>
    <t>1851</t>
  </si>
  <si>
    <t>FRUC 2010, SL</t>
  </si>
  <si>
    <t>FRUC 2010, SL_2.500.072_13-0</t>
  </si>
  <si>
    <t>2.500.072</t>
  </si>
  <si>
    <t>FIN3684410010607</t>
  </si>
  <si>
    <t>FRUC 2010, SL_2.500.504_07-0</t>
  </si>
  <si>
    <t>2.500.504</t>
  </si>
  <si>
    <t>PAPEL AUTOMATIC, SA</t>
  </si>
  <si>
    <t>2410776</t>
  </si>
  <si>
    <t>PAPELMATIC F2410776</t>
  </si>
  <si>
    <t>2412008</t>
  </si>
  <si>
    <t>OCOROX HI-TECH ABRASIVES S.L.</t>
  </si>
  <si>
    <t>OCOROX HI-TECH _250604_11-03</t>
  </si>
  <si>
    <t>250604</t>
  </si>
  <si>
    <t>GONZALEZ GARCIA, ESTEBAN</t>
  </si>
  <si>
    <t>GONZALEZ GARCIA_000010_15-01</t>
  </si>
  <si>
    <t>000010</t>
  </si>
  <si>
    <t>000263</t>
  </si>
  <si>
    <t>GONZALEZ GARCIA_000020_30-01</t>
  </si>
  <si>
    <t>000020</t>
  </si>
  <si>
    <t>GONZALEZ GARCIA_000034_15-02</t>
  </si>
  <si>
    <t>000034</t>
  </si>
  <si>
    <t>GONZALEZ GARCIA_000051_28-02</t>
  </si>
  <si>
    <t>000051</t>
  </si>
  <si>
    <t>GONZALEZ GARCIA_000063_15-03</t>
  </si>
  <si>
    <t>000063</t>
  </si>
  <si>
    <t>N 2025063001356328 ESTEBAN G</t>
  </si>
  <si>
    <t>GONZALEZ GARCIA_000082_31-03</t>
  </si>
  <si>
    <t>000082</t>
  </si>
  <si>
    <t>N 2025093001130142 ESTEBAN G</t>
  </si>
  <si>
    <t>ASEIN COMERCIALIZACION 1983, S</t>
  </si>
  <si>
    <t>FIN3684410010606</t>
  </si>
  <si>
    <t>ASEIN COMERCIAL_FR595121_20-</t>
  </si>
  <si>
    <t>FR595121</t>
  </si>
  <si>
    <t>ASEIN COMERCIAL_FR595735_31-</t>
  </si>
  <si>
    <t>FR595735</t>
  </si>
  <si>
    <t>ASEIN COMERCIAL_FR596028_03-</t>
  </si>
  <si>
    <t>FR596028</t>
  </si>
  <si>
    <t>N 2025042000392028 ASEIN COM</t>
  </si>
  <si>
    <t>N 2025048000451480 ASEIN COM</t>
  </si>
  <si>
    <t>ASEIN COMERCIAL_FR596696_25-</t>
  </si>
  <si>
    <t>FR596696</t>
  </si>
  <si>
    <t>ASEIN COMERCIAL_FR596960_28-</t>
  </si>
  <si>
    <t>FR596960</t>
  </si>
  <si>
    <t>ASEIN COMERCIAL_FR597225_10-</t>
  </si>
  <si>
    <t>FR597225</t>
  </si>
  <si>
    <t>FR594495</t>
  </si>
  <si>
    <t>ASEIN COMERCIAL_FR598286_27-</t>
  </si>
  <si>
    <t>FR598286</t>
  </si>
  <si>
    <t>N 2025101000447877 ASEIN COM</t>
  </si>
  <si>
    <t>EGANA CAUCHO-METAL, SLU</t>
  </si>
  <si>
    <t>EGANA CAUCHO-ME_1-2500165_15</t>
  </si>
  <si>
    <t>1-2500165</t>
  </si>
  <si>
    <t>1-2407024</t>
  </si>
  <si>
    <t>1-2407411</t>
  </si>
  <si>
    <t>EGANA CAUCHO-ME_1-2500533_30</t>
  </si>
  <si>
    <t>1-2500533</t>
  </si>
  <si>
    <t>EGANA CAUCHO-ME_1-2500924_15</t>
  </si>
  <si>
    <t>1-2500924</t>
  </si>
  <si>
    <t>1-2407790</t>
  </si>
  <si>
    <t>1-2408144</t>
  </si>
  <si>
    <t>EGANA CAUCHO-ME_1-2501296_28</t>
  </si>
  <si>
    <t>1-2501296</t>
  </si>
  <si>
    <t>EGANA CAUCHO-ME_1-2501649_15</t>
  </si>
  <si>
    <t>1-2501649</t>
  </si>
  <si>
    <t>1-2408438</t>
  </si>
  <si>
    <t>EGANA CAUCHO-ME_1-2502005_30</t>
  </si>
  <si>
    <t>1-2502005</t>
  </si>
  <si>
    <t>N 2025105000052026 EGANA CAU</t>
  </si>
  <si>
    <t>JEIVSA BROCHAS Y PINCELES, SL</t>
  </si>
  <si>
    <t>JEIVSA BROCHAS _A/92500614_2</t>
  </si>
  <si>
    <t>A/92500614</t>
  </si>
  <si>
    <t>SENALIZACIONES Y SUMINISTROS 1</t>
  </si>
  <si>
    <t>N 2025015000305736 SENALIZAC</t>
  </si>
  <si>
    <t>SENALIZACIONES _25 000205_31</t>
  </si>
  <si>
    <t>25 000205</t>
  </si>
  <si>
    <t>SYSSA F24002158/2159</t>
  </si>
  <si>
    <t>24 002415</t>
  </si>
  <si>
    <t>SENALIZACIONES _25 000459_28</t>
  </si>
  <si>
    <t>25 000459</t>
  </si>
  <si>
    <t>SENALIZACIONES _25 000719_31</t>
  </si>
  <si>
    <t>25 000719</t>
  </si>
  <si>
    <t>CEPILLERIA INDUSTRIAL S.L</t>
  </si>
  <si>
    <t>CEPILLERIA INDU_675_28-03-20</t>
  </si>
  <si>
    <t>675</t>
  </si>
  <si>
    <t>LOPEZ ANADON, FRANCESC</t>
  </si>
  <si>
    <t>LOPEZ ANADON, F_F 25034_31-0</t>
  </si>
  <si>
    <t>F 25034</t>
  </si>
  <si>
    <t>LOPEZ ANADON, F_A 25083_28-0</t>
  </si>
  <si>
    <t>A 25083</t>
  </si>
  <si>
    <t>LOPEZ ANADON, F_A 25106_21-0</t>
  </si>
  <si>
    <t>A 25106</t>
  </si>
  <si>
    <t>VILAUS A25106</t>
  </si>
  <si>
    <t>KOMET TRANSMISIONS, S.L.</t>
  </si>
  <si>
    <t>24898</t>
  </si>
  <si>
    <t>KOMET TRANSMISI_250174_10-03</t>
  </si>
  <si>
    <t>250174</t>
  </si>
  <si>
    <t>AMBRO-SOL SPRAY SPAIN, SL</t>
  </si>
  <si>
    <t>5847</t>
  </si>
  <si>
    <t>AMBROSOL F5847</t>
  </si>
  <si>
    <t>AMBRO-SOL SPRAY_829_20-02-20</t>
  </si>
  <si>
    <t>829</t>
  </si>
  <si>
    <t>LUBESOLUT, SL</t>
  </si>
  <si>
    <t>LUBESOLUT, SL_2025/00105_06-</t>
  </si>
  <si>
    <t>2025/00105</t>
  </si>
  <si>
    <t>AMMEGA BELTING SPAIN, SAU</t>
  </si>
  <si>
    <t>AMMEGA BELTING _FV25-02968_3</t>
  </si>
  <si>
    <t>FV25-02968</t>
  </si>
  <si>
    <t>OLDISFER GLOBAL, SL</t>
  </si>
  <si>
    <t>OLDISFER GLOBAL_25 / 78_15-0</t>
  </si>
  <si>
    <t>25 / 78</t>
  </si>
  <si>
    <t>24 / 1526</t>
  </si>
  <si>
    <t>OLDISFER GLOBAL_25 / 108_31-</t>
  </si>
  <si>
    <t>25 / 108</t>
  </si>
  <si>
    <t>OLDISFER GLOBAL_25 / 178_14-</t>
  </si>
  <si>
    <t>25 / 178</t>
  </si>
  <si>
    <t>24 / 1669</t>
  </si>
  <si>
    <t>OLDISFER GLOBAL_25 / 251_28-</t>
  </si>
  <si>
    <t>25 / 251</t>
  </si>
  <si>
    <t>OLDISFER GLOBAL_25 / 368_14-</t>
  </si>
  <si>
    <t>25 / 368</t>
  </si>
  <si>
    <t>OLDISFER GLOBAL_25 / 443_31-</t>
  </si>
  <si>
    <t>25 / 443</t>
  </si>
  <si>
    <t>TRACEN IBERICA S.L.</t>
  </si>
  <si>
    <t>20245017</t>
  </si>
  <si>
    <t>TRACEN IBERICA _20250151_31-</t>
  </si>
  <si>
    <t>20250151</t>
  </si>
  <si>
    <t>Transf otras/tracen f2024501</t>
  </si>
  <si>
    <t>TRACEN IBERICA _20250721_28-</t>
  </si>
  <si>
    <t>20250721</t>
  </si>
  <si>
    <t>20246097</t>
  </si>
  <si>
    <t>20245581</t>
  </si>
  <si>
    <t>TRACEN IBERICA _20251283_31-</t>
  </si>
  <si>
    <t>20251283</t>
  </si>
  <si>
    <t>PACAL SHOES, SLU</t>
  </si>
  <si>
    <t>PACAL SHOES, SL_33 /60140_08</t>
  </si>
  <si>
    <t>33 /60140</t>
  </si>
  <si>
    <t>33/55281</t>
  </si>
  <si>
    <t>PACAL SHOES, SL_33 /60880_22</t>
  </si>
  <si>
    <t>33 /60880</t>
  </si>
  <si>
    <t>PACAL SHOES F54181/60880</t>
  </si>
  <si>
    <t>PACAL SHOES, SL_33 /61702_06</t>
  </si>
  <si>
    <t>33 /61702</t>
  </si>
  <si>
    <t>PACAL SHOES, SL_33 /61936_11</t>
  </si>
  <si>
    <t>33 /61936</t>
  </si>
  <si>
    <t>33 /56821</t>
  </si>
  <si>
    <t>PACAL SHOES, SL_33 /62503_21</t>
  </si>
  <si>
    <t>33 /62503</t>
  </si>
  <si>
    <t>PACAL SHOES, SL_33/63101_04-</t>
  </si>
  <si>
    <t>33/63101</t>
  </si>
  <si>
    <t>CRC INDUSTRIES EUROPE AV</t>
  </si>
  <si>
    <t>CRC INDUSTRIES _5630032082_2</t>
  </si>
  <si>
    <t>5630032082</t>
  </si>
  <si>
    <t>CRC INDUSTRIES _5630033149_0</t>
  </si>
  <si>
    <t>5630033149</t>
  </si>
  <si>
    <t>CRC INDUSTRIES _5630034111_2</t>
  </si>
  <si>
    <t>5630034111</t>
  </si>
  <si>
    <t>INDUSTRIAL PRECISION TOOLS, SL</t>
  </si>
  <si>
    <t>INDUSTRIAL PREC_2025/01/0533</t>
  </si>
  <si>
    <t>/01/053328</t>
  </si>
  <si>
    <t>INDUSTRIAL PREC_2025/01/0542</t>
  </si>
  <si>
    <t>/01/054292</t>
  </si>
  <si>
    <t>LUSAN FIJACIONES Y ANCLAJES, S</t>
  </si>
  <si>
    <t>LUSAN FIJACIONE_188192_10-01</t>
  </si>
  <si>
    <t>188192</t>
  </si>
  <si>
    <t>LUSAN FIJACIONE_188402_15-01</t>
  </si>
  <si>
    <t>188402</t>
  </si>
  <si>
    <t>186485</t>
  </si>
  <si>
    <t>LUSAN F186485</t>
  </si>
  <si>
    <t>LUSAN FIJACIONE_188921_31-01</t>
  </si>
  <si>
    <t>188921</t>
  </si>
  <si>
    <t>LUSAN FIJACIONE_189341_15-02</t>
  </si>
  <si>
    <t>189341</t>
  </si>
  <si>
    <t>LUSAN FIJACIONE_190389_15-03</t>
  </si>
  <si>
    <t>190389</t>
  </si>
  <si>
    <t>N 2025076000007379 LUSAN Fij</t>
  </si>
  <si>
    <t>LUSAN FIJACIONE_190555_20-03</t>
  </si>
  <si>
    <t>190555</t>
  </si>
  <si>
    <t>LUSAN FIJACIONE_190674_25-03</t>
  </si>
  <si>
    <t>190674</t>
  </si>
  <si>
    <t>LUSAN FIJACIONE_190937_31-03</t>
  </si>
  <si>
    <t>190937</t>
  </si>
  <si>
    <t>JULSA, SA</t>
  </si>
  <si>
    <t>JULSA, SA_24030936_31-10-202</t>
  </si>
  <si>
    <t>24030936</t>
  </si>
  <si>
    <t>JULSA, SA_24035788_15-12-202</t>
  </si>
  <si>
    <t>24035788</t>
  </si>
  <si>
    <t>EGARINOX, SA</t>
  </si>
  <si>
    <t>EGARINOX, SA_297670_15-01-20</t>
  </si>
  <si>
    <t>297670</t>
  </si>
  <si>
    <t>N 2025015000074494 EGARINOX</t>
  </si>
  <si>
    <t>EGARINOX, SA_298025_31-01-20</t>
  </si>
  <si>
    <t>298025</t>
  </si>
  <si>
    <t>EGARINOX, SA_298168_15-02-20</t>
  </si>
  <si>
    <t>298168</t>
  </si>
  <si>
    <t>N 2025048000092143 EGARINOX</t>
  </si>
  <si>
    <t>EGARINOX, SA_298523_28-02-20</t>
  </si>
  <si>
    <t>298523</t>
  </si>
  <si>
    <t>EGARINOX, SA_298772_15-03-20</t>
  </si>
  <si>
    <t>298772</t>
  </si>
  <si>
    <t>N 2025076000182707 EGARINOX</t>
  </si>
  <si>
    <t>EGARINOX, SA_299149_31-03-20</t>
  </si>
  <si>
    <t>299149</t>
  </si>
  <si>
    <t>NEGRO MUNIANI, JAVIER</t>
  </si>
  <si>
    <t>NEGRO MUNIANI, _24455_31-03-</t>
  </si>
  <si>
    <t>24455</t>
  </si>
  <si>
    <t>24341</t>
  </si>
  <si>
    <t>AFI-CORTE1975, SL</t>
  </si>
  <si>
    <t>24/994</t>
  </si>
  <si>
    <t>AFI-CORTE1975, _25/191_31-01</t>
  </si>
  <si>
    <t>25/191</t>
  </si>
  <si>
    <t>AFI-CORTE1975, _25/392_28-02</t>
  </si>
  <si>
    <t>25/392</t>
  </si>
  <si>
    <t>25/456</t>
  </si>
  <si>
    <t>AFI-CORTE1975, _25/456_31-03</t>
  </si>
  <si>
    <t>OILEX BCN, SL</t>
  </si>
  <si>
    <t>OILEX BCN, SL_INV/2025/00053</t>
  </si>
  <si>
    <t>2025/00053</t>
  </si>
  <si>
    <t>OILEX BCN, SL_INV/2025/00081</t>
  </si>
  <si>
    <t>2025/00081</t>
  </si>
  <si>
    <t>OILEX BCN, SL_INV/2025/00092</t>
  </si>
  <si>
    <t>2025/00092</t>
  </si>
  <si>
    <t>OILEX BCN, SL_INV/2025/00101</t>
  </si>
  <si>
    <t>2025/00101</t>
  </si>
  <si>
    <t>OILEX BCN, SL_INV/2025/00116</t>
  </si>
  <si>
    <t>2025/00116</t>
  </si>
  <si>
    <t>OILEX BCN, SL_INV/2025/00117</t>
  </si>
  <si>
    <t>2025/00117</t>
  </si>
  <si>
    <t>2024/00861</t>
  </si>
  <si>
    <t>2024/00930</t>
  </si>
  <si>
    <t>2024/00931</t>
  </si>
  <si>
    <t>2024/00920</t>
  </si>
  <si>
    <t>2024/00910</t>
  </si>
  <si>
    <t>2024/00890</t>
  </si>
  <si>
    <t>2024/00889</t>
  </si>
  <si>
    <t>2024/00951</t>
  </si>
  <si>
    <t>2024/00928</t>
  </si>
  <si>
    <t>2024/00929</t>
  </si>
  <si>
    <t>OILEX BCN, SL_INV/2025/00141</t>
  </si>
  <si>
    <t>2025/00141</t>
  </si>
  <si>
    <t>OILEX BCN, SL_INV/2025/00205</t>
  </si>
  <si>
    <t>2025/00205</t>
  </si>
  <si>
    <t>OILEX BCN, SL_INV/2025/00230</t>
  </si>
  <si>
    <t>2025/00230</t>
  </si>
  <si>
    <t>OILEX BCN, SL_INV/2025/00237</t>
  </si>
  <si>
    <t>2025/00237</t>
  </si>
  <si>
    <t>OILEX BCN, SL_INV/2025/00265</t>
  </si>
  <si>
    <t>2025/00265</t>
  </si>
  <si>
    <t>OILEX BCN, SL_INV/2025/00266</t>
  </si>
  <si>
    <t>2025/00266</t>
  </si>
  <si>
    <t>OILEX BCN, SL_INV/2025/00264</t>
  </si>
  <si>
    <t>2025/00264</t>
  </si>
  <si>
    <t>2024/00345</t>
  </si>
  <si>
    <t>2024/00161</t>
  </si>
  <si>
    <t>2024/00140</t>
  </si>
  <si>
    <t>DAN-BELT TRANSMISION INDUSTRIA</t>
  </si>
  <si>
    <t>DAN-BELT TRANSM_25FI000190_1</t>
  </si>
  <si>
    <t>25FI000190</t>
  </si>
  <si>
    <t>N 2025015000576758 DAN BELT</t>
  </si>
  <si>
    <t>DAN-BELT TRANSM_25FI000430_3</t>
  </si>
  <si>
    <t>25FI000430</t>
  </si>
  <si>
    <t>DAN-BELT TRANSM_25FI000661_1</t>
  </si>
  <si>
    <t>25FI000661</t>
  </si>
  <si>
    <t>N 2025048000101717 DAN BELT</t>
  </si>
  <si>
    <t>DAN-BELT TRANSM_25FI000895_2</t>
  </si>
  <si>
    <t>25FI000895</t>
  </si>
  <si>
    <t>DAN-BELT TRANSM_25FI001124_1</t>
  </si>
  <si>
    <t>25FI001124</t>
  </si>
  <si>
    <t>24645</t>
  </si>
  <si>
    <t>DAN-BELT TRANSM_25FI001366_3</t>
  </si>
  <si>
    <t>25FI001366</t>
  </si>
  <si>
    <t>24FI001404</t>
  </si>
  <si>
    <t>ROEIRASA</t>
  </si>
  <si>
    <t>ROEIRASA_R / 000376_15-01-20</t>
  </si>
  <si>
    <t>R / 000376</t>
  </si>
  <si>
    <t>R/040839</t>
  </si>
  <si>
    <t>R/038355</t>
  </si>
  <si>
    <t>ROEIRASA_R/002804_31-01-2025</t>
  </si>
  <si>
    <t>R/002804</t>
  </si>
  <si>
    <t>ROEIRASA_R/005177_14-02-2025</t>
  </si>
  <si>
    <t>R/005177</t>
  </si>
  <si>
    <t>R/042661</t>
  </si>
  <si>
    <t>R/044898</t>
  </si>
  <si>
    <t>ROEIRASA_R/008168_28-02-2025</t>
  </si>
  <si>
    <t>R/008168</t>
  </si>
  <si>
    <t>ROEIRASA_RR/000663_28-02-202</t>
  </si>
  <si>
    <t>RR/000663</t>
  </si>
  <si>
    <t>ROEIRASA_R/010691_14-03-2025</t>
  </si>
  <si>
    <t>R/010691</t>
  </si>
  <si>
    <t>N 2025072000221561 ROEIRASA</t>
  </si>
  <si>
    <t>ROEIRASA_R/013500_31-03-2025</t>
  </si>
  <si>
    <t>R/013500</t>
  </si>
  <si>
    <t>KOKI IBERIA, SAU</t>
  </si>
  <si>
    <t>KOKI IBERIA, SA_F24036193_27</t>
  </si>
  <si>
    <t>F24036193</t>
  </si>
  <si>
    <t>KOKI IBERIA, SA_F25000852_08</t>
  </si>
  <si>
    <t>F25000852</t>
  </si>
  <si>
    <t>KOKI F10905/10882/11209/1009</t>
  </si>
  <si>
    <t>KOKI IBERIA, SA_F25002604_20</t>
  </si>
  <si>
    <t>F25002604</t>
  </si>
  <si>
    <t>KOKI IBERIA, SA_F25002850_21</t>
  </si>
  <si>
    <t>F25002850</t>
  </si>
  <si>
    <t>KOKI IBERIA, SA_F25003113_22</t>
  </si>
  <si>
    <t>F25003113</t>
  </si>
  <si>
    <t>KOKI IBERIA, SA_F25003670_24</t>
  </si>
  <si>
    <t>F25003670</t>
  </si>
  <si>
    <t>KOKI IBERIA, SA_F25004965_30</t>
  </si>
  <si>
    <t>F25004965</t>
  </si>
  <si>
    <t>KOKI IBERIA, SA_F25006266_06</t>
  </si>
  <si>
    <t>F25006266</t>
  </si>
  <si>
    <t>KOKI IBERIA, SA_F25006564_07</t>
  </si>
  <si>
    <t>F25006564</t>
  </si>
  <si>
    <t>F24035338</t>
  </si>
  <si>
    <t>F24034745</t>
  </si>
  <si>
    <t>F24035070</t>
  </si>
  <si>
    <t>F24035071</t>
  </si>
  <si>
    <t>KOKI IBERIA, SA_F25007166_11</t>
  </si>
  <si>
    <t>F25007166</t>
  </si>
  <si>
    <t>KOKI IBERIA, SA_F25007167_11</t>
  </si>
  <si>
    <t>F25007167</t>
  </si>
  <si>
    <t>KOKI IBERIA, SA_F25007389_12</t>
  </si>
  <si>
    <t>F25007389</t>
  </si>
  <si>
    <t>KOKI IBERIA, SA_F25007390_12</t>
  </si>
  <si>
    <t>F25007390</t>
  </si>
  <si>
    <t>KOKI IBERIA, SA_F25007644_13</t>
  </si>
  <si>
    <t>F25007644</t>
  </si>
  <si>
    <t>KOKI 1VENC F24037865</t>
  </si>
  <si>
    <t>KOKI 1VENC F24038645</t>
  </si>
  <si>
    <t>KOKI 1VENC F24038388</t>
  </si>
  <si>
    <t>F24038644</t>
  </si>
  <si>
    <t>KOKI IBERIA, SA_F25008319_17</t>
  </si>
  <si>
    <t>F25008319</t>
  </si>
  <si>
    <t>KOKI IBERIA, SA_F25008669_18</t>
  </si>
  <si>
    <t>F25008669</t>
  </si>
  <si>
    <t>KOKI IBERIA, SA_F25010080_25</t>
  </si>
  <si>
    <t>F25010080</t>
  </si>
  <si>
    <t>KOKI IBERIA, SA_F25010079_25</t>
  </si>
  <si>
    <t>F25010079</t>
  </si>
  <si>
    <t>KOKI IBERIA, SA_F25012891_11</t>
  </si>
  <si>
    <t>F25012891</t>
  </si>
  <si>
    <t>KOKI IBERIA, SA_F25013161_12</t>
  </si>
  <si>
    <t>F25013161</t>
  </si>
  <si>
    <t>KOKI IBERIA, SA_F25013160_12</t>
  </si>
  <si>
    <t>F25013160</t>
  </si>
  <si>
    <t>KOKI 2 Venc F24037865</t>
  </si>
  <si>
    <t>KOKI 2 Venc F24038388</t>
  </si>
  <si>
    <t>F24040307</t>
  </si>
  <si>
    <t>F24040714</t>
  </si>
  <si>
    <t>F24040308</t>
  </si>
  <si>
    <t>KOKI IBERIA, SA_F25015305_21</t>
  </si>
  <si>
    <t>F25015305</t>
  </si>
  <si>
    <t>KOKI IBERIA, SA_F25016481_26</t>
  </si>
  <si>
    <t>F25016481</t>
  </si>
  <si>
    <t>KOKI IBERIA, SA_F25016734_27</t>
  </si>
  <si>
    <t>F25016734</t>
  </si>
  <si>
    <t>AGHASA TURIS, SA</t>
  </si>
  <si>
    <t>AGHASA TURIS, S_FTF-10326_15</t>
  </si>
  <si>
    <t>FTF-10326</t>
  </si>
  <si>
    <t>FTE-26509</t>
  </si>
  <si>
    <t>FTE-25708</t>
  </si>
  <si>
    <t>FIN3684410010604</t>
  </si>
  <si>
    <t>Transferencia A Favor De Agh</t>
  </si>
  <si>
    <t>AGHASA TURIS, S_FTF-12052_15</t>
  </si>
  <si>
    <t>FTF-12052</t>
  </si>
  <si>
    <t>FTE-27294</t>
  </si>
  <si>
    <t>AGHASA TURIS, S_FTF-12971_28</t>
  </si>
  <si>
    <t>FTF-12971</t>
  </si>
  <si>
    <t>FTE-28694</t>
  </si>
  <si>
    <t>AGHASA TURIS, S_FTF-14694_31</t>
  </si>
  <si>
    <t>FTF-14694</t>
  </si>
  <si>
    <t>SOGIMA 7, SL</t>
  </si>
  <si>
    <t>64970</t>
  </si>
  <si>
    <t>SOGIMA 7, SL_65459_31-01-202</t>
  </si>
  <si>
    <t>65459</t>
  </si>
  <si>
    <t>SOGIMA 7, SL_65535_15-02-202</t>
  </si>
  <si>
    <t>65535</t>
  </si>
  <si>
    <t>VERICAT I LLEBOT DAVID</t>
  </si>
  <si>
    <t>CAUCHOS BARNA F20241166</t>
  </si>
  <si>
    <t>CAUCHOS BARNA F20241088</t>
  </si>
  <si>
    <t>VERICAT I LLEBO_A/20250136_2</t>
  </si>
  <si>
    <t>A/20250136</t>
  </si>
  <si>
    <t>BRALO, S.A.</t>
  </si>
  <si>
    <t>BRALO, S.A._25001821_25-02-2</t>
  </si>
  <si>
    <t>25001821</t>
  </si>
  <si>
    <t>KLUBER LUBRICATION GMBH IBERIC</t>
  </si>
  <si>
    <t>540215256</t>
  </si>
  <si>
    <t>KLUBER LUBRICAT_540219788_01</t>
  </si>
  <si>
    <t>540219788</t>
  </si>
  <si>
    <t>Transf otra/kluber f54021525</t>
  </si>
  <si>
    <t>540216514</t>
  </si>
  <si>
    <t>KLUBER LUBRICAT_540221258_07</t>
  </si>
  <si>
    <t>540221258</t>
  </si>
  <si>
    <t>BUGADERIA NOVATEX, SL</t>
  </si>
  <si>
    <t>2 004108</t>
  </si>
  <si>
    <t>BUGADERIA NOVAT_2 004371_15-</t>
  </si>
  <si>
    <t>2 004371</t>
  </si>
  <si>
    <t>BUGADERIA NOVAT_2 004501_15-</t>
  </si>
  <si>
    <t>2 004501</t>
  </si>
  <si>
    <t>2 004244</t>
  </si>
  <si>
    <t>KANGAROO WELDING, SL</t>
  </si>
  <si>
    <t>KANGAROO WELDIN_K01/2025/000</t>
  </si>
  <si>
    <t>2025/00010</t>
  </si>
  <si>
    <t>N 2025015000370158 KANGAROO</t>
  </si>
  <si>
    <t>KANGAROO 02957/02958/03274</t>
  </si>
  <si>
    <t>KANGAROO WELDIN_K01/2025/002</t>
  </si>
  <si>
    <t>2025/00215</t>
  </si>
  <si>
    <t>2024/03334</t>
  </si>
  <si>
    <t>KANGAROO WELDIN_K01/2025/006</t>
  </si>
  <si>
    <t>2025/00606</t>
  </si>
  <si>
    <t>2025/00605</t>
  </si>
  <si>
    <t>ENTIDAD MAYA, SL</t>
  </si>
  <si>
    <t>ENTIDAD MAYA, S_FA202501938_</t>
  </si>
  <si>
    <t>A202501938</t>
  </si>
  <si>
    <t>BANCO DE SABADELL SA</t>
  </si>
  <si>
    <t>BANCO DE SABADE_000000077893</t>
  </si>
  <si>
    <t>0007789366</t>
  </si>
  <si>
    <t>0007789365</t>
  </si>
  <si>
    <t>BANCO DE SABADE_000000077947</t>
  </si>
  <si>
    <t>0007794756</t>
  </si>
  <si>
    <t>BANCO DE SABADE_000000078028</t>
  </si>
  <si>
    <t>0007802802</t>
  </si>
  <si>
    <t>BANCO DE SABADE_000000078264</t>
  </si>
  <si>
    <t>0007826416</t>
  </si>
  <si>
    <t>BANCO DE SABADE_000000078610</t>
  </si>
  <si>
    <t>0007861037</t>
  </si>
  <si>
    <t>BANCO DE SABADE_000000078815</t>
  </si>
  <si>
    <t>0007881565</t>
  </si>
  <si>
    <t>BANCO DE SABADE_000000078934</t>
  </si>
  <si>
    <t>0007893474</t>
  </si>
  <si>
    <t>AJK INVERSIONES CANTAB. Y PORT</t>
  </si>
  <si>
    <t>AJK INVERSIONES_250014_10-01</t>
  </si>
  <si>
    <t>250014</t>
  </si>
  <si>
    <t>AJK INVERSIONES_250012_10-01</t>
  </si>
  <si>
    <t>250012</t>
  </si>
  <si>
    <t>AJK INVERSIONES_250013_10-01</t>
  </si>
  <si>
    <t>250013</t>
  </si>
  <si>
    <t>AJK INVERSIONES_250029_10-02</t>
  </si>
  <si>
    <t>250029</t>
  </si>
  <si>
    <t>AJK INVERSIONES_250030_10-02</t>
  </si>
  <si>
    <t>250030</t>
  </si>
  <si>
    <t>AJK F250013</t>
  </si>
  <si>
    <t>AJK F250014</t>
  </si>
  <si>
    <t>AJK F250012</t>
  </si>
  <si>
    <t>AJK INVERSIONES_250047_10-03</t>
  </si>
  <si>
    <t>250047</t>
  </si>
  <si>
    <t>AJK INVERSIONES_250048_10-03</t>
  </si>
  <si>
    <t>SOLRED.SA</t>
  </si>
  <si>
    <t>SOLRED.SA_BBV000140738_31-03</t>
  </si>
  <si>
    <t>V000140738</t>
  </si>
  <si>
    <t>ADHESIVOS SOLTEC, SL</t>
  </si>
  <si>
    <t>ADHESIVOS SOLTE_250033_15-01</t>
  </si>
  <si>
    <t>250033</t>
  </si>
  <si>
    <t>241183</t>
  </si>
  <si>
    <t>ADHESIVOS SOLTE_250165_14-02</t>
  </si>
  <si>
    <t>250165</t>
  </si>
  <si>
    <t>241313</t>
  </si>
  <si>
    <t>ADHESIVOS SOLTE_250291_14-03</t>
  </si>
  <si>
    <t>241374</t>
  </si>
  <si>
    <t>MERCEDES-BENZ RENTING, SA</t>
  </si>
  <si>
    <t>MERCEDES-BENZ R_0125002089_0</t>
  </si>
  <si>
    <t>0125002089</t>
  </si>
  <si>
    <t>MERCEDES-BENZ R_0125019325_0</t>
  </si>
  <si>
    <t>0125019325</t>
  </si>
  <si>
    <t>MERCEDES-BENZ R_0125036753_0</t>
  </si>
  <si>
    <t>0125036753</t>
  </si>
  <si>
    <t>RUBIO MORENO, JOSE</t>
  </si>
  <si>
    <t>GETNET EUROPE ENTIDAD DE PAGO</t>
  </si>
  <si>
    <t>GETNET EUROPE E_VE25-0000479</t>
  </si>
  <si>
    <t>-000047904</t>
  </si>
  <si>
    <t>GETNET EUROPE E_VE25-0001069</t>
  </si>
  <si>
    <t>-000106971</t>
  </si>
  <si>
    <t>GETNET EUROPE E_VE25-0001366</t>
  </si>
  <si>
    <t>-000136664</t>
  </si>
  <si>
    <t>TRANS-G.NOVOA, SL</t>
  </si>
  <si>
    <t>F24/33</t>
  </si>
  <si>
    <t>TRANS-G.NOVOA, _F25/19_23-01</t>
  </si>
  <si>
    <t>F25/19</t>
  </si>
  <si>
    <t>F24/59</t>
  </si>
  <si>
    <t>TRANS-G.NOVOA, _F25/85_28-03</t>
  </si>
  <si>
    <t>F25/85</t>
  </si>
  <si>
    <t>REPSOL DIRECTO, SA</t>
  </si>
  <si>
    <t>REPSOL DIRECTO,_6561101776_1</t>
  </si>
  <si>
    <t>6561101776</t>
  </si>
  <si>
    <t>6461138361</t>
  </si>
  <si>
    <t>REPSOL DIRECTO,_BBV000020622</t>
  </si>
  <si>
    <t>V000020622</t>
  </si>
  <si>
    <t>REPSOL DIRECTO,_BBV000068948</t>
  </si>
  <si>
    <t>V000068948</t>
  </si>
  <si>
    <t>IBERCAJA BANCO SAU</t>
  </si>
  <si>
    <t>IBERCAJA BANCO _700013383_10</t>
  </si>
  <si>
    <t>700013383</t>
  </si>
  <si>
    <t>J. ESQUERDA, SA</t>
  </si>
  <si>
    <t>N/Factura F160443</t>
  </si>
  <si>
    <t>F160443</t>
  </si>
  <si>
    <t>J ESQUERDA SA</t>
  </si>
  <si>
    <t>N/Factura F160876</t>
  </si>
  <si>
    <t>F160876</t>
  </si>
  <si>
    <t>N/Factura F161428</t>
  </si>
  <si>
    <t>F161428</t>
  </si>
  <si>
    <t>N/Factura F161895</t>
  </si>
  <si>
    <t>F161895</t>
  </si>
  <si>
    <t>N/Factura F162384</t>
  </si>
  <si>
    <t>F162384</t>
  </si>
  <si>
    <t>N/Factura F162844</t>
  </si>
  <si>
    <t>F162844</t>
  </si>
  <si>
    <t>SUMRRASSA S.L.</t>
  </si>
  <si>
    <t>PROC. TEC. MEDIOAMBIENTALES S</t>
  </si>
  <si>
    <t>N/Factura F160992</t>
  </si>
  <si>
    <t>F160992</t>
  </si>
  <si>
    <t>N/Factura F161221</t>
  </si>
  <si>
    <t>F161221</t>
  </si>
  <si>
    <t>COBRO DE CLIENTES.</t>
  </si>
  <si>
    <t>F155091</t>
  </si>
  <si>
    <t>N/Factura F161531</t>
  </si>
  <si>
    <t>F161531</t>
  </si>
  <si>
    <t>N/Factura F162011</t>
  </si>
  <si>
    <t>F162011</t>
  </si>
  <si>
    <t>N/Factura F162484</t>
  </si>
  <si>
    <t>F162484</t>
  </si>
  <si>
    <t>N/Factura F162957</t>
  </si>
  <si>
    <t>F162957</t>
  </si>
  <si>
    <t>F151235</t>
  </si>
  <si>
    <t>NACAR METALLS, SCP</t>
  </si>
  <si>
    <t>F157572</t>
  </si>
  <si>
    <t>F158615</t>
  </si>
  <si>
    <t>F160034</t>
  </si>
  <si>
    <t>N/Factura F162485</t>
  </si>
  <si>
    <t>F162485</t>
  </si>
  <si>
    <t>F159889</t>
  </si>
  <si>
    <t>N/Factura F161430</t>
  </si>
  <si>
    <t>F161430</t>
  </si>
  <si>
    <t>N/Factura F161896</t>
  </si>
  <si>
    <t>F161896</t>
  </si>
  <si>
    <t>N/Factura F162386</t>
  </si>
  <si>
    <t>F162386</t>
  </si>
  <si>
    <t>00040 TRILLA Y VENTURA S.L.</t>
  </si>
  <si>
    <t>AUTOMOCIO MON BOSCH SL</t>
  </si>
  <si>
    <t>VALLES ELECTRO SAGAMON SL</t>
  </si>
  <si>
    <t>VALLES ELECTRO SAGAMON, S.L.</t>
  </si>
  <si>
    <t>N/Factura F160997</t>
  </si>
  <si>
    <t>F160997</t>
  </si>
  <si>
    <t>N/Factura F161534</t>
  </si>
  <si>
    <t>F161534</t>
  </si>
  <si>
    <t>FACT F-161534</t>
  </si>
  <si>
    <t>N/Factura F162015</t>
  </si>
  <si>
    <t>F162015</t>
  </si>
  <si>
    <t>FACT F-162015</t>
  </si>
  <si>
    <t>FACT 162015</t>
  </si>
  <si>
    <t>N/Factura F162488</t>
  </si>
  <si>
    <t>F162488</t>
  </si>
  <si>
    <t>FACT   F 162488</t>
  </si>
  <si>
    <t>N/Factura F162962</t>
  </si>
  <si>
    <t>F162962</t>
  </si>
  <si>
    <t>EGARLASER, SL</t>
  </si>
  <si>
    <t>F160032</t>
  </si>
  <si>
    <t>N/Factura F162010</t>
  </si>
  <si>
    <t>F162010</t>
  </si>
  <si>
    <t>COBRO FRA. F162010 DE EGARLA</t>
  </si>
  <si>
    <t>03395 EGARLASER S.L. - F1634</t>
  </si>
  <si>
    <t>SERRALLERIA MANSAN, SL</t>
  </si>
  <si>
    <t>F159890</t>
  </si>
  <si>
    <t>N/Factura F162387</t>
  </si>
  <si>
    <t>F162387</t>
  </si>
  <si>
    <t>N/Factura F162846</t>
  </si>
  <si>
    <t>F162846</t>
  </si>
  <si>
    <t>00055 SERRALLER.TA MANSAN S.</t>
  </si>
  <si>
    <t>CBF NAVARRO, SL</t>
  </si>
  <si>
    <t>N/Factura F160444</t>
  </si>
  <si>
    <t>F160444</t>
  </si>
  <si>
    <t>F140605</t>
  </si>
  <si>
    <t>TRANSFERENCIA CBF NAVARRO, S</t>
  </si>
  <si>
    <t>F157466</t>
  </si>
  <si>
    <t>F156918</t>
  </si>
  <si>
    <t>N/Factura F160878</t>
  </si>
  <si>
    <t>F160878</t>
  </si>
  <si>
    <t>TRANSFERENCIA CBF NAVARRO</t>
  </si>
  <si>
    <t>N/Factura F161431</t>
  </si>
  <si>
    <t>F161431</t>
  </si>
  <si>
    <t>N/Factura F161897</t>
  </si>
  <si>
    <t>F161897</t>
  </si>
  <si>
    <t>N/Factura F162388</t>
  </si>
  <si>
    <t>F162388</t>
  </si>
  <si>
    <t>F155371</t>
  </si>
  <si>
    <t>TRANSFERENCIA CBF NAVARRO SL</t>
  </si>
  <si>
    <t>F158962</t>
  </si>
  <si>
    <t>F159467</t>
  </si>
  <si>
    <t>N/Factura F162847</t>
  </si>
  <si>
    <t>F162847</t>
  </si>
  <si>
    <t>ELEVADORES LAZARO SL</t>
  </si>
  <si>
    <t>F160037</t>
  </si>
  <si>
    <t>N/Factura F160445</t>
  </si>
  <si>
    <t>F160445</t>
  </si>
  <si>
    <t>N/Factura F160523</t>
  </si>
  <si>
    <t>F160523</t>
  </si>
  <si>
    <t>03625 ELEVADORES LAZARO S.L.</t>
  </si>
  <si>
    <t>N/Factura F160879</t>
  </si>
  <si>
    <t>F160879</t>
  </si>
  <si>
    <t>N/Factura F160996</t>
  </si>
  <si>
    <t>F160996</t>
  </si>
  <si>
    <t>N/Factura F161432</t>
  </si>
  <si>
    <t>F161432</t>
  </si>
  <si>
    <t>N/Factura F161533</t>
  </si>
  <si>
    <t>F161533</t>
  </si>
  <si>
    <t>N/Factura F161898</t>
  </si>
  <si>
    <t>F161898</t>
  </si>
  <si>
    <t>N/Factura F162014</t>
  </si>
  <si>
    <t>F162014</t>
  </si>
  <si>
    <t>COBRO FRA. F162014 DE ELEVAD</t>
  </si>
  <si>
    <t>N/Factura F162389</t>
  </si>
  <si>
    <t>F162389</t>
  </si>
  <si>
    <t>N/Factura F162487</t>
  </si>
  <si>
    <t>F162487</t>
  </si>
  <si>
    <t>N/Factura F162848</t>
  </si>
  <si>
    <t>F162848</t>
  </si>
  <si>
    <t>N/Factura F162960</t>
  </si>
  <si>
    <t>F162960</t>
  </si>
  <si>
    <t>LILEMAC SL</t>
  </si>
  <si>
    <t>F160038</t>
  </si>
  <si>
    <t>N/Factura F160524</t>
  </si>
  <si>
    <t>F160524</t>
  </si>
  <si>
    <t>ACONDICIONAMIENTO TARRASENSE</t>
  </si>
  <si>
    <t>N/Factura F160446</t>
  </si>
  <si>
    <t>F160446</t>
  </si>
  <si>
    <t>N/Factura F160880</t>
  </si>
  <si>
    <t>F160880</t>
  </si>
  <si>
    <t>N/Factura F161433</t>
  </si>
  <si>
    <t>F161433</t>
  </si>
  <si>
    <t>N/Factura F162961</t>
  </si>
  <si>
    <t>F162961</t>
  </si>
  <si>
    <t>FERNANDEZ REINA, SEVERIANO</t>
  </si>
  <si>
    <t>N/Factura F161434</t>
  </si>
  <si>
    <t>F161434</t>
  </si>
  <si>
    <t>COL.LEGI SALESIA SANT DOMENEC</t>
  </si>
  <si>
    <t>N/Factura F161435</t>
  </si>
  <si>
    <t>F161435</t>
  </si>
  <si>
    <t>00065 COL-LEGI SALESIA SANT</t>
  </si>
  <si>
    <t>TEXTIL ACABATS D ENCAIXOS SL</t>
  </si>
  <si>
    <t>F160042</t>
  </si>
  <si>
    <t>N/Factura F160525</t>
  </si>
  <si>
    <t>F160525</t>
  </si>
  <si>
    <t>N/Factura F160999</t>
  </si>
  <si>
    <t>F160999</t>
  </si>
  <si>
    <t>COBRO FRA. F160999 DE TEXTIL</t>
  </si>
  <si>
    <t>N/Factura F161535</t>
  </si>
  <si>
    <t>F161535</t>
  </si>
  <si>
    <t>N/Factura F162489</t>
  </si>
  <si>
    <t>F162489</t>
  </si>
  <si>
    <t>N/Factura F162963</t>
  </si>
  <si>
    <t>F162963</t>
  </si>
  <si>
    <t>03735 TEXTIL ACABATS D'ENCAI</t>
  </si>
  <si>
    <t>PACKFEEDER SL</t>
  </si>
  <si>
    <t>N/Factura F160497</t>
  </si>
  <si>
    <t>F160497</t>
  </si>
  <si>
    <t>F158045</t>
  </si>
  <si>
    <t>N/Factura F160950</t>
  </si>
  <si>
    <t>F160950</t>
  </si>
  <si>
    <t>F159035</t>
  </si>
  <si>
    <t>N/Factura F162445</t>
  </si>
  <si>
    <t>F162445</t>
  </si>
  <si>
    <t>TRANSF. A SU FAVOR</t>
  </si>
  <si>
    <t>TALLER GLORIAS CATALANAS, SL</t>
  </si>
  <si>
    <t>00075 TALLER GLORIAS CATALAN</t>
  </si>
  <si>
    <t>N/Factura F160881</t>
  </si>
  <si>
    <t>F160881</t>
  </si>
  <si>
    <t>COBRO FRA. F160881 DE TALLER</t>
  </si>
  <si>
    <t>N/Factura F161436</t>
  </si>
  <si>
    <t>F161436</t>
  </si>
  <si>
    <t>N/Factura F162390</t>
  </si>
  <si>
    <t>F162390</t>
  </si>
  <si>
    <t>CONST. MEC. VACARISSES, SL</t>
  </si>
  <si>
    <t>N/Factura F160447</t>
  </si>
  <si>
    <t>F160447</t>
  </si>
  <si>
    <t>F159897</t>
  </si>
  <si>
    <t>N/Factura F160882</t>
  </si>
  <si>
    <t>F160882</t>
  </si>
  <si>
    <t>N/Factura F161437</t>
  </si>
  <si>
    <t>F161437</t>
  </si>
  <si>
    <t>N/Factura F161899</t>
  </si>
  <si>
    <t>F161899</t>
  </si>
  <si>
    <t>N/Factura F162391</t>
  </si>
  <si>
    <t>F162391</t>
  </si>
  <si>
    <t>F142065</t>
  </si>
  <si>
    <t>INDUVACUUM, SL</t>
  </si>
  <si>
    <t>04265 INDINACUUM S.L.</t>
  </si>
  <si>
    <t>N/Factura F160546</t>
  </si>
  <si>
    <t>F160546</t>
  </si>
  <si>
    <t>04265 IND1NACUUM S.L. - F160</t>
  </si>
  <si>
    <t>N/Factura F161028</t>
  </si>
  <si>
    <t>F161028</t>
  </si>
  <si>
    <t>N/Factura F161559</t>
  </si>
  <si>
    <t>F161559</t>
  </si>
  <si>
    <t>04265 IND1NACUUM S.L. - F161</t>
  </si>
  <si>
    <t>N/Factura F162043</t>
  </si>
  <si>
    <t>F162043</t>
  </si>
  <si>
    <t>N/Factura F162514</t>
  </si>
  <si>
    <t>F162514</t>
  </si>
  <si>
    <t>04265 INDINACUUM S.L. - F162</t>
  </si>
  <si>
    <t>N/Factura F162989</t>
  </si>
  <si>
    <t>F162989</t>
  </si>
  <si>
    <t>04265 IND1NACUUM S.L. - F163</t>
  </si>
  <si>
    <t>J. CAMPANO S.L.</t>
  </si>
  <si>
    <t>F160075</t>
  </si>
  <si>
    <t>N/Factura F160548</t>
  </si>
  <si>
    <t>F160548</t>
  </si>
  <si>
    <t>N/Factura F161031</t>
  </si>
  <si>
    <t>F161031</t>
  </si>
  <si>
    <t>N/Factura F162046</t>
  </si>
  <si>
    <t>F162046</t>
  </si>
  <si>
    <t>N/Factura F162517</t>
  </si>
  <si>
    <t>F162517</t>
  </si>
  <si>
    <t>N/Factura F162993</t>
  </si>
  <si>
    <t>F162993</t>
  </si>
  <si>
    <t>F142625</t>
  </si>
  <si>
    <t>INELT MULTITECHNICAL SERVICES,</t>
  </si>
  <si>
    <t>N/Factura F161220</t>
  </si>
  <si>
    <t>F161220</t>
  </si>
  <si>
    <t>N/Factura F161729</t>
  </si>
  <si>
    <t>F161729</t>
  </si>
  <si>
    <t>F158131</t>
  </si>
  <si>
    <t>N/Factura F162047</t>
  </si>
  <si>
    <t>F162047</t>
  </si>
  <si>
    <t>N/Factura F162201</t>
  </si>
  <si>
    <t>F162201</t>
  </si>
  <si>
    <t>F159758</t>
  </si>
  <si>
    <t>NOVA HIGIENE ACTIVA 2010 SL</t>
  </si>
  <si>
    <t>04270 NOVA HIGIENE ACTIVA 20</t>
  </si>
  <si>
    <t>N/Factura F160547</t>
  </si>
  <si>
    <t>F160547</t>
  </si>
  <si>
    <t>N/Factura F161029</t>
  </si>
  <si>
    <t>F161029</t>
  </si>
  <si>
    <t>COBRO FRA. F161029 DE NOVA H</t>
  </si>
  <si>
    <t>N/Factura F162044</t>
  </si>
  <si>
    <t>F162044</t>
  </si>
  <si>
    <t>N/Factura F162515</t>
  </si>
  <si>
    <t>F162515</t>
  </si>
  <si>
    <t>N/Factura F162990</t>
  </si>
  <si>
    <t>F162990</t>
  </si>
  <si>
    <t>EGARA TELEK SL</t>
  </si>
  <si>
    <t>F160074</t>
  </si>
  <si>
    <t>N/Factura F161030</t>
  </si>
  <si>
    <t>F161030</t>
  </si>
  <si>
    <t>COBRO FRA. F161030 DE EGARA</t>
  </si>
  <si>
    <t>N/Factura F161561</t>
  </si>
  <si>
    <t>F161561</t>
  </si>
  <si>
    <t>N/Factura F162045</t>
  </si>
  <si>
    <t>F162045</t>
  </si>
  <si>
    <t>N/Factura F162516</t>
  </si>
  <si>
    <t>F162516</t>
  </si>
  <si>
    <t>N/Factura F162992</t>
  </si>
  <si>
    <t>F162992</t>
  </si>
  <si>
    <t>04310 EGARA TELEK S.L. - F16</t>
  </si>
  <si>
    <t>ACOFARMA DISTRIBUCION SA</t>
  </si>
  <si>
    <t>ACOFARMA DISTRIBUCION, S.A</t>
  </si>
  <si>
    <t>F158646</t>
  </si>
  <si>
    <t>N/Factura F161560</t>
  </si>
  <si>
    <t>F161560</t>
  </si>
  <si>
    <t>N/Factura F162991</t>
  </si>
  <si>
    <t>F162991</t>
  </si>
  <si>
    <t>INDCRESA</t>
  </si>
  <si>
    <t>INDCRE, S.A.</t>
  </si>
  <si>
    <t>F157982</t>
  </si>
  <si>
    <t>F156922</t>
  </si>
  <si>
    <t>F156477</t>
  </si>
  <si>
    <t>N/Factura F160448</t>
  </si>
  <si>
    <t>F160448</t>
  </si>
  <si>
    <t>N/Factura F160883</t>
  </si>
  <si>
    <t>F160883</t>
  </si>
  <si>
    <t>F158526</t>
  </si>
  <si>
    <t>F157470</t>
  </si>
  <si>
    <t>N/Factura F161438</t>
  </si>
  <si>
    <t>F161438</t>
  </si>
  <si>
    <t>N/Factura F161900</t>
  </si>
  <si>
    <t>F161900</t>
  </si>
  <si>
    <t>F158966</t>
  </si>
  <si>
    <t>N/Factura F162392</t>
  </si>
  <si>
    <t>F162392</t>
  </si>
  <si>
    <t>F159898</t>
  </si>
  <si>
    <t>F159470</t>
  </si>
  <si>
    <t>J.M.L. LIFT COMPONENTS, SL</t>
  </si>
  <si>
    <t>F160080</t>
  </si>
  <si>
    <t>N/Factura F160549</t>
  </si>
  <si>
    <t>F160549</t>
  </si>
  <si>
    <t>N/Factura F161032</t>
  </si>
  <si>
    <t>F161032</t>
  </si>
  <si>
    <t>04425 J.M.L. UM" COMPONENTS</t>
  </si>
  <si>
    <t>N/Factura F161563</t>
  </si>
  <si>
    <t>F161563</t>
  </si>
  <si>
    <t>N/Factura F162048</t>
  </si>
  <si>
    <t>F162048</t>
  </si>
  <si>
    <t>COBRO FRA. F162048 DE JML LI</t>
  </si>
  <si>
    <t>N/Factura F162518</t>
  </si>
  <si>
    <t>F162518</t>
  </si>
  <si>
    <t>N/Factura F162994</t>
  </si>
  <si>
    <t>F162994</t>
  </si>
  <si>
    <t>F147773</t>
  </si>
  <si>
    <t>TECNOLOGIAS ECONTROL, SL</t>
  </si>
  <si>
    <t>SUMRRASSA SL</t>
  </si>
  <si>
    <t>F149437</t>
  </si>
  <si>
    <t>TECNO SEGURETAT ANOIA, SL</t>
  </si>
  <si>
    <t>JEANOLOGIA, SL</t>
  </si>
  <si>
    <t>N/Factura F160550</t>
  </si>
  <si>
    <t>F160550</t>
  </si>
  <si>
    <t>N/Factura F160656</t>
  </si>
  <si>
    <t>F160656</t>
  </si>
  <si>
    <t>CONF:ANTICIPO FRA.</t>
  </si>
  <si>
    <t>F162998</t>
  </si>
  <si>
    <t>N/Factura F161033</t>
  </si>
  <si>
    <t>F161033</t>
  </si>
  <si>
    <t>N/Factura F161034</t>
  </si>
  <si>
    <t>F161034</t>
  </si>
  <si>
    <t>N/Factura F161035</t>
  </si>
  <si>
    <t>F161035</t>
  </si>
  <si>
    <t>N/Factura F161036</t>
  </si>
  <si>
    <t>F161036</t>
  </si>
  <si>
    <t>N/Factura F161037</t>
  </si>
  <si>
    <t>F161037</t>
  </si>
  <si>
    <t>N/Factura F161038</t>
  </si>
  <si>
    <t>F161038</t>
  </si>
  <si>
    <t>N/Factura F161241</t>
  </si>
  <si>
    <t>F161241</t>
  </si>
  <si>
    <t>F145241</t>
  </si>
  <si>
    <t>N/Factura F161564</t>
  </si>
  <si>
    <t>F161564</t>
  </si>
  <si>
    <t>N/Factura F161732</t>
  </si>
  <si>
    <t>F161732</t>
  </si>
  <si>
    <t>N/Factura F162049</t>
  </si>
  <si>
    <t>F162049</t>
  </si>
  <si>
    <t>N/Factura F162050</t>
  </si>
  <si>
    <t>F162050</t>
  </si>
  <si>
    <t>N/Factura F162051</t>
  </si>
  <si>
    <t>F162051</t>
  </si>
  <si>
    <t>N/Factura F162052</t>
  </si>
  <si>
    <t>F162052</t>
  </si>
  <si>
    <t>N/Factura F162200</t>
  </si>
  <si>
    <t>F162200</t>
  </si>
  <si>
    <t>F160083</t>
  </si>
  <si>
    <t>N/Factura F162519</t>
  </si>
  <si>
    <t>F162519</t>
  </si>
  <si>
    <t>N/Factura F162520</t>
  </si>
  <si>
    <t>F162520</t>
  </si>
  <si>
    <t>N/Factura F162521</t>
  </si>
  <si>
    <t>F162521</t>
  </si>
  <si>
    <t>N/Factura F162522</t>
  </si>
  <si>
    <t>F162522</t>
  </si>
  <si>
    <t>N/Factura F162523</t>
  </si>
  <si>
    <t>F162523</t>
  </si>
  <si>
    <t>N/Factura F162524</t>
  </si>
  <si>
    <t>F162524</t>
  </si>
  <si>
    <t>N/Factura F162525</t>
  </si>
  <si>
    <t>F162525</t>
  </si>
  <si>
    <t>N/Factura F162687</t>
  </si>
  <si>
    <t>F162687</t>
  </si>
  <si>
    <t>CONF:PAGO FACTURAS</t>
  </si>
  <si>
    <t>N/Factura F162995</t>
  </si>
  <si>
    <t>F162995</t>
  </si>
  <si>
    <t>N/Factura F162996</t>
  </si>
  <si>
    <t>F162996</t>
  </si>
  <si>
    <t>N/Factura F162997</t>
  </si>
  <si>
    <t>F162997</t>
  </si>
  <si>
    <t>N/Factura F162998</t>
  </si>
  <si>
    <t>N/Factura F162999</t>
  </si>
  <si>
    <t>F162999</t>
  </si>
  <si>
    <t>N/Factura F163000</t>
  </si>
  <si>
    <t>F163000</t>
  </si>
  <si>
    <t>N/Factura F163001</t>
  </si>
  <si>
    <t>F163001</t>
  </si>
  <si>
    <t>N/Factura F163002</t>
  </si>
  <si>
    <t>F163002</t>
  </si>
  <si>
    <t>N/Factura F163183</t>
  </si>
  <si>
    <t>F163183</t>
  </si>
  <si>
    <t>ALGIS CLIMA, S.L.</t>
  </si>
  <si>
    <t>N/Factura F160557</t>
  </si>
  <si>
    <t>F160557</t>
  </si>
  <si>
    <t>04765 ALGIS CLIMA S.L.</t>
  </si>
  <si>
    <t>N/Factura F161055</t>
  </si>
  <si>
    <t>F161055</t>
  </si>
  <si>
    <t>F141063</t>
  </si>
  <si>
    <t>PASTISART, SA</t>
  </si>
  <si>
    <t>DIMASOL MAQUI. METALURGICA S.A</t>
  </si>
  <si>
    <t>F160087</t>
  </si>
  <si>
    <t>N/Factura F161041</t>
  </si>
  <si>
    <t>F161041</t>
  </si>
  <si>
    <t>N/Factura F161565</t>
  </si>
  <si>
    <t>F161565</t>
  </si>
  <si>
    <t>N/Factura F162054</t>
  </si>
  <si>
    <t>F162054</t>
  </si>
  <si>
    <t>N/Factura F162527</t>
  </si>
  <si>
    <t>F162527</t>
  </si>
  <si>
    <t>N/Factura F163004</t>
  </si>
  <si>
    <t>F163004</t>
  </si>
  <si>
    <t>04485 DIMASOL MAQUI. MUALURG</t>
  </si>
  <si>
    <t>INDUSTRIAS METADELL, SL</t>
  </si>
  <si>
    <t>00160 INDUSTRIAS MUADELL S.L</t>
  </si>
  <si>
    <t>N/Factura F160450</t>
  </si>
  <si>
    <t>F160450</t>
  </si>
  <si>
    <t>N/Factura F161439</t>
  </si>
  <si>
    <t>F161439</t>
  </si>
  <si>
    <t>N/Factura F161902</t>
  </si>
  <si>
    <t>F161902</t>
  </si>
  <si>
    <t>N/Factura F162393</t>
  </si>
  <si>
    <t>F162393</t>
  </si>
  <si>
    <t>N/Factura F162849</t>
  </si>
  <si>
    <t>F162849</t>
  </si>
  <si>
    <t>ELECTRONICS TECHNOLOGIES PLAST</t>
  </si>
  <si>
    <t>N/Factura F161039</t>
  </si>
  <si>
    <t>F161039</t>
  </si>
  <si>
    <t>N/Factura F162526</t>
  </si>
  <si>
    <t>F162526</t>
  </si>
  <si>
    <t>N/Factura F163003</t>
  </si>
  <si>
    <t>F163003</t>
  </si>
  <si>
    <t>04470 ELECTRONICS TECHNOLOGI</t>
  </si>
  <si>
    <t>KORDAL VALLES,SL</t>
  </si>
  <si>
    <t>N/Factura F161044</t>
  </si>
  <si>
    <t>F161044</t>
  </si>
  <si>
    <t>COBRO FRA. F161044 DE KORDAL</t>
  </si>
  <si>
    <t>N/Factura F161569</t>
  </si>
  <si>
    <t>F161569</t>
  </si>
  <si>
    <t>04575 KORDAL VALLES S.L. - F</t>
  </si>
  <si>
    <t>N/Factura F162528</t>
  </si>
  <si>
    <t>F162528</t>
  </si>
  <si>
    <t>INSTITUT CASTELLARNAU</t>
  </si>
  <si>
    <t>N/Factura F160553</t>
  </si>
  <si>
    <t>F160553</t>
  </si>
  <si>
    <t>N/Factura F161045</t>
  </si>
  <si>
    <t>F161045</t>
  </si>
  <si>
    <t>N/Factura F161571</t>
  </si>
  <si>
    <t>F161571</t>
  </si>
  <si>
    <t>N/Factura F162057</t>
  </si>
  <si>
    <t>F162057</t>
  </si>
  <si>
    <t>COBRO FRA. F162057 DE INSTIT</t>
  </si>
  <si>
    <t>N/Factura F162529</t>
  </si>
  <si>
    <t>F162529</t>
  </si>
  <si>
    <t>N/Factura F163007</t>
  </si>
  <si>
    <t>F163007</t>
  </si>
  <si>
    <t>04595 INSTITUT CASTELLARNAU</t>
  </si>
  <si>
    <t>NETZSCH ESPAÑA S.A.U.</t>
  </si>
  <si>
    <t>SEBASTIA REPARACIONS, SCP</t>
  </si>
  <si>
    <t>CEN. IMPOR. AGRICOLAS EGARA, S</t>
  </si>
  <si>
    <t>MANTENIMIENTOS EDUVE, SL</t>
  </si>
  <si>
    <t>NIELL TEIXIDOR, ANTONI</t>
  </si>
  <si>
    <t>F159902</t>
  </si>
  <si>
    <t>N/Factura F160451</t>
  </si>
  <si>
    <t>F160451</t>
  </si>
  <si>
    <t>N/Factura F160885</t>
  </si>
  <si>
    <t>F160885</t>
  </si>
  <si>
    <t>N/Factura F161440</t>
  </si>
  <si>
    <t>F161440</t>
  </si>
  <si>
    <t>N/Factura F161903</t>
  </si>
  <si>
    <t>F161903</t>
  </si>
  <si>
    <t>COBRO FRA. F161903 DE NIELL</t>
  </si>
  <si>
    <t>N/Factura F162394</t>
  </si>
  <si>
    <t>F162394</t>
  </si>
  <si>
    <t>F162851</t>
  </si>
  <si>
    <t>T.M.A. GRUPO F. SANCHEZ, SL</t>
  </si>
  <si>
    <t>F158099</t>
  </si>
  <si>
    <t>N/Factura F161001</t>
  </si>
  <si>
    <t>F161001</t>
  </si>
  <si>
    <t>N/Factura F161536</t>
  </si>
  <si>
    <t>F161536</t>
  </si>
  <si>
    <t>N/Factura F162019</t>
  </si>
  <si>
    <t>F162019</t>
  </si>
  <si>
    <t>N/Factura F162491</t>
  </si>
  <si>
    <t>F162491</t>
  </si>
  <si>
    <t>F160045</t>
  </si>
  <si>
    <t>N/Factura F162965</t>
  </si>
  <si>
    <t>F162965</t>
  </si>
  <si>
    <t>ANTONIO HERNANDEZ MENDEZ, SL</t>
  </si>
  <si>
    <t>N/Factura F160452</t>
  </si>
  <si>
    <t>F160452</t>
  </si>
  <si>
    <t>F148437</t>
  </si>
  <si>
    <t>F159904</t>
  </si>
  <si>
    <t>N/Factura F160887</t>
  </si>
  <si>
    <t>F160887</t>
  </si>
  <si>
    <t>N/Factura F161442</t>
  </si>
  <si>
    <t>F161442</t>
  </si>
  <si>
    <t>N/Factura F162395</t>
  </si>
  <si>
    <t>F162395</t>
  </si>
  <si>
    <t>N/Factura F162851</t>
  </si>
  <si>
    <t>00205 ANTONIO HERNANDEZ MEND</t>
  </si>
  <si>
    <t>ILUMAG MONT.ILUMIN. Y ELEC., S</t>
  </si>
  <si>
    <t>F160046</t>
  </si>
  <si>
    <t>N/Factura F161002</t>
  </si>
  <si>
    <t>F161002</t>
  </si>
  <si>
    <t>N/Factura F161538</t>
  </si>
  <si>
    <t>F161538</t>
  </si>
  <si>
    <t>N/Factura F162021</t>
  </si>
  <si>
    <t>F162021</t>
  </si>
  <si>
    <t>N/Factura F162493</t>
  </si>
  <si>
    <t>F162493</t>
  </si>
  <si>
    <t>N/Factura F162967</t>
  </si>
  <si>
    <t>F162967</t>
  </si>
  <si>
    <t>F156561</t>
  </si>
  <si>
    <t>BALDO I ASSOCIATS CONSTRU., SL</t>
  </si>
  <si>
    <t>BALDO I ASSOCIATS CONSTRUCTO</t>
  </si>
  <si>
    <t>F156217</t>
  </si>
  <si>
    <t>N/Factura F161053</t>
  </si>
  <si>
    <t>F161053</t>
  </si>
  <si>
    <t>GESTION REPARA. DEL VALLES, SL</t>
  </si>
  <si>
    <t>N/Factura F160556</t>
  </si>
  <si>
    <t>F160556</t>
  </si>
  <si>
    <t>N/Factura F161054</t>
  </si>
  <si>
    <t>F161054</t>
  </si>
  <si>
    <t>N/Factura F161575</t>
  </si>
  <si>
    <t>F161575</t>
  </si>
  <si>
    <t>N/Factura F162064</t>
  </si>
  <si>
    <t>F162064</t>
  </si>
  <si>
    <t>COBRO FRA. F162064 DE GESTIO</t>
  </si>
  <si>
    <t>N/Factura F162533</t>
  </si>
  <si>
    <t>F162533</t>
  </si>
  <si>
    <t>F141160</t>
  </si>
  <si>
    <t>ESAN PAVIMENTOS SL</t>
  </si>
  <si>
    <t>N/Factura F161057</t>
  </si>
  <si>
    <t>F161057</t>
  </si>
  <si>
    <t>N/Factura F161577</t>
  </si>
  <si>
    <t>F161577</t>
  </si>
  <si>
    <t>04830 ESAN PAVIMENTOS S.L.</t>
  </si>
  <si>
    <t>N/Factura F162535</t>
  </si>
  <si>
    <t>F162535</t>
  </si>
  <si>
    <t>MEC. GENERAL HOSPITALARIA SL</t>
  </si>
  <si>
    <t>N/Factura F160560</t>
  </si>
  <si>
    <t>F160560</t>
  </si>
  <si>
    <t>04850 MEC. GENERAL HOSPITALA</t>
  </si>
  <si>
    <t>N/Factura F161058</t>
  </si>
  <si>
    <t>F161058</t>
  </si>
  <si>
    <t>N/Factura F162536</t>
  </si>
  <si>
    <t>F162536</t>
  </si>
  <si>
    <t>ELECTRO BOX SYSTEMS, S.L.L.</t>
  </si>
  <si>
    <t>N/Factura F160558</t>
  </si>
  <si>
    <t>F160558</t>
  </si>
  <si>
    <t>N/Factura F161056</t>
  </si>
  <si>
    <t>F161056</t>
  </si>
  <si>
    <t>04785 ELECTRO BOX SYSTEMS S.</t>
  </si>
  <si>
    <t>N/Factura F161576</t>
  </si>
  <si>
    <t>F161576</t>
  </si>
  <si>
    <t>N/Factura F162534</t>
  </si>
  <si>
    <t>F162534</t>
  </si>
  <si>
    <t>SBINJES COMPANY, S.L.</t>
  </si>
  <si>
    <t>F160101</t>
  </si>
  <si>
    <t>N/Factura F160559</t>
  </si>
  <si>
    <t>F160559</t>
  </si>
  <si>
    <t>N/Factura F162065</t>
  </si>
  <si>
    <t>F162065</t>
  </si>
  <si>
    <t>COBRO FRA. F162065 DE SBINJE</t>
  </si>
  <si>
    <t>N/Factura F163014</t>
  </si>
  <si>
    <t>F163014</t>
  </si>
  <si>
    <t>COBRO FRA. F163014 DE SBINJE</t>
  </si>
  <si>
    <t>04810 SBINJES COMPANY S.L. -</t>
  </si>
  <si>
    <t>EJES EXPANSIBLES EJEMATIC, SL</t>
  </si>
  <si>
    <t>F160102</t>
  </si>
  <si>
    <t>N/Factura F160561</t>
  </si>
  <si>
    <t>F160561</t>
  </si>
  <si>
    <t>N/Factura F161059</t>
  </si>
  <si>
    <t>F161059</t>
  </si>
  <si>
    <t>N/Factura F161578</t>
  </si>
  <si>
    <t>F161578</t>
  </si>
  <si>
    <t>N/Factura F162066</t>
  </si>
  <si>
    <t>F162066</t>
  </si>
  <si>
    <t>N/Factura F162537</t>
  </si>
  <si>
    <t>F162537</t>
  </si>
  <si>
    <t>N/Factura F163015</t>
  </si>
  <si>
    <t>F163015</t>
  </si>
  <si>
    <t>04875 EJES EXPANSIBLES EJEMA</t>
  </si>
  <si>
    <t>DECODIVA BCN, SCP</t>
  </si>
  <si>
    <t>N/Factura F161580</t>
  </si>
  <si>
    <t>F161580</t>
  </si>
  <si>
    <t>N/Factura F163016</t>
  </si>
  <si>
    <t>F163016</t>
  </si>
  <si>
    <t>COBRO FRA. F163016 DE DECODI</t>
  </si>
  <si>
    <t>F162067</t>
  </si>
  <si>
    <t>SUEÑOS LOGISTICA S.L</t>
  </si>
  <si>
    <t>SUENOS LOGISTICA S.L.</t>
  </si>
  <si>
    <t>F159862</t>
  </si>
  <si>
    <t>SUENOS LOGISTICA, S.L.</t>
  </si>
  <si>
    <t>MONT. Y CARROZADOS CANO, SL</t>
  </si>
  <si>
    <t>VALVULAS LAC, SA</t>
  </si>
  <si>
    <t>00255 VALVULAS LAC S.A.</t>
  </si>
  <si>
    <t>N/Factura F161444</t>
  </si>
  <si>
    <t>F161444</t>
  </si>
  <si>
    <t>N/Factura F161906</t>
  </si>
  <si>
    <t>F161906</t>
  </si>
  <si>
    <t>N/Factura F162853</t>
  </si>
  <si>
    <t>F162853</t>
  </si>
  <si>
    <t>F157062</t>
  </si>
  <si>
    <t>LAMP, SA</t>
  </si>
  <si>
    <t>LAMP S.A.</t>
  </si>
  <si>
    <t>F156928</t>
  </si>
  <si>
    <t>N/Factura F160453</t>
  </si>
  <si>
    <t>F160453</t>
  </si>
  <si>
    <t>F157476</t>
  </si>
  <si>
    <t>N/Factura F160889</t>
  </si>
  <si>
    <t>F160889</t>
  </si>
  <si>
    <t>F157988</t>
  </si>
  <si>
    <t>N/Factura F161445</t>
  </si>
  <si>
    <t>F161445</t>
  </si>
  <si>
    <t>F158530</t>
  </si>
  <si>
    <t>N/Factura F161907</t>
  </si>
  <si>
    <t>F161907</t>
  </si>
  <si>
    <t>F158972</t>
  </si>
  <si>
    <t>N/Factura F162397</t>
  </si>
  <si>
    <t>F162397</t>
  </si>
  <si>
    <t>F159473</t>
  </si>
  <si>
    <t>N/Factura F162854</t>
  </si>
  <si>
    <t>F162854</t>
  </si>
  <si>
    <t>F159907</t>
  </si>
  <si>
    <t>COOPER CROUSE HINDS, SA</t>
  </si>
  <si>
    <t>N/Factura F160454</t>
  </si>
  <si>
    <t>F160454</t>
  </si>
  <si>
    <t>N/Factura F160890</t>
  </si>
  <si>
    <t>F160890</t>
  </si>
  <si>
    <t>/ADV/ 2000025938 /INV/F-1585</t>
  </si>
  <si>
    <t>N/Factura F161446</t>
  </si>
  <si>
    <t>F161446</t>
  </si>
  <si>
    <t>N/Factura F161908</t>
  </si>
  <si>
    <t>F161908</t>
  </si>
  <si>
    <t>F159908</t>
  </si>
  <si>
    <t>N/Factura F162398</t>
  </si>
  <si>
    <t>F162398</t>
  </si>
  <si>
    <t>N/Factura F162855</t>
  </si>
  <si>
    <t>F162855</t>
  </si>
  <si>
    <t>SENSOCAR, SA</t>
  </si>
  <si>
    <t>F159909</t>
  </si>
  <si>
    <t>N/Factura F160891</t>
  </si>
  <si>
    <t>F160891</t>
  </si>
  <si>
    <t>00275 SENSOCAR</t>
  </si>
  <si>
    <t>N/Factura F161909</t>
  </si>
  <si>
    <t>F161909</t>
  </si>
  <si>
    <t>COBRO FRA. F161909 DE SENSOC</t>
  </si>
  <si>
    <t>N/Factura F162399</t>
  </si>
  <si>
    <t>F162399</t>
  </si>
  <si>
    <t>N/Factura F162856</t>
  </si>
  <si>
    <t>F162856</t>
  </si>
  <si>
    <t>F156521</t>
  </si>
  <si>
    <t>BCS IBERICA, SAU</t>
  </si>
  <si>
    <t>N/Factura F160892</t>
  </si>
  <si>
    <t>F160892</t>
  </si>
  <si>
    <t>COBRO FRA. F160892 DE BCS IB</t>
  </si>
  <si>
    <t>N/Factura F161447</t>
  </si>
  <si>
    <t>F161447</t>
  </si>
  <si>
    <t>N/Factura F161910</t>
  </si>
  <si>
    <t>F161910</t>
  </si>
  <si>
    <t>N/Factura F162400</t>
  </si>
  <si>
    <t>F162400</t>
  </si>
  <si>
    <t>00300 BCS IBERICA S.A.U. - F</t>
  </si>
  <si>
    <t>N/Factura F162857</t>
  </si>
  <si>
    <t>F162857</t>
  </si>
  <si>
    <t>INDUSTRIAL GRADHERMETIC, SAE</t>
  </si>
  <si>
    <t>156483/932GRADHE156483/932</t>
  </si>
  <si>
    <t>N/Factura F160455</t>
  </si>
  <si>
    <t>F160455</t>
  </si>
  <si>
    <t>N/Factura F160893</t>
  </si>
  <si>
    <t>F160893</t>
  </si>
  <si>
    <t>TRU 13/2/2025   157479/992</t>
  </si>
  <si>
    <t>N/Factura F161448</t>
  </si>
  <si>
    <t>F161448</t>
  </si>
  <si>
    <t>N/Factura F161911</t>
  </si>
  <si>
    <t>F161911</t>
  </si>
  <si>
    <t>TRU 7/3/2025    158976/535</t>
  </si>
  <si>
    <t>N/Factura F162401</t>
  </si>
  <si>
    <t>F162401</t>
  </si>
  <si>
    <t>N/Factura F162858</t>
  </si>
  <si>
    <t>F162858</t>
  </si>
  <si>
    <t>TECSEAL, SA</t>
  </si>
  <si>
    <t>F159911</t>
  </si>
  <si>
    <t>N/Factura F160894</t>
  </si>
  <si>
    <t>F160894</t>
  </si>
  <si>
    <t>COBRO FRA. F160894 DE TECSEA</t>
  </si>
  <si>
    <t>N/Factura F161449</t>
  </si>
  <si>
    <t>F161449</t>
  </si>
  <si>
    <t>N/Factura F161912</t>
  </si>
  <si>
    <t>F161912</t>
  </si>
  <si>
    <t>N/Factura F162402</t>
  </si>
  <si>
    <t>F162402</t>
  </si>
  <si>
    <t>N/Factura F162859</t>
  </si>
  <si>
    <t>F162859</t>
  </si>
  <si>
    <t>00325 TECSEAL S.A. - F163380</t>
  </si>
  <si>
    <t>FERRO MECANICA, SA</t>
  </si>
  <si>
    <t>KERN PHARMA, SL</t>
  </si>
  <si>
    <t>KERN PHARMA, S.L.</t>
  </si>
  <si>
    <t>F157495</t>
  </si>
  <si>
    <t>N/Factura R211</t>
  </si>
  <si>
    <t>R211</t>
  </si>
  <si>
    <t>N/Factura F160456</t>
  </si>
  <si>
    <t>F160456</t>
  </si>
  <si>
    <t>N/Factura F160457</t>
  </si>
  <si>
    <t>F160457</t>
  </si>
  <si>
    <t>N/Factura F160458</t>
  </si>
  <si>
    <t>F160458</t>
  </si>
  <si>
    <t>N/Factura F160459</t>
  </si>
  <si>
    <t>F160459</t>
  </si>
  <si>
    <t>N/Factura F160460</t>
  </si>
  <si>
    <t>F160460</t>
  </si>
  <si>
    <t>N/Factura F160461</t>
  </si>
  <si>
    <t>F160461</t>
  </si>
  <si>
    <t>N/Factura F160462</t>
  </si>
  <si>
    <t>F160462</t>
  </si>
  <si>
    <t>N/Factura F160463</t>
  </si>
  <si>
    <t>F160463</t>
  </si>
  <si>
    <t>N/Factura F160464</t>
  </si>
  <si>
    <t>F160464</t>
  </si>
  <si>
    <t>N/Factura F160465</t>
  </si>
  <si>
    <t>F160465</t>
  </si>
  <si>
    <t>N/Factura F160652</t>
  </si>
  <si>
    <t>F160652</t>
  </si>
  <si>
    <t>N/Factura F160653</t>
  </si>
  <si>
    <t>F160653</t>
  </si>
  <si>
    <t>N/Factura F160654</t>
  </si>
  <si>
    <t>F160654</t>
  </si>
  <si>
    <t>/ADV/2400000697 28.1.2025</t>
  </si>
  <si>
    <t>N/Factura F160895</t>
  </si>
  <si>
    <t>F160895</t>
  </si>
  <si>
    <t>N/Factura F160896</t>
  </si>
  <si>
    <t>F160896</t>
  </si>
  <si>
    <t>N/Factura F160897</t>
  </si>
  <si>
    <t>F160897</t>
  </si>
  <si>
    <t>N/Factura F160898</t>
  </si>
  <si>
    <t>F160898</t>
  </si>
  <si>
    <t>N/Factura F160899</t>
  </si>
  <si>
    <t>F160899</t>
  </si>
  <si>
    <t>N/Factura F160900</t>
  </si>
  <si>
    <t>F160900</t>
  </si>
  <si>
    <t>N/Factura F160901</t>
  </si>
  <si>
    <t>F160901</t>
  </si>
  <si>
    <t>N/Factura F160902</t>
  </si>
  <si>
    <t>F160902</t>
  </si>
  <si>
    <t>N/Factura F160903</t>
  </si>
  <si>
    <t>F160903</t>
  </si>
  <si>
    <t>N/Factura F160904</t>
  </si>
  <si>
    <t>F160904</t>
  </si>
  <si>
    <t>N/Factura F160905</t>
  </si>
  <si>
    <t>F160905</t>
  </si>
  <si>
    <t>N/Factura F160906</t>
  </si>
  <si>
    <t>F160906</t>
  </si>
  <si>
    <t>N/Factura F160907</t>
  </si>
  <si>
    <t>F160907</t>
  </si>
  <si>
    <t>N/Factura F160908</t>
  </si>
  <si>
    <t>F160908</t>
  </si>
  <si>
    <t>N/Factura F160909</t>
  </si>
  <si>
    <t>F160909</t>
  </si>
  <si>
    <t>N/Factura F160910</t>
  </si>
  <si>
    <t>F160910</t>
  </si>
  <si>
    <t>N/Factura F160911</t>
  </si>
  <si>
    <t>F160911</t>
  </si>
  <si>
    <t>N/Factura F160912</t>
  </si>
  <si>
    <t>F160912</t>
  </si>
  <si>
    <t>N/Factura F160913</t>
  </si>
  <si>
    <t>F160913</t>
  </si>
  <si>
    <t>N/Factura F160914</t>
  </si>
  <si>
    <t>F160914</t>
  </si>
  <si>
    <t>N/Factura F160915</t>
  </si>
  <si>
    <t>F160915</t>
  </si>
  <si>
    <t>N/Factura F160916</t>
  </si>
  <si>
    <t>F160916</t>
  </si>
  <si>
    <t>N/Factura F160917</t>
  </si>
  <si>
    <t>F160917</t>
  </si>
  <si>
    <t>N/Factura F160918</t>
  </si>
  <si>
    <t>F160918</t>
  </si>
  <si>
    <t>N/Factura F161229</t>
  </si>
  <si>
    <t>F161229</t>
  </si>
  <si>
    <t>N/Factura F161230</t>
  </si>
  <si>
    <t>F161230</t>
  </si>
  <si>
    <t>N/Factura F161231</t>
  </si>
  <si>
    <t>F161231</t>
  </si>
  <si>
    <t>N/Factura F161232</t>
  </si>
  <si>
    <t>F161232</t>
  </si>
  <si>
    <t>N/Factura F161233</t>
  </si>
  <si>
    <t>F161233</t>
  </si>
  <si>
    <t>N/Factura F161234</t>
  </si>
  <si>
    <t>F161234</t>
  </si>
  <si>
    <t>N/Factura F161235</t>
  </si>
  <si>
    <t>F161235</t>
  </si>
  <si>
    <t>N/Factura F161236</t>
  </si>
  <si>
    <t>F161236</t>
  </si>
  <si>
    <t>N/Factura F161237</t>
  </si>
  <si>
    <t>F161237</t>
  </si>
  <si>
    <t>N/Factura F161238</t>
  </si>
  <si>
    <t>F161238</t>
  </si>
  <si>
    <t>N/Factura F161450</t>
  </si>
  <si>
    <t>F161450</t>
  </si>
  <si>
    <t>N/Factura F161451</t>
  </si>
  <si>
    <t>F161451</t>
  </si>
  <si>
    <t>N/Factura F161452</t>
  </si>
  <si>
    <t>F161452</t>
  </si>
  <si>
    <t>N/Factura F161453</t>
  </si>
  <si>
    <t>F161453</t>
  </si>
  <si>
    <t>N/Factura F161454</t>
  </si>
  <si>
    <t>F161454</t>
  </si>
  <si>
    <t>N/Factura F161455</t>
  </si>
  <si>
    <t>F161455</t>
  </si>
  <si>
    <t>N/Factura F161456</t>
  </si>
  <si>
    <t>F161456</t>
  </si>
  <si>
    <t>N/Factura F161457</t>
  </si>
  <si>
    <t>F161457</t>
  </si>
  <si>
    <t>N/Factura F161458</t>
  </si>
  <si>
    <t>F161458</t>
  </si>
  <si>
    <t>N/Factura F161459</t>
  </si>
  <si>
    <t>F161459</t>
  </si>
  <si>
    <t>N/Factura F161460</t>
  </si>
  <si>
    <t>F161460</t>
  </si>
  <si>
    <t>N/Factura F161461</t>
  </si>
  <si>
    <t>F161461</t>
  </si>
  <si>
    <t>N/Factura F161462</t>
  </si>
  <si>
    <t>F161462</t>
  </si>
  <si>
    <t>N/Factura F161463</t>
  </si>
  <si>
    <t>F161463</t>
  </si>
  <si>
    <t>N/Factura F161464</t>
  </si>
  <si>
    <t>F161464</t>
  </si>
  <si>
    <t>N/Factura F161465</t>
  </si>
  <si>
    <t>F161465</t>
  </si>
  <si>
    <t>N/Factura F161466</t>
  </si>
  <si>
    <t>F161466</t>
  </si>
  <si>
    <t>N/Factura F161467</t>
  </si>
  <si>
    <t>F161467</t>
  </si>
  <si>
    <t>N/Factura F161468</t>
  </si>
  <si>
    <t>F161468</t>
  </si>
  <si>
    <t>N/Factura F161723</t>
  </si>
  <si>
    <t>F161723</t>
  </si>
  <si>
    <t>N/Factura F161724</t>
  </si>
  <si>
    <t>F161724</t>
  </si>
  <si>
    <t>N/Factura F161725</t>
  </si>
  <si>
    <t>F161725</t>
  </si>
  <si>
    <t>N/Factura F161726</t>
  </si>
  <si>
    <t>F161726</t>
  </si>
  <si>
    <t>N/Factura F161727</t>
  </si>
  <si>
    <t>F161727</t>
  </si>
  <si>
    <t>N/Factura F161728</t>
  </si>
  <si>
    <t>F161728</t>
  </si>
  <si>
    <t>N/Factura F161913</t>
  </si>
  <si>
    <t>F161913</t>
  </si>
  <si>
    <t>N/Factura F161914</t>
  </si>
  <si>
    <t>F161914</t>
  </si>
  <si>
    <t>N/Factura F161915</t>
  </si>
  <si>
    <t>F161915</t>
  </si>
  <si>
    <t>N/Factura F161916</t>
  </si>
  <si>
    <t>F161916</t>
  </si>
  <si>
    <t>N/Factura F161917</t>
  </si>
  <si>
    <t>F161917</t>
  </si>
  <si>
    <t>N/Factura F161918</t>
  </si>
  <si>
    <t>F161918</t>
  </si>
  <si>
    <t>N/Factura F161919</t>
  </si>
  <si>
    <t>F161919</t>
  </si>
  <si>
    <t>N/Factura F161920</t>
  </si>
  <si>
    <t>F161920</t>
  </si>
  <si>
    <t>N/Factura F161921</t>
  </si>
  <si>
    <t>F161921</t>
  </si>
  <si>
    <t>N/Factura F161922</t>
  </si>
  <si>
    <t>F161922</t>
  </si>
  <si>
    <t>N/Factura F161923</t>
  </si>
  <si>
    <t>F161923</t>
  </si>
  <si>
    <t>N/Factura F161924</t>
  </si>
  <si>
    <t>F161924</t>
  </si>
  <si>
    <t>N/Factura F161925</t>
  </si>
  <si>
    <t>F161925</t>
  </si>
  <si>
    <t>N/Factura F161926</t>
  </si>
  <si>
    <t>F161926</t>
  </si>
  <si>
    <t>N/Factura F161927</t>
  </si>
  <si>
    <t>F161927</t>
  </si>
  <si>
    <t>N/Factura F161928</t>
  </si>
  <si>
    <t>F161928</t>
  </si>
  <si>
    <t>N/Factura F161929</t>
  </si>
  <si>
    <t>F161929</t>
  </si>
  <si>
    <t>N/Factura F161930</t>
  </si>
  <si>
    <t>F161930</t>
  </si>
  <si>
    <t>N/Factura F161931</t>
  </si>
  <si>
    <t>F161931</t>
  </si>
  <si>
    <t>N/Factura F161932</t>
  </si>
  <si>
    <t>F161932</t>
  </si>
  <si>
    <t>N/Factura F161933</t>
  </si>
  <si>
    <t>F161933</t>
  </si>
  <si>
    <t>N/Factura F161934</t>
  </si>
  <si>
    <t>F161934</t>
  </si>
  <si>
    <t>N/Factura F161935</t>
  </si>
  <si>
    <t>F161935</t>
  </si>
  <si>
    <t>N/Factura F161936</t>
  </si>
  <si>
    <t>F161936</t>
  </si>
  <si>
    <t>N/Factura F161937</t>
  </si>
  <si>
    <t>F161937</t>
  </si>
  <si>
    <t>N/Factura F161938</t>
  </si>
  <si>
    <t>F161938</t>
  </si>
  <si>
    <t>N/Factura F162195</t>
  </si>
  <si>
    <t>F162195</t>
  </si>
  <si>
    <t>N/Factura F162196</t>
  </si>
  <si>
    <t>F162196</t>
  </si>
  <si>
    <t>N/Factura F162197</t>
  </si>
  <si>
    <t>F162197</t>
  </si>
  <si>
    <t>N/Factura F162198</t>
  </si>
  <si>
    <t>F162198</t>
  </si>
  <si>
    <t>/ADV/2400001663 28.2.2025</t>
  </si>
  <si>
    <t>N/Factura F162403</t>
  </si>
  <si>
    <t>F162403</t>
  </si>
  <si>
    <t>N/Factura F162404</t>
  </si>
  <si>
    <t>F162404</t>
  </si>
  <si>
    <t>N/Factura F162405</t>
  </si>
  <si>
    <t>F162405</t>
  </si>
  <si>
    <t>N/Factura F162406</t>
  </si>
  <si>
    <t>F162406</t>
  </si>
  <si>
    <t>N/Factura F162407</t>
  </si>
  <si>
    <t>F162407</t>
  </si>
  <si>
    <t>N/Factura F162408</t>
  </si>
  <si>
    <t>F162408</t>
  </si>
  <si>
    <t>N/Factura F162409</t>
  </si>
  <si>
    <t>F162409</t>
  </si>
  <si>
    <t>N/Factura F162410</t>
  </si>
  <si>
    <t>F162410</t>
  </si>
  <si>
    <t>N/Factura F162411</t>
  </si>
  <si>
    <t>F162411</t>
  </si>
  <si>
    <t>N/Factura F162412</t>
  </si>
  <si>
    <t>F162412</t>
  </si>
  <si>
    <t>N/Factura F162413</t>
  </si>
  <si>
    <t>F162413</t>
  </si>
  <si>
    <t>N/Factura F162677</t>
  </si>
  <si>
    <t>F162677</t>
  </si>
  <si>
    <t>N/Factura F162678</t>
  </si>
  <si>
    <t>F162678</t>
  </si>
  <si>
    <t>N/Factura F162679</t>
  </si>
  <si>
    <t>F162679</t>
  </si>
  <si>
    <t>N/Factura F162680</t>
  </si>
  <si>
    <t>F162680</t>
  </si>
  <si>
    <t>N/Factura F162681</t>
  </si>
  <si>
    <t>F162681</t>
  </si>
  <si>
    <t>N/Factura F162682</t>
  </si>
  <si>
    <t>F162682</t>
  </si>
  <si>
    <t>N/Factura F162683</t>
  </si>
  <si>
    <t>F162683</t>
  </si>
  <si>
    <t>N/Factura F162684</t>
  </si>
  <si>
    <t>F162684</t>
  </si>
  <si>
    <t>N/Factura F162685</t>
  </si>
  <si>
    <t>F162685</t>
  </si>
  <si>
    <t>N/Factura R217</t>
  </si>
  <si>
    <t>R217</t>
  </si>
  <si>
    <t>N/Factura F162860</t>
  </si>
  <si>
    <t>F162860</t>
  </si>
  <si>
    <t>N/Factura F162861</t>
  </si>
  <si>
    <t>F162861</t>
  </si>
  <si>
    <t>N/Factura F162862</t>
  </si>
  <si>
    <t>F162862</t>
  </si>
  <si>
    <t>N/Factura F162863</t>
  </si>
  <si>
    <t>F162863</t>
  </si>
  <si>
    <t>N/Factura F162864</t>
  </si>
  <si>
    <t>F162864</t>
  </si>
  <si>
    <t>N/Factura F162865</t>
  </si>
  <si>
    <t>F162865</t>
  </si>
  <si>
    <t>N/Factura F162866</t>
  </si>
  <si>
    <t>F162866</t>
  </si>
  <si>
    <t>N/Factura F162867</t>
  </si>
  <si>
    <t>F162867</t>
  </si>
  <si>
    <t>N/Factura F162868</t>
  </si>
  <si>
    <t>F162868</t>
  </si>
  <si>
    <t>N/Factura F162869</t>
  </si>
  <si>
    <t>F162869</t>
  </si>
  <si>
    <t>N/Factura F162870</t>
  </si>
  <si>
    <t>F162870</t>
  </si>
  <si>
    <t>N/Factura F162871</t>
  </si>
  <si>
    <t>F162871</t>
  </si>
  <si>
    <t>N/Factura F162872</t>
  </si>
  <si>
    <t>F162872</t>
  </si>
  <si>
    <t>N/Factura F162873</t>
  </si>
  <si>
    <t>F162873</t>
  </si>
  <si>
    <t>N/Factura F162874</t>
  </si>
  <si>
    <t>F162874</t>
  </si>
  <si>
    <t>N/Factura F162875</t>
  </si>
  <si>
    <t>F162875</t>
  </si>
  <si>
    <t>N/Factura F162876</t>
  </si>
  <si>
    <t>F162876</t>
  </si>
  <si>
    <t>N/Factura F162877</t>
  </si>
  <si>
    <t>F162877</t>
  </si>
  <si>
    <t>N/Factura F162878</t>
  </si>
  <si>
    <t>F162878</t>
  </si>
  <si>
    <t>N/Factura F162879</t>
  </si>
  <si>
    <t>F162879</t>
  </si>
  <si>
    <t>N/Factura F162880</t>
  </si>
  <si>
    <t>F162880</t>
  </si>
  <si>
    <t>N/Factura F162881</t>
  </si>
  <si>
    <t>F162881</t>
  </si>
  <si>
    <t>N/Factura F162882</t>
  </si>
  <si>
    <t>F162882</t>
  </si>
  <si>
    <t>N/Factura F162883</t>
  </si>
  <si>
    <t>F162883</t>
  </si>
  <si>
    <t>N/Factura F163176</t>
  </si>
  <si>
    <t>F163176</t>
  </si>
  <si>
    <t>N/Factura F163177</t>
  </si>
  <si>
    <t>F163177</t>
  </si>
  <si>
    <t>N/Factura F163178</t>
  </si>
  <si>
    <t>F163178</t>
  </si>
  <si>
    <t>N/Factura F163179</t>
  </si>
  <si>
    <t>F163179</t>
  </si>
  <si>
    <t>N/Factura F163180</t>
  </si>
  <si>
    <t>F163180</t>
  </si>
  <si>
    <t>N/Factura F163181</t>
  </si>
  <si>
    <t>F163181</t>
  </si>
  <si>
    <t>N/Factura F163182</t>
  </si>
  <si>
    <t>F163182</t>
  </si>
  <si>
    <t>/ADV/2400002609 28.3.2025</t>
  </si>
  <si>
    <t>TALLERES REMTEX, SL</t>
  </si>
  <si>
    <t>F159924</t>
  </si>
  <si>
    <t>N/Factura F160466</t>
  </si>
  <si>
    <t>F160466</t>
  </si>
  <si>
    <t>N/Factura F160919</t>
  </si>
  <si>
    <t>F160919</t>
  </si>
  <si>
    <t>N/Factura F161469</t>
  </si>
  <si>
    <t>F161469</t>
  </si>
  <si>
    <t>N/Factura F161939</t>
  </si>
  <si>
    <t>F161939</t>
  </si>
  <si>
    <t>N/Factura F162414</t>
  </si>
  <si>
    <t>F162414</t>
  </si>
  <si>
    <t>N/Factura F162884</t>
  </si>
  <si>
    <t>F162884</t>
  </si>
  <si>
    <t>00405 TALLERES REMTEX S.L. -</t>
  </si>
  <si>
    <t>TALLERES CRISANTO, SL</t>
  </si>
  <si>
    <t>N/Factura F160467</t>
  </si>
  <si>
    <t>F160467</t>
  </si>
  <si>
    <t>TALLERES CRISANTO S.L.</t>
  </si>
  <si>
    <t>N/Factura F160920</t>
  </si>
  <si>
    <t>F160920</t>
  </si>
  <si>
    <t>N/Factura F161470</t>
  </si>
  <si>
    <t>F161470</t>
  </si>
  <si>
    <t>F159000 F159507 TALLERES CRI</t>
  </si>
  <si>
    <t>N/Factura F161940</t>
  </si>
  <si>
    <t>F161940</t>
  </si>
  <si>
    <t>N/Factura F162415</t>
  </si>
  <si>
    <t>F162415</t>
  </si>
  <si>
    <t>F159925 F160467  TALLERES CR</t>
  </si>
  <si>
    <t>N/Factura F162885</t>
  </si>
  <si>
    <t>F162885</t>
  </si>
  <si>
    <t>F160920  F161470  TALLERES C</t>
  </si>
  <si>
    <t>MARPA VACUUM, SL</t>
  </si>
  <si>
    <t>N/Factura F160468</t>
  </si>
  <si>
    <t>F160468</t>
  </si>
  <si>
    <t>FRA N 158014    158561</t>
  </si>
  <si>
    <t>N/Factura F160921</t>
  </si>
  <si>
    <t>F160921</t>
  </si>
  <si>
    <t>N/Factura F161471</t>
  </si>
  <si>
    <t>F161471</t>
  </si>
  <si>
    <t>FRA N 159001    159508</t>
  </si>
  <si>
    <t>N/Factura F161941</t>
  </si>
  <si>
    <t>F161941</t>
  </si>
  <si>
    <t>N/Factura F162416</t>
  </si>
  <si>
    <t>F162416</t>
  </si>
  <si>
    <t>FRA N 159926    160468</t>
  </si>
  <si>
    <t>N/Factura F162886</t>
  </si>
  <si>
    <t>F162886</t>
  </si>
  <si>
    <t>PIMEM AUTOMAT. ELECTRICS, SL</t>
  </si>
  <si>
    <t>N/Factura F160469</t>
  </si>
  <si>
    <t>F160469</t>
  </si>
  <si>
    <t>N/Factura F160922</t>
  </si>
  <si>
    <t>F160922</t>
  </si>
  <si>
    <t>F159002</t>
  </si>
  <si>
    <t>F159279</t>
  </si>
  <si>
    <t>F158562</t>
  </si>
  <si>
    <t>F159509</t>
  </si>
  <si>
    <t>N/Factura F161942</t>
  </si>
  <si>
    <t>F161942</t>
  </si>
  <si>
    <t>F159927</t>
  </si>
  <si>
    <t>N/Factura F162417</t>
  </si>
  <si>
    <t>F162417</t>
  </si>
  <si>
    <t>SUMAR, SL</t>
  </si>
  <si>
    <t>BANCO DE SABADELL S.A.</t>
  </si>
  <si>
    <t>CALDERERIA JOCASA, SL</t>
  </si>
  <si>
    <t>FEYSAMA, SL</t>
  </si>
  <si>
    <t>N 2025021000173909 AIGNEP IB</t>
  </si>
  <si>
    <t>EMBAMAT EU, SL</t>
  </si>
  <si>
    <t>MAQUILA PUNT, SA</t>
  </si>
  <si>
    <t>EGARA DE HILADOS, SL</t>
  </si>
  <si>
    <t>Importe factura expedida.</t>
  </si>
  <si>
    <t>r-213</t>
  </si>
  <si>
    <t>AMBROS SALAT, JOSEP</t>
  </si>
  <si>
    <t>N/Factura F160470</t>
  </si>
  <si>
    <t>F160470</t>
  </si>
  <si>
    <t>00625 JOSEP AMBROS SALAT</t>
  </si>
  <si>
    <t>N/Factura F161472</t>
  </si>
  <si>
    <t>F161472</t>
  </si>
  <si>
    <t>N/Factura F162418</t>
  </si>
  <si>
    <t>F162418</t>
  </si>
  <si>
    <t>N/Factura F162887</t>
  </si>
  <si>
    <t>F162887</t>
  </si>
  <si>
    <t>F.X. SANMARTI, SA</t>
  </si>
  <si>
    <t>N/Factura F161473</t>
  </si>
  <si>
    <t>F161473</t>
  </si>
  <si>
    <t>00645 F.X. SANMARTI S.A.</t>
  </si>
  <si>
    <t>PAPELES SALMERON, SL</t>
  </si>
  <si>
    <t>F159933</t>
  </si>
  <si>
    <t>N/Factura F160471</t>
  </si>
  <si>
    <t>F160471</t>
  </si>
  <si>
    <t>N/Factura F160923</t>
  </si>
  <si>
    <t>F160923</t>
  </si>
  <si>
    <t>N/Factura F161474</t>
  </si>
  <si>
    <t>F161474</t>
  </si>
  <si>
    <t>N/Factura F161944</t>
  </si>
  <si>
    <t>F161944</t>
  </si>
  <si>
    <t>COBRO FRA. F161944 DE PAPELE</t>
  </si>
  <si>
    <t>N/Factura F162419</t>
  </si>
  <si>
    <t>F162419</t>
  </si>
  <si>
    <t>N/Factura F162888</t>
  </si>
  <si>
    <t>F162888</t>
  </si>
  <si>
    <t>COBRO FRA. F162888 DE PAPELE</t>
  </si>
  <si>
    <t>00691 PAPELES SALMERON S.L.</t>
  </si>
  <si>
    <t>EGARETIQ, SL</t>
  </si>
  <si>
    <t>F159934</t>
  </si>
  <si>
    <t>N/Factura F160472</t>
  </si>
  <si>
    <t>F160472</t>
  </si>
  <si>
    <t>N/Factura F160924</t>
  </si>
  <si>
    <t>F160924</t>
  </si>
  <si>
    <t>N/Factura F161475</t>
  </si>
  <si>
    <t>F161475</t>
  </si>
  <si>
    <t>N/Factura F161945</t>
  </si>
  <si>
    <t>F161945</t>
  </si>
  <si>
    <t>COBRO FRA. F161945 DE EGARET</t>
  </si>
  <si>
    <t>N/Factura F162420</t>
  </si>
  <si>
    <t>F162420</t>
  </si>
  <si>
    <t>00740 EGARETIQ S.L. - F16242</t>
  </si>
  <si>
    <t>00740 EGARETIQ S.L. - F16340</t>
  </si>
  <si>
    <t>ELYMET SALAS, SL</t>
  </si>
  <si>
    <t>NIFCO PRODUCTS ESPAÑA, SL</t>
  </si>
  <si>
    <t>N/Factura F160473</t>
  </si>
  <si>
    <t>F160473</t>
  </si>
  <si>
    <t>N/Factura F161946</t>
  </si>
  <si>
    <t>F161946</t>
  </si>
  <si>
    <t>TAG AUTOMOTIVE, S.L</t>
  </si>
  <si>
    <t>N/Factura F161476</t>
  </si>
  <si>
    <t>F161476</t>
  </si>
  <si>
    <t>00801 TAG AUTOMOTIVE, S.L -</t>
  </si>
  <si>
    <t>00800 TAG AUTOMOTIVE, S.L</t>
  </si>
  <si>
    <t>EGARA MANUTENCION, SL</t>
  </si>
  <si>
    <t>N/Factura F160925</t>
  </si>
  <si>
    <t>F160925</t>
  </si>
  <si>
    <t>COBRO FRA. F160925 DE EGARA</t>
  </si>
  <si>
    <t>N/Factura F161478</t>
  </si>
  <si>
    <t>F161478</t>
  </si>
  <si>
    <t>00835 EGARA MANUTENCION S.L.</t>
  </si>
  <si>
    <t>ADELL MATARIN, JOAQUIN</t>
  </si>
  <si>
    <t>efectivo</t>
  </si>
  <si>
    <t>159937</t>
  </si>
  <si>
    <t>N/Factura F162421</t>
  </si>
  <si>
    <t>F162421</t>
  </si>
  <si>
    <t>N/Factura F162889</t>
  </si>
  <si>
    <t>F162889</t>
  </si>
  <si>
    <t>EGARA KARTS, SL</t>
  </si>
  <si>
    <t>N/Factura F160474</t>
  </si>
  <si>
    <t>F160474</t>
  </si>
  <si>
    <t>N/Factura F161479</t>
  </si>
  <si>
    <t>F161479</t>
  </si>
  <si>
    <t>SUMRRASSA FRA.159514.160474</t>
  </si>
  <si>
    <t>N/Factura F162422</t>
  </si>
  <si>
    <t>F162422</t>
  </si>
  <si>
    <t>N/Factura F162890</t>
  </si>
  <si>
    <t>F162890</t>
  </si>
  <si>
    <t>ASFALTOS DEL VALLES, SA</t>
  </si>
  <si>
    <t>F159938</t>
  </si>
  <si>
    <t>N/Factura F160475</t>
  </si>
  <si>
    <t>F160475</t>
  </si>
  <si>
    <t>N/Factura F160926</t>
  </si>
  <si>
    <t>F160926</t>
  </si>
  <si>
    <t>COBRO FRA. F160926 DE ASFALT</t>
  </si>
  <si>
    <t>N/Factura F161480</t>
  </si>
  <si>
    <t>F161480</t>
  </si>
  <si>
    <t>N/Factura F161948</t>
  </si>
  <si>
    <t>F161948</t>
  </si>
  <si>
    <t>N/Factura F162423</t>
  </si>
  <si>
    <t>F162423</t>
  </si>
  <si>
    <t>N/Factura F162891</t>
  </si>
  <si>
    <t>F162891</t>
  </si>
  <si>
    <t>00900 ASFALTOS DEL VALLES S.</t>
  </si>
  <si>
    <t>F159939</t>
  </si>
  <si>
    <t>N/Factura F160476</t>
  </si>
  <si>
    <t>F160476</t>
  </si>
  <si>
    <t>N/Factura F160927</t>
  </si>
  <si>
    <t>F160927</t>
  </si>
  <si>
    <t>COBRO FRA. F160927 DE COLOME</t>
  </si>
  <si>
    <t>N/Factura F161481</t>
  </si>
  <si>
    <t>F161481</t>
  </si>
  <si>
    <t>N/Factura F161949</t>
  </si>
  <si>
    <t>F161949</t>
  </si>
  <si>
    <t>N/Factura F162424</t>
  </si>
  <si>
    <t>F162424</t>
  </si>
  <si>
    <t>N/Factura F162892</t>
  </si>
  <si>
    <t>F162892</t>
  </si>
  <si>
    <t>00930 JOAN COLOMES BERCIAL -</t>
  </si>
  <si>
    <t>* SIN DESCRIPCION *</t>
  </si>
  <si>
    <t>COELBO CONTROL SYSTEM, SL</t>
  </si>
  <si>
    <t>N/Factura F160477</t>
  </si>
  <si>
    <t>F160477</t>
  </si>
  <si>
    <t>N/Factura F160929</t>
  </si>
  <si>
    <t>F160929</t>
  </si>
  <si>
    <t>N/Factura F161482</t>
  </si>
  <si>
    <t>F161482</t>
  </si>
  <si>
    <t>N/Factura F161951</t>
  </si>
  <si>
    <t>F161951</t>
  </si>
  <si>
    <t>N/Factura F162425</t>
  </si>
  <si>
    <t>F162425</t>
  </si>
  <si>
    <t>N/Factura F162894</t>
  </si>
  <si>
    <t>F162894</t>
  </si>
  <si>
    <t>SERVEI ELECTRIC D AUTOMOCIO, S</t>
  </si>
  <si>
    <t>F156554</t>
  </si>
  <si>
    <t>N/Factura F160478</t>
  </si>
  <si>
    <t>F160478</t>
  </si>
  <si>
    <t>N/Factura F160930</t>
  </si>
  <si>
    <t>F160930</t>
  </si>
  <si>
    <t>F159014</t>
  </si>
  <si>
    <t>N/Factura F161483</t>
  </si>
  <si>
    <t>F161483</t>
  </si>
  <si>
    <t>N/Factura F161952</t>
  </si>
  <si>
    <t>F161952</t>
  </si>
  <si>
    <t>TRANSFERENCIA DE SERVEI ELEC</t>
  </si>
  <si>
    <t>N/Factura F162426</t>
  </si>
  <si>
    <t>F162426</t>
  </si>
  <si>
    <t>N/Factura F162895</t>
  </si>
  <si>
    <t>F162895</t>
  </si>
  <si>
    <t>RECONSTRUCCION DE MOTORES, SA</t>
  </si>
  <si>
    <t>07705 ReConstruccion Motores</t>
  </si>
  <si>
    <t>SANMY, SA</t>
  </si>
  <si>
    <t>N/Factura F160479</t>
  </si>
  <si>
    <t>F160479</t>
  </si>
  <si>
    <t>Transferencia De Sanmy S A,</t>
  </si>
  <si>
    <t>N/Factura F160931</t>
  </si>
  <si>
    <t>F160931</t>
  </si>
  <si>
    <t>N/Factura F161485</t>
  </si>
  <si>
    <t>F161485</t>
  </si>
  <si>
    <t>N/Factura F161954</t>
  </si>
  <si>
    <t>F161954</t>
  </si>
  <si>
    <t>N/Factura F162427</t>
  </si>
  <si>
    <t>F162427</t>
  </si>
  <si>
    <t>N/Factura F162897</t>
  </si>
  <si>
    <t>F162897</t>
  </si>
  <si>
    <t>CAT VALLES, SL</t>
  </si>
  <si>
    <t>01060 CAT VALLES S.L. - F159</t>
  </si>
  <si>
    <t>N/Factura F160480</t>
  </si>
  <si>
    <t>F160480</t>
  </si>
  <si>
    <t>N/Factura F161955</t>
  </si>
  <si>
    <t>F161955</t>
  </si>
  <si>
    <t>01060 CAT VALLES S.L.</t>
  </si>
  <si>
    <t>N/Factura F162898</t>
  </si>
  <si>
    <t>F162898</t>
  </si>
  <si>
    <t>01060 CAT VALLES S.L. - F163</t>
  </si>
  <si>
    <t>CIDEYEG, SA</t>
  </si>
  <si>
    <t>N/Factura F160481</t>
  </si>
  <si>
    <t>F160481</t>
  </si>
  <si>
    <t>Documentos. F-158571</t>
  </si>
  <si>
    <t>N/Factura F160932</t>
  </si>
  <si>
    <t>F160932</t>
  </si>
  <si>
    <t>F159017</t>
  </si>
  <si>
    <t>N/Factura F161486</t>
  </si>
  <si>
    <t>F161486</t>
  </si>
  <si>
    <t>F159521</t>
  </si>
  <si>
    <t>N/Factura F161956</t>
  </si>
  <si>
    <t>F161956</t>
  </si>
  <si>
    <t>F159946</t>
  </si>
  <si>
    <t>N/Factura R215</t>
  </si>
  <si>
    <t>R215</t>
  </si>
  <si>
    <t>N/Factura F162428</t>
  </si>
  <si>
    <t>F162428</t>
  </si>
  <si>
    <t>N/Factura F162899</t>
  </si>
  <si>
    <t>F162899</t>
  </si>
  <si>
    <t>Documentos. F-160932</t>
  </si>
  <si>
    <t>IBERSERVEI ASSISTENCIA TECNICA</t>
  </si>
  <si>
    <t>F159948</t>
  </si>
  <si>
    <t>N/Factura F160483</t>
  </si>
  <si>
    <t>F160483</t>
  </si>
  <si>
    <t>N/Factura F160934</t>
  </si>
  <si>
    <t>F160934</t>
  </si>
  <si>
    <t>01150 IBERSERVEI ASSISTENCIA</t>
  </si>
  <si>
    <t>N/Factura F161488</t>
  </si>
  <si>
    <t>F161488</t>
  </si>
  <si>
    <t>N/Factura F161958</t>
  </si>
  <si>
    <t>F161958</t>
  </si>
  <si>
    <t>F157525</t>
  </si>
  <si>
    <t>N/Factura F162901</t>
  </si>
  <si>
    <t>F162901</t>
  </si>
  <si>
    <t>TECNOTOR, SL</t>
  </si>
  <si>
    <t>F159949</t>
  </si>
  <si>
    <t>N/Factura F160484</t>
  </si>
  <si>
    <t>F160484</t>
  </si>
  <si>
    <t>N/Factura F160935</t>
  </si>
  <si>
    <t>F160935</t>
  </si>
  <si>
    <t>N/Factura F161489</t>
  </si>
  <si>
    <t>F161489</t>
  </si>
  <si>
    <t>N/Factura F161959</t>
  </si>
  <si>
    <t>F161959</t>
  </si>
  <si>
    <t>COBRO FRA. F161959 DE TECNOT</t>
  </si>
  <si>
    <t>N/Factura F162430</t>
  </si>
  <si>
    <t>F162430</t>
  </si>
  <si>
    <t>N/Factura F162902</t>
  </si>
  <si>
    <t>F162902</t>
  </si>
  <si>
    <t>01160 TECNOTOR S.L.</t>
  </si>
  <si>
    <t>LABORATORIOS MIRET, SA</t>
  </si>
  <si>
    <t>N/Factura F160485</t>
  </si>
  <si>
    <t>F160485</t>
  </si>
  <si>
    <t>INV/F-158575 14.11.2024</t>
  </si>
  <si>
    <t>N/Factura F160936</t>
  </si>
  <si>
    <t>F160936</t>
  </si>
  <si>
    <t>F159525</t>
  </si>
  <si>
    <t>N/Factura F161490</t>
  </si>
  <si>
    <t>F161490</t>
  </si>
  <si>
    <t>N/Factura F161960</t>
  </si>
  <si>
    <t>F161960</t>
  </si>
  <si>
    <t>F159021</t>
  </si>
  <si>
    <t>F159950</t>
  </si>
  <si>
    <t>N/Factura F162431</t>
  </si>
  <si>
    <t>F162431</t>
  </si>
  <si>
    <t>N/Factura F162903</t>
  </si>
  <si>
    <t>F162903</t>
  </si>
  <si>
    <t>INV/F-160936 31.1.2025</t>
  </si>
  <si>
    <t>PONT AURELL Y ARMENGOL, SL</t>
  </si>
  <si>
    <t>PONT AURELL Y ARMENGOL S.L.</t>
  </si>
  <si>
    <t>F156984</t>
  </si>
  <si>
    <t>N/Factura F160937</t>
  </si>
  <si>
    <t>F160937</t>
  </si>
  <si>
    <t>F158029</t>
  </si>
  <si>
    <t>N/Factura F161961</t>
  </si>
  <si>
    <t>F161961</t>
  </si>
  <si>
    <t>F159022</t>
  </si>
  <si>
    <t>N/Factura F162904</t>
  </si>
  <si>
    <t>F162904</t>
  </si>
  <si>
    <t>GRUAS TRANS. Y MAQU DEL VALLES</t>
  </si>
  <si>
    <t>LOPEZ HERNANDEZ, FRANCISCO</t>
  </si>
  <si>
    <t>N/Factura F160486</t>
  </si>
  <si>
    <t>F160486</t>
  </si>
  <si>
    <t>F150184</t>
  </si>
  <si>
    <t>N/Factura F160938</t>
  </si>
  <si>
    <t>F160938</t>
  </si>
  <si>
    <t>N/Factura F161491</t>
  </si>
  <si>
    <t>F161491</t>
  </si>
  <si>
    <t>N/Factura F161962</t>
  </si>
  <si>
    <t>F161962</t>
  </si>
  <si>
    <t>COBRO FRA. F161962 DE LOPEZ</t>
  </si>
  <si>
    <t>N/Factura F162432</t>
  </si>
  <si>
    <t>F162432</t>
  </si>
  <si>
    <t>N/Factura F162905</t>
  </si>
  <si>
    <t>F162905</t>
  </si>
  <si>
    <t>COBRO FRA. F162905 DE LOPEZ</t>
  </si>
  <si>
    <t>F155933</t>
  </si>
  <si>
    <t>ROKET, SL</t>
  </si>
  <si>
    <t>N/Factura F160487</t>
  </si>
  <si>
    <t>F160487</t>
  </si>
  <si>
    <t>N/Factura F161963</t>
  </si>
  <si>
    <t>F161963</t>
  </si>
  <si>
    <t>01275 ROKU S.L. - F163415 -</t>
  </si>
  <si>
    <t>RECTIFICADOS TERRASSA, SL</t>
  </si>
  <si>
    <t>INCOPLAS, SA</t>
  </si>
  <si>
    <t>N/Factura F160489</t>
  </si>
  <si>
    <t>F160489</t>
  </si>
  <si>
    <t>N/Factura F160939</t>
  </si>
  <si>
    <t>F160939</t>
  </si>
  <si>
    <t>N/Factura F161492</t>
  </si>
  <si>
    <t>F161492</t>
  </si>
  <si>
    <t>N/Factura F161964</t>
  </si>
  <si>
    <t>F161964</t>
  </si>
  <si>
    <t>COBRO FRA. F161964 DE INDUST</t>
  </si>
  <si>
    <t>N/Factura F162434</t>
  </si>
  <si>
    <t>F162434</t>
  </si>
  <si>
    <t>N/Factura F162906</t>
  </si>
  <si>
    <t>F162906</t>
  </si>
  <si>
    <t>COBRO FRA. F162906 DE INDUST</t>
  </si>
  <si>
    <t>01345 INCOPLAS S.A. - F16341</t>
  </si>
  <si>
    <t>NAVARRO LAX,  FRANCISCO JOSE</t>
  </si>
  <si>
    <t>N/Factura F160490</t>
  </si>
  <si>
    <t>F160490</t>
  </si>
  <si>
    <t>01375 FRANCISCO JOSE NAVARRO</t>
  </si>
  <si>
    <t>N/Factura F160940</t>
  </si>
  <si>
    <t>F160940</t>
  </si>
  <si>
    <t>N/Factura F161493</t>
  </si>
  <si>
    <t>F161493</t>
  </si>
  <si>
    <t>N/Factura F161965</t>
  </si>
  <si>
    <t>F161965</t>
  </si>
  <si>
    <t>COBRO FRA. F161965 DE NAVARR</t>
  </si>
  <si>
    <t>N/Factura F162435</t>
  </si>
  <si>
    <t>F162435</t>
  </si>
  <si>
    <t>N/Factura F162907</t>
  </si>
  <si>
    <t>F162907</t>
  </si>
  <si>
    <t>COBRO FRA. F162907 DE NAVARR</t>
  </si>
  <si>
    <t>CALDERERIA JUVER, SL</t>
  </si>
  <si>
    <t>F159959</t>
  </si>
  <si>
    <t>N/Factura F160491</t>
  </si>
  <si>
    <t>F160491</t>
  </si>
  <si>
    <t>N/Factura F160941</t>
  </si>
  <si>
    <t>F160941</t>
  </si>
  <si>
    <t>COBRO FRA. F160941 DE CALDER</t>
  </si>
  <si>
    <t>N/Factura F161494</t>
  </si>
  <si>
    <t>F161494</t>
  </si>
  <si>
    <t>N/Factura F162908</t>
  </si>
  <si>
    <t>F162908</t>
  </si>
  <si>
    <t>01380 CALDERERIA J1NER S.L.</t>
  </si>
  <si>
    <t>F156992</t>
  </si>
  <si>
    <t>N/Factura F160492</t>
  </si>
  <si>
    <t>F160492</t>
  </si>
  <si>
    <t>F158035</t>
  </si>
  <si>
    <t>F158580</t>
  </si>
  <si>
    <t>N/Factura F161495</t>
  </si>
  <si>
    <t>F161495</t>
  </si>
  <si>
    <t>F159027</t>
  </si>
  <si>
    <t>F159530</t>
  </si>
  <si>
    <t>N/Factura F162436</t>
  </si>
  <si>
    <t>F162436</t>
  </si>
  <si>
    <t>F159960</t>
  </si>
  <si>
    <t>N/Factura F162909</t>
  </si>
  <si>
    <t>F162909</t>
  </si>
  <si>
    <t>SERVEIS DE L AIGUA, SA</t>
  </si>
  <si>
    <t>F159961</t>
  </si>
  <si>
    <t>N/Factura F162437</t>
  </si>
  <si>
    <t>F162437</t>
  </si>
  <si>
    <t>EGARCLIMA INSTAL- LACIONS, SA</t>
  </si>
  <si>
    <t>N/Factura F160942</t>
  </si>
  <si>
    <t>F160942</t>
  </si>
  <si>
    <t>F158036</t>
  </si>
  <si>
    <t>N/Factura F161496</t>
  </si>
  <si>
    <t>F161496</t>
  </si>
  <si>
    <t>N/Factura F161966</t>
  </si>
  <si>
    <t>F161966</t>
  </si>
  <si>
    <t>F158581</t>
  </si>
  <si>
    <t>EGARCLIMA INSTAL.LACIONS S.A</t>
  </si>
  <si>
    <t>N/Factura F162438</t>
  </si>
  <si>
    <t>F162438</t>
  </si>
  <si>
    <t>N/Factura F162910</t>
  </si>
  <si>
    <t>F162910</t>
  </si>
  <si>
    <t>F159531</t>
  </si>
  <si>
    <t>EGARCLIMA INSTAL.LACIONS,S.A</t>
  </si>
  <si>
    <t>TELSTAR TECHNOLOGIES, SLU</t>
  </si>
  <si>
    <t>N/Factura F162439</t>
  </si>
  <si>
    <t>F162439</t>
  </si>
  <si>
    <t>RP ALUMINIUM MACHYNERY, SL</t>
  </si>
  <si>
    <t>N/Factura F160493</t>
  </si>
  <si>
    <t>F160493</t>
  </si>
  <si>
    <t>01585 RP ALUMINIUM MACHYNERY</t>
  </si>
  <si>
    <t>N/Factura F160945</t>
  </si>
  <si>
    <t>F160945</t>
  </si>
  <si>
    <t>COBRO FRA. F160945 DE RP ALU</t>
  </si>
  <si>
    <t>N/Factura F161498</t>
  </si>
  <si>
    <t>F161498</t>
  </si>
  <si>
    <t>N/Factura F161968</t>
  </si>
  <si>
    <t>F161968</t>
  </si>
  <si>
    <t>N/Factura F162440</t>
  </si>
  <si>
    <t>F162440</t>
  </si>
  <si>
    <t>N/Factura F162913</t>
  </si>
  <si>
    <t>F162913</t>
  </si>
  <si>
    <t>RELIEVES EGARA, SL</t>
  </si>
  <si>
    <t>N/Factura F160494</t>
  </si>
  <si>
    <t>F160494</t>
  </si>
  <si>
    <t>F146630</t>
  </si>
  <si>
    <t>N/Factura F160946</t>
  </si>
  <si>
    <t>F160946</t>
  </si>
  <si>
    <t>N/Factura F161499</t>
  </si>
  <si>
    <t>F161499</t>
  </si>
  <si>
    <t>Transferencia De Relieves Eg</t>
  </si>
  <si>
    <t>N/Factura F161969</t>
  </si>
  <si>
    <t>F161969</t>
  </si>
  <si>
    <t>N/Factura F162441</t>
  </si>
  <si>
    <t>F162441</t>
  </si>
  <si>
    <t>N/Factura F162914</t>
  </si>
  <si>
    <t>F162914</t>
  </si>
  <si>
    <t>APLICACIONES ELECTRICAS HERAS,</t>
  </si>
  <si>
    <t>N/Factura F161500</t>
  </si>
  <si>
    <t>F161500</t>
  </si>
  <si>
    <t>01620 APLICACIONES ELEC. HER</t>
  </si>
  <si>
    <t>N/Factura F162915</t>
  </si>
  <si>
    <t>F162915</t>
  </si>
  <si>
    <t>F155003</t>
  </si>
  <si>
    <t>LOPEZ SANCHEZ, FRANCISCO JAVIE</t>
  </si>
  <si>
    <t>GRAELLS PUERTAS BASCULANTES, S</t>
  </si>
  <si>
    <t>F159971</t>
  </si>
  <si>
    <t>N/Factura F160495</t>
  </si>
  <si>
    <t>F160495</t>
  </si>
  <si>
    <t>N/Factura F160948</t>
  </si>
  <si>
    <t>F160948</t>
  </si>
  <si>
    <t>01725 GRAELLS PUERTAS BASCUL</t>
  </si>
  <si>
    <t>N/Factura F161971</t>
  </si>
  <si>
    <t>F161971</t>
  </si>
  <si>
    <t>N/Factura F162443</t>
  </si>
  <si>
    <t>F162443</t>
  </si>
  <si>
    <t>N/Factura F162917</t>
  </si>
  <si>
    <t>F162917</t>
  </si>
  <si>
    <t>GARCIA ALONSO,  JUAN</t>
  </si>
  <si>
    <t>METAL-ART 2004, SCP</t>
  </si>
  <si>
    <t>Transferencia Inmediata De M</t>
  </si>
  <si>
    <t>LABIANA LIFE SCIENCES, SAU</t>
  </si>
  <si>
    <t>CAIXABANK, S.A.</t>
  </si>
  <si>
    <t>F139099</t>
  </si>
  <si>
    <t>N/Factura F160496</t>
  </si>
  <si>
    <t>F160496</t>
  </si>
  <si>
    <t>PAGO DE FACTURAS DEL CLIENTE</t>
  </si>
  <si>
    <t>N/Factura F160949</t>
  </si>
  <si>
    <t>F160949</t>
  </si>
  <si>
    <t>N/Factura F161501</t>
  </si>
  <si>
    <t>F161501</t>
  </si>
  <si>
    <t>N/Factura F161973</t>
  </si>
  <si>
    <t>F161973</t>
  </si>
  <si>
    <t>/INV/F-159973 31.12.2024/INV</t>
  </si>
  <si>
    <t>N/Factura F162444</t>
  </si>
  <si>
    <t>F162444</t>
  </si>
  <si>
    <t>N/Factura F162919</t>
  </si>
  <si>
    <t>F162919</t>
  </si>
  <si>
    <t>PAGO FACTURAS</t>
  </si>
  <si>
    <t>GRANJAS LLEONART Y SUBIRANA, S</t>
  </si>
  <si>
    <t>N/Factura F160953</t>
  </si>
  <si>
    <t>F160953</t>
  </si>
  <si>
    <t>N/Factura F161504</t>
  </si>
  <si>
    <t>F161504</t>
  </si>
  <si>
    <t>N/Factura F162448</t>
  </si>
  <si>
    <t>F162448</t>
  </si>
  <si>
    <t>AMATE ELECTROACUSTICA, SL</t>
  </si>
  <si>
    <t>REDFLUID, SL</t>
  </si>
  <si>
    <t>F158592</t>
  </si>
  <si>
    <t>N/Factura F162452</t>
  </si>
  <si>
    <t>F162452</t>
  </si>
  <si>
    <t>N/Factura F162923</t>
  </si>
  <si>
    <t>F162923</t>
  </si>
  <si>
    <t>FONT MUNILL, XAVIER</t>
  </si>
  <si>
    <t>L. RUBIO, SL</t>
  </si>
  <si>
    <t>N/Factura F160956</t>
  </si>
  <si>
    <t>F160956</t>
  </si>
  <si>
    <t>02140 L RUBIO S.L.</t>
  </si>
  <si>
    <t>N/Factura F162925</t>
  </si>
  <si>
    <t>F162925</t>
  </si>
  <si>
    <t>F152656</t>
  </si>
  <si>
    <t>CALDERERIA FERNANDEZ, SCP</t>
  </si>
  <si>
    <t>N/Factura F160958</t>
  </si>
  <si>
    <t>F160958</t>
  </si>
  <si>
    <t>02245 CALDERERIA FERNANDEZ S</t>
  </si>
  <si>
    <t>N/Factura F161980</t>
  </si>
  <si>
    <t>F161980</t>
  </si>
  <si>
    <t>N/Factura F162927</t>
  </si>
  <si>
    <t>F162927</t>
  </si>
  <si>
    <t>COBRO FRA. F162927 DE CALDER</t>
  </si>
  <si>
    <t>F147730</t>
  </si>
  <si>
    <t>FIC 5 SHOP, SL</t>
  </si>
  <si>
    <t>GEYMO MARINA INDUSTRIAL, SL</t>
  </si>
  <si>
    <t>N/Factura F160959</t>
  </si>
  <si>
    <t>F160959</t>
  </si>
  <si>
    <t>F159987</t>
  </si>
  <si>
    <t>N/Factura F162928</t>
  </si>
  <si>
    <t>F162928</t>
  </si>
  <si>
    <t>MAT- KONTAK, SL</t>
  </si>
  <si>
    <t>N/Factura F160503</t>
  </si>
  <si>
    <t>F160503</t>
  </si>
  <si>
    <t>N/Factura F160960</t>
  </si>
  <si>
    <t>F160960</t>
  </si>
  <si>
    <t>MAT KONTAK S.L.</t>
  </si>
  <si>
    <t>N/Factura F161981</t>
  </si>
  <si>
    <t>F161981</t>
  </si>
  <si>
    <t>N/Factura F162453</t>
  </si>
  <si>
    <t>F162453</t>
  </si>
  <si>
    <t>N/Factura F162929</t>
  </si>
  <si>
    <t>F162929</t>
  </si>
  <si>
    <t>PLATAFORMAS AEREAS ALTEX, SL</t>
  </si>
  <si>
    <t>F159989</t>
  </si>
  <si>
    <t>N/Factura F161982</t>
  </si>
  <si>
    <t>F161982</t>
  </si>
  <si>
    <t>COBRO FRA. F161982 DE PLATAF</t>
  </si>
  <si>
    <t>N/Factura F162454</t>
  </si>
  <si>
    <t>F162454</t>
  </si>
  <si>
    <t>N/Factura F162930</t>
  </si>
  <si>
    <t>F162930</t>
  </si>
  <si>
    <t>02315 PLATAFORMAS AEREAS ALT</t>
  </si>
  <si>
    <t>ERECO AMBIENTAL, SL</t>
  </si>
  <si>
    <t>N/Factura F160505</t>
  </si>
  <si>
    <t>F160505</t>
  </si>
  <si>
    <t>N/Factura F160962</t>
  </si>
  <si>
    <t>F160962</t>
  </si>
  <si>
    <t>N/Factura F161509</t>
  </si>
  <si>
    <t>F161509</t>
  </si>
  <si>
    <t>N/Factura F161984</t>
  </si>
  <si>
    <t>F161984</t>
  </si>
  <si>
    <t>COBRO FRA. F161984 DE ERECO</t>
  </si>
  <si>
    <t>N/Factura F162455</t>
  </si>
  <si>
    <t>F162455</t>
  </si>
  <si>
    <t>N/Factura F162932</t>
  </si>
  <si>
    <t>F162932</t>
  </si>
  <si>
    <t>COBRO FRA. F162932 DE ERECO</t>
  </si>
  <si>
    <t>02340 ERECO AMBIENTAL S.L.</t>
  </si>
  <si>
    <t>TALLER CREATIU BERMAC, SL</t>
  </si>
  <si>
    <t>F159991</t>
  </si>
  <si>
    <t>N/Factura F160506</t>
  </si>
  <si>
    <t>F160506</t>
  </si>
  <si>
    <t>N/Factura F160963</t>
  </si>
  <si>
    <t>F160963</t>
  </si>
  <si>
    <t>02360 TALLER CREATIU BERMAC</t>
  </si>
  <si>
    <t>N/Factura F161510</t>
  </si>
  <si>
    <t>F161510</t>
  </si>
  <si>
    <t>N/Factura F161985</t>
  </si>
  <si>
    <t>F161985</t>
  </si>
  <si>
    <t>N/Factura F162456</t>
  </si>
  <si>
    <t>F162456</t>
  </si>
  <si>
    <t>N/Factura F162933</t>
  </si>
  <si>
    <t>F162933</t>
  </si>
  <si>
    <t>CONSORCI SANITARI DE TERRASSA</t>
  </si>
  <si>
    <t>N/Factura F160964</t>
  </si>
  <si>
    <t>F160964</t>
  </si>
  <si>
    <t>F157010</t>
  </si>
  <si>
    <t>N/Factura F161511</t>
  </si>
  <si>
    <t>F161511</t>
  </si>
  <si>
    <t>F148135</t>
  </si>
  <si>
    <t>N/Factura F161986</t>
  </si>
  <si>
    <t>F161986</t>
  </si>
  <si>
    <t>F157549</t>
  </si>
  <si>
    <t>F158057</t>
  </si>
  <si>
    <t>N/Factura F162457</t>
  </si>
  <si>
    <t>F162457</t>
  </si>
  <si>
    <t>N/Factura F162934</t>
  </si>
  <si>
    <t>F162934</t>
  </si>
  <si>
    <t>158598. Factura C24-11-2677</t>
  </si>
  <si>
    <t>ATELMA, SL</t>
  </si>
  <si>
    <t>BAUMGARTEN ESPAÑA, SA</t>
  </si>
  <si>
    <t>F159994</t>
  </si>
  <si>
    <t>N/Factura F160507</t>
  </si>
  <si>
    <t>F160507</t>
  </si>
  <si>
    <t>N/Factura F160965</t>
  </si>
  <si>
    <t>F160965</t>
  </si>
  <si>
    <t>N/Factura F161512</t>
  </si>
  <si>
    <t>F161512</t>
  </si>
  <si>
    <t>N/Factura F161987</t>
  </si>
  <si>
    <t>F161987</t>
  </si>
  <si>
    <t>COBRO FRA. F161987 DE BAUMGA</t>
  </si>
  <si>
    <t>N/Factura F162458</t>
  </si>
  <si>
    <t>F162458</t>
  </si>
  <si>
    <t>N/Factura F162935</t>
  </si>
  <si>
    <t>F162935</t>
  </si>
  <si>
    <t>COBRO FRA. F162935 DE BAUMGA</t>
  </si>
  <si>
    <t>02375 BAUMGARTEN ESPAÑA S.L.</t>
  </si>
  <si>
    <t>SENEL TECHNOLOGIES, SL</t>
  </si>
  <si>
    <t>N/Factura F160508</t>
  </si>
  <si>
    <t>F160508</t>
  </si>
  <si>
    <t>F159995</t>
  </si>
  <si>
    <t>N/Factura F160966</t>
  </si>
  <si>
    <t>F160966</t>
  </si>
  <si>
    <t>N/Factura F161513</t>
  </si>
  <si>
    <t>F161513</t>
  </si>
  <si>
    <t>N/Factura F161988</t>
  </si>
  <si>
    <t>F161988</t>
  </si>
  <si>
    <t>N/Factura F162459</t>
  </si>
  <si>
    <t>F162459</t>
  </si>
  <si>
    <t>N/Factura F162936</t>
  </si>
  <si>
    <t>F162936</t>
  </si>
  <si>
    <t>02390 SENEL TECHNOLOGIES S.L</t>
  </si>
  <si>
    <t>SAVAZ 2007, SCP</t>
  </si>
  <si>
    <t>N/Factura F160509</t>
  </si>
  <si>
    <t>F160509</t>
  </si>
  <si>
    <t>02445 SAVAZ 2007 S.C.P. - F1</t>
  </si>
  <si>
    <t>N/Factura F160967</t>
  </si>
  <si>
    <t>F160967</t>
  </si>
  <si>
    <t>COBRO FRA. F160967 DE SAVAZ</t>
  </si>
  <si>
    <t>PRIETO LOPEZ, RAUL</t>
  </si>
  <si>
    <t>F159997</t>
  </si>
  <si>
    <t>N/Factura F160510</t>
  </si>
  <si>
    <t>F160510</t>
  </si>
  <si>
    <t>02465 RAUL PRIETO LOPEZ - F1</t>
  </si>
  <si>
    <t>N/Factura F160968</t>
  </si>
  <si>
    <t>F160968</t>
  </si>
  <si>
    <t>N/Factura F161514</t>
  </si>
  <si>
    <t>F161514</t>
  </si>
  <si>
    <t>N/Factura F161989</t>
  </si>
  <si>
    <t>F161989</t>
  </si>
  <si>
    <t>COBRO FRA. F161989 DE PRIETO</t>
  </si>
  <si>
    <t>N/Factura F162460</t>
  </si>
  <si>
    <t>F162460</t>
  </si>
  <si>
    <t>N/Factura F162937</t>
  </si>
  <si>
    <t>F162937</t>
  </si>
  <si>
    <t>COBRO FRA. F162937 DE PRIETO</t>
  </si>
  <si>
    <t>ROIG GRAELLS, JORDI</t>
  </si>
  <si>
    <t>N/Factura F161990</t>
  </si>
  <si>
    <t>F161990</t>
  </si>
  <si>
    <t>02480 JORDI ROIG GRAELLS</t>
  </si>
  <si>
    <t>N/Factura F162461</t>
  </si>
  <si>
    <t>F162461</t>
  </si>
  <si>
    <t>F163072</t>
  </si>
  <si>
    <t>NAIRAL WATER, SL</t>
  </si>
  <si>
    <t>N/Factura F160511</t>
  </si>
  <si>
    <t>F160511</t>
  </si>
  <si>
    <t>N/Factura F161515</t>
  </si>
  <si>
    <t>F161515</t>
  </si>
  <si>
    <t>N/Factura F161991</t>
  </si>
  <si>
    <t>F161991</t>
  </si>
  <si>
    <t>COBRO FRA. F161991 DE NAIRAL</t>
  </si>
  <si>
    <t>N/Factura F162462</t>
  </si>
  <si>
    <t>F162462</t>
  </si>
  <si>
    <t>02505 NAIRAL WATER S.L.</t>
  </si>
  <si>
    <t>ALIMENTOS FRIORIZADOS, SA</t>
  </si>
  <si>
    <t>GRAFICAS ARCAS, SCP</t>
  </si>
  <si>
    <t>GRAFICAS ARCAS S C P</t>
  </si>
  <si>
    <t>F159050</t>
  </si>
  <si>
    <t>N/Factura F162464</t>
  </si>
  <si>
    <t>F162464</t>
  </si>
  <si>
    <t>MADEVAC SL</t>
  </si>
  <si>
    <t>F159999</t>
  </si>
  <si>
    <t>N/Factura F162465</t>
  </si>
  <si>
    <t>F162465</t>
  </si>
  <si>
    <t>INSTAL. ELECT.EGARA, SL</t>
  </si>
  <si>
    <t>N/Factura F160512</t>
  </si>
  <si>
    <t>F160512</t>
  </si>
  <si>
    <t>INSTALACIONES ELECTRICAS EGA</t>
  </si>
  <si>
    <t>N/Factura F160971</t>
  </si>
  <si>
    <t>F160971</t>
  </si>
  <si>
    <t>N/Factura F161517</t>
  </si>
  <si>
    <t>F161517</t>
  </si>
  <si>
    <t>fras:  F-159051  F-159553.</t>
  </si>
  <si>
    <t>N/Factura F161993</t>
  </si>
  <si>
    <t>F161993</t>
  </si>
  <si>
    <t>N/Factura F162940</t>
  </si>
  <si>
    <t>F162940</t>
  </si>
  <si>
    <t>INDUST. METALICAS PROTECMA, SC</t>
  </si>
  <si>
    <t>FRIMAL TRADING, SL</t>
  </si>
  <si>
    <t>GRUPSON TRADE S.L</t>
  </si>
  <si>
    <t>N/Factura F160513</t>
  </si>
  <si>
    <t>F160513</t>
  </si>
  <si>
    <t>F160003</t>
  </si>
  <si>
    <t>F159554</t>
  </si>
  <si>
    <t>N/Factura F160973</t>
  </si>
  <si>
    <t>F160973</t>
  </si>
  <si>
    <t>N/Factura F161518</t>
  </si>
  <si>
    <t>F161518</t>
  </si>
  <si>
    <t>N/Factura F161994</t>
  </si>
  <si>
    <t>F161994</t>
  </si>
  <si>
    <t>F-160513</t>
  </si>
  <si>
    <t>N/Factura F162467</t>
  </si>
  <si>
    <t>F162467</t>
  </si>
  <si>
    <t>N/Factura F162941</t>
  </si>
  <si>
    <t>F162941</t>
  </si>
  <si>
    <t>TAG MATERIAL HANDLING SLU</t>
  </si>
  <si>
    <t>N/Factura F160514</t>
  </si>
  <si>
    <t>F160514</t>
  </si>
  <si>
    <t>F158066</t>
  </si>
  <si>
    <t>F157559</t>
  </si>
  <si>
    <t>N/Factura F160974</t>
  </si>
  <si>
    <t>F160974</t>
  </si>
  <si>
    <t>N/Factura F161519</t>
  </si>
  <si>
    <t>F161519</t>
  </si>
  <si>
    <t>F159053</t>
  </si>
  <si>
    <t>F158605</t>
  </si>
  <si>
    <t>N/Factura F161995</t>
  </si>
  <si>
    <t>F161995</t>
  </si>
  <si>
    <t>N/Factura F162468</t>
  </si>
  <si>
    <t>F162468</t>
  </si>
  <si>
    <t>F159555</t>
  </si>
  <si>
    <t>F160004</t>
  </si>
  <si>
    <t>N/Factura F162942</t>
  </si>
  <si>
    <t>F162942</t>
  </si>
  <si>
    <t>PROY. ELE. Y AUTOM. PROMAN, SL</t>
  </si>
  <si>
    <t>METALISTERIA CONSTRUMAP, SA</t>
  </si>
  <si>
    <t>F160009</t>
  </si>
  <si>
    <t>N/Factura F160516</t>
  </si>
  <si>
    <t>F160516</t>
  </si>
  <si>
    <t>N/Factura F161996</t>
  </si>
  <si>
    <t>F161996</t>
  </si>
  <si>
    <t>N/Factura F162471</t>
  </si>
  <si>
    <t>F162471</t>
  </si>
  <si>
    <t>N/Factura F162944</t>
  </si>
  <si>
    <t>F162944</t>
  </si>
  <si>
    <t>02840 METALISTERIA CONSTRUMA</t>
  </si>
  <si>
    <t>MOTOCONO, SA</t>
  </si>
  <si>
    <t>N/Factura F160517</t>
  </si>
  <si>
    <t>F160517</t>
  </si>
  <si>
    <t>Cobro De Efectos Devueltos</t>
  </si>
  <si>
    <t>GALAN TEXTILE MACHINERY, SL</t>
  </si>
  <si>
    <t>N/Factura F160977</t>
  </si>
  <si>
    <t>F160977</t>
  </si>
  <si>
    <t>N/Factura F162472</t>
  </si>
  <si>
    <t>F162472</t>
  </si>
  <si>
    <t>ADDENDUM, SA</t>
  </si>
  <si>
    <t>N/Factura F160978</t>
  </si>
  <si>
    <t>F160978</t>
  </si>
  <si>
    <t>N/Factura F161997</t>
  </si>
  <si>
    <t>F161997</t>
  </si>
  <si>
    <t>VALLES PEREZ,ENRIC</t>
  </si>
  <si>
    <t>N/Factura F160979</t>
  </si>
  <si>
    <t>F160979</t>
  </si>
  <si>
    <t>ENRIC VALLES PEREZ</t>
  </si>
  <si>
    <t>N/Factura F161520</t>
  </si>
  <si>
    <t>F161520</t>
  </si>
  <si>
    <t>N/Factura F161998</t>
  </si>
  <si>
    <t>F161998</t>
  </si>
  <si>
    <t>F152971</t>
  </si>
  <si>
    <t>N/Factura F162945</t>
  </si>
  <si>
    <t>F162945</t>
  </si>
  <si>
    <t>UNIGASKET,SL</t>
  </si>
  <si>
    <t>N/Factura F161999</t>
  </si>
  <si>
    <t>F161999</t>
  </si>
  <si>
    <t>MECANITZATS MANCILLA, SL</t>
  </si>
  <si>
    <t>N/Factura F161521</t>
  </si>
  <si>
    <t>F161521</t>
  </si>
  <si>
    <t>02980 MECANITLATS MANCILLA S</t>
  </si>
  <si>
    <t>N/Factura F162000</t>
  </si>
  <si>
    <t>F162000</t>
  </si>
  <si>
    <t>02980 MECANITZATS MANILLA S.</t>
  </si>
  <si>
    <t>N/Factura F162946</t>
  </si>
  <si>
    <t>F162946</t>
  </si>
  <si>
    <t>PLANCHISTERIA IND. CARPAU, SLU</t>
  </si>
  <si>
    <t>03025 PLANCHISTERIA IND. CAR</t>
  </si>
  <si>
    <t>N/Factura F162473</t>
  </si>
  <si>
    <t>F162473</t>
  </si>
  <si>
    <t>N/Factura F162947</t>
  </si>
  <si>
    <t>F162947</t>
  </si>
  <si>
    <t>ROVALMA, SA</t>
  </si>
  <si>
    <t>N/Factura F162474</t>
  </si>
  <si>
    <t>F162474</t>
  </si>
  <si>
    <t>N/Factura F162948</t>
  </si>
  <si>
    <t>F162948</t>
  </si>
  <si>
    <t>CERVI, SA</t>
  </si>
  <si>
    <t>HELION INGENIERIA SOST.Y APLIC</t>
  </si>
  <si>
    <t>DOBLADOS LIBRA, SL</t>
  </si>
  <si>
    <t>N/Factura F160983</t>
  </si>
  <si>
    <t>F160983</t>
  </si>
  <si>
    <t>N/Factura F162477</t>
  </si>
  <si>
    <t>F162477</t>
  </si>
  <si>
    <t>SORRES I GRAVES EGARA, SA</t>
  </si>
  <si>
    <t>F160020</t>
  </si>
  <si>
    <t>N/Factura F160518</t>
  </si>
  <si>
    <t>F160518</t>
  </si>
  <si>
    <t>N/Factura F160984</t>
  </si>
  <si>
    <t>F160984</t>
  </si>
  <si>
    <t>COBRO FRA. F160984 DE SORRES</t>
  </si>
  <si>
    <t>N/Factura F161525</t>
  </si>
  <si>
    <t>F161525</t>
  </si>
  <si>
    <t>N/Factura F162002</t>
  </si>
  <si>
    <t>F162002</t>
  </si>
  <si>
    <t>N/Factura F162951</t>
  </si>
  <si>
    <t>F162951</t>
  </si>
  <si>
    <t>03135 SORRES I GRAVES EGARA</t>
  </si>
  <si>
    <t>TRISAL, SA</t>
  </si>
  <si>
    <t>TRISAL, S.A.U</t>
  </si>
  <si>
    <t>F158080</t>
  </si>
  <si>
    <t>F157567</t>
  </si>
  <si>
    <t>N/Factura F160519</t>
  </si>
  <si>
    <t>F160519</t>
  </si>
  <si>
    <t>N/Factura F160985</t>
  </si>
  <si>
    <t>F160985</t>
  </si>
  <si>
    <t>F159062</t>
  </si>
  <si>
    <t>F158611</t>
  </si>
  <si>
    <t>N/Factura F161526</t>
  </si>
  <si>
    <t>F161526</t>
  </si>
  <si>
    <t>N/Factura F162003</t>
  </si>
  <si>
    <t>F162003</t>
  </si>
  <si>
    <t>F160021</t>
  </si>
  <si>
    <t>F159561</t>
  </si>
  <si>
    <t>N/Factura F162478</t>
  </si>
  <si>
    <t>F162478</t>
  </si>
  <si>
    <t>N/Factura F162952</t>
  </si>
  <si>
    <t>F162952</t>
  </si>
  <si>
    <t>COMERCIAL MARTIN FORKLIFT, SL</t>
  </si>
  <si>
    <t>COMERCIAL MARTIN FORKLIFT, S</t>
  </si>
  <si>
    <t>N/Factura F160986</t>
  </si>
  <si>
    <t>F160986</t>
  </si>
  <si>
    <t>N/Factura F161528</t>
  </si>
  <si>
    <t>F161528</t>
  </si>
  <si>
    <t>SUMRRASSA</t>
  </si>
  <si>
    <t>N/Factura F162005</t>
  </si>
  <si>
    <t>F162005</t>
  </si>
  <si>
    <t>N/Factura F162479</t>
  </si>
  <si>
    <t>F162479</t>
  </si>
  <si>
    <t>N/Factura F162953</t>
  </si>
  <si>
    <t>F162953</t>
  </si>
  <si>
    <t>EQUIPOS INBEAT, SL</t>
  </si>
  <si>
    <t>F160024</t>
  </si>
  <si>
    <t>N/Factura F160520</t>
  </si>
  <si>
    <t>F160520</t>
  </si>
  <si>
    <t>N/Factura F162006</t>
  </si>
  <si>
    <t>F162006</t>
  </si>
  <si>
    <t>N/Factura F162480</t>
  </si>
  <si>
    <t>F162480</t>
  </si>
  <si>
    <t>N/Factura F162954</t>
  </si>
  <si>
    <t>F162954</t>
  </si>
  <si>
    <t>03215 EQUIPOS INBEAT S.L. -</t>
  </si>
  <si>
    <t>INGENIERIA Y SISTEMAS. SA</t>
  </si>
  <si>
    <t>Transferencia Inmediata De I</t>
  </si>
  <si>
    <t>PINO COMPONENTES, SL</t>
  </si>
  <si>
    <t>N/Factura F160987</t>
  </si>
  <si>
    <t>F160987</t>
  </si>
  <si>
    <t>F158613</t>
  </si>
  <si>
    <t>N/Factura F162007</t>
  </si>
  <si>
    <t>F162007</t>
  </si>
  <si>
    <t>159063/1,159564/1,160026/1</t>
  </si>
  <si>
    <t>160987/1</t>
  </si>
  <si>
    <t>MANTENIM. BASIC TECNIC EGARA,</t>
  </si>
  <si>
    <t>MANTENIMENT BASIC TEC EGARA</t>
  </si>
  <si>
    <t>F157035</t>
  </si>
  <si>
    <t>N/Factura F160990</t>
  </si>
  <si>
    <t>F160990</t>
  </si>
  <si>
    <t>F158087</t>
  </si>
  <si>
    <t>N/Factura F162009</t>
  </si>
  <si>
    <t>F162009</t>
  </si>
  <si>
    <t>F160030</t>
  </si>
  <si>
    <t>N/Factura F162956</t>
  </si>
  <si>
    <t>F162956</t>
  </si>
  <si>
    <t>MIM MEDIR LECHA PUIG, SL.</t>
  </si>
  <si>
    <t>F160063</t>
  </si>
  <si>
    <t>N/Factura F160540</t>
  </si>
  <si>
    <t>F160540</t>
  </si>
  <si>
    <t>N/Factura F161015</t>
  </si>
  <si>
    <t>F161015</t>
  </si>
  <si>
    <t>COBRO FRA. F161015 DE MIM  M</t>
  </si>
  <si>
    <t>N/Factura F161549</t>
  </si>
  <si>
    <t>F161549</t>
  </si>
  <si>
    <t>N/Factura F162035</t>
  </si>
  <si>
    <t>F162035</t>
  </si>
  <si>
    <t>N/Factura F162505</t>
  </si>
  <si>
    <t>F162505</t>
  </si>
  <si>
    <t>N/Factura F162978</t>
  </si>
  <si>
    <t>F162978</t>
  </si>
  <si>
    <t>04135 MIM MEDIR LECHA PUIG S</t>
  </si>
  <si>
    <t>LA UNION ELECTRICA SERMIFEL, S</t>
  </si>
  <si>
    <t>N/Factura F160994</t>
  </si>
  <si>
    <t>F160994</t>
  </si>
  <si>
    <t>COBRO FRA. F160994 DE LA UNI</t>
  </si>
  <si>
    <t>N/Factura F162012</t>
  </si>
  <si>
    <t>F162012</t>
  </si>
  <si>
    <t>N/Factura F162958</t>
  </si>
  <si>
    <t>F162958</t>
  </si>
  <si>
    <t>03535 LA UNION ELECTRICA SER</t>
  </si>
  <si>
    <t>HERNANDEZ PALMA JUAN RAMON</t>
  </si>
  <si>
    <t>MECANICA EGARENSE SA</t>
  </si>
  <si>
    <t>F158092</t>
  </si>
  <si>
    <t>N/Factura F162013</t>
  </si>
  <si>
    <t>F162013</t>
  </si>
  <si>
    <t>PAGO FRA SUMRRASSA SL-MECESA</t>
  </si>
  <si>
    <t>COAPSA CONTROL SL</t>
  </si>
  <si>
    <t>N/Factura F160522</t>
  </si>
  <si>
    <t>F160522</t>
  </si>
  <si>
    <t>F158616</t>
  </si>
  <si>
    <t>N/Factura F160995</t>
  </si>
  <si>
    <t>F160995</t>
  </si>
  <si>
    <t>N/Factura F161532</t>
  </si>
  <si>
    <t>F161532</t>
  </si>
  <si>
    <t>F159568</t>
  </si>
  <si>
    <t>N/Factura F162486</t>
  </si>
  <si>
    <t>F162486</t>
  </si>
  <si>
    <t>N/Factura F162959</t>
  </si>
  <si>
    <t>F162959</t>
  </si>
  <si>
    <t>ELEVA BCN S.L.L.</t>
  </si>
  <si>
    <t>03705 ELEVA BCN S.L - F16004</t>
  </si>
  <si>
    <t>N/Factura F160998</t>
  </si>
  <si>
    <t>F160998</t>
  </si>
  <si>
    <t>N/Factura F162017</t>
  </si>
  <si>
    <t>F162017</t>
  </si>
  <si>
    <t>03705 ELEVA BCN S.L</t>
  </si>
  <si>
    <t>N 2025013000487780 Ferros Gu</t>
  </si>
  <si>
    <t>N/Factura F161020</t>
  </si>
  <si>
    <t>F161020</t>
  </si>
  <si>
    <t>COBRO FRA. F157007 DE CALDER</t>
  </si>
  <si>
    <t>F157007</t>
  </si>
  <si>
    <t>N/Factura F161552</t>
  </si>
  <si>
    <t>F161552</t>
  </si>
  <si>
    <t>N/Factura F162040</t>
  </si>
  <si>
    <t>F162040</t>
  </si>
  <si>
    <t>FINISH, SA</t>
  </si>
  <si>
    <t>N/Factura F160529</t>
  </si>
  <si>
    <t>F160529</t>
  </si>
  <si>
    <t>FINISH, S.A.</t>
  </si>
  <si>
    <t>N/Factura F161005</t>
  </si>
  <si>
    <t>F161005</t>
  </si>
  <si>
    <t>N/Factura F161540</t>
  </si>
  <si>
    <t>F161540</t>
  </si>
  <si>
    <t>F159080</t>
  </si>
  <si>
    <t>F159580</t>
  </si>
  <si>
    <t>N/Factura F162024</t>
  </si>
  <si>
    <t>F162024</t>
  </si>
  <si>
    <t>N/Factura F162496</t>
  </si>
  <si>
    <t>F162496</t>
  </si>
  <si>
    <t>F160050</t>
  </si>
  <si>
    <t>N/Factura F162969</t>
  </si>
  <si>
    <t>F162969</t>
  </si>
  <si>
    <t>REFRIGERACIO ANTONI CID, SL</t>
  </si>
  <si>
    <t>ESTAMP, SAU</t>
  </si>
  <si>
    <t>N/Factura F160527</t>
  </si>
  <si>
    <t>F160527</t>
  </si>
  <si>
    <t>ANTIC.FRAS. CONFIRMING</t>
  </si>
  <si>
    <t>N/Factura F161003</t>
  </si>
  <si>
    <t>F161003</t>
  </si>
  <si>
    <t>N/Factura F161539</t>
  </si>
  <si>
    <t>F161539</t>
  </si>
  <si>
    <t>N/Factura F162022</t>
  </si>
  <si>
    <t>F162022</t>
  </si>
  <si>
    <t>PAGO FRAS. CONFIRMING</t>
  </si>
  <si>
    <t>N/Factura F162494</t>
  </si>
  <si>
    <t>F162494</t>
  </si>
  <si>
    <t>CORTADORES PROYECSA SL</t>
  </si>
  <si>
    <t>F160051</t>
  </si>
  <si>
    <t>N/Factura F160530</t>
  </si>
  <si>
    <t>F160530</t>
  </si>
  <si>
    <t>N/Factura F161007</t>
  </si>
  <si>
    <t>F161007</t>
  </si>
  <si>
    <t>COBRO FRA. F161007 DE CORTAD</t>
  </si>
  <si>
    <t>N/Factura F161541</t>
  </si>
  <si>
    <t>F161541</t>
  </si>
  <si>
    <t>N/Factura F162026</t>
  </si>
  <si>
    <t>F162026</t>
  </si>
  <si>
    <t>N/Factura F162497</t>
  </si>
  <si>
    <t>F162497</t>
  </si>
  <si>
    <t>N/Factura F162971</t>
  </si>
  <si>
    <t>F162971</t>
  </si>
  <si>
    <t>F141241</t>
  </si>
  <si>
    <t>MOTO PROJECT DISEÑO Y FABRI, S</t>
  </si>
  <si>
    <t>F158625</t>
  </si>
  <si>
    <t>N/Factura F162028</t>
  </si>
  <si>
    <t>F162028</t>
  </si>
  <si>
    <t>F158107</t>
  </si>
  <si>
    <t>F159083</t>
  </si>
  <si>
    <t>IZQUIERDO JUSTE ALEJANDRO</t>
  </si>
  <si>
    <t>N/Factura F160531</t>
  </si>
  <si>
    <t>F160531</t>
  </si>
  <si>
    <t>N/Factura F161008</t>
  </si>
  <si>
    <t>F161008</t>
  </si>
  <si>
    <t>TORRES RODRIGUEZ, JORGE</t>
  </si>
  <si>
    <t>04000 JORGE TORRES RODRIGUEZ</t>
  </si>
  <si>
    <t>F149752</t>
  </si>
  <si>
    <t>CONSISTEM EGARA, S.L.</t>
  </si>
  <si>
    <t>F160055</t>
  </si>
  <si>
    <t>N/Factura F161011</t>
  </si>
  <si>
    <t>F161011</t>
  </si>
  <si>
    <t>N/Factura F162500</t>
  </si>
  <si>
    <t>F162500</t>
  </si>
  <si>
    <t>N/Factura F162974</t>
  </si>
  <si>
    <t>F162974</t>
  </si>
  <si>
    <t>COBRO FRA. F162974 DE CONSIS</t>
  </si>
  <si>
    <t>OBRES I RASES LEON, SLU</t>
  </si>
  <si>
    <t>MC EQUIPO PROFESIONAL, SL</t>
  </si>
  <si>
    <t>N/Factura F160535</t>
  </si>
  <si>
    <t>F160535</t>
  </si>
  <si>
    <t>F158629</t>
  </si>
  <si>
    <t>F159086</t>
  </si>
  <si>
    <t>N/Factura F161544</t>
  </si>
  <si>
    <t>F161544</t>
  </si>
  <si>
    <t>N/Factura F162031</t>
  </si>
  <si>
    <t>F162031</t>
  </si>
  <si>
    <t>F159584</t>
  </si>
  <si>
    <t>F160057</t>
  </si>
  <si>
    <t>N/Factura F162975</t>
  </si>
  <si>
    <t>F162975</t>
  </si>
  <si>
    <t>ITRAM 2000, SL</t>
  </si>
  <si>
    <t>F160059</t>
  </si>
  <si>
    <t>N/Factura F162033</t>
  </si>
  <si>
    <t>F162033</t>
  </si>
  <si>
    <t>04070 ITRAM 2000 S.L.</t>
  </si>
  <si>
    <t>ASCENSORES EBYP, S.A.</t>
  </si>
  <si>
    <t>ASCENSORS EBYP S.A.</t>
  </si>
  <si>
    <t>F160058</t>
  </si>
  <si>
    <t>N/Factura F160536</t>
  </si>
  <si>
    <t>F160536</t>
  </si>
  <si>
    <t>N/Factura F161012</t>
  </si>
  <si>
    <t>F161012</t>
  </si>
  <si>
    <t>N/Factura F161546</t>
  </si>
  <si>
    <t>F161546</t>
  </si>
  <si>
    <t>N/Factura F162032</t>
  </si>
  <si>
    <t>F162032</t>
  </si>
  <si>
    <t>N/Factura F162502</t>
  </si>
  <si>
    <t>F162502</t>
  </si>
  <si>
    <t>N/Factura F162976</t>
  </si>
  <si>
    <t>F162976</t>
  </si>
  <si>
    <t>TECTUPRINT, SL</t>
  </si>
  <si>
    <t>N/Factura F160533</t>
  </si>
  <si>
    <t>F160533</t>
  </si>
  <si>
    <t>N/Factura F161010</t>
  </si>
  <si>
    <t>F161010</t>
  </si>
  <si>
    <t>COBRO FRA. F161010 DE TECTUP</t>
  </si>
  <si>
    <t>N/Factura F161543</t>
  </si>
  <si>
    <t>F161543</t>
  </si>
  <si>
    <t>N/Factura F162030</t>
  </si>
  <si>
    <t>F162030</t>
  </si>
  <si>
    <t>N/Factura F162973</t>
  </si>
  <si>
    <t>F162973</t>
  </si>
  <si>
    <t>04010 TECTUPRINT S.L. - F163</t>
  </si>
  <si>
    <t>TRAKTECH CONSTRUCCIONES MECANI</t>
  </si>
  <si>
    <t>PETROSUPORT, SL.</t>
  </si>
  <si>
    <t>N/Factura F160538</t>
  </si>
  <si>
    <t>F160538</t>
  </si>
  <si>
    <t>N/Factura F161013</t>
  </si>
  <si>
    <t>F161013</t>
  </si>
  <si>
    <t>PETROSUPORT S.L.</t>
  </si>
  <si>
    <t>N/Factura F161547</t>
  </si>
  <si>
    <t>F161547</t>
  </si>
  <si>
    <t>N/Factura F162034</t>
  </si>
  <si>
    <t>F162034</t>
  </si>
  <si>
    <t>N/Factura F162504</t>
  </si>
  <si>
    <t>F162504</t>
  </si>
  <si>
    <t>N/Factura F162977</t>
  </si>
  <si>
    <t>F162977</t>
  </si>
  <si>
    <t>FACTURAS 160061 Y 160538</t>
  </si>
  <si>
    <t>IGUÑA PHARMACEUTICAL TECHNOLOG</t>
  </si>
  <si>
    <t>N/Factura F160539</t>
  </si>
  <si>
    <t>F160539</t>
  </si>
  <si>
    <t>N/Factura F161014</t>
  </si>
  <si>
    <t>F161014</t>
  </si>
  <si>
    <t>N/Factura F161548</t>
  </si>
  <si>
    <t>F161548</t>
  </si>
  <si>
    <t>F159090</t>
  </si>
  <si>
    <t>Transferencia De Iguna Pharm</t>
  </si>
  <si>
    <t>SINDITO, SL</t>
  </si>
  <si>
    <t>F158141</t>
  </si>
  <si>
    <t>N/Factura F162053</t>
  </si>
  <si>
    <t>F162053</t>
  </si>
  <si>
    <t>SERAFI IND. GRAF. PUB. S.A.</t>
  </si>
  <si>
    <t>SERAFI INDUSTRIA GRAFICA PUB</t>
  </si>
  <si>
    <t>F159088</t>
  </si>
  <si>
    <t>N/Factura F160537</t>
  </si>
  <si>
    <t>F160537</t>
  </si>
  <si>
    <t>F160060</t>
  </si>
  <si>
    <t>N/Factura F162503</t>
  </si>
  <si>
    <t>F162503</t>
  </si>
  <si>
    <t>LOGISTIC VAZQUEZ TARRES SL</t>
  </si>
  <si>
    <t>N/Factura F161018</t>
  </si>
  <si>
    <t>F161018</t>
  </si>
  <si>
    <t>N/Factura F161551</t>
  </si>
  <si>
    <t>F161551</t>
  </si>
  <si>
    <t>F160066</t>
  </si>
  <si>
    <t>N/Factura F162038</t>
  </si>
  <si>
    <t>F162038</t>
  </si>
  <si>
    <t>N/Factura F162508</t>
  </si>
  <si>
    <t>F162508</t>
  </si>
  <si>
    <t>N/Factura F162982</t>
  </si>
  <si>
    <t>F162982</t>
  </si>
  <si>
    <t>MECSA VALLES SL</t>
  </si>
  <si>
    <t>N/Factura F162983</t>
  </si>
  <si>
    <t>F162983</t>
  </si>
  <si>
    <t>04190 MESA VALLES S.L.</t>
  </si>
  <si>
    <t>ORTIZ GIBERT DAVID</t>
  </si>
  <si>
    <t>F160065</t>
  </si>
  <si>
    <t>N/Factura F162037</t>
  </si>
  <si>
    <t>F162037</t>
  </si>
  <si>
    <t>N/Factura F162507</t>
  </si>
  <si>
    <t>F162507</t>
  </si>
  <si>
    <t>N/Factura F162981</t>
  </si>
  <si>
    <t>F162981</t>
  </si>
  <si>
    <t>04155 DAVID ORTIZ GIBERT - F</t>
  </si>
  <si>
    <t>ON LEVEL QUALITY, SL</t>
  </si>
  <si>
    <t>N/Factura F160542</t>
  </si>
  <si>
    <t>F160542</t>
  </si>
  <si>
    <t>N/Factura F161019</t>
  </si>
  <si>
    <t>F161019</t>
  </si>
  <si>
    <t>N/Factura F162039</t>
  </si>
  <si>
    <t>F162039</t>
  </si>
  <si>
    <t>COBRO FRA. F162039 DE ON LEV</t>
  </si>
  <si>
    <t>N/Factura F162509</t>
  </si>
  <si>
    <t>F162509</t>
  </si>
  <si>
    <t>N/Factura F162984</t>
  </si>
  <si>
    <t>F162984</t>
  </si>
  <si>
    <t>COBRO FRA. F162984 DE ON LEV</t>
  </si>
  <si>
    <t>04205 ON LEVEL QUALITY S.L.</t>
  </si>
  <si>
    <t>ISS FACILITY SERVICES S.A.</t>
  </si>
  <si>
    <t>N/Factura F160543</t>
  </si>
  <si>
    <t>F160543</t>
  </si>
  <si>
    <t>N/Factura F160544</t>
  </si>
  <si>
    <t>F160544</t>
  </si>
  <si>
    <t>N/Factura F161022</t>
  </si>
  <si>
    <t>F161022</t>
  </si>
  <si>
    <t>N/Factura F161023</t>
  </si>
  <si>
    <t>F161023</t>
  </si>
  <si>
    <t>N/Factura F161024</t>
  </si>
  <si>
    <t>F161024</t>
  </si>
  <si>
    <t>N/Factura F161025</t>
  </si>
  <si>
    <t>F161025</t>
  </si>
  <si>
    <t>N/Factura F161026</t>
  </si>
  <si>
    <t>F161026</t>
  </si>
  <si>
    <t>N/Factura F161554</t>
  </si>
  <si>
    <t>F161554</t>
  </si>
  <si>
    <t>N/Factura F161555</t>
  </si>
  <si>
    <t>F161555</t>
  </si>
  <si>
    <t>N/Factura F161556</t>
  </si>
  <si>
    <t>F161556</t>
  </si>
  <si>
    <t>N/Factura F161557</t>
  </si>
  <si>
    <t>F161557</t>
  </si>
  <si>
    <t>N.Rf. 3130234 S.Fra.  N. 158</t>
  </si>
  <si>
    <t>N/Factura F162041</t>
  </si>
  <si>
    <t>F162041</t>
  </si>
  <si>
    <t>N/Factura F162511</t>
  </si>
  <si>
    <t>F162511</t>
  </si>
  <si>
    <t>N/Factura F162512</t>
  </si>
  <si>
    <t>F162512</t>
  </si>
  <si>
    <t>N/Factura F162673</t>
  </si>
  <si>
    <t>F162673</t>
  </si>
  <si>
    <t>N/Factura F162674</t>
  </si>
  <si>
    <t>F162674</t>
  </si>
  <si>
    <t>F159592</t>
  </si>
  <si>
    <t>N/Factura F162986</t>
  </si>
  <si>
    <t>F162986</t>
  </si>
  <si>
    <t>N/Factura F162987</t>
  </si>
  <si>
    <t>F162987</t>
  </si>
  <si>
    <t>N.Rf. 3159758 S.Fra.  N. 160</t>
  </si>
  <si>
    <t>PRODUCTOS Y SOLUC INDUST 2012,</t>
  </si>
  <si>
    <t>F158624</t>
  </si>
  <si>
    <t>N/Factura F162027</t>
  </si>
  <si>
    <t>F162027</t>
  </si>
  <si>
    <t>N/Factura F162498</t>
  </si>
  <si>
    <t>F162498</t>
  </si>
  <si>
    <t>F160052</t>
  </si>
  <si>
    <t>CLIENTES (MONEDA EXTRANJERA)</t>
  </si>
  <si>
    <t>N/Factura F160532</t>
  </si>
  <si>
    <t>F160532</t>
  </si>
  <si>
    <t>N/Factura F161009</t>
  </si>
  <si>
    <t>F161009</t>
  </si>
  <si>
    <t>N/Factura F161542</t>
  </si>
  <si>
    <t>F161542</t>
  </si>
  <si>
    <t>N/Factura F162029</t>
  </si>
  <si>
    <t>F162029</t>
  </si>
  <si>
    <t>N/Factura F162499</t>
  </si>
  <si>
    <t>F162499</t>
  </si>
  <si>
    <t>N/Factura F162972</t>
  </si>
  <si>
    <t>F162972</t>
  </si>
  <si>
    <t>TECNI-VALLES ASCENSORES</t>
  </si>
  <si>
    <t>INVERSIONES ASOCIADAS GENERALE</t>
  </si>
  <si>
    <t>F160071</t>
  </si>
  <si>
    <t>N/Factura F160545</t>
  </si>
  <si>
    <t>F160545</t>
  </si>
  <si>
    <t>N/Factura F161027</t>
  </si>
  <si>
    <t>F161027</t>
  </si>
  <si>
    <t>N/Factura F161558</t>
  </si>
  <si>
    <t>F161558</t>
  </si>
  <si>
    <t>N/Factura F162042</t>
  </si>
  <si>
    <t>F162042</t>
  </si>
  <si>
    <t>COBRO FRA. F162042 DE INVERS</t>
  </si>
  <si>
    <t>N/Factura F162513</t>
  </si>
  <si>
    <t>F162513</t>
  </si>
  <si>
    <t>N/Factura F162988</t>
  </si>
  <si>
    <t>F162988</t>
  </si>
  <si>
    <t>COBRO FRA. F162988 DE INVERS</t>
  </si>
  <si>
    <t>04255 INAGEN S.L.</t>
  </si>
  <si>
    <t>MECANITZATS EGARA, SA</t>
  </si>
  <si>
    <t>VINTEX,SL</t>
  </si>
  <si>
    <t>F160104</t>
  </si>
  <si>
    <t>N/Factura F160562</t>
  </si>
  <si>
    <t>F160562</t>
  </si>
  <si>
    <t>04900 VINTEX S.L.</t>
  </si>
  <si>
    <t>N/Factura F161060</t>
  </si>
  <si>
    <t>F161060</t>
  </si>
  <si>
    <t>N/Factura F161581</t>
  </si>
  <si>
    <t>F161581</t>
  </si>
  <si>
    <t>N/Factura F162067</t>
  </si>
  <si>
    <t>COBRO FRA. F162067 DE VINTEX</t>
  </si>
  <si>
    <t>N/Factura F162539</t>
  </si>
  <si>
    <t>F162539</t>
  </si>
  <si>
    <t>N/Factura F163017</t>
  </si>
  <si>
    <t>F163017</t>
  </si>
  <si>
    <t>COBRO FRA. F163017 DE VINTEX</t>
  </si>
  <si>
    <t>SENSOFAR-TECH, SL</t>
  </si>
  <si>
    <t>N/Factura F162068</t>
  </si>
  <si>
    <t>F162068</t>
  </si>
  <si>
    <t>04905 SENSOFAR-TECH S.L.</t>
  </si>
  <si>
    <t>N/Factura F163018</t>
  </si>
  <si>
    <t>F163018</t>
  </si>
  <si>
    <t>F162483</t>
  </si>
  <si>
    <t>TALLERES ELECTRICOS BRIM, SL</t>
  </si>
  <si>
    <t>N/Factura F160563</t>
  </si>
  <si>
    <t>F160563</t>
  </si>
  <si>
    <t>TALLERES ELECTRICOS BRIM SL</t>
  </si>
  <si>
    <t>N/Factura F161061</t>
  </si>
  <si>
    <t>F161061</t>
  </si>
  <si>
    <t>FRAS 157629  158161</t>
  </si>
  <si>
    <t>FRAS 158664 159125</t>
  </si>
  <si>
    <t>N/Factura F161582</t>
  </si>
  <si>
    <t>F161582</t>
  </si>
  <si>
    <t>N/Factura F162069</t>
  </si>
  <si>
    <t>F162069</t>
  </si>
  <si>
    <t>N/Factura F162540</t>
  </si>
  <si>
    <t>F162540</t>
  </si>
  <si>
    <t>N/Factura F163019</t>
  </si>
  <si>
    <t>F163019</t>
  </si>
  <si>
    <t>FRAS  160563  161061</t>
  </si>
  <si>
    <t>TENTAMED, SL</t>
  </si>
  <si>
    <t>N/Factura F163020</t>
  </si>
  <si>
    <t>F163020</t>
  </si>
  <si>
    <t>04915 TENTAMED S.L.</t>
  </si>
  <si>
    <t>F162530</t>
  </si>
  <si>
    <t>ARNEDO ALUMINIS, SL</t>
  </si>
  <si>
    <t>SOLUCIONS HIDRAUL. VALLES, SL</t>
  </si>
  <si>
    <t>F160111</t>
  </si>
  <si>
    <t>LED DREAM, SL</t>
  </si>
  <si>
    <t>F159128</t>
  </si>
  <si>
    <t>N/Factura F161063</t>
  </si>
  <si>
    <t>F161063</t>
  </si>
  <si>
    <t>F160112</t>
  </si>
  <si>
    <t>N/Factura F162541</t>
  </si>
  <si>
    <t>F162541</t>
  </si>
  <si>
    <t>COMPAÑIA GENERAL CARNICA, SA</t>
  </si>
  <si>
    <t>N/Factura F160564</t>
  </si>
  <si>
    <t>F160564</t>
  </si>
  <si>
    <t>N/Factura F161064</t>
  </si>
  <si>
    <t>F161064</t>
  </si>
  <si>
    <t>N/Factura F161585</t>
  </si>
  <si>
    <t>F161585</t>
  </si>
  <si>
    <t>N/Factura F162071</t>
  </si>
  <si>
    <t>F162071</t>
  </si>
  <si>
    <t>N/Factura F162542</t>
  </si>
  <si>
    <t>F162542</t>
  </si>
  <si>
    <t>N/Factura F163022</t>
  </si>
  <si>
    <t>F163022</t>
  </si>
  <si>
    <t>PAHES LIMPER, SL</t>
  </si>
  <si>
    <t>F160114</t>
  </si>
  <si>
    <t>N/Factura F160565</t>
  </si>
  <si>
    <t>F160565</t>
  </si>
  <si>
    <t>N/Factura F161065</t>
  </si>
  <si>
    <t>F161065</t>
  </si>
  <si>
    <t>COBRO FRA. F161065 DE PAHES</t>
  </si>
  <si>
    <t>05005 PANES UMPER S.L. - F16</t>
  </si>
  <si>
    <t>MARTINEZ RUIZ, ANDRES</t>
  </si>
  <si>
    <t>N/Factura F161586</t>
  </si>
  <si>
    <t>F161586</t>
  </si>
  <si>
    <t>N/Factura F162543</t>
  </si>
  <si>
    <t>F162543</t>
  </si>
  <si>
    <t>05010 ANDRES MARTINEZ RUIZ (</t>
  </si>
  <si>
    <t>F159619</t>
  </si>
  <si>
    <t>ANATHOMIC SOLUTIONS, SL</t>
  </si>
  <si>
    <t>N/Factura F160566</t>
  </si>
  <si>
    <t>F160566</t>
  </si>
  <si>
    <t>F158668</t>
  </si>
  <si>
    <t>F159132</t>
  </si>
  <si>
    <t>N/Factura F161066</t>
  </si>
  <si>
    <t>F161066</t>
  </si>
  <si>
    <t>N/Factura F161587</t>
  </si>
  <si>
    <t>F161587</t>
  </si>
  <si>
    <t>F160115</t>
  </si>
  <si>
    <t>F159620</t>
  </si>
  <si>
    <t>N/Factura F162072</t>
  </si>
  <si>
    <t>F162072</t>
  </si>
  <si>
    <t>N/Factura F162544</t>
  </si>
  <si>
    <t>F162544</t>
  </si>
  <si>
    <t>N/Factura F163023</t>
  </si>
  <si>
    <t>F163023</t>
  </si>
  <si>
    <t>05020 SUBMINISTRAM. SUMHIFLE</t>
  </si>
  <si>
    <t>TRANSP. GENERALS D'OLESA, SAU</t>
  </si>
  <si>
    <t>N/Factura F161067</t>
  </si>
  <si>
    <t>F161067</t>
  </si>
  <si>
    <t>N/Factura F161588</t>
  </si>
  <si>
    <t>F161588</t>
  </si>
  <si>
    <t>F159133</t>
  </si>
  <si>
    <t>F159622</t>
  </si>
  <si>
    <t>F159886</t>
  </si>
  <si>
    <t>E. CIMA, SAU</t>
  </si>
  <si>
    <t>N/Factura F160567</t>
  </si>
  <si>
    <t>F160567</t>
  </si>
  <si>
    <t>E CIMA S.A.</t>
  </si>
  <si>
    <t>F159134</t>
  </si>
  <si>
    <t>F159623</t>
  </si>
  <si>
    <t>N/Factura F161068</t>
  </si>
  <si>
    <t>F161068</t>
  </si>
  <si>
    <t>N/Factura F161589</t>
  </si>
  <si>
    <t>F161589</t>
  </si>
  <si>
    <t>N/Factura F162073</t>
  </si>
  <si>
    <t>F162073</t>
  </si>
  <si>
    <t>N/Factura F162545</t>
  </si>
  <si>
    <t>F162545</t>
  </si>
  <si>
    <t>N/Factura F163024</t>
  </si>
  <si>
    <t>F163024</t>
  </si>
  <si>
    <t>DESARROLLOS TECNICOS ESPEJO, S</t>
  </si>
  <si>
    <t>F160116</t>
  </si>
  <si>
    <t>N/Factura F161069</t>
  </si>
  <si>
    <t>F161069</t>
  </si>
  <si>
    <t>N/Factura F161590</t>
  </si>
  <si>
    <t>F161590</t>
  </si>
  <si>
    <t>N/Factura F162074</t>
  </si>
  <si>
    <t>F162074</t>
  </si>
  <si>
    <t>COBRO FRA. F162074 DE DESARR</t>
  </si>
  <si>
    <t>N/Factura F162546</t>
  </si>
  <si>
    <t>F162546</t>
  </si>
  <si>
    <t>N/Factura F163025</t>
  </si>
  <si>
    <t>F163025</t>
  </si>
  <si>
    <t>COBRO FRA. F163025 DE DESARR</t>
  </si>
  <si>
    <t>05070 DESARRO. TECNICOS ESPE</t>
  </si>
  <si>
    <t>EOS FIX, SL</t>
  </si>
  <si>
    <t>05075 EOS FIX S.L. - F160117</t>
  </si>
  <si>
    <t>N/Factura F160568</t>
  </si>
  <si>
    <t>F160568</t>
  </si>
  <si>
    <t>N/Factura F161070</t>
  </si>
  <si>
    <t>F161070</t>
  </si>
  <si>
    <t>N/Factura F161591</t>
  </si>
  <si>
    <t>F161591</t>
  </si>
  <si>
    <t>N/Factura F162075</t>
  </si>
  <si>
    <t>F162075</t>
  </si>
  <si>
    <t>COBRO FRA. F162075 DE EOS FI</t>
  </si>
  <si>
    <t>N/Factura F163026</t>
  </si>
  <si>
    <t>F163026</t>
  </si>
  <si>
    <t>05075 EOS FIX S.L.</t>
  </si>
  <si>
    <t>FURMAINTEC, SL</t>
  </si>
  <si>
    <t>N/Factura F161592</t>
  </si>
  <si>
    <t>F161592</t>
  </si>
  <si>
    <t>N/Factura F162547</t>
  </si>
  <si>
    <t>F162547</t>
  </si>
  <si>
    <t>05095 FURMAINTEC S.L. - F162</t>
  </si>
  <si>
    <t>05095 FURMAINTEC S.L. - F163</t>
  </si>
  <si>
    <t>INSTALRFP, SL</t>
  </si>
  <si>
    <t>ALTON FILTER S.L.</t>
  </si>
  <si>
    <t>N/Factura F161071</t>
  </si>
  <si>
    <t>F161071</t>
  </si>
  <si>
    <t>05120 ALTON FILTER S.L.</t>
  </si>
  <si>
    <t>N/Factura F161593</t>
  </si>
  <si>
    <t>F161593</t>
  </si>
  <si>
    <t>05120 ALTON FILTER S.L. - F1</t>
  </si>
  <si>
    <t>N/Factura F162076</t>
  </si>
  <si>
    <t>F162076</t>
  </si>
  <si>
    <t>COBRO FRA. F162076 DE ALTON</t>
  </si>
  <si>
    <t>N/Factura F163027</t>
  </si>
  <si>
    <t>F163027</t>
  </si>
  <si>
    <t>CPM INTEGRA. DE SISTE. INDS. S</t>
  </si>
  <si>
    <t>F160120</t>
  </si>
  <si>
    <t>N/Factura F160569</t>
  </si>
  <si>
    <t>F160569</t>
  </si>
  <si>
    <t>N/Factura F161072</t>
  </si>
  <si>
    <t>F161072</t>
  </si>
  <si>
    <t>COBRO FRA. F161072 DE CPM IN</t>
  </si>
  <si>
    <t>N/Factura F161594</t>
  </si>
  <si>
    <t>F161594</t>
  </si>
  <si>
    <t>N/Factura F162548</t>
  </si>
  <si>
    <t>F162548</t>
  </si>
  <si>
    <t>05130 CPM INTEGRA. DE SISTE.</t>
  </si>
  <si>
    <t>N/Factura F163028</t>
  </si>
  <si>
    <t>F163028</t>
  </si>
  <si>
    <t>METALTECNIC EGARA S.L.</t>
  </si>
  <si>
    <t>N/Factura F161073</t>
  </si>
  <si>
    <t>F161073</t>
  </si>
  <si>
    <t>COBRO FRA. F161073 DE METALT</t>
  </si>
  <si>
    <t>N/Factura F161595</t>
  </si>
  <si>
    <t>F161595</t>
  </si>
  <si>
    <t>N/Factura F162077</t>
  </si>
  <si>
    <t>F162077</t>
  </si>
  <si>
    <t>N/Factura F163029</t>
  </si>
  <si>
    <t>F163029</t>
  </si>
  <si>
    <t>05140 METALTECNIC EGARA S.L.</t>
  </si>
  <si>
    <t>GUEDELLA FERNANDEZ, JOSE LUIS</t>
  </si>
  <si>
    <t>06366 JOSE LUIS GUEDELLA FER</t>
  </si>
  <si>
    <t>APLITEC INSTAL. I MUNTATGES, S</t>
  </si>
  <si>
    <t>F160121</t>
  </si>
  <si>
    <t>Transf/aplitec instal.lacion</t>
  </si>
  <si>
    <t>N/Factura F160570</t>
  </si>
  <si>
    <t>F160570</t>
  </si>
  <si>
    <t>N/Factura F161074</t>
  </si>
  <si>
    <t>F161074</t>
  </si>
  <si>
    <t>N/Factura F161596</t>
  </si>
  <si>
    <t>F161596</t>
  </si>
  <si>
    <t>N/Factura F162078</t>
  </si>
  <si>
    <t>F162078</t>
  </si>
  <si>
    <t>05155 APLITEC INSTAL. I MUNT</t>
  </si>
  <si>
    <t>N/Factura F162549</t>
  </si>
  <si>
    <t>F162549</t>
  </si>
  <si>
    <t>N/Factura F163030</t>
  </si>
  <si>
    <t>F163030</t>
  </si>
  <si>
    <t>COBRO FRA. F163030 DE APLITE</t>
  </si>
  <si>
    <t>FORMIGONS MONTCAU S.A.</t>
  </si>
  <si>
    <t>F160122</t>
  </si>
  <si>
    <t>N/Factura F160571</t>
  </si>
  <si>
    <t>F160571</t>
  </si>
  <si>
    <t>N/Factura F161075</t>
  </si>
  <si>
    <t>F161075</t>
  </si>
  <si>
    <t>COBRO FRA. F161075 DE FORMIG</t>
  </si>
  <si>
    <t>N/Factura F161597</t>
  </si>
  <si>
    <t>F161597</t>
  </si>
  <si>
    <t>N/Factura F162079</t>
  </si>
  <si>
    <t>F162079</t>
  </si>
  <si>
    <t>05160 FORMIGONS MONTCAU S.A.</t>
  </si>
  <si>
    <t>N/Factura F163031</t>
  </si>
  <si>
    <t>F163031</t>
  </si>
  <si>
    <t>F148114</t>
  </si>
  <si>
    <t>ADELL-BOLDE SEGURIDAD, S.L.</t>
  </si>
  <si>
    <t>N/Factura F161076</t>
  </si>
  <si>
    <t>F161076</t>
  </si>
  <si>
    <t>F151639</t>
  </si>
  <si>
    <t>N/Factura F161599</t>
  </si>
  <si>
    <t>F161599</t>
  </si>
  <si>
    <t>N/Factura F162081</t>
  </si>
  <si>
    <t>F162081</t>
  </si>
  <si>
    <t>COBRO FRA. F162081 DE ADELLB</t>
  </si>
  <si>
    <t>N/Factura F162550</t>
  </si>
  <si>
    <t>F162550</t>
  </si>
  <si>
    <t>05200 ADELL-BOLDE SEGURIDAD</t>
  </si>
  <si>
    <t>AGA REFORMAS INTEGRALES, SL</t>
  </si>
  <si>
    <t>F160124</t>
  </si>
  <si>
    <t>N/Factura F160572</t>
  </si>
  <si>
    <t>F160572</t>
  </si>
  <si>
    <t>N/Factura F161600</t>
  </si>
  <si>
    <t>F161600</t>
  </si>
  <si>
    <t>N/Factura F163032</t>
  </si>
  <si>
    <t>F163032</t>
  </si>
  <si>
    <t>COBRO FRA. F163032 DE AGA RE</t>
  </si>
  <si>
    <t>F155024</t>
  </si>
  <si>
    <t>JPT ROBOTICS ING. SERV. TEC. S</t>
  </si>
  <si>
    <t>F160125</t>
  </si>
  <si>
    <t>N/Factura F160573</t>
  </si>
  <si>
    <t>F160573</t>
  </si>
  <si>
    <t>N/Factura F161077</t>
  </si>
  <si>
    <t>F161077</t>
  </si>
  <si>
    <t>COBRO FRA. F161077 DE JPT RO</t>
  </si>
  <si>
    <t>N/Factura F161601</t>
  </si>
  <si>
    <t>F161601</t>
  </si>
  <si>
    <t>N/Factura F162082</t>
  </si>
  <si>
    <t>F162082</t>
  </si>
  <si>
    <t>N/Factura F162551</t>
  </si>
  <si>
    <t>F162551</t>
  </si>
  <si>
    <t>N/Factura F163033</t>
  </si>
  <si>
    <t>F163033</t>
  </si>
  <si>
    <t>05240 JPT ROBOTICS ING.SERV.</t>
  </si>
  <si>
    <t>PARNOPLAST S.L.U.</t>
  </si>
  <si>
    <t>N/Factura F160574</t>
  </si>
  <si>
    <t>F160574</t>
  </si>
  <si>
    <t>N/Factura F161602</t>
  </si>
  <si>
    <t>F161602</t>
  </si>
  <si>
    <t>N/Factura F162552</t>
  </si>
  <si>
    <t>F162552</t>
  </si>
  <si>
    <t>N/Factura F163034</t>
  </si>
  <si>
    <t>F163034</t>
  </si>
  <si>
    <t>05245 PARNOPLAST S.L.U. - F1</t>
  </si>
  <si>
    <t>ARMENGOL SERVEIS ELECTRICS S.L</t>
  </si>
  <si>
    <t>N/Factura F160575</t>
  </si>
  <si>
    <t>F160575</t>
  </si>
  <si>
    <t>05270 ARMENGOL SERVEIS ELECT</t>
  </si>
  <si>
    <t>N/Factura F161078</t>
  </si>
  <si>
    <t>F161078</t>
  </si>
  <si>
    <t>COBRO FRA. F161078 DE ARMENG</t>
  </si>
  <si>
    <t>N/Factura F161603</t>
  </si>
  <si>
    <t>F161603</t>
  </si>
  <si>
    <t>N/Factura F162553</t>
  </si>
  <si>
    <t>F162553</t>
  </si>
  <si>
    <t>N/Factura F163036</t>
  </si>
  <si>
    <t>F163036</t>
  </si>
  <si>
    <t>NHS INDUS. DE APLICACIONES, SL</t>
  </si>
  <si>
    <t>METBAGES S.L.</t>
  </si>
  <si>
    <t>ASFALTOS EGARA, SL</t>
  </si>
  <si>
    <t>F160128</t>
  </si>
  <si>
    <t>N/Factura F161080</t>
  </si>
  <si>
    <t>F161080</t>
  </si>
  <si>
    <t>COBRO FRA. F161080 DE ASFALT</t>
  </si>
  <si>
    <t>N/Factura F161605</t>
  </si>
  <si>
    <t>F161605</t>
  </si>
  <si>
    <t>N/Factura F162084</t>
  </si>
  <si>
    <t>F162084</t>
  </si>
  <si>
    <t>N/Factura F162556</t>
  </si>
  <si>
    <t>F162556</t>
  </si>
  <si>
    <t>N/Factura F163038</t>
  </si>
  <si>
    <t>F163038</t>
  </si>
  <si>
    <t>05325 ASFALTOS EGARA S.L. -</t>
  </si>
  <si>
    <t>INTERHOSPITALIA2, A.I.E</t>
  </si>
  <si>
    <t>05335 INTERHOSPITALIA 2 A.I.</t>
  </si>
  <si>
    <t>N/Factura F160576</t>
  </si>
  <si>
    <t>F160576</t>
  </si>
  <si>
    <t>N/Factura F161081</t>
  </si>
  <si>
    <t>F161081</t>
  </si>
  <si>
    <t>COBRO FRA. F161081 DE INTERH</t>
  </si>
  <si>
    <t>N/Factura F161606</t>
  </si>
  <si>
    <t>F161606</t>
  </si>
  <si>
    <t>N/Factura F162085</t>
  </si>
  <si>
    <t>F162085</t>
  </si>
  <si>
    <t>N/Factura F162557</t>
  </si>
  <si>
    <t>F162557</t>
  </si>
  <si>
    <t>N/Factura F163039</t>
  </si>
  <si>
    <t>F163039</t>
  </si>
  <si>
    <t>MEDIA MARKT SATURN, S.A.U</t>
  </si>
  <si>
    <t>N/Factura F161082</t>
  </si>
  <si>
    <t>F161082</t>
  </si>
  <si>
    <t>Avis 31.01.2025 / Doc. 00310</t>
  </si>
  <si>
    <t>N/Factura F161607</t>
  </si>
  <si>
    <t>F161607</t>
  </si>
  <si>
    <t>N/Factura F162558</t>
  </si>
  <si>
    <t>F162558</t>
  </si>
  <si>
    <t>N/Factura F163040</t>
  </si>
  <si>
    <t>F163040</t>
  </si>
  <si>
    <t>FILTROS INDUSTRIALES S.L.</t>
  </si>
  <si>
    <t>N/Factura F161083</t>
  </si>
  <si>
    <t>F161083</t>
  </si>
  <si>
    <t>COBRO FRA. F161083 DE FILTRO</t>
  </si>
  <si>
    <t>N/Factura F161608</t>
  </si>
  <si>
    <t>F161608</t>
  </si>
  <si>
    <t>N/Factura F162086</t>
  </si>
  <si>
    <t>F162086</t>
  </si>
  <si>
    <t>N/Factura F162559</t>
  </si>
  <si>
    <t>F162559</t>
  </si>
  <si>
    <t>N/Factura F163041</t>
  </si>
  <si>
    <t>F163041</t>
  </si>
  <si>
    <t>05350 FILTROS INDUSTRIALES S</t>
  </si>
  <si>
    <t>GUTIERREZ GOMEZ, FCO. JOSE</t>
  </si>
  <si>
    <t>F160131</t>
  </si>
  <si>
    <t>N/Factura F161609</t>
  </si>
  <si>
    <t>F161609</t>
  </si>
  <si>
    <t>05360 FCO. JOSE GUTIERREZ GO</t>
  </si>
  <si>
    <t>SENSOMEC S.L.</t>
  </si>
  <si>
    <t>N/Factura F161611</t>
  </si>
  <si>
    <t>F161611</t>
  </si>
  <si>
    <t>05400 SENSOMEC S.L. - F16161</t>
  </si>
  <si>
    <t>N/Factura F163043</t>
  </si>
  <si>
    <t>F163043</t>
  </si>
  <si>
    <t>05400 SENSOMEC S.L.</t>
  </si>
  <si>
    <t>05400 SENSOMEC S.L. - F16353</t>
  </si>
  <si>
    <t>SYMENEC S.L.</t>
  </si>
  <si>
    <t>F160134</t>
  </si>
  <si>
    <t>N/Factura F160577</t>
  </si>
  <si>
    <t>F160577</t>
  </si>
  <si>
    <t>N/Factura F161085</t>
  </si>
  <si>
    <t>F161085</t>
  </si>
  <si>
    <t>N/Factura F161613</t>
  </si>
  <si>
    <t>F161613</t>
  </si>
  <si>
    <t>N/Factura F162089</t>
  </si>
  <si>
    <t>F162089</t>
  </si>
  <si>
    <t>COBRO FRA. F162089 DE SYMENE</t>
  </si>
  <si>
    <t>N/Factura F163045</t>
  </si>
  <si>
    <t>F163045</t>
  </si>
  <si>
    <t>F155945</t>
  </si>
  <si>
    <t>MIMAR METALL S.L.</t>
  </si>
  <si>
    <t>F160135</t>
  </si>
  <si>
    <t>N/Factura F161086</t>
  </si>
  <si>
    <t>F161086</t>
  </si>
  <si>
    <t>COBRO FRA. F161086 DE MIMAR</t>
  </si>
  <si>
    <t>N/Factura F161614</t>
  </si>
  <si>
    <t>F161614</t>
  </si>
  <si>
    <t>N/Factura F162090</t>
  </si>
  <si>
    <t>F162090</t>
  </si>
  <si>
    <t>N/Factura F162561</t>
  </si>
  <si>
    <t>F162561</t>
  </si>
  <si>
    <t>N/Factura F163046</t>
  </si>
  <si>
    <t>F163046</t>
  </si>
  <si>
    <t>05450 MIMAR MUALL S.L. - F16</t>
  </si>
  <si>
    <t>C.DOMINGUEZ PLEGATS I PEFIL. S</t>
  </si>
  <si>
    <t>F160136</t>
  </si>
  <si>
    <t>N/Factura F160578</t>
  </si>
  <si>
    <t>F160578</t>
  </si>
  <si>
    <t>N/Factura F161087</t>
  </si>
  <si>
    <t>F161087</t>
  </si>
  <si>
    <t>COBRO FRA. F161087 DE C DOMI</t>
  </si>
  <si>
    <t>N/Factura F161615</t>
  </si>
  <si>
    <t>F161615</t>
  </si>
  <si>
    <t>N/Factura F162091</t>
  </si>
  <si>
    <t>F162091</t>
  </si>
  <si>
    <t>N/Factura F162562</t>
  </si>
  <si>
    <t>F162562</t>
  </si>
  <si>
    <t>N/Factura F163047</t>
  </si>
  <si>
    <t>F163047</t>
  </si>
  <si>
    <t>05460 C.DOMINGUEZ PLEGATS I</t>
  </si>
  <si>
    <t>SEÑALIZACIONES JICA S.A.</t>
  </si>
  <si>
    <t>N/Factura F161088</t>
  </si>
  <si>
    <t>F161088</t>
  </si>
  <si>
    <t>COBRO FRA. F161088 DE SENALI</t>
  </si>
  <si>
    <t>N/Factura F161616</t>
  </si>
  <si>
    <t>F161616</t>
  </si>
  <si>
    <t>N/Factura F162092</t>
  </si>
  <si>
    <t>F162092</t>
  </si>
  <si>
    <t>N/Factura F162563</t>
  </si>
  <si>
    <t>F162563</t>
  </si>
  <si>
    <t>N/Factura F163048</t>
  </si>
  <si>
    <t>F163048</t>
  </si>
  <si>
    <t>F154948</t>
  </si>
  <si>
    <t>DERIVADOS DEL POLIURETANO S.A.</t>
  </si>
  <si>
    <t>STARTING THE EARTH MOVEMENT S.</t>
  </si>
  <si>
    <t>N/Factura F160583</t>
  </si>
  <si>
    <t>F160583</t>
  </si>
  <si>
    <t>F158693</t>
  </si>
  <si>
    <t>N/Factura F161621</t>
  </si>
  <si>
    <t>F161621</t>
  </si>
  <si>
    <t>r-214</t>
  </si>
  <si>
    <t>fra F159155 29/11/24 - R214</t>
  </si>
  <si>
    <t>N/Factura F162565</t>
  </si>
  <si>
    <t>F162565</t>
  </si>
  <si>
    <t>N/Factura F163052</t>
  </si>
  <si>
    <t>F163052</t>
  </si>
  <si>
    <t>INSTAL. ELEC. TERRASSA 95 S.L.</t>
  </si>
  <si>
    <t>NORTON BCN S.L.</t>
  </si>
  <si>
    <t>NODE ART 2012 S.L.</t>
  </si>
  <si>
    <t>F160143</t>
  </si>
  <si>
    <t>N/Factura F160585</t>
  </si>
  <si>
    <t>F160585</t>
  </si>
  <si>
    <t>N/Factura F161096</t>
  </si>
  <si>
    <t>F161096</t>
  </si>
  <si>
    <t>05620 ART NODE 2012 S.L.</t>
  </si>
  <si>
    <t>N/Factura F161622</t>
  </si>
  <si>
    <t>F161622</t>
  </si>
  <si>
    <t>05620 ART NODE 2012 S.L. - F</t>
  </si>
  <si>
    <t>AGUSTIN VILAR S.A.</t>
  </si>
  <si>
    <t>F158696</t>
  </si>
  <si>
    <t>N/Factura F161098</t>
  </si>
  <si>
    <t>F161098</t>
  </si>
  <si>
    <t>N/Factura F161624</t>
  </si>
  <si>
    <t>F161624</t>
  </si>
  <si>
    <t>FONT MUÑOZ, ISAAC</t>
  </si>
  <si>
    <t>F160147</t>
  </si>
  <si>
    <t>N/Factura F161099</t>
  </si>
  <si>
    <t>F161099</t>
  </si>
  <si>
    <t>N/Factura F161625</t>
  </si>
  <si>
    <t>F161625</t>
  </si>
  <si>
    <t>N/Factura F162569</t>
  </si>
  <si>
    <t>F162569</t>
  </si>
  <si>
    <t>N/Factura F163056</t>
  </si>
  <si>
    <t>F163056</t>
  </si>
  <si>
    <t>05665 ISAAC FONT MUÑOZ</t>
  </si>
  <si>
    <t>MECANIZ. METAL-ART 2004 SLU</t>
  </si>
  <si>
    <t>F157662</t>
  </si>
  <si>
    <t>N/Factura F161100</t>
  </si>
  <si>
    <t>F161100</t>
  </si>
  <si>
    <t>F158195</t>
  </si>
  <si>
    <t>N/Factura F162100</t>
  </si>
  <si>
    <t>F162100</t>
  </si>
  <si>
    <t>MUNDILEC S.L.</t>
  </si>
  <si>
    <t>N/Factura F162101</t>
  </si>
  <si>
    <t>F162101</t>
  </si>
  <si>
    <t>COBRO FRA. F162101 DE MUNDIL</t>
  </si>
  <si>
    <t>N/Factura F162570</t>
  </si>
  <si>
    <t>F162570</t>
  </si>
  <si>
    <t>N/Factura F163057</t>
  </si>
  <si>
    <t>F163057</t>
  </si>
  <si>
    <t>COBRO FRA. F163057 DE MUNDIL</t>
  </si>
  <si>
    <t>05710 MUNDILEC S.L.</t>
  </si>
  <si>
    <t>F159649</t>
  </si>
  <si>
    <t>ENERGRUP BIO-RENOVABLES S.L.</t>
  </si>
  <si>
    <t>F160149</t>
  </si>
  <si>
    <t>N/Factura F160586</t>
  </si>
  <si>
    <t>F160586</t>
  </si>
  <si>
    <t>N/Factura F161101</t>
  </si>
  <si>
    <t>F161101</t>
  </si>
  <si>
    <t>N/Factura F161626</t>
  </si>
  <si>
    <t>F161626</t>
  </si>
  <si>
    <t>N/Factura F162102</t>
  </si>
  <si>
    <t>F162102</t>
  </si>
  <si>
    <t>N/Factura F162571</t>
  </si>
  <si>
    <t>F162571</t>
  </si>
  <si>
    <t>N/Factura F163058</t>
  </si>
  <si>
    <t>F163058</t>
  </si>
  <si>
    <t>05720 ENERGRUP BIO-RENOVABLE</t>
  </si>
  <si>
    <t>SEWER GROUP 22 S.L.</t>
  </si>
  <si>
    <t>INSELET S.A.</t>
  </si>
  <si>
    <t>F160152</t>
  </si>
  <si>
    <t>N/Factura F161627</t>
  </si>
  <si>
    <t>F161627</t>
  </si>
  <si>
    <t>N/Factura F162103</t>
  </si>
  <si>
    <t>F162103</t>
  </si>
  <si>
    <t>N/Factura F163059</t>
  </si>
  <si>
    <t>F163059</t>
  </si>
  <si>
    <t>05775 INSELET S.A. - F163542</t>
  </si>
  <si>
    <t>CERRAJERIA MAPRY S.L.</t>
  </si>
  <si>
    <t>FONT GRAU S.L</t>
  </si>
  <si>
    <t>EFAM S.L.</t>
  </si>
  <si>
    <t>SALVADOR TORTOSA, JUAN CARLOS</t>
  </si>
  <si>
    <t>05870 JUAN CARLOS SALVADOR T</t>
  </si>
  <si>
    <t>N/Factura F161105</t>
  </si>
  <si>
    <t>F161105</t>
  </si>
  <si>
    <t>F141671</t>
  </si>
  <si>
    <t>MOVENTO AUTOSELECCION,  SL</t>
  </si>
  <si>
    <t>N/Factura F162106</t>
  </si>
  <si>
    <t>F162106</t>
  </si>
  <si>
    <t>S.R. TEKNICS PROJECT 2016 S.L.</t>
  </si>
  <si>
    <t>F160158</t>
  </si>
  <si>
    <t>N/Factura F160588</t>
  </si>
  <si>
    <t>F160588</t>
  </si>
  <si>
    <t>N/Factura F161106</t>
  </si>
  <si>
    <t>F161106</t>
  </si>
  <si>
    <t>N/Factura F161630</t>
  </si>
  <si>
    <t>F161630</t>
  </si>
  <si>
    <t>N/Factura F162107</t>
  </si>
  <si>
    <t>F162107</t>
  </si>
  <si>
    <t>COBRO FRA. F162107 DE SR TEK</t>
  </si>
  <si>
    <t>N/Factura F162574</t>
  </si>
  <si>
    <t>F162574</t>
  </si>
  <si>
    <t>N/Factura F163061</t>
  </si>
  <si>
    <t>F163061</t>
  </si>
  <si>
    <t>05885 S.R. TEKNICS PROJECT 2</t>
  </si>
  <si>
    <t>LEDS FACTORY, S.L</t>
  </si>
  <si>
    <t>(CRAG) CENTRE DE RECERCA EN AG</t>
  </si>
  <si>
    <t>Centre de Recerca en Agrigen</t>
  </si>
  <si>
    <t>F159170</t>
  </si>
  <si>
    <t>F158202</t>
  </si>
  <si>
    <t>F160162</t>
  </si>
  <si>
    <t>N/Factura F161633</t>
  </si>
  <si>
    <t>F161633</t>
  </si>
  <si>
    <t>N/Factura F162110</t>
  </si>
  <si>
    <t>F162110</t>
  </si>
  <si>
    <t>N/Factura F162576</t>
  </si>
  <si>
    <t>F162576</t>
  </si>
  <si>
    <t>N/Factura F163064</t>
  </si>
  <si>
    <t>F163064</t>
  </si>
  <si>
    <t>INOXVER, SL</t>
  </si>
  <si>
    <t>N/Factura F161108</t>
  </si>
  <si>
    <t>F161108</t>
  </si>
  <si>
    <t>05970 INOXVER S.L.</t>
  </si>
  <si>
    <t>N/Factura F162577</t>
  </si>
  <si>
    <t>F162577</t>
  </si>
  <si>
    <t>F155530</t>
  </si>
  <si>
    <t>FUNDACIO ESPECIAL LAFACT</t>
  </si>
  <si>
    <t>05981 FUNDACIO ESPECIAL LaFA</t>
  </si>
  <si>
    <t>NOU MAFYC CAL.Y PLAN.IND. SLU</t>
  </si>
  <si>
    <t>F160168</t>
  </si>
  <si>
    <t>N/Factura F160591</t>
  </si>
  <si>
    <t>F160591</t>
  </si>
  <si>
    <t>N/Factura F161109</t>
  </si>
  <si>
    <t>F161109</t>
  </si>
  <si>
    <t>N/Factura F161634</t>
  </si>
  <si>
    <t>F161634</t>
  </si>
  <si>
    <t>N/Factura F162111</t>
  </si>
  <si>
    <t>F162111</t>
  </si>
  <si>
    <t>COBRO FRA. F162111 DE NOU MA</t>
  </si>
  <si>
    <t>N/Factura F162578</t>
  </si>
  <si>
    <t>F162578</t>
  </si>
  <si>
    <t>N/Factura F163066</t>
  </si>
  <si>
    <t>F163066</t>
  </si>
  <si>
    <t>05985 NOU MAFYC CAL.Y PLAN.I</t>
  </si>
  <si>
    <t>TINTES EGARA S.L.</t>
  </si>
  <si>
    <t>F160169</t>
  </si>
  <si>
    <t>N/Factura F161110</t>
  </si>
  <si>
    <t>F161110</t>
  </si>
  <si>
    <t>05990 TINTES EGARA S.L.</t>
  </si>
  <si>
    <t>N/Factura F161635</t>
  </si>
  <si>
    <t>F161635</t>
  </si>
  <si>
    <t>N/Factura F162112</t>
  </si>
  <si>
    <t>F162112</t>
  </si>
  <si>
    <t>COBRO FRA. F162112 DE TINTES</t>
  </si>
  <si>
    <t>N/Factura F163067</t>
  </si>
  <si>
    <t>F163067</t>
  </si>
  <si>
    <t>COBRO FRA. F163067 DE TINTES</t>
  </si>
  <si>
    <t>ALTERNA.ENERGY INNOVATIONS SL</t>
  </si>
  <si>
    <t>N/Factura F161111</t>
  </si>
  <si>
    <t>F161111</t>
  </si>
  <si>
    <t>N/Factura F163068</t>
  </si>
  <si>
    <t>F163068</t>
  </si>
  <si>
    <t>CFAC, SL</t>
  </si>
  <si>
    <t>N/Factura F160592</t>
  </si>
  <si>
    <t>F160592</t>
  </si>
  <si>
    <t>N/Factura F161113</t>
  </si>
  <si>
    <t>F161113</t>
  </si>
  <si>
    <t>F153008</t>
  </si>
  <si>
    <t>NIRVAUTO VALLES S.A.U.</t>
  </si>
  <si>
    <t>N/Factura F161114</t>
  </si>
  <si>
    <t>F161114</t>
  </si>
  <si>
    <t>F159665</t>
  </si>
  <si>
    <t>LIQUID. ANTICIPO BBVACONFIRM</t>
  </si>
  <si>
    <t>N/Factura F162113</t>
  </si>
  <si>
    <t>F162113</t>
  </si>
  <si>
    <t>N/Factura F162579</t>
  </si>
  <si>
    <t>F162579</t>
  </si>
  <si>
    <t>N/Factura F163070</t>
  </si>
  <si>
    <t>F163070</t>
  </si>
  <si>
    <t>IDP CONCEPT DESING S.L.</t>
  </si>
  <si>
    <t>F160172</t>
  </si>
  <si>
    <t>N/Factura F162580</t>
  </si>
  <si>
    <t>F162580</t>
  </si>
  <si>
    <t>HIDRAULICA VISANES, SLU</t>
  </si>
  <si>
    <t>06080 HIDRAUUCA VISANES, SLU</t>
  </si>
  <si>
    <t>N/Factura F161637</t>
  </si>
  <si>
    <t>F161637</t>
  </si>
  <si>
    <t>INSO EGARA S.L.</t>
  </si>
  <si>
    <t>N/Factura F161117</t>
  </si>
  <si>
    <t>F161117</t>
  </si>
  <si>
    <t>F158211</t>
  </si>
  <si>
    <t>N/Factura F162115</t>
  </si>
  <si>
    <t>F162115</t>
  </si>
  <si>
    <t>F159174</t>
  </si>
  <si>
    <t>F160174</t>
  </si>
  <si>
    <t>MACHINING WORKSHOP MARTIN S.L</t>
  </si>
  <si>
    <t>TECNICAS DE MECANIZADO TRS D</t>
  </si>
  <si>
    <t>N/Factura F163072</t>
  </si>
  <si>
    <t>INSTALACIONES MAFER EGARA S.L</t>
  </si>
  <si>
    <t>VOLTTIUM C.B</t>
  </si>
  <si>
    <t>RECICLAJES DASANA, S.L</t>
  </si>
  <si>
    <t>06175 RECICLAJES DASANA, S.L</t>
  </si>
  <si>
    <t>N/Factura F162582</t>
  </si>
  <si>
    <t>F162582</t>
  </si>
  <si>
    <t>N/Factura F163075</t>
  </si>
  <si>
    <t>F163075</t>
  </si>
  <si>
    <t>COBRO FRA. F163075 DE RECICL</t>
  </si>
  <si>
    <t>TRACTAMENTS I QUIMICA IND. S.L</t>
  </si>
  <si>
    <t>POSTFORMATS DEL VALLÈS, SL</t>
  </si>
  <si>
    <t>F160179</t>
  </si>
  <si>
    <t>N/Factura F161119</t>
  </si>
  <si>
    <t>F161119</t>
  </si>
  <si>
    <t>COBRO FRA. F161119 DE POSTFO</t>
  </si>
  <si>
    <t>N/Factura F162117</t>
  </si>
  <si>
    <t>F162117</t>
  </si>
  <si>
    <t>06190 POSTFORMATS DEL VALLES</t>
  </si>
  <si>
    <t>TRACTAMENTS H2O I NATURA, SL</t>
  </si>
  <si>
    <t>F160180</t>
  </si>
  <si>
    <t>N/Factura F161638</t>
  </si>
  <si>
    <t>F161638</t>
  </si>
  <si>
    <t>N/Factura F162118</t>
  </si>
  <si>
    <t>F162118</t>
  </si>
  <si>
    <t>COBRO FRA. F162118 DE TRACTA</t>
  </si>
  <si>
    <t>N/Factura F162583</t>
  </si>
  <si>
    <t>F162583</t>
  </si>
  <si>
    <t>N/Factura F163076</t>
  </si>
  <si>
    <t>F163076</t>
  </si>
  <si>
    <t>COBRO FRA. F163076 DE TRACTA</t>
  </si>
  <si>
    <t>06195 TRACTAMENTS H20 I NATU</t>
  </si>
  <si>
    <t>VACWAY WATERPROOF, SL</t>
  </si>
  <si>
    <t>N/Factura F160593</t>
  </si>
  <si>
    <t>F160593</t>
  </si>
  <si>
    <t>06205 VACWAY WATERPROOF</t>
  </si>
  <si>
    <t>N/Factura F161120</t>
  </si>
  <si>
    <t>F161120</t>
  </si>
  <si>
    <t>N/Factura F162119</t>
  </si>
  <si>
    <t>F162119</t>
  </si>
  <si>
    <t>COBRO FRA. F162119 DE VACWAY</t>
  </si>
  <si>
    <t>N/Factura F162584</t>
  </si>
  <si>
    <t>F162584</t>
  </si>
  <si>
    <t>N/Factura F163077</t>
  </si>
  <si>
    <t>F163077</t>
  </si>
  <si>
    <t>COBRO FRA. F163077 DE VACWAY</t>
  </si>
  <si>
    <t>F141009</t>
  </si>
  <si>
    <t>JUAN GARCIA ALONSO</t>
  </si>
  <si>
    <t>NORTIA BUSINES CORPORATION S.L</t>
  </si>
  <si>
    <t>TPS PROSPECCIÓ DEL SUBSÒL S.L</t>
  </si>
  <si>
    <t>TPS PROSPECCIO DEL SUBSOL S.</t>
  </si>
  <si>
    <t>F158218</t>
  </si>
  <si>
    <t>N/Factura F161121</t>
  </si>
  <si>
    <t>F161121</t>
  </si>
  <si>
    <t>N/Factura F162120</t>
  </si>
  <si>
    <t>F162120</t>
  </si>
  <si>
    <t>F159180</t>
  </si>
  <si>
    <t>N/Factura F163079</t>
  </si>
  <si>
    <t>F163079</t>
  </si>
  <si>
    <t>ORVISER EGARA, SL</t>
  </si>
  <si>
    <t>06265 ORVISER EGARA S.L. - F</t>
  </si>
  <si>
    <t>MACORI HELICOPTERS S.L.U</t>
  </si>
  <si>
    <t>MACORI 3.15, S.L</t>
  </si>
  <si>
    <t>06271 MACORI 3.15, S.L - F16</t>
  </si>
  <si>
    <t>N/Factura F161122</t>
  </si>
  <si>
    <t>F161122</t>
  </si>
  <si>
    <t>06271 MACORI 3.15, S.L</t>
  </si>
  <si>
    <t>N/Factura F161640</t>
  </si>
  <si>
    <t>F161640</t>
  </si>
  <si>
    <t>F154592</t>
  </si>
  <si>
    <t>N/Factura F162585</t>
  </si>
  <si>
    <t>F162585</t>
  </si>
  <si>
    <t>F147593</t>
  </si>
  <si>
    <t>N/Factura F163080</t>
  </si>
  <si>
    <t>F163080</t>
  </si>
  <si>
    <t>VEOLIA SERVEIS CATALUNYA S.A.U</t>
  </si>
  <si>
    <t>VEOLIA SERVEIS CATALUNYA, S.</t>
  </si>
  <si>
    <t>N/Factura F160594</t>
  </si>
  <si>
    <t>F160594</t>
  </si>
  <si>
    <t>N/Factura F161124</t>
  </si>
  <si>
    <t>F161124</t>
  </si>
  <si>
    <t>VEOLIA SERVEIS CATALUNYA SAU</t>
  </si>
  <si>
    <t>N/Factura F162586</t>
  </si>
  <si>
    <t>F162586</t>
  </si>
  <si>
    <t>N/Factura F163081</t>
  </si>
  <si>
    <t>F163081</t>
  </si>
  <si>
    <t>INGENIERIA DE SOLIDOS VIR S.L.</t>
  </si>
  <si>
    <t>MECANIZADOS BUSQUI SL</t>
  </si>
  <si>
    <t>F160185</t>
  </si>
  <si>
    <t>N/Factura F160595</t>
  </si>
  <si>
    <t>F160595</t>
  </si>
  <si>
    <t>N/Factura F161125</t>
  </si>
  <si>
    <t>F161125</t>
  </si>
  <si>
    <t>N/Factura F161641</t>
  </si>
  <si>
    <t>F161641</t>
  </si>
  <si>
    <t>N/Factura F162121</t>
  </si>
  <si>
    <t>F162121</t>
  </si>
  <si>
    <t>COBRO FRA. F162121 DE MECANI</t>
  </si>
  <si>
    <t>N/Factura F162587</t>
  </si>
  <si>
    <t>F162587</t>
  </si>
  <si>
    <t>06305 MECANIZADOS BUSQUI S.L</t>
  </si>
  <si>
    <t>AMENITIES PACK S.A</t>
  </si>
  <si>
    <t>N/Factura F160596</t>
  </si>
  <si>
    <t>F160596</t>
  </si>
  <si>
    <t>AMENITIES PACK SA</t>
  </si>
  <si>
    <t>N/Factura F161126</t>
  </si>
  <si>
    <t>F161126</t>
  </si>
  <si>
    <t>N/Factura F161642</t>
  </si>
  <si>
    <t>F161642</t>
  </si>
  <si>
    <t>N/Factura F162122</t>
  </si>
  <si>
    <t>F162122</t>
  </si>
  <si>
    <t>N/Factura F162588</t>
  </si>
  <si>
    <t>F162588</t>
  </si>
  <si>
    <t>N/Factura F163082</t>
  </si>
  <si>
    <t>F163082</t>
  </si>
  <si>
    <t>EXTRAYSE, SL</t>
  </si>
  <si>
    <t>DIGILAB SABADELL, SL</t>
  </si>
  <si>
    <t>06350 DIGILAB SABADELL, SL -</t>
  </si>
  <si>
    <t>N/Factura F160597</t>
  </si>
  <si>
    <t>F160597</t>
  </si>
  <si>
    <t>N/Factura F161127</t>
  </si>
  <si>
    <t>F161127</t>
  </si>
  <si>
    <t>N/Factura F161643</t>
  </si>
  <si>
    <t>F161643</t>
  </si>
  <si>
    <t>N/Factura F162123</t>
  </si>
  <si>
    <t>F162123</t>
  </si>
  <si>
    <t>06350 DIGILAB SABADELL, SL</t>
  </si>
  <si>
    <t>N/Factura F163083</t>
  </si>
  <si>
    <t>F163083</t>
  </si>
  <si>
    <t>COBRO FRA. F163083 DE DIGILA</t>
  </si>
  <si>
    <t>F160157</t>
  </si>
  <si>
    <t>TALLERES HNOS. ALGABA, SL</t>
  </si>
  <si>
    <t>JOSE LUIS GUEDELLA FERNANDEZ</t>
  </si>
  <si>
    <t>N/Factura F161128</t>
  </si>
  <si>
    <t>F161128</t>
  </si>
  <si>
    <t>N/Factura F161644</t>
  </si>
  <si>
    <t>F161644</t>
  </si>
  <si>
    <t>F161680</t>
  </si>
  <si>
    <t>N/Factura F162589</t>
  </si>
  <si>
    <t>F162589</t>
  </si>
  <si>
    <t>TALL. METAL. ANDREU VARGAS, SL</t>
  </si>
  <si>
    <t>N/Factura F160598</t>
  </si>
  <si>
    <t>F160598</t>
  </si>
  <si>
    <t>N/Factura F161129</t>
  </si>
  <si>
    <t>F161129</t>
  </si>
  <si>
    <t>N/Factura F162124</t>
  </si>
  <si>
    <t>F162124</t>
  </si>
  <si>
    <t>N/Factura F162590</t>
  </si>
  <si>
    <t>F162590</t>
  </si>
  <si>
    <t>N/Factura F163084</t>
  </si>
  <si>
    <t>F163084</t>
  </si>
  <si>
    <t>06380 TALL MUAL. ANDREU VARG</t>
  </si>
  <si>
    <t>06380 TALL. METAL ANDREU VAR</t>
  </si>
  <si>
    <t>INSTAL. Y REFORMAS SYMAT, S.L</t>
  </si>
  <si>
    <t>N/Factura F161645</t>
  </si>
  <si>
    <t>F161645</t>
  </si>
  <si>
    <t>F159595</t>
  </si>
  <si>
    <t>N/Factura F162126</t>
  </si>
  <si>
    <t>F162126</t>
  </si>
  <si>
    <t>06430 INSTAL. Y REFORMAS Sym</t>
  </si>
  <si>
    <t>N/Factura F163085</t>
  </si>
  <si>
    <t>F163085</t>
  </si>
  <si>
    <t>F160617</t>
  </si>
  <si>
    <t>GEISA FABRICS, S.L.</t>
  </si>
  <si>
    <t>N/Factura F160599</t>
  </si>
  <si>
    <t>F160599</t>
  </si>
  <si>
    <t>N/Factura F162591</t>
  </si>
  <si>
    <t>F162591</t>
  </si>
  <si>
    <t>N/Factura F163086</t>
  </si>
  <si>
    <t>F163086</t>
  </si>
  <si>
    <t>06440 GEISA FABRICS, S.L.</t>
  </si>
  <si>
    <t>MAQUINARIA CONTROL BARCELONA S</t>
  </si>
  <si>
    <t>N/Factura F161131</t>
  </si>
  <si>
    <t>F161131</t>
  </si>
  <si>
    <t>06445 MAQUINARIA CONTROL BAR</t>
  </si>
  <si>
    <t>N/Factura F161646</t>
  </si>
  <si>
    <t>F161646</t>
  </si>
  <si>
    <t>N/Factura F163087</t>
  </si>
  <si>
    <t>F163087</t>
  </si>
  <si>
    <t>SERVIELECTRIC VALLÈS S.L</t>
  </si>
  <si>
    <t>DEPURWATER GESTION DEL AGUA S.</t>
  </si>
  <si>
    <t>N/Factura F161647</t>
  </si>
  <si>
    <t>F161647</t>
  </si>
  <si>
    <t>06475 DEPURWATER GESTION DEL</t>
  </si>
  <si>
    <t>MARSET ILUMINACION S.A</t>
  </si>
  <si>
    <t>F160195</t>
  </si>
  <si>
    <t>N/Factura F160601</t>
  </si>
  <si>
    <t>F160601</t>
  </si>
  <si>
    <t>N/Factura F161132</t>
  </si>
  <si>
    <t>F161132</t>
  </si>
  <si>
    <t>COBRO FRA. F161132 DE MARSET</t>
  </si>
  <si>
    <t>N/Factura F161649</t>
  </si>
  <si>
    <t>F161649</t>
  </si>
  <si>
    <t>N/Factura F162127</t>
  </si>
  <si>
    <t>F162127</t>
  </si>
  <si>
    <t>N/Factura F162594</t>
  </si>
  <si>
    <t>F162594</t>
  </si>
  <si>
    <t>N/Factura F163089</t>
  </si>
  <si>
    <t>F163089</t>
  </si>
  <si>
    <t>06510 MARSET ILUMINACION S.A</t>
  </si>
  <si>
    <t>N/Factura F160602</t>
  </si>
  <si>
    <t>F160602</t>
  </si>
  <si>
    <t>N/Factura F161133</t>
  </si>
  <si>
    <t>F161133</t>
  </si>
  <si>
    <t>N/Factura F161650</t>
  </si>
  <si>
    <t>F161650</t>
  </si>
  <si>
    <t>N/Factura F162128</t>
  </si>
  <si>
    <t>F162128</t>
  </si>
  <si>
    <t>N/Factura F162595</t>
  </si>
  <si>
    <t>F162595</t>
  </si>
  <si>
    <t>EGARVIA, SA</t>
  </si>
  <si>
    <t>N/Factura F160603</t>
  </si>
  <si>
    <t>F160603</t>
  </si>
  <si>
    <t>EGARVIA</t>
  </si>
  <si>
    <t>F158727</t>
  </si>
  <si>
    <t>N/Factura F161134</t>
  </si>
  <si>
    <t>F161134</t>
  </si>
  <si>
    <t>F159194</t>
  </si>
  <si>
    <t>N/Factura F162129</t>
  </si>
  <si>
    <t>F162129</t>
  </si>
  <si>
    <t>N/Factura F163090</t>
  </si>
  <si>
    <t>F163090</t>
  </si>
  <si>
    <t>ESECE SOLUCIONES INDTR., S.L.</t>
  </si>
  <si>
    <t>N/Factura F161135</t>
  </si>
  <si>
    <t>F161135</t>
  </si>
  <si>
    <t>N/Factura F162130</t>
  </si>
  <si>
    <t>F162130</t>
  </si>
  <si>
    <t>N/Factura F162596</t>
  </si>
  <si>
    <t>F162596</t>
  </si>
  <si>
    <t>N/Factura F163091</t>
  </si>
  <si>
    <t>F163091</t>
  </si>
  <si>
    <t>06600 ESECE SOLUCIONES IND.</t>
  </si>
  <si>
    <t>SOSANAT S.L.</t>
  </si>
  <si>
    <t>F160198</t>
  </si>
  <si>
    <t>N/Factura F161136</t>
  </si>
  <si>
    <t>F161136</t>
  </si>
  <si>
    <t>N/Factura F162131</t>
  </si>
  <si>
    <t>F162131</t>
  </si>
  <si>
    <t>N/Factura F163092</t>
  </si>
  <si>
    <t>F163092</t>
  </si>
  <si>
    <t>ALOSCA MECA, S.L</t>
  </si>
  <si>
    <t>MANUFACTURAS FILTEX, S.A</t>
  </si>
  <si>
    <t>QUALITY WELDING CREATIONS, S.L</t>
  </si>
  <si>
    <t>KOLLATEC, S.L</t>
  </si>
  <si>
    <t>F160200</t>
  </si>
  <si>
    <t>N/Factura F160604</t>
  </si>
  <si>
    <t>F160604</t>
  </si>
  <si>
    <t>N/Factura F161137</t>
  </si>
  <si>
    <t>F161137</t>
  </si>
  <si>
    <t>N/Factura F161651</t>
  </si>
  <si>
    <t>F161651</t>
  </si>
  <si>
    <t>N/Factura F162132</t>
  </si>
  <si>
    <t>F162132</t>
  </si>
  <si>
    <t>COBRO FRA. F162132 DE</t>
  </si>
  <si>
    <t>N/Factura F162597</t>
  </si>
  <si>
    <t>F162597</t>
  </si>
  <si>
    <t>N/Factura F163093</t>
  </si>
  <si>
    <t>F163093</t>
  </si>
  <si>
    <t>COBRO FRA. F163093 DE</t>
  </si>
  <si>
    <t>06626 KOLLATEC, S.L</t>
  </si>
  <si>
    <t>N/Factura F162133</t>
  </si>
  <si>
    <t>F162133</t>
  </si>
  <si>
    <t>NORTIA SERVICIOS CORPORATIVOS</t>
  </si>
  <si>
    <t>F: F-158236F: F-158731F: F15</t>
  </si>
  <si>
    <t>N/Factura F161138</t>
  </si>
  <si>
    <t>F161138</t>
  </si>
  <si>
    <t>N/Factura F161652</t>
  </si>
  <si>
    <t>F161652</t>
  </si>
  <si>
    <t>N/Factura F162135</t>
  </si>
  <si>
    <t>F162135</t>
  </si>
  <si>
    <t>N/Factura F162600</t>
  </si>
  <si>
    <t>F162600</t>
  </si>
  <si>
    <t>F: F-161138F: F-161652</t>
  </si>
  <si>
    <t>N/Factura F163095</t>
  </si>
  <si>
    <t>F163095</t>
  </si>
  <si>
    <t>SISTELEC</t>
  </si>
  <si>
    <t>F160202</t>
  </si>
  <si>
    <t>N/Factura F160605</t>
  </si>
  <si>
    <t>F160605</t>
  </si>
  <si>
    <t>N/Factura F161139</t>
  </si>
  <si>
    <t>F161139</t>
  </si>
  <si>
    <t>N/Factura F161653</t>
  </si>
  <si>
    <t>F161653</t>
  </si>
  <si>
    <t>N/Factura F162601</t>
  </si>
  <si>
    <t>F162601</t>
  </si>
  <si>
    <t>06690 SISTELEC</t>
  </si>
  <si>
    <t>N/Factura F163096</t>
  </si>
  <si>
    <t>F163096</t>
  </si>
  <si>
    <t>COBRO FRA. F163096 DE SISTEL</t>
  </si>
  <si>
    <t>TALLERES AUTOLICA, SA</t>
  </si>
  <si>
    <t>F160360</t>
  </si>
  <si>
    <t>N/Factura F160606</t>
  </si>
  <si>
    <t>F160606</t>
  </si>
  <si>
    <t>N/Factura F161140</t>
  </si>
  <si>
    <t>F161140</t>
  </si>
  <si>
    <t>N/Factura F161655</t>
  </si>
  <si>
    <t>F161655</t>
  </si>
  <si>
    <t>F160682</t>
  </si>
  <si>
    <t>N/Factura F162136</t>
  </si>
  <si>
    <t>F162136</t>
  </si>
  <si>
    <t>N/Factura F162602</t>
  </si>
  <si>
    <t>F162602</t>
  </si>
  <si>
    <t>N/Factura F163097</t>
  </si>
  <si>
    <t>F163097</t>
  </si>
  <si>
    <t>EGAPLASTIC</t>
  </si>
  <si>
    <t>WORLDWIDE MACHINERY PROVIDER,</t>
  </si>
  <si>
    <t>STEEL TEAM, S.L.</t>
  </si>
  <si>
    <t>N/Factura F162137</t>
  </si>
  <si>
    <t>F162137</t>
  </si>
  <si>
    <t>06775 STEEL TEAM, S.L.</t>
  </si>
  <si>
    <t>06775 STEEL TEAM, S.L. - F16</t>
  </si>
  <si>
    <t>STOCKFIL S.L</t>
  </si>
  <si>
    <t>F160204</t>
  </si>
  <si>
    <t>N/Factura F160607</t>
  </si>
  <si>
    <t>F160607</t>
  </si>
  <si>
    <t>N/Factura F161141</t>
  </si>
  <si>
    <t>F161141</t>
  </si>
  <si>
    <t>N/Factura F161656</t>
  </si>
  <si>
    <t>F161656</t>
  </si>
  <si>
    <t>N/Factura F162603</t>
  </si>
  <si>
    <t>F162603</t>
  </si>
  <si>
    <t>06800 STOCKFIL S.L</t>
  </si>
  <si>
    <t>BERALMAR TECNOLOGIC S.A</t>
  </si>
  <si>
    <t>INS SANTA EULALIA</t>
  </si>
  <si>
    <t>IES SANTA EULALIA</t>
  </si>
  <si>
    <t>N/Factura F161142</t>
  </si>
  <si>
    <t>F161142</t>
  </si>
  <si>
    <t>N/Factura F162138</t>
  </si>
  <si>
    <t>F162138</t>
  </si>
  <si>
    <t>N/Factura F162686</t>
  </si>
  <si>
    <t>F162686</t>
  </si>
  <si>
    <t>N/Factura F163098</t>
  </si>
  <si>
    <t>F163098</t>
  </si>
  <si>
    <t>ASFALTOS AUGUSTA, S.L.</t>
  </si>
  <si>
    <t>ASFALTOS AUGUSTA S.L.</t>
  </si>
  <si>
    <t>F159201</t>
  </si>
  <si>
    <t>N/Factura F161657</t>
  </si>
  <si>
    <t>F161657</t>
  </si>
  <si>
    <t>F159688</t>
  </si>
  <si>
    <t>N/Factura F163099</t>
  </si>
  <si>
    <t>F163099</t>
  </si>
  <si>
    <t>APTIMA CENTRE CLINIC SL</t>
  </si>
  <si>
    <t>N/Factura F161658</t>
  </si>
  <si>
    <t>F161658</t>
  </si>
  <si>
    <t>F159689</t>
  </si>
  <si>
    <t>EGARSERVER, AIE</t>
  </si>
  <si>
    <t>F158733</t>
  </si>
  <si>
    <t>F159690</t>
  </si>
  <si>
    <t>N/Factura F162139</t>
  </si>
  <si>
    <t>F162139</t>
  </si>
  <si>
    <t>N/Factura F163100</t>
  </si>
  <si>
    <t>F163100</t>
  </si>
  <si>
    <t>FUNDACIO ASSISTENCIAL MUTUA TE</t>
  </si>
  <si>
    <t>N/Factura F160608</t>
  </si>
  <si>
    <t>F160608</t>
  </si>
  <si>
    <t>N/Factura R212</t>
  </si>
  <si>
    <t>R212</t>
  </si>
  <si>
    <t>Docs (4) : 158342/1, 158243/</t>
  </si>
  <si>
    <t>N/Factura F161143</t>
  </si>
  <si>
    <t>F161143</t>
  </si>
  <si>
    <t>N/Factura F161242</t>
  </si>
  <si>
    <t>F161242</t>
  </si>
  <si>
    <t>N/Factura F161659</t>
  </si>
  <si>
    <t>F161659</t>
  </si>
  <si>
    <t>Docs (3) : F -159278/1, 1592</t>
  </si>
  <si>
    <t>N/Factura F162140</t>
  </si>
  <si>
    <t>F162140</t>
  </si>
  <si>
    <t>N/Factura F162604</t>
  </si>
  <si>
    <t>F162604</t>
  </si>
  <si>
    <t>Docs (2) : 160206/1, 160608/</t>
  </si>
  <si>
    <t>N/Factura F163101</t>
  </si>
  <si>
    <t>F163101</t>
  </si>
  <si>
    <t>FUNDACIO VALLPARADIS I F.P.C</t>
  </si>
  <si>
    <t>N/Factura F161660</t>
  </si>
  <si>
    <t>F161660</t>
  </si>
  <si>
    <t>ITURRI, S.A.</t>
  </si>
  <si>
    <t>ITURRI S.A.</t>
  </si>
  <si>
    <t>LEO AERIAL TECHNOLOGIES, SL</t>
  </si>
  <si>
    <t>VILARO TORRENTS, JUAN</t>
  </si>
  <si>
    <t>CREVIN,SA</t>
  </si>
  <si>
    <t>N/Factura F161145</t>
  </si>
  <si>
    <t>F161145</t>
  </si>
  <si>
    <t>06885 CREVIN, S.A.</t>
  </si>
  <si>
    <t>N/Factura F161662</t>
  </si>
  <si>
    <t>F161662</t>
  </si>
  <si>
    <t>N/Factura F162606</t>
  </si>
  <si>
    <t>F162606</t>
  </si>
  <si>
    <t>TOMAS AGUILERA, MARC</t>
  </si>
  <si>
    <t>N/Factura F160611</t>
  </si>
  <si>
    <t>F160611</t>
  </si>
  <si>
    <t>06895 MARC TOMAS AGUILERA</t>
  </si>
  <si>
    <t>N/Factura F161147</t>
  </si>
  <si>
    <t>F161147</t>
  </si>
  <si>
    <t>N/Factura F161664</t>
  </si>
  <si>
    <t>F161664</t>
  </si>
  <si>
    <t>N/Factura F162607</t>
  </si>
  <si>
    <t>F162607</t>
  </si>
  <si>
    <t>N/Factura F163102</t>
  </si>
  <si>
    <t>F163102</t>
  </si>
  <si>
    <t>INSTAL.LACIONS ESTAUN, SL</t>
  </si>
  <si>
    <t>TERKON EGARA, SL</t>
  </si>
  <si>
    <t>N/Factura F161665</t>
  </si>
  <si>
    <t>F161665</t>
  </si>
  <si>
    <t>ADEGAR, SL</t>
  </si>
  <si>
    <t>COMERCIAL FERRETERIA POUS, S.L</t>
  </si>
  <si>
    <t>F160217</t>
  </si>
  <si>
    <t>N/Factura F160612</t>
  </si>
  <si>
    <t>F160612</t>
  </si>
  <si>
    <t>N/Factura F161149</t>
  </si>
  <si>
    <t>F161149</t>
  </si>
  <si>
    <t>N/Factura F162141</t>
  </si>
  <si>
    <t>F162141</t>
  </si>
  <si>
    <t>COBRO FRA. F162141 DE COMERC</t>
  </si>
  <si>
    <t>N/Factura F162610</t>
  </si>
  <si>
    <t>F162610</t>
  </si>
  <si>
    <t>N/Factura F163104</t>
  </si>
  <si>
    <t>F163104</t>
  </si>
  <si>
    <t>COBRO FRA. F163104 DE COMERC</t>
  </si>
  <si>
    <t>06985 COMERCIAL FERRUERIA PO</t>
  </si>
  <si>
    <t>FUNDACIO CECOT FORMACIO</t>
  </si>
  <si>
    <t>N/Factura F163106</t>
  </si>
  <si>
    <t>F163106</t>
  </si>
  <si>
    <t>CERVI S.L</t>
  </si>
  <si>
    <t>TREBELT- COATING, S.L</t>
  </si>
  <si>
    <t>N/Factura F160613</t>
  </si>
  <si>
    <t>F160613</t>
  </si>
  <si>
    <t>N/Factura F161150</t>
  </si>
  <si>
    <t>F161150</t>
  </si>
  <si>
    <t>N/Factura F161667</t>
  </si>
  <si>
    <t>F161667</t>
  </si>
  <si>
    <t>N/Factura F162142</t>
  </si>
  <si>
    <t>F162142</t>
  </si>
  <si>
    <t>N/Factura F162611</t>
  </si>
  <si>
    <t>F162611</t>
  </si>
  <si>
    <t>F147877</t>
  </si>
  <si>
    <t>N/Factura F163108</t>
  </si>
  <si>
    <t>F163108</t>
  </si>
  <si>
    <t>SERMATEC, S.L</t>
  </si>
  <si>
    <t>ALBAMELLA, SL</t>
  </si>
  <si>
    <t>ARVONET, S.L</t>
  </si>
  <si>
    <t>N/Factura F160657</t>
  </si>
  <si>
    <t>F160657</t>
  </si>
  <si>
    <t>N/Factura F161152</t>
  </si>
  <si>
    <t>F161152</t>
  </si>
  <si>
    <t>N/Factura F161153</t>
  </si>
  <si>
    <t>F161153</t>
  </si>
  <si>
    <t>N/Factura F161154</t>
  </si>
  <si>
    <t>F161154</t>
  </si>
  <si>
    <t>N/Factura F161155</t>
  </si>
  <si>
    <t>F161155</t>
  </si>
  <si>
    <t>N/Factura F161222</t>
  </si>
  <si>
    <t>F161222</t>
  </si>
  <si>
    <t>N/Factura F161223</t>
  </si>
  <si>
    <t>F161223</t>
  </si>
  <si>
    <t>N/Factura F161224</t>
  </si>
  <si>
    <t>F161224</t>
  </si>
  <si>
    <t>N/Factura F161225</t>
  </si>
  <si>
    <t>F161225</t>
  </si>
  <si>
    <t>N/Factura F161226</t>
  </si>
  <si>
    <t>F161226</t>
  </si>
  <si>
    <t>N/Factura F161227</t>
  </si>
  <si>
    <t>F161227</t>
  </si>
  <si>
    <t>TRANSFER INMEDIATA</t>
  </si>
  <si>
    <t>N/Factura F161669</t>
  </si>
  <si>
    <t>F161669</t>
  </si>
  <si>
    <t>N/Factura F161730</t>
  </si>
  <si>
    <t>F161730</t>
  </si>
  <si>
    <t>N/Factura F162144</t>
  </si>
  <si>
    <t>F162144</t>
  </si>
  <si>
    <t>N/Factura F162193</t>
  </si>
  <si>
    <t>F162193</t>
  </si>
  <si>
    <t>N/Factura F162194</t>
  </si>
  <si>
    <t>F162194</t>
  </si>
  <si>
    <t>N/Factura F162613</t>
  </si>
  <si>
    <t>F162613</t>
  </si>
  <si>
    <t>N/Factura F162675</t>
  </si>
  <si>
    <t>F162675</t>
  </si>
  <si>
    <t>N/Factura F162676</t>
  </si>
  <si>
    <t>F162676</t>
  </si>
  <si>
    <t>N/Factura F163110</t>
  </si>
  <si>
    <t>F163110</t>
  </si>
  <si>
    <t>MULTIFUSTA SCCL</t>
  </si>
  <si>
    <t>MOSQUERA MOSQUERA, CARLOS</t>
  </si>
  <si>
    <t>BRADEL WORKS S.L.</t>
  </si>
  <si>
    <t>N/Factura F160615</t>
  </si>
  <si>
    <t>F160615</t>
  </si>
  <si>
    <t>BRADEL WORKS, SL</t>
  </si>
  <si>
    <t>F157702</t>
  </si>
  <si>
    <t>F158252</t>
  </si>
  <si>
    <t>N/Factura F161157</t>
  </si>
  <si>
    <t>F161157</t>
  </si>
  <si>
    <t>F159209</t>
  </si>
  <si>
    <t>F158741</t>
  </si>
  <si>
    <t>N/Factura F161670</t>
  </si>
  <si>
    <t>F161670</t>
  </si>
  <si>
    <t>N/Factura F162145</t>
  </si>
  <si>
    <t>F162145</t>
  </si>
  <si>
    <t>F159696</t>
  </si>
  <si>
    <t>F160226</t>
  </si>
  <si>
    <t>N/Factura F162615</t>
  </si>
  <si>
    <t>F162615</t>
  </si>
  <si>
    <t>N/Factura F163112</t>
  </si>
  <si>
    <t>F163112</t>
  </si>
  <si>
    <t>DANIEL ORTIZ SALMERON</t>
  </si>
  <si>
    <t>F140221</t>
  </si>
  <si>
    <t>0182-8190-0300-0076384300090</t>
  </si>
  <si>
    <t>F160227</t>
  </si>
  <si>
    <t>N/Factura F161671</t>
  </si>
  <si>
    <t>F161671</t>
  </si>
  <si>
    <t>F145214</t>
  </si>
  <si>
    <t>RUIZ LINDE, NICOLAS</t>
  </si>
  <si>
    <t>SKYLINE PARTNER, SL</t>
  </si>
  <si>
    <t>F160229</t>
  </si>
  <si>
    <t>N/Factura F160616</t>
  </si>
  <si>
    <t>F160616</t>
  </si>
  <si>
    <t>N/Factura F161159</t>
  </si>
  <si>
    <t>F161159</t>
  </si>
  <si>
    <t>N/Factura F161160</t>
  </si>
  <si>
    <t>F161160</t>
  </si>
  <si>
    <t>N/Factura F161161</t>
  </si>
  <si>
    <t>F161161</t>
  </si>
  <si>
    <t>N/Factura F161228</t>
  </si>
  <si>
    <t>F161228</t>
  </si>
  <si>
    <t>07150 SKYLINE PARTNER S.L</t>
  </si>
  <si>
    <t>N/Factura F161672</t>
  </si>
  <si>
    <t>F161672</t>
  </si>
  <si>
    <t>N/Factura F161673</t>
  </si>
  <si>
    <t>F161673</t>
  </si>
  <si>
    <t>N/Factura F162146</t>
  </si>
  <si>
    <t>F162146</t>
  </si>
  <si>
    <t>N/Factura F162147</t>
  </si>
  <si>
    <t>F162147</t>
  </si>
  <si>
    <t>COBRO FRA. F162146 DE SKYLIN</t>
  </si>
  <si>
    <t>COBRO FRA. F162147 DE SKYLIN</t>
  </si>
  <si>
    <t>N/Factura F162616</t>
  </si>
  <si>
    <t>F162616</t>
  </si>
  <si>
    <t>N/Factura F162617</t>
  </si>
  <si>
    <t>F162617</t>
  </si>
  <si>
    <t>N/Factura F162618</t>
  </si>
  <si>
    <t>F162618</t>
  </si>
  <si>
    <t>N/Factura F163113</t>
  </si>
  <si>
    <t>F163113</t>
  </si>
  <si>
    <t>N/Factura F163114</t>
  </si>
  <si>
    <t>F163114</t>
  </si>
  <si>
    <t>N/Factura F163115</t>
  </si>
  <si>
    <t>F163115</t>
  </si>
  <si>
    <t>MZDO. Y CONST. MEC. HONDUBOL S</t>
  </si>
  <si>
    <t>F160230</t>
  </si>
  <si>
    <t>MECANIZADO Y CONSTRUCCIONES</t>
  </si>
  <si>
    <t>159699</t>
  </si>
  <si>
    <t>N/Factura F161674</t>
  </si>
  <si>
    <t>F161674</t>
  </si>
  <si>
    <t>FRAS 159699 Y 160230</t>
  </si>
  <si>
    <t>N/Factura F162148</t>
  </si>
  <si>
    <t>F162148</t>
  </si>
  <si>
    <t>N/Factura F162619</t>
  </si>
  <si>
    <t>F162619</t>
  </si>
  <si>
    <t>NOVACYNTEX, SL</t>
  </si>
  <si>
    <t>CALDERERIA ANTONIO S.L.</t>
  </si>
  <si>
    <t>N/Factura F160617</t>
  </si>
  <si>
    <t>N/Factura F161162</t>
  </si>
  <si>
    <t>F161162</t>
  </si>
  <si>
    <t>COBRO FRA. F161162 DE CALDER</t>
  </si>
  <si>
    <t>N/Factura F161675</t>
  </si>
  <si>
    <t>F161675</t>
  </si>
  <si>
    <t>N/Factura F162149</t>
  </si>
  <si>
    <t>F162149</t>
  </si>
  <si>
    <t>07170 CALDERERIA ANTONIO S.L</t>
  </si>
  <si>
    <t>N/Factura F162620</t>
  </si>
  <si>
    <t>F162620</t>
  </si>
  <si>
    <t>N/Factura F163116</t>
  </si>
  <si>
    <t>F163116</t>
  </si>
  <si>
    <t>PRIMA IBERICA 2007 SL</t>
  </si>
  <si>
    <t>N/Factura F161676</t>
  </si>
  <si>
    <t>F161676</t>
  </si>
  <si>
    <t>N/Factura F162151</t>
  </si>
  <si>
    <t>F162151</t>
  </si>
  <si>
    <t>COBRO FRA. F162151 DE PRIMA</t>
  </si>
  <si>
    <t>07200 PRIMA IBERICA 2007, S.</t>
  </si>
  <si>
    <t>ALUMINIOS F. PUERTA, SL</t>
  </si>
  <si>
    <t>COPAY ACERO, S.L</t>
  </si>
  <si>
    <t>LIMHEC S.L.</t>
  </si>
  <si>
    <t>N/Factura F161164</t>
  </si>
  <si>
    <t>F161164</t>
  </si>
  <si>
    <t>No.F-155651/31.7.2024No.F-15</t>
  </si>
  <si>
    <t>N/Factura F161678</t>
  </si>
  <si>
    <t>F161678</t>
  </si>
  <si>
    <t>N/Factura F162153</t>
  </si>
  <si>
    <t>F162153</t>
  </si>
  <si>
    <t>N/Factura F162623</t>
  </si>
  <si>
    <t>F162623</t>
  </si>
  <si>
    <t>N/Factura F163118</t>
  </si>
  <si>
    <t>F163118</t>
  </si>
  <si>
    <t>No.F-161679/14.2.2025No.F-16</t>
  </si>
  <si>
    <t>N/Factura F161679</t>
  </si>
  <si>
    <t>F161679</t>
  </si>
  <si>
    <t>N/Factura F162154</t>
  </si>
  <si>
    <t>F162154</t>
  </si>
  <si>
    <t>N/Factura F162624</t>
  </si>
  <si>
    <t>F162624</t>
  </si>
  <si>
    <t>CASALS ANDREU, RAUL</t>
  </si>
  <si>
    <t>GIROLANA 2017, S.L.</t>
  </si>
  <si>
    <t>INST Y MANT EN SIST CONTRA INC</t>
  </si>
  <si>
    <t>COBRO FRA. F140459 DE INST Y</t>
  </si>
  <si>
    <t>F140459</t>
  </si>
  <si>
    <t>SORIANO PERALTA, OSCAR</t>
  </si>
  <si>
    <t>CARNICAS GINES, S.L</t>
  </si>
  <si>
    <t>SOLDADURA TECNICA EGARA, S.L.U</t>
  </si>
  <si>
    <t>N/Factura F161167</t>
  </si>
  <si>
    <t>F161167</t>
  </si>
  <si>
    <t>COBRO FRA. F161167 DE SOLDAD</t>
  </si>
  <si>
    <t>N/Factura F161680</t>
  </si>
  <si>
    <t>N/Factura F162155</t>
  </si>
  <si>
    <t>F162155</t>
  </si>
  <si>
    <t>N/Factura F162627</t>
  </si>
  <si>
    <t>F162627</t>
  </si>
  <si>
    <t>07305 SOLDADURA TECNICA EGAR</t>
  </si>
  <si>
    <t>N/Factura F163121</t>
  </si>
  <si>
    <t>F163121</t>
  </si>
  <si>
    <t>ACABADOS EUROPEOS, SL</t>
  </si>
  <si>
    <t>N/Factura F160619</t>
  </si>
  <si>
    <t>F160619</t>
  </si>
  <si>
    <t>N/Factura F161168</t>
  </si>
  <si>
    <t>F161168</t>
  </si>
  <si>
    <t>F161793</t>
  </si>
  <si>
    <t>F160420</t>
  </si>
  <si>
    <t>F159835</t>
  </si>
  <si>
    <t>PREFABRICACION Y MONTAJES DEL</t>
  </si>
  <si>
    <t>N/Factura F160620</t>
  </si>
  <si>
    <t>F160620</t>
  </si>
  <si>
    <t>F158747</t>
  </si>
  <si>
    <t>N/Factura F161682</t>
  </si>
  <si>
    <t>F161682</t>
  </si>
  <si>
    <t>F-159705</t>
  </si>
  <si>
    <t>N/Factura F162628</t>
  </si>
  <si>
    <t>F162628</t>
  </si>
  <si>
    <t>N/Factura F163122</t>
  </si>
  <si>
    <t>F163122</t>
  </si>
  <si>
    <t>SALVADOR DURA APARICIO</t>
  </si>
  <si>
    <t>N/Factura F162629</t>
  </si>
  <si>
    <t>F162629</t>
  </si>
  <si>
    <t>SOLANDGO ENERGY S.L.</t>
  </si>
  <si>
    <t>07330 SOLANDGO ENERGY S.L. -</t>
  </si>
  <si>
    <t>N/Factura F161169</t>
  </si>
  <si>
    <t>F161169</t>
  </si>
  <si>
    <t>N/Factura F161683</t>
  </si>
  <si>
    <t>F161683</t>
  </si>
  <si>
    <t>N/Factura F162156</t>
  </si>
  <si>
    <t>F162156</t>
  </si>
  <si>
    <t>COBRO FRA. F162156 DE SOLAND</t>
  </si>
  <si>
    <t>N/Factura F162630</t>
  </si>
  <si>
    <t>F162630</t>
  </si>
  <si>
    <t>N/Factura F163123</t>
  </si>
  <si>
    <t>F163123</t>
  </si>
  <si>
    <t>07330 SOLANDGO ENERGY S.L.</t>
  </si>
  <si>
    <t>GASGAS MOTORCYCLES ESPAÑA, S.L</t>
  </si>
  <si>
    <t>GASGAS MOTORCYCLES ESPANA SL</t>
  </si>
  <si>
    <t>N/Factura F160621</t>
  </si>
  <si>
    <t>F160621</t>
  </si>
  <si>
    <t>N/Factura F160655</t>
  </si>
  <si>
    <t>F160655</t>
  </si>
  <si>
    <t>F158267</t>
  </si>
  <si>
    <t>N/Factura F161239</t>
  </si>
  <si>
    <t>F161239</t>
  </si>
  <si>
    <t>N/Factura F161240</t>
  </si>
  <si>
    <t>F161240</t>
  </si>
  <si>
    <t>INVF  159221 29112024INVF  1</t>
  </si>
  <si>
    <t>N/Factura F161685</t>
  </si>
  <si>
    <t>F161685</t>
  </si>
  <si>
    <t>N/Factura F161731</t>
  </si>
  <si>
    <t>F161731</t>
  </si>
  <si>
    <t>F159220</t>
  </si>
  <si>
    <t>INVF  161239 3112025INVF  16</t>
  </si>
  <si>
    <t>N/Factura F162199</t>
  </si>
  <si>
    <t>F162199</t>
  </si>
  <si>
    <t>N/Factura F162631</t>
  </si>
  <si>
    <t>F162631</t>
  </si>
  <si>
    <t>N/Factura F162632</t>
  </si>
  <si>
    <t>F162632</t>
  </si>
  <si>
    <t>INVF  161685 1422025INVF  16</t>
  </si>
  <si>
    <t>F153814</t>
  </si>
  <si>
    <t>INVPEND DEL NOT 842025INVF</t>
  </si>
  <si>
    <t>KTM SPORTMOTORCYCLE ESPAÑA S.L</t>
  </si>
  <si>
    <t>AXIOMA SOL INT I SER DE SUP SA</t>
  </si>
  <si>
    <t>Docs (1) : 158755/1</t>
  </si>
  <si>
    <t>N/Factura F161171</t>
  </si>
  <si>
    <t>F161171</t>
  </si>
  <si>
    <t>Docs (1) : F-159223/1</t>
  </si>
  <si>
    <t>F160243</t>
  </si>
  <si>
    <t>N/Factura F163124</t>
  </si>
  <si>
    <t>F163124</t>
  </si>
  <si>
    <t>MUTUA SERVEIS CORPORATIUS AIE</t>
  </si>
  <si>
    <t>N/Factura F163127</t>
  </si>
  <si>
    <t>F163127</t>
  </si>
  <si>
    <t>VALCAS INSTAL-LACIONS, S.L</t>
  </si>
  <si>
    <t>N/Factura F160623</t>
  </si>
  <si>
    <t>F160623</t>
  </si>
  <si>
    <t>07440 VALC.AS INSTAL-LACIONS</t>
  </si>
  <si>
    <t>N/Factura F161687</t>
  </si>
  <si>
    <t>F161687</t>
  </si>
  <si>
    <t>N/Factura F162634</t>
  </si>
  <si>
    <t>F162634</t>
  </si>
  <si>
    <t>DELICIUM PETFOOD, S.L.</t>
  </si>
  <si>
    <t>07455 DELICIUM PETOOD, S.L.</t>
  </si>
  <si>
    <t>N/Factura F160624</t>
  </si>
  <si>
    <t>F160624</t>
  </si>
  <si>
    <t>07455 DELICIUM POTOOD, S.L.</t>
  </si>
  <si>
    <t>N/Factura F161172</t>
  </si>
  <si>
    <t>F161172</t>
  </si>
  <si>
    <t>N/Factura F161688</t>
  </si>
  <si>
    <t>F161688</t>
  </si>
  <si>
    <t>N/Factura F162159</t>
  </si>
  <si>
    <t>F162159</t>
  </si>
  <si>
    <t>N/Factura F162635</t>
  </si>
  <si>
    <t>F162635</t>
  </si>
  <si>
    <t>N/Factura F163128</t>
  </si>
  <si>
    <t>F163128</t>
  </si>
  <si>
    <t>ELEVACIO VALLES CARRETILLAS, S</t>
  </si>
  <si>
    <t>TALLERES MECASAN, S.L</t>
  </si>
  <si>
    <t>N/Factura F161173</t>
  </si>
  <si>
    <t>F161173</t>
  </si>
  <si>
    <t>N/Factura F161689</t>
  </si>
  <si>
    <t>F161689</t>
  </si>
  <si>
    <t>160248 - 159712 - 159226</t>
  </si>
  <si>
    <t>CNSCI CTRE DOC I MUSEU TEXTIL</t>
  </si>
  <si>
    <t>FOLGAROLAS TEXTIL, S.A</t>
  </si>
  <si>
    <t>N/Factura F160625</t>
  </si>
  <si>
    <t>F160625</t>
  </si>
  <si>
    <t>FOLGAROLAS TEXTIL, S.A.</t>
  </si>
  <si>
    <t>F159227</t>
  </si>
  <si>
    <t>N/Factura F161174</t>
  </si>
  <si>
    <t>F161174</t>
  </si>
  <si>
    <t>F160249</t>
  </si>
  <si>
    <t>N/Factura F162636</t>
  </si>
  <si>
    <t>F162636</t>
  </si>
  <si>
    <t>PAGO DE S/FRA 2500127</t>
  </si>
  <si>
    <t>N/Factura F163130</t>
  </si>
  <si>
    <t>F163130</t>
  </si>
  <si>
    <t>GRUMEL 73</t>
  </si>
  <si>
    <t>N/Factura F161690</t>
  </si>
  <si>
    <t>F161690</t>
  </si>
  <si>
    <t>07505 GRUMEL 73 - F161690 -</t>
  </si>
  <si>
    <t>N/Factura F162160</t>
  </si>
  <si>
    <t>F162160</t>
  </si>
  <si>
    <t>COBRO FRA. F144533 DE POSTFO</t>
  </si>
  <si>
    <t>F144533</t>
  </si>
  <si>
    <t>N/Factura F162637</t>
  </si>
  <si>
    <t>F162637</t>
  </si>
  <si>
    <t>07505 GRUMEL 73</t>
  </si>
  <si>
    <t>N/Factura F163131</t>
  </si>
  <si>
    <t>F163131</t>
  </si>
  <si>
    <t>COBRO FRA. F161595 DE METALT</t>
  </si>
  <si>
    <t>07505 GRUMEL 73 - F163605 -</t>
  </si>
  <si>
    <t>CALDERERIA OBAL, S.L</t>
  </si>
  <si>
    <t>N/Factura F160626</t>
  </si>
  <si>
    <t>F160626</t>
  </si>
  <si>
    <t>N/Factura F161176</t>
  </si>
  <si>
    <t>F161176</t>
  </si>
  <si>
    <t>F-160251F-160626</t>
  </si>
  <si>
    <t>N/Factura F162638</t>
  </si>
  <si>
    <t>F162638</t>
  </si>
  <si>
    <t>N/Factura F163132</t>
  </si>
  <si>
    <t>F163132</t>
  </si>
  <si>
    <t>ASFALTS I EQUIPS DE VIALITAT,</t>
  </si>
  <si>
    <t>N/Factura F160627</t>
  </si>
  <si>
    <t>F160627</t>
  </si>
  <si>
    <t>F158280</t>
  </si>
  <si>
    <t>F158761</t>
  </si>
  <si>
    <t>N/Factura F161177</t>
  </si>
  <si>
    <t>F161177</t>
  </si>
  <si>
    <t>F159714</t>
  </si>
  <si>
    <t>F159229</t>
  </si>
  <si>
    <t>JORDI SANCHEZ RODRIGUEZ</t>
  </si>
  <si>
    <t>N/Factura F160628</t>
  </si>
  <si>
    <t>F160628</t>
  </si>
  <si>
    <t>07520 JORDI SANCHEZ RODRIGUE</t>
  </si>
  <si>
    <t>N/Factura F161178</t>
  </si>
  <si>
    <t>F161178</t>
  </si>
  <si>
    <t>F161953</t>
  </si>
  <si>
    <t>N/Factura F161691</t>
  </si>
  <si>
    <t>F161691</t>
  </si>
  <si>
    <t>N/Factura F162161</t>
  </si>
  <si>
    <t>F162161</t>
  </si>
  <si>
    <t>N/Factura F162639</t>
  </si>
  <si>
    <t>F162639</t>
  </si>
  <si>
    <t>N/Factura F163133</t>
  </si>
  <si>
    <t>F163133</t>
  </si>
  <si>
    <t>F147172</t>
  </si>
  <si>
    <t>CAM-H7 MECANITZATS, S.L</t>
  </si>
  <si>
    <t>F143720</t>
  </si>
  <si>
    <t>MARIO PARRILLA LOPEZ</t>
  </si>
  <si>
    <t>07550 MARIO PARRILLA LOPEZ -</t>
  </si>
  <si>
    <t>N/Factura F161179</t>
  </si>
  <si>
    <t>F161179</t>
  </si>
  <si>
    <t>N/Factura F162162</t>
  </si>
  <si>
    <t>F162162</t>
  </si>
  <si>
    <t>07550 MARIO PARRILLA LOPEZ</t>
  </si>
  <si>
    <t>F134877</t>
  </si>
  <si>
    <t>N/Factura F162640</t>
  </si>
  <si>
    <t>F162640</t>
  </si>
  <si>
    <t>N/Factura F163134</t>
  </si>
  <si>
    <t>F163134</t>
  </si>
  <si>
    <t>TACISA DISTRIBUCION, SLU</t>
  </si>
  <si>
    <t>N/Factura F160629</t>
  </si>
  <si>
    <t>F160629</t>
  </si>
  <si>
    <t>TACISA DISTRIBUCION S L U</t>
  </si>
  <si>
    <t>F159716</t>
  </si>
  <si>
    <t>N/Factura F161180</t>
  </si>
  <si>
    <t>F161180</t>
  </si>
  <si>
    <t>F160255</t>
  </si>
  <si>
    <t>N/Factura F161692</t>
  </si>
  <si>
    <t>F161692</t>
  </si>
  <si>
    <t>N/Factura F162163</t>
  </si>
  <si>
    <t>F162163</t>
  </si>
  <si>
    <t>N/Factura F162641</t>
  </si>
  <si>
    <t>F162641</t>
  </si>
  <si>
    <t>N/Factura F163135</t>
  </si>
  <si>
    <t>F163135</t>
  </si>
  <si>
    <t>MECANIZADOS TREYMO, S.L</t>
  </si>
  <si>
    <t>07565 MECANIZADOS TREYMO, S.</t>
  </si>
  <si>
    <t>N/Factura F160630</t>
  </si>
  <si>
    <t>F160630</t>
  </si>
  <si>
    <t>N/Factura F161181</t>
  </si>
  <si>
    <t>F161181</t>
  </si>
  <si>
    <t>N/Factura F162164</t>
  </si>
  <si>
    <t>F162164</t>
  </si>
  <si>
    <t>N/Factura F162642</t>
  </si>
  <si>
    <t>F162642</t>
  </si>
  <si>
    <t>LOGIPRO PARTS, S.L</t>
  </si>
  <si>
    <t>N/Factura F161182</t>
  </si>
  <si>
    <t>F161182</t>
  </si>
  <si>
    <t>07575 LOGIPRO PARTS, S.L</t>
  </si>
  <si>
    <t>N/Factura F161693</t>
  </si>
  <si>
    <t>F161693</t>
  </si>
  <si>
    <t>07575 LOGIPRO PARTS, S.L - F</t>
  </si>
  <si>
    <t>TERRASSANET, AIE</t>
  </si>
  <si>
    <t>N/Factura F162644</t>
  </si>
  <si>
    <t>F162644</t>
  </si>
  <si>
    <t>SIDOGRAS, S.A</t>
  </si>
  <si>
    <t>N/Factura F160631</t>
  </si>
  <si>
    <t>F160631</t>
  </si>
  <si>
    <t>SIDOGRAS, S.A.</t>
  </si>
  <si>
    <t>F159717</t>
  </si>
  <si>
    <t>N/Factura F161183</t>
  </si>
  <si>
    <t>F161183</t>
  </si>
  <si>
    <t>F160258</t>
  </si>
  <si>
    <t>N/Factura F162166</t>
  </si>
  <si>
    <t>F162166</t>
  </si>
  <si>
    <t>N/Factura F162645</t>
  </si>
  <si>
    <t>F162645</t>
  </si>
  <si>
    <t>PLASTICOS DIMA, S.A</t>
  </si>
  <si>
    <t>PLASTICOS DIMA,S.A.</t>
  </si>
  <si>
    <t>N/Factura F160632</t>
  </si>
  <si>
    <t>F160632</t>
  </si>
  <si>
    <t>F159718</t>
  </si>
  <si>
    <t>N/Factura F161184</t>
  </si>
  <si>
    <t>F161184</t>
  </si>
  <si>
    <t>F160259</t>
  </si>
  <si>
    <t>N/Factura F161694</t>
  </si>
  <si>
    <t>F161694</t>
  </si>
  <si>
    <t>N/Factura F162646</t>
  </si>
  <si>
    <t>F162646</t>
  </si>
  <si>
    <t>N/Factura F163137</t>
  </si>
  <si>
    <t>F163137</t>
  </si>
  <si>
    <t>ALMUPLAST, S.L</t>
  </si>
  <si>
    <t>N/Factura F163138</t>
  </si>
  <si>
    <t>F163138</t>
  </si>
  <si>
    <t>CALIBRACIONES Y SUMINISTROS PA</t>
  </si>
  <si>
    <t>dev dto devol:20241202000051</t>
  </si>
  <si>
    <t>F158288</t>
  </si>
  <si>
    <t>F154691</t>
  </si>
  <si>
    <t>Transferencia Inmediata De C</t>
  </si>
  <si>
    <t>N/Factura F161695</t>
  </si>
  <si>
    <t>F161695</t>
  </si>
  <si>
    <t>07595 Calibraciones y Sumini</t>
  </si>
  <si>
    <t>dev dto devol:20241216000066</t>
  </si>
  <si>
    <t>N/Factura F162167</t>
  </si>
  <si>
    <t>F162167</t>
  </si>
  <si>
    <t>N/Factura F162647</t>
  </si>
  <si>
    <t>F162647</t>
  </si>
  <si>
    <t>AUXICOLOR, S.L.</t>
  </si>
  <si>
    <t>Auxicolor S.L.</t>
  </si>
  <si>
    <t>F159720</t>
  </si>
  <si>
    <t>N/Factura F160633</t>
  </si>
  <si>
    <t>F160633</t>
  </si>
  <si>
    <t>F160260</t>
  </si>
  <si>
    <t>N/Factura F161696</t>
  </si>
  <si>
    <t>F161696</t>
  </si>
  <si>
    <t>N/Factura F162168</t>
  </si>
  <si>
    <t>F162168</t>
  </si>
  <si>
    <t>N/Factura F162648</t>
  </si>
  <si>
    <t>F162648</t>
  </si>
  <si>
    <t>HIGHCHEMIE, S.L</t>
  </si>
  <si>
    <t>N/Factura F160634</t>
  </si>
  <si>
    <t>F160634</t>
  </si>
  <si>
    <t>N/Factura F161185</t>
  </si>
  <si>
    <t>F161185</t>
  </si>
  <si>
    <t>N/Factura F161697</t>
  </si>
  <si>
    <t>F161697</t>
  </si>
  <si>
    <t>F160261</t>
  </si>
  <si>
    <t>N/Factura F162169</t>
  </si>
  <si>
    <t>F162169</t>
  </si>
  <si>
    <t>N/Factura F163139</t>
  </si>
  <si>
    <t>F163139</t>
  </si>
  <si>
    <t>IGUALTEX 2004, S.L</t>
  </si>
  <si>
    <t>07625 IGUALTEX 2004, S.L - F</t>
  </si>
  <si>
    <t>N/Factura F160635</t>
  </si>
  <si>
    <t>F160635</t>
  </si>
  <si>
    <t>07625 IGUALTEX 2004, S.L</t>
  </si>
  <si>
    <t>N/Factura F161188</t>
  </si>
  <si>
    <t>F161188</t>
  </si>
  <si>
    <t>F152643</t>
  </si>
  <si>
    <t>FORBAN METAL, S.L</t>
  </si>
  <si>
    <t>N/Factura F160636</t>
  </si>
  <si>
    <t>F160636</t>
  </si>
  <si>
    <t>F139695</t>
  </si>
  <si>
    <t>N/Factura F161189</t>
  </si>
  <si>
    <t>F161189</t>
  </si>
  <si>
    <t>07630 FORBAN METAL, S.L</t>
  </si>
  <si>
    <t>N/Factura F162170</t>
  </si>
  <si>
    <t>F162170</t>
  </si>
  <si>
    <t>N/Factura F162649</t>
  </si>
  <si>
    <t>F162649</t>
  </si>
  <si>
    <t>07630 FORBAN METAL, S.L - F1</t>
  </si>
  <si>
    <t>N/Factura F163140</t>
  </si>
  <si>
    <t>F163140</t>
  </si>
  <si>
    <t>VOLTTIUM AUTOMATION, S..L</t>
  </si>
  <si>
    <t>N/Factura F160637</t>
  </si>
  <si>
    <t>F160637</t>
  </si>
  <si>
    <t>07640 VOLMUM AUTOMATION, S..</t>
  </si>
  <si>
    <t>N/Factura F161190</t>
  </si>
  <si>
    <t>F161190</t>
  </si>
  <si>
    <t>N/Factura F161698</t>
  </si>
  <si>
    <t>F161698</t>
  </si>
  <si>
    <t>N/Factura F162171</t>
  </si>
  <si>
    <t>F162171</t>
  </si>
  <si>
    <t>N/Factura F162650</t>
  </si>
  <si>
    <t>F162650</t>
  </si>
  <si>
    <t>F154947</t>
  </si>
  <si>
    <t>N/Factura F163141</t>
  </si>
  <si>
    <t>F163141</t>
  </si>
  <si>
    <t>F160127</t>
  </si>
  <si>
    <t>INSTALACIONES JOAQUIN ALONSO S</t>
  </si>
  <si>
    <t>07645 INSTALACIONES JOAQUIN</t>
  </si>
  <si>
    <t>FEMOAC INDUSTRIAL, S.L</t>
  </si>
  <si>
    <t>FEMOAC INDUSTRIAL SL</t>
  </si>
  <si>
    <t>N/Factura F160638</t>
  </si>
  <si>
    <t>F160638</t>
  </si>
  <si>
    <t>N/Factura F161191</t>
  </si>
  <si>
    <t>F161191</t>
  </si>
  <si>
    <t>N/Factura F161699</t>
  </si>
  <si>
    <t>F161699</t>
  </si>
  <si>
    <t>F159723</t>
  </si>
  <si>
    <t>N/Factura F162172</t>
  </si>
  <si>
    <t>F162172</t>
  </si>
  <si>
    <t>N/Factura F162651</t>
  </si>
  <si>
    <t>F162651</t>
  </si>
  <si>
    <t>PAGO FACTS F-160265 Y F-1606</t>
  </si>
  <si>
    <t>DYEING &amp; FINISHING PLANT, S.L</t>
  </si>
  <si>
    <t>N/Factura F160639</t>
  </si>
  <si>
    <t>F160639</t>
  </si>
  <si>
    <t>DYEING FINISHING PLANT SLU</t>
  </si>
  <si>
    <t>F159725</t>
  </si>
  <si>
    <t>N/Factura F161192</t>
  </si>
  <si>
    <t>F161192</t>
  </si>
  <si>
    <t>N/Factura F161701</t>
  </si>
  <si>
    <t>F161701</t>
  </si>
  <si>
    <t>N/Factura F162173</t>
  </si>
  <si>
    <t>F162173</t>
  </si>
  <si>
    <t>N/Factura F162653</t>
  </si>
  <si>
    <t>F162653</t>
  </si>
  <si>
    <t>N/Factura F163142</t>
  </si>
  <si>
    <t>F163142</t>
  </si>
  <si>
    <t>ADIANT S.L</t>
  </si>
  <si>
    <t>N/Factura F161193</t>
  </si>
  <si>
    <t>F161193</t>
  </si>
  <si>
    <t>SOLAR INVESTMENTS Y LOGISTIC,</t>
  </si>
  <si>
    <t>QUIROSACTIVE, S.L</t>
  </si>
  <si>
    <t>N/Factura F161194</t>
  </si>
  <si>
    <t>F161194</t>
  </si>
  <si>
    <t>07710 QUIROSACTIVE, S.L</t>
  </si>
  <si>
    <t>N/Factura F161702</t>
  </si>
  <si>
    <t>F161702</t>
  </si>
  <si>
    <t>F143744</t>
  </si>
  <si>
    <t>N/Factura F162174</t>
  </si>
  <si>
    <t>F162174</t>
  </si>
  <si>
    <t>COBRO FRA. F155556 DE ELS MA</t>
  </si>
  <si>
    <t>F155556</t>
  </si>
  <si>
    <t>N/Factura F162654</t>
  </si>
  <si>
    <t>F162654</t>
  </si>
  <si>
    <t>07710 QUIROSACTIVE, S.L - F1</t>
  </si>
  <si>
    <t>N/Factura F163143</t>
  </si>
  <si>
    <t>F163143</t>
  </si>
  <si>
    <t>HONEXT MATERIAL,SL.</t>
  </si>
  <si>
    <t>F160266</t>
  </si>
  <si>
    <t>N/Factura F163144</t>
  </si>
  <si>
    <t>F163144</t>
  </si>
  <si>
    <t>THE FUTURE IS ALREDY HERE, S.L</t>
  </si>
  <si>
    <t>THE FUTURE IS ALREADY HERE S</t>
  </si>
  <si>
    <t>F158776</t>
  </si>
  <si>
    <t>N/Factura F160640</t>
  </si>
  <si>
    <t>F160640</t>
  </si>
  <si>
    <t>F159241</t>
  </si>
  <si>
    <t>N/Factura F161195</t>
  </si>
  <si>
    <t>F161195</t>
  </si>
  <si>
    <t>F159727</t>
  </si>
  <si>
    <t>N/Factura F161703</t>
  </si>
  <si>
    <t>F161703</t>
  </si>
  <si>
    <t>F160267</t>
  </si>
  <si>
    <t>N/Factura F162175</t>
  </si>
  <si>
    <t>F162175</t>
  </si>
  <si>
    <t>N/Factura F162655</t>
  </si>
  <si>
    <t>F162655</t>
  </si>
  <si>
    <t>N/Factura F163145</t>
  </si>
  <si>
    <t>F163145</t>
  </si>
  <si>
    <t>AFI-CORTE 1975, SL</t>
  </si>
  <si>
    <t>07740 AFI-CORTE 1975, SL - F</t>
  </si>
  <si>
    <t>N/Factura F161196</t>
  </si>
  <si>
    <t>F161196</t>
  </si>
  <si>
    <t>F160991</t>
  </si>
  <si>
    <t>N/Factura F162656</t>
  </si>
  <si>
    <t>F162656</t>
  </si>
  <si>
    <t>F159121</t>
  </si>
  <si>
    <t>07740 AFI-CORTE 1975, SL</t>
  </si>
  <si>
    <t>ASLAK MACHINES &amp; TOOLS, S.L</t>
  </si>
  <si>
    <t>N 2025015000111730 ASLAK MAC</t>
  </si>
  <si>
    <t>N 2025048000102030 ASLAK MAC</t>
  </si>
  <si>
    <t>N 2025076000111254 ASLAK MAC</t>
  </si>
  <si>
    <t>N/Factura F163146</t>
  </si>
  <si>
    <t>F163146</t>
  </si>
  <si>
    <t>F162429</t>
  </si>
  <si>
    <t>AUMON, S.L</t>
  </si>
  <si>
    <t>N/Factura F161197</t>
  </si>
  <si>
    <t>F161197</t>
  </si>
  <si>
    <t>PAGO AUMON</t>
  </si>
  <si>
    <t>N/Factura F163147</t>
  </si>
  <si>
    <t>F163147</t>
  </si>
  <si>
    <t>ALBERTO PEDROCHE GAMUNDI</t>
  </si>
  <si>
    <t>ANETO NATURAL, S.L.U</t>
  </si>
  <si>
    <t>ANETO NATURAL, S.L.U.</t>
  </si>
  <si>
    <t>F159243</t>
  </si>
  <si>
    <t>N/Factura F161199</t>
  </si>
  <si>
    <t>F161199</t>
  </si>
  <si>
    <t>N/Factura F162176</t>
  </si>
  <si>
    <t>F162176</t>
  </si>
  <si>
    <t>F160272</t>
  </si>
  <si>
    <t>N/Factura F163148</t>
  </si>
  <si>
    <t>F163148</t>
  </si>
  <si>
    <t>F160302</t>
  </si>
  <si>
    <t>ADSMM, SL</t>
  </si>
  <si>
    <t>N/Factura F160641</t>
  </si>
  <si>
    <t>F160641</t>
  </si>
  <si>
    <t>07790 ADSMM, SL</t>
  </si>
  <si>
    <t>N/Factura F161705</t>
  </si>
  <si>
    <t>F161705</t>
  </si>
  <si>
    <t>N/Factura F162178</t>
  </si>
  <si>
    <t>F162178</t>
  </si>
  <si>
    <t>ECOREMA, S.L</t>
  </si>
  <si>
    <t>ECOREMA, S.L.</t>
  </si>
  <si>
    <t>F159729</t>
  </si>
  <si>
    <t>N/Factura F160642</t>
  </si>
  <si>
    <t>F160642</t>
  </si>
  <si>
    <t>N/Factura F161200</t>
  </si>
  <si>
    <t>F161200</t>
  </si>
  <si>
    <t>F160275</t>
  </si>
  <si>
    <t>N/Factura F161706</t>
  </si>
  <si>
    <t>F161706</t>
  </si>
  <si>
    <t>N/Factura F162658</t>
  </si>
  <si>
    <t>F162658</t>
  </si>
  <si>
    <t>N/Factura F163151</t>
  </si>
  <si>
    <t>F163151</t>
  </si>
  <si>
    <t>REFORMAS ALUHOME 2002, S.L</t>
  </si>
  <si>
    <t>VIÑALS SOLER, S.L</t>
  </si>
  <si>
    <t>F159248</t>
  </si>
  <si>
    <t>F160278</t>
  </si>
  <si>
    <t>N/Factura F163152</t>
  </si>
  <si>
    <t>F163152</t>
  </si>
  <si>
    <t>LIMSA CORPO, S.L</t>
  </si>
  <si>
    <t>N/Factura F162660</t>
  </si>
  <si>
    <t>F162660</t>
  </si>
  <si>
    <t>HOGARASIST 2015 S.L</t>
  </si>
  <si>
    <t>07830 HOGARASIST 2015 S.L</t>
  </si>
  <si>
    <t>F157742</t>
  </si>
  <si>
    <t>CALDERERIA RUIFER, S.L</t>
  </si>
  <si>
    <t>N/Factura F161203</t>
  </si>
  <si>
    <t>F161203</t>
  </si>
  <si>
    <t>F141539</t>
  </si>
  <si>
    <t>N/Factura F162181</t>
  </si>
  <si>
    <t>F162181</t>
  </si>
  <si>
    <t>07835 CALDERERIA RUIFER, S.L</t>
  </si>
  <si>
    <t>N/Factura F163153</t>
  </si>
  <si>
    <t>F163153</t>
  </si>
  <si>
    <t>IVAN ORIBE TEJERO</t>
  </si>
  <si>
    <t>F160282</t>
  </si>
  <si>
    <t>N/Factura F161709</t>
  </si>
  <si>
    <t>F161709</t>
  </si>
  <si>
    <t>07850 IVAN ORIBE TEJERO - F1</t>
  </si>
  <si>
    <t>N/Factura F162661</t>
  </si>
  <si>
    <t>F162661</t>
  </si>
  <si>
    <t>N/Factura F163154</t>
  </si>
  <si>
    <t>F163154</t>
  </si>
  <si>
    <t>COBRO FRA. F163154 DE</t>
  </si>
  <si>
    <t>07850 IVAN ORIBE TEJERO</t>
  </si>
  <si>
    <t>DAVID ORIBE CORRO</t>
  </si>
  <si>
    <t>N/Factura F161204</t>
  </si>
  <si>
    <t>F161204</t>
  </si>
  <si>
    <t>07860 DAVID ORIBE CORRO</t>
  </si>
  <si>
    <t>N/Factura F161710</t>
  </si>
  <si>
    <t>F161710</t>
  </si>
  <si>
    <t>07860 DAVID ORIBE CORRO - F1</t>
  </si>
  <si>
    <t>N/Factura F163155</t>
  </si>
  <si>
    <t>F163155</t>
  </si>
  <si>
    <t>COBRO FRA. F140192 DE PLANA</t>
  </si>
  <si>
    <t>F140192</t>
  </si>
  <si>
    <t>TECNIC MOTOR TERRASSA, S.L</t>
  </si>
  <si>
    <t>07870 TECNIC MOTOR TERRASSA,</t>
  </si>
  <si>
    <t>MINA PÚBLICA D´AIGÜESDETERRASS</t>
  </si>
  <si>
    <t>F160424</t>
  </si>
  <si>
    <t>N/Factura F160644</t>
  </si>
  <si>
    <t>F160644</t>
  </si>
  <si>
    <t>Transferencia De Caixabank,</t>
  </si>
  <si>
    <t>N/Factura F161205</t>
  </si>
  <si>
    <t>F161205</t>
  </si>
  <si>
    <t>N/Factura F161711</t>
  </si>
  <si>
    <t>F161711</t>
  </si>
  <si>
    <t>F145483</t>
  </si>
  <si>
    <t>F159876</t>
  </si>
  <si>
    <t>N/Factura F162662</t>
  </si>
  <si>
    <t>F162662</t>
  </si>
  <si>
    <t>TOTCARPES GLOBAL EVENTS, S.L</t>
  </si>
  <si>
    <t>07895 TOTCARPES GLOBAL EVENT</t>
  </si>
  <si>
    <t>N/Factura F161206</t>
  </si>
  <si>
    <t>F161206</t>
  </si>
  <si>
    <t>N/Factura F161712</t>
  </si>
  <si>
    <t>F161712</t>
  </si>
  <si>
    <t>Cobro En Oficina De Efecto I</t>
  </si>
  <si>
    <t>N/Factura R216</t>
  </si>
  <si>
    <t>R216</t>
  </si>
  <si>
    <t>SALDO FRA. R-216</t>
  </si>
  <si>
    <t>N/Factura F163157</t>
  </si>
  <si>
    <t>F163157</t>
  </si>
  <si>
    <t>COBRO FRA. F157990 DE BCS IB</t>
  </si>
  <si>
    <t>F157990</t>
  </si>
  <si>
    <t>F146751</t>
  </si>
  <si>
    <t>12 CAMHEZ TRANS. S.L</t>
  </si>
  <si>
    <t>N/Factura F161713</t>
  </si>
  <si>
    <t>F161713</t>
  </si>
  <si>
    <t>07905 12 CAMHEZ TRANS. S.L -</t>
  </si>
  <si>
    <t>07905 12 CAMHEZ TRANS. S.L</t>
  </si>
  <si>
    <t>MECVI CAD CAM S.L.U.</t>
  </si>
  <si>
    <t>MECVI CAD CAM S.L.</t>
  </si>
  <si>
    <t>F159256</t>
  </si>
  <si>
    <t>N/Factura F161207</t>
  </si>
  <si>
    <t>F161207</t>
  </si>
  <si>
    <t>F160286</t>
  </si>
  <si>
    <t>F160208</t>
  </si>
  <si>
    <t>N/Factura F162182</t>
  </si>
  <si>
    <t>F162182</t>
  </si>
  <si>
    <t>N/Factura F163160</t>
  </si>
  <si>
    <t>F163160</t>
  </si>
  <si>
    <t>ING. Y SIST. DE REFR. FRIOTEX,</t>
  </si>
  <si>
    <t>N/Factura F161208</t>
  </si>
  <si>
    <t>F161208</t>
  </si>
  <si>
    <t>N/Factura F161714</t>
  </si>
  <si>
    <t>F161714</t>
  </si>
  <si>
    <t>N/Factura F162183</t>
  </si>
  <si>
    <t>F162183</t>
  </si>
  <si>
    <t>F159736</t>
  </si>
  <si>
    <t>N/Factura F163161</t>
  </si>
  <si>
    <t>F163161</t>
  </si>
  <si>
    <t>MONTSERRAT TORRES CALVO</t>
  </si>
  <si>
    <t>HIROMEC INGENIE. Y CONTRATAS S</t>
  </si>
  <si>
    <t>07935 HIROMEC INGENIE. Y CON</t>
  </si>
  <si>
    <t>N/Factura F161209</t>
  </si>
  <si>
    <t>F161209</t>
  </si>
  <si>
    <t>F146732</t>
  </si>
  <si>
    <t>N/Factura F161715</t>
  </si>
  <si>
    <t>F161715</t>
  </si>
  <si>
    <t>N/Factura F162184</t>
  </si>
  <si>
    <t>F162184</t>
  </si>
  <si>
    <t>N/Factura F162663</t>
  </si>
  <si>
    <t>F162663</t>
  </si>
  <si>
    <t>N/Factura F163162</t>
  </si>
  <si>
    <t>F163162</t>
  </si>
  <si>
    <t>FERROMECANICA, S.L.U</t>
  </si>
  <si>
    <t>07940 FERROMECANICA, S.L.0</t>
  </si>
  <si>
    <t>N/Factura F161210</t>
  </si>
  <si>
    <t>F161210</t>
  </si>
  <si>
    <t>N/Factura F161716</t>
  </si>
  <si>
    <t>F161716</t>
  </si>
  <si>
    <t>07940 FERROMECANICA, S.L.0 -</t>
  </si>
  <si>
    <t>N/Factura F162185</t>
  </si>
  <si>
    <t>F162185</t>
  </si>
  <si>
    <t>N/Factura F162664</t>
  </si>
  <si>
    <t>F162664</t>
  </si>
  <si>
    <t>N/Factura F163163</t>
  </si>
  <si>
    <t>F163163</t>
  </si>
  <si>
    <t>INSTAL PADEL BARCELONA</t>
  </si>
  <si>
    <t>07945 INSTAL PADEL BARCELONA</t>
  </si>
  <si>
    <t>N/Factura F160645</t>
  </si>
  <si>
    <t>F160645</t>
  </si>
  <si>
    <t>N/Factura F161211</t>
  </si>
  <si>
    <t>F161211</t>
  </si>
  <si>
    <t>N/Factura F162186</t>
  </si>
  <si>
    <t>F162186</t>
  </si>
  <si>
    <t>N/Factura F162665</t>
  </si>
  <si>
    <t>F162665</t>
  </si>
  <si>
    <t>CONTAINERS VAO 2010, S.L</t>
  </si>
  <si>
    <t>N/Factura F162187</t>
  </si>
  <si>
    <t>F162187</t>
  </si>
  <si>
    <t>07960 CONTAINERS VAO 2010, S</t>
  </si>
  <si>
    <t>N/Factura F162666</t>
  </si>
  <si>
    <t>F162666</t>
  </si>
  <si>
    <t>F150157</t>
  </si>
  <si>
    <t>SERCOMATEX, SA</t>
  </si>
  <si>
    <t>Transferencia De Banco Bilba</t>
  </si>
  <si>
    <t>N/Factura F161212</t>
  </si>
  <si>
    <t>F161212</t>
  </si>
  <si>
    <t>N/Factura F161717</t>
  </si>
  <si>
    <t>F161717</t>
  </si>
  <si>
    <t>F160292</t>
  </si>
  <si>
    <t>N/Factura F162189</t>
  </si>
  <si>
    <t>F162189</t>
  </si>
  <si>
    <t>N/Factura F162668</t>
  </si>
  <si>
    <t>F162668</t>
  </si>
  <si>
    <t>N/Factura F163164</t>
  </si>
  <si>
    <t>F163164</t>
  </si>
  <si>
    <t>Transferencia De Santander F</t>
  </si>
  <si>
    <t>CONALVI SOLUCIONS, S.L</t>
  </si>
  <si>
    <t>ESPUMAS AGLOMERADAS, S.L</t>
  </si>
  <si>
    <t>PORTES I AUTOMATISMES FORT, S.</t>
  </si>
  <si>
    <t>N/Factura F160646</t>
  </si>
  <si>
    <t>F160646</t>
  </si>
  <si>
    <t>07995 PORTES I AUTOMATISMES</t>
  </si>
  <si>
    <t>N/Factura F161213</t>
  </si>
  <si>
    <t>F161213</t>
  </si>
  <si>
    <t>N/Factura F161718</t>
  </si>
  <si>
    <t>F161718</t>
  </si>
  <si>
    <t>F155920</t>
  </si>
  <si>
    <t>N/Factura F162669</t>
  </si>
  <si>
    <t>F162669</t>
  </si>
  <si>
    <t>N/Factura F163165</t>
  </si>
  <si>
    <t>F163165</t>
  </si>
  <si>
    <t>F162099</t>
  </si>
  <si>
    <t>BARCINO GRUP OBRES I SERVEIS,</t>
  </si>
  <si>
    <t>N/Factura F160647</t>
  </si>
  <si>
    <t>F160647</t>
  </si>
  <si>
    <t>N/Factura F161214</t>
  </si>
  <si>
    <t>F161214</t>
  </si>
  <si>
    <t>N/Factura F161719</t>
  </si>
  <si>
    <t>F161719</t>
  </si>
  <si>
    <t>F160295</t>
  </si>
  <si>
    <t>N/Factura F163166</t>
  </si>
  <si>
    <t>F163166</t>
  </si>
  <si>
    <t>NEMARA RESEARCH, S.L</t>
  </si>
  <si>
    <t>N/Factura F160650</t>
  </si>
  <si>
    <t>F160650</t>
  </si>
  <si>
    <t>N/Factura F161217</t>
  </si>
  <si>
    <t>F161217</t>
  </si>
  <si>
    <t>Transferencia De Nemara Rese</t>
  </si>
  <si>
    <t>N/Factura F163168</t>
  </si>
  <si>
    <t>F163168</t>
  </si>
  <si>
    <t>INST DE CIENCIAS DEL ESPACIO D</t>
  </si>
  <si>
    <t>N/Factura F161219</t>
  </si>
  <si>
    <t>F161219</t>
  </si>
  <si>
    <t>VENTILACION Y FILTRACION, S.L.</t>
  </si>
  <si>
    <t>N/Factura F162192</t>
  </si>
  <si>
    <t>F162192</t>
  </si>
  <si>
    <t>08105 VENTILACION Y FILTRACI</t>
  </si>
  <si>
    <t>N/Factura F163171</t>
  </si>
  <si>
    <t>F163171</t>
  </si>
  <si>
    <t>F146169</t>
  </si>
  <si>
    <t>LABORATORIOS VILARDELL, S.A</t>
  </si>
  <si>
    <t>N/Factura F162672</t>
  </si>
  <si>
    <t>F162672</t>
  </si>
  <si>
    <t>N/Factura F163172</t>
  </si>
  <si>
    <t>F163172</t>
  </si>
  <si>
    <t>COMERCIAL ARRATE, S.A.U</t>
  </si>
  <si>
    <t>N/Factura F163175</t>
  </si>
  <si>
    <t>F163175</t>
  </si>
  <si>
    <t>CLIENTES CONTADO</t>
  </si>
  <si>
    <t>157272</t>
  </si>
  <si>
    <t>157272.</t>
  </si>
  <si>
    <t>N/Factura F160303</t>
  </si>
  <si>
    <t>F160303</t>
  </si>
  <si>
    <t>N/Factura F160304</t>
  </si>
  <si>
    <t>F160304</t>
  </si>
  <si>
    <t>N/Factura F160305</t>
  </si>
  <si>
    <t>F160305</t>
  </si>
  <si>
    <t>N/Factura F160306</t>
  </si>
  <si>
    <t>F160306</t>
  </si>
  <si>
    <t>N/Factura F160307</t>
  </si>
  <si>
    <t>F160307</t>
  </si>
  <si>
    <t>N/Factura F160308</t>
  </si>
  <si>
    <t>F160308</t>
  </si>
  <si>
    <t>N/Factura F160309</t>
  </si>
  <si>
    <t>F160309</t>
  </si>
  <si>
    <t>N/Factura F160310</t>
  </si>
  <si>
    <t>F160310</t>
  </si>
  <si>
    <t>N/Factura F160311</t>
  </si>
  <si>
    <t>F160311</t>
  </si>
  <si>
    <t>N/Factura F160312</t>
  </si>
  <si>
    <t>F160312</t>
  </si>
  <si>
    <t>N/Factura F160313</t>
  </si>
  <si>
    <t>F160313</t>
  </si>
  <si>
    <t>N/Factura F160314</t>
  </si>
  <si>
    <t>F160314</t>
  </si>
  <si>
    <t>N/Factura F160315</t>
  </si>
  <si>
    <t>F160315</t>
  </si>
  <si>
    <t>N/Factura F160316</t>
  </si>
  <si>
    <t>F160316</t>
  </si>
  <si>
    <t>N/Factura F160317</t>
  </si>
  <si>
    <t>F160317</t>
  </si>
  <si>
    <t>N/Factura F160318</t>
  </si>
  <si>
    <t>F160318</t>
  </si>
  <si>
    <t>N/Factura F160319</t>
  </si>
  <si>
    <t>F160319</t>
  </si>
  <si>
    <t>N/Factura F160320</t>
  </si>
  <si>
    <t>F160320</t>
  </si>
  <si>
    <t>N/Factura F160321</t>
  </si>
  <si>
    <t>F160321</t>
  </si>
  <si>
    <t>COMERC 362918963  REM 202501</t>
  </si>
  <si>
    <t>N/Factura F160322</t>
  </si>
  <si>
    <t>F160322</t>
  </si>
  <si>
    <t>N/Factura F160323</t>
  </si>
  <si>
    <t>F160323</t>
  </si>
  <si>
    <t>N/Factura F160324</t>
  </si>
  <si>
    <t>F160324</t>
  </si>
  <si>
    <t>N/Factura F160325</t>
  </si>
  <si>
    <t>F160325</t>
  </si>
  <si>
    <t>N/Factura F160326</t>
  </si>
  <si>
    <t>F160326</t>
  </si>
  <si>
    <t>N/Factura F160327</t>
  </si>
  <si>
    <t>F160327</t>
  </si>
  <si>
    <t>N/Factura F160328</t>
  </si>
  <si>
    <t>F160328</t>
  </si>
  <si>
    <t>N/Factura F160329</t>
  </si>
  <si>
    <t>F160329</t>
  </si>
  <si>
    <t>N/Factura F160330</t>
  </si>
  <si>
    <t>F160330</t>
  </si>
  <si>
    <t>N/Factura F160331</t>
  </si>
  <si>
    <t>F160331</t>
  </si>
  <si>
    <t>N/Factura F160332</t>
  </si>
  <si>
    <t>F160332</t>
  </si>
  <si>
    <t>N/Factura F160333</t>
  </si>
  <si>
    <t>F160333</t>
  </si>
  <si>
    <t>N/Factura F160334</t>
  </si>
  <si>
    <t>F160334</t>
  </si>
  <si>
    <t>N/Factura F160335</t>
  </si>
  <si>
    <t>F160335</t>
  </si>
  <si>
    <t>N/Factura F160336</t>
  </si>
  <si>
    <t>F160336</t>
  </si>
  <si>
    <t>N/Factura F160337</t>
  </si>
  <si>
    <t>F160337</t>
  </si>
  <si>
    <t>N/Factura F160338</t>
  </si>
  <si>
    <t>F160338</t>
  </si>
  <si>
    <t>N/Factura F160339</t>
  </si>
  <si>
    <t>F160339</t>
  </si>
  <si>
    <t>N/Factura F160340</t>
  </si>
  <si>
    <t>F160340</t>
  </si>
  <si>
    <t>FR575149</t>
  </si>
  <si>
    <t>N/Factura F160341</t>
  </si>
  <si>
    <t>F160341</t>
  </si>
  <si>
    <t>N/Factura F160342</t>
  </si>
  <si>
    <t>F160342</t>
  </si>
  <si>
    <t>N/Factura F160343</t>
  </si>
  <si>
    <t>F160343</t>
  </si>
  <si>
    <t>N/Factura F160344</t>
  </si>
  <si>
    <t>F160344</t>
  </si>
  <si>
    <t>N/Factura F160345</t>
  </si>
  <si>
    <t>F160345</t>
  </si>
  <si>
    <t>N/Factura F160346</t>
  </si>
  <si>
    <t>F160346</t>
  </si>
  <si>
    <t>N/Factura F160347</t>
  </si>
  <si>
    <t>F160347</t>
  </si>
  <si>
    <t>N/Factura F160348</t>
  </si>
  <si>
    <t>F160348</t>
  </si>
  <si>
    <t>N/Factura F160349</t>
  </si>
  <si>
    <t>F160349</t>
  </si>
  <si>
    <t>N/Factura F160350</t>
  </si>
  <si>
    <t>F160350</t>
  </si>
  <si>
    <t>N/Factura F160351</t>
  </si>
  <si>
    <t>F160351</t>
  </si>
  <si>
    <t>N/Factura F160352</t>
  </si>
  <si>
    <t>F160352</t>
  </si>
  <si>
    <t>N/Factura F160353</t>
  </si>
  <si>
    <t>F160353</t>
  </si>
  <si>
    <t>N/Factura F160354</t>
  </si>
  <si>
    <t>F160354</t>
  </si>
  <si>
    <t>N/Factura F160355</t>
  </si>
  <si>
    <t>F160355</t>
  </si>
  <si>
    <t>N/Factura F160356</t>
  </si>
  <si>
    <t>F160356</t>
  </si>
  <si>
    <t>N/Factura F160357</t>
  </si>
  <si>
    <t>F160357</t>
  </si>
  <si>
    <t>N/Factura F160358</t>
  </si>
  <si>
    <t>F160358</t>
  </si>
  <si>
    <t>N/Factura F160359</t>
  </si>
  <si>
    <t>F160359</t>
  </si>
  <si>
    <t>N/Factura F160360</t>
  </si>
  <si>
    <t>N/Factura F160361</t>
  </si>
  <si>
    <t>F160361</t>
  </si>
  <si>
    <t>N/Factura F160362</t>
  </si>
  <si>
    <t>F160362</t>
  </si>
  <si>
    <t>N/Factura F160363</t>
  </si>
  <si>
    <t>F160363</t>
  </si>
  <si>
    <t>N/Factura F160364</t>
  </si>
  <si>
    <t>F160364</t>
  </si>
  <si>
    <t>N/Factura F160365</t>
  </si>
  <si>
    <t>F160365</t>
  </si>
  <si>
    <t>N/Factura F160366</t>
  </si>
  <si>
    <t>F160366</t>
  </si>
  <si>
    <t>N/Factura F160367</t>
  </si>
  <si>
    <t>F160367</t>
  </si>
  <si>
    <t>N/Factura F160368</t>
  </si>
  <si>
    <t>F160368</t>
  </si>
  <si>
    <t>N/Factura F160369</t>
  </si>
  <si>
    <t>F160369</t>
  </si>
  <si>
    <t>N/Factura F160370</t>
  </si>
  <si>
    <t>F160370</t>
  </si>
  <si>
    <t>N/Factura F160371</t>
  </si>
  <si>
    <t>F160371</t>
  </si>
  <si>
    <t>N/Factura F160372</t>
  </si>
  <si>
    <t>F160372</t>
  </si>
  <si>
    <t>N/Factura F160373</t>
  </si>
  <si>
    <t>F160373</t>
  </si>
  <si>
    <t>ON 352433072 0701</t>
  </si>
  <si>
    <t>N/Factura F160374</t>
  </si>
  <si>
    <t>F160374</t>
  </si>
  <si>
    <t>N/Factura F160375</t>
  </si>
  <si>
    <t>F160375</t>
  </si>
  <si>
    <t>N/Factura F160376</t>
  </si>
  <si>
    <t>F160376</t>
  </si>
  <si>
    <t>N/Factura F160377</t>
  </si>
  <si>
    <t>F160377</t>
  </si>
  <si>
    <t>N/Factura F160378</t>
  </si>
  <si>
    <t>F160378</t>
  </si>
  <si>
    <t>N/Factura F160379</t>
  </si>
  <si>
    <t>F160379</t>
  </si>
  <si>
    <t>N/Factura F160380</t>
  </si>
  <si>
    <t>F160380</t>
  </si>
  <si>
    <t>N/Factura F160381</t>
  </si>
  <si>
    <t>F160381</t>
  </si>
  <si>
    <t>N/Factura F160382</t>
  </si>
  <si>
    <t>F160382</t>
  </si>
  <si>
    <t>N/Factura F160383</t>
  </si>
  <si>
    <t>F160383</t>
  </si>
  <si>
    <t>N/Factura F160384</t>
  </si>
  <si>
    <t>F160384</t>
  </si>
  <si>
    <t>N/Factura F160385</t>
  </si>
  <si>
    <t>F160385</t>
  </si>
  <si>
    <t>N/Factura F160386</t>
  </si>
  <si>
    <t>F160386</t>
  </si>
  <si>
    <t>N/Factura F160387</t>
  </si>
  <si>
    <t>F160387</t>
  </si>
  <si>
    <t>N/Factura F160388</t>
  </si>
  <si>
    <t>F160388</t>
  </si>
  <si>
    <t>N/Factura F160389</t>
  </si>
  <si>
    <t>F160389</t>
  </si>
  <si>
    <t>N/Factura F160390</t>
  </si>
  <si>
    <t>F160390</t>
  </si>
  <si>
    <t>ON 352433072 0801</t>
  </si>
  <si>
    <t>N/Factura F160391</t>
  </si>
  <si>
    <t>F160391</t>
  </si>
  <si>
    <t>N/Factura F160392</t>
  </si>
  <si>
    <t>F160392</t>
  </si>
  <si>
    <t>N/Factura F160393</t>
  </si>
  <si>
    <t>F160393</t>
  </si>
  <si>
    <t>N/Factura F160394</t>
  </si>
  <si>
    <t>F160394</t>
  </si>
  <si>
    <t>N/Factura F160395</t>
  </si>
  <si>
    <t>F160395</t>
  </si>
  <si>
    <t>N/Factura F160396</t>
  </si>
  <si>
    <t>F160396</t>
  </si>
  <si>
    <t>N/Factura F160397</t>
  </si>
  <si>
    <t>F160397</t>
  </si>
  <si>
    <t>N/Factura F160398</t>
  </si>
  <si>
    <t>F160398</t>
  </si>
  <si>
    <t>N/Factura F160399</t>
  </si>
  <si>
    <t>F160399</t>
  </si>
  <si>
    <t>N/Factura F160400</t>
  </si>
  <si>
    <t>F160400</t>
  </si>
  <si>
    <t>ON 352433072 0901</t>
  </si>
  <si>
    <t>ON 352433072 1001</t>
  </si>
  <si>
    <t>N/Factura F160401</t>
  </si>
  <si>
    <t>F160401</t>
  </si>
  <si>
    <t>N/Factura F160402</t>
  </si>
  <si>
    <t>F160402</t>
  </si>
  <si>
    <t>N/Factura F160403</t>
  </si>
  <si>
    <t>F160403</t>
  </si>
  <si>
    <t>N/Factura F160404</t>
  </si>
  <si>
    <t>F160404</t>
  </si>
  <si>
    <t>N/Factura F160405</t>
  </si>
  <si>
    <t>F160405</t>
  </si>
  <si>
    <t>N/Factura F160406</t>
  </si>
  <si>
    <t>F160406</t>
  </si>
  <si>
    <t>N/Factura F160407</t>
  </si>
  <si>
    <t>F160407</t>
  </si>
  <si>
    <t>N/Factura F160408</t>
  </si>
  <si>
    <t>F160408</t>
  </si>
  <si>
    <t>N/Factura F160409</t>
  </si>
  <si>
    <t>F160409</t>
  </si>
  <si>
    <t>N/Factura F160410</t>
  </si>
  <si>
    <t>F160410</t>
  </si>
  <si>
    <t>N/Factura F160411</t>
  </si>
  <si>
    <t>F160411</t>
  </si>
  <si>
    <t>N/Factura F160412</t>
  </si>
  <si>
    <t>F160412</t>
  </si>
  <si>
    <t>N/Factura F160413</t>
  </si>
  <si>
    <t>F160413</t>
  </si>
  <si>
    <t>N/Factura F160414</t>
  </si>
  <si>
    <t>F160414</t>
  </si>
  <si>
    <t>N/Factura F160415</t>
  </si>
  <si>
    <t>F160415</t>
  </si>
  <si>
    <t>N/Factura F160416</t>
  </si>
  <si>
    <t>F160416</t>
  </si>
  <si>
    <t>N/Factura F160417</t>
  </si>
  <si>
    <t>F160417</t>
  </si>
  <si>
    <t>N/Factura F160418</t>
  </si>
  <si>
    <t>F160418</t>
  </si>
  <si>
    <t>N/Factura F160419</t>
  </si>
  <si>
    <t>F160419</t>
  </si>
  <si>
    <t>N/Factura F160420</t>
  </si>
  <si>
    <t>N/Factura F160421</t>
  </si>
  <si>
    <t>F160421</t>
  </si>
  <si>
    <t>N/Factura F160422</t>
  </si>
  <si>
    <t>F160422</t>
  </si>
  <si>
    <t>N/Factura F160423</t>
  </si>
  <si>
    <t>F160423</t>
  </si>
  <si>
    <t>N/Factura F160424</t>
  </si>
  <si>
    <t>N/Factura F160425</t>
  </si>
  <si>
    <t>F160425</t>
  </si>
  <si>
    <t>N/Factura F160426</t>
  </si>
  <si>
    <t>F160426</t>
  </si>
  <si>
    <t>N/Factura F160427</t>
  </si>
  <si>
    <t>F160427</t>
  </si>
  <si>
    <t>N/Factura F160428</t>
  </si>
  <si>
    <t>F160428</t>
  </si>
  <si>
    <t>N/Factura F160429</t>
  </si>
  <si>
    <t>F160429</t>
  </si>
  <si>
    <t>N/Factura F160430</t>
  </si>
  <si>
    <t>F160430</t>
  </si>
  <si>
    <t>N/Factura F160431</t>
  </si>
  <si>
    <t>F160431</t>
  </si>
  <si>
    <t>N/Factura F160432</t>
  </si>
  <si>
    <t>F160432</t>
  </si>
  <si>
    <t>N/Factura F160433</t>
  </si>
  <si>
    <t>F160433</t>
  </si>
  <si>
    <t>N/Factura F160434</t>
  </si>
  <si>
    <t>F160434</t>
  </si>
  <si>
    <t>N/Factura F160435</t>
  </si>
  <si>
    <t>F160435</t>
  </si>
  <si>
    <t>N/Factura F160436</t>
  </si>
  <si>
    <t>F160436</t>
  </si>
  <si>
    <t>N/Factura F160437</t>
  </si>
  <si>
    <t>F160437</t>
  </si>
  <si>
    <t>N/Factura F160438</t>
  </si>
  <si>
    <t>F160438</t>
  </si>
  <si>
    <t>N/Factura F160439</t>
  </si>
  <si>
    <t>F160439</t>
  </si>
  <si>
    <t>N/Factura F160440</t>
  </si>
  <si>
    <t>F160440</t>
  </si>
  <si>
    <t>N/Factura F160441</t>
  </si>
  <si>
    <t>F160441</t>
  </si>
  <si>
    <t>N/Factura F160442</t>
  </si>
  <si>
    <t>F160442</t>
  </si>
  <si>
    <t>ON 352433072 1301</t>
  </si>
  <si>
    <t>N/Factura F160658</t>
  </si>
  <si>
    <t>F160658</t>
  </si>
  <si>
    <t>N/Factura F160659</t>
  </si>
  <si>
    <t>F160659</t>
  </si>
  <si>
    <t>N/Factura F160660</t>
  </si>
  <si>
    <t>F160660</t>
  </si>
  <si>
    <t>N/Factura F160661</t>
  </si>
  <si>
    <t>F160661</t>
  </si>
  <si>
    <t>N/Factura F160662</t>
  </si>
  <si>
    <t>F160662</t>
  </si>
  <si>
    <t>N/Factura F160663</t>
  </si>
  <si>
    <t>F160663</t>
  </si>
  <si>
    <t>N/Factura F160664</t>
  </si>
  <si>
    <t>F160664</t>
  </si>
  <si>
    <t>N/Factura F160665</t>
  </si>
  <si>
    <t>F160665</t>
  </si>
  <si>
    <t>N/Factura F160666</t>
  </si>
  <si>
    <t>F160666</t>
  </si>
  <si>
    <t>N/Factura F160667</t>
  </si>
  <si>
    <t>F160667</t>
  </si>
  <si>
    <t>N/Factura F160668</t>
  </si>
  <si>
    <t>F160668</t>
  </si>
  <si>
    <t>N/Factura F160669</t>
  </si>
  <si>
    <t>F160669</t>
  </si>
  <si>
    <t>N/Factura F160670</t>
  </si>
  <si>
    <t>F160670</t>
  </si>
  <si>
    <t>N/Factura F160671</t>
  </si>
  <si>
    <t>F160671</t>
  </si>
  <si>
    <t>ON 352433072 1401</t>
  </si>
  <si>
    <t>N/Factura F160672</t>
  </si>
  <si>
    <t>F160672</t>
  </si>
  <si>
    <t>N/Factura F160673</t>
  </si>
  <si>
    <t>F160673</t>
  </si>
  <si>
    <t>N/Factura F160674</t>
  </si>
  <si>
    <t>F160674</t>
  </si>
  <si>
    <t>N/Factura F160675</t>
  </si>
  <si>
    <t>F160675</t>
  </si>
  <si>
    <t>N/Factura F160676</t>
  </si>
  <si>
    <t>F160676</t>
  </si>
  <si>
    <t>N/Factura F160677</t>
  </si>
  <si>
    <t>F160677</t>
  </si>
  <si>
    <t>N/Factura F160678</t>
  </si>
  <si>
    <t>F160678</t>
  </si>
  <si>
    <t>N/Factura F160679</t>
  </si>
  <si>
    <t>F160679</t>
  </si>
  <si>
    <t>N/Factura F160680</t>
  </si>
  <si>
    <t>F160680</t>
  </si>
  <si>
    <t>N/Factura F160681</t>
  </si>
  <si>
    <t>F160681</t>
  </si>
  <si>
    <t>N/Factura F160682</t>
  </si>
  <si>
    <t>N/Factura F160683</t>
  </si>
  <si>
    <t>F160683</t>
  </si>
  <si>
    <t>N/Factura F160684</t>
  </si>
  <si>
    <t>F160684</t>
  </si>
  <si>
    <t>N/Factura F160685</t>
  </si>
  <si>
    <t>F160685</t>
  </si>
  <si>
    <t>N/Factura F160686</t>
  </si>
  <si>
    <t>F160686</t>
  </si>
  <si>
    <t>N/Factura F160687</t>
  </si>
  <si>
    <t>F160687</t>
  </si>
  <si>
    <t>ON 352433072 1501</t>
  </si>
  <si>
    <t>N/Factura F160688</t>
  </si>
  <si>
    <t>F160688</t>
  </si>
  <si>
    <t>N/Factura F160689</t>
  </si>
  <si>
    <t>F160689</t>
  </si>
  <si>
    <t>N/Factura F160690</t>
  </si>
  <si>
    <t>F160690</t>
  </si>
  <si>
    <t>N/Factura F160691</t>
  </si>
  <si>
    <t>F160691</t>
  </si>
  <si>
    <t>N/Factura F160692</t>
  </si>
  <si>
    <t>F160692</t>
  </si>
  <si>
    <t>N/Factura F160693</t>
  </si>
  <si>
    <t>F160693</t>
  </si>
  <si>
    <t>N/Factura F160694</t>
  </si>
  <si>
    <t>F160694</t>
  </si>
  <si>
    <t>N/Factura F160695</t>
  </si>
  <si>
    <t>F160695</t>
  </si>
  <si>
    <t>N/Factura F160696</t>
  </si>
  <si>
    <t>F160696</t>
  </si>
  <si>
    <t>N/Factura F160697</t>
  </si>
  <si>
    <t>F160697</t>
  </si>
  <si>
    <t>N/Factura F160698</t>
  </si>
  <si>
    <t>F160698</t>
  </si>
  <si>
    <t>N/Factura F160699</t>
  </si>
  <si>
    <t>F160699</t>
  </si>
  <si>
    <t>N/Factura F160700</t>
  </si>
  <si>
    <t>F160700</t>
  </si>
  <si>
    <t>N/Factura F160701</t>
  </si>
  <si>
    <t>F160701</t>
  </si>
  <si>
    <t>N/Factura F160702</t>
  </si>
  <si>
    <t>F160702</t>
  </si>
  <si>
    <t>N/Factura F160703</t>
  </si>
  <si>
    <t>F160703</t>
  </si>
  <si>
    <t>N/Factura F160704</t>
  </si>
  <si>
    <t>F160704</t>
  </si>
  <si>
    <t>N/Factura F160705</t>
  </si>
  <si>
    <t>F160705</t>
  </si>
  <si>
    <t>N/Factura F160706</t>
  </si>
  <si>
    <t>F160706</t>
  </si>
  <si>
    <t>N/Factura F160707</t>
  </si>
  <si>
    <t>F160707</t>
  </si>
  <si>
    <t>ON 352433072 1601</t>
  </si>
  <si>
    <t>ON 352433072 1701</t>
  </si>
  <si>
    <t>N/Factura F160708</t>
  </si>
  <si>
    <t>F160708</t>
  </si>
  <si>
    <t>N/Factura F160709</t>
  </si>
  <si>
    <t>F160709</t>
  </si>
  <si>
    <t>N/Factura F160710</t>
  </si>
  <si>
    <t>F160710</t>
  </si>
  <si>
    <t>N/Factura F160711</t>
  </si>
  <si>
    <t>F160711</t>
  </si>
  <si>
    <t>N/Factura F160712</t>
  </si>
  <si>
    <t>F160712</t>
  </si>
  <si>
    <t>N/Factura F160713</t>
  </si>
  <si>
    <t>F160713</t>
  </si>
  <si>
    <t>N/Factura F160714</t>
  </si>
  <si>
    <t>F160714</t>
  </si>
  <si>
    <t>N/Factura F160715</t>
  </si>
  <si>
    <t>F160715</t>
  </si>
  <si>
    <t>N/Factura F160716</t>
  </si>
  <si>
    <t>F160716</t>
  </si>
  <si>
    <t>N/Factura F160717</t>
  </si>
  <si>
    <t>F160717</t>
  </si>
  <si>
    <t>N/Factura F160718</t>
  </si>
  <si>
    <t>F160718</t>
  </si>
  <si>
    <t>N/Factura F160719</t>
  </si>
  <si>
    <t>F160719</t>
  </si>
  <si>
    <t>N/Factura F160720</t>
  </si>
  <si>
    <t>F160720</t>
  </si>
  <si>
    <t>N/Factura F160721</t>
  </si>
  <si>
    <t>F160721</t>
  </si>
  <si>
    <t>N/Factura F160722</t>
  </si>
  <si>
    <t>F160722</t>
  </si>
  <si>
    <t>N/Factura F160723</t>
  </si>
  <si>
    <t>F160723</t>
  </si>
  <si>
    <t>N/Factura F160724</t>
  </si>
  <si>
    <t>F160724</t>
  </si>
  <si>
    <t>N/Factura F160725</t>
  </si>
  <si>
    <t>F160725</t>
  </si>
  <si>
    <t>N/Factura F160726</t>
  </si>
  <si>
    <t>F160726</t>
  </si>
  <si>
    <t>N/Factura F160727</t>
  </si>
  <si>
    <t>F160727</t>
  </si>
  <si>
    <t>N/Factura F160728</t>
  </si>
  <si>
    <t>F160728</t>
  </si>
  <si>
    <t>N/Factura F160729</t>
  </si>
  <si>
    <t>F160729</t>
  </si>
  <si>
    <t>N/Factura F160730</t>
  </si>
  <si>
    <t>F160730</t>
  </si>
  <si>
    <t>N/Factura F160731</t>
  </si>
  <si>
    <t>F160731</t>
  </si>
  <si>
    <t>N/Factura F160732</t>
  </si>
  <si>
    <t>F160732</t>
  </si>
  <si>
    <t>N/Factura F160733</t>
  </si>
  <si>
    <t>F160733</t>
  </si>
  <si>
    <t>N/Factura F160734</t>
  </si>
  <si>
    <t>F160734</t>
  </si>
  <si>
    <t>N/Factura F160735</t>
  </si>
  <si>
    <t>F160735</t>
  </si>
  <si>
    <t>N/Factura F160736</t>
  </si>
  <si>
    <t>F160736</t>
  </si>
  <si>
    <t>N/Factura F160737</t>
  </si>
  <si>
    <t>F160737</t>
  </si>
  <si>
    <t>N/Factura F160738</t>
  </si>
  <si>
    <t>F160738</t>
  </si>
  <si>
    <t>N/Factura F160739</t>
  </si>
  <si>
    <t>F160739</t>
  </si>
  <si>
    <t>N/Factura F160740</t>
  </si>
  <si>
    <t>F160740</t>
  </si>
  <si>
    <t>N/Factura F160741</t>
  </si>
  <si>
    <t>F160741</t>
  </si>
  <si>
    <t>N/Factura F160742</t>
  </si>
  <si>
    <t>F160742</t>
  </si>
  <si>
    <t>N/Factura F160743</t>
  </si>
  <si>
    <t>F160743</t>
  </si>
  <si>
    <t>ON 352433072 2001</t>
  </si>
  <si>
    <t>N/Factura F160744</t>
  </si>
  <si>
    <t>F160744</t>
  </si>
  <si>
    <t>N/Factura F160745</t>
  </si>
  <si>
    <t>F160745</t>
  </si>
  <si>
    <t>N/Factura F160746</t>
  </si>
  <si>
    <t>F160746</t>
  </si>
  <si>
    <t>N/Factura F160747</t>
  </si>
  <si>
    <t>F160747</t>
  </si>
  <si>
    <t>N/Factura F160748</t>
  </si>
  <si>
    <t>F160748</t>
  </si>
  <si>
    <t>N/Factura F160749</t>
  </si>
  <si>
    <t>F160749</t>
  </si>
  <si>
    <t>N/Factura F160750</t>
  </si>
  <si>
    <t>F160750</t>
  </si>
  <si>
    <t>N/Factura F160751</t>
  </si>
  <si>
    <t>F160751</t>
  </si>
  <si>
    <t>N/Factura F160752</t>
  </si>
  <si>
    <t>F160752</t>
  </si>
  <si>
    <t>N/Factura F160753</t>
  </si>
  <si>
    <t>F160753</t>
  </si>
  <si>
    <t>N/Factura F160754</t>
  </si>
  <si>
    <t>F160754</t>
  </si>
  <si>
    <t>N/Factura F160755</t>
  </si>
  <si>
    <t>F160755</t>
  </si>
  <si>
    <t>N/Factura F160756</t>
  </si>
  <si>
    <t>F160756</t>
  </si>
  <si>
    <t>N/Factura F160757</t>
  </si>
  <si>
    <t>F160757</t>
  </si>
  <si>
    <t>N/Factura F160758</t>
  </si>
  <si>
    <t>F160758</t>
  </si>
  <si>
    <t>N/Factura F160759</t>
  </si>
  <si>
    <t>F160759</t>
  </si>
  <si>
    <t>N/Factura F160760</t>
  </si>
  <si>
    <t>F160760</t>
  </si>
  <si>
    <t>N/Factura F160761</t>
  </si>
  <si>
    <t>F160761</t>
  </si>
  <si>
    <t>N/Factura F160762</t>
  </si>
  <si>
    <t>F160762</t>
  </si>
  <si>
    <t>ON 352433072 2101</t>
  </si>
  <si>
    <t>N/Factura F160763</t>
  </si>
  <si>
    <t>F160763</t>
  </si>
  <si>
    <t>N/Factura F160764</t>
  </si>
  <si>
    <t>F160764</t>
  </si>
  <si>
    <t>N/Factura F160765</t>
  </si>
  <si>
    <t>F160765</t>
  </si>
  <si>
    <t>N/Factura F160766</t>
  </si>
  <si>
    <t>F160766</t>
  </si>
  <si>
    <t>N/Factura F160767</t>
  </si>
  <si>
    <t>F160767</t>
  </si>
  <si>
    <t>N/Factura F160768</t>
  </si>
  <si>
    <t>F160768</t>
  </si>
  <si>
    <t>N/Factura F160769</t>
  </si>
  <si>
    <t>F160769</t>
  </si>
  <si>
    <t>N/Factura F160770</t>
  </si>
  <si>
    <t>F160770</t>
  </si>
  <si>
    <t>N/Factura F160771</t>
  </si>
  <si>
    <t>F160771</t>
  </si>
  <si>
    <t>N/Factura F160772</t>
  </si>
  <si>
    <t>F160772</t>
  </si>
  <si>
    <t>N/Factura F160773</t>
  </si>
  <si>
    <t>F160773</t>
  </si>
  <si>
    <t>N/Factura F160774</t>
  </si>
  <si>
    <t>F160774</t>
  </si>
  <si>
    <t>N/Factura F160775</t>
  </si>
  <si>
    <t>F160775</t>
  </si>
  <si>
    <t>N/Factura F160776</t>
  </si>
  <si>
    <t>F160776</t>
  </si>
  <si>
    <t>N/Factura F160777</t>
  </si>
  <si>
    <t>F160777</t>
  </si>
  <si>
    <t>N/Factura F160778</t>
  </si>
  <si>
    <t>F160778</t>
  </si>
  <si>
    <t>N/Factura F160779</t>
  </si>
  <si>
    <t>F160779</t>
  </si>
  <si>
    <t>N/Factura F160780</t>
  </si>
  <si>
    <t>F160780</t>
  </si>
  <si>
    <t>N/Factura F160781</t>
  </si>
  <si>
    <t>F160781</t>
  </si>
  <si>
    <t>N/Factura F160782</t>
  </si>
  <si>
    <t>F160782</t>
  </si>
  <si>
    <t>N/Factura F160783</t>
  </si>
  <si>
    <t>F160783</t>
  </si>
  <si>
    <t>N/Factura F160784</t>
  </si>
  <si>
    <t>F160784</t>
  </si>
  <si>
    <t>ON 352433072 2201</t>
  </si>
  <si>
    <t>N/Factura F160785</t>
  </si>
  <si>
    <t>F160785</t>
  </si>
  <si>
    <t>N/Factura F160786</t>
  </si>
  <si>
    <t>F160786</t>
  </si>
  <si>
    <t>N/Factura F160787</t>
  </si>
  <si>
    <t>F160787</t>
  </si>
  <si>
    <t>N/Factura F160788</t>
  </si>
  <si>
    <t>F160788</t>
  </si>
  <si>
    <t>N/Factura F160789</t>
  </si>
  <si>
    <t>F160789</t>
  </si>
  <si>
    <t>N/Factura F160790</t>
  </si>
  <si>
    <t>F160790</t>
  </si>
  <si>
    <t>N/Factura F160791</t>
  </si>
  <si>
    <t>F160791</t>
  </si>
  <si>
    <t>N/Factura F160792</t>
  </si>
  <si>
    <t>F160792</t>
  </si>
  <si>
    <t>N/Factura F160793</t>
  </si>
  <si>
    <t>F160793</t>
  </si>
  <si>
    <t>N/Factura F160794</t>
  </si>
  <si>
    <t>F160794</t>
  </si>
  <si>
    <t>N/Factura F160795</t>
  </si>
  <si>
    <t>F160795</t>
  </si>
  <si>
    <t>N/Factura F160796</t>
  </si>
  <si>
    <t>F160796</t>
  </si>
  <si>
    <t>N/Factura F160797</t>
  </si>
  <si>
    <t>F160797</t>
  </si>
  <si>
    <t>N/Factura F160798</t>
  </si>
  <si>
    <t>F160798</t>
  </si>
  <si>
    <t>N/Factura F160799</t>
  </si>
  <si>
    <t>F160799</t>
  </si>
  <si>
    <t>N/Factura F160800</t>
  </si>
  <si>
    <t>F160800</t>
  </si>
  <si>
    <t>N/Factura F160801</t>
  </si>
  <si>
    <t>F160801</t>
  </si>
  <si>
    <t>N/Factura F160802</t>
  </si>
  <si>
    <t>F160802</t>
  </si>
  <si>
    <t>N/Factura F160803</t>
  </si>
  <si>
    <t>F160803</t>
  </si>
  <si>
    <t>ON 352433072 2301</t>
  </si>
  <si>
    <t>ON 352433072 2401</t>
  </si>
  <si>
    <t>N/Factura F160804</t>
  </si>
  <si>
    <t>F160804</t>
  </si>
  <si>
    <t>N/Factura F160805</t>
  </si>
  <si>
    <t>F160805</t>
  </si>
  <si>
    <t>N/Factura F160806</t>
  </si>
  <si>
    <t>F160806</t>
  </si>
  <si>
    <t>N/Factura F160807</t>
  </si>
  <si>
    <t>F160807</t>
  </si>
  <si>
    <t>N/Factura F160808</t>
  </si>
  <si>
    <t>F160808</t>
  </si>
  <si>
    <t>N/Factura F160809</t>
  </si>
  <si>
    <t>F160809</t>
  </si>
  <si>
    <t>N/Factura F160810</t>
  </si>
  <si>
    <t>F160810</t>
  </si>
  <si>
    <t>N/Factura F160811</t>
  </si>
  <si>
    <t>F160811</t>
  </si>
  <si>
    <t>N/Factura F160812</t>
  </si>
  <si>
    <t>F160812</t>
  </si>
  <si>
    <t>N/Factura F160813</t>
  </si>
  <si>
    <t>F160813</t>
  </si>
  <si>
    <t>N/Factura F160814</t>
  </si>
  <si>
    <t>F160814</t>
  </si>
  <si>
    <t>N/Factura F160815</t>
  </si>
  <si>
    <t>F160815</t>
  </si>
  <si>
    <t>N/Factura F160816</t>
  </si>
  <si>
    <t>F160816</t>
  </si>
  <si>
    <t>N/Factura F160817</t>
  </si>
  <si>
    <t>F160817</t>
  </si>
  <si>
    <t>N/Factura F160818</t>
  </si>
  <si>
    <t>F160818</t>
  </si>
  <si>
    <t>N/Factura F160819</t>
  </si>
  <si>
    <t>F160819</t>
  </si>
  <si>
    <t>N/Factura F160820</t>
  </si>
  <si>
    <t>F160820</t>
  </si>
  <si>
    <t>N/Factura F160821</t>
  </si>
  <si>
    <t>F160821</t>
  </si>
  <si>
    <t>N/Factura F160822</t>
  </si>
  <si>
    <t>F160822</t>
  </si>
  <si>
    <t>N/Factura F160823</t>
  </si>
  <si>
    <t>F160823</t>
  </si>
  <si>
    <t>N/Factura F160824</t>
  </si>
  <si>
    <t>F160824</t>
  </si>
  <si>
    <t>N/Factura F160825</t>
  </si>
  <si>
    <t>F160825</t>
  </si>
  <si>
    <t>N/Factura F160826</t>
  </si>
  <si>
    <t>F160826</t>
  </si>
  <si>
    <t>N/Factura F160827</t>
  </si>
  <si>
    <t>F160827</t>
  </si>
  <si>
    <t>N/Factura F160828</t>
  </si>
  <si>
    <t>F160828</t>
  </si>
  <si>
    <t>N/Factura F160829</t>
  </si>
  <si>
    <t>F160829</t>
  </si>
  <si>
    <t>ON 352433072 2701</t>
  </si>
  <si>
    <t>N/Factura F160830</t>
  </si>
  <si>
    <t>F160830</t>
  </si>
  <si>
    <t>N/Factura F160831</t>
  </si>
  <si>
    <t>F160831</t>
  </si>
  <si>
    <t>N/Factura F160832</t>
  </si>
  <si>
    <t>F160832</t>
  </si>
  <si>
    <t>N/Factura F160833</t>
  </si>
  <si>
    <t>F160833</t>
  </si>
  <si>
    <t>N/Factura F160834</t>
  </si>
  <si>
    <t>F160834</t>
  </si>
  <si>
    <t>N/Factura F160835</t>
  </si>
  <si>
    <t>F160835</t>
  </si>
  <si>
    <t>N/Factura F160836</t>
  </si>
  <si>
    <t>F160836</t>
  </si>
  <si>
    <t>N/Factura F160837</t>
  </si>
  <si>
    <t>F160837</t>
  </si>
  <si>
    <t>N/Factura F160838</t>
  </si>
  <si>
    <t>F160838</t>
  </si>
  <si>
    <t>N/Factura F160839</t>
  </si>
  <si>
    <t>F160839</t>
  </si>
  <si>
    <t>N/Factura F160840</t>
  </si>
  <si>
    <t>F160840</t>
  </si>
  <si>
    <t>N/Factura F160841</t>
  </si>
  <si>
    <t>F160841</t>
  </si>
  <si>
    <t>N/Factura F160842</t>
  </si>
  <si>
    <t>F160842</t>
  </si>
  <si>
    <t>N/Factura F160843</t>
  </si>
  <si>
    <t>F160843</t>
  </si>
  <si>
    <t>N/Factura F160844</t>
  </si>
  <si>
    <t>F160844</t>
  </si>
  <si>
    <t>N/Factura F160845</t>
  </si>
  <si>
    <t>F160845</t>
  </si>
  <si>
    <t>ON 352433072 2801</t>
  </si>
  <si>
    <t>N/Factura F160846</t>
  </si>
  <si>
    <t>F160846</t>
  </si>
  <si>
    <t>N/Factura F160847</t>
  </si>
  <si>
    <t>F160847</t>
  </si>
  <si>
    <t>N/Factura F160848</t>
  </si>
  <si>
    <t>F160848</t>
  </si>
  <si>
    <t>N/Factura F160849</t>
  </si>
  <si>
    <t>F160849</t>
  </si>
  <si>
    <t>N/Factura F160850</t>
  </si>
  <si>
    <t>F160850</t>
  </si>
  <si>
    <t>N/Factura F160851</t>
  </si>
  <si>
    <t>F160851</t>
  </si>
  <si>
    <t>N/Factura F160852</t>
  </si>
  <si>
    <t>F160852</t>
  </si>
  <si>
    <t>N/Factura F160853</t>
  </si>
  <si>
    <t>F160853</t>
  </si>
  <si>
    <t>N/Factura F160854</t>
  </si>
  <si>
    <t>F160854</t>
  </si>
  <si>
    <t>N/Factura F160855</t>
  </si>
  <si>
    <t>F160855</t>
  </si>
  <si>
    <t>N/Factura F160856</t>
  </si>
  <si>
    <t>F160856</t>
  </si>
  <si>
    <t>N/Factura F160857</t>
  </si>
  <si>
    <t>F160857</t>
  </si>
  <si>
    <t>N/Factura F160858</t>
  </si>
  <si>
    <t>F160858</t>
  </si>
  <si>
    <t>N/Factura F160859</t>
  </si>
  <si>
    <t>F160859</t>
  </si>
  <si>
    <t>N/Factura F160860</t>
  </si>
  <si>
    <t>F160860</t>
  </si>
  <si>
    <t>ON 352433072 2901</t>
  </si>
  <si>
    <t>N/Factura F160861</t>
  </si>
  <si>
    <t>F160861</t>
  </si>
  <si>
    <t>N/Factura F160862</t>
  </si>
  <si>
    <t>F160862</t>
  </si>
  <si>
    <t>N/Factura F160863</t>
  </si>
  <si>
    <t>F160863</t>
  </si>
  <si>
    <t>N/Factura F160864</t>
  </si>
  <si>
    <t>F160864</t>
  </si>
  <si>
    <t>N/Factura F160865</t>
  </si>
  <si>
    <t>F160865</t>
  </si>
  <si>
    <t>N/Factura F160866</t>
  </si>
  <si>
    <t>F160866</t>
  </si>
  <si>
    <t>N/Factura F160867</t>
  </si>
  <si>
    <t>F160867</t>
  </si>
  <si>
    <t>N/Factura F160868</t>
  </si>
  <si>
    <t>F160868</t>
  </si>
  <si>
    <t>N/Factura F160869</t>
  </si>
  <si>
    <t>F160869</t>
  </si>
  <si>
    <t>N/Factura F160870</t>
  </si>
  <si>
    <t>F160870</t>
  </si>
  <si>
    <t>N/Factura F160871</t>
  </si>
  <si>
    <t>F160871</t>
  </si>
  <si>
    <t>N/Factura F160872</t>
  </si>
  <si>
    <t>F160872</t>
  </si>
  <si>
    <t>N/Factura F160873</t>
  </si>
  <si>
    <t>F160873</t>
  </si>
  <si>
    <t>N/Factura F160874</t>
  </si>
  <si>
    <t>F160874</t>
  </si>
  <si>
    <t>N/Factura F160875</t>
  </si>
  <si>
    <t>F160875</t>
  </si>
  <si>
    <t>ON 352433072 3001</t>
  </si>
  <si>
    <t>ON 352433072 3101</t>
  </si>
  <si>
    <t>N/Factura F161243</t>
  </si>
  <si>
    <t>F161243</t>
  </si>
  <si>
    <t>N/Factura F161244</t>
  </si>
  <si>
    <t>F161244</t>
  </si>
  <si>
    <t>N/Factura F161245</t>
  </si>
  <si>
    <t>F161245</t>
  </si>
  <si>
    <t>N/Factura F161246</t>
  </si>
  <si>
    <t>F161246</t>
  </si>
  <si>
    <t>N/Factura F161247</t>
  </si>
  <si>
    <t>F161247</t>
  </si>
  <si>
    <t>N/Factura F161248</t>
  </si>
  <si>
    <t>F161248</t>
  </si>
  <si>
    <t>N/Factura F161249</t>
  </si>
  <si>
    <t>F161249</t>
  </si>
  <si>
    <t>N/Factura F161250</t>
  </si>
  <si>
    <t>F161250</t>
  </si>
  <si>
    <t>N/Factura F161251</t>
  </si>
  <si>
    <t>F161251</t>
  </si>
  <si>
    <t>N/Factura F161252</t>
  </si>
  <si>
    <t>F161252</t>
  </si>
  <si>
    <t>N/Factura F161253</t>
  </si>
  <si>
    <t>F161253</t>
  </si>
  <si>
    <t>N/Factura F161254</t>
  </si>
  <si>
    <t>F161254</t>
  </si>
  <si>
    <t>N/Factura F161255</t>
  </si>
  <si>
    <t>F161255</t>
  </si>
  <si>
    <t>N/Factura F161256</t>
  </si>
  <si>
    <t>F161256</t>
  </si>
  <si>
    <t>N/Factura F161257</t>
  </si>
  <si>
    <t>F161257</t>
  </si>
  <si>
    <t>N/Factura F161258</t>
  </si>
  <si>
    <t>F161258</t>
  </si>
  <si>
    <t>N/Factura F161259</t>
  </si>
  <si>
    <t>F161259</t>
  </si>
  <si>
    <t>N/Factura F161260</t>
  </si>
  <si>
    <t>F161260</t>
  </si>
  <si>
    <t>N/Factura F161261</t>
  </si>
  <si>
    <t>F161261</t>
  </si>
  <si>
    <t>N/Factura F161262</t>
  </si>
  <si>
    <t>F161262</t>
  </si>
  <si>
    <t>N/Factura F161263</t>
  </si>
  <si>
    <t>F161263</t>
  </si>
  <si>
    <t>N/Factura F161264</t>
  </si>
  <si>
    <t>F161264</t>
  </si>
  <si>
    <t>N/Factura F161265</t>
  </si>
  <si>
    <t>F161265</t>
  </si>
  <si>
    <t>N/Factura F161266</t>
  </si>
  <si>
    <t>F161266</t>
  </si>
  <si>
    <t>N/Factura F161267</t>
  </si>
  <si>
    <t>F161267</t>
  </si>
  <si>
    <t>N/Factura F161268</t>
  </si>
  <si>
    <t>F161268</t>
  </si>
  <si>
    <t>N/Factura F161269</t>
  </si>
  <si>
    <t>F161269</t>
  </si>
  <si>
    <t>N/Factura F161270</t>
  </si>
  <si>
    <t>F161270</t>
  </si>
  <si>
    <t>N/Factura F161271</t>
  </si>
  <si>
    <t>F161271</t>
  </si>
  <si>
    <t>N/Factura F161272</t>
  </si>
  <si>
    <t>F161272</t>
  </si>
  <si>
    <t>N/Factura F161273</t>
  </si>
  <si>
    <t>F161273</t>
  </si>
  <si>
    <t>N/Factura F161274</t>
  </si>
  <si>
    <t>F161274</t>
  </si>
  <si>
    <t>N/Factura F161275</t>
  </si>
  <si>
    <t>F161275</t>
  </si>
  <si>
    <t>ON 352433072 0302</t>
  </si>
  <si>
    <t>N/Factura F161276</t>
  </si>
  <si>
    <t>F161276</t>
  </si>
  <si>
    <t>N/Factura F161277</t>
  </si>
  <si>
    <t>F161277</t>
  </si>
  <si>
    <t>N/Factura F161278</t>
  </si>
  <si>
    <t>F161278</t>
  </si>
  <si>
    <t>N/Factura F161279</t>
  </si>
  <si>
    <t>F161279</t>
  </si>
  <si>
    <t>N/Factura F161280</t>
  </si>
  <si>
    <t>F161280</t>
  </si>
  <si>
    <t>N/Factura F161281</t>
  </si>
  <si>
    <t>F161281</t>
  </si>
  <si>
    <t>N/Factura F161282</t>
  </si>
  <si>
    <t>F161282</t>
  </si>
  <si>
    <t>N/Factura F161283</t>
  </si>
  <si>
    <t>F161283</t>
  </si>
  <si>
    <t>N/Factura F161284</t>
  </si>
  <si>
    <t>F161284</t>
  </si>
  <si>
    <t>N/Factura F161285</t>
  </si>
  <si>
    <t>F161285</t>
  </si>
  <si>
    <t>N/Factura F161286</t>
  </si>
  <si>
    <t>F161286</t>
  </si>
  <si>
    <t>N/Factura F161287</t>
  </si>
  <si>
    <t>F161287</t>
  </si>
  <si>
    <t>N/Factura F161288</t>
  </si>
  <si>
    <t>F161288</t>
  </si>
  <si>
    <t>N/Factura F161289</t>
  </si>
  <si>
    <t>F161289</t>
  </si>
  <si>
    <t>N/Factura F161290</t>
  </si>
  <si>
    <t>F161290</t>
  </si>
  <si>
    <t>ON 352433072 0402</t>
  </si>
  <si>
    <t>N/Factura F161291</t>
  </si>
  <si>
    <t>F161291</t>
  </si>
  <si>
    <t>N/Factura F161292</t>
  </si>
  <si>
    <t>F161292</t>
  </si>
  <si>
    <t>N/Factura F161293</t>
  </si>
  <si>
    <t>F161293</t>
  </si>
  <si>
    <t>N/Factura F161294</t>
  </si>
  <si>
    <t>F161294</t>
  </si>
  <si>
    <t>N/Factura F161295</t>
  </si>
  <si>
    <t>F161295</t>
  </si>
  <si>
    <t>N/Factura F161296</t>
  </si>
  <si>
    <t>F161296</t>
  </si>
  <si>
    <t>N/Factura F161297</t>
  </si>
  <si>
    <t>F161297</t>
  </si>
  <si>
    <t>N/Factura F161298</t>
  </si>
  <si>
    <t>F161298</t>
  </si>
  <si>
    <t>N/Factura F161299</t>
  </si>
  <si>
    <t>F161299</t>
  </si>
  <si>
    <t>N/Factura F161300</t>
  </si>
  <si>
    <t>F161300</t>
  </si>
  <si>
    <t>N/Factura F161301</t>
  </si>
  <si>
    <t>F161301</t>
  </si>
  <si>
    <t>N/Factura F161302</t>
  </si>
  <si>
    <t>F161302</t>
  </si>
  <si>
    <t>N/Factura F161303</t>
  </si>
  <si>
    <t>F161303</t>
  </si>
  <si>
    <t>N/Factura F161304</t>
  </si>
  <si>
    <t>F161304</t>
  </si>
  <si>
    <t>N/Factura F161305</t>
  </si>
  <si>
    <t>F161305</t>
  </si>
  <si>
    <t>N/Factura F161306</t>
  </si>
  <si>
    <t>F161306</t>
  </si>
  <si>
    <t>N/Factura F161307</t>
  </si>
  <si>
    <t>F161307</t>
  </si>
  <si>
    <t>N/Factura F161308</t>
  </si>
  <si>
    <t>F161308</t>
  </si>
  <si>
    <t>ON 352433072 0502</t>
  </si>
  <si>
    <t>N/Factura F161309</t>
  </si>
  <si>
    <t>F161309</t>
  </si>
  <si>
    <t>N/Factura F161310</t>
  </si>
  <si>
    <t>F161310</t>
  </si>
  <si>
    <t>N/Factura F161311</t>
  </si>
  <si>
    <t>F161311</t>
  </si>
  <si>
    <t>N/Factura F161312</t>
  </si>
  <si>
    <t>F161312</t>
  </si>
  <si>
    <t>N/Factura F161313</t>
  </si>
  <si>
    <t>F161313</t>
  </si>
  <si>
    <t>N/Factura F161314</t>
  </si>
  <si>
    <t>F161314</t>
  </si>
  <si>
    <t>N/Factura F161315</t>
  </si>
  <si>
    <t>F161315</t>
  </si>
  <si>
    <t>N/Factura F161316</t>
  </si>
  <si>
    <t>F161316</t>
  </si>
  <si>
    <t>N/Factura F161317</t>
  </si>
  <si>
    <t>F161317</t>
  </si>
  <si>
    <t>N/Factura F161318</t>
  </si>
  <si>
    <t>F161318</t>
  </si>
  <si>
    <t>N/Factura F161319</t>
  </si>
  <si>
    <t>F161319</t>
  </si>
  <si>
    <t>N/Factura F161320</t>
  </si>
  <si>
    <t>F161320</t>
  </si>
  <si>
    <t>N/Factura F161321</t>
  </si>
  <si>
    <t>F161321</t>
  </si>
  <si>
    <t>N/Factura F161322</t>
  </si>
  <si>
    <t>F161322</t>
  </si>
  <si>
    <t>N/Factura F161323</t>
  </si>
  <si>
    <t>F161323</t>
  </si>
  <si>
    <t>N/Factura F161324</t>
  </si>
  <si>
    <t>F161324</t>
  </si>
  <si>
    <t>N/Factura F161325</t>
  </si>
  <si>
    <t>F161325</t>
  </si>
  <si>
    <t>N/Factura F161326</t>
  </si>
  <si>
    <t>F161326</t>
  </si>
  <si>
    <t>ON 352433072 0602</t>
  </si>
  <si>
    <t>F-161306 SUMRRASSA</t>
  </si>
  <si>
    <t>ON 352433072 0702</t>
  </si>
  <si>
    <t>N/Factura F161327</t>
  </si>
  <si>
    <t>F161327</t>
  </si>
  <si>
    <t>N/Factura F161328</t>
  </si>
  <si>
    <t>F161328</t>
  </si>
  <si>
    <t>N/Factura F161329</t>
  </si>
  <si>
    <t>F161329</t>
  </si>
  <si>
    <t>N/Factura F161330</t>
  </si>
  <si>
    <t>F161330</t>
  </si>
  <si>
    <t>N/Factura F161331</t>
  </si>
  <si>
    <t>F161331</t>
  </si>
  <si>
    <t>N/Factura F161332</t>
  </si>
  <si>
    <t>F161332</t>
  </si>
  <si>
    <t>N/Factura F161333</t>
  </si>
  <si>
    <t>F161333</t>
  </si>
  <si>
    <t>N/Factura F161334</t>
  </si>
  <si>
    <t>F161334</t>
  </si>
  <si>
    <t>N/Factura F161335</t>
  </si>
  <si>
    <t>F161335</t>
  </si>
  <si>
    <t>N/Factura F161336</t>
  </si>
  <si>
    <t>F161336</t>
  </si>
  <si>
    <t>N/Factura F161337</t>
  </si>
  <si>
    <t>F161337</t>
  </si>
  <si>
    <t>N/Factura F161338</t>
  </si>
  <si>
    <t>F161338</t>
  </si>
  <si>
    <t>N/Factura F161339</t>
  </si>
  <si>
    <t>F161339</t>
  </si>
  <si>
    <t>N/Factura F161340</t>
  </si>
  <si>
    <t>F161340</t>
  </si>
  <si>
    <t>N/Factura F161341</t>
  </si>
  <si>
    <t>F161341</t>
  </si>
  <si>
    <t>N/Factura F161342</t>
  </si>
  <si>
    <t>F161342</t>
  </si>
  <si>
    <t>N/Factura F161343</t>
  </si>
  <si>
    <t>F161343</t>
  </si>
  <si>
    <t>N/Factura F161344</t>
  </si>
  <si>
    <t>F161344</t>
  </si>
  <si>
    <t>N/Factura F161345</t>
  </si>
  <si>
    <t>F161345</t>
  </si>
  <si>
    <t>N/Factura F161346</t>
  </si>
  <si>
    <t>F161346</t>
  </si>
  <si>
    <t>N/Factura F161347</t>
  </si>
  <si>
    <t>F161347</t>
  </si>
  <si>
    <t>N/Factura F161348</t>
  </si>
  <si>
    <t>F161348</t>
  </si>
  <si>
    <t>N/Factura F161349</t>
  </si>
  <si>
    <t>F161349</t>
  </si>
  <si>
    <t>N/Factura F161350</t>
  </si>
  <si>
    <t>F161350</t>
  </si>
  <si>
    <t>N/Factura F161351</t>
  </si>
  <si>
    <t>F161351</t>
  </si>
  <si>
    <t>N/Factura F161352</t>
  </si>
  <si>
    <t>F161352</t>
  </si>
  <si>
    <t>COMERC 362918963  REM 202502</t>
  </si>
  <si>
    <t>N/Factura F161353</t>
  </si>
  <si>
    <t>F161353</t>
  </si>
  <si>
    <t>N/Factura F161354</t>
  </si>
  <si>
    <t>F161354</t>
  </si>
  <si>
    <t>N/Factura F161355</t>
  </si>
  <si>
    <t>F161355</t>
  </si>
  <si>
    <t>N/Factura F161356</t>
  </si>
  <si>
    <t>F161356</t>
  </si>
  <si>
    <t>N/Factura F161357</t>
  </si>
  <si>
    <t>F161357</t>
  </si>
  <si>
    <t>N/Factura F161358</t>
  </si>
  <si>
    <t>F161358</t>
  </si>
  <si>
    <t>N/Factura F161359</t>
  </si>
  <si>
    <t>F161359</t>
  </si>
  <si>
    <t>N/Factura F161360</t>
  </si>
  <si>
    <t>F161360</t>
  </si>
  <si>
    <t>N/Factura F161361</t>
  </si>
  <si>
    <t>F161361</t>
  </si>
  <si>
    <t>N/Factura F161362</t>
  </si>
  <si>
    <t>F161362</t>
  </si>
  <si>
    <t>N/Factura F161363</t>
  </si>
  <si>
    <t>F161363</t>
  </si>
  <si>
    <t>N/Factura F161364</t>
  </si>
  <si>
    <t>F161364</t>
  </si>
  <si>
    <t>N/Factura F161365</t>
  </si>
  <si>
    <t>F161365</t>
  </si>
  <si>
    <t>N/Factura F161366</t>
  </si>
  <si>
    <t>F161366</t>
  </si>
  <si>
    <t>N/Factura F161367</t>
  </si>
  <si>
    <t>F161367</t>
  </si>
  <si>
    <t>N/Factura F161368</t>
  </si>
  <si>
    <t>F161368</t>
  </si>
  <si>
    <t>N/Factura F161369</t>
  </si>
  <si>
    <t>F161369</t>
  </si>
  <si>
    <t>N/Factura F161370</t>
  </si>
  <si>
    <t>F161370</t>
  </si>
  <si>
    <t>MOvan mantenimientos integra</t>
  </si>
  <si>
    <t>N/Factura F161371</t>
  </si>
  <si>
    <t>F161371</t>
  </si>
  <si>
    <t>N/Factura F161372</t>
  </si>
  <si>
    <t>F161372</t>
  </si>
  <si>
    <t>N/Factura F161373</t>
  </si>
  <si>
    <t>F161373</t>
  </si>
  <si>
    <t>N/Factura F161374</t>
  </si>
  <si>
    <t>F161374</t>
  </si>
  <si>
    <t>N/Factura F161375</t>
  </si>
  <si>
    <t>F161375</t>
  </si>
  <si>
    <t>N/Factura F161376</t>
  </si>
  <si>
    <t>F161376</t>
  </si>
  <si>
    <t>N/Factura F161377</t>
  </si>
  <si>
    <t>F161377</t>
  </si>
  <si>
    <t>N/Factura F161378</t>
  </si>
  <si>
    <t>F161378</t>
  </si>
  <si>
    <t>N/Factura F161379</t>
  </si>
  <si>
    <t>F161379</t>
  </si>
  <si>
    <t>N/Factura F161380</t>
  </si>
  <si>
    <t>F161380</t>
  </si>
  <si>
    <t>N/Factura F161381</t>
  </si>
  <si>
    <t>F161381</t>
  </si>
  <si>
    <t>N/Factura F161382</t>
  </si>
  <si>
    <t>F161382</t>
  </si>
  <si>
    <t>N/Factura F161383</t>
  </si>
  <si>
    <t>F161383</t>
  </si>
  <si>
    <t>N/Factura F161384</t>
  </si>
  <si>
    <t>F161384</t>
  </si>
  <si>
    <t>N/Factura F161385</t>
  </si>
  <si>
    <t>F161385</t>
  </si>
  <si>
    <t>N/Factura F161386</t>
  </si>
  <si>
    <t>F161386</t>
  </si>
  <si>
    <t>N/Factura F161387</t>
  </si>
  <si>
    <t>F161387</t>
  </si>
  <si>
    <t>N/Factura F161388</t>
  </si>
  <si>
    <t>F161388</t>
  </si>
  <si>
    <t>N/Factura F161389</t>
  </si>
  <si>
    <t>F161389</t>
  </si>
  <si>
    <t>N/Factura F161390</t>
  </si>
  <si>
    <t>F161390</t>
  </si>
  <si>
    <t>N/Factura F161391</t>
  </si>
  <si>
    <t>F161391</t>
  </si>
  <si>
    <t>N/Factura F161392</t>
  </si>
  <si>
    <t>F161392</t>
  </si>
  <si>
    <t>N/Factura F161393</t>
  </si>
  <si>
    <t>F161393</t>
  </si>
  <si>
    <t>N/Factura F161394</t>
  </si>
  <si>
    <t>F161394</t>
  </si>
  <si>
    <t>N/Factura F161395</t>
  </si>
  <si>
    <t>F161395</t>
  </si>
  <si>
    <t>N/Factura F161396</t>
  </si>
  <si>
    <t>F161396</t>
  </si>
  <si>
    <t>N/Factura F161397</t>
  </si>
  <si>
    <t>F161397</t>
  </si>
  <si>
    <t>N/Factura F161398</t>
  </si>
  <si>
    <t>F161398</t>
  </si>
  <si>
    <t>N/Factura F161399</t>
  </si>
  <si>
    <t>F161399</t>
  </si>
  <si>
    <t>N/Factura F161400</t>
  </si>
  <si>
    <t>F161400</t>
  </si>
  <si>
    <t>N/Factura F161401</t>
  </si>
  <si>
    <t>F161401</t>
  </si>
  <si>
    <t>N/Factura F161402</t>
  </si>
  <si>
    <t>F161402</t>
  </si>
  <si>
    <t>N/Factura F161403</t>
  </si>
  <si>
    <t>F161403</t>
  </si>
  <si>
    <t>N/Factura F161404</t>
  </si>
  <si>
    <t>F161404</t>
  </si>
  <si>
    <t>N/Factura F161405</t>
  </si>
  <si>
    <t>F161405</t>
  </si>
  <si>
    <t>N/Factura F161406</t>
  </si>
  <si>
    <t>F161406</t>
  </si>
  <si>
    <t>N/Factura F161407</t>
  </si>
  <si>
    <t>F161407</t>
  </si>
  <si>
    <t>N/Factura F161408</t>
  </si>
  <si>
    <t>F161408</t>
  </si>
  <si>
    <t>N/Factura F161409</t>
  </si>
  <si>
    <t>F161409</t>
  </si>
  <si>
    <t>N/Factura F161410</t>
  </si>
  <si>
    <t>F161410</t>
  </si>
  <si>
    <t>N/Factura F161411</t>
  </si>
  <si>
    <t>F161411</t>
  </si>
  <si>
    <t>N/Factura F161412</t>
  </si>
  <si>
    <t>F161412</t>
  </si>
  <si>
    <t>N/Factura F161413</t>
  </si>
  <si>
    <t>F161413</t>
  </si>
  <si>
    <t>N/Factura F161414</t>
  </si>
  <si>
    <t>F161414</t>
  </si>
  <si>
    <t>N/Factura F161415</t>
  </si>
  <si>
    <t>F161415</t>
  </si>
  <si>
    <t>N/Factura F161416</t>
  </si>
  <si>
    <t>F161416</t>
  </si>
  <si>
    <t>N/Factura F161417</t>
  </si>
  <si>
    <t>F161417</t>
  </si>
  <si>
    <t>N/Factura F161418</t>
  </si>
  <si>
    <t>F161418</t>
  </si>
  <si>
    <t>N/Factura F161419</t>
  </si>
  <si>
    <t>F161419</t>
  </si>
  <si>
    <t>N/Factura F161420</t>
  </si>
  <si>
    <t>F161420</t>
  </si>
  <si>
    <t>N/Factura F161421</t>
  </si>
  <si>
    <t>F161421</t>
  </si>
  <si>
    <t>N/Factura F161422</t>
  </si>
  <si>
    <t>F161422</t>
  </si>
  <si>
    <t>N/Factura F161423</t>
  </si>
  <si>
    <t>F161423</t>
  </si>
  <si>
    <t>N/Factura F161424</t>
  </si>
  <si>
    <t>F161424</t>
  </si>
  <si>
    <t>N/Factura F161425</t>
  </si>
  <si>
    <t>F161425</t>
  </si>
  <si>
    <t>N/Factura F161426</t>
  </si>
  <si>
    <t>F161426</t>
  </si>
  <si>
    <t>N/Factura F161427</t>
  </si>
  <si>
    <t>F161427</t>
  </si>
  <si>
    <t>N/Factura F161733</t>
  </si>
  <si>
    <t>F161733</t>
  </si>
  <si>
    <t>N/Factura F161734</t>
  </si>
  <si>
    <t>F161734</t>
  </si>
  <si>
    <t>N/Factura F161735</t>
  </si>
  <si>
    <t>F161735</t>
  </si>
  <si>
    <t>N/Factura F161736</t>
  </si>
  <si>
    <t>F161736</t>
  </si>
  <si>
    <t>N/Factura F161737</t>
  </si>
  <si>
    <t>F161737</t>
  </si>
  <si>
    <t>N/Factura F161738</t>
  </si>
  <si>
    <t>F161738</t>
  </si>
  <si>
    <t>N/Factura F161739</t>
  </si>
  <si>
    <t>F161739</t>
  </si>
  <si>
    <t>N/Factura F161740</t>
  </si>
  <si>
    <t>F161740</t>
  </si>
  <si>
    <t>N/Factura F161741</t>
  </si>
  <si>
    <t>F161741</t>
  </si>
  <si>
    <t>N/Factura F161742</t>
  </si>
  <si>
    <t>F161742</t>
  </si>
  <si>
    <t>N/Factura F161743</t>
  </si>
  <si>
    <t>F161743</t>
  </si>
  <si>
    <t>N/Factura F161744</t>
  </si>
  <si>
    <t>F161744</t>
  </si>
  <si>
    <t>N/Factura F161745</t>
  </si>
  <si>
    <t>F161745</t>
  </si>
  <si>
    <t>N/Factura F161746</t>
  </si>
  <si>
    <t>F161746</t>
  </si>
  <si>
    <t>N/Factura F161747</t>
  </si>
  <si>
    <t>F161747</t>
  </si>
  <si>
    <t>N/Factura F161748</t>
  </si>
  <si>
    <t>F161748</t>
  </si>
  <si>
    <t>N/Factura F161749</t>
  </si>
  <si>
    <t>F161749</t>
  </si>
  <si>
    <t>N/Factura F161750</t>
  </si>
  <si>
    <t>F161750</t>
  </si>
  <si>
    <t>N/Factura F161751</t>
  </si>
  <si>
    <t>F161751</t>
  </si>
  <si>
    <t>N/Factura F161752</t>
  </si>
  <si>
    <t>F161752</t>
  </si>
  <si>
    <t>N/Factura F161753</t>
  </si>
  <si>
    <t>F161753</t>
  </si>
  <si>
    <t>N/Factura F161754</t>
  </si>
  <si>
    <t>F161754</t>
  </si>
  <si>
    <t>N/Factura F161755</t>
  </si>
  <si>
    <t>F161755</t>
  </si>
  <si>
    <t>N/Factura F161756</t>
  </si>
  <si>
    <t>F161756</t>
  </si>
  <si>
    <t>N/Factura F161757</t>
  </si>
  <si>
    <t>F161757</t>
  </si>
  <si>
    <t>N/Factura F161758</t>
  </si>
  <si>
    <t>F161758</t>
  </si>
  <si>
    <t>N/Factura F161759</t>
  </si>
  <si>
    <t>F161759</t>
  </si>
  <si>
    <t>N/Factura F161760</t>
  </si>
  <si>
    <t>F161760</t>
  </si>
  <si>
    <t>N/Factura F161761</t>
  </si>
  <si>
    <t>F161761</t>
  </si>
  <si>
    <t>N/Factura F161762</t>
  </si>
  <si>
    <t>F161762</t>
  </si>
  <si>
    <t>N/Factura F161763</t>
  </si>
  <si>
    <t>F161763</t>
  </si>
  <si>
    <t>N/Factura F161764</t>
  </si>
  <si>
    <t>F161764</t>
  </si>
  <si>
    <t>N/Factura F161765</t>
  </si>
  <si>
    <t>F161765</t>
  </si>
  <si>
    <t>N/Factura F161766</t>
  </si>
  <si>
    <t>F161766</t>
  </si>
  <si>
    <t>N/Factura F161767</t>
  </si>
  <si>
    <t>F161767</t>
  </si>
  <si>
    <t>N/Factura F161768</t>
  </si>
  <si>
    <t>F161768</t>
  </si>
  <si>
    <t>N/Factura F161769</t>
  </si>
  <si>
    <t>F161769</t>
  </si>
  <si>
    <t>N/Factura F161770</t>
  </si>
  <si>
    <t>F161770</t>
  </si>
  <si>
    <t>N/Factura F161771</t>
  </si>
  <si>
    <t>F161771</t>
  </si>
  <si>
    <t>N/Factura F161772</t>
  </si>
  <si>
    <t>F161772</t>
  </si>
  <si>
    <t>N/Factura F161773</t>
  </si>
  <si>
    <t>F161773</t>
  </si>
  <si>
    <t>OFERTA 9990</t>
  </si>
  <si>
    <t>N/Factura F161774</t>
  </si>
  <si>
    <t>F161774</t>
  </si>
  <si>
    <t>N/Factura F161775</t>
  </si>
  <si>
    <t>F161775</t>
  </si>
  <si>
    <t>N/Factura F161776</t>
  </si>
  <si>
    <t>F161776</t>
  </si>
  <si>
    <t>N/Factura F161777</t>
  </si>
  <si>
    <t>F161777</t>
  </si>
  <si>
    <t>N/Factura F161778</t>
  </si>
  <si>
    <t>F161778</t>
  </si>
  <si>
    <t>N/Factura F161779</t>
  </si>
  <si>
    <t>F161779</t>
  </si>
  <si>
    <t>N/Factura F161780</t>
  </si>
  <si>
    <t>F161780</t>
  </si>
  <si>
    <t>N/Factura F161781</t>
  </si>
  <si>
    <t>F161781</t>
  </si>
  <si>
    <t>N/Factura F161782</t>
  </si>
  <si>
    <t>F161782</t>
  </si>
  <si>
    <t>N/Factura F161783</t>
  </si>
  <si>
    <t>F161783</t>
  </si>
  <si>
    <t>N/Factura F161784</t>
  </si>
  <si>
    <t>F161784</t>
  </si>
  <si>
    <t>N/Factura F161785</t>
  </si>
  <si>
    <t>F161785</t>
  </si>
  <si>
    <t>N/Factura F161786</t>
  </si>
  <si>
    <t>F161786</t>
  </si>
  <si>
    <t>N/Factura F161787</t>
  </si>
  <si>
    <t>F161787</t>
  </si>
  <si>
    <t>N/Factura F161788</t>
  </si>
  <si>
    <t>F161788</t>
  </si>
  <si>
    <t>N/Factura F161789</t>
  </si>
  <si>
    <t>F161789</t>
  </si>
  <si>
    <t>N/Factura F161790</t>
  </si>
  <si>
    <t>F161790</t>
  </si>
  <si>
    <t>N/Factura F161791</t>
  </si>
  <si>
    <t>F161791</t>
  </si>
  <si>
    <t>N/Factura F161792</t>
  </si>
  <si>
    <t>F161792</t>
  </si>
  <si>
    <t>N/Factura F161793</t>
  </si>
  <si>
    <t>N/Factura F161794</t>
  </si>
  <si>
    <t>F161794</t>
  </si>
  <si>
    <t>N/Factura F161795</t>
  </si>
  <si>
    <t>F161795</t>
  </si>
  <si>
    <t>N/Factura F161796</t>
  </si>
  <si>
    <t>F161796</t>
  </si>
  <si>
    <t>N/Factura F161797</t>
  </si>
  <si>
    <t>F161797</t>
  </si>
  <si>
    <t>N/Factura F161798</t>
  </si>
  <si>
    <t>F161798</t>
  </si>
  <si>
    <t>N/Factura F161799</t>
  </si>
  <si>
    <t>F161799</t>
  </si>
  <si>
    <t>N/Factura F161800</t>
  </si>
  <si>
    <t>F161800</t>
  </si>
  <si>
    <t>F142112</t>
  </si>
  <si>
    <t>N/Factura F161801</t>
  </si>
  <si>
    <t>F161801</t>
  </si>
  <si>
    <t>N/Factura F161802</t>
  </si>
  <si>
    <t>F161802</t>
  </si>
  <si>
    <t>N/Factura F161803</t>
  </si>
  <si>
    <t>F161803</t>
  </si>
  <si>
    <t>N/Factura F161804</t>
  </si>
  <si>
    <t>F161804</t>
  </si>
  <si>
    <t>N/Factura F161805</t>
  </si>
  <si>
    <t>F161805</t>
  </si>
  <si>
    <t>N/Factura F161806</t>
  </si>
  <si>
    <t>F161806</t>
  </si>
  <si>
    <t>N/Factura F161807</t>
  </si>
  <si>
    <t>F161807</t>
  </si>
  <si>
    <t>N/Factura F161808</t>
  </si>
  <si>
    <t>F161808</t>
  </si>
  <si>
    <t>N/Factura F161809</t>
  </si>
  <si>
    <t>F161809</t>
  </si>
  <si>
    <t>N/Factura F161810</t>
  </si>
  <si>
    <t>F161810</t>
  </si>
  <si>
    <t>N/Factura F161811</t>
  </si>
  <si>
    <t>F161811</t>
  </si>
  <si>
    <t>N/Factura F161812</t>
  </si>
  <si>
    <t>F161812</t>
  </si>
  <si>
    <t>N/Factura F161813</t>
  </si>
  <si>
    <t>F161813</t>
  </si>
  <si>
    <t>N/Factura F161814</t>
  </si>
  <si>
    <t>F161814</t>
  </si>
  <si>
    <t>N/Factura F161815</t>
  </si>
  <si>
    <t>F161815</t>
  </si>
  <si>
    <t>N/Factura F161816</t>
  </si>
  <si>
    <t>F161816</t>
  </si>
  <si>
    <t>N/Factura F161817</t>
  </si>
  <si>
    <t>F161817</t>
  </si>
  <si>
    <t>N/Factura F161818</t>
  </si>
  <si>
    <t>F161818</t>
  </si>
  <si>
    <t>N/Factura F161819</t>
  </si>
  <si>
    <t>F161819</t>
  </si>
  <si>
    <t>N/Factura F161820</t>
  </si>
  <si>
    <t>F161820</t>
  </si>
  <si>
    <t>N/Factura F161821</t>
  </si>
  <si>
    <t>F161821</t>
  </si>
  <si>
    <t>N/Factura F161822</t>
  </si>
  <si>
    <t>F161822</t>
  </si>
  <si>
    <t>N/Factura F161823</t>
  </si>
  <si>
    <t>F161823</t>
  </si>
  <si>
    <t>N/Factura F161824</t>
  </si>
  <si>
    <t>F161824</t>
  </si>
  <si>
    <t>N/Factura F161825</t>
  </si>
  <si>
    <t>F161825</t>
  </si>
  <si>
    <t>N/Factura F161826</t>
  </si>
  <si>
    <t>F161826</t>
  </si>
  <si>
    <t>N/Factura F161827</t>
  </si>
  <si>
    <t>F161827</t>
  </si>
  <si>
    <t>N/Factura F161828</t>
  </si>
  <si>
    <t>F161828</t>
  </si>
  <si>
    <t>N/Factura F161829</t>
  </si>
  <si>
    <t>F161829</t>
  </si>
  <si>
    <t>N/Factura F161830</t>
  </si>
  <si>
    <t>F161830</t>
  </si>
  <si>
    <t>N/Factura F161831</t>
  </si>
  <si>
    <t>F161831</t>
  </si>
  <si>
    <t>N/Factura F161832</t>
  </si>
  <si>
    <t>F161832</t>
  </si>
  <si>
    <t>N/Factura F161833</t>
  </si>
  <si>
    <t>F161833</t>
  </si>
  <si>
    <t>N/Factura F161834</t>
  </si>
  <si>
    <t>F161834</t>
  </si>
  <si>
    <t>N/Factura F161835</t>
  </si>
  <si>
    <t>F161835</t>
  </si>
  <si>
    <t>N/Factura F161836</t>
  </si>
  <si>
    <t>F161836</t>
  </si>
  <si>
    <t>N/Factura F161837</t>
  </si>
  <si>
    <t>F161837</t>
  </si>
  <si>
    <t>N/Factura F161838</t>
  </si>
  <si>
    <t>F161838</t>
  </si>
  <si>
    <t>N/Factura F161839</t>
  </si>
  <si>
    <t>F161839</t>
  </si>
  <si>
    <t>N/Factura F161840</t>
  </si>
  <si>
    <t>F161840</t>
  </si>
  <si>
    <t>N/Factura F161841</t>
  </si>
  <si>
    <t>F161841</t>
  </si>
  <si>
    <t>N/Factura F161842</t>
  </si>
  <si>
    <t>F161842</t>
  </si>
  <si>
    <t>N/Factura F161843</t>
  </si>
  <si>
    <t>F161843</t>
  </si>
  <si>
    <t>N/Factura F161844</t>
  </si>
  <si>
    <t>F161844</t>
  </si>
  <si>
    <t>N/Factura F161845</t>
  </si>
  <si>
    <t>F161845</t>
  </si>
  <si>
    <t>N/Factura F161846</t>
  </si>
  <si>
    <t>F161846</t>
  </si>
  <si>
    <t>N/Factura F161847</t>
  </si>
  <si>
    <t>F161847</t>
  </si>
  <si>
    <t>N/Factura F161848</t>
  </si>
  <si>
    <t>F161848</t>
  </si>
  <si>
    <t>N/Factura F161849</t>
  </si>
  <si>
    <t>F161849</t>
  </si>
  <si>
    <t>N/Factura F161850</t>
  </si>
  <si>
    <t>F161850</t>
  </si>
  <si>
    <t>N/Factura F161851</t>
  </si>
  <si>
    <t>F161851</t>
  </si>
  <si>
    <t>N/Factura F161852</t>
  </si>
  <si>
    <t>F161852</t>
  </si>
  <si>
    <t>N/Factura F161853</t>
  </si>
  <si>
    <t>F161853</t>
  </si>
  <si>
    <t>N/Factura F161854</t>
  </si>
  <si>
    <t>F161854</t>
  </si>
  <si>
    <t>N/Factura F161855</t>
  </si>
  <si>
    <t>F161855</t>
  </si>
  <si>
    <t>N/Factura F161856</t>
  </si>
  <si>
    <t>F161856</t>
  </si>
  <si>
    <t>N/Factura F161857</t>
  </si>
  <si>
    <t>F161857</t>
  </si>
  <si>
    <t>N/Factura F161858</t>
  </si>
  <si>
    <t>F161858</t>
  </si>
  <si>
    <t>N/Factura F161859</t>
  </si>
  <si>
    <t>F161859</t>
  </si>
  <si>
    <t>N/Factura F161860</t>
  </si>
  <si>
    <t>F161860</t>
  </si>
  <si>
    <t>N/Factura F161861</t>
  </si>
  <si>
    <t>F161861</t>
  </si>
  <si>
    <t>N/Factura F161862</t>
  </si>
  <si>
    <t>F161862</t>
  </si>
  <si>
    <t>N/Factura F161863</t>
  </si>
  <si>
    <t>F161863</t>
  </si>
  <si>
    <t>N/Factura F161864</t>
  </si>
  <si>
    <t>F161864</t>
  </si>
  <si>
    <t>PEdro andres armesto vizcain</t>
  </si>
  <si>
    <t>N/Factura F161865</t>
  </si>
  <si>
    <t>F161865</t>
  </si>
  <si>
    <t>N/Factura F161866</t>
  </si>
  <si>
    <t>F161866</t>
  </si>
  <si>
    <t>N/Factura F161867</t>
  </si>
  <si>
    <t>F161867</t>
  </si>
  <si>
    <t>N/Factura F161868</t>
  </si>
  <si>
    <t>F161868</t>
  </si>
  <si>
    <t>N/Factura F161869</t>
  </si>
  <si>
    <t>F161869</t>
  </si>
  <si>
    <t>N/Factura F161870</t>
  </si>
  <si>
    <t>F161870</t>
  </si>
  <si>
    <t>N/Factura F161871</t>
  </si>
  <si>
    <t>F161871</t>
  </si>
  <si>
    <t>N/Factura F161872</t>
  </si>
  <si>
    <t>F161872</t>
  </si>
  <si>
    <t>N/Factura F161873</t>
  </si>
  <si>
    <t>F161873</t>
  </si>
  <si>
    <t>N/Factura F161874</t>
  </si>
  <si>
    <t>F161874</t>
  </si>
  <si>
    <t>N/Factura F161875</t>
  </si>
  <si>
    <t>F161875</t>
  </si>
  <si>
    <t>N/Factura F161876</t>
  </si>
  <si>
    <t>F161876</t>
  </si>
  <si>
    <t>N/Factura F161877</t>
  </si>
  <si>
    <t>F161877</t>
  </si>
  <si>
    <t>N/Factura F161878</t>
  </si>
  <si>
    <t>F161878</t>
  </si>
  <si>
    <t>N/Factura F161879</t>
  </si>
  <si>
    <t>F161879</t>
  </si>
  <si>
    <t>N/Factura F161880</t>
  </si>
  <si>
    <t>F161880</t>
  </si>
  <si>
    <t>N/Factura F161881</t>
  </si>
  <si>
    <t>F161881</t>
  </si>
  <si>
    <t>N/Factura F161882</t>
  </si>
  <si>
    <t>F161882</t>
  </si>
  <si>
    <t>N/Factura F161883</t>
  </si>
  <si>
    <t>F161883</t>
  </si>
  <si>
    <t>N/Factura F161884</t>
  </si>
  <si>
    <t>F161884</t>
  </si>
  <si>
    <t>N/Factura F161885</t>
  </si>
  <si>
    <t>F161885</t>
  </si>
  <si>
    <t>N/Factura F161886</t>
  </si>
  <si>
    <t>F161886</t>
  </si>
  <si>
    <t>N/Factura F161887</t>
  </si>
  <si>
    <t>F161887</t>
  </si>
  <si>
    <t>N/Factura F161888</t>
  </si>
  <si>
    <t>F161888</t>
  </si>
  <si>
    <t>N/Factura F161889</t>
  </si>
  <si>
    <t>F161889</t>
  </si>
  <si>
    <t>N/Factura F161890</t>
  </si>
  <si>
    <t>F161890</t>
  </si>
  <si>
    <t>N/Factura F161891</t>
  </si>
  <si>
    <t>F161891</t>
  </si>
  <si>
    <t>N/Factura F161892</t>
  </si>
  <si>
    <t>F161892</t>
  </si>
  <si>
    <t>N/Factura F161893</t>
  </si>
  <si>
    <t>F161893</t>
  </si>
  <si>
    <t>N/Factura F161894</t>
  </si>
  <si>
    <t>F161894</t>
  </si>
  <si>
    <t>N/Factura F162202</t>
  </si>
  <si>
    <t>F162202</t>
  </si>
  <si>
    <t>N/Factura F162203</t>
  </si>
  <si>
    <t>F162203</t>
  </si>
  <si>
    <t>N/Factura F162204</t>
  </si>
  <si>
    <t>F162204</t>
  </si>
  <si>
    <t>N/Factura F162205</t>
  </si>
  <si>
    <t>F162205</t>
  </si>
  <si>
    <t>N/Factura F162206</t>
  </si>
  <si>
    <t>F162206</t>
  </si>
  <si>
    <t>N/Factura F162207</t>
  </si>
  <si>
    <t>F162207</t>
  </si>
  <si>
    <t>N/Factura F162208</t>
  </si>
  <si>
    <t>F162208</t>
  </si>
  <si>
    <t>N/Factura F162209</t>
  </si>
  <si>
    <t>F162209</t>
  </si>
  <si>
    <t>N/Factura F162210</t>
  </si>
  <si>
    <t>F162210</t>
  </si>
  <si>
    <t>N/Factura F162211</t>
  </si>
  <si>
    <t>F162211</t>
  </si>
  <si>
    <t>N/Factura F162212</t>
  </si>
  <si>
    <t>F162212</t>
  </si>
  <si>
    <t>N/Factura F162213</t>
  </si>
  <si>
    <t>F162213</t>
  </si>
  <si>
    <t>N/Factura F162214</t>
  </si>
  <si>
    <t>F162214</t>
  </si>
  <si>
    <t>N/Factura F162215</t>
  </si>
  <si>
    <t>F162215</t>
  </si>
  <si>
    <t>N/Factura F162216</t>
  </si>
  <si>
    <t>F162216</t>
  </si>
  <si>
    <t>N/Factura F162217</t>
  </si>
  <si>
    <t>F162217</t>
  </si>
  <si>
    <t>N/Factura F162218</t>
  </si>
  <si>
    <t>F162218</t>
  </si>
  <si>
    <t>N/Factura F162219</t>
  </si>
  <si>
    <t>F162219</t>
  </si>
  <si>
    <t>N/Factura F162220</t>
  </si>
  <si>
    <t>F162220</t>
  </si>
  <si>
    <t>N/Factura F162221</t>
  </si>
  <si>
    <t>F162221</t>
  </si>
  <si>
    <t>N/Factura F162222</t>
  </si>
  <si>
    <t>F162222</t>
  </si>
  <si>
    <t>N/Factura F162223</t>
  </si>
  <si>
    <t>F162223</t>
  </si>
  <si>
    <t>COMERC 362918963  REM 202503</t>
  </si>
  <si>
    <t>N/Factura F162224</t>
  </si>
  <si>
    <t>F162224</t>
  </si>
  <si>
    <t>N/Factura F162225</t>
  </si>
  <si>
    <t>F162225</t>
  </si>
  <si>
    <t>N/Factura F162226</t>
  </si>
  <si>
    <t>F162226</t>
  </si>
  <si>
    <t>N/Factura F162227</t>
  </si>
  <si>
    <t>F162227</t>
  </si>
  <si>
    <t>N/Factura F162228</t>
  </si>
  <si>
    <t>F162228</t>
  </si>
  <si>
    <t>N/Factura F162229</t>
  </si>
  <si>
    <t>F162229</t>
  </si>
  <si>
    <t>N/Factura F162230</t>
  </si>
  <si>
    <t>F162230</t>
  </si>
  <si>
    <t>N/Factura F162231</t>
  </si>
  <si>
    <t>F162231</t>
  </si>
  <si>
    <t>N/Factura F162232</t>
  </si>
  <si>
    <t>F162232</t>
  </si>
  <si>
    <t>N/Factura F162233</t>
  </si>
  <si>
    <t>F162233</t>
  </si>
  <si>
    <t>N/Factura F162234</t>
  </si>
  <si>
    <t>F162234</t>
  </si>
  <si>
    <t>N/Factura F162235</t>
  </si>
  <si>
    <t>F162235</t>
  </si>
  <si>
    <t>N/Factura F162236</t>
  </si>
  <si>
    <t>F162236</t>
  </si>
  <si>
    <t>N/Factura F162237</t>
  </si>
  <si>
    <t>F162237</t>
  </si>
  <si>
    <t>N/Factura F162238</t>
  </si>
  <si>
    <t>F162238</t>
  </si>
  <si>
    <t>N/Factura F162239</t>
  </si>
  <si>
    <t>F162239</t>
  </si>
  <si>
    <t>N/Factura F162240</t>
  </si>
  <si>
    <t>F162240</t>
  </si>
  <si>
    <t>N/Factura F162241</t>
  </si>
  <si>
    <t>F162241</t>
  </si>
  <si>
    <t>N/Factura F162242</t>
  </si>
  <si>
    <t>F162242</t>
  </si>
  <si>
    <t>N/Factura F162243</t>
  </si>
  <si>
    <t>F162243</t>
  </si>
  <si>
    <t>N/Factura F162244</t>
  </si>
  <si>
    <t>F162244</t>
  </si>
  <si>
    <t>N/Factura F162245</t>
  </si>
  <si>
    <t>F162245</t>
  </si>
  <si>
    <t>N/Factura F162246</t>
  </si>
  <si>
    <t>F162246</t>
  </si>
  <si>
    <t>N/Factura F162247</t>
  </si>
  <si>
    <t>F162247</t>
  </si>
  <si>
    <t>N/Factura F162248</t>
  </si>
  <si>
    <t>F162248</t>
  </si>
  <si>
    <t>N/Factura F162249</t>
  </si>
  <si>
    <t>F162249</t>
  </si>
  <si>
    <t>N/Factura F162250</t>
  </si>
  <si>
    <t>F162250</t>
  </si>
  <si>
    <t>N/Factura F162251</t>
  </si>
  <si>
    <t>F162251</t>
  </si>
  <si>
    <t>N/Factura F162252</t>
  </si>
  <si>
    <t>F162252</t>
  </si>
  <si>
    <t>N/Factura F162253</t>
  </si>
  <si>
    <t>F162253</t>
  </si>
  <si>
    <t>N/Factura F162254</t>
  </si>
  <si>
    <t>F162254</t>
  </si>
  <si>
    <t>N/Factura F162255</t>
  </si>
  <si>
    <t>F162255</t>
  </si>
  <si>
    <t>N/Factura F162256</t>
  </si>
  <si>
    <t>F162256</t>
  </si>
  <si>
    <t>N/Factura F162257</t>
  </si>
  <si>
    <t>F162257</t>
  </si>
  <si>
    <t>N/Factura F162258</t>
  </si>
  <si>
    <t>F162258</t>
  </si>
  <si>
    <t>N/Factura F162259</t>
  </si>
  <si>
    <t>F162259</t>
  </si>
  <si>
    <t>N/Factura F162260</t>
  </si>
  <si>
    <t>F162260</t>
  </si>
  <si>
    <t>N/Factura F162261</t>
  </si>
  <si>
    <t>F162261</t>
  </si>
  <si>
    <t>N/Factura F162262</t>
  </si>
  <si>
    <t>F162262</t>
  </si>
  <si>
    <t>N/Factura F162263</t>
  </si>
  <si>
    <t>F162263</t>
  </si>
  <si>
    <t>N/Factura F162264</t>
  </si>
  <si>
    <t>F162264</t>
  </si>
  <si>
    <t>N/Factura F162265</t>
  </si>
  <si>
    <t>F162265</t>
  </si>
  <si>
    <t>N/Factura F162266</t>
  </si>
  <si>
    <t>F162266</t>
  </si>
  <si>
    <t>N/Factura F162267</t>
  </si>
  <si>
    <t>F162267</t>
  </si>
  <si>
    <t>N/Factura F162268</t>
  </si>
  <si>
    <t>F162268</t>
  </si>
  <si>
    <t>N/Factura F162269</t>
  </si>
  <si>
    <t>F162269</t>
  </si>
  <si>
    <t>N/Factura F162270</t>
  </si>
  <si>
    <t>F162270</t>
  </si>
  <si>
    <t>N/Factura F162271</t>
  </si>
  <si>
    <t>F162271</t>
  </si>
  <si>
    <t>N/Factura F162272</t>
  </si>
  <si>
    <t>F162272</t>
  </si>
  <si>
    <t>N/Factura F162273</t>
  </si>
  <si>
    <t>F162273</t>
  </si>
  <si>
    <t>N/Factura F162274</t>
  </si>
  <si>
    <t>F162274</t>
  </si>
  <si>
    <t>N/Factura F162275</t>
  </si>
  <si>
    <t>F162275</t>
  </si>
  <si>
    <t>N/Factura F162276</t>
  </si>
  <si>
    <t>F162276</t>
  </si>
  <si>
    <t>N/Factura F162277</t>
  </si>
  <si>
    <t>F162277</t>
  </si>
  <si>
    <t>N/Factura F162278</t>
  </si>
  <si>
    <t>F162278</t>
  </si>
  <si>
    <t>N/Factura F162279</t>
  </si>
  <si>
    <t>F162279</t>
  </si>
  <si>
    <t>N/Factura F162280</t>
  </si>
  <si>
    <t>F162280</t>
  </si>
  <si>
    <t>N/Factura F162281</t>
  </si>
  <si>
    <t>F162281</t>
  </si>
  <si>
    <t>N/Factura F162282</t>
  </si>
  <si>
    <t>F162282</t>
  </si>
  <si>
    <t>N/Factura F162283</t>
  </si>
  <si>
    <t>F162283</t>
  </si>
  <si>
    <t>N/Factura F162284</t>
  </si>
  <si>
    <t>F162284</t>
  </si>
  <si>
    <t>N/Factura F162285</t>
  </si>
  <si>
    <t>F162285</t>
  </si>
  <si>
    <t>N/Factura F162286</t>
  </si>
  <si>
    <t>F162286</t>
  </si>
  <si>
    <t>N/Factura F162287</t>
  </si>
  <si>
    <t>F162287</t>
  </si>
  <si>
    <t>N/Factura F162288</t>
  </si>
  <si>
    <t>F162288</t>
  </si>
  <si>
    <t>N/Factura F162289</t>
  </si>
  <si>
    <t>F162289</t>
  </si>
  <si>
    <t>N/Factura F162290</t>
  </si>
  <si>
    <t>F162290</t>
  </si>
  <si>
    <t>N/Factura F162291</t>
  </si>
  <si>
    <t>F162291</t>
  </si>
  <si>
    <t>N/Factura F162292</t>
  </si>
  <si>
    <t>F162292</t>
  </si>
  <si>
    <t>N/Factura F162293</t>
  </si>
  <si>
    <t>F162293</t>
  </si>
  <si>
    <t>N/Factura F162294</t>
  </si>
  <si>
    <t>F162294</t>
  </si>
  <si>
    <t>N/Factura F162295</t>
  </si>
  <si>
    <t>F162295</t>
  </si>
  <si>
    <t>N/Factura F162296</t>
  </si>
  <si>
    <t>F162296</t>
  </si>
  <si>
    <t>N/Factura F162297</t>
  </si>
  <si>
    <t>F162297</t>
  </si>
  <si>
    <t>N/Factura F162298</t>
  </si>
  <si>
    <t>F162298</t>
  </si>
  <si>
    <t>N/Factura F162299</t>
  </si>
  <si>
    <t>F162299</t>
  </si>
  <si>
    <t>N/Factura F162300</t>
  </si>
  <si>
    <t>F162300</t>
  </si>
  <si>
    <t>N/Factura F162301</t>
  </si>
  <si>
    <t>F162301</t>
  </si>
  <si>
    <t>N/Factura F162302</t>
  </si>
  <si>
    <t>F162302</t>
  </si>
  <si>
    <t>N/Factura F162303</t>
  </si>
  <si>
    <t>F162303</t>
  </si>
  <si>
    <t>N/Factura F162304</t>
  </si>
  <si>
    <t>F162304</t>
  </si>
  <si>
    <t>N/Factura F162305</t>
  </si>
  <si>
    <t>F162305</t>
  </si>
  <si>
    <t>N/Factura F162306</t>
  </si>
  <si>
    <t>F162306</t>
  </si>
  <si>
    <t>N/Factura F162307</t>
  </si>
  <si>
    <t>F162307</t>
  </si>
  <si>
    <t>N/Factura F162308</t>
  </si>
  <si>
    <t>F162308</t>
  </si>
  <si>
    <t>N/Factura F162309</t>
  </si>
  <si>
    <t>F162309</t>
  </si>
  <si>
    <t>N/Factura F162310</t>
  </si>
  <si>
    <t>F162310</t>
  </si>
  <si>
    <t>N/Factura F162311</t>
  </si>
  <si>
    <t>F162311</t>
  </si>
  <si>
    <t>N/Factura F162312</t>
  </si>
  <si>
    <t>F162312</t>
  </si>
  <si>
    <t>N/Factura F162313</t>
  </si>
  <si>
    <t>F162313</t>
  </si>
  <si>
    <t>N/Factura F162314</t>
  </si>
  <si>
    <t>F162314</t>
  </si>
  <si>
    <t>N/Factura F162315</t>
  </si>
  <si>
    <t>F162315</t>
  </si>
  <si>
    <t>N/Factura F162316</t>
  </si>
  <si>
    <t>F162316</t>
  </si>
  <si>
    <t>N/Factura F162317</t>
  </si>
  <si>
    <t>F162317</t>
  </si>
  <si>
    <t>N/Factura F162318</t>
  </si>
  <si>
    <t>F162318</t>
  </si>
  <si>
    <t>N/Factura F162319</t>
  </si>
  <si>
    <t>F162319</t>
  </si>
  <si>
    <t>N/Factura F162320</t>
  </si>
  <si>
    <t>F162320</t>
  </si>
  <si>
    <t>N/Factura F162321</t>
  </si>
  <si>
    <t>F162321</t>
  </si>
  <si>
    <t>N/Factura F162322</t>
  </si>
  <si>
    <t>F162322</t>
  </si>
  <si>
    <t>N/Factura F162323</t>
  </si>
  <si>
    <t>F162323</t>
  </si>
  <si>
    <t>N/Factura F162324</t>
  </si>
  <si>
    <t>F162324</t>
  </si>
  <si>
    <t>N/Factura F162325</t>
  </si>
  <si>
    <t>F162325</t>
  </si>
  <si>
    <t>N/Factura F162326</t>
  </si>
  <si>
    <t>F162326</t>
  </si>
  <si>
    <t>N/Factura F162327</t>
  </si>
  <si>
    <t>F162327</t>
  </si>
  <si>
    <t>N/Factura F162328</t>
  </si>
  <si>
    <t>F162328</t>
  </si>
  <si>
    <t>N/Factura F162329</t>
  </si>
  <si>
    <t>F162329</t>
  </si>
  <si>
    <t>N/Factura F162330</t>
  </si>
  <si>
    <t>F162330</t>
  </si>
  <si>
    <t>N/Factura F162331</t>
  </si>
  <si>
    <t>F162331</t>
  </si>
  <si>
    <t>N/Factura F162332</t>
  </si>
  <si>
    <t>F162332</t>
  </si>
  <si>
    <t>N/Factura F162333</t>
  </si>
  <si>
    <t>F162333</t>
  </si>
  <si>
    <t>N/Factura F162334</t>
  </si>
  <si>
    <t>F162334</t>
  </si>
  <si>
    <t>N/Factura F162335</t>
  </si>
  <si>
    <t>F162335</t>
  </si>
  <si>
    <t>N/Factura F162336</t>
  </si>
  <si>
    <t>F162336</t>
  </si>
  <si>
    <t>N/Factura F162337</t>
  </si>
  <si>
    <t>F162337</t>
  </si>
  <si>
    <t>N/Factura F162338</t>
  </si>
  <si>
    <t>F162338</t>
  </si>
  <si>
    <t>N/Factura F162339</t>
  </si>
  <si>
    <t>F162339</t>
  </si>
  <si>
    <t>N/Factura F162340</t>
  </si>
  <si>
    <t>F162340</t>
  </si>
  <si>
    <t>N/Factura F162341</t>
  </si>
  <si>
    <t>F162341</t>
  </si>
  <si>
    <t>N/Factura F162342</t>
  </si>
  <si>
    <t>F162342</t>
  </si>
  <si>
    <t>N/Factura F162343</t>
  </si>
  <si>
    <t>F162343</t>
  </si>
  <si>
    <t>N/Factura F162344</t>
  </si>
  <si>
    <t>F162344</t>
  </si>
  <si>
    <t>N/Factura F162345</t>
  </si>
  <si>
    <t>F162345</t>
  </si>
  <si>
    <t>N/Factura F162346</t>
  </si>
  <si>
    <t>F162346</t>
  </si>
  <si>
    <t>N/Factura F162347</t>
  </si>
  <si>
    <t>F162347</t>
  </si>
  <si>
    <t>N/Factura F162348</t>
  </si>
  <si>
    <t>F162348</t>
  </si>
  <si>
    <t>N/Factura F162349</t>
  </si>
  <si>
    <t>F162349</t>
  </si>
  <si>
    <t>N/Factura F162350</t>
  </si>
  <si>
    <t>F162350</t>
  </si>
  <si>
    <t>N/Factura F162351</t>
  </si>
  <si>
    <t>F162351</t>
  </si>
  <si>
    <t>N/Factura F162352</t>
  </si>
  <si>
    <t>F162352</t>
  </si>
  <si>
    <t>N/Factura F162353</t>
  </si>
  <si>
    <t>F162353</t>
  </si>
  <si>
    <t>N/Factura F162354</t>
  </si>
  <si>
    <t>F162354</t>
  </si>
  <si>
    <t>N/Factura F162355</t>
  </si>
  <si>
    <t>F162355</t>
  </si>
  <si>
    <t>N/Factura F162356</t>
  </si>
  <si>
    <t>F162356</t>
  </si>
  <si>
    <t>N/Factura F162357</t>
  </si>
  <si>
    <t>F162357</t>
  </si>
  <si>
    <t>N/Factura F162358</t>
  </si>
  <si>
    <t>F162358</t>
  </si>
  <si>
    <t>N/Factura F162359</t>
  </si>
  <si>
    <t>F162359</t>
  </si>
  <si>
    <t>N/Factura F162360</t>
  </si>
  <si>
    <t>F162360</t>
  </si>
  <si>
    <t>N/Factura F162361</t>
  </si>
  <si>
    <t>F162361</t>
  </si>
  <si>
    <t>N/Factura F162362</t>
  </si>
  <si>
    <t>F162362</t>
  </si>
  <si>
    <t>N/Factura F162363</t>
  </si>
  <si>
    <t>F162363</t>
  </si>
  <si>
    <t>N/Factura F162364</t>
  </si>
  <si>
    <t>F162364</t>
  </si>
  <si>
    <t>N/Factura F162365</t>
  </si>
  <si>
    <t>F162365</t>
  </si>
  <si>
    <t>N/Factura F162366</t>
  </si>
  <si>
    <t>F162366</t>
  </si>
  <si>
    <t>N/Factura F162367</t>
  </si>
  <si>
    <t>F162367</t>
  </si>
  <si>
    <t>N/Factura F162368</t>
  </si>
  <si>
    <t>F162368</t>
  </si>
  <si>
    <t>N/Factura F162369</t>
  </si>
  <si>
    <t>F162369</t>
  </si>
  <si>
    <t>N/Factura F162370</t>
  </si>
  <si>
    <t>F162370</t>
  </si>
  <si>
    <t>N/Factura F162371</t>
  </si>
  <si>
    <t>F162371</t>
  </si>
  <si>
    <t>N/Factura F162372</t>
  </si>
  <si>
    <t>F162372</t>
  </si>
  <si>
    <t>N/Factura F162373</t>
  </si>
  <si>
    <t>F162373</t>
  </si>
  <si>
    <t>N/Factura F162374</t>
  </si>
  <si>
    <t>F162374</t>
  </si>
  <si>
    <t>N/Factura F162375</t>
  </si>
  <si>
    <t>F162375</t>
  </si>
  <si>
    <t>N/Factura F162376</t>
  </si>
  <si>
    <t>F162376</t>
  </si>
  <si>
    <t>N/Factura F162377</t>
  </si>
  <si>
    <t>F162377</t>
  </si>
  <si>
    <t>N/Factura F162378</t>
  </si>
  <si>
    <t>F162378</t>
  </si>
  <si>
    <t>N/Factura F162379</t>
  </si>
  <si>
    <t>F162379</t>
  </si>
  <si>
    <t>N/Factura F162380</t>
  </si>
  <si>
    <t>F162380</t>
  </si>
  <si>
    <t>N/Factura F162381</t>
  </si>
  <si>
    <t>F162381</t>
  </si>
  <si>
    <t>N/Factura F162382</t>
  </si>
  <si>
    <t>F162382</t>
  </si>
  <si>
    <t>N/Factura F162383</t>
  </si>
  <si>
    <t>F162383</t>
  </si>
  <si>
    <t>N/Factura F162688</t>
  </si>
  <si>
    <t>F162688</t>
  </si>
  <si>
    <t>N/Factura F162689</t>
  </si>
  <si>
    <t>F162689</t>
  </si>
  <si>
    <t>N/Factura F162690</t>
  </si>
  <si>
    <t>F162690</t>
  </si>
  <si>
    <t>N/Factura F162691</t>
  </si>
  <si>
    <t>F162691</t>
  </si>
  <si>
    <t>N/Factura F162692</t>
  </si>
  <si>
    <t>F162692</t>
  </si>
  <si>
    <t>N/Factura F162693</t>
  </si>
  <si>
    <t>F162693</t>
  </si>
  <si>
    <t>N/Factura F162694</t>
  </si>
  <si>
    <t>F162694</t>
  </si>
  <si>
    <t>N/Factura F162695</t>
  </si>
  <si>
    <t>F162695</t>
  </si>
  <si>
    <t>N/Factura F162696</t>
  </si>
  <si>
    <t>F162696</t>
  </si>
  <si>
    <t>N/Factura F162697</t>
  </si>
  <si>
    <t>F162697</t>
  </si>
  <si>
    <t>N/Factura F162698</t>
  </si>
  <si>
    <t>F162698</t>
  </si>
  <si>
    <t>N/Factura F162699</t>
  </si>
  <si>
    <t>F162699</t>
  </si>
  <si>
    <t>N/Factura F162700</t>
  </si>
  <si>
    <t>F162700</t>
  </si>
  <si>
    <t>N/Factura F162701</t>
  </si>
  <si>
    <t>F162701</t>
  </si>
  <si>
    <t>N/Factura F162702</t>
  </si>
  <si>
    <t>F162702</t>
  </si>
  <si>
    <t>N/Factura F162703</t>
  </si>
  <si>
    <t>F162703</t>
  </si>
  <si>
    <t>N/Factura F162704</t>
  </si>
  <si>
    <t>F162704</t>
  </si>
  <si>
    <t>N/Factura F162705</t>
  </si>
  <si>
    <t>F162705</t>
  </si>
  <si>
    <t>N/Factura F162706</t>
  </si>
  <si>
    <t>F162706</t>
  </si>
  <si>
    <t>N/Factura F162707</t>
  </si>
  <si>
    <t>F162707</t>
  </si>
  <si>
    <t>N/Factura F162708</t>
  </si>
  <si>
    <t>F162708</t>
  </si>
  <si>
    <t>N/Factura F162709</t>
  </si>
  <si>
    <t>F162709</t>
  </si>
  <si>
    <t>N/Factura F162710</t>
  </si>
  <si>
    <t>F162710</t>
  </si>
  <si>
    <t>N/Factura F162711</t>
  </si>
  <si>
    <t>F162711</t>
  </si>
  <si>
    <t>N/Factura F162712</t>
  </si>
  <si>
    <t>F162712</t>
  </si>
  <si>
    <t>N/Factura F162713</t>
  </si>
  <si>
    <t>F162713</t>
  </si>
  <si>
    <t>N/Factura F162714</t>
  </si>
  <si>
    <t>F162714</t>
  </si>
  <si>
    <t>N/Factura F162715</t>
  </si>
  <si>
    <t>F162715</t>
  </si>
  <si>
    <t>N/Factura F162716</t>
  </si>
  <si>
    <t>F162716</t>
  </si>
  <si>
    <t>N/Factura F162717</t>
  </si>
  <si>
    <t>F162717</t>
  </si>
  <si>
    <t>5159</t>
  </si>
  <si>
    <t>N/Factura F162718</t>
  </si>
  <si>
    <t>F162718</t>
  </si>
  <si>
    <t>N/Factura F162719</t>
  </si>
  <si>
    <t>F162719</t>
  </si>
  <si>
    <t>N/Factura F162720</t>
  </si>
  <si>
    <t>F162720</t>
  </si>
  <si>
    <t>N/Factura F162721</t>
  </si>
  <si>
    <t>F162721</t>
  </si>
  <si>
    <t>N/Factura F162722</t>
  </si>
  <si>
    <t>F162722</t>
  </si>
  <si>
    <t>N/Factura F162723</t>
  </si>
  <si>
    <t>F162723</t>
  </si>
  <si>
    <t>N/Factura F162724</t>
  </si>
  <si>
    <t>F162724</t>
  </si>
  <si>
    <t>N/Factura F162725</t>
  </si>
  <si>
    <t>F162725</t>
  </si>
  <si>
    <t>N/Factura F162726</t>
  </si>
  <si>
    <t>F162726</t>
  </si>
  <si>
    <t>N/Factura F162727</t>
  </si>
  <si>
    <t>F162727</t>
  </si>
  <si>
    <t>N/Factura F162728</t>
  </si>
  <si>
    <t>F162728</t>
  </si>
  <si>
    <t>N/Factura F162729</t>
  </si>
  <si>
    <t>F162729</t>
  </si>
  <si>
    <t>N/Factura F162730</t>
  </si>
  <si>
    <t>F162730</t>
  </si>
  <si>
    <t>N/Factura F162731</t>
  </si>
  <si>
    <t>F162731</t>
  </si>
  <si>
    <t>N/Factura F162732</t>
  </si>
  <si>
    <t>F162732</t>
  </si>
  <si>
    <t>N/Factura F162733</t>
  </si>
  <si>
    <t>F162733</t>
  </si>
  <si>
    <t>N/Factura F162734</t>
  </si>
  <si>
    <t>F162734</t>
  </si>
  <si>
    <t>N/Factura F162735</t>
  </si>
  <si>
    <t>F162735</t>
  </si>
  <si>
    <t>N/Factura F162736</t>
  </si>
  <si>
    <t>F162736</t>
  </si>
  <si>
    <t>N/Factura F162737</t>
  </si>
  <si>
    <t>F162737</t>
  </si>
  <si>
    <t>N/Factura F162738</t>
  </si>
  <si>
    <t>F162738</t>
  </si>
  <si>
    <t>N/Factura F162739</t>
  </si>
  <si>
    <t>F162739</t>
  </si>
  <si>
    <t>N/Factura F162740</t>
  </si>
  <si>
    <t>F162740</t>
  </si>
  <si>
    <t>N/Factura F162741</t>
  </si>
  <si>
    <t>F162741</t>
  </si>
  <si>
    <t>N/Factura F162742</t>
  </si>
  <si>
    <t>F162742</t>
  </si>
  <si>
    <t>N/Factura F162743</t>
  </si>
  <si>
    <t>F162743</t>
  </si>
  <si>
    <t>N/Factura F162744</t>
  </si>
  <si>
    <t>F162744</t>
  </si>
  <si>
    <t>N/Factura F162745</t>
  </si>
  <si>
    <t>F162745</t>
  </si>
  <si>
    <t>N/Factura F162746</t>
  </si>
  <si>
    <t>F162746</t>
  </si>
  <si>
    <t>N/Factura F162747</t>
  </si>
  <si>
    <t>F162747</t>
  </si>
  <si>
    <t>N/Factura F162748</t>
  </si>
  <si>
    <t>F162748</t>
  </si>
  <si>
    <t>N/Factura F162749</t>
  </si>
  <si>
    <t>F162749</t>
  </si>
  <si>
    <t>N/Factura F162750</t>
  </si>
  <si>
    <t>F162750</t>
  </si>
  <si>
    <t>N/Factura F162751</t>
  </si>
  <si>
    <t>F162751</t>
  </si>
  <si>
    <t>N/Factura F162752</t>
  </si>
  <si>
    <t>F162752</t>
  </si>
  <si>
    <t>N/Factura F162753</t>
  </si>
  <si>
    <t>F162753</t>
  </si>
  <si>
    <t>N/Factura F162754</t>
  </si>
  <si>
    <t>F162754</t>
  </si>
  <si>
    <t>N/Factura F162755</t>
  </si>
  <si>
    <t>F162755</t>
  </si>
  <si>
    <t>N/Factura F162756</t>
  </si>
  <si>
    <t>F162756</t>
  </si>
  <si>
    <t>N/Factura F162757</t>
  </si>
  <si>
    <t>F162757</t>
  </si>
  <si>
    <t>N/Factura F162758</t>
  </si>
  <si>
    <t>F162758</t>
  </si>
  <si>
    <t>N/Factura F162759</t>
  </si>
  <si>
    <t>F162759</t>
  </si>
  <si>
    <t>N/Factura F162760</t>
  </si>
  <si>
    <t>F162760</t>
  </si>
  <si>
    <t>N/Factura F162761</t>
  </si>
  <si>
    <t>F162761</t>
  </si>
  <si>
    <t>N/Factura F162762</t>
  </si>
  <si>
    <t>F162762</t>
  </si>
  <si>
    <t>FR587952</t>
  </si>
  <si>
    <t>N/Factura F162763</t>
  </si>
  <si>
    <t>F162763</t>
  </si>
  <si>
    <t>N/Factura F162764</t>
  </si>
  <si>
    <t>F162764</t>
  </si>
  <si>
    <t>N/Factura F162765</t>
  </si>
  <si>
    <t>F162765</t>
  </si>
  <si>
    <t>N/Factura F162766</t>
  </si>
  <si>
    <t>F162766</t>
  </si>
  <si>
    <t>N/Factura F162767</t>
  </si>
  <si>
    <t>F162767</t>
  </si>
  <si>
    <t>N/Factura F162768</t>
  </si>
  <si>
    <t>F162768</t>
  </si>
  <si>
    <t>N/Factura F162769</t>
  </si>
  <si>
    <t>F162769</t>
  </si>
  <si>
    <t>N/Factura F162770</t>
  </si>
  <si>
    <t>F162770</t>
  </si>
  <si>
    <t>N/Factura F162771</t>
  </si>
  <si>
    <t>F162771</t>
  </si>
  <si>
    <t>N/Factura F162772</t>
  </si>
  <si>
    <t>F162772</t>
  </si>
  <si>
    <t>N/Factura F162773</t>
  </si>
  <si>
    <t>F162773</t>
  </si>
  <si>
    <t>N/Factura F162774</t>
  </si>
  <si>
    <t>F162774</t>
  </si>
  <si>
    <t>N/Factura F162775</t>
  </si>
  <si>
    <t>F162775</t>
  </si>
  <si>
    <t>N/Factura F162776</t>
  </si>
  <si>
    <t>F162776</t>
  </si>
  <si>
    <t>N/Factura F162777</t>
  </si>
  <si>
    <t>F162777</t>
  </si>
  <si>
    <t>N/Factura F162778</t>
  </si>
  <si>
    <t>F162778</t>
  </si>
  <si>
    <t>N/Factura F162779</t>
  </si>
  <si>
    <t>F162779</t>
  </si>
  <si>
    <t>N/Factura F162780</t>
  </si>
  <si>
    <t>F162780</t>
  </si>
  <si>
    <t>N/Factura F162781</t>
  </si>
  <si>
    <t>F162781</t>
  </si>
  <si>
    <t>N/Factura F162782</t>
  </si>
  <si>
    <t>F162782</t>
  </si>
  <si>
    <t>N/Factura F162783</t>
  </si>
  <si>
    <t>F162783</t>
  </si>
  <si>
    <t>N/Factura F162784</t>
  </si>
  <si>
    <t>F162784</t>
  </si>
  <si>
    <t>N/Factura F162785</t>
  </si>
  <si>
    <t>F162785</t>
  </si>
  <si>
    <t>N/Factura F162786</t>
  </si>
  <si>
    <t>F162786</t>
  </si>
  <si>
    <t>N/Factura F162787</t>
  </si>
  <si>
    <t>F162787</t>
  </si>
  <si>
    <t>N/Factura F162788</t>
  </si>
  <si>
    <t>F162788</t>
  </si>
  <si>
    <t>N/Factura F162789</t>
  </si>
  <si>
    <t>F162789</t>
  </si>
  <si>
    <t>N/Factura F162790</t>
  </si>
  <si>
    <t>F162790</t>
  </si>
  <si>
    <t>N/Factura F162791</t>
  </si>
  <si>
    <t>F162791</t>
  </si>
  <si>
    <t>N/Factura F162792</t>
  </si>
  <si>
    <t>F162792</t>
  </si>
  <si>
    <t>N/Factura F162793</t>
  </si>
  <si>
    <t>F162793</t>
  </si>
  <si>
    <t>N/Factura F162794</t>
  </si>
  <si>
    <t>F162794</t>
  </si>
  <si>
    <t>N/Factura F162795</t>
  </si>
  <si>
    <t>F162795</t>
  </si>
  <si>
    <t>N/Factura F162796</t>
  </si>
  <si>
    <t>F162796</t>
  </si>
  <si>
    <t>N/Factura F162797</t>
  </si>
  <si>
    <t>F162797</t>
  </si>
  <si>
    <t>N/Factura F162798</t>
  </si>
  <si>
    <t>F162798</t>
  </si>
  <si>
    <t>N/Factura F162799</t>
  </si>
  <si>
    <t>F162799</t>
  </si>
  <si>
    <t>N/Factura F162800</t>
  </si>
  <si>
    <t>F162800</t>
  </si>
  <si>
    <t>N/Factura F162801</t>
  </si>
  <si>
    <t>F162801</t>
  </si>
  <si>
    <t>N/Factura F162802</t>
  </si>
  <si>
    <t>F162802</t>
  </si>
  <si>
    <t>N/Factura F162803</t>
  </si>
  <si>
    <t>F162803</t>
  </si>
  <si>
    <t>N/Factura F162804</t>
  </si>
  <si>
    <t>F162804</t>
  </si>
  <si>
    <t>N/Factura F162805</t>
  </si>
  <si>
    <t>F162805</t>
  </si>
  <si>
    <t>N/Factura F162806</t>
  </si>
  <si>
    <t>F162806</t>
  </si>
  <si>
    <t>N/Factura F162807</t>
  </si>
  <si>
    <t>F162807</t>
  </si>
  <si>
    <t>N/Factura F162808</t>
  </si>
  <si>
    <t>F162808</t>
  </si>
  <si>
    <t>N/Factura F162809</t>
  </si>
  <si>
    <t>F162809</t>
  </si>
  <si>
    <t>N/Factura F162810</t>
  </si>
  <si>
    <t>F162810</t>
  </si>
  <si>
    <t>N/Factura F162811</t>
  </si>
  <si>
    <t>F162811</t>
  </si>
  <si>
    <t>N/Factura F162812</t>
  </si>
  <si>
    <t>F162812</t>
  </si>
  <si>
    <t>N/Factura F162813</t>
  </si>
  <si>
    <t>F162813</t>
  </si>
  <si>
    <t>N/Factura F162814</t>
  </si>
  <si>
    <t>F162814</t>
  </si>
  <si>
    <t>N/Factura F162815</t>
  </si>
  <si>
    <t>F162815</t>
  </si>
  <si>
    <t>N/Factura F162816</t>
  </si>
  <si>
    <t>F162816</t>
  </si>
  <si>
    <t>N/Factura F162817</t>
  </si>
  <si>
    <t>F162817</t>
  </si>
  <si>
    <t>N/Factura F162818</t>
  </si>
  <si>
    <t>F162818</t>
  </si>
  <si>
    <t>N/Factura F162819</t>
  </si>
  <si>
    <t>F162819</t>
  </si>
  <si>
    <t>N/Factura F162820</t>
  </si>
  <si>
    <t>F162820</t>
  </si>
  <si>
    <t>N/Factura F162821</t>
  </si>
  <si>
    <t>F162821</t>
  </si>
  <si>
    <t>N/Factura F162822</t>
  </si>
  <si>
    <t>F162822</t>
  </si>
  <si>
    <t>N/Factura F162823</t>
  </si>
  <si>
    <t>F162823</t>
  </si>
  <si>
    <t>N/Factura F162824</t>
  </si>
  <si>
    <t>F162824</t>
  </si>
  <si>
    <t>N/Factura F162825</t>
  </si>
  <si>
    <t>F162825</t>
  </si>
  <si>
    <t>N/Factura F162826</t>
  </si>
  <si>
    <t>F162826</t>
  </si>
  <si>
    <t>N/Factura F162827</t>
  </si>
  <si>
    <t>F162827</t>
  </si>
  <si>
    <t>N/Factura F162828</t>
  </si>
  <si>
    <t>F162828</t>
  </si>
  <si>
    <t>N/Factura F162829</t>
  </si>
  <si>
    <t>F162829</t>
  </si>
  <si>
    <t>N/Factura F162830</t>
  </si>
  <si>
    <t>F162830</t>
  </si>
  <si>
    <t>N/Factura F162831</t>
  </si>
  <si>
    <t>F162831</t>
  </si>
  <si>
    <t>N/Factura F162832</t>
  </si>
  <si>
    <t>F162832</t>
  </si>
  <si>
    <t>N/Factura F162833</t>
  </si>
  <si>
    <t>F162833</t>
  </si>
  <si>
    <t>N/Factura F162834</t>
  </si>
  <si>
    <t>F162834</t>
  </si>
  <si>
    <t>N/Factura F162835</t>
  </si>
  <si>
    <t>F162835</t>
  </si>
  <si>
    <t>N/Factura F162836</t>
  </si>
  <si>
    <t>F162836</t>
  </si>
  <si>
    <t>N/Factura F162837</t>
  </si>
  <si>
    <t>F162837</t>
  </si>
  <si>
    <t>N/Factura F162838</t>
  </si>
  <si>
    <t>F162838</t>
  </si>
  <si>
    <t>N/Factura F162839</t>
  </si>
  <si>
    <t>F162839</t>
  </si>
  <si>
    <t>N/Factura F162840</t>
  </si>
  <si>
    <t>F162840</t>
  </si>
  <si>
    <t>N/Factura F162841</t>
  </si>
  <si>
    <t>F162841</t>
  </si>
  <si>
    <t>N/Factura F162842</t>
  </si>
  <si>
    <t>F162842</t>
  </si>
  <si>
    <t>N/Factura F162843</t>
  </si>
  <si>
    <t>F162843</t>
  </si>
  <si>
    <t>F151562</t>
  </si>
  <si>
    <t>COMERC 362918963  REM 202504</t>
  </si>
  <si>
    <t>N039825017</t>
  </si>
  <si>
    <t>FERNANDEZ RUIZ, RICARDO</t>
  </si>
  <si>
    <t>F160049</t>
  </si>
  <si>
    <t>N/Factura F160528</t>
  </si>
  <si>
    <t>F160528</t>
  </si>
  <si>
    <t>N/Factura F161004</t>
  </si>
  <si>
    <t>F161004</t>
  </si>
  <si>
    <t>N/Factura F162495</t>
  </si>
  <si>
    <t>F162495</t>
  </si>
  <si>
    <t>N/Factura F162968</t>
  </si>
  <si>
    <t>F162968</t>
  </si>
  <si>
    <t>03915 RICARDO FERNANDEZ RUIZ</t>
  </si>
  <si>
    <t>AUTELEC SISTEMAS,SL</t>
  </si>
  <si>
    <t>N/Factura F161972</t>
  </si>
  <si>
    <t>F161972</t>
  </si>
  <si>
    <t>F157538</t>
  </si>
  <si>
    <t>N/Factura F162918</t>
  </si>
  <si>
    <t>F162918</t>
  </si>
  <si>
    <t>IMET &amp; CAPESA, S.L.</t>
  </si>
  <si>
    <t>N/Factura F160554</t>
  </si>
  <si>
    <t>F160554</t>
  </si>
  <si>
    <t>04660 IMET &amp; CAPESA S.L.</t>
  </si>
  <si>
    <t>N/Factura F161050</t>
  </si>
  <si>
    <t>F161050</t>
  </si>
  <si>
    <t>N/Factura F162060</t>
  </si>
  <si>
    <t>F162060</t>
  </si>
  <si>
    <t>COBRO FRA. F162060 DE IMET &amp;</t>
  </si>
  <si>
    <t>N/Factura F162531</t>
  </si>
  <si>
    <t>F162531</t>
  </si>
  <si>
    <t>N/Factura F163011</t>
  </si>
  <si>
    <t>F163011</t>
  </si>
  <si>
    <t>COBRO FRA. F163011 DE IMET &amp;</t>
  </si>
  <si>
    <t>MOMPALET, S.L</t>
  </si>
  <si>
    <t>F160095</t>
  </si>
  <si>
    <t>N/Factura F161047</t>
  </si>
  <si>
    <t>F161047</t>
  </si>
  <si>
    <t>N/Factura F162059</t>
  </si>
  <si>
    <t>F162059</t>
  </si>
  <si>
    <t>COBRO FRA. F162059 DE MOMPAL</t>
  </si>
  <si>
    <t>N/Factura F163009</t>
  </si>
  <si>
    <t>F163009</t>
  </si>
  <si>
    <t>04635 MOMPALET S.L.</t>
  </si>
  <si>
    <t>JAPAN PERFORMANCE, S.L.</t>
  </si>
  <si>
    <t>F160098</t>
  </si>
  <si>
    <t>N/Factura F160555</t>
  </si>
  <si>
    <t>F160555</t>
  </si>
  <si>
    <t>N/Factura F161051</t>
  </si>
  <si>
    <t>F161051</t>
  </si>
  <si>
    <t>04670 JAPAN PERFORMANCE S.L.</t>
  </si>
  <si>
    <t>N/Factura F161573</t>
  </si>
  <si>
    <t>F161573</t>
  </si>
  <si>
    <t>N/Factura F161574</t>
  </si>
  <si>
    <t>F161574</t>
  </si>
  <si>
    <t>N/Factura F162061</t>
  </si>
  <si>
    <t>F162061</t>
  </si>
  <si>
    <t>COBRO FRA. F162061 DE JAPAN</t>
  </si>
  <si>
    <t>N/Factura F162532</t>
  </si>
  <si>
    <t>F162532</t>
  </si>
  <si>
    <t>N/Factura F163012</t>
  </si>
  <si>
    <t>F163012</t>
  </si>
  <si>
    <t>2010 METALCAT, S.L.</t>
  </si>
  <si>
    <t>N/Factura F161052</t>
  </si>
  <si>
    <t>F161052</t>
  </si>
  <si>
    <t>F160099</t>
  </si>
  <si>
    <t>N/Factura F162062</t>
  </si>
  <si>
    <t>F162062</t>
  </si>
  <si>
    <t>TALLERES SARRI, S.A.</t>
  </si>
  <si>
    <t>F160100</t>
  </si>
  <si>
    <t>N/Factura F162063</t>
  </si>
  <si>
    <t>F162063</t>
  </si>
  <si>
    <t>COBRO FRA. F162063 DE TALLER</t>
  </si>
  <si>
    <t>N/Factura F163013</t>
  </si>
  <si>
    <t>F163013</t>
  </si>
  <si>
    <t>COBRO FRA. F163013 DE TALLER</t>
  </si>
  <si>
    <t>04710 TALLERES SARRI S.A. -</t>
  </si>
  <si>
    <t>REMUNERACIONES PTES. DE PAGO</t>
  </si>
  <si>
    <t>SUSANA GIMENEZ NOMINA</t>
  </si>
  <si>
    <t>F24195</t>
  </si>
  <si>
    <t>NURIA RIERA NOMINA</t>
  </si>
  <si>
    <t>M CARMEN RODRIGUEZ NOMINA</t>
  </si>
  <si>
    <t>CHRISTIAN JAIMEZ NOMINA</t>
  </si>
  <si>
    <t>GERARD HDEZ NOMINA</t>
  </si>
  <si>
    <t>PURIFICACION NAVARRO NOMINA</t>
  </si>
  <si>
    <t>JAUME CASAGOLDA NOMINA</t>
  </si>
  <si>
    <t>RAMON ARCAS(NOMINA)</t>
  </si>
  <si>
    <t>JOSEP HERNANDEZ(NOMINA)</t>
  </si>
  <si>
    <t>DANIEL GAY NOMINA</t>
  </si>
  <si>
    <t>FIN 36844100090-P</t>
  </si>
  <si>
    <t>FIN 3684410009095</t>
  </si>
  <si>
    <t>FIN 3684410009096</t>
  </si>
  <si>
    <t>FIN 36844100097-P</t>
  </si>
  <si>
    <t>FIN3684410009790</t>
  </si>
  <si>
    <t>FIN3684410009791</t>
  </si>
  <si>
    <t>FIN3684410009792</t>
  </si>
  <si>
    <t>FIN3684410009793</t>
  </si>
  <si>
    <t>FIN3684410009794</t>
  </si>
  <si>
    <t>FIN3684410009795</t>
  </si>
  <si>
    <t>FIN3684410009796</t>
  </si>
  <si>
    <t>FIN3684410009797</t>
  </si>
  <si>
    <t>FIN3684410010569</t>
  </si>
  <si>
    <t>FIN3684410010570</t>
  </si>
  <si>
    <t>FIN3684410010571</t>
  </si>
  <si>
    <t>FIN3684410010572</t>
  </si>
  <si>
    <t>FIN3684410010573</t>
  </si>
  <si>
    <t>FIN3684410011023</t>
  </si>
  <si>
    <t>FIN3684410011022</t>
  </si>
  <si>
    <t>FIN3684410011021</t>
  </si>
  <si>
    <t>FIN3684410010585</t>
  </si>
  <si>
    <t>FIN3684410010584</t>
  </si>
  <si>
    <t>FIN3684410010583</t>
  </si>
  <si>
    <t>FIN3684410010575</t>
  </si>
  <si>
    <t>FIN3684410010574</t>
  </si>
  <si>
    <t>Importe Líquido</t>
  </si>
  <si>
    <t>Transferencia A Favor De Pur</t>
  </si>
  <si>
    <t>Transferencia A Favor De Chr</t>
  </si>
  <si>
    <t>Transferencia A Favor De Ger</t>
  </si>
  <si>
    <t>Transferencia A Favor De Jau</t>
  </si>
  <si>
    <t>Transferencia A Favor De Dan</t>
  </si>
  <si>
    <t>Transferencia A Favor De Sus</t>
  </si>
  <si>
    <t>Transferencia A Favor De Nur</t>
  </si>
  <si>
    <t>Transferencia A Favor De M C</t>
  </si>
  <si>
    <t>Transferencia A Favor De Jos</t>
  </si>
  <si>
    <t>Transferencia A Favor De Ram</t>
  </si>
  <si>
    <t>M. CARMEN RODRIGUEZ (NOMINA)</t>
  </si>
  <si>
    <t>RAMON ARCAS (NOMINA)</t>
  </si>
  <si>
    <t>JAUME CASAGOLDA (NOMINA)</t>
  </si>
  <si>
    <t>GERARD HDEZ. (NOMINA)</t>
  </si>
  <si>
    <t>DANIEL GAY (NOMINA)</t>
  </si>
  <si>
    <t>PURIFICACION NAVARRO (NOMINA</t>
  </si>
  <si>
    <t>SUSANA GIMENEZ (NOMINA)</t>
  </si>
  <si>
    <t>CHRISTIAN JAIMEZ (NOMINA)</t>
  </si>
  <si>
    <t>NURIA RIERA (NOMINA)</t>
  </si>
  <si>
    <t>08135 9ELEVEN WORKSHOP, S.L</t>
  </si>
  <si>
    <t>H.P. IVA SOPORTADO</t>
  </si>
  <si>
    <t>IVA S./ABRASIVOS SAIT ESPANA</t>
  </si>
  <si>
    <t>IVA S./PRODUCTES AUXILIARS P</t>
  </si>
  <si>
    <t>788886</t>
  </si>
  <si>
    <t>IVA S./COLEGIO DE REGISTRADO</t>
  </si>
  <si>
    <t>25312</t>
  </si>
  <si>
    <t>IVA S./LORK INDUSTRIAS, SL2.</t>
  </si>
  <si>
    <t>IVA S./CARGO FLET BLASANT, S</t>
  </si>
  <si>
    <t>2025/00240</t>
  </si>
  <si>
    <t>IVA S./PLASTICOS FERPLAST FP</t>
  </si>
  <si>
    <t>INT/19265</t>
  </si>
  <si>
    <t>IVA S./VINOS ARTESANALES CAL</t>
  </si>
  <si>
    <t>IVA S./SCHRODER INTERNACIONA</t>
  </si>
  <si>
    <t>400390</t>
  </si>
  <si>
    <t>IVA S./JULSA, SA</t>
  </si>
  <si>
    <t>IVA S./GARCIA LAMARCA, CRIST</t>
  </si>
  <si>
    <t>13-0001850</t>
  </si>
  <si>
    <t>IVA S./VIDAL ONA, JONATHAN</t>
  </si>
  <si>
    <t>138/2024</t>
  </si>
  <si>
    <t>IVA S./LINEA DE SEGURIDAD, S</t>
  </si>
  <si>
    <t>2552 / 24</t>
  </si>
  <si>
    <t>IVA S./RUEDAS ALEX S.L.U.</t>
  </si>
  <si>
    <t>IVA S./BANSABADELL RENTING S</t>
  </si>
  <si>
    <t>1183000974</t>
  </si>
  <si>
    <t>IVA S./KINTO ESPANA SL</t>
  </si>
  <si>
    <t>C250114651</t>
  </si>
  <si>
    <t>IVA S./TELEFONICA DE ESPANA,</t>
  </si>
  <si>
    <t>IVA S./TELEFONICA MOVILES ES</t>
  </si>
  <si>
    <t>1183000930</t>
  </si>
  <si>
    <t>C250413531</t>
  </si>
  <si>
    <t>IVA S./MERCEDES-BENZ RENTING</t>
  </si>
  <si>
    <t>IVA S./KANGAROO WELDING, SL</t>
  </si>
  <si>
    <t>IVA S./UTILNORM,SL</t>
  </si>
  <si>
    <t>IVA S./ASLAK, SL</t>
  </si>
  <si>
    <t>IVA S./FISCHER IBERICA, SAU</t>
  </si>
  <si>
    <t>85973398</t>
  </si>
  <si>
    <t>IVA S./CELESA, SA</t>
  </si>
  <si>
    <t>IVA S./GETNET EUROPE ENTIDAD</t>
  </si>
  <si>
    <t>IVA S./KOKI IBERIA, SAU</t>
  </si>
  <si>
    <t>IVA S./PACAL SHOES, SLU</t>
  </si>
  <si>
    <t>IVA S./CELO DISTRIBUCION, SA</t>
  </si>
  <si>
    <t>IVA S./CERTIO ITV, SL</t>
  </si>
  <si>
    <t>O000788800</t>
  </si>
  <si>
    <t>IVA S./PLANA FABREGA TERRASS</t>
  </si>
  <si>
    <t>TER2500029</t>
  </si>
  <si>
    <t>IVA S./AJK INVERSIONES CANTA</t>
  </si>
  <si>
    <t>IVA S./INDUSTRIES CONESA, SL</t>
  </si>
  <si>
    <t>IVA S./LUSAN FIJACIONES Y AN</t>
  </si>
  <si>
    <t>IVA S./BANCO DE SABADELL SA</t>
  </si>
  <si>
    <t>IVA S./3L INTERNACIONAL, SA</t>
  </si>
  <si>
    <t>IVA S./COMPANIA INTER. TRANS</t>
  </si>
  <si>
    <t>IVA S./LUMETAL PLASTIC, SL</t>
  </si>
  <si>
    <t>IVA S./TEMPO NATURE VALENCIA</t>
  </si>
  <si>
    <t>2500034</t>
  </si>
  <si>
    <t>IVA S./FRUC 2010, SL</t>
  </si>
  <si>
    <t>IVA S./TOALBA, SA</t>
  </si>
  <si>
    <t>FAC-125</t>
  </si>
  <si>
    <t>IVA S./COMERCIAL FAMA, SA</t>
  </si>
  <si>
    <t>FV25-00651</t>
  </si>
  <si>
    <t>IVA S./EUROPEAN AEROSOLS, SA</t>
  </si>
  <si>
    <t>IVA S./SOLUCIONES DE ACCESO</t>
  </si>
  <si>
    <t>VR25-00117</t>
  </si>
  <si>
    <t>IVA S./ASSESSORIA EGARA SL</t>
  </si>
  <si>
    <t>IVA S./SUMINISTROS INDUSTRIA</t>
  </si>
  <si>
    <t>IVA S./GONZALEZ GARCIA, ESTE</t>
  </si>
  <si>
    <t>IVA S./FESTO AUTOMATION, SAU</t>
  </si>
  <si>
    <t>IVA S./EGARINOX, SA</t>
  </si>
  <si>
    <t>IVA S./DAUNIS, SA</t>
  </si>
  <si>
    <t>IVA S./DAN-BELT TRANSMISION</t>
  </si>
  <si>
    <t>IVA S./OLDISFER GLOBAL, SL</t>
  </si>
  <si>
    <t>IVA S./TORFIX, SL</t>
  </si>
  <si>
    <t>IVA S./CUALITYS RODES, SA</t>
  </si>
  <si>
    <t>U134</t>
  </si>
  <si>
    <t>IVA S./TECNODIN, SL</t>
  </si>
  <si>
    <t>IVA S./GRUPO ELECTRO STOCKS</t>
  </si>
  <si>
    <t>IVA S./OPAC, SL</t>
  </si>
  <si>
    <t>IVA S./ARGOM SEALS ,SL</t>
  </si>
  <si>
    <t>IVA S./DIFUSORA DE ARTICULOS</t>
  </si>
  <si>
    <t>IVA S./AIGNEP IBERICA, SA</t>
  </si>
  <si>
    <t>IVA S./ADHESIVOS SOLTEC, SL</t>
  </si>
  <si>
    <t>IVA S./EGANA CAUCHO-METAL, S</t>
  </si>
  <si>
    <t>IVA S./MANGUERAS SOMA,SL</t>
  </si>
  <si>
    <t>IVA S./AGHASA TURIS, SA</t>
  </si>
  <si>
    <t>IVA S./ROEIRASA</t>
  </si>
  <si>
    <t>IVA S./HISPANOX, SA</t>
  </si>
  <si>
    <t>IVA S./MANUTEC, SA</t>
  </si>
  <si>
    <t>250096</t>
  </si>
  <si>
    <t>IVA S./IZAR CUTTING TOOLS, S</t>
  </si>
  <si>
    <t>IVA S./BUSSOR FORMACION SL</t>
  </si>
  <si>
    <t>B20250260</t>
  </si>
  <si>
    <t>IVA S./REPSOL DIRECTO, SA</t>
  </si>
  <si>
    <t>2644 / 24</t>
  </si>
  <si>
    <t>IVA S./GAYNER, SA</t>
  </si>
  <si>
    <t>13-0000061</t>
  </si>
  <si>
    <t>IVA S./ALUMINIOS Y PLASTICOS</t>
  </si>
  <si>
    <t>IVA S./ALMACENES SIDEROMETAL</t>
  </si>
  <si>
    <t>IVA S./METALURGICA ROES, SA</t>
  </si>
  <si>
    <t>IVA S./LARWIND NEUMATICA, SA</t>
  </si>
  <si>
    <t>IVA S./ASEIN COMERCIALIZACIO</t>
  </si>
  <si>
    <t>IVA S./OILEX BCN, SL</t>
  </si>
  <si>
    <t>IVA S./SNA EUROPE INDUSTRIES</t>
  </si>
  <si>
    <t>IVA S./TRANS-G.NOVOA, SL</t>
  </si>
  <si>
    <t>IVA S./SERVO RECAMBIOS,SA</t>
  </si>
  <si>
    <t>250078</t>
  </si>
  <si>
    <t>IVA S./SOLTER SOLDADURA, SL</t>
  </si>
  <si>
    <t>IVA S./TECNILIMP, SL</t>
  </si>
  <si>
    <t>IVA S./ENERGIA XXI COMERC DE</t>
  </si>
  <si>
    <t>N002879581</t>
  </si>
  <si>
    <t>IVA S./S.L DE HERRAMIENTAS E</t>
  </si>
  <si>
    <t>IVA S./COMERCIAL TREVIC, SL</t>
  </si>
  <si>
    <t>25/001203</t>
  </si>
  <si>
    <t>IVA S./AC MARCA ADHESIVES, S</t>
  </si>
  <si>
    <t>IVA S./RECITECNIC SEGURIDAD,</t>
  </si>
  <si>
    <t>IVA S./ORAPI TRANSNET ESPANA</t>
  </si>
  <si>
    <t>A 25000189</t>
  </si>
  <si>
    <t>IVA S./PFERD RUGGEBERG, SA</t>
  </si>
  <si>
    <t>IVA S./SENIGRUP, SL</t>
  </si>
  <si>
    <t>IVA S./LOPEZ ANADON, FRANCES</t>
  </si>
  <si>
    <t>IVA S./TECNOL. MEDI. AMB. GR</t>
  </si>
  <si>
    <t>IVA S./METEOR TRANSPORT URGE</t>
  </si>
  <si>
    <t>259383</t>
  </si>
  <si>
    <t>IVA S./DROGAS Y PINTURAS LA</t>
  </si>
  <si>
    <t>IVA S./TRAME, SL</t>
  </si>
  <si>
    <t>IVA S./PRODUCTOS QUIMICOS IL</t>
  </si>
  <si>
    <t>IVA S./AFI-CORTE1975, SL</t>
  </si>
  <si>
    <t>IVA S./SOGIMA 7, SL</t>
  </si>
  <si>
    <t>IVA S./INDUVACUUM SL</t>
  </si>
  <si>
    <t>IVA S./EINES CANELA SA</t>
  </si>
  <si>
    <t>IVA S./TRACEN IBERICA S.L.</t>
  </si>
  <si>
    <t>IVA S./MECANIZADOS LUNA GREG</t>
  </si>
  <si>
    <t>IVA S./SYSTEM SUPPLIER PNEUM</t>
  </si>
  <si>
    <t>001/250157</t>
  </si>
  <si>
    <t>IVA S./EURO BEARINGS SPAIN,</t>
  </si>
  <si>
    <t>IVA S./DISTRIBUCIONES ISMA 1</t>
  </si>
  <si>
    <t>IVA S./BANDO IBERICA, SA</t>
  </si>
  <si>
    <t>IVA S./MUELLEXPRESS MIGUEL A</t>
  </si>
  <si>
    <t>IVA S./DUERTO, SL</t>
  </si>
  <si>
    <t>IVA S./INDUSTRIAL PRECISION</t>
  </si>
  <si>
    <t>IVA S./SENALIZACIONES Y SUMI</t>
  </si>
  <si>
    <t>IVA S./SISTEMAS DE EMBALAJE</t>
  </si>
  <si>
    <t>IVA S./OPTOR, SA</t>
  </si>
  <si>
    <t>IVA S./REYZABAL INDUSTRIAL,</t>
  </si>
  <si>
    <t>IVA S./DHL PARCEL IBERIA, S.</t>
  </si>
  <si>
    <t>S00503164</t>
  </si>
  <si>
    <t>IVA S./FERRETERIA EGARA, SL</t>
  </si>
  <si>
    <t>IVA S./SUBMINISTRAM. SUMHIFL</t>
  </si>
  <si>
    <t>1183000964</t>
  </si>
  <si>
    <t>C250214300</t>
  </si>
  <si>
    <t>IVA S./KLUBER LUBRICATION GM</t>
  </si>
  <si>
    <t>403807</t>
  </si>
  <si>
    <t>FAC - 893</t>
  </si>
  <si>
    <t>FAC - 890</t>
  </si>
  <si>
    <t>IVA S./LOPEZ HERNANDEZ, FRAN</t>
  </si>
  <si>
    <t>A99003987</t>
  </si>
  <si>
    <t>IVA S./TRACTEL IBERICA, SA</t>
  </si>
  <si>
    <t>IVA S./COMERCIAL ANA TECNOLO</t>
  </si>
  <si>
    <t>250538</t>
  </si>
  <si>
    <t>FV25-02349</t>
  </si>
  <si>
    <t>IVA S./BUENO HERMANOS, SA</t>
  </si>
  <si>
    <t>IVA S./LUBESOLUT, SL</t>
  </si>
  <si>
    <t>IVA S./CAUCHOS FEMAR, SL</t>
  </si>
  <si>
    <t>250021</t>
  </si>
  <si>
    <t>IVA S./IBERCAJA BANCO SAU</t>
  </si>
  <si>
    <t>IVA S./APLICACIONES TECNY FL</t>
  </si>
  <si>
    <t>018413</t>
  </si>
  <si>
    <t>IVA S./INDUSTRIAS MURTRA, SA</t>
  </si>
  <si>
    <t>IVA S./ROMOSOLD, SL</t>
  </si>
  <si>
    <t>IVA S./AGENCIA INTERNACIONAL</t>
  </si>
  <si>
    <t>IVA S./CIDEPA SINCRON, SL</t>
  </si>
  <si>
    <t>A25/747</t>
  </si>
  <si>
    <t>IVA S./MANTENIMENT BASIC TEC</t>
  </si>
  <si>
    <t>IVA S./FERROS GUMA S.L.</t>
  </si>
  <si>
    <t>2025/00532</t>
  </si>
  <si>
    <t>001/250235</t>
  </si>
  <si>
    <t>IVA S./STAMVALLES, S.L.</t>
  </si>
  <si>
    <t>IVA S./BUGADERIA NOVATEX, SL</t>
  </si>
  <si>
    <t>IVA S./TALLERES EMIT, SA</t>
  </si>
  <si>
    <t>IVA S./GIMENEZ CONSUEGRA,JOR</t>
  </si>
  <si>
    <t>IVA S./COMERCIAL MARTI, SA</t>
  </si>
  <si>
    <t>T3025 648</t>
  </si>
  <si>
    <t>IVA S./BBVA</t>
  </si>
  <si>
    <t>IVA S./TECH PARTS TRADING, S</t>
  </si>
  <si>
    <t>IVA S./AMBRO-SOL SPRAY SPAIN</t>
  </si>
  <si>
    <t>IVA S./SFS GROUP FASTENING T</t>
  </si>
  <si>
    <t>2606000013</t>
  </si>
  <si>
    <t>IVA S./SCOA MAYORISTA DE FER</t>
  </si>
  <si>
    <t>IVA S./BRALO, S.A.</t>
  </si>
  <si>
    <t>IVA S./PALLARES, CB</t>
  </si>
  <si>
    <t>260162</t>
  </si>
  <si>
    <t>IVA S./ALFREDO LLIMONA, SA</t>
  </si>
  <si>
    <t>250585</t>
  </si>
  <si>
    <t>IVA S./TRILLA Y VENTURA, SL</t>
  </si>
  <si>
    <t>IVA S./RODAMIENTOS FEYC, SA</t>
  </si>
  <si>
    <t>IVA S./JEIVSA BROCHAS Y PINC</t>
  </si>
  <si>
    <t>IVA S./GRAUPE, SA</t>
  </si>
  <si>
    <t>IVA S./VERICAT I LLEBOT DAVI</t>
  </si>
  <si>
    <t>S00523625</t>
  </si>
  <si>
    <t>1183000939</t>
  </si>
  <si>
    <t>C250314010</t>
  </si>
  <si>
    <t>226749</t>
  </si>
  <si>
    <t>IVA S./PREVIFOC MATERIAL CON</t>
  </si>
  <si>
    <t>A25-6815</t>
  </si>
  <si>
    <t>IVA S./DISTRIBUCIONES ONATE,</t>
  </si>
  <si>
    <t>689638</t>
  </si>
  <si>
    <t>IVA S./PLASTIPOL, SA</t>
  </si>
  <si>
    <t>IVA S./ENTIDAD MAYA, SL</t>
  </si>
  <si>
    <t>IVA S./BIDONS EGARA, SL</t>
  </si>
  <si>
    <t>250338</t>
  </si>
  <si>
    <t>IVA S./HENKEL IBERICA,SA</t>
  </si>
  <si>
    <t>IVA S./FERRETERIA UNCETA, SA</t>
  </si>
  <si>
    <t>IVA S./KOMET TRANSMISIONS, S</t>
  </si>
  <si>
    <t>IVA S./EMELEC VIASCOM, SA</t>
  </si>
  <si>
    <t>47279</t>
  </si>
  <si>
    <t>IVA S./OCOROX HI-TECH ABRASI</t>
  </si>
  <si>
    <t>IVA S./FRANK KEERL, SA</t>
  </si>
  <si>
    <t>IVA S./RODAMIENTOS B.N.P., S</t>
  </si>
  <si>
    <t>IVA S./SADI TRANSMISIONES, S</t>
  </si>
  <si>
    <t>40.359</t>
  </si>
  <si>
    <t>N009573098</t>
  </si>
  <si>
    <t>47405</t>
  </si>
  <si>
    <t>IVA S./TERRASSA CICLE DE L'A</t>
  </si>
  <si>
    <t>25CN007737</t>
  </si>
  <si>
    <t>A25-9355</t>
  </si>
  <si>
    <t>IVA S./KALKUM EZQUERRA, SL</t>
  </si>
  <si>
    <t>IVA S./SUCESORES DE FALIP NA</t>
  </si>
  <si>
    <t>IVA S./CEPILLERIA INDUSTRIAL</t>
  </si>
  <si>
    <t>260962</t>
  </si>
  <si>
    <t>IVA S./FERRETERIA INDUSTRIAL</t>
  </si>
  <si>
    <t>IVA S./LINDIS, SL</t>
  </si>
  <si>
    <t>IVA S./OIL SEALS NAK,SL</t>
  </si>
  <si>
    <t>IVA S./AMMEGA BELTING SPAIN,</t>
  </si>
  <si>
    <t>IVA S./ESPIRAL DISTRILINE SL</t>
  </si>
  <si>
    <t>IVA S./SOLRED.SA</t>
  </si>
  <si>
    <t>IVA S./ROMAISOL, SL</t>
  </si>
  <si>
    <t>IVA S./NEGRO MUNIANI, JAVIER</t>
  </si>
  <si>
    <t>IVA S./ROBERT BOSCH ESPANA S</t>
  </si>
  <si>
    <t>IVA S./ROTULAS Y ARTICULACIO</t>
  </si>
  <si>
    <t>Modelo 303 1 Trimestre</t>
  </si>
  <si>
    <t>1</t>
  </si>
  <si>
    <t>H.P. ACREEDOR POR IVA</t>
  </si>
  <si>
    <t>Domiciliacion Impuesto: 2.02</t>
  </si>
  <si>
    <t>HP, ACREED. RETEN. PRACTICADAS</t>
  </si>
  <si>
    <t>Reten./GARCIA LAMARCA, CRIST</t>
  </si>
  <si>
    <t>Imp.Ingr. a Cta. Esp. Cgo.Tr</t>
  </si>
  <si>
    <t>H.P. ACREEDORA IMPUESTO SOCIED</t>
  </si>
  <si>
    <t>ORGANISMOS SEG. SOCIAL ACREED.</t>
  </si>
  <si>
    <t>Total TC1</t>
  </si>
  <si>
    <t>Recibo Tgss. Cotizacion 001</t>
  </si>
  <si>
    <t>INVERSIÓN SABADELL 04-10-2013</t>
  </si>
  <si>
    <t>INVERSIÓN SABADELL 17-09-2013</t>
  </si>
  <si>
    <t>FONDO INV. EV GAR ACCIONES IV</t>
  </si>
  <si>
    <t>Reembolso Santander Defensiv</t>
  </si>
  <si>
    <t>AC.BANCO POPULAR ESPANOL</t>
  </si>
  <si>
    <t>CTA. CTE. CON SOCIOS Y ADMINIS</t>
  </si>
  <si>
    <t>tarjeta 9587</t>
  </si>
  <si>
    <t>netflix</t>
  </si>
  <si>
    <t>A CTA SOCIOS JOSE HERNANDEZ</t>
  </si>
  <si>
    <t>A CTA SOCIOS RAMON ARCAS</t>
  </si>
  <si>
    <t>Cuentas corrientes.</t>
  </si>
  <si>
    <t>Empresa: SUMRRASSA, SL</t>
  </si>
  <si>
    <t>Período: de 01/01/2025 a 31/12/2025</t>
  </si>
  <si>
    <t>Fecha: 04/06/2025</t>
  </si>
  <si>
    <t>PROVEEDORES</t>
  </si>
  <si>
    <t>CLIENTES</t>
  </si>
  <si>
    <t>OTRAS CUENTAS</t>
  </si>
  <si>
    <t>FALTA FACTURA</t>
  </si>
  <si>
    <t>DEMANAR MAJOR CADA TRIMESTRE PER TENIR MES CONTROL</t>
  </si>
  <si>
    <t>PAGADO DE MAS</t>
  </si>
  <si>
    <t>FALTA PAGO</t>
  </si>
  <si>
    <t>AIGNEP IBERICA,_0100012276_3</t>
  </si>
  <si>
    <t>0100012276</t>
  </si>
  <si>
    <t>AIGNEP IBERICA,_1100000967_3</t>
  </si>
  <si>
    <t>1100000967</t>
  </si>
  <si>
    <t>AIGNEP IBERICA,_0100012973_1</t>
  </si>
  <si>
    <t>0100012973</t>
  </si>
  <si>
    <t>AIGNEP IBERICA,_0100013665_3</t>
  </si>
  <si>
    <t>AIGNEP IBERICA,_0100014365_1</t>
  </si>
  <si>
    <t>0100014365</t>
  </si>
  <si>
    <t>AIGNEP IBERICA,_0100014364_1</t>
  </si>
  <si>
    <t>AIGNEP IBERICA,_1100001104_1</t>
  </si>
  <si>
    <t>1100001104</t>
  </si>
  <si>
    <t>AIGNEP IBERICA,_0100014955_3</t>
  </si>
  <si>
    <t>0100014955</t>
  </si>
  <si>
    <t>INDUSTRIAS MURT_302403359_23</t>
  </si>
  <si>
    <t>302403359</t>
  </si>
  <si>
    <t>INDUSTRIAS MURT_302403844_06</t>
  </si>
  <si>
    <t>302403844</t>
  </si>
  <si>
    <t>INDUSTRIAS MURT_302407274_29</t>
  </si>
  <si>
    <t>302407274</t>
  </si>
  <si>
    <t>QUE FACTURAS PAGA?</t>
  </si>
  <si>
    <t>TECNODIN, SL_FV24-10-0836_31</t>
  </si>
  <si>
    <t>TECNODIN, SL_FV24-11-0270_15</t>
  </si>
  <si>
    <t>TECNODIN, SL_FV24-11-0702_29</t>
  </si>
  <si>
    <t>TECNODIN, SL_FV24-12-0274_13</t>
  </si>
  <si>
    <t>TECNODIN, SL_FV24-12-0600_31</t>
  </si>
  <si>
    <t>24-12-0600</t>
  </si>
  <si>
    <t>A QUE HACE REFERENCIA?</t>
  </si>
  <si>
    <t>RECITECNIC SEGU_1/141316_30-</t>
  </si>
  <si>
    <t>1/141316</t>
  </si>
  <si>
    <t>RECITECNIC SEGU_1/143508_30-</t>
  </si>
  <si>
    <t>1/143508</t>
  </si>
  <si>
    <t>FERRETERIA UNCE_2024/35842_1</t>
  </si>
  <si>
    <t>FERRETERIA UNCE_2024/39600_0</t>
  </si>
  <si>
    <t>FIN 3684410005416</t>
  </si>
  <si>
    <t>FIN 3684410005845</t>
  </si>
  <si>
    <t>FIN 3684410006863</t>
  </si>
  <si>
    <t>Cobro Por Financiación 03/10</t>
  </si>
  <si>
    <t>Su Fra. 0001618</t>
  </si>
  <si>
    <t>1/0001618</t>
  </si>
  <si>
    <t>FIN3684410008692</t>
  </si>
  <si>
    <t>Su Fra. 0001757</t>
  </si>
  <si>
    <t>1/0001757</t>
  </si>
  <si>
    <t>Su Fra. 0001787</t>
  </si>
  <si>
    <t>1/0001787</t>
  </si>
  <si>
    <t>Su Fra. 0001834</t>
  </si>
  <si>
    <t>1/0001834</t>
  </si>
  <si>
    <t>Su Fra. 0001967</t>
  </si>
  <si>
    <t>1/0001967</t>
  </si>
  <si>
    <t>Su Fra. 0001990</t>
  </si>
  <si>
    <t>1/0001990</t>
  </si>
  <si>
    <t>REYZABAL INDUST_2.421.848_31</t>
  </si>
  <si>
    <t>REYZABAL INDUST_2.422.054_30</t>
  </si>
  <si>
    <t>REYZABAL INDUST_2.422.226_31</t>
  </si>
  <si>
    <t>ROTULAS Y ARTIC_A 784_25-10-</t>
  </si>
  <si>
    <t>A 784</t>
  </si>
  <si>
    <t>15/04 y 15/05</t>
  </si>
  <si>
    <t>MANTENIMENT BAS_1 241226_15-</t>
  </si>
  <si>
    <t>1 241226</t>
  </si>
  <si>
    <t>MANTENIMENT BAS_1 241752_29-</t>
  </si>
  <si>
    <t>1 241752</t>
  </si>
  <si>
    <t>MANTENIMENT BAS_1 241886_20-</t>
  </si>
  <si>
    <t>1 241886</t>
  </si>
  <si>
    <t>ALUMINIOS Y PLA_136803_30-10</t>
  </si>
  <si>
    <t>ALUMINIOS Y PLA_136920_15-11</t>
  </si>
  <si>
    <t>ALUMINIOS Y PLA_137015_30-11</t>
  </si>
  <si>
    <t>ALUMINIOS Y PLA_137153_30-12</t>
  </si>
  <si>
    <t>ALUMINIOS Y PLA_261102_30-12</t>
  </si>
  <si>
    <t>261102</t>
  </si>
  <si>
    <t>CELESA, SA_24132000_24-10-20</t>
  </si>
  <si>
    <t>CELESA, SA_24133538_13-11-20</t>
  </si>
  <si>
    <t>CELESA, SA_24135321_19-11-20</t>
  </si>
  <si>
    <t>CELESA, SA_24136707_12-12-20</t>
  </si>
  <si>
    <t>N 2024228000258021 Solter So</t>
  </si>
  <si>
    <t>SOLTER SOLDADUR_S03/2024/164</t>
  </si>
  <si>
    <t>/2024/1642</t>
  </si>
  <si>
    <t>SOLTER SOLDADUR_S03/2024/163</t>
  </si>
  <si>
    <t>/2024/1639</t>
  </si>
  <si>
    <t>SOLTER SOLDADUR_S01/2024/078</t>
  </si>
  <si>
    <t>2024/07837</t>
  </si>
  <si>
    <t>SOLTER SOLDADUR_S03/2024/168</t>
  </si>
  <si>
    <t>/2024/1685</t>
  </si>
  <si>
    <t>SOLTER SOLDADUR_S01/2024/087</t>
  </si>
  <si>
    <t>2024/08718</t>
  </si>
  <si>
    <t>SOLTER SOLDADUR_S01/2024/088</t>
  </si>
  <si>
    <t>2024/08874</t>
  </si>
  <si>
    <t>2024/08850</t>
  </si>
  <si>
    <t>SOLTER SOLDADUR_S01/2024/090</t>
  </si>
  <si>
    <t>2024/09095</t>
  </si>
  <si>
    <t>2024/09086</t>
  </si>
  <si>
    <t>SOLTER SOLDADUR_S01/2024/095</t>
  </si>
  <si>
    <t>N 2024351000509388 Solter So</t>
  </si>
  <si>
    <t>fecha pago fra</t>
  </si>
  <si>
    <t>DISTRIBUCIONES _24001592_31-</t>
  </si>
  <si>
    <t>R2F 0099002000126</t>
  </si>
  <si>
    <t>DISTRIBUCIONES _24001758_30-</t>
  </si>
  <si>
    <t>DISTRIBUCIONES _24001928_31-</t>
  </si>
  <si>
    <t>ALMACENES SIDER_VFRA24101929</t>
  </si>
  <si>
    <t>ALMACENES SIDER_VFRA24112240</t>
  </si>
  <si>
    <t>ALMACENES SIDER_VFRA24120822</t>
  </si>
  <si>
    <t>ROMOSOLD, SL_INV/2024/3927_1</t>
  </si>
  <si>
    <t>FALTA PAGO BANCO</t>
  </si>
  <si>
    <t>COMPANIA INTER._AB-00275_18-</t>
  </si>
  <si>
    <t>COMPANIA INTER._V-FAC12428_2</t>
  </si>
  <si>
    <t>SUMINISTROS IND_F1160083_19-</t>
  </si>
  <si>
    <t>F1160083</t>
  </si>
  <si>
    <t>SUMINISTROS IND_F1160499_17-</t>
  </si>
  <si>
    <t>F1160499</t>
  </si>
  <si>
    <t>SUMINISTROS IND_F1160554_23-</t>
  </si>
  <si>
    <t>F1160554</t>
  </si>
  <si>
    <t>MANGUERAS SOMA,_24/10829_31-</t>
  </si>
  <si>
    <t>MANGUERAS SOMA,_24/12080_30-</t>
  </si>
  <si>
    <t>MANGUERAS SOMA,_24/12635_15-</t>
  </si>
  <si>
    <t>MANGUERAS SOMA,_24/13141_31-</t>
  </si>
  <si>
    <t>HISPANOX, SA_F2414416_30-10-</t>
  </si>
  <si>
    <t>F2414416</t>
  </si>
  <si>
    <t>HISPANOX, SA_F2415160_15-11-</t>
  </si>
  <si>
    <t>F2415160</t>
  </si>
  <si>
    <t>HISPANOX, SA_F2415874_30-11-</t>
  </si>
  <si>
    <t>F2415874</t>
  </si>
  <si>
    <t>HISPANOX, SA_F2416530_15-12-</t>
  </si>
  <si>
    <t>F2416530</t>
  </si>
  <si>
    <t>COLOMES BERCIAL_240608_11-11</t>
  </si>
  <si>
    <t>240608</t>
  </si>
  <si>
    <t>TRACTEL IBERICA_405298_17-10</t>
  </si>
  <si>
    <t>405298</t>
  </si>
  <si>
    <t>TRACTEL IBERICA_405754_08-11</t>
  </si>
  <si>
    <t>405754</t>
  </si>
  <si>
    <t>GRUPO ELECTRO S_1241100710_1</t>
  </si>
  <si>
    <t>GRUPO ELECTRO S_1241200683_1</t>
  </si>
  <si>
    <t>GRUPO ELECTRO S_1241212460_3</t>
  </si>
  <si>
    <t>1241212460</t>
  </si>
  <si>
    <t>SUMES SUBMINIST_242671_31-10</t>
  </si>
  <si>
    <t>242671</t>
  </si>
  <si>
    <t>SUMES SUBMINIST_242913_30-11</t>
  </si>
  <si>
    <t>SUMES SUBMINIST_243027_15-12</t>
  </si>
  <si>
    <t>TORFIX, SL_010005883_30-10-2</t>
  </si>
  <si>
    <t>TORFIX, SL_010006080_31-10-2</t>
  </si>
  <si>
    <t>010006080</t>
  </si>
  <si>
    <t>TORFIX, SL_010006285_15-11-2</t>
  </si>
  <si>
    <t>TORFIX, SL_010006604_30-11-2</t>
  </si>
  <si>
    <t>TORFIX, SL_010006915_15-12-2</t>
  </si>
  <si>
    <t>TORFIX, SL_010007164_31-12-2</t>
  </si>
  <si>
    <t>010007164</t>
  </si>
  <si>
    <t>FERROS GUMA S.L_24013104_30-</t>
  </si>
  <si>
    <t>24013104</t>
  </si>
  <si>
    <t>FERROS GUMA S.L_24013724_15-</t>
  </si>
  <si>
    <t>24013724</t>
  </si>
  <si>
    <t>A QUE FA REFERENCIA?</t>
  </si>
  <si>
    <t>RUEDAS ALEX S.L_50/2403596_2</t>
  </si>
  <si>
    <t>50/2403596</t>
  </si>
  <si>
    <t>N 2024134000435780 RUEDAS AL</t>
  </si>
  <si>
    <t>N 2024165000213046 RUEDAS AL</t>
  </si>
  <si>
    <t>N 2024193000432396 RUEDAS AL</t>
  </si>
  <si>
    <t>RUEDAS ALEX, S.L.U.</t>
  </si>
  <si>
    <t>N 2024256000274214 RUEDAS AL</t>
  </si>
  <si>
    <t>RUEDAS ALEX S.L_950/2418554_</t>
  </si>
  <si>
    <t>N 2024318000315499 RUEDAS AL</t>
  </si>
  <si>
    <t>RUEDAS ALEX S.L_950/2420597_</t>
  </si>
  <si>
    <t>N 2024347000323054 RUEDAS AL</t>
  </si>
  <si>
    <t>RUEDAS ALEX S.L_950/2422202_</t>
  </si>
  <si>
    <t>PRODUCTOS QUIMI_2048_20-10-2</t>
  </si>
  <si>
    <t>PRODUCTOS QUIMI_2190_10-11-2</t>
  </si>
  <si>
    <t>2190</t>
  </si>
  <si>
    <t>PAPEL AUTOMATIC_2410776_08-1</t>
  </si>
  <si>
    <t>PAPEL AUTOMATIC_2412008_13-1</t>
  </si>
  <si>
    <t>ASEIN COMERCIAL_FR592126_25-</t>
  </si>
  <si>
    <t>FR592126</t>
  </si>
  <si>
    <t>ASEIN COMERCIAL_FR592670_06-</t>
  </si>
  <si>
    <t>FR592670</t>
  </si>
  <si>
    <t>ASEIN COMERCIAL_FR593146_20-</t>
  </si>
  <si>
    <t>FR593146</t>
  </si>
  <si>
    <t>ASEIN COMERCIAL_FR593936_10-</t>
  </si>
  <si>
    <t>FR593936</t>
  </si>
  <si>
    <t>ASEIN COMERCIAL_FR594495_25-</t>
  </si>
  <si>
    <t>SENALIZACIONES _24 002159_30</t>
  </si>
  <si>
    <t>24 002159</t>
  </si>
  <si>
    <t>SENALIZACIONES _24 002158_30</t>
  </si>
  <si>
    <t>24 002158</t>
  </si>
  <si>
    <t>SENALIZACIONES _24 002415_29</t>
  </si>
  <si>
    <t>CEPILLERIA INDU_2512_17-12-2</t>
  </si>
  <si>
    <t>2512</t>
  </si>
  <si>
    <t>OLDISFER GLOBAL_24 / 1526_15</t>
  </si>
  <si>
    <t>OLDISFER GLOBAL_24 / 1669_13</t>
  </si>
  <si>
    <t>N 2024018000092503 OLDISFER</t>
  </si>
  <si>
    <t>23 / 1574</t>
  </si>
  <si>
    <t>N 2024046000278868 OLDISFER</t>
  </si>
  <si>
    <t>oldisfer_global_30-6-2023</t>
  </si>
  <si>
    <t>23 / 956</t>
  </si>
  <si>
    <t>OLDISFER GLOBAL_23 / 1574_30</t>
  </si>
  <si>
    <t>OLDISFER GLOBAL_23 / 1701_22</t>
  </si>
  <si>
    <t>23 / 1701</t>
  </si>
  <si>
    <t>TRACEN IBERICA _20245017_31-</t>
  </si>
  <si>
    <t>TRACEN IBERICA _20245581_30-</t>
  </si>
  <si>
    <t>TRACEN IBERICA _20246097_31-</t>
  </si>
  <si>
    <t>PACAL SHOES, SL_33 /52858_24</t>
  </si>
  <si>
    <t>33 /52858</t>
  </si>
  <si>
    <t>PACAL SHOES, SL_33 /54181_08</t>
  </si>
  <si>
    <t>33 /54181</t>
  </si>
  <si>
    <t>PACAL SHOES, SL_33/55281_24-</t>
  </si>
  <si>
    <t>PACAL SHOES, SL_33 /56821_25</t>
  </si>
  <si>
    <t>N 2024351000006230 PACAL SHO</t>
  </si>
  <si>
    <t>FALTA PAGAR</t>
  </si>
  <si>
    <t>QUE FACTURA PAGA?</t>
  </si>
  <si>
    <t>AGHASA TURIS, S_FTE-25708_31</t>
  </si>
  <si>
    <t>AGHASA TURIS, S_FTE-26509_15</t>
  </si>
  <si>
    <t>AGHASA TURIS, S_FTE-27294_30</t>
  </si>
  <si>
    <t>AGHASA TURIS, S_FTE-28694_31</t>
  </si>
  <si>
    <t>VERICAT I LLEBO_A/2024861_30</t>
  </si>
  <si>
    <t>A/2024861</t>
  </si>
  <si>
    <t>VERICAT I LLEBO_A/20240972_3</t>
  </si>
  <si>
    <t>A/20240972</t>
  </si>
  <si>
    <t>VERICAT I LLEBO_A/20241088_2</t>
  </si>
  <si>
    <t>A/20241088</t>
  </si>
  <si>
    <t>VERICAT I LLEBO_A/20241166_1</t>
  </si>
  <si>
    <t>A/20241166</t>
  </si>
  <si>
    <t>VERICAT I LLEBO_A/20241189_2</t>
  </si>
  <si>
    <t>A/20241189</t>
  </si>
  <si>
    <t>RUBIO MORENO, J_4078_27-11-2</t>
  </si>
  <si>
    <t>4078</t>
  </si>
  <si>
    <t>15-04-25,</t>
  </si>
  <si>
    <t>AJK INVERSIONES_240309_10-09</t>
  </si>
  <si>
    <t>240309</t>
  </si>
  <si>
    <t>AJK INVERSIONES_240310_10-09</t>
  </si>
  <si>
    <t>240310</t>
  </si>
  <si>
    <t>AJK INVERSIONES_240345_10-10</t>
  </si>
  <si>
    <t>240345</t>
  </si>
  <si>
    <t>AJK INVERSIONES_240360_10-11</t>
  </si>
  <si>
    <t>240360</t>
  </si>
  <si>
    <t>AJK INVERSIONES_240374_10-12</t>
  </si>
  <si>
    <t>240374</t>
  </si>
  <si>
    <t>AJK INVERSIONES_240375_10-12</t>
  </si>
  <si>
    <t>240375</t>
  </si>
  <si>
    <t>PERTANY AQUÍ?</t>
  </si>
  <si>
    <t>TOT PAGAT YA? TINC AQUESTA DIFERENCIA A PAGAR ENCARA DE NOMINES</t>
  </si>
  <si>
    <t>F-149048</t>
  </si>
  <si>
    <t>FALTA COBRO</t>
  </si>
  <si>
    <t>N/Factura F148567</t>
  </si>
  <si>
    <t>F148567</t>
  </si>
  <si>
    <t>COBRADA DOS COPS</t>
  </si>
  <si>
    <t>N/Factura F151000</t>
  </si>
  <si>
    <t>F151000</t>
  </si>
  <si>
    <t>N/Factura F152428</t>
  </si>
  <si>
    <t>F152428</t>
  </si>
  <si>
    <t>N/Factura F152430</t>
  </si>
  <si>
    <t>F152430</t>
  </si>
  <si>
    <t>N/Factura F152930</t>
  </si>
  <si>
    <t>F152930</t>
  </si>
  <si>
    <t>N/Factura F153445</t>
  </si>
  <si>
    <t>F153445</t>
  </si>
  <si>
    <t>N/Factura F154005</t>
  </si>
  <si>
    <t>F154005</t>
  </si>
  <si>
    <t>N/Factura F154007</t>
  </si>
  <si>
    <t>F154007</t>
  </si>
  <si>
    <t>N/Factura F155371</t>
  </si>
  <si>
    <t>N/Factura F155832</t>
  </si>
  <si>
    <t>F155832</t>
  </si>
  <si>
    <t>N/Factura F156918</t>
  </si>
  <si>
    <t>NOMINA CBF NAVARRO S.L.</t>
  </si>
  <si>
    <t>N/Factura F157466</t>
  </si>
  <si>
    <t>F154447</t>
  </si>
  <si>
    <t>TRANSFERENCIA CBF NAVARRO S.</t>
  </si>
  <si>
    <t>F149975</t>
  </si>
  <si>
    <t>N/Factura F159467</t>
  </si>
  <si>
    <t>N/Factura F159891</t>
  </si>
  <si>
    <t>F159891</t>
  </si>
  <si>
    <t>N/Factura F159893</t>
  </si>
  <si>
    <t>F159893</t>
  </si>
  <si>
    <t>N/Factura F157978</t>
  </si>
  <si>
    <t>F157978</t>
  </si>
  <si>
    <t>N/Factura F158523</t>
  </si>
  <si>
    <t>F158523</t>
  </si>
  <si>
    <t>N/Factura F158962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</si>
</sst>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00000"/>
    <numFmt numFmtId="165" formatCode="dd/mm/yyyy;dd/mm/yyyy;"/>
    <numFmt numFmtId="166" formatCode="#,##0.00;[Red]\-#,##0.00;0"/>
    <numFmt numFmtId="167" formatCode="#,##0.00_ ;[Red]\-#,##0.00\ "/>
  </numFmts>
  <fonts count="7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  <font>
      <b/>
      <sz val="48"/>
      <color theme="1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quotePrefix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6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/>
    <xf numFmtId="0" fontId="0" fillId="4" borderId="0" xfId="0" quotePrefix="1" applyFill="1" applyAlignment="1">
      <alignment horizontal="left"/>
    </xf>
    <xf numFmtId="164" fontId="0" fillId="4" borderId="0" xfId="0" applyNumberFormat="1" applyFill="1"/>
    <xf numFmtId="164" fontId="2" fillId="5" borderId="0" xfId="0" applyNumberFormat="1" applyFont="1" applyFill="1"/>
    <xf numFmtId="0" fontId="0" fillId="5" borderId="0" xfId="0" applyFill="1"/>
    <xf numFmtId="0" fontId="0" fillId="5" borderId="0" xfId="0" applyFill="1" applyAlignment="1">
      <alignment horizontal="center"/>
    </xf>
    <xf numFmtId="165" fontId="0" fillId="5" borderId="0" xfId="0" applyNumberFormat="1" applyFill="1"/>
    <xf numFmtId="0" fontId="0" fillId="5" borderId="0" xfId="0" quotePrefix="1" applyFill="1" applyAlignment="1">
      <alignment horizontal="left"/>
    </xf>
    <xf numFmtId="166" fontId="0" fillId="5" borderId="0" xfId="0" applyNumberFormat="1" applyFill="1"/>
    <xf numFmtId="164" fontId="0" fillId="5" borderId="0" xfId="0" applyNumberFormat="1" applyFill="1"/>
    <xf numFmtId="0" fontId="2" fillId="6" borderId="0" xfId="0" applyFont="1" applyFill="1"/>
    <xf numFmtId="167" fontId="2" fillId="5" borderId="0" xfId="0" applyNumberFormat="1" applyFont="1" applyFill="1"/>
    <xf numFmtId="166" fontId="0" fillId="7" borderId="0" xfId="0" applyNumberFormat="1" applyFill="1"/>
    <xf numFmtId="164" fontId="2" fillId="7" borderId="0" xfId="0" applyNumberFormat="1" applyFont="1" applyFill="1"/>
    <xf numFmtId="167" fontId="2" fillId="7" borderId="0" xfId="0" applyNumberFormat="1" applyFont="1" applyFill="1"/>
    <xf numFmtId="164" fontId="2" fillId="8" borderId="0" xfId="0" applyNumberFormat="1" applyFont="1" applyFill="1"/>
    <xf numFmtId="166" fontId="0" fillId="8" borderId="0" xfId="0" applyNumberFormat="1" applyFill="1"/>
    <xf numFmtId="0" fontId="5" fillId="0" borderId="0" xfId="0" applyFont="1"/>
    <xf numFmtId="165" fontId="0" fillId="9" borderId="0" xfId="0" applyNumberFormat="1" applyFill="1"/>
    <xf numFmtId="0" fontId="0" fillId="9" borderId="0" xfId="0" applyFill="1"/>
    <xf numFmtId="0" fontId="0" fillId="9" borderId="0" xfId="0" quotePrefix="1" applyFill="1" applyAlignment="1">
      <alignment horizontal="left"/>
    </xf>
    <xf numFmtId="166" fontId="0" fillId="9" borderId="0" xfId="0" applyNumberFormat="1" applyFill="1"/>
    <xf numFmtId="166" fontId="0" fillId="10" borderId="0" xfId="0" applyNumberFormat="1" applyFill="1"/>
    <xf numFmtId="0" fontId="0" fillId="10" borderId="0" xfId="0" applyFill="1"/>
    <xf numFmtId="0" fontId="2" fillId="10" borderId="0" xfId="0" applyFont="1" applyFill="1"/>
    <xf numFmtId="0" fontId="0" fillId="10" borderId="0" xfId="0" applyFill="1" applyAlignment="1">
      <alignment horizontal="center"/>
    </xf>
    <xf numFmtId="165" fontId="0" fillId="10" borderId="0" xfId="0" applyNumberFormat="1" applyFill="1"/>
    <xf numFmtId="0" fontId="0" fillId="10" borderId="0" xfId="0" quotePrefix="1" applyFill="1" applyAlignment="1">
      <alignment horizontal="left"/>
    </xf>
    <xf numFmtId="164" fontId="0" fillId="10" borderId="0" xfId="0" applyNumberFormat="1" applyFill="1"/>
    <xf numFmtId="0" fontId="0" fillId="8" borderId="0" xfId="0" applyFill="1"/>
    <xf numFmtId="166" fontId="0" fillId="11" borderId="0" xfId="0" applyNumberFormat="1" applyFill="1"/>
    <xf numFmtId="164" fontId="0" fillId="11" borderId="0" xfId="0" applyNumberFormat="1" applyFill="1"/>
    <xf numFmtId="167" fontId="0" fillId="11" borderId="0" xfId="0" applyNumberFormat="1" applyFill="1"/>
    <xf numFmtId="164" fontId="2" fillId="11" borderId="0" xfId="0" applyNumberFormat="1" applyFont="1" applyFill="1"/>
    <xf numFmtId="0" fontId="2" fillId="11" borderId="0" xfId="0" applyFont="1" applyFill="1"/>
    <xf numFmtId="165" fontId="0" fillId="12" borderId="0" xfId="0" applyNumberFormat="1" applyFill="1"/>
    <xf numFmtId="0" fontId="0" fillId="12" borderId="0" xfId="0" applyFill="1"/>
    <xf numFmtId="0" fontId="0" fillId="12" borderId="0" xfId="0" quotePrefix="1" applyFill="1" applyAlignment="1">
      <alignment horizontal="left"/>
    </xf>
    <xf numFmtId="166" fontId="0" fillId="12" borderId="0" xfId="0" applyNumberFormat="1" applyFill="1"/>
    <xf numFmtId="166" fontId="0" fillId="13" borderId="0" xfId="0" applyNumberFormat="1" applyFill="1"/>
    <xf numFmtId="166" fontId="0" fillId="14" borderId="0" xfId="0" applyNumberFormat="1" applyFill="1"/>
    <xf numFmtId="166" fontId="0" fillId="15" borderId="0" xfId="0" applyNumberFormat="1" applyFill="1"/>
    <xf numFmtId="43" fontId="0" fillId="0" borderId="0" xfId="1" applyFont="1"/>
    <xf numFmtId="43" fontId="0" fillId="14" borderId="0" xfId="1" applyFont="1" applyFill="1"/>
    <xf numFmtId="43" fontId="0" fillId="15" borderId="0" xfId="1" applyFont="1" applyFill="1"/>
    <xf numFmtId="167" fontId="0" fillId="0" borderId="0" xfId="0" applyNumberFormat="1"/>
    <xf numFmtId="14" fontId="0" fillId="0" borderId="0" xfId="0" applyNumberFormat="1"/>
    <xf numFmtId="167" fontId="0" fillId="5" borderId="0" xfId="0" applyNumberFormat="1" applyFill="1"/>
    <xf numFmtId="14" fontId="0" fillId="0" borderId="0" xfId="1" applyNumberFormat="1" applyFont="1"/>
    <xf numFmtId="43" fontId="0" fillId="8" borderId="0" xfId="1" applyFont="1" applyFill="1"/>
    <xf numFmtId="43" fontId="0" fillId="13" borderId="0" xfId="1" applyFont="1" applyFill="1"/>
    <xf numFmtId="166" fontId="0" fillId="16" borderId="0" xfId="0" applyNumberFormat="1" applyFill="1"/>
    <xf numFmtId="43" fontId="0" fillId="16" borderId="0" xfId="1" applyFont="1" applyFill="1"/>
    <xf numFmtId="43" fontId="0" fillId="5" borderId="0" xfId="1" applyFont="1" applyFill="1"/>
    <xf numFmtId="0" fontId="2" fillId="9" borderId="0" xfId="0" applyFont="1" applyFill="1"/>
    <xf numFmtId="0" fontId="2" fillId="5" borderId="0" xfId="0" applyFont="1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167" fontId="0" fillId="8" borderId="0" xfId="0" applyNumberFormat="1" applyFill="1"/>
    <xf numFmtId="166" fontId="0" fillId="17" borderId="0" xfId="0" applyNumberFormat="1" applyFill="1"/>
    <xf numFmtId="43" fontId="2" fillId="17" borderId="0" xfId="1" applyFont="1" applyFill="1"/>
    <xf numFmtId="0" fontId="2" fillId="17" borderId="0" xfId="0" applyFont="1" applyFill="1"/>
    <xf numFmtId="166" fontId="2" fillId="17" borderId="0" xfId="0" applyNumberFormat="1" applyFont="1" applyFill="1"/>
    <xf numFmtId="167" fontId="0" fillId="7" borderId="0" xfId="0" applyNumberFormat="1" applyFill="1"/>
    <xf numFmtId="43" fontId="0" fillId="7" borderId="0" xfId="1" applyFont="1" applyFill="1"/>
    <xf numFmtId="164" fontId="0" fillId="7" borderId="0" xfId="0" applyNumberFormat="1" applyFill="1"/>
    <xf numFmtId="0" fontId="0" fillId="17" borderId="0" xfId="0" applyFill="1"/>
    <xf numFmtId="167" fontId="2" fillId="17" borderId="0" xfId="0" applyNumberFormat="1" applyFont="1" applyFill="1"/>
    <xf numFmtId="164" fontId="2" fillId="17" borderId="0" xfId="0" applyNumberFormat="1" applyFont="1" applyFill="1"/>
    <xf numFmtId="0" fontId="4" fillId="4" borderId="2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69D-109C-4D21-816E-AFC33F0FFE57}">
  <sheetPr>
    <pageSetUpPr fitToPage="1"/>
  </sheetPr>
  <dimension ref="A1:O1778"/>
  <sheetViews>
    <sheetView topLeftCell="A8" workbookViewId="0">
      <pane xSplit="2" topLeftCell="C1" activePane="topRight" state="frozen"/>
      <selection pane="topRight" activeCell="M178" sqref="M178"/>
    </sheetView>
  </sheetViews>
  <sheetFormatPr baseColWidth="10" defaultColWidth="9.140625" defaultRowHeight="15" x14ac:dyDescent="0.25"/>
  <cols>
    <col min="1" max="1" width="13.85546875" customWidth="1"/>
    <col min="2" max="2" width="15.140625" customWidth="1"/>
    <col min="3" max="3" width="5.7109375" customWidth="1"/>
    <col min="4" max="4" width="11" customWidth="1"/>
    <col min="5" max="5" width="30.85546875" customWidth="1"/>
    <col min="6" max="6" width="12" customWidth="1"/>
    <col min="7" max="7" width="10.140625" bestFit="1" customWidth="1"/>
    <col min="8" max="8" width="10.140625" customWidth="1"/>
    <col min="9" max="9" width="9.85546875" hidden="1" customWidth="1"/>
    <col min="10" max="10" width="20.5703125" customWidth="1"/>
  </cols>
  <sheetData>
    <row r="1" spans="1:10" ht="23.25" x14ac:dyDescent="0.35">
      <c r="A1" s="13" t="s">
        <v>8137</v>
      </c>
    </row>
    <row r="3" spans="1:10" x14ac:dyDescent="0.25">
      <c r="A3" s="4" t="s">
        <v>8138</v>
      </c>
    </row>
    <row r="4" spans="1:10" x14ac:dyDescent="0.25">
      <c r="A4" s="4" t="s">
        <v>8139</v>
      </c>
    </row>
    <row r="5" spans="1:10" x14ac:dyDescent="0.25">
      <c r="A5" s="4" t="s">
        <v>8140</v>
      </c>
    </row>
    <row r="7" spans="1:10" ht="16.5" thickTop="1" thickBot="1" x14ac:dyDescent="0.3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2"/>
    </row>
    <row r="8" spans="1:10" ht="44.25" customHeight="1" thickTop="1" x14ac:dyDescent="0.25">
      <c r="A8" s="86" t="s">
        <v>8141</v>
      </c>
      <c r="B8" s="86"/>
      <c r="C8" s="86"/>
      <c r="D8" s="86"/>
      <c r="E8" s="86"/>
      <c r="F8" s="86"/>
      <c r="G8" s="86"/>
      <c r="H8" s="86"/>
      <c r="I8" s="86"/>
      <c r="J8" s="86"/>
    </row>
    <row r="9" spans="1:10" hidden="1" x14ac:dyDescent="0.25">
      <c r="A9" s="5">
        <v>4000004</v>
      </c>
      <c r="B9" s="6" t="s">
        <v>9</v>
      </c>
      <c r="C9" s="7"/>
      <c r="D9" s="7"/>
      <c r="E9" s="7"/>
      <c r="F9" s="7"/>
      <c r="G9" s="7"/>
      <c r="H9" s="7"/>
      <c r="I9" s="7"/>
      <c r="J9" s="7"/>
    </row>
    <row r="10" spans="1:10" hidden="1" x14ac:dyDescent="0.25">
      <c r="E10" s="4" t="s">
        <v>10</v>
      </c>
      <c r="G10" s="8">
        <v>0</v>
      </c>
      <c r="H10" s="14">
        <v>301.63</v>
      </c>
      <c r="I10" s="8">
        <f>G10-H10</f>
        <v>-301.63</v>
      </c>
    </row>
    <row r="11" spans="1:10" hidden="1" x14ac:dyDescent="0.25">
      <c r="C11" s="9"/>
      <c r="D11" s="10">
        <v>45672</v>
      </c>
      <c r="E11" t="s">
        <v>11</v>
      </c>
      <c r="F11" s="11" t="s">
        <v>12</v>
      </c>
      <c r="G11" s="14">
        <v>267.63</v>
      </c>
      <c r="H11" s="8">
        <v>0</v>
      </c>
      <c r="I11" s="8">
        <f t="shared" ref="I11:I16" si="0">G11-H11+I10</f>
        <v>-34</v>
      </c>
      <c r="J11" s="12"/>
    </row>
    <row r="12" spans="1:10" hidden="1" x14ac:dyDescent="0.25">
      <c r="C12" s="9"/>
      <c r="D12" s="10">
        <v>45688</v>
      </c>
      <c r="E12" t="s">
        <v>13</v>
      </c>
      <c r="F12" s="11" t="s">
        <v>14</v>
      </c>
      <c r="G12" s="8">
        <v>0</v>
      </c>
      <c r="H12" s="14">
        <v>335.98</v>
      </c>
      <c r="I12" s="8">
        <f t="shared" si="0"/>
        <v>-369.98</v>
      </c>
      <c r="J12" s="12"/>
    </row>
    <row r="13" spans="1:10" hidden="1" x14ac:dyDescent="0.25">
      <c r="C13" s="9"/>
      <c r="D13" s="10">
        <v>45705</v>
      </c>
      <c r="E13" t="s">
        <v>11</v>
      </c>
      <c r="F13" s="11" t="s">
        <v>15</v>
      </c>
      <c r="G13" s="14">
        <v>34</v>
      </c>
      <c r="H13" s="8">
        <v>0</v>
      </c>
      <c r="I13" s="8">
        <f t="shared" si="0"/>
        <v>-335.98</v>
      </c>
      <c r="J13" s="12"/>
    </row>
    <row r="14" spans="1:10" hidden="1" x14ac:dyDescent="0.25">
      <c r="C14" s="9"/>
      <c r="D14" s="10">
        <v>45716</v>
      </c>
      <c r="E14" t="s">
        <v>16</v>
      </c>
      <c r="F14" s="11" t="s">
        <v>17</v>
      </c>
      <c r="G14" s="8">
        <v>0</v>
      </c>
      <c r="H14" s="8">
        <v>30.86</v>
      </c>
      <c r="I14" s="8">
        <f t="shared" si="0"/>
        <v>-366.84000000000003</v>
      </c>
      <c r="J14" s="12"/>
    </row>
    <row r="15" spans="1:10" hidden="1" x14ac:dyDescent="0.25">
      <c r="C15" s="9"/>
      <c r="D15" s="10">
        <v>45733</v>
      </c>
      <c r="E15" t="s">
        <v>11</v>
      </c>
      <c r="F15" s="11" t="s">
        <v>14</v>
      </c>
      <c r="G15" s="14">
        <v>335.98</v>
      </c>
      <c r="H15" s="8">
        <v>0</v>
      </c>
      <c r="I15" s="8">
        <f t="shared" si="0"/>
        <v>-30.860000000000014</v>
      </c>
      <c r="J15" s="12"/>
    </row>
    <row r="16" spans="1:10" hidden="1" x14ac:dyDescent="0.25">
      <c r="C16" s="9"/>
      <c r="D16" s="10">
        <v>45747</v>
      </c>
      <c r="E16" t="s">
        <v>18</v>
      </c>
      <c r="F16" s="11" t="s">
        <v>19</v>
      </c>
      <c r="G16" s="8">
        <v>0</v>
      </c>
      <c r="H16" s="8">
        <v>281.27999999999997</v>
      </c>
      <c r="I16" s="8">
        <f t="shared" si="0"/>
        <v>-312.14</v>
      </c>
      <c r="J16" s="12"/>
    </row>
    <row r="17" spans="1:10" hidden="1" x14ac:dyDescent="0.25">
      <c r="E17" s="4" t="s">
        <v>20</v>
      </c>
      <c r="G17" s="8">
        <f>SUM(G10:G16)</f>
        <v>637.61</v>
      </c>
      <c r="H17" s="8">
        <f>SUM(H10:H16)</f>
        <v>949.75</v>
      </c>
      <c r="I17" s="8">
        <f>G17-H17</f>
        <v>-312.14</v>
      </c>
    </row>
    <row r="18" spans="1:10" hidden="1" x14ac:dyDescent="0.25"/>
    <row r="19" spans="1:10" hidden="1" x14ac:dyDescent="0.25">
      <c r="A19" s="5">
        <v>4000006</v>
      </c>
      <c r="B19" s="6" t="s">
        <v>21</v>
      </c>
      <c r="C19" s="7"/>
      <c r="D19" s="7"/>
      <c r="E19" s="7"/>
      <c r="F19" s="7"/>
      <c r="G19" s="7"/>
      <c r="H19" s="7"/>
      <c r="I19" s="7"/>
      <c r="J19" s="7"/>
    </row>
    <row r="20" spans="1:10" hidden="1" x14ac:dyDescent="0.25">
      <c r="E20" s="4" t="s">
        <v>10</v>
      </c>
      <c r="G20" s="8">
        <v>0</v>
      </c>
      <c r="H20" s="14">
        <v>1682.72</v>
      </c>
      <c r="I20" s="8">
        <f>G20-H20</f>
        <v>-1682.72</v>
      </c>
    </row>
    <row r="21" spans="1:10" hidden="1" x14ac:dyDescent="0.25">
      <c r="C21" s="9"/>
      <c r="D21" s="10">
        <v>45660</v>
      </c>
      <c r="E21" t="s">
        <v>22</v>
      </c>
      <c r="F21" s="11" t="s">
        <v>23</v>
      </c>
      <c r="G21" s="8">
        <v>0</v>
      </c>
      <c r="H21" s="14">
        <v>677.55</v>
      </c>
      <c r="I21" s="8">
        <f t="shared" ref="I21:I27" si="1">G21-H21+I20</f>
        <v>-2360.27</v>
      </c>
      <c r="J21" s="12"/>
    </row>
    <row r="22" spans="1:10" hidden="1" x14ac:dyDescent="0.25">
      <c r="C22" s="9"/>
      <c r="D22" s="10">
        <v>45672</v>
      </c>
      <c r="E22" t="s">
        <v>11</v>
      </c>
      <c r="F22" s="11" t="s">
        <v>24</v>
      </c>
      <c r="G22" s="14">
        <v>341.89</v>
      </c>
      <c r="H22" s="8">
        <v>0</v>
      </c>
      <c r="I22" s="8">
        <f t="shared" si="1"/>
        <v>-2018.38</v>
      </c>
      <c r="J22" s="12"/>
    </row>
    <row r="23" spans="1:10" hidden="1" x14ac:dyDescent="0.25">
      <c r="C23" s="9"/>
      <c r="D23" s="10">
        <v>45705</v>
      </c>
      <c r="E23" t="s">
        <v>11</v>
      </c>
      <c r="F23" s="11" t="s">
        <v>25</v>
      </c>
      <c r="G23" s="14">
        <v>448.7</v>
      </c>
      <c r="H23" s="8">
        <v>0</v>
      </c>
      <c r="I23" s="8">
        <f t="shared" si="1"/>
        <v>-1569.68</v>
      </c>
      <c r="J23" s="12"/>
    </row>
    <row r="24" spans="1:10" hidden="1" x14ac:dyDescent="0.25">
      <c r="C24" s="9"/>
      <c r="D24" s="10">
        <v>45715</v>
      </c>
      <c r="E24" t="s">
        <v>26</v>
      </c>
      <c r="F24" s="11" t="s">
        <v>27</v>
      </c>
      <c r="G24" s="8">
        <v>0</v>
      </c>
      <c r="H24" s="8">
        <v>1382</v>
      </c>
      <c r="I24" s="8">
        <f t="shared" si="1"/>
        <v>-2951.6800000000003</v>
      </c>
      <c r="J24" s="12"/>
    </row>
    <row r="25" spans="1:10" hidden="1" x14ac:dyDescent="0.25">
      <c r="C25" s="9"/>
      <c r="D25" s="10">
        <v>45733</v>
      </c>
      <c r="E25" t="s">
        <v>11</v>
      </c>
      <c r="F25" s="11" t="s">
        <v>28</v>
      </c>
      <c r="G25" s="14">
        <v>892.13</v>
      </c>
      <c r="H25" s="8">
        <v>0</v>
      </c>
      <c r="I25" s="8">
        <f t="shared" si="1"/>
        <v>-2059.5500000000002</v>
      </c>
      <c r="J25" s="12"/>
    </row>
    <row r="26" spans="1:10" hidden="1" x14ac:dyDescent="0.25">
      <c r="C26" s="9"/>
      <c r="D26" s="10">
        <v>45743</v>
      </c>
      <c r="E26" t="s">
        <v>29</v>
      </c>
      <c r="F26" s="11" t="s">
        <v>30</v>
      </c>
      <c r="G26" s="8">
        <v>0</v>
      </c>
      <c r="H26" s="8">
        <v>383.07</v>
      </c>
      <c r="I26" s="8">
        <f t="shared" si="1"/>
        <v>-2442.6200000000003</v>
      </c>
      <c r="J26" s="12"/>
    </row>
    <row r="27" spans="1:10" hidden="1" x14ac:dyDescent="0.25">
      <c r="C27" s="9"/>
      <c r="D27" s="10">
        <v>45762</v>
      </c>
      <c r="E27" t="s">
        <v>11</v>
      </c>
      <c r="F27" s="11" t="s">
        <v>23</v>
      </c>
      <c r="G27" s="14">
        <v>677.55</v>
      </c>
      <c r="H27" s="8">
        <v>0</v>
      </c>
      <c r="I27" s="8">
        <f t="shared" si="1"/>
        <v>-1765.0700000000004</v>
      </c>
      <c r="J27" s="12"/>
    </row>
    <row r="28" spans="1:10" hidden="1" x14ac:dyDescent="0.25">
      <c r="E28" s="4" t="s">
        <v>20</v>
      </c>
      <c r="G28" s="8">
        <f>SUM(G20:G27)</f>
        <v>2360.2699999999995</v>
      </c>
      <c r="H28" s="8">
        <f>SUM(H20:H27)</f>
        <v>4125.34</v>
      </c>
      <c r="I28" s="8">
        <f>G28-H28</f>
        <v>-1765.0700000000006</v>
      </c>
    </row>
    <row r="29" spans="1:10" hidden="1" x14ac:dyDescent="0.25"/>
    <row r="30" spans="1:10" hidden="1" x14ac:dyDescent="0.25">
      <c r="A30" s="5">
        <v>4000007</v>
      </c>
      <c r="B30" s="6" t="s">
        <v>31</v>
      </c>
      <c r="C30" s="7"/>
      <c r="D30" s="7"/>
      <c r="E30" s="7"/>
      <c r="F30" s="7"/>
      <c r="G30" s="7"/>
      <c r="H30" s="7"/>
      <c r="I30" s="7"/>
      <c r="J30" s="7"/>
    </row>
    <row r="31" spans="1:10" s="15" customFormat="1" hidden="1" x14ac:dyDescent="0.25">
      <c r="C31" s="16"/>
      <c r="D31" s="17">
        <v>45658</v>
      </c>
      <c r="E31" s="15" t="s">
        <v>32</v>
      </c>
      <c r="F31" s="18" t="s">
        <v>33</v>
      </c>
      <c r="G31" s="14">
        <v>0</v>
      </c>
      <c r="H31" s="14">
        <v>39.92</v>
      </c>
      <c r="I31" s="14">
        <f>G31-H31</f>
        <v>-39.92</v>
      </c>
      <c r="J31" s="19"/>
    </row>
    <row r="32" spans="1:10" s="15" customFormat="1" hidden="1" x14ac:dyDescent="0.25">
      <c r="C32" s="16"/>
      <c r="D32" s="17">
        <v>45658</v>
      </c>
      <c r="E32" s="15" t="s">
        <v>34</v>
      </c>
      <c r="F32" s="18" t="s">
        <v>35</v>
      </c>
      <c r="G32" s="14">
        <v>0</v>
      </c>
      <c r="H32" s="14">
        <v>12.1</v>
      </c>
      <c r="I32" s="14">
        <f t="shared" ref="I32:I45" si="2">G32-H32+I31</f>
        <v>-52.02</v>
      </c>
      <c r="J32" s="19"/>
    </row>
    <row r="33" spans="1:10" s="15" customFormat="1" hidden="1" x14ac:dyDescent="0.25">
      <c r="C33" s="16"/>
      <c r="D33" s="17">
        <v>45659</v>
      </c>
      <c r="E33" s="15" t="s">
        <v>11</v>
      </c>
      <c r="F33" s="18" t="s">
        <v>35</v>
      </c>
      <c r="G33" s="14">
        <v>12.1</v>
      </c>
      <c r="H33" s="14">
        <v>0</v>
      </c>
      <c r="I33" s="14">
        <f t="shared" si="2"/>
        <v>-39.92</v>
      </c>
      <c r="J33" s="19"/>
    </row>
    <row r="34" spans="1:10" s="15" customFormat="1" hidden="1" x14ac:dyDescent="0.25">
      <c r="C34" s="16"/>
      <c r="D34" s="17">
        <v>45659</v>
      </c>
      <c r="E34" s="15" t="s">
        <v>11</v>
      </c>
      <c r="F34" s="18" t="s">
        <v>33</v>
      </c>
      <c r="G34" s="14">
        <v>39.92</v>
      </c>
      <c r="H34" s="14">
        <v>0</v>
      </c>
      <c r="I34" s="14">
        <f t="shared" si="2"/>
        <v>0</v>
      </c>
      <c r="J34" s="19"/>
    </row>
    <row r="35" spans="1:10" s="15" customFormat="1" hidden="1" x14ac:dyDescent="0.25">
      <c r="C35" s="16"/>
      <c r="D35" s="17">
        <v>45689</v>
      </c>
      <c r="E35" s="15" t="s">
        <v>36</v>
      </c>
      <c r="F35" s="18" t="s">
        <v>37</v>
      </c>
      <c r="G35" s="14">
        <v>0</v>
      </c>
      <c r="H35" s="14">
        <v>41.9</v>
      </c>
      <c r="I35" s="14">
        <f t="shared" si="2"/>
        <v>-41.9</v>
      </c>
      <c r="J35" s="19"/>
    </row>
    <row r="36" spans="1:10" s="15" customFormat="1" hidden="1" x14ac:dyDescent="0.25">
      <c r="C36" s="16"/>
      <c r="D36" s="17">
        <v>45689</v>
      </c>
      <c r="E36" s="15" t="s">
        <v>38</v>
      </c>
      <c r="F36" s="18" t="s">
        <v>39</v>
      </c>
      <c r="G36" s="14">
        <v>0</v>
      </c>
      <c r="H36" s="14">
        <v>12.1</v>
      </c>
      <c r="I36" s="14">
        <f t="shared" si="2"/>
        <v>-54</v>
      </c>
      <c r="J36" s="19"/>
    </row>
    <row r="37" spans="1:10" s="15" customFormat="1" hidden="1" x14ac:dyDescent="0.25">
      <c r="C37" s="16"/>
      <c r="D37" s="17">
        <v>45691</v>
      </c>
      <c r="E37" s="15" t="s">
        <v>11</v>
      </c>
      <c r="F37" s="18" t="s">
        <v>35</v>
      </c>
      <c r="G37" s="14">
        <v>12.1</v>
      </c>
      <c r="H37" s="14">
        <v>0</v>
      </c>
      <c r="I37" s="14">
        <f t="shared" si="2"/>
        <v>-41.9</v>
      </c>
      <c r="J37" s="19"/>
    </row>
    <row r="38" spans="1:10" s="15" customFormat="1" hidden="1" x14ac:dyDescent="0.25">
      <c r="C38" s="16"/>
      <c r="D38" s="17">
        <v>45691</v>
      </c>
      <c r="E38" s="15" t="s">
        <v>11</v>
      </c>
      <c r="F38" s="18" t="s">
        <v>40</v>
      </c>
      <c r="G38" s="14">
        <v>41.9</v>
      </c>
      <c r="H38" s="14">
        <v>0</v>
      </c>
      <c r="I38" s="14">
        <f t="shared" si="2"/>
        <v>0</v>
      </c>
      <c r="J38" s="19"/>
    </row>
    <row r="39" spans="1:10" hidden="1" x14ac:dyDescent="0.25">
      <c r="C39" s="9"/>
      <c r="D39" s="10">
        <v>45691</v>
      </c>
      <c r="E39" t="s">
        <v>41</v>
      </c>
      <c r="F39" s="11" t="s">
        <v>42</v>
      </c>
      <c r="G39" s="8">
        <v>0</v>
      </c>
      <c r="H39" s="8">
        <v>0</v>
      </c>
      <c r="I39" s="8">
        <f t="shared" si="2"/>
        <v>0</v>
      </c>
      <c r="J39" s="20" t="s">
        <v>8144</v>
      </c>
    </row>
    <row r="40" spans="1:10" hidden="1" x14ac:dyDescent="0.25">
      <c r="C40" s="9"/>
      <c r="D40" s="10">
        <v>45717</v>
      </c>
      <c r="E40" t="s">
        <v>43</v>
      </c>
      <c r="F40" s="11" t="s">
        <v>44</v>
      </c>
      <c r="G40" s="8">
        <v>0</v>
      </c>
      <c r="H40" s="8">
        <v>42.61</v>
      </c>
      <c r="I40" s="8">
        <f t="shared" si="2"/>
        <v>-42.61</v>
      </c>
      <c r="J40" s="12"/>
    </row>
    <row r="41" spans="1:10" hidden="1" x14ac:dyDescent="0.25">
      <c r="C41" s="9"/>
      <c r="D41" s="10">
        <v>45717</v>
      </c>
      <c r="E41" t="s">
        <v>45</v>
      </c>
      <c r="F41" s="11" t="s">
        <v>46</v>
      </c>
      <c r="G41" s="8">
        <v>0</v>
      </c>
      <c r="H41" s="8">
        <v>14.52</v>
      </c>
      <c r="I41" s="8">
        <f t="shared" si="2"/>
        <v>-57.129999999999995</v>
      </c>
      <c r="J41" s="12"/>
    </row>
    <row r="42" spans="1:10" hidden="1" x14ac:dyDescent="0.25">
      <c r="C42" s="9"/>
      <c r="D42" s="10">
        <v>45719</v>
      </c>
      <c r="E42" t="s">
        <v>11</v>
      </c>
      <c r="F42" s="11" t="s">
        <v>46</v>
      </c>
      <c r="G42" s="8">
        <v>14.52</v>
      </c>
      <c r="H42" s="8">
        <v>0</v>
      </c>
      <c r="I42" s="8">
        <f t="shared" si="2"/>
        <v>-42.61</v>
      </c>
      <c r="J42" s="12"/>
    </row>
    <row r="43" spans="1:10" hidden="1" x14ac:dyDescent="0.25">
      <c r="C43" s="9"/>
      <c r="D43" s="10">
        <v>45719</v>
      </c>
      <c r="E43" t="s">
        <v>11</v>
      </c>
      <c r="F43" s="11" t="s">
        <v>44</v>
      </c>
      <c r="G43" s="8">
        <v>42.61</v>
      </c>
      <c r="H43" s="8">
        <v>0</v>
      </c>
      <c r="I43" s="8">
        <f t="shared" si="2"/>
        <v>0</v>
      </c>
      <c r="J43" s="12"/>
    </row>
    <row r="44" spans="1:10" hidden="1" x14ac:dyDescent="0.25">
      <c r="C44" s="9"/>
      <c r="D44" s="10">
        <v>45748</v>
      </c>
      <c r="E44" t="s">
        <v>11</v>
      </c>
      <c r="F44" s="11" t="s">
        <v>46</v>
      </c>
      <c r="G44" s="8">
        <v>14.52</v>
      </c>
      <c r="H44" s="8">
        <v>0</v>
      </c>
      <c r="I44" s="8">
        <f t="shared" si="2"/>
        <v>14.52</v>
      </c>
      <c r="J44" s="12"/>
    </row>
    <row r="45" spans="1:10" hidden="1" x14ac:dyDescent="0.25">
      <c r="C45" s="9"/>
      <c r="D45" s="10">
        <v>45748</v>
      </c>
      <c r="E45" t="s">
        <v>11</v>
      </c>
      <c r="F45" s="11" t="s">
        <v>33</v>
      </c>
      <c r="G45" s="8">
        <v>39.92</v>
      </c>
      <c r="H45" s="8">
        <v>0</v>
      </c>
      <c r="I45" s="8">
        <f t="shared" si="2"/>
        <v>54.44</v>
      </c>
      <c r="J45" s="12"/>
    </row>
    <row r="46" spans="1:10" hidden="1" x14ac:dyDescent="0.25">
      <c r="E46" s="4" t="s">
        <v>20</v>
      </c>
      <c r="G46" s="8">
        <f>SUM(G31:G45)</f>
        <v>217.59000000000003</v>
      </c>
      <c r="H46" s="8">
        <f>SUM(H31:H45)</f>
        <v>163.15</v>
      </c>
      <c r="I46" s="8">
        <f>G46-H46</f>
        <v>54.440000000000026</v>
      </c>
    </row>
    <row r="47" spans="1:10" hidden="1" x14ac:dyDescent="0.25"/>
    <row r="48" spans="1:10" hidden="1" x14ac:dyDescent="0.25">
      <c r="A48" s="5">
        <v>4000008</v>
      </c>
      <c r="B48" s="6" t="s">
        <v>47</v>
      </c>
      <c r="C48" s="7"/>
      <c r="D48" s="7"/>
      <c r="E48" s="7"/>
      <c r="F48" s="7"/>
      <c r="G48" s="7"/>
      <c r="H48" s="7"/>
      <c r="I48" s="7"/>
      <c r="J48" s="7"/>
    </row>
    <row r="49" spans="1:10" s="21" customFormat="1" hidden="1" x14ac:dyDescent="0.25">
      <c r="C49" s="22"/>
      <c r="D49" s="23">
        <v>45658</v>
      </c>
      <c r="E49" s="21" t="s">
        <v>48</v>
      </c>
      <c r="F49" s="24" t="s">
        <v>49</v>
      </c>
      <c r="G49" s="25">
        <v>0</v>
      </c>
      <c r="H49" s="25">
        <v>346.47</v>
      </c>
      <c r="I49" s="25">
        <f>G49-H49</f>
        <v>-346.47</v>
      </c>
      <c r="J49" s="26"/>
    </row>
    <row r="50" spans="1:10" s="21" customFormat="1" hidden="1" x14ac:dyDescent="0.25">
      <c r="C50" s="22"/>
      <c r="D50" s="23">
        <v>45659</v>
      </c>
      <c r="E50" s="21" t="s">
        <v>11</v>
      </c>
      <c r="F50" s="24" t="s">
        <v>49</v>
      </c>
      <c r="G50" s="25">
        <v>346.47</v>
      </c>
      <c r="H50" s="25">
        <v>0</v>
      </c>
      <c r="I50" s="25">
        <f t="shared" ref="I50:I60" si="3">G50-H50+I49</f>
        <v>0</v>
      </c>
      <c r="J50" s="26"/>
    </row>
    <row r="51" spans="1:10" s="21" customFormat="1" hidden="1" x14ac:dyDescent="0.25">
      <c r="C51" s="22"/>
      <c r="D51" s="23">
        <v>45682</v>
      </c>
      <c r="E51" s="21" t="s">
        <v>50</v>
      </c>
      <c r="F51" s="24" t="s">
        <v>51</v>
      </c>
      <c r="G51" s="25">
        <v>0</v>
      </c>
      <c r="H51" s="25">
        <v>147.85</v>
      </c>
      <c r="I51" s="25">
        <f t="shared" si="3"/>
        <v>-147.85</v>
      </c>
      <c r="J51" s="26"/>
    </row>
    <row r="52" spans="1:10" s="21" customFormat="1" hidden="1" x14ac:dyDescent="0.25">
      <c r="C52" s="22"/>
      <c r="D52" s="23">
        <v>45684</v>
      </c>
      <c r="E52" s="21" t="s">
        <v>11</v>
      </c>
      <c r="F52" s="24" t="s">
        <v>51</v>
      </c>
      <c r="G52" s="25">
        <v>147.85</v>
      </c>
      <c r="H52" s="25">
        <v>0</v>
      </c>
      <c r="I52" s="25">
        <f t="shared" si="3"/>
        <v>0</v>
      </c>
      <c r="J52" s="26"/>
    </row>
    <row r="53" spans="1:10" hidden="1" x14ac:dyDescent="0.25">
      <c r="C53" s="9"/>
      <c r="D53" s="10">
        <v>45689</v>
      </c>
      <c r="E53" t="s">
        <v>52</v>
      </c>
      <c r="F53" s="11" t="s">
        <v>53</v>
      </c>
      <c r="G53" s="8">
        <v>347.5</v>
      </c>
      <c r="H53" s="8">
        <v>347.5</v>
      </c>
      <c r="I53" s="8">
        <f t="shared" si="3"/>
        <v>0</v>
      </c>
      <c r="J53" s="12"/>
    </row>
    <row r="54" spans="1:10" hidden="1" x14ac:dyDescent="0.25">
      <c r="C54" s="9"/>
      <c r="D54" s="10">
        <v>45713</v>
      </c>
      <c r="E54" t="s">
        <v>54</v>
      </c>
      <c r="F54" s="11" t="s">
        <v>55</v>
      </c>
      <c r="G54" s="25">
        <v>0</v>
      </c>
      <c r="H54" s="25">
        <v>146.87</v>
      </c>
      <c r="I54" s="8">
        <f t="shared" si="3"/>
        <v>-146.87</v>
      </c>
      <c r="J54" s="12"/>
    </row>
    <row r="55" spans="1:10" hidden="1" x14ac:dyDescent="0.25">
      <c r="C55" s="9"/>
      <c r="D55" s="10">
        <v>45713</v>
      </c>
      <c r="E55" t="s">
        <v>11</v>
      </c>
      <c r="F55" s="11" t="s">
        <v>55</v>
      </c>
      <c r="G55" s="25">
        <v>146.87</v>
      </c>
      <c r="H55" s="25">
        <v>0</v>
      </c>
      <c r="I55" s="8">
        <f t="shared" si="3"/>
        <v>0</v>
      </c>
      <c r="J55" s="12"/>
    </row>
    <row r="56" spans="1:10" hidden="1" x14ac:dyDescent="0.25">
      <c r="C56" s="9"/>
      <c r="D56" s="10">
        <v>45717</v>
      </c>
      <c r="E56" t="s">
        <v>56</v>
      </c>
      <c r="F56" s="11" t="s">
        <v>57</v>
      </c>
      <c r="G56" s="25">
        <v>0</v>
      </c>
      <c r="H56" s="25">
        <v>351.2</v>
      </c>
      <c r="I56" s="8">
        <f t="shared" si="3"/>
        <v>-351.2</v>
      </c>
      <c r="J56" s="12"/>
    </row>
    <row r="57" spans="1:10" hidden="1" x14ac:dyDescent="0.25">
      <c r="C57" s="9"/>
      <c r="D57" s="10">
        <v>45719</v>
      </c>
      <c r="E57" t="s">
        <v>11</v>
      </c>
      <c r="F57" s="11" t="s">
        <v>57</v>
      </c>
      <c r="G57" s="25">
        <v>351.2</v>
      </c>
      <c r="H57" s="25">
        <v>0</v>
      </c>
      <c r="I57" s="8">
        <f t="shared" si="3"/>
        <v>0</v>
      </c>
      <c r="J57" s="12"/>
    </row>
    <row r="58" spans="1:10" hidden="1" x14ac:dyDescent="0.25">
      <c r="C58" s="9"/>
      <c r="D58" s="10">
        <v>45741</v>
      </c>
      <c r="E58" t="s">
        <v>58</v>
      </c>
      <c r="F58" s="11" t="s">
        <v>59</v>
      </c>
      <c r="G58" s="25">
        <v>0</v>
      </c>
      <c r="H58" s="25">
        <v>144.80000000000001</v>
      </c>
      <c r="I58" s="8">
        <f t="shared" si="3"/>
        <v>-144.80000000000001</v>
      </c>
      <c r="J58" s="12"/>
    </row>
    <row r="59" spans="1:10" hidden="1" x14ac:dyDescent="0.25">
      <c r="C59" s="9"/>
      <c r="D59" s="10">
        <v>45741</v>
      </c>
      <c r="E59" t="s">
        <v>11</v>
      </c>
      <c r="F59" s="11" t="s">
        <v>59</v>
      </c>
      <c r="G59" s="25">
        <v>144.80000000000001</v>
      </c>
      <c r="H59" s="25">
        <v>0</v>
      </c>
      <c r="I59" s="8">
        <f t="shared" si="3"/>
        <v>0</v>
      </c>
      <c r="J59" s="12"/>
    </row>
    <row r="60" spans="1:10" hidden="1" x14ac:dyDescent="0.25">
      <c r="C60" s="9"/>
      <c r="D60" s="10">
        <v>45748</v>
      </c>
      <c r="E60" t="s">
        <v>60</v>
      </c>
      <c r="F60" s="11" t="s">
        <v>42</v>
      </c>
      <c r="G60" s="8">
        <v>352.06</v>
      </c>
      <c r="H60" s="8">
        <v>0</v>
      </c>
      <c r="I60" s="8">
        <f t="shared" si="3"/>
        <v>352.06</v>
      </c>
      <c r="J60" s="12"/>
    </row>
    <row r="61" spans="1:10" hidden="1" x14ac:dyDescent="0.25">
      <c r="E61" s="4" t="s">
        <v>20</v>
      </c>
      <c r="G61" s="8">
        <f>SUM(G49:G60)</f>
        <v>1836.75</v>
      </c>
      <c r="H61" s="8">
        <f>SUM(H49:H60)</f>
        <v>1484.69</v>
      </c>
      <c r="I61" s="8">
        <f>G61-H61</f>
        <v>352.05999999999995</v>
      </c>
    </row>
    <row r="62" spans="1:10" hidden="1" x14ac:dyDescent="0.25"/>
    <row r="63" spans="1:10" hidden="1" x14ac:dyDescent="0.25">
      <c r="A63" s="5">
        <v>4000011</v>
      </c>
      <c r="B63" s="6" t="s">
        <v>61</v>
      </c>
      <c r="C63" s="7"/>
      <c r="D63" s="7"/>
      <c r="E63" s="7"/>
      <c r="F63" s="7"/>
      <c r="G63" s="7"/>
      <c r="H63" s="7"/>
      <c r="I63" s="7"/>
      <c r="J63" s="7"/>
    </row>
    <row r="64" spans="1:10" hidden="1" x14ac:dyDescent="0.25">
      <c r="E64" s="4" t="s">
        <v>10</v>
      </c>
      <c r="G64" s="8">
        <v>0</v>
      </c>
      <c r="H64" s="8">
        <v>212.61</v>
      </c>
      <c r="I64" s="8">
        <f>G64-H64</f>
        <v>-212.61</v>
      </c>
    </row>
    <row r="65" spans="1:15" hidden="1" x14ac:dyDescent="0.25">
      <c r="C65" s="9"/>
      <c r="D65" s="10">
        <v>45684</v>
      </c>
      <c r="E65" t="s">
        <v>62</v>
      </c>
      <c r="F65" s="11" t="s">
        <v>42</v>
      </c>
      <c r="G65" s="8">
        <v>212.61</v>
      </c>
      <c r="H65" s="8">
        <v>0</v>
      </c>
      <c r="I65" s="8">
        <f t="shared" ref="I65:I70" si="4">G65-H65+I64</f>
        <v>0</v>
      </c>
      <c r="J65" s="12"/>
    </row>
    <row r="66" spans="1:15" hidden="1" x14ac:dyDescent="0.25">
      <c r="C66" s="9"/>
      <c r="D66" s="10">
        <v>45688</v>
      </c>
      <c r="E66" t="s">
        <v>63</v>
      </c>
      <c r="F66" s="11" t="s">
        <v>64</v>
      </c>
      <c r="G66" s="8">
        <v>0</v>
      </c>
      <c r="H66" s="8">
        <v>222.18</v>
      </c>
      <c r="I66" s="8">
        <f t="shared" si="4"/>
        <v>-222.18</v>
      </c>
      <c r="J66" s="12"/>
    </row>
    <row r="67" spans="1:15" hidden="1" x14ac:dyDescent="0.25">
      <c r="C67" s="9"/>
      <c r="D67" s="10">
        <v>45713</v>
      </c>
      <c r="E67" t="s">
        <v>65</v>
      </c>
      <c r="F67" s="11" t="s">
        <v>42</v>
      </c>
      <c r="G67" s="8">
        <v>222.18</v>
      </c>
      <c r="H67" s="8">
        <v>0</v>
      </c>
      <c r="I67" s="8">
        <f t="shared" si="4"/>
        <v>0</v>
      </c>
      <c r="J67" s="12"/>
    </row>
    <row r="68" spans="1:15" hidden="1" x14ac:dyDescent="0.25">
      <c r="C68" s="9"/>
      <c r="D68" s="10">
        <v>45716</v>
      </c>
      <c r="E68" t="s">
        <v>66</v>
      </c>
      <c r="F68" s="11" t="s">
        <v>67</v>
      </c>
      <c r="G68" s="8">
        <v>0</v>
      </c>
      <c r="H68" s="8">
        <v>222.18</v>
      </c>
      <c r="I68" s="8">
        <f t="shared" si="4"/>
        <v>-222.18</v>
      </c>
      <c r="J68" s="12"/>
    </row>
    <row r="69" spans="1:15" hidden="1" x14ac:dyDescent="0.25">
      <c r="C69" s="9"/>
      <c r="D69" s="10">
        <v>45741</v>
      </c>
      <c r="E69" t="s">
        <v>68</v>
      </c>
      <c r="F69" s="11" t="s">
        <v>42</v>
      </c>
      <c r="G69" s="8">
        <v>222.18</v>
      </c>
      <c r="H69" s="8">
        <v>0</v>
      </c>
      <c r="I69" s="8">
        <f t="shared" si="4"/>
        <v>0</v>
      </c>
      <c r="J69" s="12"/>
    </row>
    <row r="70" spans="1:15" hidden="1" x14ac:dyDescent="0.25">
      <c r="C70" s="9"/>
      <c r="D70" s="10">
        <v>45747</v>
      </c>
      <c r="E70" t="s">
        <v>69</v>
      </c>
      <c r="F70" s="11" t="s">
        <v>70</v>
      </c>
      <c r="G70" s="8">
        <v>0</v>
      </c>
      <c r="H70" s="8">
        <v>222.18</v>
      </c>
      <c r="I70" s="8">
        <f t="shared" si="4"/>
        <v>-222.18</v>
      </c>
      <c r="J70" s="12"/>
    </row>
    <row r="71" spans="1:15" hidden="1" x14ac:dyDescent="0.25">
      <c r="E71" s="4" t="s">
        <v>20</v>
      </c>
      <c r="G71" s="8">
        <f>SUM(G64:G70)</f>
        <v>656.97</v>
      </c>
      <c r="H71" s="8">
        <f>SUM(H64:H70)</f>
        <v>879.15000000000009</v>
      </c>
      <c r="I71" s="8">
        <f>G71-H71</f>
        <v>-222.18000000000006</v>
      </c>
    </row>
    <row r="72" spans="1:15" hidden="1" x14ac:dyDescent="0.25"/>
    <row r="73" spans="1:15" x14ac:dyDescent="0.25">
      <c r="A73" s="5">
        <v>4000014</v>
      </c>
      <c r="B73" s="6" t="s">
        <v>71</v>
      </c>
      <c r="C73" s="7"/>
      <c r="D73" s="7"/>
      <c r="E73" s="7"/>
      <c r="F73" s="7"/>
      <c r="G73" s="7"/>
      <c r="H73" s="7"/>
      <c r="I73" s="7"/>
      <c r="J73" s="27" t="s">
        <v>8145</v>
      </c>
      <c r="K73" s="27"/>
      <c r="L73" s="27"/>
      <c r="M73" s="27"/>
      <c r="N73" s="27"/>
      <c r="O73" s="27"/>
    </row>
    <row r="74" spans="1:15" hidden="1" x14ac:dyDescent="0.25">
      <c r="E74" s="4" t="s">
        <v>10</v>
      </c>
      <c r="G74" s="8">
        <v>0</v>
      </c>
      <c r="H74" s="8">
        <v>24090.99</v>
      </c>
      <c r="I74" s="8">
        <f>G74-H74</f>
        <v>-24090.99</v>
      </c>
    </row>
    <row r="75" spans="1:15" hidden="1" x14ac:dyDescent="0.25">
      <c r="C75" s="9"/>
      <c r="D75" s="10">
        <v>45665</v>
      </c>
      <c r="E75" t="s">
        <v>72</v>
      </c>
      <c r="F75" s="11" t="s">
        <v>42</v>
      </c>
      <c r="G75" s="8">
        <v>7865</v>
      </c>
      <c r="H75" s="8">
        <v>0</v>
      </c>
      <c r="I75" s="8">
        <f t="shared" ref="I75:I91" si="5">G75-H75+I74</f>
        <v>-16225.990000000002</v>
      </c>
      <c r="J75" s="12"/>
    </row>
    <row r="76" spans="1:15" hidden="1" x14ac:dyDescent="0.25">
      <c r="C76" s="9"/>
      <c r="D76" s="10">
        <v>45672</v>
      </c>
      <c r="E76" t="s">
        <v>73</v>
      </c>
      <c r="F76" s="11" t="s">
        <v>42</v>
      </c>
      <c r="G76" s="8">
        <v>12049.58</v>
      </c>
      <c r="H76" s="8">
        <v>0</v>
      </c>
      <c r="I76" s="8">
        <f t="shared" si="5"/>
        <v>-4176.4100000000017</v>
      </c>
      <c r="J76" s="12"/>
    </row>
    <row r="77" spans="1:15" hidden="1" x14ac:dyDescent="0.25">
      <c r="C77" s="9"/>
      <c r="D77" s="10">
        <v>45678</v>
      </c>
      <c r="E77" t="s">
        <v>74</v>
      </c>
      <c r="F77" s="11" t="s">
        <v>42</v>
      </c>
      <c r="G77" s="8">
        <v>0</v>
      </c>
      <c r="H77" s="25">
        <v>12049.58</v>
      </c>
      <c r="I77" s="8">
        <f t="shared" si="5"/>
        <v>-16225.990000000002</v>
      </c>
      <c r="J77" s="12"/>
    </row>
    <row r="78" spans="1:15" hidden="1" x14ac:dyDescent="0.25">
      <c r="C78" s="9"/>
      <c r="D78" s="10">
        <v>45679</v>
      </c>
      <c r="E78" t="s">
        <v>75</v>
      </c>
      <c r="F78" s="11" t="s">
        <v>76</v>
      </c>
      <c r="G78" s="8">
        <v>0</v>
      </c>
      <c r="H78" s="8">
        <v>16560.54</v>
      </c>
      <c r="I78" s="8">
        <f t="shared" si="5"/>
        <v>-32786.53</v>
      </c>
      <c r="J78" s="12"/>
    </row>
    <row r="79" spans="1:15" hidden="1" x14ac:dyDescent="0.25">
      <c r="C79" s="9"/>
      <c r="D79" s="10">
        <v>45686</v>
      </c>
      <c r="E79" t="s">
        <v>77</v>
      </c>
      <c r="F79" s="11" t="s">
        <v>42</v>
      </c>
      <c r="G79" s="25">
        <v>12049.58</v>
      </c>
      <c r="H79" s="8">
        <v>0</v>
      </c>
      <c r="I79" s="8">
        <f t="shared" si="5"/>
        <v>-20736.949999999997</v>
      </c>
      <c r="J79" s="12"/>
    </row>
    <row r="80" spans="1:15" hidden="1" x14ac:dyDescent="0.25">
      <c r="C80" s="9"/>
      <c r="D80" s="10">
        <v>45688</v>
      </c>
      <c r="E80" t="s">
        <v>78</v>
      </c>
      <c r="F80" s="11" t="s">
        <v>79</v>
      </c>
      <c r="G80" s="8">
        <v>0</v>
      </c>
      <c r="H80" s="8">
        <v>1441.52</v>
      </c>
      <c r="I80" s="8">
        <f t="shared" si="5"/>
        <v>-22178.469999999998</v>
      </c>
      <c r="J80" s="12"/>
    </row>
    <row r="81" spans="1:10" hidden="1" x14ac:dyDescent="0.25">
      <c r="C81" s="9"/>
      <c r="D81" s="10">
        <v>45694</v>
      </c>
      <c r="E81" t="s">
        <v>80</v>
      </c>
      <c r="F81" s="11" t="s">
        <v>81</v>
      </c>
      <c r="G81" s="8">
        <v>0</v>
      </c>
      <c r="H81" s="25">
        <v>-11854.37</v>
      </c>
      <c r="I81" s="8">
        <f t="shared" si="5"/>
        <v>-10324.099999999997</v>
      </c>
      <c r="J81" s="12"/>
    </row>
    <row r="82" spans="1:10" hidden="1" x14ac:dyDescent="0.25">
      <c r="C82" s="9"/>
      <c r="D82" s="10">
        <v>45705</v>
      </c>
      <c r="E82" t="s">
        <v>82</v>
      </c>
      <c r="F82" s="11" t="s">
        <v>42</v>
      </c>
      <c r="G82" s="8">
        <v>16874.21</v>
      </c>
      <c r="H82" s="8">
        <v>0</v>
      </c>
      <c r="I82" s="8">
        <f t="shared" si="5"/>
        <v>6550.1100000000024</v>
      </c>
      <c r="J82" s="12"/>
    </row>
    <row r="83" spans="1:10" hidden="1" x14ac:dyDescent="0.25">
      <c r="C83" s="9"/>
      <c r="D83" s="10">
        <v>45705</v>
      </c>
      <c r="E83" t="s">
        <v>82</v>
      </c>
      <c r="F83" s="11" t="s">
        <v>42</v>
      </c>
      <c r="G83" s="8">
        <v>0</v>
      </c>
      <c r="H83" s="25">
        <v>16874.21</v>
      </c>
      <c r="I83" s="8">
        <f t="shared" si="5"/>
        <v>-10324.099999999997</v>
      </c>
      <c r="J83" s="12"/>
    </row>
    <row r="84" spans="1:10" hidden="1" x14ac:dyDescent="0.25">
      <c r="C84" s="9"/>
      <c r="D84" s="10">
        <v>45707</v>
      </c>
      <c r="E84" t="s">
        <v>83</v>
      </c>
      <c r="F84" s="11" t="s">
        <v>84</v>
      </c>
      <c r="G84" s="8">
        <v>0</v>
      </c>
      <c r="H84" s="8">
        <v>15298.33</v>
      </c>
      <c r="I84" s="8">
        <f t="shared" si="5"/>
        <v>-25622.429999999997</v>
      </c>
      <c r="J84" s="12"/>
    </row>
    <row r="85" spans="1:10" hidden="1" x14ac:dyDescent="0.25">
      <c r="C85" s="9"/>
      <c r="D85" s="10">
        <v>45714</v>
      </c>
      <c r="E85" t="s">
        <v>85</v>
      </c>
      <c r="F85" s="11" t="s">
        <v>42</v>
      </c>
      <c r="G85" s="8">
        <v>7865</v>
      </c>
      <c r="H85" s="8">
        <v>0</v>
      </c>
      <c r="I85" s="8">
        <f t="shared" si="5"/>
        <v>-17757.429999999997</v>
      </c>
      <c r="J85" s="12"/>
    </row>
    <row r="86" spans="1:10" hidden="1" x14ac:dyDescent="0.25">
      <c r="C86" s="9"/>
      <c r="D86" s="10">
        <v>45714</v>
      </c>
      <c r="E86" t="s">
        <v>85</v>
      </c>
      <c r="F86" s="11" t="s">
        <v>42</v>
      </c>
      <c r="G86" s="8">
        <v>0</v>
      </c>
      <c r="H86" s="8">
        <v>7865</v>
      </c>
      <c r="I86" s="8">
        <f t="shared" si="5"/>
        <v>-25622.429999999997</v>
      </c>
      <c r="J86" s="12"/>
    </row>
    <row r="87" spans="1:10" hidden="1" x14ac:dyDescent="0.25">
      <c r="C87" s="9"/>
      <c r="D87" s="10">
        <v>45714</v>
      </c>
      <c r="E87" t="s">
        <v>86</v>
      </c>
      <c r="F87" s="11" t="s">
        <v>42</v>
      </c>
      <c r="G87" s="25">
        <v>5019.84</v>
      </c>
      <c r="H87" s="8">
        <v>0</v>
      </c>
      <c r="I87" s="8">
        <f t="shared" si="5"/>
        <v>-20602.589999999997</v>
      </c>
      <c r="J87" s="12"/>
    </row>
    <row r="88" spans="1:10" hidden="1" x14ac:dyDescent="0.25">
      <c r="C88" s="9"/>
      <c r="D88" s="10">
        <v>45716</v>
      </c>
      <c r="E88" t="s">
        <v>87</v>
      </c>
      <c r="F88" s="11" t="s">
        <v>88</v>
      </c>
      <c r="G88" s="8">
        <v>0</v>
      </c>
      <c r="H88" s="8">
        <v>3681.9</v>
      </c>
      <c r="I88" s="8">
        <f t="shared" si="5"/>
        <v>-24284.489999999998</v>
      </c>
      <c r="J88" s="12"/>
    </row>
    <row r="89" spans="1:10" hidden="1" x14ac:dyDescent="0.25">
      <c r="C89" s="9"/>
      <c r="D89" s="10">
        <v>45733</v>
      </c>
      <c r="E89" t="s">
        <v>89</v>
      </c>
      <c r="F89" s="11" t="s">
        <v>42</v>
      </c>
      <c r="G89" s="8">
        <v>10623.34</v>
      </c>
      <c r="H89" s="8">
        <v>0</v>
      </c>
      <c r="I89" s="8">
        <f t="shared" si="5"/>
        <v>-13661.149999999998</v>
      </c>
      <c r="J89" s="12"/>
    </row>
    <row r="90" spans="1:10" hidden="1" x14ac:dyDescent="0.25">
      <c r="C90" s="9"/>
      <c r="D90" s="10">
        <v>45742</v>
      </c>
      <c r="E90" t="s">
        <v>90</v>
      </c>
      <c r="F90" s="11" t="s">
        <v>91</v>
      </c>
      <c r="G90" s="8">
        <v>0</v>
      </c>
      <c r="H90" s="8">
        <v>20.03</v>
      </c>
      <c r="I90" s="8">
        <f t="shared" si="5"/>
        <v>-13681.179999999998</v>
      </c>
      <c r="J90" s="12"/>
    </row>
    <row r="91" spans="1:10" hidden="1" x14ac:dyDescent="0.25">
      <c r="C91" s="9"/>
      <c r="D91" s="10">
        <v>45742</v>
      </c>
      <c r="E91" t="s">
        <v>92</v>
      </c>
      <c r="F91" s="11" t="s">
        <v>93</v>
      </c>
      <c r="G91" s="8">
        <v>0</v>
      </c>
      <c r="H91" s="8">
        <v>6740.1</v>
      </c>
      <c r="I91" s="8">
        <f t="shared" si="5"/>
        <v>-20421.28</v>
      </c>
      <c r="J91" s="12"/>
    </row>
    <row r="92" spans="1:10" x14ac:dyDescent="0.25">
      <c r="E92" s="4" t="s">
        <v>20</v>
      </c>
      <c r="G92" s="8">
        <f>SUM(G74:G91)</f>
        <v>72346.55</v>
      </c>
      <c r="H92" s="8">
        <f>SUM(H74:H91)</f>
        <v>92767.829999999987</v>
      </c>
      <c r="I92" s="8">
        <f>G92-H92</f>
        <v>-20421.279999999984</v>
      </c>
      <c r="J92" s="28">
        <f>G92-H92</f>
        <v>-20421.279999999984</v>
      </c>
    </row>
    <row r="94" spans="1:10" hidden="1" x14ac:dyDescent="0.25">
      <c r="A94" s="5">
        <v>4000018</v>
      </c>
      <c r="B94" s="6" t="s">
        <v>94</v>
      </c>
      <c r="C94" s="7"/>
      <c r="D94" s="7"/>
      <c r="E94" s="7"/>
      <c r="F94" s="7"/>
      <c r="G94" s="7"/>
      <c r="H94" s="7"/>
      <c r="I94" s="7"/>
      <c r="J94" s="7"/>
    </row>
    <row r="95" spans="1:10" hidden="1" x14ac:dyDescent="0.25">
      <c r="E95" s="4" t="s">
        <v>10</v>
      </c>
      <c r="G95" s="8">
        <v>0</v>
      </c>
      <c r="H95" s="25">
        <v>2018.13</v>
      </c>
      <c r="I95" s="8">
        <f>G95-H95</f>
        <v>-2018.13</v>
      </c>
    </row>
    <row r="96" spans="1:10" hidden="1" x14ac:dyDescent="0.25">
      <c r="C96" s="9"/>
      <c r="D96" s="10">
        <v>45658</v>
      </c>
      <c r="E96" t="s">
        <v>95</v>
      </c>
      <c r="F96" s="11" t="s">
        <v>96</v>
      </c>
      <c r="G96" s="8">
        <v>0</v>
      </c>
      <c r="H96" s="25">
        <v>908.13</v>
      </c>
      <c r="I96" s="8">
        <f t="shared" ref="I96:I110" si="6">G96-H96+I95</f>
        <v>-2926.26</v>
      </c>
      <c r="J96" s="12"/>
    </row>
    <row r="97" spans="3:10" hidden="1" x14ac:dyDescent="0.25">
      <c r="C97" s="9"/>
      <c r="D97" s="10">
        <v>45672</v>
      </c>
      <c r="E97" t="s">
        <v>97</v>
      </c>
      <c r="F97" s="11" t="s">
        <v>98</v>
      </c>
      <c r="G97" s="8">
        <v>0</v>
      </c>
      <c r="H97" s="25">
        <v>127.78</v>
      </c>
      <c r="I97" s="8">
        <f t="shared" si="6"/>
        <v>-3054.0400000000004</v>
      </c>
      <c r="J97" s="12"/>
    </row>
    <row r="98" spans="3:10" hidden="1" x14ac:dyDescent="0.25">
      <c r="C98" s="9"/>
      <c r="D98" s="10">
        <v>45672</v>
      </c>
      <c r="E98" t="s">
        <v>11</v>
      </c>
      <c r="F98" s="11" t="s">
        <v>99</v>
      </c>
      <c r="G98" s="25">
        <v>819.04</v>
      </c>
      <c r="H98" s="8">
        <v>0</v>
      </c>
      <c r="I98" s="8">
        <f t="shared" si="6"/>
        <v>-2235.0000000000005</v>
      </c>
      <c r="J98" s="12"/>
    </row>
    <row r="99" spans="3:10" hidden="1" x14ac:dyDescent="0.25">
      <c r="C99" s="9"/>
      <c r="D99" s="10">
        <v>45672</v>
      </c>
      <c r="E99" t="s">
        <v>11</v>
      </c>
      <c r="F99" s="11" t="s">
        <v>100</v>
      </c>
      <c r="G99" s="25">
        <v>234.69</v>
      </c>
      <c r="H99" s="8">
        <v>0</v>
      </c>
      <c r="I99" s="8">
        <f t="shared" si="6"/>
        <v>-2000.3100000000004</v>
      </c>
      <c r="J99" s="12"/>
    </row>
    <row r="100" spans="3:10" hidden="1" x14ac:dyDescent="0.25">
      <c r="C100" s="9"/>
      <c r="D100" s="10">
        <v>45688</v>
      </c>
      <c r="E100" t="s">
        <v>101</v>
      </c>
      <c r="F100" s="11" t="s">
        <v>102</v>
      </c>
      <c r="G100" s="8">
        <v>0</v>
      </c>
      <c r="H100" s="25">
        <v>389.02</v>
      </c>
      <c r="I100" s="8">
        <f t="shared" si="6"/>
        <v>-2389.3300000000004</v>
      </c>
      <c r="J100" s="12"/>
    </row>
    <row r="101" spans="3:10" hidden="1" x14ac:dyDescent="0.25">
      <c r="C101" s="9"/>
      <c r="D101" s="10">
        <v>45703</v>
      </c>
      <c r="E101" t="s">
        <v>103</v>
      </c>
      <c r="F101" s="11" t="s">
        <v>104</v>
      </c>
      <c r="G101" s="8">
        <v>0</v>
      </c>
      <c r="H101" s="25">
        <v>718.79</v>
      </c>
      <c r="I101" s="8">
        <f t="shared" si="6"/>
        <v>-3108.1200000000003</v>
      </c>
      <c r="J101" s="12"/>
    </row>
    <row r="102" spans="3:10" hidden="1" x14ac:dyDescent="0.25">
      <c r="C102" s="9"/>
      <c r="D102" s="10">
        <v>45705</v>
      </c>
      <c r="E102" t="s">
        <v>11</v>
      </c>
      <c r="F102" s="11" t="s">
        <v>105</v>
      </c>
      <c r="G102" s="25">
        <v>629.22</v>
      </c>
      <c r="H102" s="8">
        <v>0</v>
      </c>
      <c r="I102" s="8">
        <f t="shared" si="6"/>
        <v>-2478.9000000000005</v>
      </c>
      <c r="J102" s="12"/>
    </row>
    <row r="103" spans="3:10" hidden="1" x14ac:dyDescent="0.25">
      <c r="C103" s="9"/>
      <c r="D103" s="10">
        <v>45705</v>
      </c>
      <c r="E103" t="s">
        <v>11</v>
      </c>
      <c r="F103" s="11" t="s">
        <v>106</v>
      </c>
      <c r="G103" s="25">
        <v>849.59</v>
      </c>
      <c r="H103" s="8">
        <v>0</v>
      </c>
      <c r="I103" s="8">
        <f t="shared" si="6"/>
        <v>-1629.3100000000004</v>
      </c>
      <c r="J103" s="12"/>
    </row>
    <row r="104" spans="3:10" hidden="1" x14ac:dyDescent="0.25">
      <c r="C104" s="9"/>
      <c r="D104" s="10">
        <v>45716</v>
      </c>
      <c r="E104" t="s">
        <v>107</v>
      </c>
      <c r="F104" s="11" t="s">
        <v>108</v>
      </c>
      <c r="G104" s="8">
        <v>0</v>
      </c>
      <c r="H104" s="8">
        <v>1240.1400000000001</v>
      </c>
      <c r="I104" s="8">
        <f t="shared" si="6"/>
        <v>-2869.4500000000007</v>
      </c>
      <c r="J104" s="12"/>
    </row>
    <row r="105" spans="3:10" hidden="1" x14ac:dyDescent="0.25">
      <c r="C105" s="9"/>
      <c r="D105" s="10">
        <v>45731</v>
      </c>
      <c r="E105" t="s">
        <v>109</v>
      </c>
      <c r="F105" s="11" t="s">
        <v>110</v>
      </c>
      <c r="G105" s="8">
        <v>0</v>
      </c>
      <c r="H105" s="8">
        <v>702.74</v>
      </c>
      <c r="I105" s="8">
        <f t="shared" si="6"/>
        <v>-3572.1900000000005</v>
      </c>
      <c r="J105" s="12"/>
    </row>
    <row r="106" spans="3:10" hidden="1" x14ac:dyDescent="0.25">
      <c r="C106" s="9"/>
      <c r="D106" s="10">
        <v>45733</v>
      </c>
      <c r="E106" t="s">
        <v>11</v>
      </c>
      <c r="F106" s="11" t="s">
        <v>98</v>
      </c>
      <c r="G106" s="25">
        <v>127.78</v>
      </c>
      <c r="H106" s="8">
        <v>0</v>
      </c>
      <c r="I106" s="8">
        <f t="shared" si="6"/>
        <v>-3444.4100000000003</v>
      </c>
      <c r="J106" s="12"/>
    </row>
    <row r="107" spans="3:10" hidden="1" x14ac:dyDescent="0.25">
      <c r="C107" s="9"/>
      <c r="D107" s="10">
        <v>45733</v>
      </c>
      <c r="E107" t="s">
        <v>11</v>
      </c>
      <c r="F107" s="11" t="s">
        <v>111</v>
      </c>
      <c r="G107" s="25">
        <v>393.72</v>
      </c>
      <c r="H107" s="8">
        <v>0</v>
      </c>
      <c r="I107" s="8">
        <f t="shared" si="6"/>
        <v>-3050.6900000000005</v>
      </c>
      <c r="J107" s="12"/>
    </row>
    <row r="108" spans="3:10" hidden="1" x14ac:dyDescent="0.25">
      <c r="C108" s="9"/>
      <c r="D108" s="10">
        <v>45747</v>
      </c>
      <c r="E108" t="s">
        <v>112</v>
      </c>
      <c r="F108" s="11" t="s">
        <v>113</v>
      </c>
      <c r="G108" s="8">
        <v>0</v>
      </c>
      <c r="H108" s="8">
        <v>1685.09</v>
      </c>
      <c r="I108" s="8">
        <f t="shared" si="6"/>
        <v>-4735.7800000000007</v>
      </c>
      <c r="J108" s="12"/>
    </row>
    <row r="109" spans="3:10" hidden="1" x14ac:dyDescent="0.25">
      <c r="C109" s="9"/>
      <c r="D109" s="10">
        <v>45762</v>
      </c>
      <c r="E109" t="s">
        <v>11</v>
      </c>
      <c r="F109" s="11" t="s">
        <v>102</v>
      </c>
      <c r="G109" s="25">
        <v>389.02</v>
      </c>
      <c r="H109" s="8">
        <v>0</v>
      </c>
      <c r="I109" s="8">
        <f t="shared" si="6"/>
        <v>-4346.76</v>
      </c>
      <c r="J109" s="12"/>
    </row>
    <row r="110" spans="3:10" hidden="1" x14ac:dyDescent="0.25">
      <c r="C110" s="9"/>
      <c r="D110" s="10">
        <v>45762</v>
      </c>
      <c r="E110" t="s">
        <v>11</v>
      </c>
      <c r="F110" s="11" t="s">
        <v>104</v>
      </c>
      <c r="G110" s="25">
        <v>718.79</v>
      </c>
      <c r="H110" s="8">
        <v>0</v>
      </c>
      <c r="I110" s="8">
        <f t="shared" si="6"/>
        <v>-3627.9700000000003</v>
      </c>
      <c r="J110" s="12"/>
    </row>
    <row r="111" spans="3:10" hidden="1" x14ac:dyDescent="0.25">
      <c r="E111" s="4" t="s">
        <v>20</v>
      </c>
      <c r="G111" s="8">
        <f>SUM(G95:G110)</f>
        <v>4161.8500000000004</v>
      </c>
      <c r="H111" s="8">
        <f>SUM(H95:H110)</f>
        <v>7789.8200000000006</v>
      </c>
      <c r="I111" s="8">
        <f>G111-H111</f>
        <v>-3627.9700000000003</v>
      </c>
    </row>
    <row r="112" spans="3:10" hidden="1" x14ac:dyDescent="0.25"/>
    <row r="113" spans="1:15" x14ac:dyDescent="0.25">
      <c r="A113" s="5">
        <v>4000019</v>
      </c>
      <c r="B113" s="6" t="s">
        <v>114</v>
      </c>
      <c r="C113" s="7"/>
      <c r="D113" s="7"/>
      <c r="E113" s="7"/>
      <c r="F113" s="7"/>
      <c r="G113" s="7"/>
      <c r="H113" s="7"/>
      <c r="I113" s="7"/>
      <c r="J113" s="27" t="s">
        <v>8145</v>
      </c>
      <c r="K113" s="27"/>
      <c r="L113" s="27"/>
      <c r="M113" s="27"/>
      <c r="N113" s="27"/>
      <c r="O113" s="27"/>
    </row>
    <row r="114" spans="1:15" hidden="1" x14ac:dyDescent="0.25">
      <c r="E114" s="4" t="s">
        <v>10</v>
      </c>
      <c r="G114" s="8">
        <v>0</v>
      </c>
      <c r="H114" s="8">
        <v>20991.9</v>
      </c>
      <c r="I114" s="8">
        <f>G114-H114</f>
        <v>-20991.9</v>
      </c>
    </row>
    <row r="115" spans="1:15" hidden="1" x14ac:dyDescent="0.25">
      <c r="C115" s="9"/>
      <c r="D115" s="10">
        <v>45672</v>
      </c>
      <c r="E115" t="s">
        <v>115</v>
      </c>
      <c r="F115" s="11" t="s">
        <v>116</v>
      </c>
      <c r="G115" s="8">
        <v>0</v>
      </c>
      <c r="H115" s="8">
        <v>171.47</v>
      </c>
      <c r="I115" s="8">
        <f t="shared" ref="I115:I132" si="7">G115-H115+I114</f>
        <v>-21163.370000000003</v>
      </c>
      <c r="J115" s="12"/>
    </row>
    <row r="116" spans="1:15" hidden="1" x14ac:dyDescent="0.25">
      <c r="C116" s="9"/>
      <c r="D116" s="10">
        <v>45672</v>
      </c>
      <c r="E116" t="s">
        <v>117</v>
      </c>
      <c r="F116" s="11" t="s">
        <v>118</v>
      </c>
      <c r="G116" s="8">
        <v>0</v>
      </c>
      <c r="H116" s="8">
        <v>2627.26</v>
      </c>
      <c r="I116" s="8">
        <f t="shared" si="7"/>
        <v>-23790.630000000005</v>
      </c>
      <c r="J116" s="12"/>
    </row>
    <row r="117" spans="1:15" hidden="1" x14ac:dyDescent="0.25">
      <c r="C117" s="9"/>
      <c r="D117" s="10">
        <v>45672</v>
      </c>
      <c r="E117" t="s">
        <v>119</v>
      </c>
      <c r="F117" s="11" t="s">
        <v>42</v>
      </c>
      <c r="G117" s="8">
        <v>7411</v>
      </c>
      <c r="H117" s="8">
        <v>0</v>
      </c>
      <c r="I117" s="8">
        <f t="shared" si="7"/>
        <v>-16379.630000000005</v>
      </c>
      <c r="J117" s="12"/>
    </row>
    <row r="118" spans="1:15" hidden="1" x14ac:dyDescent="0.25">
      <c r="C118" s="9"/>
      <c r="D118" s="10">
        <v>45678</v>
      </c>
      <c r="E118" t="s">
        <v>74</v>
      </c>
      <c r="F118" s="11" t="s">
        <v>42</v>
      </c>
      <c r="G118" s="8">
        <v>0</v>
      </c>
      <c r="H118" s="8">
        <v>7411</v>
      </c>
      <c r="I118" s="8">
        <f t="shared" si="7"/>
        <v>-23790.630000000005</v>
      </c>
      <c r="J118" s="12"/>
    </row>
    <row r="119" spans="1:15" hidden="1" x14ac:dyDescent="0.25">
      <c r="C119" s="9"/>
      <c r="D119" s="10">
        <v>45688</v>
      </c>
      <c r="E119" t="s">
        <v>120</v>
      </c>
      <c r="F119" s="11" t="s">
        <v>121</v>
      </c>
      <c r="G119" s="8">
        <v>0</v>
      </c>
      <c r="H119" s="8">
        <v>48.25</v>
      </c>
      <c r="I119" s="8">
        <f t="shared" si="7"/>
        <v>-23838.880000000005</v>
      </c>
      <c r="J119" s="12"/>
    </row>
    <row r="120" spans="1:15" hidden="1" x14ac:dyDescent="0.25">
      <c r="C120" s="9"/>
      <c r="D120" s="10">
        <v>45688</v>
      </c>
      <c r="E120" t="s">
        <v>122</v>
      </c>
      <c r="F120" s="11" t="s">
        <v>123</v>
      </c>
      <c r="G120" s="8">
        <v>0</v>
      </c>
      <c r="H120" s="8">
        <v>2617.7399999999998</v>
      </c>
      <c r="I120" s="8">
        <f t="shared" si="7"/>
        <v>-26456.620000000003</v>
      </c>
      <c r="J120" s="12"/>
    </row>
    <row r="121" spans="1:15" hidden="1" x14ac:dyDescent="0.25">
      <c r="C121" s="9" t="s">
        <v>124</v>
      </c>
      <c r="D121" s="10">
        <v>45691</v>
      </c>
      <c r="E121" t="s">
        <v>125</v>
      </c>
      <c r="F121" s="11" t="s">
        <v>42</v>
      </c>
      <c r="G121" s="8">
        <v>7411</v>
      </c>
      <c r="H121" s="8">
        <v>0</v>
      </c>
      <c r="I121" s="8">
        <f t="shared" si="7"/>
        <v>-19045.620000000003</v>
      </c>
      <c r="J121" s="12"/>
    </row>
    <row r="122" spans="1:15" hidden="1" x14ac:dyDescent="0.25">
      <c r="C122" s="9"/>
      <c r="D122" s="10">
        <v>45699</v>
      </c>
      <c r="E122" t="s">
        <v>126</v>
      </c>
      <c r="F122" s="11" t="s">
        <v>127</v>
      </c>
      <c r="G122" s="8">
        <v>0</v>
      </c>
      <c r="H122" s="8">
        <v>-2911.08</v>
      </c>
      <c r="I122" s="8">
        <f t="shared" si="7"/>
        <v>-16134.540000000003</v>
      </c>
      <c r="J122" s="12"/>
    </row>
    <row r="123" spans="1:15" hidden="1" x14ac:dyDescent="0.25">
      <c r="C123" s="9"/>
      <c r="D123" s="10">
        <v>45703</v>
      </c>
      <c r="E123" t="s">
        <v>128</v>
      </c>
      <c r="F123" s="11" t="s">
        <v>129</v>
      </c>
      <c r="G123" s="8">
        <v>0</v>
      </c>
      <c r="H123" s="8">
        <v>5290.83</v>
      </c>
      <c r="I123" s="8">
        <f t="shared" si="7"/>
        <v>-21425.370000000003</v>
      </c>
      <c r="J123" s="12"/>
    </row>
    <row r="124" spans="1:15" hidden="1" x14ac:dyDescent="0.25">
      <c r="C124" s="9"/>
      <c r="D124" s="10">
        <v>45703</v>
      </c>
      <c r="E124" t="s">
        <v>130</v>
      </c>
      <c r="F124" s="11" t="s">
        <v>131</v>
      </c>
      <c r="G124" s="8">
        <v>0</v>
      </c>
      <c r="H124" s="8">
        <v>294.76</v>
      </c>
      <c r="I124" s="8">
        <f t="shared" si="7"/>
        <v>-21720.13</v>
      </c>
      <c r="J124" s="12"/>
    </row>
    <row r="125" spans="1:15" hidden="1" x14ac:dyDescent="0.25">
      <c r="C125" s="9"/>
      <c r="D125" s="10">
        <v>45708</v>
      </c>
      <c r="E125" t="s">
        <v>132</v>
      </c>
      <c r="F125" s="11" t="s">
        <v>133</v>
      </c>
      <c r="G125" s="8">
        <v>0</v>
      </c>
      <c r="H125" s="8">
        <v>-19.350000000000001</v>
      </c>
      <c r="I125" s="8">
        <f t="shared" si="7"/>
        <v>-21700.780000000002</v>
      </c>
      <c r="J125" s="12"/>
    </row>
    <row r="126" spans="1:15" hidden="1" x14ac:dyDescent="0.25">
      <c r="C126" s="9"/>
      <c r="D126" s="10">
        <v>45709</v>
      </c>
      <c r="E126" t="s">
        <v>134</v>
      </c>
      <c r="F126" s="11" t="s">
        <v>42</v>
      </c>
      <c r="G126" s="8">
        <v>6136.4</v>
      </c>
      <c r="H126" s="8">
        <v>0</v>
      </c>
      <c r="I126" s="8">
        <f t="shared" si="7"/>
        <v>-15564.380000000003</v>
      </c>
      <c r="J126" s="12"/>
    </row>
    <row r="127" spans="1:15" hidden="1" x14ac:dyDescent="0.25">
      <c r="C127" s="9"/>
      <c r="D127" s="10">
        <v>45716</v>
      </c>
      <c r="E127" t="s">
        <v>135</v>
      </c>
      <c r="F127" s="11" t="s">
        <v>136</v>
      </c>
      <c r="G127" s="8">
        <v>0</v>
      </c>
      <c r="H127" s="8">
        <v>25</v>
      </c>
      <c r="I127" s="8">
        <f t="shared" si="7"/>
        <v>-15589.380000000003</v>
      </c>
      <c r="J127" s="12"/>
    </row>
    <row r="128" spans="1:15" hidden="1" x14ac:dyDescent="0.25">
      <c r="C128" s="9"/>
      <c r="D128" s="10">
        <v>45716</v>
      </c>
      <c r="E128" t="s">
        <v>137</v>
      </c>
      <c r="F128" s="11" t="s">
        <v>138</v>
      </c>
      <c r="G128" s="8">
        <v>0</v>
      </c>
      <c r="H128" s="8">
        <v>3769.9</v>
      </c>
      <c r="I128" s="8">
        <f t="shared" si="7"/>
        <v>-19359.280000000002</v>
      </c>
      <c r="J128" s="12"/>
    </row>
    <row r="129" spans="1:10" hidden="1" x14ac:dyDescent="0.25">
      <c r="C129" s="9"/>
      <c r="D129" s="10">
        <v>45731</v>
      </c>
      <c r="E129" t="s">
        <v>139</v>
      </c>
      <c r="F129" s="11" t="s">
        <v>140</v>
      </c>
      <c r="G129" s="8">
        <v>0</v>
      </c>
      <c r="H129" s="8">
        <v>3291.71</v>
      </c>
      <c r="I129" s="8">
        <f t="shared" si="7"/>
        <v>-22650.99</v>
      </c>
      <c r="J129" s="12"/>
    </row>
    <row r="130" spans="1:10" hidden="1" x14ac:dyDescent="0.25">
      <c r="C130" s="9"/>
      <c r="D130" s="10">
        <v>45744</v>
      </c>
      <c r="E130" t="s">
        <v>141</v>
      </c>
      <c r="F130" s="11" t="s">
        <v>42</v>
      </c>
      <c r="G130" s="8">
        <v>7411</v>
      </c>
      <c r="H130" s="8">
        <v>0</v>
      </c>
      <c r="I130" s="8">
        <f t="shared" si="7"/>
        <v>-15239.990000000002</v>
      </c>
      <c r="J130" s="12"/>
    </row>
    <row r="131" spans="1:10" hidden="1" x14ac:dyDescent="0.25">
      <c r="C131" s="9"/>
      <c r="D131" s="10">
        <v>45747</v>
      </c>
      <c r="E131" t="s">
        <v>142</v>
      </c>
      <c r="F131" s="11" t="s">
        <v>143</v>
      </c>
      <c r="G131" s="8">
        <v>0</v>
      </c>
      <c r="H131" s="8">
        <v>459.06</v>
      </c>
      <c r="I131" s="8">
        <f t="shared" si="7"/>
        <v>-15699.050000000001</v>
      </c>
      <c r="J131" s="12"/>
    </row>
    <row r="132" spans="1:10" hidden="1" x14ac:dyDescent="0.25">
      <c r="C132" s="9"/>
      <c r="D132" s="10">
        <v>45747</v>
      </c>
      <c r="E132" t="s">
        <v>144</v>
      </c>
      <c r="F132" s="11" t="s">
        <v>145</v>
      </c>
      <c r="G132" s="8">
        <v>0</v>
      </c>
      <c r="H132" s="8">
        <v>32892.43</v>
      </c>
      <c r="I132" s="8">
        <f t="shared" si="7"/>
        <v>-48591.48</v>
      </c>
      <c r="J132" s="12"/>
    </row>
    <row r="133" spans="1:10" x14ac:dyDescent="0.25">
      <c r="E133" s="4" t="s">
        <v>20</v>
      </c>
      <c r="G133" s="8">
        <f>SUM(G114:G132)</f>
        <v>28369.4</v>
      </c>
      <c r="H133" s="8">
        <f>SUM(H114:H132)</f>
        <v>76960.88</v>
      </c>
      <c r="I133" s="8">
        <f>G133-H133</f>
        <v>-48591.48</v>
      </c>
      <c r="J133" s="28">
        <f>G133-H133</f>
        <v>-48591.48</v>
      </c>
    </row>
    <row r="135" spans="1:10" hidden="1" x14ac:dyDescent="0.25">
      <c r="A135" s="5">
        <v>4000020</v>
      </c>
      <c r="B135" s="6" t="s">
        <v>146</v>
      </c>
      <c r="C135" s="7"/>
      <c r="D135" s="7"/>
      <c r="E135" s="7"/>
      <c r="F135" s="7"/>
      <c r="G135" s="7"/>
      <c r="H135" s="7"/>
      <c r="I135" s="7"/>
      <c r="J135" s="7"/>
    </row>
    <row r="136" spans="1:10" hidden="1" x14ac:dyDescent="0.25">
      <c r="E136" s="4" t="s">
        <v>10</v>
      </c>
      <c r="G136" s="8">
        <v>0</v>
      </c>
      <c r="H136" s="25">
        <v>567.72</v>
      </c>
      <c r="I136" s="8">
        <f>G136-H136</f>
        <v>-567.72</v>
      </c>
    </row>
    <row r="137" spans="1:10" hidden="1" x14ac:dyDescent="0.25">
      <c r="C137" s="9"/>
      <c r="D137" s="10">
        <v>45677</v>
      </c>
      <c r="E137" t="s">
        <v>11</v>
      </c>
      <c r="F137" s="11" t="s">
        <v>147</v>
      </c>
      <c r="G137" s="25">
        <v>97.41</v>
      </c>
      <c r="H137" s="8">
        <v>0</v>
      </c>
      <c r="I137" s="8">
        <f t="shared" ref="I137:I142" si="8">G137-H137+I136</f>
        <v>-470.31000000000006</v>
      </c>
      <c r="J137" s="12"/>
    </row>
    <row r="138" spans="1:10" hidden="1" x14ac:dyDescent="0.25">
      <c r="C138" s="9"/>
      <c r="D138" s="10">
        <v>45688</v>
      </c>
      <c r="E138" t="s">
        <v>148</v>
      </c>
      <c r="F138" s="11" t="s">
        <v>149</v>
      </c>
      <c r="G138" s="8">
        <v>0</v>
      </c>
      <c r="H138" s="25">
        <v>220.55</v>
      </c>
      <c r="I138" s="8">
        <f t="shared" si="8"/>
        <v>-690.86000000000013</v>
      </c>
      <c r="J138" s="12"/>
    </row>
    <row r="139" spans="1:10" hidden="1" x14ac:dyDescent="0.25">
      <c r="C139" s="9"/>
      <c r="D139" s="10">
        <v>45705</v>
      </c>
      <c r="E139" t="s">
        <v>11</v>
      </c>
      <c r="F139" s="11" t="s">
        <v>150</v>
      </c>
      <c r="G139" s="25">
        <v>324.52999999999997</v>
      </c>
      <c r="H139" s="8">
        <v>0</v>
      </c>
      <c r="I139" s="8">
        <f t="shared" si="8"/>
        <v>-366.33000000000015</v>
      </c>
      <c r="J139" s="12"/>
    </row>
    <row r="140" spans="1:10" hidden="1" x14ac:dyDescent="0.25">
      <c r="C140" s="9"/>
      <c r="D140" s="10">
        <v>45716</v>
      </c>
      <c r="E140" t="s">
        <v>151</v>
      </c>
      <c r="F140" s="11" t="s">
        <v>152</v>
      </c>
      <c r="G140" s="8">
        <v>0</v>
      </c>
      <c r="H140" s="8">
        <v>465.4</v>
      </c>
      <c r="I140" s="8">
        <f t="shared" si="8"/>
        <v>-831.73000000000013</v>
      </c>
      <c r="J140" s="12"/>
    </row>
    <row r="141" spans="1:10" hidden="1" x14ac:dyDescent="0.25">
      <c r="C141" s="9"/>
      <c r="D141" s="10">
        <v>45733</v>
      </c>
      <c r="E141" t="s">
        <v>11</v>
      </c>
      <c r="F141" s="11" t="s">
        <v>153</v>
      </c>
      <c r="G141" s="25">
        <v>145.78</v>
      </c>
      <c r="H141" s="8">
        <v>0</v>
      </c>
      <c r="I141" s="8">
        <f t="shared" si="8"/>
        <v>-685.95000000000016</v>
      </c>
      <c r="J141" s="12"/>
    </row>
    <row r="142" spans="1:10" hidden="1" x14ac:dyDescent="0.25">
      <c r="C142" s="9"/>
      <c r="D142" s="10">
        <v>45762</v>
      </c>
      <c r="E142" t="s">
        <v>11</v>
      </c>
      <c r="F142" s="11" t="s">
        <v>149</v>
      </c>
      <c r="G142" s="25">
        <v>220.55</v>
      </c>
      <c r="H142" s="8">
        <v>0</v>
      </c>
      <c r="I142" s="8">
        <f t="shared" si="8"/>
        <v>-465.40000000000015</v>
      </c>
      <c r="J142" s="12"/>
    </row>
    <row r="143" spans="1:10" hidden="1" x14ac:dyDescent="0.25">
      <c r="E143" s="4" t="s">
        <v>20</v>
      </c>
      <c r="G143" s="8">
        <f>SUM(G136:G142)</f>
        <v>788.27</v>
      </c>
      <c r="H143" s="8">
        <f>SUM(H136:H142)</f>
        <v>1253.67</v>
      </c>
      <c r="I143" s="8">
        <f>G143-H143</f>
        <v>-465.40000000000009</v>
      </c>
    </row>
    <row r="144" spans="1:10" hidden="1" x14ac:dyDescent="0.25"/>
    <row r="145" spans="1:11" hidden="1" x14ac:dyDescent="0.25">
      <c r="A145" s="5">
        <v>4000027</v>
      </c>
      <c r="B145" s="6" t="s">
        <v>154</v>
      </c>
      <c r="C145" s="7"/>
      <c r="D145" s="7"/>
      <c r="E145" s="7"/>
      <c r="F145" s="7"/>
      <c r="G145" s="7"/>
      <c r="H145" s="7"/>
      <c r="I145" s="7"/>
      <c r="J145" s="7"/>
    </row>
    <row r="146" spans="1:11" hidden="1" x14ac:dyDescent="0.25">
      <c r="E146" s="4" t="s">
        <v>10</v>
      </c>
      <c r="G146" s="8">
        <v>0</v>
      </c>
      <c r="H146" s="25">
        <v>1422</v>
      </c>
      <c r="I146" s="8">
        <f>G146-H146</f>
        <v>-1422</v>
      </c>
    </row>
    <row r="147" spans="1:11" hidden="1" x14ac:dyDescent="0.25">
      <c r="C147" s="9"/>
      <c r="D147" s="10">
        <v>45672</v>
      </c>
      <c r="E147" t="s">
        <v>11</v>
      </c>
      <c r="F147" s="11" t="s">
        <v>155</v>
      </c>
      <c r="G147" s="25">
        <v>159.08000000000001</v>
      </c>
      <c r="H147" s="8">
        <v>0</v>
      </c>
      <c r="I147" s="8">
        <f t="shared" ref="I147:I153" si="9">G147-H147+I146</f>
        <v>-1262.92</v>
      </c>
      <c r="J147" s="12"/>
    </row>
    <row r="148" spans="1:11" hidden="1" x14ac:dyDescent="0.25">
      <c r="C148" s="9"/>
      <c r="D148" s="10">
        <v>45688</v>
      </c>
      <c r="E148" t="s">
        <v>156</v>
      </c>
      <c r="F148" s="11" t="s">
        <v>157</v>
      </c>
      <c r="G148" s="8">
        <v>0</v>
      </c>
      <c r="H148" s="25">
        <v>210.24</v>
      </c>
      <c r="I148" s="8">
        <f t="shared" si="9"/>
        <v>-1473.16</v>
      </c>
      <c r="J148" s="12"/>
    </row>
    <row r="149" spans="1:11" hidden="1" x14ac:dyDescent="0.25">
      <c r="C149" s="9"/>
      <c r="D149" s="10">
        <v>45705</v>
      </c>
      <c r="E149" t="s">
        <v>11</v>
      </c>
      <c r="F149" s="11" t="s">
        <v>158</v>
      </c>
      <c r="G149" s="25">
        <v>1078.3499999999999</v>
      </c>
      <c r="H149" s="8">
        <v>0</v>
      </c>
      <c r="I149" s="8">
        <f t="shared" si="9"/>
        <v>-394.81000000000017</v>
      </c>
      <c r="J149" s="12"/>
    </row>
    <row r="150" spans="1:11" hidden="1" x14ac:dyDescent="0.25">
      <c r="C150" s="9"/>
      <c r="D150" s="10">
        <v>45705</v>
      </c>
      <c r="E150" t="s">
        <v>11</v>
      </c>
      <c r="F150" s="11" t="s">
        <v>158</v>
      </c>
      <c r="G150" s="8">
        <v>0</v>
      </c>
      <c r="H150" s="29">
        <v>1078.3499999999999</v>
      </c>
      <c r="I150" s="8">
        <f t="shared" si="9"/>
        <v>-1473.16</v>
      </c>
      <c r="J150" s="30" t="s">
        <v>8146</v>
      </c>
      <c r="K150" s="31">
        <f>G151-H150</f>
        <v>0</v>
      </c>
    </row>
    <row r="151" spans="1:11" hidden="1" x14ac:dyDescent="0.25">
      <c r="C151" s="9" t="s">
        <v>124</v>
      </c>
      <c r="D151" s="10">
        <v>45719</v>
      </c>
      <c r="E151" t="s">
        <v>159</v>
      </c>
      <c r="F151" s="11" t="s">
        <v>42</v>
      </c>
      <c r="G151" s="29">
        <v>1078.3499999999999</v>
      </c>
      <c r="H151" s="8">
        <v>0</v>
      </c>
      <c r="I151" s="8">
        <f t="shared" si="9"/>
        <v>-394.81000000000017</v>
      </c>
      <c r="J151" s="12"/>
    </row>
    <row r="152" spans="1:11" ht="19.5" hidden="1" customHeight="1" x14ac:dyDescent="0.25">
      <c r="C152" s="9"/>
      <c r="D152" s="10">
        <v>45733</v>
      </c>
      <c r="E152" t="s">
        <v>11</v>
      </c>
      <c r="F152" s="11" t="s">
        <v>160</v>
      </c>
      <c r="G152" s="25">
        <v>184.57</v>
      </c>
      <c r="H152" s="8">
        <v>0</v>
      </c>
      <c r="I152" s="8">
        <f t="shared" si="9"/>
        <v>-210.24000000000018</v>
      </c>
      <c r="J152" s="12"/>
    </row>
    <row r="153" spans="1:11" hidden="1" x14ac:dyDescent="0.25">
      <c r="C153" s="9"/>
      <c r="D153" s="10">
        <v>45762</v>
      </c>
      <c r="E153" t="s">
        <v>11</v>
      </c>
      <c r="F153" s="11" t="s">
        <v>157</v>
      </c>
      <c r="G153" s="25">
        <v>210.24</v>
      </c>
      <c r="H153" s="8">
        <v>0</v>
      </c>
      <c r="I153" s="8">
        <f t="shared" si="9"/>
        <v>0</v>
      </c>
      <c r="J153" s="12"/>
    </row>
    <row r="154" spans="1:11" hidden="1" x14ac:dyDescent="0.25">
      <c r="E154" s="4" t="s">
        <v>20</v>
      </c>
      <c r="G154" s="8">
        <f>SUM(G146:G153)</f>
        <v>2710.59</v>
      </c>
      <c r="H154" s="8">
        <f>SUM(H146:H153)</f>
        <v>2710.59</v>
      </c>
      <c r="I154" s="8">
        <f>G154-H154</f>
        <v>0</v>
      </c>
    </row>
    <row r="155" spans="1:11" hidden="1" x14ac:dyDescent="0.25"/>
    <row r="156" spans="1:11" hidden="1" x14ac:dyDescent="0.25">
      <c r="A156" s="5">
        <v>4000029</v>
      </c>
      <c r="B156" s="6" t="s">
        <v>161</v>
      </c>
      <c r="C156" s="7"/>
      <c r="D156" s="7"/>
      <c r="E156" s="7"/>
      <c r="F156" s="7"/>
      <c r="G156" s="7"/>
      <c r="H156" s="7"/>
      <c r="I156" s="7"/>
      <c r="J156" s="7"/>
    </row>
    <row r="157" spans="1:11" hidden="1" x14ac:dyDescent="0.25">
      <c r="E157" s="4" t="s">
        <v>10</v>
      </c>
      <c r="G157" s="8">
        <v>0</v>
      </c>
      <c r="H157" s="29">
        <v>1549.31</v>
      </c>
      <c r="I157" s="8">
        <f>G157-H157</f>
        <v>-1549.31</v>
      </c>
    </row>
    <row r="158" spans="1:11" hidden="1" x14ac:dyDescent="0.25">
      <c r="C158" s="9"/>
      <c r="D158" s="10">
        <v>45672</v>
      </c>
      <c r="E158" t="s">
        <v>162</v>
      </c>
      <c r="F158" s="11" t="s">
        <v>163</v>
      </c>
      <c r="G158" s="8">
        <v>0</v>
      </c>
      <c r="H158" s="29">
        <v>535.33000000000004</v>
      </c>
      <c r="I158" s="8">
        <f t="shared" ref="I158:I167" si="10">G158-H158+I157</f>
        <v>-2084.64</v>
      </c>
      <c r="J158" s="12"/>
    </row>
    <row r="159" spans="1:11" hidden="1" x14ac:dyDescent="0.25">
      <c r="C159" s="9"/>
      <c r="D159" s="10">
        <v>45672</v>
      </c>
      <c r="E159" t="s">
        <v>11</v>
      </c>
      <c r="F159" s="11" t="s">
        <v>164</v>
      </c>
      <c r="G159" s="29">
        <v>1549.31</v>
      </c>
      <c r="H159" s="8">
        <v>0</v>
      </c>
      <c r="I159" s="8">
        <f t="shared" si="10"/>
        <v>-535.32999999999993</v>
      </c>
      <c r="J159" s="12"/>
    </row>
    <row r="160" spans="1:11" hidden="1" x14ac:dyDescent="0.25">
      <c r="C160" s="9"/>
      <c r="D160" s="10">
        <v>45672</v>
      </c>
      <c r="E160" t="s">
        <v>11</v>
      </c>
      <c r="F160" s="11" t="s">
        <v>164</v>
      </c>
      <c r="G160" s="8">
        <v>0</v>
      </c>
      <c r="H160" s="8">
        <v>1549.31</v>
      </c>
      <c r="I160" s="8">
        <f t="shared" si="10"/>
        <v>-2084.64</v>
      </c>
      <c r="J160" s="12"/>
    </row>
    <row r="161" spans="1:10" hidden="1" x14ac:dyDescent="0.25">
      <c r="C161" s="9"/>
      <c r="D161" s="10">
        <v>45688</v>
      </c>
      <c r="E161" t="s">
        <v>165</v>
      </c>
      <c r="F161" s="11" t="s">
        <v>166</v>
      </c>
      <c r="G161" s="8">
        <v>0</v>
      </c>
      <c r="H161" s="29">
        <v>275.82</v>
      </c>
      <c r="I161" s="8">
        <f t="shared" si="10"/>
        <v>-2360.46</v>
      </c>
      <c r="J161" s="12"/>
    </row>
    <row r="162" spans="1:10" hidden="1" x14ac:dyDescent="0.25">
      <c r="C162" s="9"/>
      <c r="D162" s="10">
        <v>45688</v>
      </c>
      <c r="E162" t="s">
        <v>167</v>
      </c>
      <c r="F162" s="11" t="s">
        <v>168</v>
      </c>
      <c r="G162" s="8">
        <v>0</v>
      </c>
      <c r="H162" s="29">
        <v>201.3</v>
      </c>
      <c r="I162" s="8">
        <f t="shared" si="10"/>
        <v>-2561.7600000000002</v>
      </c>
      <c r="J162" s="12"/>
    </row>
    <row r="163" spans="1:10" hidden="1" x14ac:dyDescent="0.25">
      <c r="C163" s="9"/>
      <c r="D163" s="10">
        <v>45688</v>
      </c>
      <c r="E163" t="s">
        <v>169</v>
      </c>
      <c r="F163" s="11" t="s">
        <v>170</v>
      </c>
      <c r="G163" s="8">
        <v>0</v>
      </c>
      <c r="H163" s="29">
        <v>95.23</v>
      </c>
      <c r="I163" s="8">
        <f t="shared" si="10"/>
        <v>-2656.9900000000002</v>
      </c>
      <c r="J163" s="12"/>
    </row>
    <row r="164" spans="1:10" hidden="1" x14ac:dyDescent="0.25">
      <c r="C164" s="9" t="s">
        <v>124</v>
      </c>
      <c r="D164" s="10">
        <v>45691</v>
      </c>
      <c r="E164" t="s">
        <v>171</v>
      </c>
      <c r="F164" s="11" t="s">
        <v>42</v>
      </c>
      <c r="G164" s="8">
        <v>1549.31</v>
      </c>
      <c r="H164" s="8">
        <v>0</v>
      </c>
      <c r="I164" s="8">
        <f t="shared" si="10"/>
        <v>-1107.6800000000003</v>
      </c>
      <c r="J164" s="12"/>
    </row>
    <row r="165" spans="1:10" hidden="1" x14ac:dyDescent="0.25">
      <c r="C165" s="9"/>
      <c r="D165" s="10">
        <v>45705</v>
      </c>
      <c r="E165" t="s">
        <v>11</v>
      </c>
      <c r="F165" s="11" t="s">
        <v>163</v>
      </c>
      <c r="G165" s="29">
        <v>535.33000000000004</v>
      </c>
      <c r="H165" s="8">
        <v>0</v>
      </c>
      <c r="I165" s="8">
        <f t="shared" si="10"/>
        <v>-572.35000000000025</v>
      </c>
      <c r="J165" s="12"/>
    </row>
    <row r="166" spans="1:10" hidden="1" x14ac:dyDescent="0.25">
      <c r="C166" s="9"/>
      <c r="D166" s="10">
        <v>45731</v>
      </c>
      <c r="E166" t="s">
        <v>172</v>
      </c>
      <c r="F166" s="11" t="s">
        <v>173</v>
      </c>
      <c r="G166" s="8">
        <v>0</v>
      </c>
      <c r="H166" s="8">
        <v>178.73</v>
      </c>
      <c r="I166" s="8">
        <f t="shared" si="10"/>
        <v>-751.08000000000027</v>
      </c>
      <c r="J166" s="12"/>
    </row>
    <row r="167" spans="1:10" hidden="1" x14ac:dyDescent="0.25">
      <c r="C167" s="9"/>
      <c r="D167" s="10">
        <v>45733</v>
      </c>
      <c r="E167" t="s">
        <v>174</v>
      </c>
      <c r="F167" s="11" t="s">
        <v>42</v>
      </c>
      <c r="G167" s="29">
        <v>572.35</v>
      </c>
      <c r="H167" s="8">
        <v>0</v>
      </c>
      <c r="I167" s="8">
        <f t="shared" si="10"/>
        <v>-178.73000000000025</v>
      </c>
      <c r="J167" s="12"/>
    </row>
    <row r="168" spans="1:10" hidden="1" x14ac:dyDescent="0.25">
      <c r="E168" s="4" t="s">
        <v>20</v>
      </c>
      <c r="G168" s="8">
        <f>SUM(G157:G167)</f>
        <v>4206.3</v>
      </c>
      <c r="H168" s="8">
        <f>SUM(H157:H167)</f>
        <v>4385.0299999999988</v>
      </c>
      <c r="I168" s="8">
        <f>G168-H168</f>
        <v>-178.72999999999865</v>
      </c>
    </row>
    <row r="169" spans="1:10" hidden="1" x14ac:dyDescent="0.25"/>
    <row r="170" spans="1:10" hidden="1" x14ac:dyDescent="0.25">
      <c r="A170" s="5">
        <v>4000031</v>
      </c>
      <c r="B170" s="6" t="s">
        <v>175</v>
      </c>
      <c r="C170" s="7"/>
      <c r="D170" s="7"/>
      <c r="E170" s="7"/>
      <c r="F170" s="7"/>
      <c r="G170" s="7"/>
      <c r="H170" s="7"/>
      <c r="I170" s="7"/>
      <c r="J170" s="7"/>
    </row>
    <row r="171" spans="1:10" hidden="1" x14ac:dyDescent="0.25">
      <c r="E171" s="4" t="s">
        <v>10</v>
      </c>
      <c r="G171" s="8">
        <v>0</v>
      </c>
      <c r="H171" s="8">
        <v>161.29</v>
      </c>
      <c r="I171" s="8">
        <f>G171-H171</f>
        <v>-161.29</v>
      </c>
    </row>
    <row r="172" spans="1:10" hidden="1" x14ac:dyDescent="0.25">
      <c r="C172" s="9"/>
      <c r="D172" s="10">
        <v>45672</v>
      </c>
      <c r="E172" t="s">
        <v>11</v>
      </c>
      <c r="F172" s="11" t="s">
        <v>176</v>
      </c>
      <c r="G172" s="8">
        <v>111.03</v>
      </c>
      <c r="H172" s="8">
        <v>0</v>
      </c>
      <c r="I172" s="8">
        <f>G172-H172+I171</f>
        <v>-50.259999999999991</v>
      </c>
      <c r="J172" s="12"/>
    </row>
    <row r="173" spans="1:10" hidden="1" x14ac:dyDescent="0.25">
      <c r="C173" s="9"/>
      <c r="D173" s="10">
        <v>45672</v>
      </c>
      <c r="E173" t="s">
        <v>11</v>
      </c>
      <c r="F173" s="11" t="s">
        <v>177</v>
      </c>
      <c r="G173" s="8">
        <v>50.26</v>
      </c>
      <c r="H173" s="8">
        <v>0</v>
      </c>
      <c r="I173" s="8">
        <f>G173-H173+I172</f>
        <v>0</v>
      </c>
      <c r="J173" s="12"/>
    </row>
    <row r="174" spans="1:10" hidden="1" x14ac:dyDescent="0.25">
      <c r="C174" s="9"/>
      <c r="D174" s="10">
        <v>45720</v>
      </c>
      <c r="E174" t="s">
        <v>178</v>
      </c>
      <c r="F174" s="11" t="s">
        <v>179</v>
      </c>
      <c r="G174" s="8">
        <v>0</v>
      </c>
      <c r="H174" s="8">
        <v>646.66999999999996</v>
      </c>
      <c r="I174" s="8">
        <f>G174-H174+I173</f>
        <v>-646.66999999999996</v>
      </c>
      <c r="J174" s="12"/>
    </row>
    <row r="175" spans="1:10" hidden="1" x14ac:dyDescent="0.25">
      <c r="E175" s="4" t="s">
        <v>20</v>
      </c>
      <c r="G175" s="8">
        <f>SUM(G171:G174)</f>
        <v>161.29</v>
      </c>
      <c r="H175" s="8">
        <f>SUM(H171:H174)</f>
        <v>807.95999999999992</v>
      </c>
      <c r="I175" s="8">
        <f>G175-H175</f>
        <v>-646.66999999999996</v>
      </c>
    </row>
    <row r="176" spans="1:10" hidden="1" x14ac:dyDescent="0.25"/>
    <row r="177" spans="1:10" x14ac:dyDescent="0.25">
      <c r="A177" s="5">
        <v>4000038</v>
      </c>
      <c r="B177" s="6" t="s">
        <v>180</v>
      </c>
      <c r="C177" s="7"/>
      <c r="D177" s="7"/>
      <c r="E177" s="7"/>
      <c r="F177" s="7"/>
      <c r="G177" s="7"/>
      <c r="H177" s="7"/>
      <c r="I177" s="7"/>
      <c r="J177" s="7"/>
    </row>
    <row r="178" spans="1:10" x14ac:dyDescent="0.25">
      <c r="C178" s="9"/>
      <c r="D178" s="10">
        <v>45688</v>
      </c>
      <c r="E178" t="s">
        <v>181</v>
      </c>
      <c r="F178" s="11" t="s">
        <v>182</v>
      </c>
      <c r="G178" s="8">
        <v>0</v>
      </c>
      <c r="H178" s="8">
        <v>156.59</v>
      </c>
      <c r="I178" s="8">
        <f>G178-H178</f>
        <v>-156.59</v>
      </c>
      <c r="J178" s="32" t="s">
        <v>8147</v>
      </c>
    </row>
    <row r="179" spans="1:10" hidden="1" x14ac:dyDescent="0.25">
      <c r="C179" s="9"/>
      <c r="D179" s="10">
        <v>45748</v>
      </c>
      <c r="E179" t="s">
        <v>183</v>
      </c>
      <c r="F179" s="11" t="s">
        <v>42</v>
      </c>
      <c r="G179" s="8">
        <v>0</v>
      </c>
      <c r="H179" s="8">
        <v>0</v>
      </c>
      <c r="I179" s="8">
        <f>G179-H179+I178</f>
        <v>-156.59</v>
      </c>
      <c r="J179" s="12"/>
    </row>
    <row r="180" spans="1:10" hidden="1" x14ac:dyDescent="0.25">
      <c r="E180" s="4" t="s">
        <v>20</v>
      </c>
      <c r="G180" s="8">
        <f>SUM(G178:G179)</f>
        <v>0</v>
      </c>
      <c r="H180" s="8">
        <f>SUM(H178:H179)</f>
        <v>156.59</v>
      </c>
      <c r="I180" s="8">
        <f>G180-H180</f>
        <v>-156.59</v>
      </c>
    </row>
    <row r="182" spans="1:10" hidden="1" x14ac:dyDescent="0.25">
      <c r="A182" s="5">
        <v>4000040</v>
      </c>
      <c r="B182" s="6" t="s">
        <v>184</v>
      </c>
      <c r="C182" s="7"/>
      <c r="D182" s="7"/>
      <c r="E182" s="7"/>
      <c r="F182" s="7"/>
      <c r="G182" s="7"/>
      <c r="H182" s="7"/>
      <c r="I182" s="7"/>
      <c r="J182" s="7"/>
    </row>
    <row r="183" spans="1:10" hidden="1" x14ac:dyDescent="0.25">
      <c r="E183" s="4" t="s">
        <v>10</v>
      </c>
      <c r="G183" s="8">
        <v>0</v>
      </c>
      <c r="H183" s="33">
        <v>5323.45</v>
      </c>
      <c r="I183" s="8">
        <f>G183-H183</f>
        <v>-5323.45</v>
      </c>
    </row>
    <row r="184" spans="1:10" hidden="1" x14ac:dyDescent="0.25">
      <c r="C184" s="9"/>
      <c r="D184" s="10">
        <v>45672</v>
      </c>
      <c r="E184" t="s">
        <v>11</v>
      </c>
      <c r="F184" s="11" t="s">
        <v>185</v>
      </c>
      <c r="G184" s="33">
        <v>2653.22</v>
      </c>
      <c r="H184" s="8">
        <v>0</v>
      </c>
      <c r="I184" s="8">
        <f t="shared" ref="I184:I189" si="11">G184-H184+I183</f>
        <v>-2670.23</v>
      </c>
      <c r="J184" s="12"/>
    </row>
    <row r="185" spans="1:10" hidden="1" x14ac:dyDescent="0.25">
      <c r="C185" s="9"/>
      <c r="D185" s="10">
        <v>45687</v>
      </c>
      <c r="E185" t="s">
        <v>186</v>
      </c>
      <c r="F185" s="11" t="s">
        <v>187</v>
      </c>
      <c r="G185" s="8">
        <v>0</v>
      </c>
      <c r="H185" s="8">
        <v>3680.09</v>
      </c>
      <c r="I185" s="8">
        <f t="shared" si="11"/>
        <v>-6350.32</v>
      </c>
      <c r="J185" s="12"/>
    </row>
    <row r="186" spans="1:10" hidden="1" x14ac:dyDescent="0.25">
      <c r="C186" s="9"/>
      <c r="D186" s="10">
        <v>45705</v>
      </c>
      <c r="E186" t="s">
        <v>11</v>
      </c>
      <c r="F186" s="11" t="s">
        <v>188</v>
      </c>
      <c r="G186" s="33">
        <v>1364.95</v>
      </c>
      <c r="H186" s="8">
        <v>0</v>
      </c>
      <c r="I186" s="8">
        <f t="shared" si="11"/>
        <v>-4985.37</v>
      </c>
      <c r="J186" s="12"/>
    </row>
    <row r="187" spans="1:10" hidden="1" x14ac:dyDescent="0.25">
      <c r="C187" s="9"/>
      <c r="D187" s="10">
        <v>45716</v>
      </c>
      <c r="E187" t="s">
        <v>189</v>
      </c>
      <c r="F187" s="11" t="s">
        <v>190</v>
      </c>
      <c r="G187" s="8">
        <v>0</v>
      </c>
      <c r="H187" s="8">
        <v>1748.23</v>
      </c>
      <c r="I187" s="8">
        <f t="shared" si="11"/>
        <v>-6733.6</v>
      </c>
      <c r="J187" s="12"/>
    </row>
    <row r="188" spans="1:10" hidden="1" x14ac:dyDescent="0.25">
      <c r="C188" s="9"/>
      <c r="D188" s="10">
        <v>45733</v>
      </c>
      <c r="E188" t="s">
        <v>11</v>
      </c>
      <c r="F188" s="11" t="s">
        <v>191</v>
      </c>
      <c r="G188" s="33">
        <v>1305.28</v>
      </c>
      <c r="H188" s="8">
        <v>0</v>
      </c>
      <c r="I188" s="8">
        <f t="shared" si="11"/>
        <v>-5428.3200000000006</v>
      </c>
      <c r="J188" s="12"/>
    </row>
    <row r="189" spans="1:10" hidden="1" x14ac:dyDescent="0.25">
      <c r="C189" s="9"/>
      <c r="D189" s="10">
        <v>45746</v>
      </c>
      <c r="E189" t="s">
        <v>192</v>
      </c>
      <c r="F189" s="11" t="s">
        <v>193</v>
      </c>
      <c r="G189" s="8">
        <v>0</v>
      </c>
      <c r="H189" s="8">
        <v>2647.95</v>
      </c>
      <c r="I189" s="8">
        <f t="shared" si="11"/>
        <v>-8076.27</v>
      </c>
      <c r="J189" s="12"/>
    </row>
    <row r="190" spans="1:10" hidden="1" x14ac:dyDescent="0.25">
      <c r="E190" s="4" t="s">
        <v>20</v>
      </c>
      <c r="G190" s="8">
        <f>SUM(G183:G189)</f>
        <v>5323.45</v>
      </c>
      <c r="H190" s="8">
        <f>SUM(H183:H189)</f>
        <v>13399.720000000001</v>
      </c>
      <c r="I190" s="8">
        <f>G190-H190</f>
        <v>-8076.2700000000013</v>
      </c>
    </row>
    <row r="191" spans="1:10" hidden="1" x14ac:dyDescent="0.25"/>
    <row r="192" spans="1:10" x14ac:dyDescent="0.25">
      <c r="A192" s="5">
        <v>4000041</v>
      </c>
      <c r="B192" s="6" t="s">
        <v>194</v>
      </c>
      <c r="C192" s="7"/>
      <c r="D192" s="7"/>
      <c r="E192" s="7"/>
      <c r="F192" s="7"/>
      <c r="G192" s="7"/>
      <c r="H192" s="7"/>
      <c r="I192" s="7"/>
      <c r="J192" s="7"/>
    </row>
    <row r="193" spans="1:15" x14ac:dyDescent="0.25">
      <c r="C193" s="9"/>
      <c r="D193" s="35">
        <v>45588</v>
      </c>
      <c r="E193" s="36" t="s">
        <v>8162</v>
      </c>
      <c r="F193" s="37" t="s">
        <v>8163</v>
      </c>
      <c r="G193" s="38">
        <v>0</v>
      </c>
      <c r="H193" s="38">
        <v>53.19</v>
      </c>
      <c r="I193" s="38">
        <f t="shared" ref="I193:I195" si="12">G193-H193+I192</f>
        <v>-53.19</v>
      </c>
      <c r="J193" s="32" t="s">
        <v>8147</v>
      </c>
    </row>
    <row r="194" spans="1:15" x14ac:dyDescent="0.25">
      <c r="C194" s="9"/>
      <c r="D194" s="35">
        <v>45602</v>
      </c>
      <c r="E194" s="36" t="s">
        <v>8164</v>
      </c>
      <c r="F194" s="37" t="s">
        <v>8165</v>
      </c>
      <c r="G194" s="38">
        <v>0</v>
      </c>
      <c r="H194" s="38">
        <v>690.99</v>
      </c>
      <c r="I194" s="38">
        <f t="shared" si="12"/>
        <v>-744.18000000000006</v>
      </c>
      <c r="J194" s="32" t="s">
        <v>8147</v>
      </c>
    </row>
    <row r="195" spans="1:15" hidden="1" x14ac:dyDescent="0.25">
      <c r="C195" s="9"/>
      <c r="D195" s="35">
        <v>45625</v>
      </c>
      <c r="E195" s="36" t="s">
        <v>8166</v>
      </c>
      <c r="F195" s="37" t="s">
        <v>8167</v>
      </c>
      <c r="G195" s="38">
        <v>0</v>
      </c>
      <c r="H195" s="47">
        <v>83.99</v>
      </c>
      <c r="I195" s="38">
        <f t="shared" si="12"/>
        <v>-828.17000000000007</v>
      </c>
      <c r="J195" s="48"/>
      <c r="K195" s="49">
        <f>G199-H195</f>
        <v>0</v>
      </c>
    </row>
    <row r="196" spans="1:15" hidden="1" x14ac:dyDescent="0.25">
      <c r="E196" s="4" t="s">
        <v>10</v>
      </c>
      <c r="G196" s="8">
        <v>0</v>
      </c>
      <c r="H196" s="8">
        <v>828.17</v>
      </c>
      <c r="I196" s="8">
        <f>G196-H196</f>
        <v>-828.17</v>
      </c>
    </row>
    <row r="197" spans="1:15" hidden="1" x14ac:dyDescent="0.25">
      <c r="C197" s="9"/>
      <c r="D197" s="10">
        <v>45700</v>
      </c>
      <c r="E197" t="s">
        <v>195</v>
      </c>
      <c r="F197" s="11" t="s">
        <v>196</v>
      </c>
      <c r="G197" s="8">
        <v>0</v>
      </c>
      <c r="H197" s="33">
        <v>132.97999999999999</v>
      </c>
      <c r="I197" s="8">
        <f t="shared" ref="I197:I202" si="13">G197-H197+I196</f>
        <v>-961.15</v>
      </c>
      <c r="J197" s="12"/>
    </row>
    <row r="198" spans="1:15" hidden="1" x14ac:dyDescent="0.25">
      <c r="C198" s="9"/>
      <c r="D198" s="10">
        <v>45716</v>
      </c>
      <c r="E198" t="s">
        <v>197</v>
      </c>
      <c r="F198" s="11" t="s">
        <v>198</v>
      </c>
      <c r="G198" s="8">
        <v>0</v>
      </c>
      <c r="H198" s="8">
        <v>62.84</v>
      </c>
      <c r="I198" s="8">
        <f t="shared" si="13"/>
        <v>-1023.99</v>
      </c>
      <c r="J198" s="32" t="s">
        <v>8147</v>
      </c>
    </row>
    <row r="199" spans="1:15" hidden="1" x14ac:dyDescent="0.25">
      <c r="C199" s="9" t="s">
        <v>124</v>
      </c>
      <c r="D199" s="10">
        <v>45719</v>
      </c>
      <c r="E199" t="s">
        <v>199</v>
      </c>
      <c r="F199" s="11" t="s">
        <v>42</v>
      </c>
      <c r="G199" s="47">
        <v>83.99</v>
      </c>
      <c r="H199" s="8">
        <v>0</v>
      </c>
      <c r="I199" s="8">
        <f t="shared" si="13"/>
        <v>-940</v>
      </c>
      <c r="J199" s="12"/>
    </row>
    <row r="200" spans="1:15" x14ac:dyDescent="0.25">
      <c r="C200" s="9"/>
      <c r="D200" s="10">
        <v>45719</v>
      </c>
      <c r="E200" t="s">
        <v>200</v>
      </c>
      <c r="F200" s="11" t="s">
        <v>201</v>
      </c>
      <c r="G200" s="8">
        <v>786.02</v>
      </c>
      <c r="H200" s="8">
        <v>0</v>
      </c>
      <c r="I200" s="8">
        <f t="shared" si="13"/>
        <v>-153.98000000000002</v>
      </c>
      <c r="J200" s="50" t="s">
        <v>8168</v>
      </c>
      <c r="K200" s="51"/>
    </row>
    <row r="201" spans="1:15" hidden="1" x14ac:dyDescent="0.25">
      <c r="C201" s="9"/>
      <c r="D201" s="10">
        <v>45747</v>
      </c>
      <c r="E201" t="s">
        <v>202</v>
      </c>
      <c r="F201" s="11" t="s">
        <v>203</v>
      </c>
      <c r="G201" s="8">
        <v>0</v>
      </c>
      <c r="H201" s="8">
        <v>0</v>
      </c>
      <c r="I201" s="8">
        <f t="shared" si="13"/>
        <v>-153.98000000000002</v>
      </c>
      <c r="J201" s="12"/>
    </row>
    <row r="202" spans="1:15" hidden="1" x14ac:dyDescent="0.25">
      <c r="C202" s="9"/>
      <c r="D202" s="10">
        <v>45762</v>
      </c>
      <c r="E202" t="s">
        <v>11</v>
      </c>
      <c r="F202" s="11" t="s">
        <v>196</v>
      </c>
      <c r="G202" s="33">
        <v>132.97999999999999</v>
      </c>
      <c r="H202" s="8">
        <v>0</v>
      </c>
      <c r="I202" s="8">
        <f t="shared" si="13"/>
        <v>-21.000000000000028</v>
      </c>
      <c r="J202" s="12"/>
    </row>
    <row r="203" spans="1:15" hidden="1" x14ac:dyDescent="0.25">
      <c r="E203" s="4" t="s">
        <v>20</v>
      </c>
      <c r="G203" s="8">
        <f>SUM(G196:G202)</f>
        <v>1002.99</v>
      </c>
      <c r="H203" s="8">
        <f>SUM(H196:H202)</f>
        <v>1023.99</v>
      </c>
      <c r="I203" s="8">
        <f>G203-H203</f>
        <v>-21</v>
      </c>
    </row>
    <row r="205" spans="1:15" x14ac:dyDescent="0.25">
      <c r="A205" s="5">
        <v>4000048</v>
      </c>
      <c r="B205" s="6" t="s">
        <v>204</v>
      </c>
      <c r="C205" s="7"/>
      <c r="D205" s="7"/>
      <c r="E205" s="7"/>
      <c r="F205" s="7"/>
      <c r="G205" s="7"/>
      <c r="H205" s="7"/>
      <c r="I205" s="7"/>
      <c r="J205" s="7"/>
    </row>
    <row r="206" spans="1:15" x14ac:dyDescent="0.25">
      <c r="C206" s="9"/>
      <c r="D206" s="35">
        <v>45596</v>
      </c>
      <c r="E206" s="36" t="s">
        <v>8148</v>
      </c>
      <c r="F206" s="37" t="s">
        <v>8149</v>
      </c>
      <c r="G206" s="38">
        <v>0</v>
      </c>
      <c r="H206" s="38">
        <v>899.7</v>
      </c>
      <c r="I206" s="38">
        <f>I205+G206-H206</f>
        <v>-899.7</v>
      </c>
      <c r="J206" s="32" t="s">
        <v>8147</v>
      </c>
      <c r="O206" s="34"/>
    </row>
    <row r="207" spans="1:15" x14ac:dyDescent="0.25">
      <c r="C207" s="9"/>
      <c r="D207" s="35">
        <v>45596</v>
      </c>
      <c r="E207" s="36" t="s">
        <v>8150</v>
      </c>
      <c r="F207" s="37" t="s">
        <v>8151</v>
      </c>
      <c r="G207" s="38">
        <v>0</v>
      </c>
      <c r="H207" s="38">
        <v>-9.01</v>
      </c>
      <c r="I207" s="38">
        <f t="shared" ref="I207:I213" si="14">I206+G207-H207</f>
        <v>-890.69</v>
      </c>
      <c r="J207" s="32" t="s">
        <v>8147</v>
      </c>
      <c r="O207" s="34"/>
    </row>
    <row r="208" spans="1:15" x14ac:dyDescent="0.25">
      <c r="C208" s="9"/>
      <c r="D208" s="35">
        <v>45611</v>
      </c>
      <c r="E208" s="36" t="s">
        <v>8152</v>
      </c>
      <c r="F208" s="37" t="s">
        <v>8153</v>
      </c>
      <c r="G208" s="38">
        <v>0</v>
      </c>
      <c r="H208" s="38">
        <v>2388.69</v>
      </c>
      <c r="I208" s="38">
        <f t="shared" si="14"/>
        <v>-3279.38</v>
      </c>
      <c r="J208" s="32" t="s">
        <v>8147</v>
      </c>
      <c r="O208" s="34"/>
    </row>
    <row r="209" spans="3:15" hidden="1" x14ac:dyDescent="0.25">
      <c r="C209" s="9"/>
      <c r="D209" s="35">
        <v>45626</v>
      </c>
      <c r="E209" s="36" t="s">
        <v>8154</v>
      </c>
      <c r="F209" s="37" t="s">
        <v>218</v>
      </c>
      <c r="G209" s="38">
        <v>0</v>
      </c>
      <c r="H209" s="39">
        <v>1934.6</v>
      </c>
      <c r="I209" s="38">
        <f t="shared" si="14"/>
        <v>-5213.9799999999996</v>
      </c>
      <c r="J209" s="32" t="s">
        <v>8147</v>
      </c>
      <c r="O209" s="34"/>
    </row>
    <row r="210" spans="3:15" x14ac:dyDescent="0.25">
      <c r="C210" s="9"/>
      <c r="D210" s="35">
        <v>45641</v>
      </c>
      <c r="E210" s="36" t="s">
        <v>8155</v>
      </c>
      <c r="F210" s="37" t="s">
        <v>8156</v>
      </c>
      <c r="G210" s="38">
        <v>0</v>
      </c>
      <c r="H210" s="38">
        <v>2524.17</v>
      </c>
      <c r="I210" s="38">
        <f t="shared" si="14"/>
        <v>-7738.15</v>
      </c>
      <c r="J210" s="32" t="s">
        <v>8147</v>
      </c>
      <c r="O210" s="34"/>
    </row>
    <row r="211" spans="3:15" hidden="1" x14ac:dyDescent="0.25">
      <c r="C211" s="9"/>
      <c r="D211" s="35">
        <v>45641</v>
      </c>
      <c r="E211" s="36" t="s">
        <v>8157</v>
      </c>
      <c r="F211" s="37" t="s">
        <v>217</v>
      </c>
      <c r="G211" s="38">
        <v>0</v>
      </c>
      <c r="H211" s="39">
        <v>2836.14</v>
      </c>
      <c r="I211" s="38">
        <f t="shared" si="14"/>
        <v>-10574.289999999999</v>
      </c>
      <c r="J211" s="32" t="s">
        <v>8147</v>
      </c>
      <c r="O211" s="34"/>
    </row>
    <row r="212" spans="3:15" x14ac:dyDescent="0.25">
      <c r="C212" s="9"/>
      <c r="D212" s="35">
        <v>45641</v>
      </c>
      <c r="E212" s="36" t="s">
        <v>8158</v>
      </c>
      <c r="F212" s="37" t="s">
        <v>8159</v>
      </c>
      <c r="G212" s="38">
        <v>0</v>
      </c>
      <c r="H212" s="38">
        <v>10.45</v>
      </c>
      <c r="I212" s="38">
        <f t="shared" si="14"/>
        <v>-10584.74</v>
      </c>
      <c r="J212" s="32" t="s">
        <v>8147</v>
      </c>
      <c r="O212" s="34"/>
    </row>
    <row r="213" spans="3:15" x14ac:dyDescent="0.25">
      <c r="C213" s="9"/>
      <c r="D213" s="35">
        <v>45657</v>
      </c>
      <c r="E213" s="36" t="s">
        <v>8160</v>
      </c>
      <c r="F213" s="37" t="s">
        <v>8161</v>
      </c>
      <c r="G213" s="38">
        <v>0</v>
      </c>
      <c r="H213" s="38">
        <v>1600.95</v>
      </c>
      <c r="I213" s="38">
        <f t="shared" si="14"/>
        <v>-12185.69</v>
      </c>
      <c r="J213" s="32" t="s">
        <v>8147</v>
      </c>
      <c r="O213" s="34"/>
    </row>
    <row r="214" spans="3:15" hidden="1" x14ac:dyDescent="0.25">
      <c r="E214" s="4" t="s">
        <v>10</v>
      </c>
      <c r="G214" s="8">
        <v>0</v>
      </c>
      <c r="H214" s="8">
        <v>12185.69</v>
      </c>
      <c r="I214" s="8">
        <f>G214-H214</f>
        <v>-12185.69</v>
      </c>
      <c r="J214" s="32" t="s">
        <v>8147</v>
      </c>
    </row>
    <row r="215" spans="3:15" x14ac:dyDescent="0.25">
      <c r="C215" s="9"/>
      <c r="D215" s="10">
        <v>45672</v>
      </c>
      <c r="E215" t="s">
        <v>205</v>
      </c>
      <c r="F215" s="11" t="s">
        <v>206</v>
      </c>
      <c r="G215" s="8">
        <v>0</v>
      </c>
      <c r="H215" s="8">
        <v>-112.82</v>
      </c>
      <c r="I215" s="8">
        <f t="shared" ref="I215:I229" si="15">G215-H215+I214</f>
        <v>-12072.87</v>
      </c>
      <c r="J215" s="32" t="s">
        <v>8147</v>
      </c>
    </row>
    <row r="216" spans="3:15" x14ac:dyDescent="0.25">
      <c r="C216" s="9"/>
      <c r="D216" s="10">
        <v>45672</v>
      </c>
      <c r="E216" t="s">
        <v>207</v>
      </c>
      <c r="F216" s="11" t="s">
        <v>208</v>
      </c>
      <c r="G216" s="8">
        <v>0</v>
      </c>
      <c r="H216" s="8">
        <v>1063.75</v>
      </c>
      <c r="I216" s="8">
        <f t="shared" si="15"/>
        <v>-13136.62</v>
      </c>
      <c r="J216" s="32" t="s">
        <v>8147</v>
      </c>
    </row>
    <row r="217" spans="3:15" x14ac:dyDescent="0.25">
      <c r="C217" s="9"/>
      <c r="D217" s="10">
        <v>45688</v>
      </c>
      <c r="E217" t="s">
        <v>209</v>
      </c>
      <c r="F217" s="11" t="s">
        <v>210</v>
      </c>
      <c r="G217" s="8">
        <v>0</v>
      </c>
      <c r="H217" s="8">
        <v>3446.06</v>
      </c>
      <c r="I217" s="8">
        <f t="shared" si="15"/>
        <v>-16582.68</v>
      </c>
      <c r="J217" s="32" t="s">
        <v>8147</v>
      </c>
    </row>
    <row r="218" spans="3:15" x14ac:dyDescent="0.25">
      <c r="C218" s="9"/>
      <c r="D218" s="10">
        <v>45703</v>
      </c>
      <c r="E218" t="s">
        <v>211</v>
      </c>
      <c r="F218" s="11" t="s">
        <v>212</v>
      </c>
      <c r="G218" s="8">
        <v>0</v>
      </c>
      <c r="H218" s="8">
        <v>3293.27</v>
      </c>
      <c r="I218" s="8">
        <f t="shared" si="15"/>
        <v>-19875.95</v>
      </c>
      <c r="J218" s="32" t="s">
        <v>8147</v>
      </c>
    </row>
    <row r="219" spans="3:15" x14ac:dyDescent="0.25">
      <c r="C219" s="9"/>
      <c r="D219" s="10">
        <v>45703</v>
      </c>
      <c r="E219" t="s">
        <v>213</v>
      </c>
      <c r="F219" s="11" t="s">
        <v>214</v>
      </c>
      <c r="G219" s="8">
        <v>0</v>
      </c>
      <c r="H219" s="8">
        <v>-283.07</v>
      </c>
      <c r="I219" s="8">
        <f t="shared" si="15"/>
        <v>-19592.88</v>
      </c>
      <c r="J219" s="32" t="s">
        <v>8147</v>
      </c>
    </row>
    <row r="220" spans="3:15" x14ac:dyDescent="0.25">
      <c r="C220" s="9"/>
      <c r="D220" s="10">
        <v>45707</v>
      </c>
      <c r="E220" t="s">
        <v>215</v>
      </c>
      <c r="F220" s="11" t="s">
        <v>42</v>
      </c>
      <c r="G220" s="8">
        <v>420.53</v>
      </c>
      <c r="H220" s="8">
        <v>0</v>
      </c>
      <c r="I220" s="8">
        <f t="shared" si="15"/>
        <v>-19172.350000000002</v>
      </c>
      <c r="J220" s="50" t="s">
        <v>8168</v>
      </c>
      <c r="K220" s="51"/>
    </row>
    <row r="221" spans="3:15" x14ac:dyDescent="0.25">
      <c r="C221" s="9"/>
      <c r="D221" s="10">
        <v>45707</v>
      </c>
      <c r="E221" t="s">
        <v>11</v>
      </c>
      <c r="F221" s="11" t="s">
        <v>216</v>
      </c>
      <c r="G221" s="8">
        <v>1.74</v>
      </c>
      <c r="H221" s="8">
        <v>0</v>
      </c>
      <c r="I221" s="8">
        <f t="shared" si="15"/>
        <v>-19170.61</v>
      </c>
      <c r="J221" s="50" t="s">
        <v>8168</v>
      </c>
      <c r="K221" s="51"/>
    </row>
    <row r="222" spans="3:15" hidden="1" x14ac:dyDescent="0.25">
      <c r="C222" s="9"/>
      <c r="D222" s="10">
        <v>45707</v>
      </c>
      <c r="E222" t="s">
        <v>11</v>
      </c>
      <c r="F222" s="11" t="s">
        <v>217</v>
      </c>
      <c r="G222" s="39">
        <v>2836.14</v>
      </c>
      <c r="H222" s="8">
        <v>0</v>
      </c>
      <c r="I222" s="8">
        <f t="shared" si="15"/>
        <v>-16334.470000000001</v>
      </c>
      <c r="J222" s="12"/>
    </row>
    <row r="223" spans="3:15" hidden="1" x14ac:dyDescent="0.25">
      <c r="C223" s="9"/>
      <c r="D223" s="10">
        <v>45707</v>
      </c>
      <c r="E223" t="s">
        <v>11</v>
      </c>
      <c r="F223" s="11" t="s">
        <v>218</v>
      </c>
      <c r="G223" s="39">
        <v>1934.6</v>
      </c>
      <c r="H223" s="8">
        <v>0</v>
      </c>
      <c r="I223" s="8">
        <f t="shared" si="15"/>
        <v>-14399.87</v>
      </c>
      <c r="J223" s="12"/>
    </row>
    <row r="224" spans="3:15" x14ac:dyDescent="0.25">
      <c r="C224" s="9"/>
      <c r="D224" s="10">
        <v>45716</v>
      </c>
      <c r="E224" t="s">
        <v>219</v>
      </c>
      <c r="F224" s="11" t="s">
        <v>220</v>
      </c>
      <c r="G224" s="8">
        <v>0</v>
      </c>
      <c r="H224" s="8">
        <v>4160.3900000000003</v>
      </c>
      <c r="I224" s="8">
        <f t="shared" si="15"/>
        <v>-18560.260000000002</v>
      </c>
      <c r="J224" s="32" t="s">
        <v>8147</v>
      </c>
    </row>
    <row r="225" spans="1:11" hidden="1" x14ac:dyDescent="0.25">
      <c r="C225" s="9"/>
      <c r="D225" s="10">
        <v>45731</v>
      </c>
      <c r="E225" t="s">
        <v>221</v>
      </c>
      <c r="F225" s="11" t="s">
        <v>222</v>
      </c>
      <c r="G225" s="8">
        <v>0</v>
      </c>
      <c r="H225" s="8">
        <v>2025.38</v>
      </c>
      <c r="I225" s="8">
        <f t="shared" si="15"/>
        <v>-20585.640000000003</v>
      </c>
      <c r="J225" s="32" t="s">
        <v>8147</v>
      </c>
    </row>
    <row r="226" spans="1:11" x14ac:dyDescent="0.25">
      <c r="C226" s="9"/>
      <c r="D226" s="10">
        <v>45733</v>
      </c>
      <c r="E226" t="s">
        <v>223</v>
      </c>
      <c r="F226" s="11" t="s">
        <v>42</v>
      </c>
      <c r="G226" s="8">
        <v>2974.4</v>
      </c>
      <c r="H226" s="8">
        <v>0</v>
      </c>
      <c r="I226" s="8">
        <f t="shared" si="15"/>
        <v>-17611.240000000002</v>
      </c>
      <c r="J226" s="50" t="s">
        <v>8168</v>
      </c>
      <c r="K226" s="51"/>
    </row>
    <row r="227" spans="1:11" hidden="1" x14ac:dyDescent="0.25">
      <c r="C227" s="9"/>
      <c r="D227" s="10">
        <v>45747</v>
      </c>
      <c r="E227" t="s">
        <v>224</v>
      </c>
      <c r="F227" s="11" t="s">
        <v>225</v>
      </c>
      <c r="G227" s="8">
        <v>0</v>
      </c>
      <c r="H227" s="8">
        <v>17862.29</v>
      </c>
      <c r="I227" s="8">
        <f t="shared" si="15"/>
        <v>-35473.53</v>
      </c>
      <c r="J227" s="12"/>
    </row>
    <row r="228" spans="1:11" hidden="1" x14ac:dyDescent="0.25">
      <c r="C228" s="9"/>
      <c r="D228" s="10">
        <v>45747</v>
      </c>
      <c r="E228" t="s">
        <v>226</v>
      </c>
      <c r="F228" s="11" t="s">
        <v>227</v>
      </c>
      <c r="G228" s="8">
        <v>0</v>
      </c>
      <c r="H228" s="8">
        <v>-53.39</v>
      </c>
      <c r="I228" s="8">
        <f t="shared" si="15"/>
        <v>-35420.14</v>
      </c>
      <c r="J228" s="12"/>
    </row>
    <row r="229" spans="1:11" hidden="1" x14ac:dyDescent="0.25">
      <c r="C229" s="9"/>
      <c r="D229" s="10">
        <v>45747</v>
      </c>
      <c r="E229" t="s">
        <v>228</v>
      </c>
      <c r="F229" s="11" t="s">
        <v>229</v>
      </c>
      <c r="G229" s="8">
        <v>0</v>
      </c>
      <c r="H229" s="8">
        <v>1699.24</v>
      </c>
      <c r="I229" s="8">
        <f t="shared" si="15"/>
        <v>-37119.379999999997</v>
      </c>
      <c r="J229" s="12"/>
    </row>
    <row r="230" spans="1:11" hidden="1" x14ac:dyDescent="0.25">
      <c r="E230" s="4" t="s">
        <v>20</v>
      </c>
      <c r="G230" s="8">
        <f>SUM(G214:G229)</f>
        <v>8167.41</v>
      </c>
      <c r="H230" s="8">
        <f>SUM(H214:H229)</f>
        <v>45286.79</v>
      </c>
      <c r="I230" s="8">
        <f>G230-H230</f>
        <v>-37119.380000000005</v>
      </c>
    </row>
    <row r="232" spans="1:11" hidden="1" x14ac:dyDescent="0.25">
      <c r="A232" s="5">
        <v>4000050</v>
      </c>
      <c r="B232" s="6" t="s">
        <v>230</v>
      </c>
      <c r="C232" s="7"/>
      <c r="D232" s="7"/>
      <c r="E232" s="7"/>
      <c r="F232" s="7"/>
      <c r="G232" s="7"/>
      <c r="H232" s="7"/>
      <c r="I232" s="7"/>
      <c r="J232" s="7"/>
    </row>
    <row r="233" spans="1:11" hidden="1" x14ac:dyDescent="0.25">
      <c r="C233" s="9"/>
      <c r="D233" s="10">
        <v>45747</v>
      </c>
      <c r="E233" t="s">
        <v>231</v>
      </c>
      <c r="F233" s="11" t="s">
        <v>232</v>
      </c>
      <c r="G233" s="8">
        <v>0</v>
      </c>
      <c r="H233" s="8">
        <v>101.93</v>
      </c>
      <c r="I233" s="8">
        <f>G233-H233</f>
        <v>-101.93</v>
      </c>
      <c r="J233" s="12"/>
    </row>
    <row r="234" spans="1:11" hidden="1" x14ac:dyDescent="0.25">
      <c r="E234" s="4" t="s">
        <v>20</v>
      </c>
      <c r="G234" s="8">
        <f>G233</f>
        <v>0</v>
      </c>
      <c r="H234" s="8">
        <f>H233</f>
        <v>101.93</v>
      </c>
      <c r="I234" s="8">
        <f>G234-H234</f>
        <v>-101.93</v>
      </c>
    </row>
    <row r="235" spans="1:11" hidden="1" x14ac:dyDescent="0.25"/>
    <row r="236" spans="1:11" hidden="1" x14ac:dyDescent="0.25">
      <c r="A236" s="5">
        <v>4000052</v>
      </c>
      <c r="B236" s="6" t="s">
        <v>233</v>
      </c>
      <c r="C236" s="7"/>
      <c r="D236" s="7"/>
      <c r="E236" s="7"/>
      <c r="F236" s="7"/>
      <c r="G236" s="7"/>
      <c r="H236" s="7"/>
      <c r="I236" s="7"/>
      <c r="J236" s="7"/>
    </row>
    <row r="237" spans="1:11" hidden="1" x14ac:dyDescent="0.25">
      <c r="E237" s="4" t="s">
        <v>10</v>
      </c>
      <c r="G237" s="8">
        <v>0</v>
      </c>
      <c r="H237" s="39">
        <v>2167.0300000000002</v>
      </c>
      <c r="I237" s="8">
        <f>G237-H237</f>
        <v>-2167.0300000000002</v>
      </c>
    </row>
    <row r="238" spans="1:11" hidden="1" x14ac:dyDescent="0.25">
      <c r="C238" s="9"/>
      <c r="D238" s="10">
        <v>45672</v>
      </c>
      <c r="E238" t="s">
        <v>234</v>
      </c>
      <c r="F238" s="11" t="s">
        <v>235</v>
      </c>
      <c r="G238" s="8">
        <v>0</v>
      </c>
      <c r="H238" s="39">
        <v>544.23</v>
      </c>
      <c r="I238" s="8">
        <f t="shared" ref="I238:I245" si="16">G238-H238+I237</f>
        <v>-2711.26</v>
      </c>
      <c r="J238" s="12"/>
    </row>
    <row r="239" spans="1:11" hidden="1" x14ac:dyDescent="0.25">
      <c r="C239" s="9"/>
      <c r="D239" s="10">
        <v>45688</v>
      </c>
      <c r="E239" t="s">
        <v>236</v>
      </c>
      <c r="F239" s="11" t="s">
        <v>237</v>
      </c>
      <c r="G239" s="8">
        <v>0</v>
      </c>
      <c r="H239" s="8">
        <v>761.34</v>
      </c>
      <c r="I239" s="8">
        <f t="shared" si="16"/>
        <v>-3472.6000000000004</v>
      </c>
      <c r="J239" s="12"/>
    </row>
    <row r="240" spans="1:11" hidden="1" x14ac:dyDescent="0.25">
      <c r="C240" s="9"/>
      <c r="D240" s="10">
        <v>45703</v>
      </c>
      <c r="E240" t="s">
        <v>238</v>
      </c>
      <c r="F240" s="11" t="s">
        <v>239</v>
      </c>
      <c r="G240" s="8">
        <v>0</v>
      </c>
      <c r="H240" s="8">
        <v>808.44</v>
      </c>
      <c r="I240" s="8">
        <f t="shared" si="16"/>
        <v>-4281.0400000000009</v>
      </c>
      <c r="J240" s="12"/>
    </row>
    <row r="241" spans="1:10" hidden="1" x14ac:dyDescent="0.25">
      <c r="C241" s="9"/>
      <c r="D241" s="10">
        <v>45705</v>
      </c>
      <c r="E241" t="s">
        <v>240</v>
      </c>
      <c r="F241" s="11" t="s">
        <v>42</v>
      </c>
      <c r="G241" s="39">
        <v>582.5</v>
      </c>
      <c r="H241" s="8">
        <v>0</v>
      </c>
      <c r="I241" s="8">
        <f t="shared" si="16"/>
        <v>-3698.5400000000009</v>
      </c>
      <c r="J241" s="12"/>
    </row>
    <row r="242" spans="1:10" hidden="1" x14ac:dyDescent="0.25">
      <c r="C242" s="9"/>
      <c r="D242" s="10">
        <v>45716</v>
      </c>
      <c r="E242" t="s">
        <v>241</v>
      </c>
      <c r="F242" s="11" t="s">
        <v>242</v>
      </c>
      <c r="G242" s="8">
        <v>0</v>
      </c>
      <c r="H242" s="8">
        <v>475.48</v>
      </c>
      <c r="I242" s="8">
        <f t="shared" si="16"/>
        <v>-4174.0200000000004</v>
      </c>
      <c r="J242" s="12"/>
    </row>
    <row r="243" spans="1:10" hidden="1" x14ac:dyDescent="0.25">
      <c r="C243" s="9"/>
      <c r="D243" s="10">
        <v>45731</v>
      </c>
      <c r="E243" t="s">
        <v>243</v>
      </c>
      <c r="F243" s="11" t="s">
        <v>244</v>
      </c>
      <c r="G243" s="8">
        <v>0</v>
      </c>
      <c r="H243" s="8">
        <v>366.12</v>
      </c>
      <c r="I243" s="8">
        <f t="shared" si="16"/>
        <v>-4540.1400000000003</v>
      </c>
      <c r="J243" s="12"/>
    </row>
    <row r="244" spans="1:10" hidden="1" x14ac:dyDescent="0.25">
      <c r="C244" s="9"/>
      <c r="D244" s="10">
        <v>45733</v>
      </c>
      <c r="E244" t="s">
        <v>11</v>
      </c>
      <c r="F244" s="11" t="s">
        <v>235</v>
      </c>
      <c r="G244" s="39">
        <v>544.23</v>
      </c>
      <c r="H244" s="8">
        <v>0</v>
      </c>
      <c r="I244" s="8">
        <f t="shared" si="16"/>
        <v>-3995.9100000000003</v>
      </c>
      <c r="J244" s="12"/>
    </row>
    <row r="245" spans="1:10" hidden="1" x14ac:dyDescent="0.25">
      <c r="C245" s="9"/>
      <c r="D245" s="10">
        <v>45749</v>
      </c>
      <c r="E245" t="s">
        <v>245</v>
      </c>
      <c r="F245" s="11" t="s">
        <v>42</v>
      </c>
      <c r="G245" s="39">
        <v>1584.53</v>
      </c>
      <c r="H245" s="8">
        <v>0</v>
      </c>
      <c r="I245" s="8">
        <f t="shared" si="16"/>
        <v>-2411.38</v>
      </c>
      <c r="J245" s="12"/>
    </row>
    <row r="246" spans="1:10" hidden="1" x14ac:dyDescent="0.25">
      <c r="E246" s="4" t="s">
        <v>20</v>
      </c>
      <c r="G246" s="8">
        <f>SUM(G237:G245)</f>
        <v>2711.26</v>
      </c>
      <c r="H246" s="8">
        <f>SUM(H237:H245)</f>
        <v>5122.6400000000003</v>
      </c>
      <c r="I246" s="8">
        <f>G246-H246</f>
        <v>-2411.38</v>
      </c>
    </row>
    <row r="247" spans="1:10" hidden="1" x14ac:dyDescent="0.25"/>
    <row r="248" spans="1:10" x14ac:dyDescent="0.25">
      <c r="A248" s="5">
        <v>4000054</v>
      </c>
      <c r="B248" s="6" t="s">
        <v>246</v>
      </c>
      <c r="C248" s="7"/>
      <c r="D248" s="7"/>
      <c r="E248" s="7"/>
      <c r="F248" s="7"/>
      <c r="G248" s="7"/>
      <c r="H248" s="7"/>
      <c r="I248" s="7"/>
      <c r="J248" s="7"/>
    </row>
    <row r="249" spans="1:10" hidden="1" x14ac:dyDescent="0.25">
      <c r="C249" s="9"/>
      <c r="D249" s="52">
        <v>45596</v>
      </c>
      <c r="E249" s="53" t="s">
        <v>8169</v>
      </c>
      <c r="F249" s="54" t="s">
        <v>250</v>
      </c>
      <c r="G249" s="55">
        <v>0</v>
      </c>
      <c r="H249" s="39">
        <v>392.38</v>
      </c>
      <c r="I249" s="55">
        <v>-1014.1300000000001</v>
      </c>
      <c r="J249" s="12"/>
    </row>
    <row r="250" spans="1:10" hidden="1" x14ac:dyDescent="0.25">
      <c r="C250" s="9"/>
      <c r="D250" s="52">
        <v>45611</v>
      </c>
      <c r="E250" s="53" t="s">
        <v>8170</v>
      </c>
      <c r="F250" s="54" t="s">
        <v>249</v>
      </c>
      <c r="G250" s="55">
        <v>0</v>
      </c>
      <c r="H250" s="39">
        <v>196.77</v>
      </c>
      <c r="I250" s="55">
        <v>-1210.9000000000001</v>
      </c>
      <c r="J250" s="12"/>
    </row>
    <row r="251" spans="1:10" hidden="1" x14ac:dyDescent="0.25">
      <c r="C251" s="9"/>
      <c r="D251" s="52">
        <v>45625</v>
      </c>
      <c r="E251" s="53" t="s">
        <v>8171</v>
      </c>
      <c r="F251" s="54" t="s">
        <v>255</v>
      </c>
      <c r="G251" s="55">
        <v>0</v>
      </c>
      <c r="H251" s="39">
        <v>614.63</v>
      </c>
      <c r="I251" s="55">
        <v>-1670.2000000000003</v>
      </c>
      <c r="J251" s="12"/>
    </row>
    <row r="252" spans="1:10" hidden="1" x14ac:dyDescent="0.25">
      <c r="C252" s="9"/>
      <c r="D252" s="52">
        <v>45639</v>
      </c>
      <c r="E252" s="53" t="s">
        <v>8172</v>
      </c>
      <c r="F252" s="54" t="s">
        <v>256</v>
      </c>
      <c r="G252" s="55">
        <v>0</v>
      </c>
      <c r="H252" s="39">
        <v>214.12</v>
      </c>
      <c r="I252" s="55">
        <v>-1884.3200000000002</v>
      </c>
      <c r="J252" s="12"/>
    </row>
    <row r="253" spans="1:10" hidden="1" x14ac:dyDescent="0.25">
      <c r="C253" s="9"/>
      <c r="D253" s="52">
        <v>45657</v>
      </c>
      <c r="E253" s="53" t="s">
        <v>8173</v>
      </c>
      <c r="F253" s="54" t="s">
        <v>8174</v>
      </c>
      <c r="G253" s="55">
        <v>0</v>
      </c>
      <c r="H253" s="39">
        <v>52.14</v>
      </c>
      <c r="I253" s="55">
        <v>-1470.0400000000002</v>
      </c>
      <c r="J253" s="12"/>
    </row>
    <row r="254" spans="1:10" hidden="1" x14ac:dyDescent="0.25">
      <c r="E254" s="4" t="s">
        <v>10</v>
      </c>
      <c r="G254" s="8">
        <v>0</v>
      </c>
      <c r="H254" s="39">
        <v>1470.04</v>
      </c>
      <c r="I254" s="8">
        <f>G254-H254</f>
        <v>-1470.04</v>
      </c>
    </row>
    <row r="255" spans="1:10" hidden="1" x14ac:dyDescent="0.25">
      <c r="C255" s="9"/>
      <c r="D255" s="10">
        <v>45672</v>
      </c>
      <c r="E255" t="s">
        <v>247</v>
      </c>
      <c r="F255" s="11" t="s">
        <v>248</v>
      </c>
      <c r="G255" s="8">
        <v>0</v>
      </c>
      <c r="H255" s="39">
        <v>289.89</v>
      </c>
      <c r="I255" s="8">
        <f t="shared" ref="I255:I270" si="17">G255-H255+I254</f>
        <v>-1759.9299999999998</v>
      </c>
      <c r="J255" s="12"/>
    </row>
    <row r="256" spans="1:10" hidden="1" x14ac:dyDescent="0.25">
      <c r="C256" s="9"/>
      <c r="D256" s="10">
        <v>45672</v>
      </c>
      <c r="E256" t="s">
        <v>11</v>
      </c>
      <c r="F256" s="11" t="s">
        <v>249</v>
      </c>
      <c r="G256" s="39">
        <v>196.77</v>
      </c>
      <c r="H256" s="8">
        <v>0</v>
      </c>
      <c r="I256" s="8">
        <f t="shared" si="17"/>
        <v>-1563.1599999999999</v>
      </c>
      <c r="J256" s="12"/>
    </row>
    <row r="257" spans="3:11" hidden="1" x14ac:dyDescent="0.25">
      <c r="C257" s="9"/>
      <c r="D257" s="10">
        <v>45672</v>
      </c>
      <c r="E257" t="s">
        <v>11</v>
      </c>
      <c r="F257" s="11" t="s">
        <v>250</v>
      </c>
      <c r="G257" s="39">
        <v>392.38</v>
      </c>
      <c r="H257" s="8">
        <v>0</v>
      </c>
      <c r="I257" s="8">
        <f t="shared" si="17"/>
        <v>-1170.7799999999997</v>
      </c>
      <c r="J257" s="12"/>
    </row>
    <row r="258" spans="3:11" hidden="1" x14ac:dyDescent="0.25">
      <c r="C258" s="9"/>
      <c r="D258" s="10">
        <v>45688</v>
      </c>
      <c r="E258" t="s">
        <v>251</v>
      </c>
      <c r="F258" s="11" t="s">
        <v>252</v>
      </c>
      <c r="G258" s="8">
        <v>0</v>
      </c>
      <c r="H258" s="39">
        <v>114.39</v>
      </c>
      <c r="I258" s="8">
        <f t="shared" si="17"/>
        <v>-1285.1699999999998</v>
      </c>
      <c r="J258" s="12"/>
    </row>
    <row r="259" spans="3:11" hidden="1" x14ac:dyDescent="0.25">
      <c r="C259" s="9"/>
      <c r="D259" s="10">
        <v>45702</v>
      </c>
      <c r="E259" t="s">
        <v>253</v>
      </c>
      <c r="F259" s="11" t="s">
        <v>254</v>
      </c>
      <c r="G259" s="8">
        <v>0</v>
      </c>
      <c r="H259" s="39">
        <v>234.28</v>
      </c>
      <c r="I259" s="8">
        <f t="shared" si="17"/>
        <v>-1519.4499999999998</v>
      </c>
      <c r="J259" s="12"/>
    </row>
    <row r="260" spans="3:11" hidden="1" x14ac:dyDescent="0.25">
      <c r="C260" s="9"/>
      <c r="D260" s="10">
        <v>45705</v>
      </c>
      <c r="E260" t="s">
        <v>11</v>
      </c>
      <c r="F260" s="11" t="s">
        <v>255</v>
      </c>
      <c r="G260" s="39">
        <v>614.63</v>
      </c>
      <c r="H260" s="8">
        <v>0</v>
      </c>
      <c r="I260" s="8">
        <f t="shared" si="17"/>
        <v>-904.81999999999982</v>
      </c>
      <c r="J260" s="12"/>
    </row>
    <row r="261" spans="3:11" hidden="1" x14ac:dyDescent="0.25">
      <c r="C261" s="9"/>
      <c r="D261" s="10">
        <v>45705</v>
      </c>
      <c r="E261" t="s">
        <v>11</v>
      </c>
      <c r="F261" s="11" t="s">
        <v>256</v>
      </c>
      <c r="G261" s="39">
        <v>214.12</v>
      </c>
      <c r="H261" s="8">
        <v>0</v>
      </c>
      <c r="I261" s="8">
        <f t="shared" si="17"/>
        <v>-690.69999999999982</v>
      </c>
      <c r="J261" s="12"/>
    </row>
    <row r="262" spans="3:11" x14ac:dyDescent="0.25">
      <c r="C262" s="9"/>
      <c r="D262" s="10">
        <v>45705</v>
      </c>
      <c r="E262" t="s">
        <v>11</v>
      </c>
      <c r="F262" s="11" t="s">
        <v>255</v>
      </c>
      <c r="G262" s="8">
        <v>0</v>
      </c>
      <c r="H262" s="8">
        <v>614.63</v>
      </c>
      <c r="I262" s="8">
        <f t="shared" si="17"/>
        <v>-1305.33</v>
      </c>
      <c r="J262" s="32" t="s">
        <v>8175</v>
      </c>
      <c r="K262" s="46"/>
    </row>
    <row r="263" spans="3:11" x14ac:dyDescent="0.25">
      <c r="C263" s="9"/>
      <c r="D263" s="10">
        <v>45707</v>
      </c>
      <c r="E263" t="s">
        <v>257</v>
      </c>
      <c r="F263" s="11" t="s">
        <v>248</v>
      </c>
      <c r="G263" s="8">
        <v>623.42999999999995</v>
      </c>
      <c r="H263" s="8">
        <v>0</v>
      </c>
      <c r="I263" s="8">
        <f t="shared" si="17"/>
        <v>-681.9</v>
      </c>
      <c r="J263" s="20" t="s">
        <v>8144</v>
      </c>
    </row>
    <row r="264" spans="3:11" x14ac:dyDescent="0.25">
      <c r="C264" s="9"/>
      <c r="D264" s="10">
        <v>45708</v>
      </c>
      <c r="E264" t="s">
        <v>257</v>
      </c>
      <c r="F264" s="11" t="s">
        <v>42</v>
      </c>
      <c r="G264" s="8">
        <v>42.17</v>
      </c>
      <c r="H264" s="8">
        <v>0</v>
      </c>
      <c r="I264" s="8">
        <f t="shared" si="17"/>
        <v>-639.73</v>
      </c>
      <c r="J264" s="20" t="s">
        <v>8144</v>
      </c>
    </row>
    <row r="265" spans="3:11" hidden="1" x14ac:dyDescent="0.25">
      <c r="C265" s="9"/>
      <c r="D265" s="10">
        <v>45716</v>
      </c>
      <c r="E265" t="s">
        <v>258</v>
      </c>
      <c r="F265" s="11" t="s">
        <v>259</v>
      </c>
      <c r="G265" s="8">
        <v>0</v>
      </c>
      <c r="H265" s="8">
        <v>45.06</v>
      </c>
      <c r="I265" s="8">
        <f t="shared" si="17"/>
        <v>-684.79</v>
      </c>
      <c r="J265" s="12"/>
    </row>
    <row r="266" spans="3:11" hidden="1" x14ac:dyDescent="0.25">
      <c r="C266" s="9"/>
      <c r="D266" s="10">
        <v>45730</v>
      </c>
      <c r="E266" t="s">
        <v>260</v>
      </c>
      <c r="F266" s="11" t="s">
        <v>261</v>
      </c>
      <c r="G266" s="8">
        <v>0</v>
      </c>
      <c r="H266" s="8">
        <v>170.1</v>
      </c>
      <c r="I266" s="8">
        <f t="shared" si="17"/>
        <v>-854.89</v>
      </c>
      <c r="J266" s="12"/>
    </row>
    <row r="267" spans="3:11" hidden="1" x14ac:dyDescent="0.25">
      <c r="C267" s="9"/>
      <c r="D267" s="10">
        <v>45733</v>
      </c>
      <c r="E267" t="s">
        <v>262</v>
      </c>
      <c r="F267" s="11" t="s">
        <v>42</v>
      </c>
      <c r="G267" s="39">
        <v>342.03</v>
      </c>
      <c r="H267" s="8">
        <v>0</v>
      </c>
      <c r="I267" s="8">
        <f t="shared" si="17"/>
        <v>-512.86</v>
      </c>
      <c r="J267" s="12"/>
    </row>
    <row r="268" spans="3:11" hidden="1" x14ac:dyDescent="0.25">
      <c r="C268" s="9"/>
      <c r="D268" s="10">
        <v>45747</v>
      </c>
      <c r="E268" t="s">
        <v>263</v>
      </c>
      <c r="F268" s="11" t="s">
        <v>264</v>
      </c>
      <c r="G268" s="8">
        <v>0</v>
      </c>
      <c r="H268" s="8">
        <v>363.73</v>
      </c>
      <c r="I268" s="8">
        <f t="shared" si="17"/>
        <v>-876.59</v>
      </c>
      <c r="J268" s="12"/>
    </row>
    <row r="269" spans="3:11" ht="16.5" hidden="1" customHeight="1" x14ac:dyDescent="0.25">
      <c r="C269" s="9"/>
      <c r="D269" s="10">
        <v>45762</v>
      </c>
      <c r="E269" t="s">
        <v>11</v>
      </c>
      <c r="F269" s="11" t="s">
        <v>254</v>
      </c>
      <c r="G269" s="39">
        <v>234.28</v>
      </c>
      <c r="H269" s="8">
        <v>0</v>
      </c>
      <c r="I269" s="8">
        <f t="shared" si="17"/>
        <v>-642.31000000000006</v>
      </c>
      <c r="J269" s="12"/>
    </row>
    <row r="270" spans="3:11" hidden="1" x14ac:dyDescent="0.25">
      <c r="C270" s="9"/>
      <c r="D270" s="10">
        <v>45762</v>
      </c>
      <c r="E270" t="s">
        <v>11</v>
      </c>
      <c r="F270" s="11" t="s">
        <v>252</v>
      </c>
      <c r="G270" s="39">
        <v>114.39</v>
      </c>
      <c r="H270" s="8">
        <v>0</v>
      </c>
      <c r="I270" s="8">
        <f t="shared" si="17"/>
        <v>-527.92000000000007</v>
      </c>
      <c r="J270" s="12"/>
    </row>
    <row r="271" spans="3:11" hidden="1" x14ac:dyDescent="0.25">
      <c r="E271" s="4" t="s">
        <v>20</v>
      </c>
      <c r="G271" s="8">
        <f>SUM(G254:G270)</f>
        <v>2774.2</v>
      </c>
      <c r="H271" s="8">
        <f>SUM(H254:H270)</f>
        <v>3302.12</v>
      </c>
      <c r="I271" s="8">
        <f>G271-H271</f>
        <v>-527.92000000000007</v>
      </c>
    </row>
    <row r="273" spans="1:10" hidden="1" x14ac:dyDescent="0.25">
      <c r="A273" s="5">
        <v>4000056</v>
      </c>
      <c r="B273" s="6" t="s">
        <v>265</v>
      </c>
      <c r="C273" s="7"/>
      <c r="D273" s="7"/>
      <c r="E273" s="7"/>
      <c r="F273" s="7"/>
      <c r="G273" s="7"/>
      <c r="H273" s="7"/>
      <c r="I273" s="7"/>
      <c r="J273" s="7"/>
    </row>
    <row r="274" spans="1:10" hidden="1" x14ac:dyDescent="0.25">
      <c r="C274" s="9"/>
      <c r="D274" s="10">
        <v>45688</v>
      </c>
      <c r="E274" t="s">
        <v>266</v>
      </c>
      <c r="F274" s="11" t="s">
        <v>267</v>
      </c>
      <c r="G274" s="8">
        <v>0</v>
      </c>
      <c r="H274" s="39">
        <v>484.97</v>
      </c>
      <c r="I274" s="8">
        <f>G274-H274</f>
        <v>-484.97</v>
      </c>
      <c r="J274" s="12"/>
    </row>
    <row r="275" spans="1:10" hidden="1" x14ac:dyDescent="0.25">
      <c r="C275" s="9"/>
      <c r="D275" s="10">
        <v>45702</v>
      </c>
      <c r="E275" t="s">
        <v>268</v>
      </c>
      <c r="F275" s="11" t="s">
        <v>269</v>
      </c>
      <c r="G275" s="8">
        <v>0</v>
      </c>
      <c r="H275" s="8">
        <v>151.19999999999999</v>
      </c>
      <c r="I275" s="8">
        <f>G275-H275+I274</f>
        <v>-636.17000000000007</v>
      </c>
      <c r="J275" s="12"/>
    </row>
    <row r="276" spans="1:10" hidden="1" x14ac:dyDescent="0.25">
      <c r="C276" s="9"/>
      <c r="D276" s="10">
        <v>45747</v>
      </c>
      <c r="E276" t="s">
        <v>11</v>
      </c>
      <c r="F276" s="11" t="s">
        <v>267</v>
      </c>
      <c r="G276" s="39">
        <v>484.97</v>
      </c>
      <c r="H276" s="8">
        <v>0</v>
      </c>
      <c r="I276" s="8">
        <f>G276-H276+I275</f>
        <v>-151.20000000000005</v>
      </c>
      <c r="J276" s="12"/>
    </row>
    <row r="277" spans="1:10" hidden="1" x14ac:dyDescent="0.25">
      <c r="E277" s="4" t="s">
        <v>20</v>
      </c>
      <c r="G277" s="8">
        <f>SUM(G274:G276)</f>
        <v>484.97</v>
      </c>
      <c r="H277" s="8">
        <f>SUM(H274:H276)</f>
        <v>636.17000000000007</v>
      </c>
      <c r="I277" s="8">
        <f>G277-H277</f>
        <v>-151.20000000000005</v>
      </c>
    </row>
    <row r="278" spans="1:10" hidden="1" x14ac:dyDescent="0.25"/>
    <row r="279" spans="1:10" hidden="1" x14ac:dyDescent="0.25">
      <c r="A279" s="5">
        <v>4000066</v>
      </c>
      <c r="B279" s="6" t="s">
        <v>270</v>
      </c>
      <c r="C279" s="7"/>
      <c r="D279" s="7"/>
      <c r="E279" s="7"/>
      <c r="F279" s="7"/>
      <c r="G279" s="7"/>
      <c r="H279" s="7"/>
      <c r="I279" s="7"/>
      <c r="J279" s="7"/>
    </row>
    <row r="280" spans="1:10" hidden="1" x14ac:dyDescent="0.25">
      <c r="C280" s="9"/>
      <c r="D280" s="10">
        <v>45672</v>
      </c>
      <c r="E280" t="s">
        <v>271</v>
      </c>
      <c r="F280" s="11" t="s">
        <v>42</v>
      </c>
      <c r="G280" s="8">
        <v>665.54</v>
      </c>
      <c r="H280" s="8">
        <v>0</v>
      </c>
      <c r="I280" s="8">
        <f>G280-H280</f>
        <v>665.54</v>
      </c>
      <c r="J280" s="12"/>
    </row>
    <row r="281" spans="1:10" hidden="1" x14ac:dyDescent="0.25">
      <c r="C281" s="9"/>
      <c r="D281" s="10">
        <v>45672</v>
      </c>
      <c r="E281" t="s">
        <v>271</v>
      </c>
      <c r="F281" s="11" t="s">
        <v>42</v>
      </c>
      <c r="G281" s="8">
        <v>263.58</v>
      </c>
      <c r="H281" s="8">
        <v>0</v>
      </c>
      <c r="I281" s="8">
        <f>G281-H281+I280</f>
        <v>929.11999999999989</v>
      </c>
      <c r="J281" s="12"/>
    </row>
    <row r="282" spans="1:10" hidden="1" x14ac:dyDescent="0.25">
      <c r="C282" s="9"/>
      <c r="D282" s="10">
        <v>45677</v>
      </c>
      <c r="E282" t="s">
        <v>272</v>
      </c>
      <c r="F282" s="11" t="s">
        <v>273</v>
      </c>
      <c r="G282" s="8">
        <v>0</v>
      </c>
      <c r="H282" s="8">
        <v>929.12</v>
      </c>
      <c r="I282" s="8">
        <f>G282-H282+I281</f>
        <v>0</v>
      </c>
      <c r="J282" s="12"/>
    </row>
    <row r="283" spans="1:10" hidden="1" x14ac:dyDescent="0.25">
      <c r="C283" s="9"/>
      <c r="D283" s="10">
        <v>45728</v>
      </c>
      <c r="E283" t="s">
        <v>274</v>
      </c>
      <c r="F283" s="11" t="s">
        <v>42</v>
      </c>
      <c r="G283" s="8">
        <v>922.54</v>
      </c>
      <c r="H283" s="8">
        <v>0</v>
      </c>
      <c r="I283" s="8">
        <f>G283-H283+I282</f>
        <v>922.54</v>
      </c>
      <c r="J283" s="12"/>
    </row>
    <row r="284" spans="1:10" hidden="1" x14ac:dyDescent="0.25">
      <c r="C284" s="9"/>
      <c r="D284" s="10">
        <v>45736</v>
      </c>
      <c r="E284" t="s">
        <v>275</v>
      </c>
      <c r="F284" s="11" t="s">
        <v>276</v>
      </c>
      <c r="G284" s="8">
        <v>0</v>
      </c>
      <c r="H284" s="8">
        <v>1010.68</v>
      </c>
      <c r="I284" s="8">
        <f>G284-H284+I283</f>
        <v>-88.139999999999986</v>
      </c>
      <c r="J284" s="12"/>
    </row>
    <row r="285" spans="1:10" hidden="1" x14ac:dyDescent="0.25">
      <c r="C285" s="9"/>
      <c r="D285" s="10">
        <v>45736</v>
      </c>
      <c r="E285" t="s">
        <v>277</v>
      </c>
      <c r="F285" s="11" t="s">
        <v>42</v>
      </c>
      <c r="G285" s="8">
        <v>88.14</v>
      </c>
      <c r="H285" s="8">
        <v>0</v>
      </c>
      <c r="I285" s="8">
        <f>G285-H285+I284</f>
        <v>0</v>
      </c>
      <c r="J285" s="12"/>
    </row>
    <row r="286" spans="1:10" hidden="1" x14ac:dyDescent="0.25">
      <c r="E286" s="4" t="s">
        <v>20</v>
      </c>
      <c r="G286" s="8">
        <f>SUM(G280:G285)</f>
        <v>1939.8</v>
      </c>
      <c r="H286" s="8">
        <f>SUM(H280:H285)</f>
        <v>1939.8</v>
      </c>
      <c r="I286" s="8">
        <f>G286-H286</f>
        <v>0</v>
      </c>
    </row>
    <row r="287" spans="1:10" hidden="1" x14ac:dyDescent="0.25"/>
    <row r="288" spans="1:10" hidden="1" x14ac:dyDescent="0.25">
      <c r="A288" s="5">
        <v>4000069</v>
      </c>
      <c r="B288" s="6" t="s">
        <v>278</v>
      </c>
      <c r="C288" s="7"/>
      <c r="D288" s="7"/>
      <c r="E288" s="7"/>
      <c r="F288" s="7"/>
      <c r="G288" s="7"/>
      <c r="H288" s="7"/>
      <c r="I288" s="7"/>
      <c r="J288" s="7"/>
    </row>
    <row r="289" spans="1:10" s="40" customFormat="1" hidden="1" x14ac:dyDescent="0.25">
      <c r="E289" s="41" t="s">
        <v>10</v>
      </c>
      <c r="G289" s="39">
        <v>0</v>
      </c>
      <c r="H289" s="39">
        <v>67.34</v>
      </c>
      <c r="I289" s="39">
        <f>G289-H289</f>
        <v>-67.34</v>
      </c>
    </row>
    <row r="290" spans="1:10" s="40" customFormat="1" hidden="1" x14ac:dyDescent="0.25">
      <c r="C290" s="42"/>
      <c r="D290" s="43">
        <v>45705</v>
      </c>
      <c r="E290" s="40" t="s">
        <v>11</v>
      </c>
      <c r="F290" s="44" t="s">
        <v>279</v>
      </c>
      <c r="G290" s="39">
        <v>67.34</v>
      </c>
      <c r="H290" s="39">
        <v>0</v>
      </c>
      <c r="I290" s="39">
        <f>G290-H290+I289</f>
        <v>0</v>
      </c>
      <c r="J290" s="45"/>
    </row>
    <row r="291" spans="1:10" hidden="1" x14ac:dyDescent="0.25">
      <c r="C291" s="9"/>
      <c r="D291" s="10">
        <v>45716</v>
      </c>
      <c r="E291" t="s">
        <v>280</v>
      </c>
      <c r="F291" s="11" t="s">
        <v>281</v>
      </c>
      <c r="G291" s="8">
        <v>0</v>
      </c>
      <c r="H291" s="8">
        <v>64.86</v>
      </c>
      <c r="I291" s="8">
        <f>G291-H291+I290</f>
        <v>-64.86</v>
      </c>
      <c r="J291" s="12"/>
    </row>
    <row r="292" spans="1:10" hidden="1" x14ac:dyDescent="0.25">
      <c r="C292" s="9"/>
      <c r="D292" s="10">
        <v>45744</v>
      </c>
      <c r="E292" t="s">
        <v>282</v>
      </c>
      <c r="F292" s="11" t="s">
        <v>283</v>
      </c>
      <c r="G292" s="8">
        <v>0</v>
      </c>
      <c r="H292" s="8">
        <v>211.77</v>
      </c>
      <c r="I292" s="8">
        <f>G292-H292+I291</f>
        <v>-276.63</v>
      </c>
      <c r="J292" s="12"/>
    </row>
    <row r="293" spans="1:10" hidden="1" x14ac:dyDescent="0.25">
      <c r="E293" s="4" t="s">
        <v>20</v>
      </c>
      <c r="G293" s="8">
        <f>SUM(G289:G292)</f>
        <v>67.34</v>
      </c>
      <c r="H293" s="8">
        <f>SUM(H289:H292)</f>
        <v>343.97</v>
      </c>
      <c r="I293" s="8">
        <f>G293-H293</f>
        <v>-276.63</v>
      </c>
    </row>
    <row r="294" spans="1:10" hidden="1" x14ac:dyDescent="0.25"/>
    <row r="295" spans="1:10" hidden="1" x14ac:dyDescent="0.25">
      <c r="A295" s="5">
        <v>4000072</v>
      </c>
      <c r="B295" s="6" t="s">
        <v>284</v>
      </c>
      <c r="C295" s="7"/>
      <c r="D295" s="7"/>
      <c r="E295" s="7"/>
      <c r="F295" s="7"/>
      <c r="G295" s="7"/>
      <c r="H295" s="7"/>
      <c r="I295" s="7"/>
      <c r="J295" s="7"/>
    </row>
    <row r="296" spans="1:10" hidden="1" x14ac:dyDescent="0.25">
      <c r="C296" s="9"/>
      <c r="D296" s="10">
        <v>45705</v>
      </c>
      <c r="E296" t="s">
        <v>285</v>
      </c>
      <c r="F296" s="11" t="s">
        <v>42</v>
      </c>
      <c r="G296" s="8">
        <v>0</v>
      </c>
      <c r="H296" s="8">
        <v>0</v>
      </c>
      <c r="I296" s="8">
        <f>G296-H296</f>
        <v>0</v>
      </c>
      <c r="J296" s="20" t="s">
        <v>8144</v>
      </c>
    </row>
    <row r="297" spans="1:10" hidden="1" x14ac:dyDescent="0.25">
      <c r="E297" s="4" t="s">
        <v>20</v>
      </c>
      <c r="G297" s="8">
        <f>G296</f>
        <v>0</v>
      </c>
      <c r="H297" s="8">
        <f>H296</f>
        <v>0</v>
      </c>
      <c r="I297" s="8">
        <f>G297-H297</f>
        <v>0</v>
      </c>
    </row>
    <row r="298" spans="1:10" hidden="1" x14ac:dyDescent="0.25"/>
    <row r="299" spans="1:10" hidden="1" x14ac:dyDescent="0.25">
      <c r="A299" s="5">
        <v>4000075</v>
      </c>
      <c r="B299" s="6" t="s">
        <v>286</v>
      </c>
      <c r="C299" s="7"/>
      <c r="D299" s="7"/>
      <c r="E299" s="7"/>
      <c r="F299" s="7"/>
      <c r="G299" s="7"/>
      <c r="H299" s="7"/>
      <c r="I299" s="7"/>
      <c r="J299" s="7"/>
    </row>
    <row r="300" spans="1:10" s="40" customFormat="1" hidden="1" x14ac:dyDescent="0.25">
      <c r="E300" s="41" t="s">
        <v>10</v>
      </c>
      <c r="G300" s="39">
        <v>0</v>
      </c>
      <c r="H300" s="39">
        <v>71.22</v>
      </c>
      <c r="I300" s="39">
        <f>G300-H300</f>
        <v>-71.22</v>
      </c>
    </row>
    <row r="301" spans="1:10" s="40" customFormat="1" hidden="1" x14ac:dyDescent="0.25">
      <c r="C301" s="42"/>
      <c r="D301" s="43">
        <v>45671</v>
      </c>
      <c r="E301" s="40" t="s">
        <v>11</v>
      </c>
      <c r="F301" s="44" t="s">
        <v>287</v>
      </c>
      <c r="G301" s="39">
        <v>55.66</v>
      </c>
      <c r="H301" s="39">
        <v>0</v>
      </c>
      <c r="I301" s="39">
        <f>G301-H301+I300</f>
        <v>-15.560000000000002</v>
      </c>
      <c r="J301" s="45"/>
    </row>
    <row r="302" spans="1:10" s="40" customFormat="1" hidden="1" x14ac:dyDescent="0.25">
      <c r="C302" s="42"/>
      <c r="D302" s="43">
        <v>45702</v>
      </c>
      <c r="E302" s="40" t="s">
        <v>11</v>
      </c>
      <c r="F302" s="44" t="s">
        <v>288</v>
      </c>
      <c r="G302" s="39">
        <v>15.56</v>
      </c>
      <c r="H302" s="39">
        <v>0</v>
      </c>
      <c r="I302" s="39">
        <f>G302-H302+I301</f>
        <v>0</v>
      </c>
      <c r="J302" s="45"/>
    </row>
    <row r="303" spans="1:10" hidden="1" x14ac:dyDescent="0.25">
      <c r="C303" s="9"/>
      <c r="D303" s="10">
        <v>45731</v>
      </c>
      <c r="E303" t="s">
        <v>289</v>
      </c>
      <c r="F303" s="11" t="s">
        <v>290</v>
      </c>
      <c r="G303" s="8">
        <v>0</v>
      </c>
      <c r="H303" s="8">
        <v>165.77</v>
      </c>
      <c r="I303" s="8">
        <f>G303-H303+I302</f>
        <v>-165.77</v>
      </c>
      <c r="J303" s="12"/>
    </row>
    <row r="304" spans="1:10" hidden="1" x14ac:dyDescent="0.25">
      <c r="E304" s="4" t="s">
        <v>20</v>
      </c>
      <c r="G304" s="8">
        <f>SUM(G300:G303)</f>
        <v>71.22</v>
      </c>
      <c r="H304" s="8">
        <f>SUM(H300:H303)</f>
        <v>236.99</v>
      </c>
      <c r="I304" s="8">
        <f>G304-H304</f>
        <v>-165.77</v>
      </c>
    </row>
    <row r="305" spans="1:10" hidden="1" x14ac:dyDescent="0.25"/>
    <row r="306" spans="1:10" hidden="1" x14ac:dyDescent="0.25">
      <c r="A306" s="5">
        <v>4000077</v>
      </c>
      <c r="B306" s="6" t="s">
        <v>291</v>
      </c>
      <c r="C306" s="7"/>
      <c r="D306" s="7"/>
      <c r="E306" s="7"/>
      <c r="F306" s="7"/>
      <c r="G306" s="7"/>
      <c r="H306" s="7"/>
      <c r="I306" s="7"/>
      <c r="J306" s="7"/>
    </row>
    <row r="307" spans="1:10" hidden="1" x14ac:dyDescent="0.25">
      <c r="E307" s="4" t="s">
        <v>10</v>
      </c>
      <c r="G307" s="8">
        <v>0</v>
      </c>
      <c r="H307" s="39">
        <v>3554.45</v>
      </c>
      <c r="I307" s="8">
        <f>G307-H307</f>
        <v>-3554.45</v>
      </c>
    </row>
    <row r="308" spans="1:10" hidden="1" x14ac:dyDescent="0.25">
      <c r="C308" s="9"/>
      <c r="D308" s="10">
        <v>45672</v>
      </c>
      <c r="E308" t="s">
        <v>292</v>
      </c>
      <c r="F308" s="11" t="s">
        <v>293</v>
      </c>
      <c r="G308" s="8">
        <v>0</v>
      </c>
      <c r="H308" s="39">
        <v>381.5</v>
      </c>
      <c r="I308" s="8">
        <f t="shared" ref="I308:I325" si="18">G308-H308+I307</f>
        <v>-3935.95</v>
      </c>
      <c r="J308" s="12"/>
    </row>
    <row r="309" spans="1:10" hidden="1" x14ac:dyDescent="0.25">
      <c r="C309" s="9"/>
      <c r="D309" s="10">
        <v>45672</v>
      </c>
      <c r="E309" t="s">
        <v>11</v>
      </c>
      <c r="F309" s="11" t="s">
        <v>294</v>
      </c>
      <c r="G309" s="39">
        <v>84.77</v>
      </c>
      <c r="H309" s="8">
        <v>0</v>
      </c>
      <c r="I309" s="8">
        <f t="shared" si="18"/>
        <v>-3851.18</v>
      </c>
      <c r="J309" s="12"/>
    </row>
    <row r="310" spans="1:10" hidden="1" x14ac:dyDescent="0.25">
      <c r="C310" s="9"/>
      <c r="D310" s="10">
        <v>45672</v>
      </c>
      <c r="E310" t="s">
        <v>295</v>
      </c>
      <c r="F310" s="11" t="s">
        <v>42</v>
      </c>
      <c r="G310" s="39">
        <v>32.43</v>
      </c>
      <c r="H310" s="8">
        <v>0</v>
      </c>
      <c r="I310" s="8">
        <f t="shared" si="18"/>
        <v>-3818.75</v>
      </c>
      <c r="J310" s="12"/>
    </row>
    <row r="311" spans="1:10" hidden="1" x14ac:dyDescent="0.25">
      <c r="C311" s="9"/>
      <c r="D311" s="10">
        <v>45672</v>
      </c>
      <c r="E311" t="s">
        <v>11</v>
      </c>
      <c r="F311" s="11" t="s">
        <v>296</v>
      </c>
      <c r="G311" s="39">
        <v>569.83000000000004</v>
      </c>
      <c r="H311" s="8">
        <v>0</v>
      </c>
      <c r="I311" s="8">
        <f t="shared" si="18"/>
        <v>-3248.92</v>
      </c>
      <c r="J311" s="12"/>
    </row>
    <row r="312" spans="1:10" hidden="1" x14ac:dyDescent="0.25">
      <c r="C312" s="9"/>
      <c r="D312" s="10">
        <v>45672</v>
      </c>
      <c r="E312" t="s">
        <v>11</v>
      </c>
      <c r="F312" s="11" t="s">
        <v>297</v>
      </c>
      <c r="G312" s="39">
        <v>108.65</v>
      </c>
      <c r="H312" s="8">
        <v>0</v>
      </c>
      <c r="I312" s="8">
        <f t="shared" si="18"/>
        <v>-3140.27</v>
      </c>
      <c r="J312" s="12"/>
    </row>
    <row r="313" spans="1:10" hidden="1" x14ac:dyDescent="0.25">
      <c r="C313" s="9"/>
      <c r="D313" s="10">
        <v>45672</v>
      </c>
      <c r="E313" t="s">
        <v>11</v>
      </c>
      <c r="F313" s="11" t="s">
        <v>298</v>
      </c>
      <c r="G313" s="39">
        <v>631.04999999999995</v>
      </c>
      <c r="H313" s="8">
        <v>0</v>
      </c>
      <c r="I313" s="8">
        <f t="shared" si="18"/>
        <v>-2509.2200000000003</v>
      </c>
      <c r="J313" s="12"/>
    </row>
    <row r="314" spans="1:10" hidden="1" x14ac:dyDescent="0.25">
      <c r="C314" s="9"/>
      <c r="D314" s="10">
        <v>45688</v>
      </c>
      <c r="E314" t="s">
        <v>299</v>
      </c>
      <c r="F314" s="11" t="s">
        <v>300</v>
      </c>
      <c r="G314" s="39">
        <v>0</v>
      </c>
      <c r="H314" s="39">
        <v>1963.72</v>
      </c>
      <c r="I314" s="8">
        <f t="shared" si="18"/>
        <v>-4472.9400000000005</v>
      </c>
      <c r="J314" s="12"/>
    </row>
    <row r="315" spans="1:10" hidden="1" x14ac:dyDescent="0.25">
      <c r="C315" s="9"/>
      <c r="D315" s="10">
        <v>45703</v>
      </c>
      <c r="E315" t="s">
        <v>301</v>
      </c>
      <c r="F315" s="11" t="s">
        <v>302</v>
      </c>
      <c r="G315" s="39">
        <v>0</v>
      </c>
      <c r="H315" s="39">
        <v>691.88</v>
      </c>
      <c r="I315" s="8">
        <f t="shared" si="18"/>
        <v>-5164.8200000000006</v>
      </c>
      <c r="J315" s="12"/>
    </row>
    <row r="316" spans="1:10" hidden="1" x14ac:dyDescent="0.25">
      <c r="C316" s="9"/>
      <c r="D316" s="10">
        <v>45705</v>
      </c>
      <c r="E316" t="s">
        <v>11</v>
      </c>
      <c r="F316" s="11" t="s">
        <v>303</v>
      </c>
      <c r="G316" s="39">
        <v>1754.43</v>
      </c>
      <c r="H316" s="8">
        <v>0</v>
      </c>
      <c r="I316" s="8">
        <f t="shared" si="18"/>
        <v>-3410.3900000000003</v>
      </c>
      <c r="J316" s="12"/>
    </row>
    <row r="317" spans="1:10" hidden="1" x14ac:dyDescent="0.25">
      <c r="C317" s="9"/>
      <c r="D317" s="10">
        <v>45705</v>
      </c>
      <c r="E317" t="s">
        <v>11</v>
      </c>
      <c r="F317" s="11" t="s">
        <v>304</v>
      </c>
      <c r="G317" s="39">
        <v>373.29</v>
      </c>
      <c r="H317" s="8">
        <v>0</v>
      </c>
      <c r="I317" s="8">
        <f t="shared" si="18"/>
        <v>-3037.1000000000004</v>
      </c>
      <c r="J317" s="12"/>
    </row>
    <row r="318" spans="1:10" hidden="1" x14ac:dyDescent="0.25">
      <c r="C318" s="9"/>
      <c r="D318" s="10">
        <v>45716</v>
      </c>
      <c r="E318" t="s">
        <v>305</v>
      </c>
      <c r="F318" s="11" t="s">
        <v>306</v>
      </c>
      <c r="G318" s="8">
        <v>0</v>
      </c>
      <c r="H318" s="39">
        <v>-324.52</v>
      </c>
      <c r="I318" s="8">
        <f t="shared" si="18"/>
        <v>-2712.5800000000004</v>
      </c>
      <c r="J318" s="12"/>
    </row>
    <row r="319" spans="1:10" hidden="1" x14ac:dyDescent="0.25">
      <c r="C319" s="9"/>
      <c r="D319" s="10">
        <v>45716</v>
      </c>
      <c r="E319" t="s">
        <v>307</v>
      </c>
      <c r="F319" s="11" t="s">
        <v>308</v>
      </c>
      <c r="G319" s="8">
        <v>0</v>
      </c>
      <c r="H319" s="39">
        <v>553.36</v>
      </c>
      <c r="I319" s="8">
        <f t="shared" si="18"/>
        <v>-3265.9400000000005</v>
      </c>
      <c r="J319" s="12"/>
    </row>
    <row r="320" spans="1:10" hidden="1" x14ac:dyDescent="0.25">
      <c r="C320" s="9"/>
      <c r="D320" s="10">
        <v>45731</v>
      </c>
      <c r="E320" t="s">
        <v>309</v>
      </c>
      <c r="F320" s="11" t="s">
        <v>310</v>
      </c>
      <c r="G320" s="8">
        <v>0</v>
      </c>
      <c r="H320" s="8">
        <v>1685.15</v>
      </c>
      <c r="I320" s="8">
        <f t="shared" si="18"/>
        <v>-4951.09</v>
      </c>
      <c r="J320" s="12"/>
    </row>
    <row r="321" spans="1:10" hidden="1" x14ac:dyDescent="0.25">
      <c r="C321" s="9"/>
      <c r="D321" s="10">
        <v>45733</v>
      </c>
      <c r="E321" t="s">
        <v>11</v>
      </c>
      <c r="F321" s="11" t="s">
        <v>300</v>
      </c>
      <c r="G321" s="39">
        <v>1963.72</v>
      </c>
      <c r="H321" s="8">
        <v>0</v>
      </c>
      <c r="I321" s="8">
        <f t="shared" si="18"/>
        <v>-2987.37</v>
      </c>
      <c r="J321" s="12"/>
    </row>
    <row r="322" spans="1:10" hidden="1" x14ac:dyDescent="0.25">
      <c r="C322" s="9"/>
      <c r="D322" s="10">
        <v>45733</v>
      </c>
      <c r="E322" t="s">
        <v>11</v>
      </c>
      <c r="F322" s="11" t="s">
        <v>293</v>
      </c>
      <c r="G322" s="39">
        <v>381.5</v>
      </c>
      <c r="H322" s="8">
        <v>0</v>
      </c>
      <c r="I322" s="8">
        <f t="shared" si="18"/>
        <v>-2605.87</v>
      </c>
      <c r="J322" s="12"/>
    </row>
    <row r="323" spans="1:10" hidden="1" x14ac:dyDescent="0.25">
      <c r="C323" s="9"/>
      <c r="D323" s="10">
        <v>45747</v>
      </c>
      <c r="E323" t="s">
        <v>311</v>
      </c>
      <c r="F323" s="11" t="s">
        <v>312</v>
      </c>
      <c r="G323" s="8">
        <v>0</v>
      </c>
      <c r="H323" s="8">
        <v>1347.09</v>
      </c>
      <c r="I323" s="8">
        <f t="shared" si="18"/>
        <v>-3952.96</v>
      </c>
      <c r="J323" s="12"/>
    </row>
    <row r="324" spans="1:10" hidden="1" x14ac:dyDescent="0.25">
      <c r="C324" s="9"/>
      <c r="D324" s="10">
        <v>45762</v>
      </c>
      <c r="E324" t="s">
        <v>11</v>
      </c>
      <c r="F324" s="11" t="s">
        <v>302</v>
      </c>
      <c r="G324" s="39">
        <v>691.88</v>
      </c>
      <c r="H324" s="8">
        <v>0</v>
      </c>
      <c r="I324" s="8">
        <f t="shared" si="18"/>
        <v>-3261.08</v>
      </c>
      <c r="J324" s="12"/>
    </row>
    <row r="325" spans="1:10" hidden="1" x14ac:dyDescent="0.25">
      <c r="C325" s="9"/>
      <c r="D325" s="10">
        <v>45762</v>
      </c>
      <c r="E325" t="s">
        <v>313</v>
      </c>
      <c r="F325" s="11" t="s">
        <v>42</v>
      </c>
      <c r="G325" s="39">
        <v>228.84</v>
      </c>
      <c r="H325" s="8">
        <v>0</v>
      </c>
      <c r="I325" s="8">
        <f t="shared" si="18"/>
        <v>-3032.24</v>
      </c>
      <c r="J325" s="12"/>
    </row>
    <row r="326" spans="1:10" hidden="1" x14ac:dyDescent="0.25">
      <c r="E326" s="4" t="s">
        <v>20</v>
      </c>
      <c r="G326" s="8">
        <f>SUM(G307:G325)</f>
        <v>6820.39</v>
      </c>
      <c r="H326" s="8">
        <f>SUM(H307:H325)</f>
        <v>9852.630000000001</v>
      </c>
      <c r="I326" s="8">
        <f>G326-H326</f>
        <v>-3032.2400000000007</v>
      </c>
    </row>
    <row r="327" spans="1:10" hidden="1" x14ac:dyDescent="0.25"/>
    <row r="328" spans="1:10" x14ac:dyDescent="0.25">
      <c r="A328" s="5">
        <v>4000082</v>
      </c>
      <c r="B328" s="6" t="s">
        <v>314</v>
      </c>
      <c r="C328" s="7"/>
      <c r="D328" s="7"/>
      <c r="E328" s="7"/>
      <c r="F328" s="7"/>
      <c r="G328" s="7"/>
      <c r="H328" s="7"/>
      <c r="I328" s="7"/>
      <c r="J328" s="7"/>
    </row>
    <row r="329" spans="1:10" hidden="1" x14ac:dyDescent="0.25">
      <c r="E329" s="4" t="s">
        <v>10</v>
      </c>
      <c r="G329" s="8">
        <v>0</v>
      </c>
      <c r="H329" s="8">
        <v>976.99</v>
      </c>
      <c r="I329" s="8">
        <f>G329-H329</f>
        <v>-976.99</v>
      </c>
    </row>
    <row r="330" spans="1:10" hidden="1" x14ac:dyDescent="0.25">
      <c r="C330" s="9"/>
      <c r="D330" s="10">
        <v>45672</v>
      </c>
      <c r="E330" t="s">
        <v>11</v>
      </c>
      <c r="F330" s="11" t="s">
        <v>315</v>
      </c>
      <c r="G330" s="8">
        <v>976.99</v>
      </c>
      <c r="H330" s="8">
        <v>0</v>
      </c>
      <c r="I330" s="8">
        <f t="shared" ref="I330:I336" si="19">G330-H330+I329</f>
        <v>0</v>
      </c>
      <c r="J330" s="12"/>
    </row>
    <row r="331" spans="1:10" hidden="1" x14ac:dyDescent="0.25">
      <c r="C331" s="9"/>
      <c r="D331" s="10">
        <v>45672</v>
      </c>
      <c r="E331" t="s">
        <v>11</v>
      </c>
      <c r="F331" s="11" t="s">
        <v>315</v>
      </c>
      <c r="G331" s="8">
        <v>0</v>
      </c>
      <c r="H331" s="39">
        <v>976.99</v>
      </c>
      <c r="I331" s="8">
        <f t="shared" si="19"/>
        <v>-976.99</v>
      </c>
      <c r="J331" s="12"/>
    </row>
    <row r="332" spans="1:10" x14ac:dyDescent="0.25">
      <c r="C332" s="9"/>
      <c r="D332" s="10">
        <v>45688</v>
      </c>
      <c r="E332" t="s">
        <v>316</v>
      </c>
      <c r="F332" s="11" t="s">
        <v>317</v>
      </c>
      <c r="G332" s="8">
        <v>0</v>
      </c>
      <c r="H332" s="8">
        <v>388.52</v>
      </c>
      <c r="I332" s="8">
        <f t="shared" si="19"/>
        <v>-1365.51</v>
      </c>
      <c r="J332" s="32" t="s">
        <v>8147</v>
      </c>
    </row>
    <row r="333" spans="1:10" hidden="1" x14ac:dyDescent="0.25">
      <c r="C333" s="9" t="s">
        <v>124</v>
      </c>
      <c r="D333" s="10">
        <v>45691</v>
      </c>
      <c r="E333" t="s">
        <v>318</v>
      </c>
      <c r="F333" s="11" t="s">
        <v>42</v>
      </c>
      <c r="G333" s="39">
        <v>1000.63</v>
      </c>
      <c r="H333" s="8">
        <v>0</v>
      </c>
      <c r="I333" s="8">
        <f t="shared" si="19"/>
        <v>-364.88</v>
      </c>
      <c r="J333" s="12"/>
    </row>
    <row r="334" spans="1:10" hidden="1" x14ac:dyDescent="0.25">
      <c r="C334" s="9"/>
      <c r="D334" s="10">
        <v>45702</v>
      </c>
      <c r="E334" t="s">
        <v>319</v>
      </c>
      <c r="F334" s="11" t="s">
        <v>320</v>
      </c>
      <c r="G334" s="8">
        <v>0</v>
      </c>
      <c r="H334" s="39">
        <v>23.64</v>
      </c>
      <c r="I334" s="8">
        <f t="shared" si="19"/>
        <v>-388.52</v>
      </c>
      <c r="J334" s="12"/>
    </row>
    <row r="335" spans="1:10" hidden="1" x14ac:dyDescent="0.25">
      <c r="C335" s="9"/>
      <c r="D335" s="10">
        <v>45716</v>
      </c>
      <c r="E335" t="s">
        <v>321</v>
      </c>
      <c r="F335" s="11" t="s">
        <v>322</v>
      </c>
      <c r="G335" s="8">
        <v>0</v>
      </c>
      <c r="H335" s="8">
        <v>1325.93</v>
      </c>
      <c r="I335" s="8">
        <f t="shared" si="19"/>
        <v>-1714.45</v>
      </c>
      <c r="J335" s="12"/>
    </row>
    <row r="336" spans="1:10" hidden="1" x14ac:dyDescent="0.25">
      <c r="C336" s="9"/>
      <c r="D336" s="10">
        <v>45747</v>
      </c>
      <c r="E336" t="s">
        <v>323</v>
      </c>
      <c r="F336" s="11" t="s">
        <v>324</v>
      </c>
      <c r="G336" s="8">
        <v>0</v>
      </c>
      <c r="H336" s="8">
        <v>411.66</v>
      </c>
      <c r="I336" s="8">
        <f t="shared" si="19"/>
        <v>-2126.11</v>
      </c>
      <c r="J336" s="12"/>
    </row>
    <row r="337" spans="1:10" hidden="1" x14ac:dyDescent="0.25">
      <c r="E337" s="4" t="s">
        <v>20</v>
      </c>
      <c r="G337" s="8">
        <f>SUM(G329:G336)</f>
        <v>1977.62</v>
      </c>
      <c r="H337" s="8">
        <f>SUM(H329:H336)</f>
        <v>4103.7299999999996</v>
      </c>
      <c r="I337" s="8">
        <f>G337-H337</f>
        <v>-2126.1099999999997</v>
      </c>
    </row>
    <row r="339" spans="1:10" x14ac:dyDescent="0.25">
      <c r="A339" s="5">
        <v>4000086</v>
      </c>
      <c r="B339" s="6" t="s">
        <v>325</v>
      </c>
      <c r="C339" s="7"/>
      <c r="D339" s="7"/>
      <c r="E339" s="7"/>
      <c r="F339" s="7"/>
      <c r="G339" s="7"/>
      <c r="H339" s="7"/>
      <c r="I339" s="7"/>
      <c r="J339" s="7"/>
    </row>
    <row r="340" spans="1:10" x14ac:dyDescent="0.25">
      <c r="C340" s="9"/>
      <c r="D340" s="52">
        <v>45381</v>
      </c>
      <c r="E340" s="53" t="s">
        <v>8176</v>
      </c>
      <c r="F340" s="54" t="s">
        <v>8177</v>
      </c>
      <c r="G340" s="55">
        <v>0</v>
      </c>
      <c r="H340" s="55">
        <v>76.150000000000006</v>
      </c>
      <c r="I340" s="55">
        <v>-152.30000000000001</v>
      </c>
      <c r="J340" s="32" t="s">
        <v>8147</v>
      </c>
    </row>
    <row r="341" spans="1:10" x14ac:dyDescent="0.25">
      <c r="C341" s="9"/>
      <c r="D341" s="52">
        <v>45442</v>
      </c>
      <c r="E341" s="53" t="s">
        <v>8178</v>
      </c>
      <c r="F341" s="54" t="s">
        <v>8179</v>
      </c>
      <c r="G341" s="55">
        <v>0</v>
      </c>
      <c r="H341" s="55">
        <v>76.150000000000006</v>
      </c>
      <c r="I341" s="55">
        <v>-228.45000000000002</v>
      </c>
      <c r="J341" s="32" t="s">
        <v>8147</v>
      </c>
    </row>
    <row r="342" spans="1:10" hidden="1" x14ac:dyDescent="0.25">
      <c r="E342" s="4" t="s">
        <v>10</v>
      </c>
      <c r="G342" s="8">
        <v>0</v>
      </c>
      <c r="H342" s="8">
        <v>304.60000000000002</v>
      </c>
      <c r="I342" s="8">
        <f>G342-H342</f>
        <v>-304.60000000000002</v>
      </c>
    </row>
    <row r="343" spans="1:10" hidden="1" x14ac:dyDescent="0.25">
      <c r="C343" s="9"/>
      <c r="D343" s="10">
        <v>45672</v>
      </c>
      <c r="E343" t="s">
        <v>11</v>
      </c>
      <c r="F343" s="11" t="s">
        <v>326</v>
      </c>
      <c r="G343" s="33">
        <v>76.150000000000006</v>
      </c>
      <c r="H343" s="8">
        <v>0</v>
      </c>
      <c r="I343" s="8">
        <f t="shared" ref="I343:I349" si="20">G343-H343+I342</f>
        <v>-228.45000000000002</v>
      </c>
      <c r="J343" s="12"/>
    </row>
    <row r="344" spans="1:10" hidden="1" x14ac:dyDescent="0.25">
      <c r="C344" s="9"/>
      <c r="D344" s="10">
        <v>45687</v>
      </c>
      <c r="E344" t="s">
        <v>327</v>
      </c>
      <c r="F344" s="11" t="s">
        <v>328</v>
      </c>
      <c r="G344" s="8">
        <v>0</v>
      </c>
      <c r="H344" s="8">
        <v>78.430000000000007</v>
      </c>
      <c r="I344" s="8">
        <f>G344-H344+I343</f>
        <v>-306.88</v>
      </c>
      <c r="J344" s="12"/>
    </row>
    <row r="345" spans="1:10" hidden="1" x14ac:dyDescent="0.25">
      <c r="C345" s="9"/>
      <c r="D345" s="10">
        <v>45705</v>
      </c>
      <c r="E345" t="s">
        <v>11</v>
      </c>
      <c r="F345" s="11" t="s">
        <v>326</v>
      </c>
      <c r="G345" s="33">
        <v>76.150000000000006</v>
      </c>
      <c r="H345" s="8">
        <v>0</v>
      </c>
      <c r="I345" s="8">
        <f t="shared" si="20"/>
        <v>-230.73</v>
      </c>
      <c r="J345" s="12"/>
    </row>
    <row r="346" spans="1:10" hidden="1" x14ac:dyDescent="0.25">
      <c r="C346" s="9"/>
      <c r="D346" s="10">
        <v>45716</v>
      </c>
      <c r="E346" t="s">
        <v>329</v>
      </c>
      <c r="F346" s="11" t="s">
        <v>330</v>
      </c>
      <c r="G346" s="8">
        <v>0</v>
      </c>
      <c r="H346" s="8">
        <v>78.430000000000007</v>
      </c>
      <c r="I346" s="8">
        <f t="shared" si="20"/>
        <v>-309.15999999999997</v>
      </c>
      <c r="J346" s="12"/>
    </row>
    <row r="347" spans="1:10" hidden="1" x14ac:dyDescent="0.25">
      <c r="C347" s="9"/>
      <c r="D347" s="10">
        <v>45733</v>
      </c>
      <c r="E347" t="s">
        <v>11</v>
      </c>
      <c r="F347" s="11" t="s">
        <v>331</v>
      </c>
      <c r="G347" s="8">
        <v>78.430000000000007</v>
      </c>
      <c r="H347" s="8">
        <v>0</v>
      </c>
      <c r="I347" s="8">
        <f t="shared" si="20"/>
        <v>-230.72999999999996</v>
      </c>
      <c r="J347" s="12"/>
    </row>
    <row r="348" spans="1:10" hidden="1" x14ac:dyDescent="0.25">
      <c r="C348" s="9"/>
      <c r="D348" s="10">
        <v>45746</v>
      </c>
      <c r="E348" t="s">
        <v>332</v>
      </c>
      <c r="F348" s="11" t="s">
        <v>331</v>
      </c>
      <c r="G348" s="8">
        <v>0</v>
      </c>
      <c r="H348" s="8">
        <v>78.430000000000007</v>
      </c>
      <c r="I348" s="8">
        <f t="shared" si="20"/>
        <v>-309.15999999999997</v>
      </c>
      <c r="J348" s="12"/>
    </row>
    <row r="349" spans="1:10" hidden="1" x14ac:dyDescent="0.25">
      <c r="C349" s="9"/>
      <c r="D349" s="10">
        <v>45762</v>
      </c>
      <c r="E349" t="s">
        <v>11</v>
      </c>
      <c r="F349" s="11" t="s">
        <v>331</v>
      </c>
      <c r="G349" s="8">
        <v>78.430000000000007</v>
      </c>
      <c r="H349" s="8">
        <v>0</v>
      </c>
      <c r="I349" s="8">
        <f t="shared" si="20"/>
        <v>-230.72999999999996</v>
      </c>
      <c r="J349" s="12"/>
    </row>
    <row r="350" spans="1:10" hidden="1" x14ac:dyDescent="0.25">
      <c r="E350" s="4" t="s">
        <v>20</v>
      </c>
      <c r="G350" s="8">
        <f>SUM(G342:G349)</f>
        <v>309.16000000000003</v>
      </c>
      <c r="H350" s="8">
        <f>SUM(H342:H349)</f>
        <v>539.8900000000001</v>
      </c>
      <c r="I350" s="8">
        <f>G350-H350</f>
        <v>-230.73000000000008</v>
      </c>
    </row>
    <row r="352" spans="1:10" hidden="1" x14ac:dyDescent="0.25">
      <c r="A352" s="5">
        <v>4000091</v>
      </c>
      <c r="B352" s="6" t="s">
        <v>333</v>
      </c>
      <c r="C352" s="7"/>
      <c r="D352" s="7"/>
      <c r="E352" s="7"/>
      <c r="F352" s="7"/>
      <c r="G352" s="7"/>
      <c r="H352" s="7"/>
      <c r="I352" s="7"/>
      <c r="J352" s="7"/>
    </row>
    <row r="353" spans="1:10" hidden="1" x14ac:dyDescent="0.25">
      <c r="E353" s="4" t="s">
        <v>10</v>
      </c>
      <c r="G353" s="8">
        <v>0</v>
      </c>
      <c r="H353" s="39">
        <v>1225.98</v>
      </c>
      <c r="I353" s="8">
        <f>G353-H353</f>
        <v>-1225.98</v>
      </c>
    </row>
    <row r="354" spans="1:10" hidden="1" x14ac:dyDescent="0.25">
      <c r="C354" s="9"/>
      <c r="D354" s="10">
        <v>45672</v>
      </c>
      <c r="E354" t="s">
        <v>11</v>
      </c>
      <c r="F354" s="11" t="s">
        <v>334</v>
      </c>
      <c r="G354" s="39">
        <v>649.91999999999996</v>
      </c>
      <c r="H354" s="8">
        <v>0</v>
      </c>
      <c r="I354" s="8">
        <f t="shared" ref="I354:I361" si="21">G354-H354+I353</f>
        <v>-576.06000000000006</v>
      </c>
      <c r="J354" s="12"/>
    </row>
    <row r="355" spans="1:10" hidden="1" x14ac:dyDescent="0.25">
      <c r="C355" s="9"/>
      <c r="D355" s="10">
        <v>45686</v>
      </c>
      <c r="E355" t="s">
        <v>335</v>
      </c>
      <c r="F355" s="11" t="s">
        <v>336</v>
      </c>
      <c r="G355" s="8">
        <v>0</v>
      </c>
      <c r="H355" s="39">
        <v>2010.44</v>
      </c>
      <c r="I355" s="8">
        <f t="shared" si="21"/>
        <v>-2586.5</v>
      </c>
      <c r="J355" s="12"/>
    </row>
    <row r="356" spans="1:10" hidden="1" x14ac:dyDescent="0.25">
      <c r="C356" s="9"/>
      <c r="D356" s="10">
        <v>45692</v>
      </c>
      <c r="E356" t="s">
        <v>337</v>
      </c>
      <c r="F356" s="11" t="s">
        <v>338</v>
      </c>
      <c r="G356" s="8">
        <v>0</v>
      </c>
      <c r="H356" s="39">
        <v>374.97</v>
      </c>
      <c r="I356" s="8">
        <f t="shared" si="21"/>
        <v>-2961.4700000000003</v>
      </c>
      <c r="J356" s="12"/>
    </row>
    <row r="357" spans="1:10" hidden="1" x14ac:dyDescent="0.25">
      <c r="C357" s="9"/>
      <c r="D357" s="10">
        <v>45705</v>
      </c>
      <c r="E357" t="s">
        <v>11</v>
      </c>
      <c r="F357" s="11" t="s">
        <v>339</v>
      </c>
      <c r="G357" s="39">
        <v>576.05999999999995</v>
      </c>
      <c r="H357" s="8">
        <v>0</v>
      </c>
      <c r="I357" s="8">
        <f t="shared" si="21"/>
        <v>-2385.4100000000003</v>
      </c>
      <c r="J357" s="12"/>
    </row>
    <row r="358" spans="1:10" hidden="1" x14ac:dyDescent="0.25">
      <c r="C358" s="9"/>
      <c r="D358" s="10">
        <v>45707</v>
      </c>
      <c r="E358" t="s">
        <v>340</v>
      </c>
      <c r="F358" s="11" t="s">
        <v>341</v>
      </c>
      <c r="G358" s="8">
        <v>0</v>
      </c>
      <c r="H358" s="8">
        <v>855.85</v>
      </c>
      <c r="I358" s="8">
        <f t="shared" si="21"/>
        <v>-3241.26</v>
      </c>
      <c r="J358" s="12"/>
    </row>
    <row r="359" spans="1:10" hidden="1" x14ac:dyDescent="0.25">
      <c r="C359" s="9"/>
      <c r="D359" s="10">
        <v>45728</v>
      </c>
      <c r="E359" t="s">
        <v>342</v>
      </c>
      <c r="F359" s="11" t="s">
        <v>343</v>
      </c>
      <c r="G359" s="8">
        <v>0</v>
      </c>
      <c r="H359" s="8">
        <v>1055.24</v>
      </c>
      <c r="I359" s="8">
        <f t="shared" si="21"/>
        <v>-4296.5</v>
      </c>
      <c r="J359" s="12"/>
    </row>
    <row r="360" spans="1:10" hidden="1" x14ac:dyDescent="0.25">
      <c r="C360" s="9"/>
      <c r="D360" s="10">
        <v>45762</v>
      </c>
      <c r="E360" t="s">
        <v>11</v>
      </c>
      <c r="F360" s="11" t="s">
        <v>336</v>
      </c>
      <c r="G360" s="39">
        <v>2010.44</v>
      </c>
      <c r="H360" s="8">
        <v>0</v>
      </c>
      <c r="I360" s="8">
        <f t="shared" si="21"/>
        <v>-2286.06</v>
      </c>
      <c r="J360" s="12"/>
    </row>
    <row r="361" spans="1:10" hidden="1" x14ac:dyDescent="0.25">
      <c r="C361" s="9"/>
      <c r="D361" s="10">
        <v>45762</v>
      </c>
      <c r="E361" t="s">
        <v>11</v>
      </c>
      <c r="F361" s="11" t="s">
        <v>344</v>
      </c>
      <c r="G361" s="39">
        <v>374.97</v>
      </c>
      <c r="H361" s="8">
        <v>0</v>
      </c>
      <c r="I361" s="8">
        <f t="shared" si="21"/>
        <v>-1911.09</v>
      </c>
      <c r="J361" s="12"/>
    </row>
    <row r="362" spans="1:10" hidden="1" x14ac:dyDescent="0.25">
      <c r="E362" s="4" t="s">
        <v>20</v>
      </c>
      <c r="G362" s="8">
        <f>SUM(G353:G361)</f>
        <v>3611.3900000000003</v>
      </c>
      <c r="H362" s="8">
        <f>SUM(H353:H361)</f>
        <v>5522.4800000000005</v>
      </c>
      <c r="I362" s="8">
        <f>G362-H362</f>
        <v>-1911.0900000000001</v>
      </c>
    </row>
    <row r="363" spans="1:10" hidden="1" x14ac:dyDescent="0.25"/>
    <row r="364" spans="1:10" hidden="1" x14ac:dyDescent="0.25">
      <c r="A364" s="5">
        <v>4000094</v>
      </c>
      <c r="B364" s="6" t="s">
        <v>345</v>
      </c>
      <c r="C364" s="7"/>
      <c r="D364" s="7"/>
      <c r="E364" s="7"/>
      <c r="F364" s="7"/>
      <c r="G364" s="7"/>
      <c r="H364" s="7"/>
      <c r="I364" s="7"/>
      <c r="J364" s="7"/>
    </row>
    <row r="365" spans="1:10" hidden="1" x14ac:dyDescent="0.25">
      <c r="C365" s="9"/>
      <c r="D365" s="52">
        <v>45607</v>
      </c>
      <c r="E365" s="53" t="s">
        <v>8180</v>
      </c>
      <c r="F365" s="54" t="s">
        <v>346</v>
      </c>
      <c r="G365" s="55">
        <v>0</v>
      </c>
      <c r="H365" s="56">
        <v>448.15</v>
      </c>
      <c r="I365" s="55">
        <v>-1174.8699999999999</v>
      </c>
      <c r="J365" s="12"/>
    </row>
    <row r="366" spans="1:10" hidden="1" x14ac:dyDescent="0.25">
      <c r="C366" s="9"/>
      <c r="D366" s="52">
        <v>45635</v>
      </c>
      <c r="E366" s="53" t="s">
        <v>8181</v>
      </c>
      <c r="F366" s="54" t="s">
        <v>348</v>
      </c>
      <c r="G366" s="55">
        <v>0</v>
      </c>
      <c r="H366" s="56">
        <v>778.93</v>
      </c>
      <c r="I366" s="55">
        <v>-1590.4399999999998</v>
      </c>
      <c r="J366" s="12"/>
    </row>
    <row r="367" spans="1:10" hidden="1" x14ac:dyDescent="0.25">
      <c r="E367" s="4" t="s">
        <v>10</v>
      </c>
      <c r="G367" s="8">
        <v>0</v>
      </c>
      <c r="H367" s="8">
        <v>1227.08</v>
      </c>
      <c r="I367" s="8">
        <f>G367-H367</f>
        <v>-1227.08</v>
      </c>
      <c r="J367" s="59"/>
    </row>
    <row r="368" spans="1:10" hidden="1" x14ac:dyDescent="0.25">
      <c r="C368" s="9"/>
      <c r="D368" s="10">
        <v>45672</v>
      </c>
      <c r="E368" t="s">
        <v>11</v>
      </c>
      <c r="F368" s="11" t="s">
        <v>346</v>
      </c>
      <c r="G368" s="56">
        <v>448.15</v>
      </c>
      <c r="H368" s="8">
        <v>0</v>
      </c>
      <c r="I368" s="8">
        <f t="shared" ref="I368:I374" si="22">G368-H368+I367</f>
        <v>-778.93</v>
      </c>
      <c r="J368" s="59"/>
    </row>
    <row r="369" spans="1:10" hidden="1" x14ac:dyDescent="0.25">
      <c r="C369" s="9"/>
      <c r="D369" s="10">
        <v>45672</v>
      </c>
      <c r="E369" t="s">
        <v>11</v>
      </c>
      <c r="F369" s="11" t="s">
        <v>346</v>
      </c>
      <c r="G369" s="8">
        <v>0</v>
      </c>
      <c r="H369" s="57">
        <v>448.15</v>
      </c>
      <c r="I369" s="8">
        <f t="shared" si="22"/>
        <v>-1227.08</v>
      </c>
      <c r="J369" s="60">
        <f>G370-H369</f>
        <v>0</v>
      </c>
    </row>
    <row r="370" spans="1:10" hidden="1" x14ac:dyDescent="0.25">
      <c r="C370" s="9"/>
      <c r="D370" s="10">
        <v>45700</v>
      </c>
      <c r="E370" t="s">
        <v>347</v>
      </c>
      <c r="F370" s="11" t="s">
        <v>42</v>
      </c>
      <c r="G370" s="57">
        <v>448.15</v>
      </c>
      <c r="H370" s="8">
        <v>0</v>
      </c>
      <c r="I370" s="8">
        <f t="shared" si="22"/>
        <v>-778.93</v>
      </c>
      <c r="J370" s="59"/>
    </row>
    <row r="371" spans="1:10" hidden="1" x14ac:dyDescent="0.25">
      <c r="C371" s="9"/>
      <c r="D371" s="10">
        <v>45705</v>
      </c>
      <c r="E371" t="s">
        <v>11</v>
      </c>
      <c r="F371" s="11" t="s">
        <v>348</v>
      </c>
      <c r="G371" s="56">
        <v>778.93</v>
      </c>
      <c r="H371" s="8">
        <v>0</v>
      </c>
      <c r="I371" s="8">
        <f t="shared" si="22"/>
        <v>0</v>
      </c>
      <c r="J371" s="59"/>
    </row>
    <row r="372" spans="1:10" hidden="1" x14ac:dyDescent="0.25">
      <c r="C372" s="9"/>
      <c r="D372" s="10">
        <v>45705</v>
      </c>
      <c r="E372" t="s">
        <v>11</v>
      </c>
      <c r="F372" s="11" t="s">
        <v>348</v>
      </c>
      <c r="G372" s="8">
        <v>0</v>
      </c>
      <c r="H372" s="58">
        <v>778.93</v>
      </c>
      <c r="I372" s="8">
        <f t="shared" si="22"/>
        <v>-778.93</v>
      </c>
      <c r="J372" s="61">
        <f>G373-H372</f>
        <v>0</v>
      </c>
    </row>
    <row r="373" spans="1:10" hidden="1" x14ac:dyDescent="0.25">
      <c r="C373" s="9" t="s">
        <v>124</v>
      </c>
      <c r="D373" s="10">
        <v>45720</v>
      </c>
      <c r="E373" t="s">
        <v>349</v>
      </c>
      <c r="F373" s="11" t="s">
        <v>42</v>
      </c>
      <c r="G373" s="58">
        <v>778.93</v>
      </c>
      <c r="H373" s="8">
        <v>0</v>
      </c>
      <c r="I373" s="8">
        <f t="shared" si="22"/>
        <v>0</v>
      </c>
      <c r="J373" s="59"/>
    </row>
    <row r="374" spans="1:10" hidden="1" x14ac:dyDescent="0.25">
      <c r="C374" s="9"/>
      <c r="D374" s="10">
        <v>45726</v>
      </c>
      <c r="E374" t="s">
        <v>350</v>
      </c>
      <c r="F374" s="11" t="s">
        <v>351</v>
      </c>
      <c r="G374" s="8">
        <v>0</v>
      </c>
      <c r="H374" s="8">
        <v>363.36</v>
      </c>
      <c r="I374" s="8">
        <f t="shared" si="22"/>
        <v>-363.36</v>
      </c>
      <c r="J374" s="59"/>
    </row>
    <row r="375" spans="1:10" hidden="1" x14ac:dyDescent="0.25">
      <c r="E375" s="4" t="s">
        <v>20</v>
      </c>
      <c r="G375" s="8">
        <f>SUM(G367:G374)</f>
        <v>2454.16</v>
      </c>
      <c r="H375" s="8">
        <f>SUM(H367:H374)</f>
        <v>2817.52</v>
      </c>
      <c r="I375" s="8">
        <f>G375-H375</f>
        <v>-363.36000000000013</v>
      </c>
    </row>
    <row r="376" spans="1:10" hidden="1" x14ac:dyDescent="0.25"/>
    <row r="377" spans="1:10" x14ac:dyDescent="0.25">
      <c r="A377" s="5">
        <v>4000113</v>
      </c>
      <c r="B377" s="6" t="s">
        <v>352</v>
      </c>
      <c r="C377" s="7"/>
      <c r="D377" s="7"/>
      <c r="E377" s="7"/>
      <c r="F377" s="7"/>
      <c r="G377" s="7"/>
      <c r="H377" s="7"/>
      <c r="I377" s="7"/>
      <c r="J377" s="7"/>
    </row>
    <row r="378" spans="1:10" hidden="1" x14ac:dyDescent="0.25">
      <c r="C378" s="9"/>
      <c r="D378" s="35">
        <v>45418</v>
      </c>
      <c r="E378" s="36" t="s">
        <v>8182</v>
      </c>
      <c r="F378" s="37" t="s">
        <v>42</v>
      </c>
      <c r="G378" s="38">
        <v>49.41</v>
      </c>
      <c r="H378" s="38">
        <v>0</v>
      </c>
      <c r="I378" s="38">
        <v>-6362.7900000000027</v>
      </c>
      <c r="J378" s="12"/>
    </row>
    <row r="379" spans="1:10" hidden="1" x14ac:dyDescent="0.25">
      <c r="C379" s="9"/>
      <c r="D379" s="35">
        <v>45448</v>
      </c>
      <c r="E379" s="36" t="s">
        <v>8183</v>
      </c>
      <c r="F379" s="37" t="s">
        <v>42</v>
      </c>
      <c r="G379" s="38">
        <v>49.2</v>
      </c>
      <c r="H379" s="38">
        <v>0</v>
      </c>
      <c r="I379" s="38">
        <v>-6315.0200000000032</v>
      </c>
      <c r="J379" s="12"/>
    </row>
    <row r="380" spans="1:10" hidden="1" x14ac:dyDescent="0.25">
      <c r="C380" s="9"/>
      <c r="D380" s="35">
        <v>45506</v>
      </c>
      <c r="E380" s="36" t="s">
        <v>8184</v>
      </c>
      <c r="F380" s="37" t="s">
        <v>42</v>
      </c>
      <c r="G380" s="38">
        <v>47.77</v>
      </c>
      <c r="H380" s="38">
        <v>0</v>
      </c>
      <c r="I380" s="38">
        <v>-6315.0200000000023</v>
      </c>
      <c r="J380" s="12"/>
    </row>
    <row r="381" spans="1:10" hidden="1" x14ac:dyDescent="0.25">
      <c r="C381" s="9"/>
      <c r="D381" s="35">
        <v>45568</v>
      </c>
      <c r="E381" s="36" t="s">
        <v>8185</v>
      </c>
      <c r="F381" s="37" t="s">
        <v>42</v>
      </c>
      <c r="G381" s="38">
        <v>72.599999999999994</v>
      </c>
      <c r="H381" s="38">
        <v>0</v>
      </c>
      <c r="I381" s="38">
        <v>-8379.7400000000016</v>
      </c>
      <c r="J381" s="12"/>
    </row>
    <row r="382" spans="1:10" hidden="1" x14ac:dyDescent="0.25">
      <c r="C382" s="9"/>
      <c r="D382" s="35">
        <v>45580</v>
      </c>
      <c r="E382" s="36" t="s">
        <v>8186</v>
      </c>
      <c r="F382" s="37" t="s">
        <v>8187</v>
      </c>
      <c r="G382" s="38">
        <v>0</v>
      </c>
      <c r="H382" s="38">
        <v>2153.8000000000002</v>
      </c>
      <c r="I382" s="38">
        <v>-8379.7400000000016</v>
      </c>
      <c r="J382" s="12"/>
    </row>
    <row r="383" spans="1:10" hidden="1" x14ac:dyDescent="0.25">
      <c r="C383" s="9"/>
      <c r="D383" s="35">
        <v>45601</v>
      </c>
      <c r="E383" s="36" t="s">
        <v>8188</v>
      </c>
      <c r="F383" s="37" t="s">
        <v>42</v>
      </c>
      <c r="G383" s="38">
        <v>47.77</v>
      </c>
      <c r="H383" s="38">
        <v>266.75</v>
      </c>
      <c r="I383" s="38">
        <v>-6225.9400000000005</v>
      </c>
      <c r="J383" s="12"/>
    </row>
    <row r="384" spans="1:10" hidden="1" x14ac:dyDescent="0.25">
      <c r="C384" s="9"/>
      <c r="D384" s="35">
        <v>45611</v>
      </c>
      <c r="E384" s="36" t="s">
        <v>8189</v>
      </c>
      <c r="F384" s="37" t="s">
        <v>8190</v>
      </c>
      <c r="G384" s="38">
        <v>0</v>
      </c>
      <c r="H384" s="38">
        <v>2153.8000000000002</v>
      </c>
      <c r="I384" s="38">
        <v>-6195.4500000000007</v>
      </c>
      <c r="J384" s="12"/>
    </row>
    <row r="385" spans="3:10" hidden="1" x14ac:dyDescent="0.25">
      <c r="C385" s="9"/>
      <c r="D385" s="35">
        <v>45617</v>
      </c>
      <c r="E385" s="36" t="s">
        <v>8191</v>
      </c>
      <c r="F385" s="37" t="s">
        <v>8192</v>
      </c>
      <c r="G385" s="38">
        <v>0</v>
      </c>
      <c r="H385" s="38">
        <v>36.299999999999997</v>
      </c>
      <c r="I385" s="38">
        <v>-6231.7500000000009</v>
      </c>
      <c r="J385" s="12"/>
    </row>
    <row r="386" spans="3:10" x14ac:dyDescent="0.25">
      <c r="C386" s="9"/>
      <c r="D386" s="35">
        <v>45627</v>
      </c>
      <c r="E386" s="36" t="s">
        <v>8193</v>
      </c>
      <c r="F386" s="37" t="s">
        <v>8194</v>
      </c>
      <c r="G386" s="38">
        <v>0</v>
      </c>
      <c r="H386" s="38">
        <v>110.11</v>
      </c>
      <c r="I386" s="38">
        <v>-6341.8600000000006</v>
      </c>
      <c r="J386" s="32" t="s">
        <v>8147</v>
      </c>
    </row>
    <row r="387" spans="3:10" hidden="1" x14ac:dyDescent="0.25">
      <c r="C387" s="9"/>
      <c r="D387" s="35">
        <v>45641</v>
      </c>
      <c r="E387" s="36" t="s">
        <v>8195</v>
      </c>
      <c r="F387" s="37" t="s">
        <v>8196</v>
      </c>
      <c r="G387" s="38">
        <v>0</v>
      </c>
      <c r="H387" s="38">
        <v>2153.8000000000002</v>
      </c>
      <c r="I387" s="38">
        <v>-6341.8600000000006</v>
      </c>
      <c r="J387" s="12"/>
    </row>
    <row r="388" spans="3:10" x14ac:dyDescent="0.25">
      <c r="C388" s="9"/>
      <c r="D388" s="35">
        <v>45642</v>
      </c>
      <c r="E388" s="36" t="s">
        <v>8197</v>
      </c>
      <c r="F388" s="37" t="s">
        <v>8198</v>
      </c>
      <c r="G388" s="38">
        <v>0</v>
      </c>
      <c r="H388" s="38">
        <v>60.5</v>
      </c>
      <c r="I388" s="38">
        <v>-6402.3600000000006</v>
      </c>
      <c r="J388" s="32" t="s">
        <v>8147</v>
      </c>
    </row>
    <row r="389" spans="3:10" hidden="1" x14ac:dyDescent="0.25">
      <c r="E389" s="4" t="s">
        <v>10</v>
      </c>
      <c r="G389" s="8">
        <v>0</v>
      </c>
      <c r="H389" s="8">
        <v>6402.36</v>
      </c>
      <c r="I389" s="8">
        <f>G389-H389</f>
        <v>-6402.36</v>
      </c>
    </row>
    <row r="390" spans="3:10" hidden="1" x14ac:dyDescent="0.25">
      <c r="C390" s="9"/>
      <c r="D390" s="10">
        <v>45665</v>
      </c>
      <c r="E390" t="s">
        <v>72</v>
      </c>
      <c r="F390" s="11" t="s">
        <v>42</v>
      </c>
      <c r="G390" s="58">
        <v>2153.8000000000002</v>
      </c>
      <c r="H390" s="8">
        <v>0</v>
      </c>
      <c r="I390" s="8">
        <f t="shared" ref="I390:I400" si="23">G390-H390+I389</f>
        <v>-4248.5599999999995</v>
      </c>
      <c r="J390" s="12"/>
    </row>
    <row r="391" spans="3:10" hidden="1" x14ac:dyDescent="0.25">
      <c r="C391" s="9"/>
      <c r="D391" s="10">
        <v>45672</v>
      </c>
      <c r="E391" t="s">
        <v>353</v>
      </c>
      <c r="F391" s="11" t="s">
        <v>354</v>
      </c>
      <c r="G391" s="8">
        <v>0</v>
      </c>
      <c r="H391" s="58">
        <v>2178</v>
      </c>
      <c r="I391" s="8">
        <f t="shared" si="23"/>
        <v>-6426.5599999999995</v>
      </c>
      <c r="J391" s="12"/>
    </row>
    <row r="392" spans="3:10" hidden="1" x14ac:dyDescent="0.25">
      <c r="C392" s="9"/>
      <c r="D392" s="10">
        <v>45693</v>
      </c>
      <c r="E392" t="s">
        <v>355</v>
      </c>
      <c r="F392" s="11" t="s">
        <v>356</v>
      </c>
      <c r="G392" s="8">
        <v>0</v>
      </c>
      <c r="H392" s="58">
        <v>72.599999999999994</v>
      </c>
      <c r="I392" s="8">
        <f t="shared" si="23"/>
        <v>-6499.16</v>
      </c>
      <c r="J392" s="12"/>
    </row>
    <row r="393" spans="3:10" hidden="1" x14ac:dyDescent="0.25">
      <c r="C393" s="9"/>
      <c r="D393" s="10">
        <v>45698</v>
      </c>
      <c r="E393" t="s">
        <v>11</v>
      </c>
      <c r="F393" s="11" t="s">
        <v>354</v>
      </c>
      <c r="G393" s="58">
        <v>2178</v>
      </c>
      <c r="H393" s="8">
        <v>0</v>
      </c>
      <c r="I393" s="8">
        <f t="shared" si="23"/>
        <v>-4321.16</v>
      </c>
      <c r="J393" s="12"/>
    </row>
    <row r="394" spans="3:10" hidden="1" x14ac:dyDescent="0.25">
      <c r="C394" s="9"/>
      <c r="D394" s="10">
        <v>45703</v>
      </c>
      <c r="E394" t="s">
        <v>357</v>
      </c>
      <c r="F394" s="11" t="s">
        <v>358</v>
      </c>
      <c r="G394" s="8">
        <v>0</v>
      </c>
      <c r="H394" s="8">
        <v>2178</v>
      </c>
      <c r="I394" s="8">
        <f t="shared" si="23"/>
        <v>-6499.16</v>
      </c>
      <c r="J394" s="12"/>
    </row>
    <row r="395" spans="3:10" hidden="1" x14ac:dyDescent="0.25">
      <c r="C395" s="9"/>
      <c r="D395" s="10">
        <v>45708</v>
      </c>
      <c r="E395" t="s">
        <v>359</v>
      </c>
      <c r="F395" s="11" t="s">
        <v>42</v>
      </c>
      <c r="G395" s="58">
        <v>72.599999999999994</v>
      </c>
      <c r="H395" s="8">
        <v>0</v>
      </c>
      <c r="I395" s="8">
        <f t="shared" si="23"/>
        <v>-6426.5599999999995</v>
      </c>
      <c r="J395" s="12"/>
    </row>
    <row r="396" spans="3:10" hidden="1" x14ac:dyDescent="0.25">
      <c r="C396" s="9"/>
      <c r="D396" s="10">
        <v>45721</v>
      </c>
      <c r="E396" t="s">
        <v>360</v>
      </c>
      <c r="F396" s="11" t="s">
        <v>42</v>
      </c>
      <c r="G396" s="58">
        <v>2153.8000000000002</v>
      </c>
      <c r="H396" s="8">
        <v>0</v>
      </c>
      <c r="I396" s="8">
        <f t="shared" si="23"/>
        <v>-4272.7599999999993</v>
      </c>
      <c r="J396" s="12"/>
    </row>
    <row r="397" spans="3:10" hidden="1" x14ac:dyDescent="0.25">
      <c r="C397" s="9"/>
      <c r="D397" s="10">
        <v>45721</v>
      </c>
      <c r="E397" t="s">
        <v>360</v>
      </c>
      <c r="F397" s="11" t="s">
        <v>42</v>
      </c>
      <c r="G397" s="58">
        <v>36.299999999999997</v>
      </c>
      <c r="H397" s="8">
        <v>0</v>
      </c>
      <c r="I397" s="8">
        <f t="shared" si="23"/>
        <v>-4236.4599999999991</v>
      </c>
      <c r="J397" s="12"/>
    </row>
    <row r="398" spans="3:10" hidden="1" x14ac:dyDescent="0.25">
      <c r="C398" s="9"/>
      <c r="D398" s="10">
        <v>45728</v>
      </c>
      <c r="E398" t="s">
        <v>361</v>
      </c>
      <c r="F398" s="11" t="s">
        <v>362</v>
      </c>
      <c r="G398" s="8">
        <v>0</v>
      </c>
      <c r="H398" s="8">
        <v>24.2</v>
      </c>
      <c r="I398" s="8">
        <f t="shared" si="23"/>
        <v>-4260.6599999999989</v>
      </c>
      <c r="J398" s="12"/>
    </row>
    <row r="399" spans="3:10" hidden="1" x14ac:dyDescent="0.25">
      <c r="C399" s="9"/>
      <c r="D399" s="10">
        <v>45731</v>
      </c>
      <c r="E399" t="s">
        <v>363</v>
      </c>
      <c r="F399" s="11" t="s">
        <v>364</v>
      </c>
      <c r="G399" s="8">
        <v>0</v>
      </c>
      <c r="H399" s="8">
        <v>2178</v>
      </c>
      <c r="I399" s="8">
        <f t="shared" si="23"/>
        <v>-6438.6599999999989</v>
      </c>
      <c r="J399" s="12"/>
    </row>
    <row r="400" spans="3:10" hidden="1" x14ac:dyDescent="0.25">
      <c r="C400" s="9"/>
      <c r="D400" s="10">
        <v>45754</v>
      </c>
      <c r="E400" t="s">
        <v>365</v>
      </c>
      <c r="F400" s="11" t="s">
        <v>42</v>
      </c>
      <c r="G400" s="58">
        <v>2153.8000000000002</v>
      </c>
      <c r="H400" s="8">
        <v>0</v>
      </c>
      <c r="I400" s="8">
        <f t="shared" si="23"/>
        <v>-4284.8599999999988</v>
      </c>
      <c r="J400" s="12"/>
    </row>
    <row r="401" spans="1:10" hidden="1" x14ac:dyDescent="0.25">
      <c r="E401" s="4" t="s">
        <v>20</v>
      </c>
      <c r="G401" s="8">
        <f>SUM(G389:G400)</f>
        <v>8748.3000000000011</v>
      </c>
      <c r="H401" s="8">
        <f>SUM(H389:H400)</f>
        <v>13033.160000000002</v>
      </c>
      <c r="I401" s="8">
        <f>G401-H401</f>
        <v>-4284.8600000000006</v>
      </c>
    </row>
    <row r="403" spans="1:10" x14ac:dyDescent="0.25">
      <c r="A403" s="5">
        <v>4000116</v>
      </c>
      <c r="B403" s="6" t="s">
        <v>366</v>
      </c>
      <c r="C403" s="7"/>
      <c r="D403" s="7"/>
      <c r="E403" s="7"/>
      <c r="F403" s="7"/>
      <c r="G403" s="7"/>
      <c r="H403" s="7"/>
      <c r="I403" s="7"/>
      <c r="J403" s="7"/>
    </row>
    <row r="404" spans="1:10" x14ac:dyDescent="0.25">
      <c r="C404" s="9"/>
      <c r="D404" s="10">
        <v>45667</v>
      </c>
      <c r="E404" t="s">
        <v>367</v>
      </c>
      <c r="F404" s="11" t="s">
        <v>368</v>
      </c>
      <c r="G404" s="8">
        <v>0</v>
      </c>
      <c r="H404" s="8">
        <v>1395.19</v>
      </c>
      <c r="I404" s="8">
        <f>G404-H404</f>
        <v>-1395.19</v>
      </c>
      <c r="J404" s="32" t="s">
        <v>8147</v>
      </c>
    </row>
    <row r="405" spans="1:10" hidden="1" x14ac:dyDescent="0.25">
      <c r="E405" s="4" t="s">
        <v>20</v>
      </c>
      <c r="G405" s="8">
        <f>G404</f>
        <v>0</v>
      </c>
      <c r="H405" s="8">
        <f>H404</f>
        <v>1395.19</v>
      </c>
      <c r="I405" s="8">
        <f>G405-H405</f>
        <v>-1395.19</v>
      </c>
    </row>
    <row r="407" spans="1:10" hidden="1" x14ac:dyDescent="0.25">
      <c r="A407" s="5">
        <v>4000120</v>
      </c>
      <c r="B407" s="6" t="s">
        <v>369</v>
      </c>
      <c r="C407" s="7"/>
      <c r="D407" s="7"/>
      <c r="E407" s="7"/>
      <c r="F407" s="7"/>
      <c r="G407" s="7"/>
      <c r="H407" s="7"/>
      <c r="I407" s="7"/>
      <c r="J407" s="7"/>
    </row>
    <row r="408" spans="1:10" s="40" customFormat="1" ht="14.25" hidden="1" customHeight="1" x14ac:dyDescent="0.25">
      <c r="C408" s="42"/>
      <c r="D408" s="43">
        <v>45596</v>
      </c>
      <c r="E408" s="40" t="s">
        <v>8199</v>
      </c>
      <c r="F408" s="44" t="s">
        <v>370</v>
      </c>
      <c r="G408" s="39">
        <v>0</v>
      </c>
      <c r="H408" s="39">
        <v>1609.43</v>
      </c>
      <c r="I408" s="39">
        <v>-3251.1200000000008</v>
      </c>
      <c r="J408" s="45"/>
    </row>
    <row r="409" spans="1:10" s="40" customFormat="1" hidden="1" x14ac:dyDescent="0.25">
      <c r="C409" s="42"/>
      <c r="D409" s="43">
        <v>45626</v>
      </c>
      <c r="E409" s="40" t="s">
        <v>8200</v>
      </c>
      <c r="F409" s="44" t="s">
        <v>374</v>
      </c>
      <c r="G409" s="39">
        <v>0</v>
      </c>
      <c r="H409" s="39">
        <v>714.43</v>
      </c>
      <c r="I409" s="39">
        <v>-3392.0100000000007</v>
      </c>
      <c r="J409" s="45"/>
    </row>
    <row r="410" spans="1:10" s="40" customFormat="1" hidden="1" x14ac:dyDescent="0.25">
      <c r="C410" s="42"/>
      <c r="D410" s="43">
        <v>45657</v>
      </c>
      <c r="E410" s="40" t="s">
        <v>8201</v>
      </c>
      <c r="F410" s="44" t="s">
        <v>377</v>
      </c>
      <c r="G410" s="39">
        <v>0</v>
      </c>
      <c r="H410" s="39">
        <v>582.65</v>
      </c>
      <c r="I410" s="39">
        <v>-2906.5100000000007</v>
      </c>
      <c r="J410" s="45"/>
    </row>
    <row r="411" spans="1:10" s="40" customFormat="1" hidden="1" x14ac:dyDescent="0.25">
      <c r="E411" s="41" t="s">
        <v>10</v>
      </c>
      <c r="G411" s="39">
        <v>0</v>
      </c>
      <c r="H411" s="39">
        <v>2906.51</v>
      </c>
      <c r="I411" s="39">
        <f>G411-H411</f>
        <v>-2906.51</v>
      </c>
    </row>
    <row r="412" spans="1:10" s="40" customFormat="1" hidden="1" x14ac:dyDescent="0.25">
      <c r="C412" s="42"/>
      <c r="D412" s="43">
        <v>45672</v>
      </c>
      <c r="E412" s="40" t="s">
        <v>11</v>
      </c>
      <c r="F412" s="44" t="s">
        <v>370</v>
      </c>
      <c r="G412" s="39">
        <v>1609.43</v>
      </c>
      <c r="H412" s="39">
        <v>0</v>
      </c>
      <c r="I412" s="39">
        <f t="shared" ref="I412:I420" si="24">G412-H412+I411</f>
        <v>-1297.0800000000002</v>
      </c>
      <c r="J412" s="45"/>
    </row>
    <row r="413" spans="1:10" s="40" customFormat="1" hidden="1" x14ac:dyDescent="0.25">
      <c r="C413" s="42"/>
      <c r="D413" s="43">
        <v>45672</v>
      </c>
      <c r="E413" s="40" t="s">
        <v>11</v>
      </c>
      <c r="F413" s="44" t="s">
        <v>370</v>
      </c>
      <c r="G413" s="39">
        <v>0</v>
      </c>
      <c r="H413" s="39">
        <v>1609.43</v>
      </c>
      <c r="I413" s="39">
        <f t="shared" si="24"/>
        <v>-2906.51</v>
      </c>
      <c r="J413" s="45"/>
    </row>
    <row r="414" spans="1:10" s="40" customFormat="1" hidden="1" x14ac:dyDescent="0.25">
      <c r="C414" s="42"/>
      <c r="D414" s="43">
        <v>45688</v>
      </c>
      <c r="E414" s="40" t="s">
        <v>371</v>
      </c>
      <c r="F414" s="44" t="s">
        <v>372</v>
      </c>
      <c r="G414" s="39">
        <v>0</v>
      </c>
      <c r="H414" s="39">
        <v>1319.98</v>
      </c>
      <c r="I414" s="39">
        <f t="shared" si="24"/>
        <v>-4226.49</v>
      </c>
      <c r="J414" s="45"/>
    </row>
    <row r="415" spans="1:10" s="40" customFormat="1" hidden="1" x14ac:dyDescent="0.25">
      <c r="C415" s="42" t="s">
        <v>124</v>
      </c>
      <c r="D415" s="43">
        <v>45691</v>
      </c>
      <c r="E415" s="40" t="s">
        <v>373</v>
      </c>
      <c r="F415" s="44" t="s">
        <v>42</v>
      </c>
      <c r="G415" s="39">
        <v>1609.43</v>
      </c>
      <c r="H415" s="39">
        <v>0</v>
      </c>
      <c r="I415" s="39">
        <f t="shared" si="24"/>
        <v>-2617.0599999999995</v>
      </c>
      <c r="J415" s="45"/>
    </row>
    <row r="416" spans="1:10" s="40" customFormat="1" hidden="1" x14ac:dyDescent="0.25">
      <c r="C416" s="42"/>
      <c r="D416" s="43">
        <v>45705</v>
      </c>
      <c r="E416" s="40" t="s">
        <v>11</v>
      </c>
      <c r="F416" s="44" t="s">
        <v>374</v>
      </c>
      <c r="G416" s="39">
        <v>714.43</v>
      </c>
      <c r="H416" s="39">
        <v>0</v>
      </c>
      <c r="I416" s="39">
        <f t="shared" si="24"/>
        <v>-1902.6299999999997</v>
      </c>
      <c r="J416" s="45"/>
    </row>
    <row r="417" spans="1:10" hidden="1" x14ac:dyDescent="0.25">
      <c r="C417" s="9"/>
      <c r="D417" s="10">
        <v>45716</v>
      </c>
      <c r="E417" t="s">
        <v>375</v>
      </c>
      <c r="F417" s="11" t="s">
        <v>376</v>
      </c>
      <c r="G417" s="8">
        <v>0</v>
      </c>
      <c r="H417" s="8">
        <v>1345.82</v>
      </c>
      <c r="I417" s="8">
        <f t="shared" si="24"/>
        <v>-3248.45</v>
      </c>
      <c r="J417" s="12"/>
    </row>
    <row r="418" spans="1:10" s="40" customFormat="1" hidden="1" x14ac:dyDescent="0.25">
      <c r="C418" s="42"/>
      <c r="D418" s="43">
        <v>45733</v>
      </c>
      <c r="E418" s="40" t="s">
        <v>11</v>
      </c>
      <c r="F418" s="44" t="s">
        <v>377</v>
      </c>
      <c r="G418" s="39">
        <v>582.65</v>
      </c>
      <c r="H418" s="39">
        <v>0</v>
      </c>
      <c r="I418" s="39">
        <f t="shared" si="24"/>
        <v>-2665.7999999999997</v>
      </c>
      <c r="J418" s="45"/>
    </row>
    <row r="419" spans="1:10" hidden="1" x14ac:dyDescent="0.25">
      <c r="C419" s="9"/>
      <c r="D419" s="10">
        <v>45747</v>
      </c>
      <c r="E419" t="s">
        <v>378</v>
      </c>
      <c r="F419" s="11" t="s">
        <v>379</v>
      </c>
      <c r="G419" s="8">
        <v>0</v>
      </c>
      <c r="H419" s="8">
        <v>729.13</v>
      </c>
      <c r="I419" s="8">
        <f t="shared" si="24"/>
        <v>-3394.93</v>
      </c>
      <c r="J419" s="12"/>
    </row>
    <row r="420" spans="1:10" s="40" customFormat="1" hidden="1" x14ac:dyDescent="0.25">
      <c r="C420" s="42"/>
      <c r="D420" s="43">
        <v>45762</v>
      </c>
      <c r="E420" s="40" t="s">
        <v>11</v>
      </c>
      <c r="F420" s="44" t="s">
        <v>372</v>
      </c>
      <c r="G420" s="39">
        <v>1319.98</v>
      </c>
      <c r="H420" s="39">
        <v>0</v>
      </c>
      <c r="I420" s="39">
        <f t="shared" si="24"/>
        <v>-2074.9499999999998</v>
      </c>
      <c r="J420" s="45"/>
    </row>
    <row r="421" spans="1:10" hidden="1" x14ac:dyDescent="0.25">
      <c r="E421" s="4" t="s">
        <v>20</v>
      </c>
      <c r="G421" s="8">
        <f>SUM(G411:G420)</f>
        <v>5835.92</v>
      </c>
      <c r="H421" s="8">
        <f>SUM(H411:H420)</f>
        <v>7910.87</v>
      </c>
      <c r="I421" s="8">
        <f>G421-H421</f>
        <v>-2074.9499999999998</v>
      </c>
    </row>
    <row r="422" spans="1:10" hidden="1" x14ac:dyDescent="0.25"/>
    <row r="423" spans="1:10" hidden="1" x14ac:dyDescent="0.25">
      <c r="A423" s="5">
        <v>4000123</v>
      </c>
      <c r="B423" s="6" t="s">
        <v>380</v>
      </c>
      <c r="C423" s="7"/>
      <c r="D423" s="7"/>
      <c r="E423" s="7"/>
      <c r="F423" s="7"/>
      <c r="G423" s="7"/>
      <c r="H423" s="7"/>
      <c r="I423" s="7"/>
      <c r="J423" s="7"/>
    </row>
    <row r="424" spans="1:10" hidden="1" x14ac:dyDescent="0.25">
      <c r="C424" s="9"/>
      <c r="D424" s="10">
        <v>45590</v>
      </c>
      <c r="E424" t="s">
        <v>8202</v>
      </c>
      <c r="F424" s="11" t="s">
        <v>8203</v>
      </c>
      <c r="G424" s="8">
        <v>0</v>
      </c>
      <c r="H424" s="8">
        <v>91.84</v>
      </c>
      <c r="I424" s="8">
        <f t="shared" ref="I424" si="25">G424-H424+I423</f>
        <v>-91.84</v>
      </c>
      <c r="J424" s="12"/>
    </row>
    <row r="425" spans="1:10" hidden="1" x14ac:dyDescent="0.25">
      <c r="E425" s="4" t="s">
        <v>10</v>
      </c>
      <c r="G425" s="8">
        <v>0</v>
      </c>
      <c r="H425" s="8">
        <v>91.84</v>
      </c>
      <c r="I425" s="8">
        <f>G425-H425</f>
        <v>-91.84</v>
      </c>
    </row>
    <row r="426" spans="1:10" hidden="1" x14ac:dyDescent="0.25">
      <c r="C426" s="9"/>
      <c r="D426" s="10">
        <v>45700</v>
      </c>
      <c r="E426" t="s">
        <v>381</v>
      </c>
      <c r="F426" s="11" t="s">
        <v>42</v>
      </c>
      <c r="G426" s="8">
        <v>91.84</v>
      </c>
      <c r="H426" s="8">
        <v>0</v>
      </c>
      <c r="I426" s="8">
        <f>G426-H426+I425</f>
        <v>0</v>
      </c>
      <c r="J426" s="12"/>
    </row>
    <row r="427" spans="1:10" hidden="1" x14ac:dyDescent="0.25">
      <c r="C427" s="9"/>
      <c r="D427" s="10">
        <v>45747</v>
      </c>
      <c r="E427" t="s">
        <v>382</v>
      </c>
      <c r="F427" s="11" t="s">
        <v>383</v>
      </c>
      <c r="G427" s="8">
        <v>0</v>
      </c>
      <c r="H427" s="8">
        <v>929.28</v>
      </c>
      <c r="I427" s="8">
        <f>G427-H427+I426</f>
        <v>-929.28</v>
      </c>
      <c r="J427" s="12"/>
    </row>
    <row r="428" spans="1:10" hidden="1" x14ac:dyDescent="0.25">
      <c r="E428" s="4" t="s">
        <v>20</v>
      </c>
      <c r="G428" s="8">
        <f>SUM(G425:G427)</f>
        <v>91.84</v>
      </c>
      <c r="H428" s="8">
        <f>SUM(H425:H427)</f>
        <v>1021.12</v>
      </c>
      <c r="I428" s="8">
        <f>G428-H428</f>
        <v>-929.28</v>
      </c>
    </row>
    <row r="429" spans="1:10" hidden="1" x14ac:dyDescent="0.25"/>
    <row r="430" spans="1:10" x14ac:dyDescent="0.25">
      <c r="A430" s="5">
        <v>4000127</v>
      </c>
      <c r="B430" s="6" t="s">
        <v>384</v>
      </c>
      <c r="C430" s="7"/>
      <c r="D430" s="7"/>
      <c r="E430" s="7"/>
      <c r="F430" s="7"/>
      <c r="G430" s="7"/>
      <c r="H430" s="7"/>
      <c r="I430" s="7"/>
      <c r="J430" s="7"/>
    </row>
    <row r="431" spans="1:10" x14ac:dyDescent="0.25">
      <c r="C431" s="9"/>
      <c r="D431" s="10">
        <v>45749</v>
      </c>
      <c r="E431" t="s">
        <v>385</v>
      </c>
      <c r="F431" s="11" t="s">
        <v>42</v>
      </c>
      <c r="G431" s="8">
        <v>895.07</v>
      </c>
      <c r="H431" s="8">
        <v>0</v>
      </c>
      <c r="I431" s="8">
        <f>G431-H431</f>
        <v>895.07</v>
      </c>
      <c r="J431" s="20" t="s">
        <v>8144</v>
      </c>
    </row>
    <row r="432" spans="1:10" hidden="1" x14ac:dyDescent="0.25">
      <c r="E432" s="4" t="s">
        <v>20</v>
      </c>
      <c r="G432" s="8">
        <f>G431</f>
        <v>895.07</v>
      </c>
      <c r="H432" s="8">
        <f>H431</f>
        <v>0</v>
      </c>
      <c r="I432" s="8">
        <f>G432-H432</f>
        <v>895.07</v>
      </c>
    </row>
    <row r="434" spans="1:15" hidden="1" x14ac:dyDescent="0.25">
      <c r="A434" s="5">
        <v>4000130</v>
      </c>
      <c r="B434" s="6" t="s">
        <v>386</v>
      </c>
      <c r="C434" s="7"/>
      <c r="D434" s="7"/>
      <c r="E434" s="7"/>
      <c r="F434" s="7"/>
      <c r="G434" s="7"/>
      <c r="H434" s="7"/>
      <c r="I434" s="7"/>
      <c r="J434" s="7"/>
    </row>
    <row r="435" spans="1:15" hidden="1" x14ac:dyDescent="0.25">
      <c r="E435" s="4" t="s">
        <v>10</v>
      </c>
      <c r="G435" s="8">
        <v>0</v>
      </c>
      <c r="H435" s="39">
        <v>307.45999999999998</v>
      </c>
      <c r="I435" s="8">
        <f>G435-H435</f>
        <v>-307.45999999999998</v>
      </c>
    </row>
    <row r="436" spans="1:15" hidden="1" x14ac:dyDescent="0.25">
      <c r="C436" s="9"/>
      <c r="D436" s="10">
        <v>45673</v>
      </c>
      <c r="E436" t="s">
        <v>11</v>
      </c>
      <c r="F436" s="11" t="s">
        <v>387</v>
      </c>
      <c r="G436" s="39">
        <v>163.05000000000001</v>
      </c>
      <c r="H436" s="8">
        <v>0</v>
      </c>
      <c r="I436" s="8">
        <f t="shared" ref="I436:I441" si="26">G436-H436+I435</f>
        <v>-144.40999999999997</v>
      </c>
      <c r="J436" s="12"/>
    </row>
    <row r="437" spans="1:15" hidden="1" x14ac:dyDescent="0.25">
      <c r="C437" s="9"/>
      <c r="D437" s="10">
        <v>45688</v>
      </c>
      <c r="E437" t="s">
        <v>388</v>
      </c>
      <c r="F437" s="11" t="s">
        <v>389</v>
      </c>
      <c r="G437" s="8">
        <v>0</v>
      </c>
      <c r="H437" s="39">
        <v>152.06</v>
      </c>
      <c r="I437" s="8">
        <f t="shared" si="26"/>
        <v>-296.46999999999997</v>
      </c>
      <c r="J437" s="12"/>
    </row>
    <row r="438" spans="1:15" hidden="1" x14ac:dyDescent="0.25">
      <c r="C438" s="9"/>
      <c r="D438" s="10">
        <v>45716</v>
      </c>
      <c r="E438" t="s">
        <v>390</v>
      </c>
      <c r="F438" s="11" t="s">
        <v>391</v>
      </c>
      <c r="G438" s="8">
        <v>0</v>
      </c>
      <c r="H438" s="8">
        <v>164.38</v>
      </c>
      <c r="I438" s="8">
        <f t="shared" si="26"/>
        <v>-460.84999999999997</v>
      </c>
      <c r="J438" s="12"/>
    </row>
    <row r="439" spans="1:15" hidden="1" x14ac:dyDescent="0.25">
      <c r="C439" s="9"/>
      <c r="D439" s="10">
        <v>45731</v>
      </c>
      <c r="E439" t="s">
        <v>392</v>
      </c>
      <c r="F439" s="11" t="s">
        <v>393</v>
      </c>
      <c r="G439" s="8">
        <v>0</v>
      </c>
      <c r="H439" s="8">
        <v>216.61</v>
      </c>
      <c r="I439" s="8">
        <f t="shared" si="26"/>
        <v>-677.46</v>
      </c>
      <c r="J439" s="12"/>
    </row>
    <row r="440" spans="1:15" hidden="1" x14ac:dyDescent="0.25">
      <c r="C440" s="9"/>
      <c r="D440" s="10">
        <v>45733</v>
      </c>
      <c r="E440" t="s">
        <v>11</v>
      </c>
      <c r="F440" s="11" t="s">
        <v>394</v>
      </c>
      <c r="G440" s="39">
        <v>144.41</v>
      </c>
      <c r="H440" s="8">
        <v>0</v>
      </c>
      <c r="I440" s="8">
        <f t="shared" si="26"/>
        <v>-533.05000000000007</v>
      </c>
      <c r="J440" s="12"/>
    </row>
    <row r="441" spans="1:15" hidden="1" x14ac:dyDescent="0.25">
      <c r="C441" s="9"/>
      <c r="D441" s="10">
        <v>45733</v>
      </c>
      <c r="E441" t="s">
        <v>11</v>
      </c>
      <c r="F441" s="11" t="s">
        <v>389</v>
      </c>
      <c r="G441" s="39">
        <v>152.06</v>
      </c>
      <c r="H441" s="8">
        <v>0</v>
      </c>
      <c r="I441" s="8">
        <f t="shared" si="26"/>
        <v>-380.99000000000007</v>
      </c>
      <c r="J441" s="12"/>
    </row>
    <row r="442" spans="1:15" hidden="1" x14ac:dyDescent="0.25">
      <c r="E442" s="4" t="s">
        <v>20</v>
      </c>
      <c r="G442" s="8">
        <f>SUM(G435:G441)</f>
        <v>459.52000000000004</v>
      </c>
      <c r="H442" s="8">
        <f>SUM(H435:H441)</f>
        <v>840.51</v>
      </c>
      <c r="I442" s="8">
        <f>G442-H442</f>
        <v>-380.98999999999995</v>
      </c>
    </row>
    <row r="443" spans="1:15" hidden="1" x14ac:dyDescent="0.25"/>
    <row r="444" spans="1:15" x14ac:dyDescent="0.25">
      <c r="A444" s="5">
        <v>4000137</v>
      </c>
      <c r="B444" s="6" t="s">
        <v>395</v>
      </c>
      <c r="C444" s="7"/>
      <c r="D444" s="7"/>
      <c r="E444" s="7"/>
      <c r="F444" s="7"/>
      <c r="G444" s="7"/>
      <c r="H444" s="7"/>
      <c r="I444" s="7"/>
      <c r="J444" s="27" t="s">
        <v>8145</v>
      </c>
      <c r="K444" s="27"/>
      <c r="L444" s="27"/>
      <c r="M444" s="27"/>
      <c r="N444" s="27"/>
      <c r="O444" s="27"/>
    </row>
    <row r="445" spans="1:15" hidden="1" x14ac:dyDescent="0.25">
      <c r="E445" s="4" t="s">
        <v>10</v>
      </c>
      <c r="G445" s="8">
        <v>0</v>
      </c>
      <c r="H445" s="8">
        <v>25113.91</v>
      </c>
      <c r="I445" s="8">
        <f>G445-H445</f>
        <v>-25113.91</v>
      </c>
    </row>
    <row r="446" spans="1:15" hidden="1" x14ac:dyDescent="0.25">
      <c r="C446" s="9"/>
      <c r="D446" s="10">
        <v>45662</v>
      </c>
      <c r="E446" t="s">
        <v>396</v>
      </c>
      <c r="F446" s="11" t="s">
        <v>397</v>
      </c>
      <c r="G446" s="8">
        <v>0</v>
      </c>
      <c r="H446" s="8">
        <v>362.35</v>
      </c>
      <c r="I446" s="8">
        <f t="shared" ref="I446:I468" si="27">G446-H446+I445</f>
        <v>-25476.26</v>
      </c>
      <c r="J446" s="12"/>
    </row>
    <row r="447" spans="1:15" hidden="1" x14ac:dyDescent="0.25">
      <c r="C447" s="9"/>
      <c r="D447" s="10">
        <v>45670</v>
      </c>
      <c r="E447" t="s">
        <v>398</v>
      </c>
      <c r="F447" s="11" t="s">
        <v>399</v>
      </c>
      <c r="G447" s="8">
        <v>0</v>
      </c>
      <c r="H447" s="8">
        <v>2600.08</v>
      </c>
      <c r="I447" s="8">
        <f t="shared" si="27"/>
        <v>-28076.339999999997</v>
      </c>
      <c r="J447" s="12"/>
    </row>
    <row r="448" spans="1:15" hidden="1" x14ac:dyDescent="0.25">
      <c r="C448" s="9"/>
      <c r="D448" s="10">
        <v>45672</v>
      </c>
      <c r="E448" t="s">
        <v>400</v>
      </c>
      <c r="F448" s="11" t="s">
        <v>401</v>
      </c>
      <c r="G448" s="8">
        <v>0</v>
      </c>
      <c r="H448" s="8">
        <v>563.52</v>
      </c>
      <c r="I448" s="8">
        <f t="shared" si="27"/>
        <v>-28639.859999999997</v>
      </c>
      <c r="J448" s="12"/>
    </row>
    <row r="449" spans="3:10" hidden="1" x14ac:dyDescent="0.25">
      <c r="C449" s="9"/>
      <c r="D449" s="10">
        <v>45673</v>
      </c>
      <c r="E449" t="s">
        <v>402</v>
      </c>
      <c r="F449" s="11" t="s">
        <v>403</v>
      </c>
      <c r="G449" s="8">
        <v>0</v>
      </c>
      <c r="H449" s="8">
        <v>-13.85</v>
      </c>
      <c r="I449" s="8">
        <f t="shared" si="27"/>
        <v>-28626.01</v>
      </c>
      <c r="J449" s="12"/>
    </row>
    <row r="450" spans="3:10" hidden="1" x14ac:dyDescent="0.25">
      <c r="C450" s="9"/>
      <c r="D450" s="10">
        <v>45673</v>
      </c>
      <c r="E450" t="s">
        <v>404</v>
      </c>
      <c r="F450" s="11" t="s">
        <v>405</v>
      </c>
      <c r="G450" s="8">
        <v>0</v>
      </c>
      <c r="H450" s="8">
        <v>-69.849999999999994</v>
      </c>
      <c r="I450" s="8">
        <f t="shared" si="27"/>
        <v>-28556.16</v>
      </c>
      <c r="J450" s="12"/>
    </row>
    <row r="451" spans="3:10" hidden="1" x14ac:dyDescent="0.25">
      <c r="C451" s="9"/>
      <c r="D451" s="10">
        <v>45678</v>
      </c>
      <c r="E451" t="s">
        <v>406</v>
      </c>
      <c r="F451" s="11" t="s">
        <v>407</v>
      </c>
      <c r="G451" s="8">
        <v>0</v>
      </c>
      <c r="H451" s="8">
        <v>2514.88</v>
      </c>
      <c r="I451" s="8">
        <f t="shared" si="27"/>
        <v>-31071.040000000001</v>
      </c>
      <c r="J451" s="12"/>
    </row>
    <row r="452" spans="3:10" hidden="1" x14ac:dyDescent="0.25">
      <c r="C452" s="9"/>
      <c r="D452" s="10">
        <v>45682</v>
      </c>
      <c r="E452" t="s">
        <v>408</v>
      </c>
      <c r="F452" s="11" t="s">
        <v>409</v>
      </c>
      <c r="G452" s="8">
        <v>0</v>
      </c>
      <c r="H452" s="8">
        <v>716.25</v>
      </c>
      <c r="I452" s="8">
        <f t="shared" si="27"/>
        <v>-31787.29</v>
      </c>
      <c r="J452" s="12"/>
    </row>
    <row r="453" spans="3:10" hidden="1" x14ac:dyDescent="0.25">
      <c r="C453" s="9"/>
      <c r="D453" s="10">
        <v>45688</v>
      </c>
      <c r="E453" t="s">
        <v>410</v>
      </c>
      <c r="F453" s="11" t="s">
        <v>411</v>
      </c>
      <c r="G453" s="8">
        <v>0</v>
      </c>
      <c r="H453" s="8">
        <v>4381.46</v>
      </c>
      <c r="I453" s="8">
        <f t="shared" si="27"/>
        <v>-36168.75</v>
      </c>
      <c r="J453" s="12"/>
    </row>
    <row r="454" spans="3:10" hidden="1" x14ac:dyDescent="0.25">
      <c r="C454" s="9"/>
      <c r="D454" s="10">
        <v>45693</v>
      </c>
      <c r="E454" t="s">
        <v>412</v>
      </c>
      <c r="F454" s="11" t="s">
        <v>413</v>
      </c>
      <c r="G454" s="8">
        <v>0</v>
      </c>
      <c r="H454" s="8">
        <v>593.01</v>
      </c>
      <c r="I454" s="8">
        <f t="shared" si="27"/>
        <v>-36761.760000000002</v>
      </c>
      <c r="J454" s="12"/>
    </row>
    <row r="455" spans="3:10" hidden="1" x14ac:dyDescent="0.25">
      <c r="C455" s="9"/>
      <c r="D455" s="10">
        <v>45698</v>
      </c>
      <c r="E455" t="s">
        <v>414</v>
      </c>
      <c r="F455" s="11" t="s">
        <v>415</v>
      </c>
      <c r="G455" s="8">
        <v>0</v>
      </c>
      <c r="H455" s="8">
        <v>2444.12</v>
      </c>
      <c r="I455" s="8">
        <f t="shared" si="27"/>
        <v>-39205.880000000005</v>
      </c>
      <c r="J455" s="12"/>
    </row>
    <row r="456" spans="3:10" hidden="1" x14ac:dyDescent="0.25">
      <c r="C456" s="9"/>
      <c r="D456" s="10">
        <v>45703</v>
      </c>
      <c r="E456" t="s">
        <v>416</v>
      </c>
      <c r="F456" s="11" t="s">
        <v>417</v>
      </c>
      <c r="G456" s="8">
        <v>0</v>
      </c>
      <c r="H456" s="8">
        <v>4153.4799999999996</v>
      </c>
      <c r="I456" s="8">
        <f t="shared" si="27"/>
        <v>-43359.360000000001</v>
      </c>
      <c r="J456" s="12"/>
    </row>
    <row r="457" spans="3:10" hidden="1" x14ac:dyDescent="0.25">
      <c r="C457" s="9"/>
      <c r="D457" s="10">
        <v>45708</v>
      </c>
      <c r="E457" t="s">
        <v>418</v>
      </c>
      <c r="F457" s="11" t="s">
        <v>419</v>
      </c>
      <c r="G457" s="8">
        <v>0</v>
      </c>
      <c r="H457" s="8">
        <v>2188.42</v>
      </c>
      <c r="I457" s="8">
        <f t="shared" si="27"/>
        <v>-45547.78</v>
      </c>
      <c r="J457" s="12"/>
    </row>
    <row r="458" spans="3:10" hidden="1" x14ac:dyDescent="0.25">
      <c r="C458" s="9"/>
      <c r="D458" s="10">
        <v>45713</v>
      </c>
      <c r="E458" t="s">
        <v>420</v>
      </c>
      <c r="F458" s="11" t="s">
        <v>421</v>
      </c>
      <c r="G458" s="8">
        <v>0</v>
      </c>
      <c r="H458" s="8">
        <v>372.87</v>
      </c>
      <c r="I458" s="8">
        <f t="shared" si="27"/>
        <v>-45920.65</v>
      </c>
      <c r="J458" s="12"/>
    </row>
    <row r="459" spans="3:10" hidden="1" x14ac:dyDescent="0.25">
      <c r="C459" s="9"/>
      <c r="D459" s="10">
        <v>45716</v>
      </c>
      <c r="E459" t="s">
        <v>422</v>
      </c>
      <c r="F459" s="11" t="s">
        <v>423</v>
      </c>
      <c r="G459" s="8">
        <v>0</v>
      </c>
      <c r="H459" s="8">
        <v>1335.36</v>
      </c>
      <c r="I459" s="8">
        <f t="shared" si="27"/>
        <v>-47256.01</v>
      </c>
      <c r="J459" s="12"/>
    </row>
    <row r="460" spans="3:10" hidden="1" x14ac:dyDescent="0.25">
      <c r="C460" s="9"/>
      <c r="D460" s="10">
        <v>45721</v>
      </c>
      <c r="E460" t="s">
        <v>424</v>
      </c>
      <c r="F460" s="11" t="s">
        <v>425</v>
      </c>
      <c r="G460" s="8">
        <v>0</v>
      </c>
      <c r="H460" s="8">
        <v>2107.0100000000002</v>
      </c>
      <c r="I460" s="8">
        <f t="shared" si="27"/>
        <v>-49363.020000000004</v>
      </c>
      <c r="J460" s="12"/>
    </row>
    <row r="461" spans="3:10" hidden="1" x14ac:dyDescent="0.25">
      <c r="C461" s="9"/>
      <c r="D461" s="10">
        <v>45726</v>
      </c>
      <c r="E461" t="s">
        <v>426</v>
      </c>
      <c r="F461" s="11" t="s">
        <v>427</v>
      </c>
      <c r="G461" s="8">
        <v>0</v>
      </c>
      <c r="H461" s="8">
        <v>386.78</v>
      </c>
      <c r="I461" s="8">
        <f t="shared" si="27"/>
        <v>-49749.8</v>
      </c>
      <c r="J461" s="12"/>
    </row>
    <row r="462" spans="3:10" hidden="1" x14ac:dyDescent="0.25">
      <c r="C462" s="9"/>
      <c r="D462" s="10">
        <v>45731</v>
      </c>
      <c r="E462" t="s">
        <v>428</v>
      </c>
      <c r="F462" s="11" t="s">
        <v>429</v>
      </c>
      <c r="G462" s="8">
        <v>0</v>
      </c>
      <c r="H462" s="8">
        <v>1182.52</v>
      </c>
      <c r="I462" s="8">
        <f t="shared" si="27"/>
        <v>-50932.32</v>
      </c>
      <c r="J462" s="12"/>
    </row>
    <row r="463" spans="3:10" hidden="1" x14ac:dyDescent="0.25">
      <c r="C463" s="9"/>
      <c r="D463" s="10">
        <v>45736</v>
      </c>
      <c r="E463" t="s">
        <v>430</v>
      </c>
      <c r="F463" s="11" t="s">
        <v>431</v>
      </c>
      <c r="G463" s="8">
        <v>0</v>
      </c>
      <c r="H463" s="8">
        <v>2021.31</v>
      </c>
      <c r="I463" s="8">
        <f t="shared" si="27"/>
        <v>-52953.63</v>
      </c>
      <c r="J463" s="12"/>
    </row>
    <row r="464" spans="3:10" hidden="1" x14ac:dyDescent="0.25">
      <c r="C464" s="9"/>
      <c r="D464" s="10">
        <v>45740</v>
      </c>
      <c r="E464" t="s">
        <v>432</v>
      </c>
      <c r="F464" s="11" t="s">
        <v>433</v>
      </c>
      <c r="G464" s="8">
        <v>0</v>
      </c>
      <c r="H464" s="8">
        <v>-137.94</v>
      </c>
      <c r="I464" s="8">
        <f t="shared" si="27"/>
        <v>-52815.689999999995</v>
      </c>
      <c r="J464" s="12"/>
    </row>
    <row r="465" spans="1:10" hidden="1" x14ac:dyDescent="0.25">
      <c r="C465" s="9"/>
      <c r="D465" s="10">
        <v>45741</v>
      </c>
      <c r="E465" t="s">
        <v>434</v>
      </c>
      <c r="F465" s="11" t="s">
        <v>435</v>
      </c>
      <c r="G465" s="8">
        <v>0</v>
      </c>
      <c r="H465" s="8">
        <v>1015.57</v>
      </c>
      <c r="I465" s="8">
        <f t="shared" si="27"/>
        <v>-53831.259999999995</v>
      </c>
      <c r="J465" s="12"/>
    </row>
    <row r="466" spans="1:10" hidden="1" x14ac:dyDescent="0.25">
      <c r="C466" s="9"/>
      <c r="D466" s="10">
        <v>45742</v>
      </c>
      <c r="E466" t="s">
        <v>436</v>
      </c>
      <c r="F466" s="11" t="s">
        <v>437</v>
      </c>
      <c r="G466" s="8">
        <v>0</v>
      </c>
      <c r="H466" s="8">
        <v>-735.07</v>
      </c>
      <c r="I466" s="8">
        <f t="shared" si="27"/>
        <v>-53096.189999999995</v>
      </c>
      <c r="J466" s="12"/>
    </row>
    <row r="467" spans="1:10" hidden="1" x14ac:dyDescent="0.25">
      <c r="C467" s="9"/>
      <c r="D467" s="10">
        <v>45743</v>
      </c>
      <c r="E467" t="s">
        <v>438</v>
      </c>
      <c r="F467" s="11" t="s">
        <v>42</v>
      </c>
      <c r="G467" s="8">
        <v>0</v>
      </c>
      <c r="H467" s="8">
        <v>3141.16</v>
      </c>
      <c r="I467" s="8">
        <f t="shared" si="27"/>
        <v>-56237.349999999991</v>
      </c>
      <c r="J467" s="12"/>
    </row>
    <row r="468" spans="1:10" hidden="1" x14ac:dyDescent="0.25">
      <c r="C468" s="9"/>
      <c r="D468" s="10">
        <v>45747</v>
      </c>
      <c r="E468" t="s">
        <v>439</v>
      </c>
      <c r="F468" s="11" t="s">
        <v>440</v>
      </c>
      <c r="G468" s="8">
        <v>0</v>
      </c>
      <c r="H468" s="8">
        <v>802.85</v>
      </c>
      <c r="I468" s="8">
        <f t="shared" si="27"/>
        <v>-57040.19999999999</v>
      </c>
      <c r="J468" s="12"/>
    </row>
    <row r="469" spans="1:10" x14ac:dyDescent="0.25">
      <c r="E469" s="4" t="s">
        <v>20</v>
      </c>
      <c r="G469" s="8">
        <f>SUM(G445:G468)</f>
        <v>0</v>
      </c>
      <c r="H469" s="8">
        <v>53899.040000000001</v>
      </c>
      <c r="I469" s="8">
        <f>G469-H469</f>
        <v>-53899.040000000001</v>
      </c>
      <c r="J469" s="62">
        <f>G469-H469</f>
        <v>-53899.040000000001</v>
      </c>
    </row>
    <row r="471" spans="1:10" hidden="1" x14ac:dyDescent="0.25">
      <c r="A471" s="5">
        <v>4000140</v>
      </c>
      <c r="B471" s="6" t="s">
        <v>441</v>
      </c>
      <c r="C471" s="7"/>
      <c r="D471" s="7"/>
      <c r="E471" s="7"/>
      <c r="F471" s="7"/>
      <c r="G471" s="7"/>
      <c r="H471" s="7"/>
      <c r="I471" s="7"/>
      <c r="J471" s="7"/>
    </row>
    <row r="472" spans="1:10" hidden="1" x14ac:dyDescent="0.25">
      <c r="E472" s="4" t="s">
        <v>10</v>
      </c>
      <c r="G472" s="8">
        <v>0</v>
      </c>
      <c r="H472" s="39">
        <v>583.16999999999996</v>
      </c>
      <c r="I472" s="8">
        <f>G472-H472</f>
        <v>-583.16999999999996</v>
      </c>
    </row>
    <row r="473" spans="1:10" hidden="1" x14ac:dyDescent="0.25">
      <c r="C473" s="9"/>
      <c r="D473" s="10">
        <v>45716</v>
      </c>
      <c r="E473" t="s">
        <v>442</v>
      </c>
      <c r="F473" s="11" t="s">
        <v>443</v>
      </c>
      <c r="G473" s="8">
        <v>0</v>
      </c>
      <c r="H473" s="8">
        <v>437.38</v>
      </c>
      <c r="I473" s="8">
        <f>G473-H473+I472</f>
        <v>-1020.55</v>
      </c>
      <c r="J473" s="12"/>
    </row>
    <row r="474" spans="1:10" hidden="1" x14ac:dyDescent="0.25">
      <c r="C474" s="9"/>
      <c r="D474" s="10">
        <v>45731</v>
      </c>
      <c r="E474" t="s">
        <v>444</v>
      </c>
      <c r="F474" s="11" t="s">
        <v>445</v>
      </c>
      <c r="G474" s="8">
        <v>0</v>
      </c>
      <c r="H474" s="8">
        <v>145.79</v>
      </c>
      <c r="I474" s="8">
        <f>G474-H474+I473</f>
        <v>-1166.3399999999999</v>
      </c>
      <c r="J474" s="12"/>
    </row>
    <row r="475" spans="1:10" hidden="1" x14ac:dyDescent="0.25">
      <c r="C475" s="9"/>
      <c r="D475" s="10">
        <v>45733</v>
      </c>
      <c r="E475" t="s">
        <v>11</v>
      </c>
      <c r="F475" s="11" t="s">
        <v>446</v>
      </c>
      <c r="G475" s="39">
        <v>583.16999999999996</v>
      </c>
      <c r="H475" s="8">
        <v>0</v>
      </c>
      <c r="I475" s="8">
        <f>G475-H475+I474</f>
        <v>-583.16999999999996</v>
      </c>
      <c r="J475" s="12"/>
    </row>
    <row r="476" spans="1:10" hidden="1" x14ac:dyDescent="0.25">
      <c r="E476" s="4" t="s">
        <v>20</v>
      </c>
      <c r="G476" s="8">
        <f>SUM(G472:G475)</f>
        <v>583.16999999999996</v>
      </c>
      <c r="H476" s="8">
        <f>SUM(H472:H475)</f>
        <v>1166.3399999999999</v>
      </c>
      <c r="I476" s="8">
        <f>G476-H476</f>
        <v>-583.16999999999996</v>
      </c>
    </row>
    <row r="477" spans="1:10" hidden="1" x14ac:dyDescent="0.25"/>
    <row r="478" spans="1:10" hidden="1" x14ac:dyDescent="0.25">
      <c r="A478" s="5">
        <v>4000153</v>
      </c>
      <c r="B478" s="6" t="s">
        <v>447</v>
      </c>
      <c r="C478" s="7"/>
      <c r="D478" s="7"/>
      <c r="E478" s="7"/>
      <c r="F478" s="7"/>
      <c r="G478" s="7"/>
      <c r="H478" s="7"/>
      <c r="I478" s="7"/>
      <c r="J478" s="7"/>
    </row>
    <row r="479" spans="1:10" hidden="1" x14ac:dyDescent="0.25">
      <c r="E479" s="4" t="s">
        <v>10</v>
      </c>
      <c r="G479" s="8">
        <v>0</v>
      </c>
      <c r="H479" s="39">
        <v>1057.1300000000001</v>
      </c>
      <c r="I479" s="8">
        <f>G479-H479</f>
        <v>-1057.1300000000001</v>
      </c>
    </row>
    <row r="480" spans="1:10" hidden="1" x14ac:dyDescent="0.25">
      <c r="C480" s="9"/>
      <c r="D480" s="10">
        <v>45672</v>
      </c>
      <c r="E480" t="s">
        <v>11</v>
      </c>
      <c r="F480" s="11" t="s">
        <v>448</v>
      </c>
      <c r="G480" s="39">
        <v>294.89999999999998</v>
      </c>
      <c r="H480" s="8">
        <v>0</v>
      </c>
      <c r="I480" s="8">
        <f>G480-H480+I479</f>
        <v>-762.23000000000013</v>
      </c>
      <c r="J480" s="12"/>
    </row>
    <row r="481" spans="1:10" hidden="1" x14ac:dyDescent="0.25">
      <c r="C481" s="9"/>
      <c r="D481" s="10">
        <v>45702</v>
      </c>
      <c r="E481" t="s">
        <v>11</v>
      </c>
      <c r="F481" s="11" t="s">
        <v>449</v>
      </c>
      <c r="G481" s="39">
        <v>377.37</v>
      </c>
      <c r="H481" s="8">
        <v>0</v>
      </c>
      <c r="I481" s="8">
        <f>G481-H481+I480</f>
        <v>-384.86000000000013</v>
      </c>
      <c r="J481" s="12"/>
    </row>
    <row r="482" spans="1:10" hidden="1" x14ac:dyDescent="0.25">
      <c r="C482" s="9"/>
      <c r="D482" s="10">
        <v>45716</v>
      </c>
      <c r="E482" t="s">
        <v>450</v>
      </c>
      <c r="F482" s="11" t="s">
        <v>451</v>
      </c>
      <c r="G482" s="8">
        <v>0</v>
      </c>
      <c r="H482" s="8">
        <v>1096.1099999999999</v>
      </c>
      <c r="I482" s="8">
        <f>G482-H482+I481</f>
        <v>-1480.97</v>
      </c>
      <c r="J482" s="12"/>
    </row>
    <row r="483" spans="1:10" hidden="1" x14ac:dyDescent="0.25">
      <c r="C483" s="9"/>
      <c r="D483" s="10">
        <v>45733</v>
      </c>
      <c r="E483" t="s">
        <v>11</v>
      </c>
      <c r="F483" s="11" t="s">
        <v>452</v>
      </c>
      <c r="G483" s="39">
        <v>384.86</v>
      </c>
      <c r="H483" s="8">
        <v>0</v>
      </c>
      <c r="I483" s="8">
        <f>G483-H483+I482</f>
        <v>-1096.1100000000001</v>
      </c>
      <c r="J483" s="12"/>
    </row>
    <row r="484" spans="1:10" hidden="1" x14ac:dyDescent="0.25">
      <c r="C484" s="9"/>
      <c r="D484" s="10">
        <v>45747</v>
      </c>
      <c r="E484" t="s">
        <v>453</v>
      </c>
      <c r="F484" s="11" t="s">
        <v>454</v>
      </c>
      <c r="G484" s="8">
        <v>0</v>
      </c>
      <c r="H484" s="8">
        <v>138.09</v>
      </c>
      <c r="I484" s="8">
        <f>G484-H484+I483</f>
        <v>-1234.2</v>
      </c>
      <c r="J484" s="12"/>
    </row>
    <row r="485" spans="1:10" hidden="1" x14ac:dyDescent="0.25">
      <c r="E485" s="4" t="s">
        <v>20</v>
      </c>
      <c r="G485" s="8">
        <f>SUM(G479:G484)</f>
        <v>1057.1300000000001</v>
      </c>
      <c r="H485" s="8">
        <f>SUM(H479:H484)</f>
        <v>2291.33</v>
      </c>
      <c r="I485" s="8">
        <f>G485-H485</f>
        <v>-1234.1999999999998</v>
      </c>
    </row>
    <row r="486" spans="1:10" hidden="1" x14ac:dyDescent="0.25"/>
    <row r="487" spans="1:10" hidden="1" x14ac:dyDescent="0.25">
      <c r="A487" s="5">
        <v>4000176</v>
      </c>
      <c r="B487" s="6" t="s">
        <v>455</v>
      </c>
      <c r="C487" s="7"/>
      <c r="D487" s="7"/>
      <c r="E487" s="7"/>
      <c r="F487" s="7"/>
      <c r="G487" s="7"/>
      <c r="H487" s="7"/>
      <c r="I487" s="7"/>
      <c r="J487" s="7"/>
    </row>
    <row r="488" spans="1:10" hidden="1" x14ac:dyDescent="0.25">
      <c r="E488" s="4" t="s">
        <v>10</v>
      </c>
      <c r="G488" s="8">
        <v>0</v>
      </c>
      <c r="H488" s="8">
        <v>682.68</v>
      </c>
      <c r="I488" s="8">
        <f>G488-H488</f>
        <v>-682.68</v>
      </c>
    </row>
    <row r="489" spans="1:10" hidden="1" x14ac:dyDescent="0.25">
      <c r="C489" s="9"/>
      <c r="D489" s="10">
        <v>45672</v>
      </c>
      <c r="E489" t="s">
        <v>11</v>
      </c>
      <c r="F489" s="11" t="s">
        <v>456</v>
      </c>
      <c r="G489" s="8">
        <v>682.68</v>
      </c>
      <c r="H489" s="8">
        <v>0</v>
      </c>
      <c r="I489" s="8">
        <f>G489-H489+I488</f>
        <v>0</v>
      </c>
      <c r="J489" s="12"/>
    </row>
    <row r="490" spans="1:10" hidden="1" x14ac:dyDescent="0.25">
      <c r="C490" s="9"/>
      <c r="D490" s="10">
        <v>45672</v>
      </c>
      <c r="E490" t="s">
        <v>11</v>
      </c>
      <c r="F490" s="11" t="s">
        <v>456</v>
      </c>
      <c r="G490" s="8">
        <v>0</v>
      </c>
      <c r="H490" s="8">
        <v>682.68</v>
      </c>
      <c r="I490" s="8">
        <f>G490-H490+I489</f>
        <v>-682.68</v>
      </c>
      <c r="J490" s="12"/>
    </row>
    <row r="491" spans="1:10" hidden="1" x14ac:dyDescent="0.25">
      <c r="C491" s="9"/>
      <c r="D491" s="10">
        <v>45700</v>
      </c>
      <c r="E491" t="s">
        <v>457</v>
      </c>
      <c r="F491" s="11" t="s">
        <v>42</v>
      </c>
      <c r="G491" s="8">
        <v>682.68</v>
      </c>
      <c r="H491" s="8">
        <v>0</v>
      </c>
      <c r="I491" s="8">
        <f>G491-H491+I490</f>
        <v>0</v>
      </c>
      <c r="J491" s="12"/>
    </row>
    <row r="492" spans="1:10" hidden="1" x14ac:dyDescent="0.25">
      <c r="E492" s="4" t="s">
        <v>20</v>
      </c>
      <c r="G492" s="8">
        <f>SUM(G488:G491)</f>
        <v>1365.36</v>
      </c>
      <c r="H492" s="8">
        <f>SUM(H488:H491)</f>
        <v>1365.36</v>
      </c>
      <c r="I492" s="8">
        <f>G492-H492</f>
        <v>0</v>
      </c>
    </row>
    <row r="493" spans="1:10" hidden="1" x14ac:dyDescent="0.25"/>
    <row r="494" spans="1:10" hidden="1" x14ac:dyDescent="0.25">
      <c r="A494" s="5">
        <v>4000178</v>
      </c>
      <c r="B494" s="6" t="s">
        <v>458</v>
      </c>
      <c r="C494" s="7"/>
      <c r="D494" s="7"/>
      <c r="E494" s="7"/>
      <c r="F494" s="7"/>
      <c r="G494" s="7"/>
      <c r="H494" s="7"/>
      <c r="I494" s="7"/>
      <c r="J494" s="7"/>
    </row>
    <row r="495" spans="1:10" hidden="1" x14ac:dyDescent="0.25">
      <c r="C495" s="9"/>
      <c r="D495" s="10">
        <v>45684</v>
      </c>
      <c r="E495" t="s">
        <v>459</v>
      </c>
      <c r="F495" s="11" t="s">
        <v>460</v>
      </c>
      <c r="G495" s="8">
        <v>0</v>
      </c>
      <c r="H495" s="39">
        <v>1091.69</v>
      </c>
      <c r="I495" s="8">
        <f>G495-H495</f>
        <v>-1091.69</v>
      </c>
      <c r="J495" s="12"/>
    </row>
    <row r="496" spans="1:10" hidden="1" x14ac:dyDescent="0.25">
      <c r="C496" s="9"/>
      <c r="D496" s="10">
        <v>45686</v>
      </c>
      <c r="E496" t="s">
        <v>461</v>
      </c>
      <c r="F496" s="11" t="s">
        <v>462</v>
      </c>
      <c r="G496" s="8">
        <v>0</v>
      </c>
      <c r="H496" s="39">
        <v>-35.57</v>
      </c>
      <c r="I496" s="8">
        <f>G496-H496+I495</f>
        <v>-1056.1200000000001</v>
      </c>
      <c r="J496" s="12"/>
    </row>
    <row r="497" spans="1:10" hidden="1" x14ac:dyDescent="0.25">
      <c r="C497" s="9"/>
      <c r="D497" s="10">
        <v>45688</v>
      </c>
      <c r="E497" t="s">
        <v>463</v>
      </c>
      <c r="F497" s="11" t="s">
        <v>464</v>
      </c>
      <c r="G497" s="8">
        <v>0</v>
      </c>
      <c r="H497" s="39">
        <v>61.06</v>
      </c>
      <c r="I497" s="8">
        <f>G497-H497+I496</f>
        <v>-1117.18</v>
      </c>
      <c r="J497" s="12"/>
    </row>
    <row r="498" spans="1:10" hidden="1" x14ac:dyDescent="0.25">
      <c r="C498" s="9"/>
      <c r="D498" s="10">
        <v>45726</v>
      </c>
      <c r="E498" t="s">
        <v>465</v>
      </c>
      <c r="F498" s="11" t="s">
        <v>466</v>
      </c>
      <c r="G498" s="8">
        <v>0</v>
      </c>
      <c r="H498" s="8">
        <v>720.99</v>
      </c>
      <c r="I498" s="8">
        <f>G498-H498+I497</f>
        <v>-1838.17</v>
      </c>
      <c r="J498" s="12"/>
    </row>
    <row r="499" spans="1:10" hidden="1" x14ac:dyDescent="0.25">
      <c r="C499" s="9"/>
      <c r="D499" s="10">
        <v>45740</v>
      </c>
      <c r="E499" t="s">
        <v>467</v>
      </c>
      <c r="F499" s="11" t="s">
        <v>468</v>
      </c>
      <c r="G499" s="8">
        <v>0</v>
      </c>
      <c r="H499" s="8">
        <v>582.91</v>
      </c>
      <c r="I499" s="8">
        <f>G499-H499+I498</f>
        <v>-2421.08</v>
      </c>
      <c r="J499" s="12"/>
    </row>
    <row r="500" spans="1:10" hidden="1" x14ac:dyDescent="0.25">
      <c r="C500" s="9"/>
      <c r="D500" s="10">
        <v>45762</v>
      </c>
      <c r="E500" t="s">
        <v>469</v>
      </c>
      <c r="F500" s="11" t="s">
        <v>42</v>
      </c>
      <c r="G500" s="39">
        <v>1117.18</v>
      </c>
      <c r="H500" s="8">
        <v>0</v>
      </c>
      <c r="I500" s="8">
        <f>G500-H500+I499</f>
        <v>-1303.8999999999999</v>
      </c>
      <c r="J500" s="12"/>
    </row>
    <row r="501" spans="1:10" hidden="1" x14ac:dyDescent="0.25">
      <c r="E501" s="4" t="s">
        <v>20</v>
      </c>
      <c r="G501" s="8">
        <f>SUM(G495:G500)</f>
        <v>1117.18</v>
      </c>
      <c r="H501" s="8">
        <f>SUM(H495:H500)</f>
        <v>2421.08</v>
      </c>
      <c r="I501" s="8">
        <f>G501-H501</f>
        <v>-1303.8999999999999</v>
      </c>
    </row>
    <row r="502" spans="1:10" hidden="1" x14ac:dyDescent="0.25"/>
    <row r="503" spans="1:10" x14ac:dyDescent="0.25">
      <c r="A503" s="5">
        <v>4000179</v>
      </c>
      <c r="B503" s="6" t="s">
        <v>470</v>
      </c>
      <c r="C503" s="7"/>
      <c r="D503" s="7"/>
      <c r="E503" s="7"/>
      <c r="F503" s="7"/>
      <c r="G503" s="7"/>
      <c r="H503" s="7"/>
      <c r="I503" s="7"/>
      <c r="J503" s="7"/>
    </row>
    <row r="504" spans="1:10" x14ac:dyDescent="0.25">
      <c r="C504" s="9"/>
      <c r="D504" s="10">
        <v>45708</v>
      </c>
      <c r="E504" t="s">
        <v>471</v>
      </c>
      <c r="F504" s="11" t="s">
        <v>472</v>
      </c>
      <c r="G504" s="8">
        <v>0</v>
      </c>
      <c r="H504" s="8">
        <v>8.89</v>
      </c>
      <c r="I504" s="8">
        <f>G504-H504</f>
        <v>-8.89</v>
      </c>
      <c r="J504" s="32" t="s">
        <v>8147</v>
      </c>
    </row>
    <row r="505" spans="1:10" hidden="1" x14ac:dyDescent="0.25">
      <c r="E505" s="4" t="s">
        <v>20</v>
      </c>
      <c r="G505" s="8">
        <f>G504</f>
        <v>0</v>
      </c>
      <c r="H505" s="8">
        <f>H504</f>
        <v>8.89</v>
      </c>
      <c r="I505" s="8">
        <f>G505-H505</f>
        <v>-8.89</v>
      </c>
    </row>
    <row r="507" spans="1:10" hidden="1" x14ac:dyDescent="0.25">
      <c r="A507" s="5">
        <v>4000180</v>
      </c>
      <c r="B507" s="6" t="s">
        <v>473</v>
      </c>
      <c r="C507" s="7"/>
      <c r="D507" s="7"/>
      <c r="E507" s="7"/>
      <c r="F507" s="7"/>
      <c r="G507" s="7"/>
      <c r="H507" s="7"/>
      <c r="I507" s="7"/>
      <c r="J507" s="7"/>
    </row>
    <row r="508" spans="1:10" hidden="1" x14ac:dyDescent="0.25">
      <c r="E508" s="4" t="s">
        <v>10</v>
      </c>
      <c r="G508" s="8">
        <v>0</v>
      </c>
      <c r="H508" s="39">
        <v>1440.9</v>
      </c>
      <c r="I508" s="8">
        <f>G508-H508</f>
        <v>-1440.9</v>
      </c>
    </row>
    <row r="509" spans="1:10" hidden="1" x14ac:dyDescent="0.25">
      <c r="C509" s="9"/>
      <c r="D509" s="10">
        <v>45677</v>
      </c>
      <c r="E509" t="s">
        <v>474</v>
      </c>
      <c r="F509" s="11" t="s">
        <v>475</v>
      </c>
      <c r="G509" s="8">
        <v>0</v>
      </c>
      <c r="H509" s="39">
        <v>763.03</v>
      </c>
      <c r="I509" s="8">
        <f t="shared" ref="I509:I514" si="28">G509-H509+I508</f>
        <v>-2203.9300000000003</v>
      </c>
      <c r="J509" s="12"/>
    </row>
    <row r="510" spans="1:10" hidden="1" x14ac:dyDescent="0.25">
      <c r="C510" s="9"/>
      <c r="D510" s="10">
        <v>45705</v>
      </c>
      <c r="E510" t="s">
        <v>11</v>
      </c>
      <c r="F510" s="11" t="s">
        <v>476</v>
      </c>
      <c r="G510" s="39">
        <v>388.2</v>
      </c>
      <c r="H510" s="8">
        <v>0</v>
      </c>
      <c r="I510" s="8">
        <f t="shared" si="28"/>
        <v>-1815.7300000000002</v>
      </c>
      <c r="J510" s="12"/>
    </row>
    <row r="511" spans="1:10" hidden="1" x14ac:dyDescent="0.25">
      <c r="C511" s="9"/>
      <c r="D511" s="10">
        <v>45708</v>
      </c>
      <c r="E511" t="s">
        <v>477</v>
      </c>
      <c r="F511" s="11" t="s">
        <v>478</v>
      </c>
      <c r="G511" s="8">
        <v>0</v>
      </c>
      <c r="H511" s="39">
        <v>-413.09</v>
      </c>
      <c r="I511" s="8">
        <f t="shared" si="28"/>
        <v>-1402.6400000000003</v>
      </c>
      <c r="J511" s="12"/>
    </row>
    <row r="512" spans="1:10" hidden="1" x14ac:dyDescent="0.25">
      <c r="C512" s="9"/>
      <c r="D512" s="10">
        <v>45716</v>
      </c>
      <c r="E512" t="s">
        <v>479</v>
      </c>
      <c r="F512" s="11" t="s">
        <v>480</v>
      </c>
      <c r="G512" s="8">
        <v>0</v>
      </c>
      <c r="H512" s="8">
        <v>70.42</v>
      </c>
      <c r="I512" s="8">
        <f t="shared" si="28"/>
        <v>-1473.0600000000004</v>
      </c>
      <c r="J512" s="12"/>
    </row>
    <row r="513" spans="1:10" hidden="1" x14ac:dyDescent="0.25">
      <c r="C513" s="9"/>
      <c r="D513" s="10">
        <v>45733</v>
      </c>
      <c r="E513" t="s">
        <v>11</v>
      </c>
      <c r="F513" s="11" t="s">
        <v>481</v>
      </c>
      <c r="G513" s="39">
        <v>1052.7</v>
      </c>
      <c r="H513" s="8">
        <v>0</v>
      </c>
      <c r="I513" s="8">
        <f t="shared" si="28"/>
        <v>-420.36000000000035</v>
      </c>
      <c r="J513" s="12"/>
    </row>
    <row r="514" spans="1:10" hidden="1" x14ac:dyDescent="0.25">
      <c r="C514" s="9"/>
      <c r="D514" s="10">
        <v>45762</v>
      </c>
      <c r="E514" t="s">
        <v>482</v>
      </c>
      <c r="F514" s="11" t="s">
        <v>42</v>
      </c>
      <c r="G514" s="39">
        <v>349.94</v>
      </c>
      <c r="H514" s="8">
        <v>0</v>
      </c>
      <c r="I514" s="8">
        <f t="shared" si="28"/>
        <v>-70.420000000000357</v>
      </c>
      <c r="J514" s="12"/>
    </row>
    <row r="515" spans="1:10" hidden="1" x14ac:dyDescent="0.25">
      <c r="E515" s="4" t="s">
        <v>20</v>
      </c>
      <c r="G515" s="8">
        <f>SUM(G508:G514)</f>
        <v>1790.8400000000001</v>
      </c>
      <c r="H515" s="8">
        <f>SUM(H508:H514)</f>
        <v>1861.2600000000004</v>
      </c>
      <c r="I515" s="8">
        <f>G515-H515</f>
        <v>-70.4200000000003</v>
      </c>
    </row>
    <row r="516" spans="1:10" hidden="1" x14ac:dyDescent="0.25"/>
    <row r="517" spans="1:10" x14ac:dyDescent="0.25">
      <c r="A517" s="5">
        <v>4000191</v>
      </c>
      <c r="B517" s="6" t="s">
        <v>483</v>
      </c>
      <c r="C517" s="7"/>
      <c r="D517" s="7"/>
      <c r="E517" s="7"/>
      <c r="F517" s="7"/>
      <c r="G517" s="7"/>
      <c r="H517" s="7"/>
      <c r="I517" s="7"/>
      <c r="J517" s="7"/>
    </row>
    <row r="518" spans="1:10" x14ac:dyDescent="0.25">
      <c r="E518" s="4" t="s">
        <v>10</v>
      </c>
      <c r="G518" s="8">
        <v>0</v>
      </c>
      <c r="H518" s="8">
        <v>260.95999999999998</v>
      </c>
      <c r="I518" s="8">
        <f>G518-H518</f>
        <v>-260.95999999999998</v>
      </c>
    </row>
    <row r="519" spans="1:10" hidden="1" x14ac:dyDescent="0.25">
      <c r="E519" s="4" t="s">
        <v>20</v>
      </c>
      <c r="G519" s="8">
        <f>G518</f>
        <v>0</v>
      </c>
      <c r="H519" s="8">
        <f>H518</f>
        <v>260.95999999999998</v>
      </c>
      <c r="I519" s="8">
        <f>G519-H519</f>
        <v>-260.95999999999998</v>
      </c>
    </row>
    <row r="521" spans="1:10" x14ac:dyDescent="0.25">
      <c r="A521" s="5">
        <v>4000195</v>
      </c>
      <c r="B521" s="6" t="s">
        <v>484</v>
      </c>
      <c r="C521" s="7"/>
      <c r="D521" s="7"/>
      <c r="E521" s="7"/>
      <c r="F521" s="7"/>
      <c r="G521" s="7"/>
      <c r="H521" s="7"/>
      <c r="I521" s="7"/>
      <c r="J521" s="7"/>
    </row>
    <row r="522" spans="1:10" x14ac:dyDescent="0.25">
      <c r="C522" s="9"/>
      <c r="D522" s="10">
        <v>45706</v>
      </c>
      <c r="E522" t="s">
        <v>485</v>
      </c>
      <c r="F522" s="11" t="s">
        <v>486</v>
      </c>
      <c r="G522" s="8">
        <v>0</v>
      </c>
      <c r="H522" s="8">
        <v>539.71</v>
      </c>
      <c r="I522" s="8">
        <f>G522-H522</f>
        <v>-539.71</v>
      </c>
      <c r="J522" s="32" t="s">
        <v>8147</v>
      </c>
    </row>
    <row r="523" spans="1:10" hidden="1" x14ac:dyDescent="0.25">
      <c r="E523" s="4" t="s">
        <v>20</v>
      </c>
      <c r="G523" s="8">
        <f>G522</f>
        <v>0</v>
      </c>
      <c r="H523" s="8">
        <f>H522</f>
        <v>539.71</v>
      </c>
      <c r="I523" s="8">
        <f>G523-H523</f>
        <v>-539.71</v>
      </c>
    </row>
    <row r="525" spans="1:10" hidden="1" x14ac:dyDescent="0.25">
      <c r="A525" s="5">
        <v>4000197</v>
      </c>
      <c r="B525" s="6" t="s">
        <v>487</v>
      </c>
      <c r="C525" s="7"/>
      <c r="D525" s="7"/>
      <c r="E525" s="7"/>
      <c r="F525" s="7"/>
      <c r="G525" s="7"/>
      <c r="H525" s="7"/>
      <c r="I525" s="7"/>
      <c r="J525" s="7"/>
    </row>
    <row r="526" spans="1:10" hidden="1" x14ac:dyDescent="0.25">
      <c r="E526" s="4" t="s">
        <v>10</v>
      </c>
      <c r="G526" s="8">
        <v>0</v>
      </c>
      <c r="H526" s="57">
        <v>7492.17</v>
      </c>
      <c r="I526" s="8">
        <f>G526-H526</f>
        <v>-7492.17</v>
      </c>
    </row>
    <row r="527" spans="1:10" hidden="1" x14ac:dyDescent="0.25">
      <c r="C527" s="9"/>
      <c r="D527" s="10">
        <v>45658</v>
      </c>
      <c r="E527" t="s">
        <v>488</v>
      </c>
      <c r="F527" s="11" t="s">
        <v>489</v>
      </c>
      <c r="G527" s="8">
        <v>0</v>
      </c>
      <c r="H527" s="57">
        <v>-273.77</v>
      </c>
      <c r="I527" s="8">
        <f t="shared" ref="I527:I536" si="29">G527-H527+I526</f>
        <v>-7218.4</v>
      </c>
      <c r="J527" s="12"/>
    </row>
    <row r="528" spans="1:10" hidden="1" x14ac:dyDescent="0.25">
      <c r="C528" s="9"/>
      <c r="D528" s="10">
        <v>45658</v>
      </c>
      <c r="E528" t="s">
        <v>490</v>
      </c>
      <c r="F528" s="11" t="s">
        <v>491</v>
      </c>
      <c r="G528" s="8">
        <v>0</v>
      </c>
      <c r="H528" s="57">
        <v>-273.77</v>
      </c>
      <c r="I528" s="8">
        <f t="shared" si="29"/>
        <v>-6944.6299999999992</v>
      </c>
      <c r="J528" s="12"/>
    </row>
    <row r="529" spans="1:11" hidden="1" x14ac:dyDescent="0.25">
      <c r="C529" s="9"/>
      <c r="D529" s="10">
        <v>45658</v>
      </c>
      <c r="E529" t="s">
        <v>492</v>
      </c>
      <c r="F529" s="11" t="s">
        <v>493</v>
      </c>
      <c r="G529" s="8">
        <v>0</v>
      </c>
      <c r="H529" s="57">
        <v>-484.24</v>
      </c>
      <c r="I529" s="8">
        <f t="shared" si="29"/>
        <v>-6460.3899999999994</v>
      </c>
      <c r="J529" s="12"/>
    </row>
    <row r="530" spans="1:11" hidden="1" x14ac:dyDescent="0.25">
      <c r="C530" s="9"/>
      <c r="D530" s="10">
        <v>45667</v>
      </c>
      <c r="E530" t="s">
        <v>494</v>
      </c>
      <c r="F530" s="11" t="s">
        <v>495</v>
      </c>
      <c r="G530" s="8">
        <v>0</v>
      </c>
      <c r="H530" s="57">
        <v>2935.29</v>
      </c>
      <c r="I530" s="8">
        <f t="shared" si="29"/>
        <v>-9395.68</v>
      </c>
      <c r="J530" s="60">
        <f>G534+G535-H526-H527-H528-H529-H530</f>
        <v>0</v>
      </c>
    </row>
    <row r="531" spans="1:11" hidden="1" x14ac:dyDescent="0.25">
      <c r="C531" s="9"/>
      <c r="D531" s="10">
        <v>45688</v>
      </c>
      <c r="E531" t="s">
        <v>496</v>
      </c>
      <c r="F531" s="11" t="s">
        <v>497</v>
      </c>
      <c r="G531" s="8">
        <v>0</v>
      </c>
      <c r="H531" s="8">
        <v>1168.74</v>
      </c>
      <c r="I531" s="8">
        <f t="shared" si="29"/>
        <v>-10564.42</v>
      </c>
      <c r="J531" s="12" t="s">
        <v>8204</v>
      </c>
      <c r="K531" s="40">
        <f>H531/2</f>
        <v>584.37</v>
      </c>
    </row>
    <row r="532" spans="1:11" hidden="1" x14ac:dyDescent="0.25">
      <c r="C532" s="9"/>
      <c r="D532" s="10">
        <v>45695</v>
      </c>
      <c r="E532" t="s">
        <v>498</v>
      </c>
      <c r="F532" s="11" t="s">
        <v>499</v>
      </c>
      <c r="G532" s="8">
        <v>0</v>
      </c>
      <c r="H532" s="39">
        <v>66.2</v>
      </c>
      <c r="I532" s="8">
        <f t="shared" si="29"/>
        <v>-10630.62</v>
      </c>
      <c r="J532" s="63">
        <v>45762</v>
      </c>
    </row>
    <row r="533" spans="1:11" hidden="1" x14ac:dyDescent="0.25">
      <c r="C533" s="9"/>
      <c r="D533" s="10">
        <v>45705</v>
      </c>
      <c r="E533" t="s">
        <v>500</v>
      </c>
      <c r="F533" s="11" t="s">
        <v>501</v>
      </c>
      <c r="G533" s="8">
        <v>0</v>
      </c>
      <c r="H533" s="8">
        <v>93.98</v>
      </c>
      <c r="I533" s="8">
        <f t="shared" si="29"/>
        <v>-10724.6</v>
      </c>
      <c r="J533" s="63">
        <v>45792</v>
      </c>
    </row>
    <row r="534" spans="1:11" hidden="1" x14ac:dyDescent="0.25">
      <c r="C534" s="9"/>
      <c r="D534" s="10">
        <v>45705</v>
      </c>
      <c r="E534" t="s">
        <v>502</v>
      </c>
      <c r="F534" s="11" t="s">
        <v>42</v>
      </c>
      <c r="G534" s="57">
        <v>1498.99</v>
      </c>
      <c r="H534" s="8">
        <v>0</v>
      </c>
      <c r="I534" s="8">
        <f t="shared" si="29"/>
        <v>-9225.61</v>
      </c>
      <c r="J534" s="12"/>
    </row>
    <row r="535" spans="1:11" hidden="1" x14ac:dyDescent="0.25">
      <c r="C535" s="9"/>
      <c r="D535" s="10">
        <v>45733</v>
      </c>
      <c r="E535" t="s">
        <v>503</v>
      </c>
      <c r="F535" s="11" t="s">
        <v>42</v>
      </c>
      <c r="G535" s="57">
        <v>7896.69</v>
      </c>
      <c r="H535" s="8">
        <v>0</v>
      </c>
      <c r="I535" s="8">
        <f t="shared" si="29"/>
        <v>-1328.920000000001</v>
      </c>
      <c r="J535" s="59">
        <f>G535+0.98</f>
        <v>7897.6699999999992</v>
      </c>
    </row>
    <row r="536" spans="1:11" hidden="1" x14ac:dyDescent="0.25">
      <c r="C536" s="9"/>
      <c r="D536" s="10">
        <v>45762</v>
      </c>
      <c r="E536" t="s">
        <v>504</v>
      </c>
      <c r="F536" s="11" t="s">
        <v>42</v>
      </c>
      <c r="G536" s="39">
        <v>650.57000000000005</v>
      </c>
      <c r="H536" s="8">
        <v>0</v>
      </c>
      <c r="I536" s="8">
        <f t="shared" si="29"/>
        <v>-678.35000000000093</v>
      </c>
      <c r="J536" s="12"/>
    </row>
    <row r="537" spans="1:11" hidden="1" x14ac:dyDescent="0.25">
      <c r="E537" s="4" t="s">
        <v>20</v>
      </c>
      <c r="G537" s="8">
        <f>SUM(G526:G536)</f>
        <v>10046.25</v>
      </c>
      <c r="H537" s="8">
        <f>SUM(H526:H536)</f>
        <v>10724.6</v>
      </c>
      <c r="I537" s="8">
        <f>G537-H537</f>
        <v>-678.35000000000036</v>
      </c>
    </row>
    <row r="538" spans="1:11" hidden="1" x14ac:dyDescent="0.25"/>
    <row r="539" spans="1:11" x14ac:dyDescent="0.25">
      <c r="A539" s="5">
        <v>4000210</v>
      </c>
      <c r="B539" s="6" t="s">
        <v>505</v>
      </c>
      <c r="C539" s="7"/>
      <c r="D539" s="7"/>
      <c r="E539" s="7"/>
      <c r="F539" s="7"/>
      <c r="G539" s="7"/>
      <c r="H539" s="7"/>
      <c r="I539" s="7"/>
      <c r="J539" s="7"/>
    </row>
    <row r="540" spans="1:11" hidden="1" x14ac:dyDescent="0.25">
      <c r="C540" s="9"/>
      <c r="D540" s="35">
        <v>45519</v>
      </c>
      <c r="E540" s="36" t="s">
        <v>8205</v>
      </c>
      <c r="F540" s="37" t="s">
        <v>8206</v>
      </c>
      <c r="G540" s="38">
        <v>0</v>
      </c>
      <c r="H540" s="38">
        <v>24.2</v>
      </c>
      <c r="I540" s="38">
        <v>-37.629999999999995</v>
      </c>
      <c r="J540" s="12"/>
    </row>
    <row r="541" spans="1:11" hidden="1" x14ac:dyDescent="0.25">
      <c r="C541" s="9"/>
      <c r="D541" s="35">
        <v>45625</v>
      </c>
      <c r="E541" s="36" t="s">
        <v>8207</v>
      </c>
      <c r="F541" s="37" t="s">
        <v>8208</v>
      </c>
      <c r="G541" s="38">
        <v>0</v>
      </c>
      <c r="H541" s="38">
        <v>30.25</v>
      </c>
      <c r="I541" s="38">
        <v>-90.749999999999986</v>
      </c>
      <c r="J541" s="12"/>
    </row>
    <row r="542" spans="1:11" x14ac:dyDescent="0.25">
      <c r="C542" s="9"/>
      <c r="D542" s="35">
        <v>45646</v>
      </c>
      <c r="E542" s="36" t="s">
        <v>8209</v>
      </c>
      <c r="F542" s="37" t="s">
        <v>8210</v>
      </c>
      <c r="G542" s="38">
        <v>0</v>
      </c>
      <c r="H542" s="38">
        <v>23.96</v>
      </c>
      <c r="I542" s="38">
        <v>-78.41</v>
      </c>
      <c r="J542" s="32" t="s">
        <v>8147</v>
      </c>
    </row>
    <row r="543" spans="1:11" hidden="1" x14ac:dyDescent="0.25">
      <c r="E543" s="4" t="s">
        <v>10</v>
      </c>
      <c r="G543" s="8">
        <v>0</v>
      </c>
      <c r="H543" s="8">
        <v>78.41</v>
      </c>
      <c r="I543" s="8">
        <f>G543-H543</f>
        <v>-78.41</v>
      </c>
    </row>
    <row r="544" spans="1:11" hidden="1" x14ac:dyDescent="0.25">
      <c r="C544" s="9"/>
      <c r="D544" s="10">
        <v>45672</v>
      </c>
      <c r="E544" t="s">
        <v>506</v>
      </c>
      <c r="F544" s="11" t="s">
        <v>42</v>
      </c>
      <c r="G544" s="8">
        <v>30.25</v>
      </c>
      <c r="H544" s="8">
        <v>0</v>
      </c>
      <c r="I544" s="8">
        <f>G544-H544+I543</f>
        <v>-48.16</v>
      </c>
      <c r="J544" s="12"/>
    </row>
    <row r="545" spans="1:10" hidden="1" x14ac:dyDescent="0.25">
      <c r="C545" s="9"/>
      <c r="D545" s="10">
        <v>45703</v>
      </c>
      <c r="E545" t="s">
        <v>507</v>
      </c>
      <c r="F545" s="11" t="s">
        <v>508</v>
      </c>
      <c r="G545" s="8">
        <v>0</v>
      </c>
      <c r="H545" s="39">
        <v>240.48</v>
      </c>
      <c r="I545" s="8">
        <f>G545-H545+I544</f>
        <v>-288.64</v>
      </c>
      <c r="J545" s="12"/>
    </row>
    <row r="546" spans="1:10" hidden="1" x14ac:dyDescent="0.25">
      <c r="C546" s="9"/>
      <c r="D546" s="10">
        <v>45705</v>
      </c>
      <c r="E546" t="s">
        <v>509</v>
      </c>
      <c r="F546" s="11" t="s">
        <v>42</v>
      </c>
      <c r="G546" s="8">
        <v>24.2</v>
      </c>
      <c r="H546" s="8">
        <v>0</v>
      </c>
      <c r="I546" s="8">
        <f>G546-H546+I545</f>
        <v>-264.44</v>
      </c>
      <c r="J546" s="12"/>
    </row>
    <row r="547" spans="1:10" hidden="1" x14ac:dyDescent="0.25">
      <c r="C547" s="9"/>
      <c r="D547" s="10">
        <v>45733</v>
      </c>
      <c r="E547" t="s">
        <v>11</v>
      </c>
      <c r="F547" s="11" t="s">
        <v>508</v>
      </c>
      <c r="G547" s="39">
        <v>240.48</v>
      </c>
      <c r="H547" s="8">
        <v>0</v>
      </c>
      <c r="I547" s="8">
        <f>G547-H547+I546</f>
        <v>-23.960000000000008</v>
      </c>
      <c r="J547" s="12"/>
    </row>
    <row r="548" spans="1:10" hidden="1" x14ac:dyDescent="0.25">
      <c r="E548" s="4" t="s">
        <v>20</v>
      </c>
      <c r="G548" s="8">
        <f>SUM(G543:G547)</f>
        <v>294.93</v>
      </c>
      <c r="H548" s="8">
        <f>SUM(H543:H547)</f>
        <v>318.89</v>
      </c>
      <c r="I548" s="8">
        <f>G548-H548</f>
        <v>-23.95999999999998</v>
      </c>
    </row>
    <row r="550" spans="1:10" hidden="1" x14ac:dyDescent="0.25">
      <c r="A550" s="5">
        <v>4000214</v>
      </c>
      <c r="B550" s="6" t="s">
        <v>510</v>
      </c>
      <c r="C550" s="7"/>
      <c r="D550" s="7"/>
      <c r="E550" s="7"/>
      <c r="F550" s="7"/>
      <c r="G550" s="7"/>
      <c r="H550" s="7"/>
      <c r="I550" s="7"/>
      <c r="J550" s="7"/>
    </row>
    <row r="551" spans="1:10" hidden="1" x14ac:dyDescent="0.25">
      <c r="E551" s="4" t="s">
        <v>10</v>
      </c>
      <c r="G551" s="8">
        <v>0</v>
      </c>
      <c r="H551" s="39">
        <v>677.78</v>
      </c>
      <c r="I551" s="8">
        <f>G551-H551</f>
        <v>-677.78</v>
      </c>
    </row>
    <row r="552" spans="1:10" hidden="1" x14ac:dyDescent="0.25">
      <c r="C552" s="9"/>
      <c r="D552" s="10">
        <v>45712</v>
      </c>
      <c r="E552" t="s">
        <v>511</v>
      </c>
      <c r="F552" s="11" t="s">
        <v>512</v>
      </c>
      <c r="G552" s="8">
        <v>0</v>
      </c>
      <c r="H552" s="8">
        <v>605.59</v>
      </c>
      <c r="I552" s="8">
        <f>G552-H552+I551</f>
        <v>-1283.3699999999999</v>
      </c>
      <c r="J552" s="12"/>
    </row>
    <row r="553" spans="1:10" hidden="1" x14ac:dyDescent="0.25">
      <c r="C553" s="9"/>
      <c r="D553" s="10">
        <v>45733</v>
      </c>
      <c r="E553" t="s">
        <v>11</v>
      </c>
      <c r="F553" s="11" t="s">
        <v>513</v>
      </c>
      <c r="G553" s="39">
        <v>677.78</v>
      </c>
      <c r="H553" s="8">
        <v>0</v>
      </c>
      <c r="I553" s="8">
        <f>G553-H553+I552</f>
        <v>-605.58999999999992</v>
      </c>
      <c r="J553" s="12"/>
    </row>
    <row r="554" spans="1:10" hidden="1" x14ac:dyDescent="0.25">
      <c r="C554" s="9"/>
      <c r="D554" s="10">
        <v>45743</v>
      </c>
      <c r="E554" t="s">
        <v>514</v>
      </c>
      <c r="F554" s="11" t="s">
        <v>515</v>
      </c>
      <c r="G554" s="8">
        <v>0</v>
      </c>
      <c r="H554" s="8">
        <v>564.22</v>
      </c>
      <c r="I554" s="8">
        <f>G554-H554+I553</f>
        <v>-1169.81</v>
      </c>
      <c r="J554" s="12"/>
    </row>
    <row r="555" spans="1:10" hidden="1" x14ac:dyDescent="0.25">
      <c r="E555" s="4" t="s">
        <v>20</v>
      </c>
      <c r="G555" s="8">
        <f>SUM(G551:G554)</f>
        <v>677.78</v>
      </c>
      <c r="H555" s="8">
        <f>SUM(H551:H554)</f>
        <v>1847.59</v>
      </c>
      <c r="I555" s="8">
        <f>G555-H555</f>
        <v>-1169.81</v>
      </c>
    </row>
    <row r="556" spans="1:10" hidden="1" x14ac:dyDescent="0.25"/>
    <row r="557" spans="1:10" x14ac:dyDescent="0.25">
      <c r="A557" s="5">
        <v>4000222</v>
      </c>
      <c r="B557" s="6" t="s">
        <v>516</v>
      </c>
      <c r="C557" s="7"/>
      <c r="D557" s="7"/>
      <c r="E557" s="7"/>
      <c r="F557" s="7"/>
      <c r="G557" s="7"/>
      <c r="H557" s="7"/>
      <c r="I557" s="7"/>
      <c r="J557" s="7"/>
    </row>
    <row r="558" spans="1:10" hidden="1" x14ac:dyDescent="0.25">
      <c r="C558" s="9"/>
      <c r="D558" s="35">
        <v>45595</v>
      </c>
      <c r="E558" s="36" t="s">
        <v>8211</v>
      </c>
      <c r="F558" s="37" t="s">
        <v>517</v>
      </c>
      <c r="G558" s="38">
        <v>0</v>
      </c>
      <c r="H558" s="39">
        <v>416.76</v>
      </c>
      <c r="I558" s="38">
        <v>-1468.82</v>
      </c>
      <c r="J558" s="12"/>
    </row>
    <row r="559" spans="1:10" hidden="1" x14ac:dyDescent="0.25">
      <c r="C559" s="9"/>
      <c r="D559" s="35">
        <v>45611</v>
      </c>
      <c r="E559" s="36" t="s">
        <v>8212</v>
      </c>
      <c r="F559" s="37" t="s">
        <v>518</v>
      </c>
      <c r="G559" s="38">
        <v>0</v>
      </c>
      <c r="H559" s="39">
        <v>100.13</v>
      </c>
      <c r="I559" s="38">
        <v>-1568.9499999999998</v>
      </c>
      <c r="J559" s="12"/>
    </row>
    <row r="560" spans="1:10" hidden="1" x14ac:dyDescent="0.25">
      <c r="C560" s="9"/>
      <c r="D560" s="35">
        <v>45626</v>
      </c>
      <c r="E560" s="36" t="s">
        <v>8213</v>
      </c>
      <c r="F560" s="37" t="s">
        <v>525</v>
      </c>
      <c r="G560" s="38">
        <v>0</v>
      </c>
      <c r="H560" s="39">
        <v>8.93</v>
      </c>
      <c r="I560" s="38">
        <v>-1107.6400000000001</v>
      </c>
      <c r="J560" s="12"/>
    </row>
    <row r="561" spans="1:10" hidden="1" x14ac:dyDescent="0.25">
      <c r="C561" s="9"/>
      <c r="D561" s="35">
        <v>45656</v>
      </c>
      <c r="E561" s="36" t="s">
        <v>8214</v>
      </c>
      <c r="F561" s="37" t="s">
        <v>530</v>
      </c>
      <c r="G561" s="38">
        <v>0</v>
      </c>
      <c r="H561" s="39">
        <v>234.96</v>
      </c>
      <c r="I561" s="38">
        <v>-760.77000000000021</v>
      </c>
      <c r="J561" s="12"/>
    </row>
    <row r="562" spans="1:10" x14ac:dyDescent="0.25">
      <c r="C562" s="9"/>
      <c r="D562" s="35">
        <v>45656</v>
      </c>
      <c r="E562" s="36" t="s">
        <v>8215</v>
      </c>
      <c r="F562" s="37" t="s">
        <v>8216</v>
      </c>
      <c r="G562" s="38">
        <v>0</v>
      </c>
      <c r="H562" s="38">
        <v>234.96</v>
      </c>
      <c r="I562" s="38">
        <v>-995.73000000000025</v>
      </c>
      <c r="J562" s="32" t="s">
        <v>8147</v>
      </c>
    </row>
    <row r="563" spans="1:10" hidden="1" x14ac:dyDescent="0.25">
      <c r="E563" s="4" t="s">
        <v>10</v>
      </c>
      <c r="G563" s="8">
        <v>0</v>
      </c>
      <c r="H563" s="8">
        <v>995.73</v>
      </c>
      <c r="I563" s="8">
        <f>G563-H563</f>
        <v>-995.73</v>
      </c>
    </row>
    <row r="564" spans="1:10" hidden="1" x14ac:dyDescent="0.25">
      <c r="C564" s="9"/>
      <c r="D564" s="10">
        <v>45672</v>
      </c>
      <c r="E564" t="s">
        <v>11</v>
      </c>
      <c r="F564" s="11" t="s">
        <v>517</v>
      </c>
      <c r="G564" s="39">
        <v>416.76</v>
      </c>
      <c r="H564" s="8">
        <v>0</v>
      </c>
      <c r="I564" s="8">
        <f t="shared" ref="I564:I573" si="30">G564-H564+I563</f>
        <v>-578.97</v>
      </c>
      <c r="J564" s="12"/>
    </row>
    <row r="565" spans="1:10" hidden="1" x14ac:dyDescent="0.25">
      <c r="C565" s="9"/>
      <c r="D565" s="10">
        <v>45672</v>
      </c>
      <c r="E565" t="s">
        <v>11</v>
      </c>
      <c r="F565" s="11" t="s">
        <v>518</v>
      </c>
      <c r="G565" s="39">
        <v>100.13</v>
      </c>
      <c r="H565" s="8">
        <v>0</v>
      </c>
      <c r="I565" s="8">
        <f t="shared" si="30"/>
        <v>-478.84000000000003</v>
      </c>
      <c r="J565" s="12"/>
    </row>
    <row r="566" spans="1:10" hidden="1" x14ac:dyDescent="0.25">
      <c r="C566" s="9"/>
      <c r="D566" s="10">
        <v>45676</v>
      </c>
      <c r="E566" t="s">
        <v>519</v>
      </c>
      <c r="F566" s="11" t="s">
        <v>520</v>
      </c>
      <c r="G566" s="8">
        <v>0</v>
      </c>
      <c r="H566" s="8">
        <v>134.01</v>
      </c>
      <c r="I566" s="8">
        <f t="shared" si="30"/>
        <v>-612.85</v>
      </c>
      <c r="J566" s="12"/>
    </row>
    <row r="567" spans="1:10" hidden="1" x14ac:dyDescent="0.25">
      <c r="C567" s="9"/>
      <c r="D567" s="10">
        <v>45688</v>
      </c>
      <c r="E567" t="s">
        <v>521</v>
      </c>
      <c r="F567" s="11" t="s">
        <v>522</v>
      </c>
      <c r="G567" s="8">
        <v>0</v>
      </c>
      <c r="H567" s="8">
        <v>25.63</v>
      </c>
      <c r="I567" s="8">
        <f t="shared" si="30"/>
        <v>-638.48</v>
      </c>
      <c r="J567" s="12"/>
    </row>
    <row r="568" spans="1:10" hidden="1" x14ac:dyDescent="0.25">
      <c r="C568" s="9"/>
      <c r="D568" s="10">
        <v>45705</v>
      </c>
      <c r="E568" t="s">
        <v>523</v>
      </c>
      <c r="F568" s="11" t="s">
        <v>524</v>
      </c>
      <c r="G568" s="8">
        <v>0</v>
      </c>
      <c r="H568" s="8">
        <v>166.3</v>
      </c>
      <c r="I568" s="8">
        <f t="shared" si="30"/>
        <v>-804.78</v>
      </c>
      <c r="J568" s="12"/>
    </row>
    <row r="569" spans="1:10" hidden="1" x14ac:dyDescent="0.25">
      <c r="C569" s="9"/>
      <c r="D569" s="10">
        <v>45705</v>
      </c>
      <c r="E569" t="s">
        <v>11</v>
      </c>
      <c r="F569" s="11" t="s">
        <v>525</v>
      </c>
      <c r="G569" s="39">
        <v>8.93</v>
      </c>
      <c r="H569" s="8">
        <v>0</v>
      </c>
      <c r="I569" s="8">
        <f t="shared" si="30"/>
        <v>-795.85</v>
      </c>
      <c r="J569" s="12"/>
    </row>
    <row r="570" spans="1:10" hidden="1" x14ac:dyDescent="0.25">
      <c r="C570" s="9"/>
      <c r="D570" s="10">
        <v>45716</v>
      </c>
      <c r="E570" t="s">
        <v>526</v>
      </c>
      <c r="F570" s="11" t="s">
        <v>527</v>
      </c>
      <c r="G570" s="8">
        <v>0</v>
      </c>
      <c r="H570" s="8">
        <v>362.44</v>
      </c>
      <c r="I570" s="8">
        <f t="shared" si="30"/>
        <v>-1158.29</v>
      </c>
      <c r="J570" s="12"/>
    </row>
    <row r="571" spans="1:10" hidden="1" x14ac:dyDescent="0.25">
      <c r="C571" s="9"/>
      <c r="D571" s="10">
        <v>45730</v>
      </c>
      <c r="E571" t="s">
        <v>528</v>
      </c>
      <c r="F571" s="11" t="s">
        <v>529</v>
      </c>
      <c r="G571" s="8">
        <v>0</v>
      </c>
      <c r="H571" s="8">
        <v>589.86</v>
      </c>
      <c r="I571" s="8">
        <f t="shared" si="30"/>
        <v>-1748.15</v>
      </c>
      <c r="J571" s="12"/>
    </row>
    <row r="572" spans="1:10" hidden="1" x14ac:dyDescent="0.25">
      <c r="C572" s="9"/>
      <c r="D572" s="10">
        <v>45733</v>
      </c>
      <c r="E572" t="s">
        <v>11</v>
      </c>
      <c r="F572" s="11" t="s">
        <v>530</v>
      </c>
      <c r="G572" s="39">
        <v>234.96</v>
      </c>
      <c r="H572" s="8">
        <v>0</v>
      </c>
      <c r="I572" s="8">
        <f t="shared" si="30"/>
        <v>-1513.19</v>
      </c>
      <c r="J572" s="12"/>
    </row>
    <row r="573" spans="1:10" hidden="1" x14ac:dyDescent="0.25">
      <c r="C573" s="9"/>
      <c r="D573" s="10">
        <v>45747</v>
      </c>
      <c r="E573" t="s">
        <v>531</v>
      </c>
      <c r="F573" s="11" t="s">
        <v>532</v>
      </c>
      <c r="G573" s="8">
        <v>0</v>
      </c>
      <c r="H573" s="8">
        <v>308.56</v>
      </c>
      <c r="I573" s="8">
        <f t="shared" si="30"/>
        <v>-1821.75</v>
      </c>
      <c r="J573" s="12"/>
    </row>
    <row r="574" spans="1:10" hidden="1" x14ac:dyDescent="0.25">
      <c r="E574" s="4" t="s">
        <v>20</v>
      </c>
      <c r="G574" s="8">
        <f>SUM(G563:G573)</f>
        <v>760.78</v>
      </c>
      <c r="H574" s="8">
        <f>SUM(H563:H573)</f>
        <v>2582.5300000000002</v>
      </c>
      <c r="I574" s="8">
        <f>G574-H574</f>
        <v>-1821.7500000000002</v>
      </c>
    </row>
    <row r="576" spans="1:10" hidden="1" x14ac:dyDescent="0.25">
      <c r="A576" s="5">
        <v>4000226</v>
      </c>
      <c r="B576" s="6" t="s">
        <v>533</v>
      </c>
      <c r="C576" s="7"/>
      <c r="D576" s="7"/>
      <c r="E576" s="7"/>
      <c r="F576" s="7"/>
      <c r="G576" s="7"/>
      <c r="H576" s="7"/>
      <c r="I576" s="7"/>
      <c r="J576" s="7"/>
    </row>
    <row r="577" spans="1:10" hidden="1" x14ac:dyDescent="0.25">
      <c r="E577" s="4" t="s">
        <v>10</v>
      </c>
      <c r="G577" s="8">
        <v>0</v>
      </c>
      <c r="H577" s="39">
        <v>121.39</v>
      </c>
      <c r="I577" s="8">
        <f>G577-H577</f>
        <v>-121.39</v>
      </c>
    </row>
    <row r="578" spans="1:10" hidden="1" x14ac:dyDescent="0.25">
      <c r="C578" s="9"/>
      <c r="D578" s="10">
        <v>45667</v>
      </c>
      <c r="E578" t="s">
        <v>534</v>
      </c>
      <c r="F578" s="11" t="s">
        <v>535</v>
      </c>
      <c r="G578" s="8">
        <v>0</v>
      </c>
      <c r="H578" s="39">
        <v>114.72</v>
      </c>
      <c r="I578" s="8">
        <f t="shared" ref="I578:I584" si="31">G578-H578+I577</f>
        <v>-236.11</v>
      </c>
      <c r="J578" s="12"/>
    </row>
    <row r="579" spans="1:10" hidden="1" x14ac:dyDescent="0.25">
      <c r="C579" s="9"/>
      <c r="D579" s="10">
        <v>45672</v>
      </c>
      <c r="E579" t="s">
        <v>11</v>
      </c>
      <c r="F579" s="11" t="s">
        <v>536</v>
      </c>
      <c r="G579" s="39">
        <v>121.39</v>
      </c>
      <c r="H579" s="8">
        <v>0</v>
      </c>
      <c r="I579" s="8">
        <f t="shared" si="31"/>
        <v>-114.72000000000001</v>
      </c>
      <c r="J579" s="12"/>
    </row>
    <row r="580" spans="1:10" hidden="1" x14ac:dyDescent="0.25">
      <c r="C580" s="9"/>
      <c r="D580" s="10">
        <v>45693</v>
      </c>
      <c r="E580" t="s">
        <v>537</v>
      </c>
      <c r="F580" s="11" t="s">
        <v>538</v>
      </c>
      <c r="G580" s="8">
        <v>0</v>
      </c>
      <c r="H580" s="8">
        <v>159.88</v>
      </c>
      <c r="I580" s="8">
        <f t="shared" si="31"/>
        <v>-274.60000000000002</v>
      </c>
      <c r="J580" s="12"/>
    </row>
    <row r="581" spans="1:10" hidden="1" x14ac:dyDescent="0.25">
      <c r="C581" s="9"/>
      <c r="D581" s="10">
        <v>45707</v>
      </c>
      <c r="E581" t="s">
        <v>539</v>
      </c>
      <c r="F581" s="11" t="s">
        <v>540</v>
      </c>
      <c r="G581" s="8">
        <v>0</v>
      </c>
      <c r="H581" s="8">
        <v>180.12</v>
      </c>
      <c r="I581" s="8">
        <f t="shared" si="31"/>
        <v>-454.72</v>
      </c>
      <c r="J581" s="12"/>
    </row>
    <row r="582" spans="1:10" hidden="1" x14ac:dyDescent="0.25">
      <c r="C582" s="9"/>
      <c r="D582" s="10">
        <v>45722</v>
      </c>
      <c r="E582" t="s">
        <v>541</v>
      </c>
      <c r="F582" s="11" t="s">
        <v>542</v>
      </c>
      <c r="G582" s="8">
        <v>0</v>
      </c>
      <c r="H582" s="8">
        <v>375.64</v>
      </c>
      <c r="I582" s="8">
        <f t="shared" si="31"/>
        <v>-830.36</v>
      </c>
      <c r="J582" s="12"/>
    </row>
    <row r="583" spans="1:10" hidden="1" x14ac:dyDescent="0.25">
      <c r="C583" s="9"/>
      <c r="D583" s="10">
        <v>45733</v>
      </c>
      <c r="E583" t="s">
        <v>11</v>
      </c>
      <c r="F583" s="11" t="s">
        <v>535</v>
      </c>
      <c r="G583" s="39">
        <v>114.72</v>
      </c>
      <c r="H583" s="8">
        <v>0</v>
      </c>
      <c r="I583" s="8">
        <f t="shared" si="31"/>
        <v>-715.64</v>
      </c>
      <c r="J583" s="12"/>
    </row>
    <row r="584" spans="1:10" hidden="1" x14ac:dyDescent="0.25">
      <c r="C584" s="9"/>
      <c r="D584" s="10">
        <v>45744</v>
      </c>
      <c r="E584" t="s">
        <v>543</v>
      </c>
      <c r="F584" s="11" t="s">
        <v>544</v>
      </c>
      <c r="G584" s="8">
        <v>0</v>
      </c>
      <c r="H584" s="8">
        <v>465.57</v>
      </c>
      <c r="I584" s="8">
        <f t="shared" si="31"/>
        <v>-1181.21</v>
      </c>
      <c r="J584" s="12"/>
    </row>
    <row r="585" spans="1:10" hidden="1" x14ac:dyDescent="0.25">
      <c r="E585" s="4" t="s">
        <v>20</v>
      </c>
      <c r="G585" s="8">
        <f>SUM(G577:G584)</f>
        <v>236.11</v>
      </c>
      <c r="H585" s="8">
        <f>SUM(H577:H584)</f>
        <v>1417.32</v>
      </c>
      <c r="I585" s="8">
        <f>G585-H585</f>
        <v>-1181.21</v>
      </c>
    </row>
    <row r="586" spans="1:10" hidden="1" x14ac:dyDescent="0.25"/>
    <row r="587" spans="1:10" hidden="1" x14ac:dyDescent="0.25">
      <c r="A587" s="5">
        <v>4000229</v>
      </c>
      <c r="B587" s="6" t="s">
        <v>545</v>
      </c>
      <c r="C587" s="7"/>
      <c r="D587" s="7"/>
      <c r="E587" s="7"/>
      <c r="F587" s="7"/>
      <c r="G587" s="7"/>
      <c r="H587" s="7"/>
      <c r="I587" s="7"/>
      <c r="J587" s="7"/>
    </row>
    <row r="588" spans="1:10" hidden="1" x14ac:dyDescent="0.25">
      <c r="C588" s="9"/>
      <c r="D588" s="10">
        <v>45743</v>
      </c>
      <c r="E588" t="s">
        <v>546</v>
      </c>
      <c r="F588" s="11" t="s">
        <v>547</v>
      </c>
      <c r="G588" s="8">
        <v>0</v>
      </c>
      <c r="H588" s="8">
        <v>295.24</v>
      </c>
      <c r="I588" s="8">
        <f>G588-H588</f>
        <v>-295.24</v>
      </c>
      <c r="J588" s="63">
        <v>45823</v>
      </c>
    </row>
    <row r="589" spans="1:10" hidden="1" x14ac:dyDescent="0.25">
      <c r="E589" s="4" t="s">
        <v>20</v>
      </c>
      <c r="G589" s="8">
        <f>G588</f>
        <v>0</v>
      </c>
      <c r="H589" s="8">
        <f>H588</f>
        <v>295.24</v>
      </c>
      <c r="I589" s="8">
        <f>G589-H589</f>
        <v>-295.24</v>
      </c>
    </row>
    <row r="590" spans="1:10" hidden="1" x14ac:dyDescent="0.25"/>
    <row r="591" spans="1:10" hidden="1" x14ac:dyDescent="0.25">
      <c r="A591" s="5">
        <v>4000230</v>
      </c>
      <c r="B591" s="6" t="s">
        <v>548</v>
      </c>
      <c r="C591" s="7"/>
      <c r="D591" s="7"/>
      <c r="E591" s="7"/>
      <c r="F591" s="7"/>
      <c r="G591" s="7"/>
      <c r="H591" s="7"/>
      <c r="I591" s="7"/>
      <c r="J591" s="7"/>
    </row>
    <row r="592" spans="1:10" hidden="1" x14ac:dyDescent="0.25">
      <c r="C592" s="9"/>
      <c r="D592" s="35">
        <v>45589</v>
      </c>
      <c r="E592" s="36" t="s">
        <v>8217</v>
      </c>
      <c r="F592" s="37" t="s">
        <v>552</v>
      </c>
      <c r="G592" s="38">
        <v>0</v>
      </c>
      <c r="H592" s="39">
        <v>519.45000000000005</v>
      </c>
      <c r="I592" s="38">
        <v>-2589.09</v>
      </c>
      <c r="J592" s="12"/>
    </row>
    <row r="593" spans="3:11" hidden="1" x14ac:dyDescent="0.25">
      <c r="C593" s="9"/>
      <c r="D593" s="35">
        <v>45609</v>
      </c>
      <c r="E593" s="36" t="s">
        <v>8218</v>
      </c>
      <c r="F593" s="37" t="s">
        <v>551</v>
      </c>
      <c r="G593" s="38">
        <v>0</v>
      </c>
      <c r="H593" s="39">
        <v>1375.5</v>
      </c>
      <c r="I593" s="38">
        <v>-3964.59</v>
      </c>
      <c r="J593" s="12"/>
    </row>
    <row r="594" spans="3:11" hidden="1" x14ac:dyDescent="0.25">
      <c r="C594" s="9"/>
      <c r="D594" s="35">
        <v>45615</v>
      </c>
      <c r="E594" s="36" t="s">
        <v>8219</v>
      </c>
      <c r="F594" s="37" t="s">
        <v>557</v>
      </c>
      <c r="G594" s="38">
        <v>0</v>
      </c>
      <c r="H594" s="39">
        <v>818.08</v>
      </c>
      <c r="I594" s="38">
        <v>-3069.44</v>
      </c>
      <c r="J594" s="12"/>
    </row>
    <row r="595" spans="3:11" hidden="1" x14ac:dyDescent="0.25">
      <c r="C595" s="9"/>
      <c r="D595" s="35">
        <v>45638</v>
      </c>
      <c r="E595" s="36" t="s">
        <v>8220</v>
      </c>
      <c r="F595" s="37" t="s">
        <v>556</v>
      </c>
      <c r="G595" s="38">
        <v>0</v>
      </c>
      <c r="H595" s="39">
        <v>169.8</v>
      </c>
      <c r="I595" s="38">
        <v>-3239.2400000000002</v>
      </c>
      <c r="J595" s="12"/>
    </row>
    <row r="596" spans="3:11" hidden="1" x14ac:dyDescent="0.25">
      <c r="E596" s="4" t="s">
        <v>10</v>
      </c>
      <c r="G596" s="8">
        <v>0</v>
      </c>
      <c r="H596" s="8">
        <v>2882.83</v>
      </c>
      <c r="I596" s="8">
        <f>G596-H596</f>
        <v>-2882.83</v>
      </c>
    </row>
    <row r="597" spans="3:11" hidden="1" x14ac:dyDescent="0.25">
      <c r="C597" s="9"/>
      <c r="D597" s="10">
        <v>45664</v>
      </c>
      <c r="E597" t="s">
        <v>549</v>
      </c>
      <c r="F597" s="11" t="s">
        <v>550</v>
      </c>
      <c r="G597" s="8">
        <v>0</v>
      </c>
      <c r="H597" s="39">
        <v>652.01</v>
      </c>
      <c r="I597" s="8">
        <f t="shared" ref="I597:I610" si="32">G597-H597+I596</f>
        <v>-3534.84</v>
      </c>
      <c r="J597" s="12"/>
    </row>
    <row r="598" spans="3:11" hidden="1" x14ac:dyDescent="0.25">
      <c r="C598" s="9"/>
      <c r="D598" s="10">
        <v>45672</v>
      </c>
      <c r="E598" t="s">
        <v>11</v>
      </c>
      <c r="F598" s="11" t="s">
        <v>551</v>
      </c>
      <c r="G598" s="39">
        <v>1375.5</v>
      </c>
      <c r="H598" s="8">
        <v>0</v>
      </c>
      <c r="I598" s="8">
        <f t="shared" si="32"/>
        <v>-2159.34</v>
      </c>
      <c r="J598" s="12"/>
    </row>
    <row r="599" spans="3:11" hidden="1" x14ac:dyDescent="0.25">
      <c r="C599" s="9"/>
      <c r="D599" s="10">
        <v>45672</v>
      </c>
      <c r="E599" t="s">
        <v>11</v>
      </c>
      <c r="F599" s="11" t="s">
        <v>552</v>
      </c>
      <c r="G599" s="39">
        <v>519.45000000000005</v>
      </c>
      <c r="H599" s="8">
        <v>0</v>
      </c>
      <c r="I599" s="8">
        <f t="shared" si="32"/>
        <v>-1639.89</v>
      </c>
      <c r="J599" s="12"/>
    </row>
    <row r="600" spans="3:11" hidden="1" x14ac:dyDescent="0.25">
      <c r="C600" s="9"/>
      <c r="D600" s="10">
        <v>45672</v>
      </c>
      <c r="E600" t="s">
        <v>11</v>
      </c>
      <c r="F600" s="11" t="s">
        <v>552</v>
      </c>
      <c r="G600" s="8">
        <v>0</v>
      </c>
      <c r="H600" s="25">
        <v>519.45000000000005</v>
      </c>
      <c r="I600" s="8">
        <f t="shared" si="32"/>
        <v>-2159.34</v>
      </c>
      <c r="J600" s="26"/>
      <c r="K600" s="64">
        <f>G602-H600-H601</f>
        <v>0</v>
      </c>
    </row>
    <row r="601" spans="3:11" hidden="1" x14ac:dyDescent="0.25">
      <c r="C601" s="9"/>
      <c r="D601" s="10">
        <v>45672</v>
      </c>
      <c r="E601" t="s">
        <v>11</v>
      </c>
      <c r="F601" s="11" t="s">
        <v>551</v>
      </c>
      <c r="G601" s="8">
        <v>0</v>
      </c>
      <c r="H601" s="25">
        <v>1375.5</v>
      </c>
      <c r="I601" s="8">
        <f t="shared" si="32"/>
        <v>-3534.84</v>
      </c>
      <c r="J601" s="12"/>
    </row>
    <row r="602" spans="3:11" hidden="1" x14ac:dyDescent="0.25">
      <c r="C602" s="9"/>
      <c r="D602" s="10">
        <v>45691</v>
      </c>
      <c r="E602" t="s">
        <v>553</v>
      </c>
      <c r="F602" s="11" t="s">
        <v>550</v>
      </c>
      <c r="G602" s="25">
        <v>1894.95</v>
      </c>
      <c r="H602" s="8">
        <v>0</v>
      </c>
      <c r="I602" s="8">
        <f t="shared" si="32"/>
        <v>-1639.89</v>
      </c>
      <c r="J602" s="12"/>
    </row>
    <row r="603" spans="3:11" hidden="1" x14ac:dyDescent="0.25">
      <c r="C603" s="9"/>
      <c r="D603" s="10">
        <v>45694</v>
      </c>
      <c r="E603" t="s">
        <v>554</v>
      </c>
      <c r="F603" s="11" t="s">
        <v>555</v>
      </c>
      <c r="G603" s="8">
        <v>0</v>
      </c>
      <c r="H603" s="39">
        <v>412.73</v>
      </c>
      <c r="I603" s="8">
        <f t="shared" si="32"/>
        <v>-2052.62</v>
      </c>
      <c r="J603" s="12"/>
    </row>
    <row r="604" spans="3:11" hidden="1" x14ac:dyDescent="0.25">
      <c r="C604" s="9"/>
      <c r="D604" s="10">
        <v>45705</v>
      </c>
      <c r="E604" t="s">
        <v>11</v>
      </c>
      <c r="F604" s="11" t="s">
        <v>556</v>
      </c>
      <c r="G604" s="39">
        <v>169.8</v>
      </c>
      <c r="H604" s="8">
        <v>0</v>
      </c>
      <c r="I604" s="8">
        <f t="shared" si="32"/>
        <v>-1882.82</v>
      </c>
      <c r="J604" s="12"/>
    </row>
    <row r="605" spans="3:11" hidden="1" x14ac:dyDescent="0.25">
      <c r="C605" s="9"/>
      <c r="D605" s="10">
        <v>45705</v>
      </c>
      <c r="E605" t="s">
        <v>11</v>
      </c>
      <c r="F605" s="11" t="s">
        <v>557</v>
      </c>
      <c r="G605" s="39">
        <v>818.08</v>
      </c>
      <c r="H605" s="8">
        <v>0</v>
      </c>
      <c r="I605" s="8">
        <f t="shared" si="32"/>
        <v>-1064.7399999999998</v>
      </c>
      <c r="J605" s="12"/>
    </row>
    <row r="606" spans="3:11" hidden="1" x14ac:dyDescent="0.25">
      <c r="C606" s="9"/>
      <c r="D606" s="10">
        <v>45714</v>
      </c>
      <c r="E606" t="s">
        <v>558</v>
      </c>
      <c r="F606" s="11" t="s">
        <v>559</v>
      </c>
      <c r="G606" s="8">
        <v>0</v>
      </c>
      <c r="H606" s="8">
        <v>734.94</v>
      </c>
      <c r="I606" s="8">
        <f t="shared" si="32"/>
        <v>-1799.6799999999998</v>
      </c>
      <c r="J606" s="12"/>
    </row>
    <row r="607" spans="3:11" hidden="1" x14ac:dyDescent="0.25">
      <c r="C607" s="9"/>
      <c r="D607" s="10">
        <v>45728</v>
      </c>
      <c r="E607" t="s">
        <v>560</v>
      </c>
      <c r="F607" s="11" t="s">
        <v>561</v>
      </c>
      <c r="G607" s="8">
        <v>0</v>
      </c>
      <c r="H607" s="8">
        <v>329.24</v>
      </c>
      <c r="I607" s="8">
        <f t="shared" si="32"/>
        <v>-2128.92</v>
      </c>
      <c r="J607" s="12"/>
    </row>
    <row r="608" spans="3:11" hidden="1" x14ac:dyDescent="0.25">
      <c r="C608" s="9"/>
      <c r="D608" s="10">
        <v>45733</v>
      </c>
      <c r="E608" t="s">
        <v>11</v>
      </c>
      <c r="F608" s="11" t="s">
        <v>550</v>
      </c>
      <c r="G608" s="39">
        <v>652.01</v>
      </c>
      <c r="H608" s="8">
        <v>0</v>
      </c>
      <c r="I608" s="8">
        <f t="shared" si="32"/>
        <v>-1476.91</v>
      </c>
      <c r="J608" s="12"/>
    </row>
    <row r="609" spans="1:10" hidden="1" x14ac:dyDescent="0.25">
      <c r="C609" s="9"/>
      <c r="D609" s="10">
        <v>45740</v>
      </c>
      <c r="E609" t="s">
        <v>562</v>
      </c>
      <c r="F609" s="11" t="s">
        <v>563</v>
      </c>
      <c r="G609" s="8">
        <v>0</v>
      </c>
      <c r="H609" s="8">
        <v>588.86</v>
      </c>
      <c r="I609" s="8">
        <f t="shared" si="32"/>
        <v>-2065.77</v>
      </c>
      <c r="J609" s="12"/>
    </row>
    <row r="610" spans="1:10" hidden="1" x14ac:dyDescent="0.25">
      <c r="C610" s="9"/>
      <c r="D610" s="10">
        <v>45762</v>
      </c>
      <c r="E610" t="s">
        <v>11</v>
      </c>
      <c r="F610" s="11" t="s">
        <v>555</v>
      </c>
      <c r="G610" s="39">
        <v>412.73</v>
      </c>
      <c r="H610" s="8">
        <v>0</v>
      </c>
      <c r="I610" s="8">
        <f t="shared" si="32"/>
        <v>-1653.04</v>
      </c>
      <c r="J610" s="12"/>
    </row>
    <row r="611" spans="1:10" hidden="1" x14ac:dyDescent="0.25">
      <c r="E611" s="4" t="s">
        <v>20</v>
      </c>
      <c r="G611" s="8">
        <f>SUM(G596:G610)</f>
        <v>5842.52</v>
      </c>
      <c r="H611" s="8">
        <f>SUM(H596:H610)</f>
        <v>7495.56</v>
      </c>
      <c r="I611" s="8">
        <f>G611-H611</f>
        <v>-1653.04</v>
      </c>
    </row>
    <row r="612" spans="1:10" hidden="1" x14ac:dyDescent="0.25"/>
    <row r="613" spans="1:10" hidden="1" x14ac:dyDescent="0.25">
      <c r="A613" s="5">
        <v>4000233</v>
      </c>
      <c r="B613" s="6" t="s">
        <v>564</v>
      </c>
      <c r="C613" s="7"/>
      <c r="D613" s="7"/>
      <c r="E613" s="7"/>
      <c r="F613" s="7"/>
      <c r="G613" s="7"/>
      <c r="H613" s="7"/>
      <c r="I613" s="7"/>
      <c r="J613" s="7"/>
    </row>
    <row r="614" spans="1:10" hidden="1" x14ac:dyDescent="0.25">
      <c r="C614" s="9"/>
      <c r="D614" s="10">
        <v>45715</v>
      </c>
      <c r="E614" t="s">
        <v>565</v>
      </c>
      <c r="F614" s="11" t="s">
        <v>566</v>
      </c>
      <c r="G614" s="8">
        <v>0</v>
      </c>
      <c r="H614" s="8">
        <v>930.19</v>
      </c>
      <c r="I614" s="8">
        <f>G614-H614</f>
        <v>-930.19</v>
      </c>
      <c r="J614" s="63">
        <v>45792</v>
      </c>
    </row>
    <row r="615" spans="1:10" hidden="1" x14ac:dyDescent="0.25">
      <c r="E615" s="4" t="s">
        <v>20</v>
      </c>
      <c r="G615" s="8">
        <f>G614</f>
        <v>0</v>
      </c>
      <c r="H615" s="8">
        <f>H614</f>
        <v>930.19</v>
      </c>
      <c r="I615" s="8">
        <f>G615-H615</f>
        <v>-930.19</v>
      </c>
    </row>
    <row r="616" spans="1:10" hidden="1" x14ac:dyDescent="0.25"/>
    <row r="617" spans="1:10" hidden="1" x14ac:dyDescent="0.25">
      <c r="A617" s="5">
        <v>4000234</v>
      </c>
      <c r="B617" s="6" t="s">
        <v>567</v>
      </c>
      <c r="C617" s="7"/>
      <c r="D617" s="7"/>
      <c r="E617" s="7"/>
      <c r="F617" s="7"/>
      <c r="G617" s="7"/>
      <c r="H617" s="7"/>
      <c r="I617" s="7"/>
      <c r="J617" s="7"/>
    </row>
    <row r="618" spans="1:10" hidden="1" x14ac:dyDescent="0.25">
      <c r="E618" s="4" t="s">
        <v>10</v>
      </c>
      <c r="G618" s="8">
        <v>0</v>
      </c>
      <c r="H618" s="39">
        <v>1737.38</v>
      </c>
      <c r="I618" s="8">
        <f>G618-H618</f>
        <v>-1737.38</v>
      </c>
    </row>
    <row r="619" spans="1:10" hidden="1" x14ac:dyDescent="0.25">
      <c r="C619" s="9"/>
      <c r="D619" s="10">
        <v>45672</v>
      </c>
      <c r="E619" t="s">
        <v>11</v>
      </c>
      <c r="F619" s="11" t="s">
        <v>568</v>
      </c>
      <c r="G619" s="39">
        <v>712.12</v>
      </c>
      <c r="H619" s="8">
        <v>0</v>
      </c>
      <c r="I619" s="8">
        <f t="shared" ref="I619:I624" si="33">G619-H619+I618</f>
        <v>-1025.2600000000002</v>
      </c>
      <c r="J619" s="12"/>
    </row>
    <row r="620" spans="1:10" hidden="1" x14ac:dyDescent="0.25">
      <c r="C620" s="9"/>
      <c r="D620" s="10">
        <v>45688</v>
      </c>
      <c r="E620" t="s">
        <v>569</v>
      </c>
      <c r="F620" s="11" t="s">
        <v>570</v>
      </c>
      <c r="G620" s="8">
        <v>0</v>
      </c>
      <c r="H620" s="8">
        <v>797.45</v>
      </c>
      <c r="I620" s="8">
        <f t="shared" si="33"/>
        <v>-1822.7100000000003</v>
      </c>
      <c r="J620" s="12"/>
    </row>
    <row r="621" spans="1:10" hidden="1" x14ac:dyDescent="0.25">
      <c r="C621" s="9"/>
      <c r="D621" s="10">
        <v>45709</v>
      </c>
      <c r="E621" t="s">
        <v>11</v>
      </c>
      <c r="F621" s="11" t="s">
        <v>571</v>
      </c>
      <c r="G621" s="39">
        <v>569.4</v>
      </c>
      <c r="H621" s="8">
        <v>0</v>
      </c>
      <c r="I621" s="8">
        <f t="shared" si="33"/>
        <v>-1253.3100000000004</v>
      </c>
      <c r="J621" s="12"/>
    </row>
    <row r="622" spans="1:10" hidden="1" x14ac:dyDescent="0.25">
      <c r="C622" s="9"/>
      <c r="D622" s="10">
        <v>45716</v>
      </c>
      <c r="E622" t="s">
        <v>572</v>
      </c>
      <c r="F622" s="11" t="s">
        <v>573</v>
      </c>
      <c r="G622" s="8">
        <v>0</v>
      </c>
      <c r="H622" s="8">
        <v>443.6</v>
      </c>
      <c r="I622" s="8">
        <f t="shared" si="33"/>
        <v>-1696.9100000000003</v>
      </c>
      <c r="J622" s="12"/>
    </row>
    <row r="623" spans="1:10" hidden="1" x14ac:dyDescent="0.25">
      <c r="C623" s="9"/>
      <c r="D623" s="10">
        <v>45733</v>
      </c>
      <c r="E623" t="s">
        <v>11</v>
      </c>
      <c r="F623" s="11" t="s">
        <v>574</v>
      </c>
      <c r="G623" s="39">
        <v>455.86</v>
      </c>
      <c r="H623" s="8">
        <v>0</v>
      </c>
      <c r="I623" s="8">
        <f t="shared" si="33"/>
        <v>-1241.0500000000002</v>
      </c>
      <c r="J623" s="12"/>
    </row>
    <row r="624" spans="1:10" hidden="1" x14ac:dyDescent="0.25">
      <c r="C624" s="9"/>
      <c r="D624" s="10">
        <v>45747</v>
      </c>
      <c r="E624" t="s">
        <v>575</v>
      </c>
      <c r="F624" s="11" t="s">
        <v>576</v>
      </c>
      <c r="G624" s="8">
        <v>0</v>
      </c>
      <c r="H624" s="8">
        <v>347.04</v>
      </c>
      <c r="I624" s="8">
        <f t="shared" si="33"/>
        <v>-1588.0900000000001</v>
      </c>
      <c r="J624" s="12"/>
    </row>
    <row r="625" spans="1:10" hidden="1" x14ac:dyDescent="0.25">
      <c r="E625" s="4" t="s">
        <v>20</v>
      </c>
      <c r="G625" s="8">
        <f>SUM(G618:G624)</f>
        <v>1737.38</v>
      </c>
      <c r="H625" s="8">
        <f>SUM(H618:H624)</f>
        <v>3325.47</v>
      </c>
      <c r="I625" s="8">
        <f>G625-H625</f>
        <v>-1588.0899999999997</v>
      </c>
    </row>
    <row r="626" spans="1:10" hidden="1" x14ac:dyDescent="0.25"/>
    <row r="627" spans="1:10" hidden="1" x14ac:dyDescent="0.25">
      <c r="A627" s="5">
        <v>4000243</v>
      </c>
      <c r="B627" s="6" t="s">
        <v>577</v>
      </c>
      <c r="C627" s="7"/>
      <c r="D627" s="7"/>
      <c r="E627" s="7"/>
      <c r="F627" s="7"/>
      <c r="G627" s="7"/>
      <c r="H627" s="7"/>
      <c r="I627" s="7"/>
      <c r="J627" s="7"/>
    </row>
    <row r="628" spans="1:10" hidden="1" x14ac:dyDescent="0.25">
      <c r="C628" s="9"/>
      <c r="D628" s="10">
        <v>45688</v>
      </c>
      <c r="E628" t="s">
        <v>578</v>
      </c>
      <c r="F628" s="11" t="s">
        <v>579</v>
      </c>
      <c r="G628" s="8">
        <v>0</v>
      </c>
      <c r="H628" s="39">
        <v>624.32000000000005</v>
      </c>
      <c r="I628" s="8">
        <f>G628-H628</f>
        <v>-624.32000000000005</v>
      </c>
      <c r="J628" s="12"/>
    </row>
    <row r="629" spans="1:10" hidden="1" x14ac:dyDescent="0.25">
      <c r="C629" s="9"/>
      <c r="D629" s="10">
        <v>45731</v>
      </c>
      <c r="E629" t="s">
        <v>580</v>
      </c>
      <c r="F629" s="11" t="s">
        <v>581</v>
      </c>
      <c r="G629" s="8">
        <v>0</v>
      </c>
      <c r="H629" s="8">
        <v>608.84</v>
      </c>
      <c r="I629" s="8">
        <f>G629-H629+I628</f>
        <v>-1233.1600000000001</v>
      </c>
      <c r="J629" s="12"/>
    </row>
    <row r="630" spans="1:10" hidden="1" x14ac:dyDescent="0.25">
      <c r="C630" s="9"/>
      <c r="D630" s="10">
        <v>45762</v>
      </c>
      <c r="E630" t="s">
        <v>11</v>
      </c>
      <c r="F630" s="11" t="s">
        <v>579</v>
      </c>
      <c r="G630" s="39">
        <v>624.32000000000005</v>
      </c>
      <c r="H630" s="8">
        <v>0</v>
      </c>
      <c r="I630" s="8">
        <f>G630-H630+I629</f>
        <v>-608.84</v>
      </c>
      <c r="J630" s="12"/>
    </row>
    <row r="631" spans="1:10" hidden="1" x14ac:dyDescent="0.25">
      <c r="E631" s="4" t="s">
        <v>20</v>
      </c>
      <c r="G631" s="8">
        <f>SUM(G628:G630)</f>
        <v>624.32000000000005</v>
      </c>
      <c r="H631" s="8">
        <f>SUM(H628:H630)</f>
        <v>1233.1600000000001</v>
      </c>
      <c r="I631" s="8">
        <f>G631-H631</f>
        <v>-608.84</v>
      </c>
    </row>
    <row r="632" spans="1:10" hidden="1" x14ac:dyDescent="0.25"/>
    <row r="633" spans="1:10" hidden="1" x14ac:dyDescent="0.25">
      <c r="A633" s="5">
        <v>4000249</v>
      </c>
      <c r="B633" s="6" t="s">
        <v>582</v>
      </c>
      <c r="C633" s="7"/>
      <c r="D633" s="7"/>
      <c r="E633" s="7"/>
      <c r="F633" s="7"/>
      <c r="G633" s="7"/>
      <c r="H633" s="7"/>
      <c r="I633" s="7"/>
      <c r="J633" s="7"/>
    </row>
    <row r="634" spans="1:10" hidden="1" x14ac:dyDescent="0.25">
      <c r="E634" s="4" t="s">
        <v>10</v>
      </c>
      <c r="G634" s="8">
        <v>0</v>
      </c>
      <c r="H634" s="39">
        <v>1944.04</v>
      </c>
      <c r="I634" s="8">
        <f>G634-H634</f>
        <v>-1944.04</v>
      </c>
    </row>
    <row r="635" spans="1:10" hidden="1" x14ac:dyDescent="0.25">
      <c r="C635" s="9"/>
      <c r="D635" s="10">
        <v>45672</v>
      </c>
      <c r="E635" t="s">
        <v>583</v>
      </c>
      <c r="F635" s="11" t="s">
        <v>584</v>
      </c>
      <c r="G635" s="8">
        <v>0</v>
      </c>
      <c r="H635" s="39">
        <v>62.44</v>
      </c>
      <c r="I635" s="8">
        <f t="shared" ref="I635:I647" si="34">G635-H635+I634</f>
        <v>-2006.48</v>
      </c>
      <c r="J635" s="12"/>
    </row>
    <row r="636" spans="1:10" hidden="1" x14ac:dyDescent="0.25">
      <c r="C636" s="9"/>
      <c r="D636" s="10">
        <v>45672</v>
      </c>
      <c r="E636" t="s">
        <v>11</v>
      </c>
      <c r="F636" s="11" t="s">
        <v>585</v>
      </c>
      <c r="G636" s="39">
        <v>469.49</v>
      </c>
      <c r="H636" s="39">
        <v>0</v>
      </c>
      <c r="I636" s="8">
        <f t="shared" si="34"/>
        <v>-1536.99</v>
      </c>
      <c r="J636" s="12"/>
    </row>
    <row r="637" spans="1:10" hidden="1" x14ac:dyDescent="0.25">
      <c r="C637" s="9"/>
      <c r="D637" s="10">
        <v>45688</v>
      </c>
      <c r="E637" t="s">
        <v>586</v>
      </c>
      <c r="F637" s="11" t="s">
        <v>587</v>
      </c>
      <c r="G637" s="8">
        <v>0</v>
      </c>
      <c r="H637" s="39">
        <v>92.48</v>
      </c>
      <c r="I637" s="8">
        <f t="shared" si="34"/>
        <v>-1629.47</v>
      </c>
      <c r="J637" s="12"/>
    </row>
    <row r="638" spans="1:10" hidden="1" x14ac:dyDescent="0.25">
      <c r="C638" s="9"/>
      <c r="D638" s="10">
        <v>45703</v>
      </c>
      <c r="E638" t="s">
        <v>588</v>
      </c>
      <c r="F638" s="11" t="s">
        <v>589</v>
      </c>
      <c r="G638" s="8">
        <v>0</v>
      </c>
      <c r="H638" s="39">
        <v>62.44</v>
      </c>
      <c r="I638" s="8">
        <f t="shared" si="34"/>
        <v>-1691.91</v>
      </c>
      <c r="J638" s="12"/>
    </row>
    <row r="639" spans="1:10" hidden="1" x14ac:dyDescent="0.25">
      <c r="C639" s="9"/>
      <c r="D639" s="10">
        <v>45705</v>
      </c>
      <c r="E639" t="s">
        <v>11</v>
      </c>
      <c r="F639" s="11" t="s">
        <v>590</v>
      </c>
      <c r="G639" s="39">
        <v>687.7</v>
      </c>
      <c r="H639" s="8">
        <v>0</v>
      </c>
      <c r="I639" s="8">
        <f t="shared" si="34"/>
        <v>-1004.21</v>
      </c>
      <c r="J639" s="12"/>
    </row>
    <row r="640" spans="1:10" hidden="1" x14ac:dyDescent="0.25">
      <c r="C640" s="9"/>
      <c r="D640" s="10">
        <v>45705</v>
      </c>
      <c r="E640" t="s">
        <v>11</v>
      </c>
      <c r="F640" s="11" t="s">
        <v>591</v>
      </c>
      <c r="G640" s="39">
        <v>6.1</v>
      </c>
      <c r="H640" s="8">
        <v>0</v>
      </c>
      <c r="I640" s="8">
        <f t="shared" si="34"/>
        <v>-998.11</v>
      </c>
      <c r="J640" s="12"/>
    </row>
    <row r="641" spans="1:10" hidden="1" x14ac:dyDescent="0.25">
      <c r="C641" s="9"/>
      <c r="D641" s="10">
        <v>45716</v>
      </c>
      <c r="E641" t="s">
        <v>592</v>
      </c>
      <c r="F641" s="11" t="s">
        <v>593</v>
      </c>
      <c r="G641" s="8">
        <v>0</v>
      </c>
      <c r="H641" s="8">
        <v>172.34</v>
      </c>
      <c r="I641" s="8">
        <f t="shared" si="34"/>
        <v>-1170.45</v>
      </c>
      <c r="J641" s="12"/>
    </row>
    <row r="642" spans="1:10" hidden="1" x14ac:dyDescent="0.25">
      <c r="C642" s="9"/>
      <c r="D642" s="10">
        <v>45731</v>
      </c>
      <c r="E642" t="s">
        <v>594</v>
      </c>
      <c r="F642" s="11" t="s">
        <v>595</v>
      </c>
      <c r="G642" s="8">
        <v>0</v>
      </c>
      <c r="H642" s="8">
        <v>761.91</v>
      </c>
      <c r="I642" s="8">
        <f t="shared" si="34"/>
        <v>-1932.3600000000001</v>
      </c>
      <c r="J642" s="12"/>
    </row>
    <row r="643" spans="1:10" hidden="1" x14ac:dyDescent="0.25">
      <c r="C643" s="9"/>
      <c r="D643" s="10">
        <v>45733</v>
      </c>
      <c r="E643" t="s">
        <v>11</v>
      </c>
      <c r="F643" s="11" t="s">
        <v>596</v>
      </c>
      <c r="G643" s="39">
        <v>780.75</v>
      </c>
      <c r="H643" s="8">
        <v>0</v>
      </c>
      <c r="I643" s="8">
        <f t="shared" si="34"/>
        <v>-1151.6100000000001</v>
      </c>
      <c r="J643" s="12"/>
    </row>
    <row r="644" spans="1:10" hidden="1" x14ac:dyDescent="0.25">
      <c r="C644" s="9"/>
      <c r="D644" s="10">
        <v>45733</v>
      </c>
      <c r="E644" t="s">
        <v>11</v>
      </c>
      <c r="F644" s="11" t="s">
        <v>584</v>
      </c>
      <c r="G644" s="39">
        <v>62.44</v>
      </c>
      <c r="H644" s="8">
        <v>0</v>
      </c>
      <c r="I644" s="8">
        <f t="shared" si="34"/>
        <v>-1089.17</v>
      </c>
      <c r="J644" s="12"/>
    </row>
    <row r="645" spans="1:10" hidden="1" x14ac:dyDescent="0.25">
      <c r="C645" s="9"/>
      <c r="D645" s="10">
        <v>45747</v>
      </c>
      <c r="E645" t="s">
        <v>597</v>
      </c>
      <c r="F645" s="11" t="s">
        <v>598</v>
      </c>
      <c r="G645" s="8">
        <v>0</v>
      </c>
      <c r="H645" s="8">
        <v>110.96</v>
      </c>
      <c r="I645" s="8">
        <f t="shared" si="34"/>
        <v>-1200.1300000000001</v>
      </c>
      <c r="J645" s="12"/>
    </row>
    <row r="646" spans="1:10" hidden="1" x14ac:dyDescent="0.25">
      <c r="C646" s="9"/>
      <c r="D646" s="10">
        <v>45762</v>
      </c>
      <c r="E646" t="s">
        <v>11</v>
      </c>
      <c r="F646" s="11" t="s">
        <v>587</v>
      </c>
      <c r="G646" s="39">
        <v>92.48</v>
      </c>
      <c r="H646" s="8">
        <v>0</v>
      </c>
      <c r="I646" s="8">
        <f t="shared" si="34"/>
        <v>-1107.6500000000001</v>
      </c>
      <c r="J646" s="12"/>
    </row>
    <row r="647" spans="1:10" hidden="1" x14ac:dyDescent="0.25">
      <c r="C647" s="9"/>
      <c r="D647" s="10">
        <v>45762</v>
      </c>
      <c r="E647" t="s">
        <v>11</v>
      </c>
      <c r="F647" s="11" t="s">
        <v>584</v>
      </c>
      <c r="G647" s="39">
        <v>62.44</v>
      </c>
      <c r="H647" s="8">
        <v>0</v>
      </c>
      <c r="I647" s="8">
        <f t="shared" si="34"/>
        <v>-1045.21</v>
      </c>
      <c r="J647" s="12"/>
    </row>
    <row r="648" spans="1:10" hidden="1" x14ac:dyDescent="0.25">
      <c r="E648" s="4" t="s">
        <v>20</v>
      </c>
      <c r="G648" s="8">
        <f>SUM(G634:G647)</f>
        <v>2161.4</v>
      </c>
      <c r="H648" s="8">
        <f>SUM(H634:H647)</f>
        <v>3206.61</v>
      </c>
      <c r="I648" s="8">
        <f>G648-H648</f>
        <v>-1045.21</v>
      </c>
    </row>
    <row r="649" spans="1:10" hidden="1" x14ac:dyDescent="0.25"/>
    <row r="650" spans="1:10" x14ac:dyDescent="0.25">
      <c r="A650" s="5">
        <v>4000252</v>
      </c>
      <c r="B650" s="6" t="s">
        <v>599</v>
      </c>
      <c r="C650" s="7"/>
      <c r="D650" s="7"/>
      <c r="E650" s="7"/>
      <c r="F650" s="7"/>
      <c r="G650" s="7"/>
      <c r="H650" s="7"/>
      <c r="I650" s="7"/>
      <c r="J650" s="7"/>
    </row>
    <row r="651" spans="1:10" hidden="1" x14ac:dyDescent="0.25">
      <c r="C651" s="9"/>
      <c r="D651" s="35">
        <v>45523</v>
      </c>
      <c r="E651" s="36" t="s">
        <v>8221</v>
      </c>
      <c r="F651" s="37" t="s">
        <v>42</v>
      </c>
      <c r="G651" s="38">
        <v>0</v>
      </c>
      <c r="H651" s="39">
        <v>1075.69</v>
      </c>
      <c r="I651" s="38">
        <f>I650+G651-H651</f>
        <v>-1075.69</v>
      </c>
      <c r="J651" s="12"/>
    </row>
    <row r="652" spans="1:10" hidden="1" x14ac:dyDescent="0.25">
      <c r="C652" s="9"/>
      <c r="D652" s="35">
        <v>45573</v>
      </c>
      <c r="E652" s="36" t="s">
        <v>8222</v>
      </c>
      <c r="F652" s="37" t="s">
        <v>8223</v>
      </c>
      <c r="G652" s="38">
        <v>0</v>
      </c>
      <c r="H652" s="39">
        <v>20.57</v>
      </c>
      <c r="I652" s="38">
        <f t="shared" ref="I652:I662" si="35">I651+G652-H652</f>
        <v>-1096.26</v>
      </c>
      <c r="J652" s="12"/>
    </row>
    <row r="653" spans="1:10" hidden="1" x14ac:dyDescent="0.25">
      <c r="C653" s="9"/>
      <c r="D653" s="35">
        <v>45573</v>
      </c>
      <c r="E653" s="36" t="s">
        <v>8224</v>
      </c>
      <c r="F653" s="37" t="s">
        <v>8225</v>
      </c>
      <c r="G653" s="38">
        <v>0</v>
      </c>
      <c r="H653" s="39">
        <v>220.78</v>
      </c>
      <c r="I653" s="38">
        <f t="shared" si="35"/>
        <v>-1317.04</v>
      </c>
      <c r="J653" s="12"/>
    </row>
    <row r="654" spans="1:10" hidden="1" x14ac:dyDescent="0.25">
      <c r="C654" s="9"/>
      <c r="D654" s="35">
        <v>45579</v>
      </c>
      <c r="E654" s="36" t="s">
        <v>8226</v>
      </c>
      <c r="F654" s="37" t="s">
        <v>8227</v>
      </c>
      <c r="G654" s="38">
        <v>0</v>
      </c>
      <c r="H654" s="39">
        <v>607.80999999999995</v>
      </c>
      <c r="I654" s="38">
        <f t="shared" si="35"/>
        <v>-1924.85</v>
      </c>
      <c r="J654" s="12"/>
    </row>
    <row r="655" spans="1:10" hidden="1" x14ac:dyDescent="0.25">
      <c r="C655" s="9"/>
      <c r="D655" s="35">
        <v>45579</v>
      </c>
      <c r="E655" s="36" t="s">
        <v>8228</v>
      </c>
      <c r="F655" s="37" t="s">
        <v>8229</v>
      </c>
      <c r="G655" s="38">
        <v>0</v>
      </c>
      <c r="H655" s="39">
        <v>50.82</v>
      </c>
      <c r="I655" s="38">
        <f t="shared" si="35"/>
        <v>-1975.6699999999998</v>
      </c>
      <c r="J655" s="12"/>
    </row>
    <row r="656" spans="1:10" hidden="1" x14ac:dyDescent="0.25">
      <c r="C656" s="9"/>
      <c r="D656" s="35">
        <v>45607</v>
      </c>
      <c r="E656" s="36" t="s">
        <v>8230</v>
      </c>
      <c r="F656" s="37" t="s">
        <v>8231</v>
      </c>
      <c r="G656" s="38">
        <v>0</v>
      </c>
      <c r="H656" s="39">
        <v>626.9</v>
      </c>
      <c r="I656" s="38">
        <f t="shared" si="35"/>
        <v>-2602.5699999999997</v>
      </c>
      <c r="J656" s="12"/>
    </row>
    <row r="657" spans="3:10" hidden="1" x14ac:dyDescent="0.25">
      <c r="C657" s="9"/>
      <c r="D657" s="35">
        <v>45610</v>
      </c>
      <c r="E657" s="36" t="s">
        <v>8232</v>
      </c>
      <c r="F657" s="37" t="s">
        <v>8233</v>
      </c>
      <c r="G657" s="38">
        <v>0</v>
      </c>
      <c r="H657" s="39">
        <v>1761.57</v>
      </c>
      <c r="I657" s="38">
        <f t="shared" si="35"/>
        <v>-4364.1399999999994</v>
      </c>
      <c r="J657" s="12"/>
    </row>
    <row r="658" spans="3:10" hidden="1" x14ac:dyDescent="0.25">
      <c r="C658" s="9"/>
      <c r="D658" s="35">
        <v>45610</v>
      </c>
      <c r="E658" s="36" t="s">
        <v>8232</v>
      </c>
      <c r="F658" s="37" t="s">
        <v>8234</v>
      </c>
      <c r="G658" s="38">
        <v>0</v>
      </c>
      <c r="H658" s="39">
        <v>60.14</v>
      </c>
      <c r="I658" s="38">
        <f t="shared" si="35"/>
        <v>-4424.28</v>
      </c>
      <c r="J658" s="12"/>
    </row>
    <row r="659" spans="3:10" hidden="1" x14ac:dyDescent="0.25">
      <c r="C659" s="9"/>
      <c r="D659" s="35">
        <v>45618</v>
      </c>
      <c r="E659" s="36" t="s">
        <v>8235</v>
      </c>
      <c r="F659" s="37" t="s">
        <v>8236</v>
      </c>
      <c r="G659" s="38">
        <v>0</v>
      </c>
      <c r="H659" s="39">
        <v>1761.57</v>
      </c>
      <c r="I659" s="38">
        <f t="shared" si="35"/>
        <v>-6185.8499999999995</v>
      </c>
      <c r="J659" s="12"/>
    </row>
    <row r="660" spans="3:10" hidden="1" x14ac:dyDescent="0.25">
      <c r="C660" s="9"/>
      <c r="D660" s="35">
        <v>45618</v>
      </c>
      <c r="E660" s="36" t="s">
        <v>8235</v>
      </c>
      <c r="F660" s="37" t="s">
        <v>8237</v>
      </c>
      <c r="G660" s="38">
        <v>0</v>
      </c>
      <c r="H660" s="39">
        <v>21.34</v>
      </c>
      <c r="I660" s="38">
        <f t="shared" si="35"/>
        <v>-6207.19</v>
      </c>
      <c r="J660" s="12"/>
    </row>
    <row r="661" spans="3:10" hidden="1" x14ac:dyDescent="0.25">
      <c r="C661" s="9"/>
      <c r="D661" s="35">
        <v>45636</v>
      </c>
      <c r="E661" s="36" t="s">
        <v>8238</v>
      </c>
      <c r="F661" s="37" t="s">
        <v>602</v>
      </c>
      <c r="G661" s="38">
        <v>0</v>
      </c>
      <c r="H661" s="39">
        <v>1500.67</v>
      </c>
      <c r="I661" s="38">
        <f t="shared" si="35"/>
        <v>-7707.86</v>
      </c>
      <c r="J661" s="12"/>
    </row>
    <row r="662" spans="3:10" hidden="1" x14ac:dyDescent="0.25">
      <c r="C662" s="9"/>
      <c r="D662" s="35">
        <v>45642</v>
      </c>
      <c r="E662" s="36" t="s">
        <v>8239</v>
      </c>
      <c r="F662" s="37" t="s">
        <v>42</v>
      </c>
      <c r="G662" s="39">
        <v>899.98</v>
      </c>
      <c r="H662" s="38">
        <v>0</v>
      </c>
      <c r="I662" s="38">
        <f t="shared" si="35"/>
        <v>-6807.8799999999992</v>
      </c>
      <c r="J662" s="12"/>
    </row>
    <row r="663" spans="3:10" hidden="1" x14ac:dyDescent="0.25">
      <c r="E663" s="4" t="s">
        <v>10</v>
      </c>
      <c r="G663" s="8">
        <v>0</v>
      </c>
      <c r="H663" s="8">
        <v>6807.88</v>
      </c>
      <c r="I663" s="8">
        <f>G663-H663</f>
        <v>-6807.88</v>
      </c>
    </row>
    <row r="664" spans="3:10" hidden="1" x14ac:dyDescent="0.25">
      <c r="C664" s="9"/>
      <c r="D664" s="10">
        <v>45665</v>
      </c>
      <c r="E664" t="s">
        <v>72</v>
      </c>
      <c r="F664" s="11" t="s">
        <v>42</v>
      </c>
      <c r="G664" s="39">
        <v>491.26</v>
      </c>
      <c r="H664" s="8">
        <v>0</v>
      </c>
      <c r="I664" s="8">
        <f t="shared" ref="I664:I678" si="36">G664-H664+I663</f>
        <v>-6316.62</v>
      </c>
      <c r="J664" s="12"/>
    </row>
    <row r="665" spans="3:10" hidden="1" x14ac:dyDescent="0.25">
      <c r="C665" s="9"/>
      <c r="D665" s="10">
        <v>45665</v>
      </c>
      <c r="E665" t="s">
        <v>72</v>
      </c>
      <c r="F665" s="11" t="s">
        <v>42</v>
      </c>
      <c r="G665" s="39">
        <v>584.42999999999995</v>
      </c>
      <c r="H665" s="8">
        <v>0</v>
      </c>
      <c r="I665" s="8">
        <f t="shared" si="36"/>
        <v>-5732.19</v>
      </c>
      <c r="J665" s="12"/>
    </row>
    <row r="666" spans="3:10" hidden="1" x14ac:dyDescent="0.25">
      <c r="C666" s="9"/>
      <c r="D666" s="10">
        <v>45672</v>
      </c>
      <c r="E666" t="s">
        <v>600</v>
      </c>
      <c r="F666" s="11" t="s">
        <v>42</v>
      </c>
      <c r="G666" s="39">
        <v>2448.61</v>
      </c>
      <c r="H666" s="8">
        <v>0</v>
      </c>
      <c r="I666" s="8">
        <f t="shared" si="36"/>
        <v>-3283.5799999999995</v>
      </c>
      <c r="J666" s="12"/>
    </row>
    <row r="667" spans="3:10" hidden="1" x14ac:dyDescent="0.25">
      <c r="C667" s="9"/>
      <c r="D667" s="10">
        <v>45672</v>
      </c>
      <c r="E667" t="s">
        <v>600</v>
      </c>
      <c r="F667" s="11" t="s">
        <v>42</v>
      </c>
      <c r="G667" s="39">
        <v>0</v>
      </c>
      <c r="H667" s="39">
        <v>2448.61</v>
      </c>
      <c r="I667" s="8">
        <f t="shared" si="36"/>
        <v>-5732.19</v>
      </c>
      <c r="J667" s="12"/>
    </row>
    <row r="668" spans="3:10" hidden="1" x14ac:dyDescent="0.25">
      <c r="C668" s="9"/>
      <c r="D668" s="10">
        <v>45680</v>
      </c>
      <c r="E668" t="s">
        <v>601</v>
      </c>
      <c r="F668" s="11" t="s">
        <v>602</v>
      </c>
      <c r="G668" s="39">
        <v>2448.61</v>
      </c>
      <c r="H668" s="39">
        <v>0</v>
      </c>
      <c r="I668" s="8">
        <f t="shared" si="36"/>
        <v>-3283.5799999999995</v>
      </c>
      <c r="J668" s="12"/>
    </row>
    <row r="669" spans="3:10" hidden="1" x14ac:dyDescent="0.25">
      <c r="C669" s="9"/>
      <c r="D669" s="10">
        <v>45681</v>
      </c>
      <c r="E669" t="s">
        <v>603</v>
      </c>
      <c r="F669" s="11" t="s">
        <v>604</v>
      </c>
      <c r="G669" s="8">
        <v>0</v>
      </c>
      <c r="H669" s="39">
        <v>245.71</v>
      </c>
      <c r="I669" s="8">
        <f t="shared" si="36"/>
        <v>-3529.2899999999995</v>
      </c>
      <c r="J669" s="12"/>
    </row>
    <row r="670" spans="3:10" hidden="1" x14ac:dyDescent="0.25">
      <c r="C670" s="9"/>
      <c r="D670" s="10">
        <v>45693</v>
      </c>
      <c r="E670" t="s">
        <v>605</v>
      </c>
      <c r="F670" s="11" t="s">
        <v>606</v>
      </c>
      <c r="G670" s="8">
        <v>0</v>
      </c>
      <c r="H670" s="39">
        <v>473.9</v>
      </c>
      <c r="I670" s="8">
        <f t="shared" si="36"/>
        <v>-4003.1899999999996</v>
      </c>
      <c r="J670" s="12"/>
    </row>
    <row r="671" spans="3:10" hidden="1" x14ac:dyDescent="0.25">
      <c r="C671" s="9"/>
      <c r="D671" s="10">
        <v>45699</v>
      </c>
      <c r="E671" t="s">
        <v>607</v>
      </c>
      <c r="F671" s="11" t="s">
        <v>608</v>
      </c>
      <c r="G671" s="8">
        <v>0</v>
      </c>
      <c r="H671" s="39">
        <v>1058</v>
      </c>
      <c r="I671" s="8">
        <f t="shared" si="36"/>
        <v>-5061.1899999999996</v>
      </c>
      <c r="J671" s="12"/>
    </row>
    <row r="672" spans="3:10" hidden="1" x14ac:dyDescent="0.25">
      <c r="C672" s="9"/>
      <c r="D672" s="10">
        <v>45705</v>
      </c>
      <c r="E672" t="s">
        <v>609</v>
      </c>
      <c r="F672" s="11" t="s">
        <v>42</v>
      </c>
      <c r="G672" s="39">
        <v>3283.58</v>
      </c>
      <c r="H672" s="8">
        <v>0</v>
      </c>
      <c r="I672" s="8">
        <f t="shared" si="36"/>
        <v>-1777.6099999999997</v>
      </c>
      <c r="J672" s="12"/>
    </row>
    <row r="673" spans="1:10" x14ac:dyDescent="0.25">
      <c r="A673" t="s">
        <v>8240</v>
      </c>
      <c r="B673" s="65">
        <v>45706</v>
      </c>
      <c r="C673" s="9"/>
      <c r="D673" s="10">
        <v>45707</v>
      </c>
      <c r="E673" t="s">
        <v>610</v>
      </c>
      <c r="F673" s="11" t="s">
        <v>611</v>
      </c>
      <c r="G673" s="8">
        <v>0</v>
      </c>
      <c r="H673" s="8">
        <v>337.83</v>
      </c>
      <c r="I673" s="8">
        <f t="shared" si="36"/>
        <v>-2115.4399999999996</v>
      </c>
      <c r="J673" s="32" t="s">
        <v>8147</v>
      </c>
    </row>
    <row r="674" spans="1:10" x14ac:dyDescent="0.25">
      <c r="A674" t="s">
        <v>8240</v>
      </c>
      <c r="B674" s="63">
        <v>45714</v>
      </c>
      <c r="C674" s="9"/>
      <c r="D674" s="10">
        <v>45716</v>
      </c>
      <c r="E674" t="s">
        <v>612</v>
      </c>
      <c r="F674" s="11" t="s">
        <v>613</v>
      </c>
      <c r="G674" s="8">
        <v>0</v>
      </c>
      <c r="H674" s="8">
        <v>506.55</v>
      </c>
      <c r="I674" s="8">
        <f t="shared" si="36"/>
        <v>-2621.99</v>
      </c>
      <c r="J674" s="32" t="s">
        <v>8147</v>
      </c>
    </row>
    <row r="675" spans="1:10" x14ac:dyDescent="0.25">
      <c r="A675" t="s">
        <v>8240</v>
      </c>
      <c r="B675" s="63">
        <v>45721</v>
      </c>
      <c r="C675" s="9"/>
      <c r="D675" s="10">
        <v>45722</v>
      </c>
      <c r="E675" t="s">
        <v>614</v>
      </c>
      <c r="F675" s="11" t="s">
        <v>615</v>
      </c>
      <c r="G675" s="8">
        <v>0</v>
      </c>
      <c r="H675" s="8">
        <v>1137.0999999999999</v>
      </c>
      <c r="I675" s="8">
        <f t="shared" si="36"/>
        <v>-3759.0899999999997</v>
      </c>
      <c r="J675" s="32" t="s">
        <v>8147</v>
      </c>
    </row>
    <row r="676" spans="1:10" x14ac:dyDescent="0.25">
      <c r="A676" t="s">
        <v>8240</v>
      </c>
      <c r="B676" s="63">
        <v>45734</v>
      </c>
      <c r="C676" s="9"/>
      <c r="D676" s="10">
        <v>45735</v>
      </c>
      <c r="E676" t="s">
        <v>616</v>
      </c>
      <c r="F676" s="11" t="s">
        <v>617</v>
      </c>
      <c r="G676" s="8">
        <v>0</v>
      </c>
      <c r="H676" s="8">
        <v>918.09</v>
      </c>
      <c r="I676" s="8">
        <f t="shared" si="36"/>
        <v>-4677.1799999999994</v>
      </c>
      <c r="J676" s="32" t="s">
        <v>8147</v>
      </c>
    </row>
    <row r="677" spans="1:10" x14ac:dyDescent="0.25">
      <c r="A677" t="s">
        <v>8240</v>
      </c>
      <c r="B677" s="63">
        <v>45743</v>
      </c>
      <c r="C677" s="9"/>
      <c r="D677" s="10">
        <v>45743</v>
      </c>
      <c r="E677" t="s">
        <v>618</v>
      </c>
      <c r="F677" s="11" t="s">
        <v>619</v>
      </c>
      <c r="G677" s="8">
        <v>0</v>
      </c>
      <c r="H677" s="8">
        <v>502.86</v>
      </c>
      <c r="I677" s="8">
        <f t="shared" si="36"/>
        <v>-5180.0399999999991</v>
      </c>
      <c r="J677" s="32" t="s">
        <v>8147</v>
      </c>
    </row>
    <row r="678" spans="1:10" hidden="1" x14ac:dyDescent="0.25">
      <c r="C678" s="9"/>
      <c r="D678" s="10">
        <v>45762</v>
      </c>
      <c r="E678" t="s">
        <v>620</v>
      </c>
      <c r="F678" s="11" t="s">
        <v>42</v>
      </c>
      <c r="G678" s="39">
        <v>1777.61</v>
      </c>
      <c r="H678" s="8">
        <v>0</v>
      </c>
      <c r="I678" s="8">
        <f t="shared" si="36"/>
        <v>-3402.4299999999994</v>
      </c>
      <c r="J678" s="12"/>
    </row>
    <row r="679" spans="1:10" hidden="1" x14ac:dyDescent="0.25">
      <c r="E679" s="4" t="s">
        <v>20</v>
      </c>
      <c r="G679" s="8">
        <f>SUM(G663:G678)</f>
        <v>11034.1</v>
      </c>
      <c r="H679" s="8">
        <f>SUM(H663:H678)</f>
        <v>14436.529999999999</v>
      </c>
      <c r="I679" s="8">
        <f>G679-H679</f>
        <v>-3402.4299999999985</v>
      </c>
    </row>
    <row r="681" spans="1:10" hidden="1" x14ac:dyDescent="0.25">
      <c r="A681" s="5">
        <v>4000265</v>
      </c>
      <c r="B681" s="6" t="s">
        <v>621</v>
      </c>
      <c r="C681" s="7"/>
      <c r="D681" s="7"/>
      <c r="E681" s="7"/>
      <c r="F681" s="7"/>
      <c r="G681" s="7"/>
      <c r="H681" s="7"/>
      <c r="I681" s="7"/>
      <c r="J681" s="7"/>
    </row>
    <row r="682" spans="1:10" hidden="1" x14ac:dyDescent="0.25">
      <c r="E682" s="4" t="s">
        <v>10</v>
      </c>
      <c r="G682" s="8">
        <v>0</v>
      </c>
      <c r="H682" s="39">
        <v>1886.39</v>
      </c>
      <c r="I682" s="8">
        <f>G682-H682</f>
        <v>-1886.39</v>
      </c>
    </row>
    <row r="683" spans="1:10" hidden="1" x14ac:dyDescent="0.25">
      <c r="C683" s="9"/>
      <c r="D683" s="10">
        <v>45688</v>
      </c>
      <c r="E683" t="s">
        <v>622</v>
      </c>
      <c r="F683" s="11" t="s">
        <v>623</v>
      </c>
      <c r="G683" s="8">
        <v>0</v>
      </c>
      <c r="H683" s="39">
        <v>397.57</v>
      </c>
      <c r="I683" s="8">
        <f t="shared" ref="I683:I689" si="37">G683-H683+I682</f>
        <v>-2283.96</v>
      </c>
      <c r="J683" s="12"/>
    </row>
    <row r="684" spans="1:10" hidden="1" x14ac:dyDescent="0.25">
      <c r="C684" s="9"/>
      <c r="D684" s="10">
        <v>45705</v>
      </c>
      <c r="E684" t="s">
        <v>11</v>
      </c>
      <c r="F684" s="11" t="s">
        <v>624</v>
      </c>
      <c r="G684" s="39">
        <v>1886.39</v>
      </c>
      <c r="H684" s="8">
        <v>0</v>
      </c>
      <c r="I684" s="8">
        <f t="shared" si="37"/>
        <v>-397.56999999999994</v>
      </c>
      <c r="J684" s="12"/>
    </row>
    <row r="685" spans="1:10" hidden="1" x14ac:dyDescent="0.25">
      <c r="C685" s="9"/>
      <c r="D685" s="10">
        <v>45705</v>
      </c>
      <c r="E685" t="s">
        <v>11</v>
      </c>
      <c r="F685" s="11" t="s">
        <v>624</v>
      </c>
      <c r="G685" s="8">
        <v>0</v>
      </c>
      <c r="H685" s="8">
        <v>1886.39</v>
      </c>
      <c r="I685" s="8">
        <f t="shared" si="37"/>
        <v>-2283.96</v>
      </c>
      <c r="J685" s="12"/>
    </row>
    <row r="686" spans="1:10" hidden="1" x14ac:dyDescent="0.25">
      <c r="C686" s="9" t="s">
        <v>124</v>
      </c>
      <c r="D686" s="10">
        <v>45719</v>
      </c>
      <c r="E686" t="s">
        <v>625</v>
      </c>
      <c r="F686" s="11" t="s">
        <v>42</v>
      </c>
      <c r="G686" s="8">
        <v>1886.39</v>
      </c>
      <c r="H686" s="8">
        <v>0</v>
      </c>
      <c r="I686" s="8">
        <f t="shared" si="37"/>
        <v>-397.56999999999994</v>
      </c>
      <c r="J686" s="12"/>
    </row>
    <row r="687" spans="1:10" hidden="1" x14ac:dyDescent="0.25">
      <c r="C687" s="9"/>
      <c r="D687" s="10">
        <v>45747</v>
      </c>
      <c r="E687" t="s">
        <v>626</v>
      </c>
      <c r="F687" s="11" t="s">
        <v>627</v>
      </c>
      <c r="G687" s="8">
        <v>0</v>
      </c>
      <c r="H687" s="8">
        <v>296.52999999999997</v>
      </c>
      <c r="I687" s="8">
        <f t="shared" si="37"/>
        <v>-694.09999999999991</v>
      </c>
      <c r="J687" s="12"/>
    </row>
    <row r="688" spans="1:10" hidden="1" x14ac:dyDescent="0.25">
      <c r="C688" s="9"/>
      <c r="D688" s="10">
        <v>45747</v>
      </c>
      <c r="E688" t="s">
        <v>626</v>
      </c>
      <c r="F688" s="11" t="s">
        <v>628</v>
      </c>
      <c r="G688" s="8">
        <v>0</v>
      </c>
      <c r="H688" s="8">
        <v>476.12</v>
      </c>
      <c r="I688" s="8">
        <f t="shared" si="37"/>
        <v>-1170.2199999999998</v>
      </c>
      <c r="J688" s="12"/>
    </row>
    <row r="689" spans="1:10" hidden="1" x14ac:dyDescent="0.25">
      <c r="C689" s="9"/>
      <c r="D689" s="10">
        <v>45762</v>
      </c>
      <c r="E689" t="s">
        <v>11</v>
      </c>
      <c r="F689" s="11" t="s">
        <v>623</v>
      </c>
      <c r="G689" s="39">
        <v>397.57</v>
      </c>
      <c r="H689" s="8">
        <v>0</v>
      </c>
      <c r="I689" s="8">
        <f t="shared" si="37"/>
        <v>-772.64999999999986</v>
      </c>
      <c r="J689" s="12"/>
    </row>
    <row r="690" spans="1:10" hidden="1" x14ac:dyDescent="0.25">
      <c r="E690" s="4" t="s">
        <v>20</v>
      </c>
      <c r="G690" s="8">
        <f>SUM(G682:G689)</f>
        <v>4170.3500000000004</v>
      </c>
      <c r="H690" s="8">
        <f>SUM(H682:H689)</f>
        <v>4943</v>
      </c>
      <c r="I690" s="8">
        <f>G690-H690</f>
        <v>-772.64999999999964</v>
      </c>
    </row>
    <row r="691" spans="1:10" hidden="1" x14ac:dyDescent="0.25"/>
    <row r="692" spans="1:10" hidden="1" x14ac:dyDescent="0.25">
      <c r="A692" s="5">
        <v>4000269</v>
      </c>
      <c r="B692" s="6" t="s">
        <v>629</v>
      </c>
      <c r="C692" s="7"/>
      <c r="D692" s="7"/>
      <c r="E692" s="7"/>
      <c r="F692" s="7"/>
      <c r="G692" s="7"/>
      <c r="H692" s="7"/>
      <c r="I692" s="7"/>
      <c r="J692" s="7"/>
    </row>
    <row r="693" spans="1:10" hidden="1" x14ac:dyDescent="0.25">
      <c r="C693" s="9"/>
      <c r="D693" s="10">
        <v>45731</v>
      </c>
      <c r="E693" t="s">
        <v>630</v>
      </c>
      <c r="F693" s="11" t="s">
        <v>631</v>
      </c>
      <c r="G693" s="8">
        <v>0</v>
      </c>
      <c r="H693" s="8">
        <v>425.15</v>
      </c>
      <c r="I693" s="8">
        <f>G693-H693</f>
        <v>-425.15</v>
      </c>
      <c r="J693" s="63">
        <v>45792</v>
      </c>
    </row>
    <row r="694" spans="1:10" hidden="1" x14ac:dyDescent="0.25">
      <c r="E694" s="4" t="s">
        <v>20</v>
      </c>
      <c r="G694" s="8">
        <f>G693</f>
        <v>0</v>
      </c>
      <c r="H694" s="8">
        <f>H693</f>
        <v>425.15</v>
      </c>
      <c r="I694" s="8">
        <f>G694-H694</f>
        <v>-425.15</v>
      </c>
    </row>
    <row r="695" spans="1:10" hidden="1" x14ac:dyDescent="0.25"/>
    <row r="696" spans="1:10" hidden="1" x14ac:dyDescent="0.25">
      <c r="A696" s="5">
        <v>4000289</v>
      </c>
      <c r="B696" s="6" t="s">
        <v>632</v>
      </c>
      <c r="C696" s="7"/>
      <c r="D696" s="7"/>
      <c r="E696" s="7"/>
      <c r="F696" s="7"/>
      <c r="G696" s="7"/>
      <c r="H696" s="7"/>
      <c r="I696" s="7"/>
      <c r="J696" s="7"/>
    </row>
    <row r="697" spans="1:10" hidden="1" x14ac:dyDescent="0.25">
      <c r="E697" s="4" t="s">
        <v>10</v>
      </c>
      <c r="G697" s="8">
        <v>0</v>
      </c>
      <c r="H697" s="39">
        <v>3880.25</v>
      </c>
      <c r="I697" s="8">
        <f>G697-H697</f>
        <v>-3880.25</v>
      </c>
    </row>
    <row r="698" spans="1:10" hidden="1" x14ac:dyDescent="0.25">
      <c r="C698" s="9"/>
      <c r="D698" s="10">
        <v>45666</v>
      </c>
      <c r="E698" t="s">
        <v>633</v>
      </c>
      <c r="F698" s="11" t="s">
        <v>634</v>
      </c>
      <c r="G698" s="8">
        <v>0</v>
      </c>
      <c r="H698" s="39">
        <v>400.51</v>
      </c>
      <c r="I698" s="8">
        <f t="shared" ref="I698:I720" si="38">G698-H698+I697</f>
        <v>-4280.76</v>
      </c>
      <c r="J698" s="12"/>
    </row>
    <row r="699" spans="1:10" hidden="1" x14ac:dyDescent="0.25">
      <c r="C699" s="9"/>
      <c r="D699" s="10">
        <v>45672</v>
      </c>
      <c r="E699" t="s">
        <v>11</v>
      </c>
      <c r="F699" s="11" t="s">
        <v>635</v>
      </c>
      <c r="G699" s="39">
        <v>179.08</v>
      </c>
      <c r="H699" s="8">
        <v>0</v>
      </c>
      <c r="I699" s="8">
        <f t="shared" si="38"/>
        <v>-4101.68</v>
      </c>
      <c r="J699" s="12"/>
    </row>
    <row r="700" spans="1:10" hidden="1" x14ac:dyDescent="0.25">
      <c r="C700" s="9"/>
      <c r="D700" s="10">
        <v>45672</v>
      </c>
      <c r="E700" t="s">
        <v>11</v>
      </c>
      <c r="F700" s="11" t="s">
        <v>636</v>
      </c>
      <c r="G700" s="39">
        <v>317.75</v>
      </c>
      <c r="H700" s="8">
        <v>0</v>
      </c>
      <c r="I700" s="8">
        <f t="shared" si="38"/>
        <v>-3783.9300000000003</v>
      </c>
      <c r="J700" s="12"/>
    </row>
    <row r="701" spans="1:10" hidden="1" x14ac:dyDescent="0.25">
      <c r="C701" s="9"/>
      <c r="D701" s="10">
        <v>45672</v>
      </c>
      <c r="E701" t="s">
        <v>11</v>
      </c>
      <c r="F701" s="11" t="s">
        <v>637</v>
      </c>
      <c r="G701" s="39">
        <v>265.72000000000003</v>
      </c>
      <c r="H701" s="8">
        <v>0</v>
      </c>
      <c r="I701" s="8">
        <f t="shared" si="38"/>
        <v>-3518.21</v>
      </c>
      <c r="J701" s="12"/>
    </row>
    <row r="702" spans="1:10" hidden="1" x14ac:dyDescent="0.25">
      <c r="C702" s="9"/>
      <c r="D702" s="10">
        <v>45672</v>
      </c>
      <c r="E702" t="s">
        <v>11</v>
      </c>
      <c r="F702" s="11" t="s">
        <v>638</v>
      </c>
      <c r="G702" s="39">
        <v>857.65</v>
      </c>
      <c r="H702" s="8">
        <v>0</v>
      </c>
      <c r="I702" s="8">
        <f t="shared" si="38"/>
        <v>-2660.56</v>
      </c>
      <c r="J702" s="12"/>
    </row>
    <row r="703" spans="1:10" hidden="1" x14ac:dyDescent="0.25">
      <c r="C703" s="9"/>
      <c r="D703" s="10">
        <v>45678</v>
      </c>
      <c r="E703" t="s">
        <v>639</v>
      </c>
      <c r="F703" s="11" t="s">
        <v>640</v>
      </c>
      <c r="G703" s="8">
        <v>0</v>
      </c>
      <c r="H703" s="8">
        <v>417.69</v>
      </c>
      <c r="I703" s="8">
        <f t="shared" si="38"/>
        <v>-3078.25</v>
      </c>
      <c r="J703" s="12"/>
    </row>
    <row r="704" spans="1:10" hidden="1" x14ac:dyDescent="0.25">
      <c r="C704" s="9"/>
      <c r="D704" s="10">
        <v>45686</v>
      </c>
      <c r="E704" t="s">
        <v>641</v>
      </c>
      <c r="F704" s="11" t="s">
        <v>642</v>
      </c>
      <c r="G704" s="8">
        <v>0</v>
      </c>
      <c r="H704" s="8">
        <v>212.96</v>
      </c>
      <c r="I704" s="8">
        <f t="shared" si="38"/>
        <v>-3291.21</v>
      </c>
      <c r="J704" s="12"/>
    </row>
    <row r="705" spans="3:10" hidden="1" x14ac:dyDescent="0.25">
      <c r="C705" s="9"/>
      <c r="D705" s="10">
        <v>45687</v>
      </c>
      <c r="E705" t="s">
        <v>643</v>
      </c>
      <c r="F705" s="11" t="s">
        <v>644</v>
      </c>
      <c r="G705" s="8">
        <v>0</v>
      </c>
      <c r="H705" s="8">
        <v>1038.25</v>
      </c>
      <c r="I705" s="8">
        <f t="shared" si="38"/>
        <v>-4329.46</v>
      </c>
      <c r="J705" s="12"/>
    </row>
    <row r="706" spans="3:10" hidden="1" x14ac:dyDescent="0.25">
      <c r="C706" s="9"/>
      <c r="D706" s="10">
        <v>45691</v>
      </c>
      <c r="E706" t="s">
        <v>645</v>
      </c>
      <c r="F706" s="11" t="s">
        <v>646</v>
      </c>
      <c r="G706" s="8">
        <v>0</v>
      </c>
      <c r="H706" s="8">
        <v>177.27</v>
      </c>
      <c r="I706" s="8">
        <f t="shared" si="38"/>
        <v>-4506.7300000000005</v>
      </c>
      <c r="J706" s="12"/>
    </row>
    <row r="707" spans="3:10" hidden="1" x14ac:dyDescent="0.25">
      <c r="C707" s="9"/>
      <c r="D707" s="10">
        <v>45699</v>
      </c>
      <c r="E707" t="s">
        <v>647</v>
      </c>
      <c r="F707" s="11" t="s">
        <v>648</v>
      </c>
      <c r="G707" s="8">
        <v>0</v>
      </c>
      <c r="H707" s="8">
        <v>279.75</v>
      </c>
      <c r="I707" s="8">
        <f t="shared" si="38"/>
        <v>-4786.4800000000005</v>
      </c>
      <c r="J707" s="12"/>
    </row>
    <row r="708" spans="3:10" hidden="1" x14ac:dyDescent="0.25">
      <c r="C708" s="9"/>
      <c r="D708" s="10">
        <v>45705</v>
      </c>
      <c r="E708" t="s">
        <v>11</v>
      </c>
      <c r="F708" s="11" t="s">
        <v>649</v>
      </c>
      <c r="G708" s="39">
        <v>544.98</v>
      </c>
      <c r="H708" s="8">
        <v>0</v>
      </c>
      <c r="I708" s="8">
        <f t="shared" si="38"/>
        <v>-4241.5</v>
      </c>
      <c r="J708" s="12"/>
    </row>
    <row r="709" spans="3:10" hidden="1" x14ac:dyDescent="0.25">
      <c r="C709" s="9"/>
      <c r="D709" s="10">
        <v>45705</v>
      </c>
      <c r="E709" t="s">
        <v>11</v>
      </c>
      <c r="F709" s="11" t="s">
        <v>650</v>
      </c>
      <c r="G709" s="39">
        <v>329.12</v>
      </c>
      <c r="H709" s="8">
        <v>0</v>
      </c>
      <c r="I709" s="8">
        <f t="shared" si="38"/>
        <v>-3912.38</v>
      </c>
      <c r="J709" s="12"/>
    </row>
    <row r="710" spans="3:10" hidden="1" x14ac:dyDescent="0.25">
      <c r="C710" s="9"/>
      <c r="D710" s="10">
        <v>45705</v>
      </c>
      <c r="E710" t="s">
        <v>11</v>
      </c>
      <c r="F710" s="11" t="s">
        <v>651</v>
      </c>
      <c r="G710" s="39">
        <v>290.27</v>
      </c>
      <c r="H710" s="8">
        <v>0</v>
      </c>
      <c r="I710" s="8">
        <f t="shared" si="38"/>
        <v>-3622.11</v>
      </c>
      <c r="J710" s="12"/>
    </row>
    <row r="711" spans="3:10" hidden="1" x14ac:dyDescent="0.25">
      <c r="C711" s="9"/>
      <c r="D711" s="10">
        <v>45705</v>
      </c>
      <c r="E711" t="s">
        <v>11</v>
      </c>
      <c r="F711" s="11" t="s">
        <v>652</v>
      </c>
      <c r="G711" s="39">
        <v>302.98</v>
      </c>
      <c r="H711" s="8">
        <v>0</v>
      </c>
      <c r="I711" s="8">
        <f t="shared" si="38"/>
        <v>-3319.13</v>
      </c>
      <c r="J711" s="12"/>
    </row>
    <row r="712" spans="3:10" hidden="1" x14ac:dyDescent="0.25">
      <c r="C712" s="9"/>
      <c r="D712" s="10">
        <v>45705</v>
      </c>
      <c r="E712" t="s">
        <v>11</v>
      </c>
      <c r="F712" s="11" t="s">
        <v>653</v>
      </c>
      <c r="G712" s="39">
        <v>546.34</v>
      </c>
      <c r="H712" s="8">
        <v>0</v>
      </c>
      <c r="I712" s="8">
        <f t="shared" si="38"/>
        <v>-2772.79</v>
      </c>
      <c r="J712" s="12"/>
    </row>
    <row r="713" spans="3:10" hidden="1" x14ac:dyDescent="0.25">
      <c r="C713" s="9"/>
      <c r="D713" s="10">
        <v>45709</v>
      </c>
      <c r="E713" t="s">
        <v>654</v>
      </c>
      <c r="F713" s="11" t="s">
        <v>655</v>
      </c>
      <c r="G713" s="8">
        <v>0</v>
      </c>
      <c r="H713" s="8">
        <v>445.99</v>
      </c>
      <c r="I713" s="8">
        <f t="shared" si="38"/>
        <v>-3218.7799999999997</v>
      </c>
      <c r="J713" s="12"/>
    </row>
    <row r="714" spans="3:10" hidden="1" x14ac:dyDescent="0.25">
      <c r="C714" s="9"/>
      <c r="D714" s="10">
        <v>45723</v>
      </c>
      <c r="E714" t="s">
        <v>656</v>
      </c>
      <c r="F714" s="11" t="s">
        <v>657</v>
      </c>
      <c r="G714" s="8">
        <v>0</v>
      </c>
      <c r="H714" s="8">
        <v>137.94</v>
      </c>
      <c r="I714" s="8">
        <f t="shared" si="38"/>
        <v>-3356.72</v>
      </c>
      <c r="J714" s="12"/>
    </row>
    <row r="715" spans="3:10" hidden="1" x14ac:dyDescent="0.25">
      <c r="C715" s="9"/>
      <c r="D715" s="10">
        <v>45730</v>
      </c>
      <c r="E715" t="s">
        <v>658</v>
      </c>
      <c r="F715" s="11" t="s">
        <v>659</v>
      </c>
      <c r="G715" s="8">
        <v>0</v>
      </c>
      <c r="H715" s="8">
        <v>-131.65</v>
      </c>
      <c r="I715" s="8">
        <f t="shared" si="38"/>
        <v>-3225.0699999999997</v>
      </c>
      <c r="J715" s="12"/>
    </row>
    <row r="716" spans="3:10" hidden="1" x14ac:dyDescent="0.25">
      <c r="C716" s="9"/>
      <c r="D716" s="10">
        <v>45733</v>
      </c>
      <c r="E716" t="s">
        <v>11</v>
      </c>
      <c r="F716" s="11" t="s">
        <v>660</v>
      </c>
      <c r="G716" s="39">
        <v>246.36</v>
      </c>
      <c r="H716" s="8">
        <v>0</v>
      </c>
      <c r="I716" s="8">
        <f t="shared" si="38"/>
        <v>-2978.7099999999996</v>
      </c>
      <c r="J716" s="12"/>
    </row>
    <row r="717" spans="3:10" hidden="1" x14ac:dyDescent="0.25">
      <c r="C717" s="9"/>
      <c r="D717" s="10">
        <v>45733</v>
      </c>
      <c r="E717" t="s">
        <v>11</v>
      </c>
      <c r="F717" s="11" t="s">
        <v>634</v>
      </c>
      <c r="G717" s="39">
        <v>400.51</v>
      </c>
      <c r="H717" s="8">
        <v>0</v>
      </c>
      <c r="I717" s="8">
        <f t="shared" si="38"/>
        <v>-2578.1999999999998</v>
      </c>
      <c r="J717" s="12"/>
    </row>
    <row r="718" spans="3:10" hidden="1" x14ac:dyDescent="0.25">
      <c r="C718" s="9"/>
      <c r="D718" s="10">
        <v>45735</v>
      </c>
      <c r="E718" t="s">
        <v>661</v>
      </c>
      <c r="F718" s="11" t="s">
        <v>662</v>
      </c>
      <c r="G718" s="8">
        <v>0</v>
      </c>
      <c r="H718" s="8">
        <v>491.5</v>
      </c>
      <c r="I718" s="8">
        <f t="shared" si="38"/>
        <v>-3069.7</v>
      </c>
      <c r="J718" s="12"/>
    </row>
    <row r="719" spans="3:10" hidden="1" x14ac:dyDescent="0.25">
      <c r="C719" s="9"/>
      <c r="D719" s="10">
        <v>45737</v>
      </c>
      <c r="E719" t="s">
        <v>663</v>
      </c>
      <c r="F719" s="11" t="s">
        <v>664</v>
      </c>
      <c r="G719" s="8">
        <v>0</v>
      </c>
      <c r="H719" s="8">
        <v>181.5</v>
      </c>
      <c r="I719" s="8">
        <f t="shared" si="38"/>
        <v>-3251.2</v>
      </c>
      <c r="J719" s="12"/>
    </row>
    <row r="720" spans="3:10" hidden="1" x14ac:dyDescent="0.25">
      <c r="C720" s="9"/>
      <c r="D720" s="10">
        <v>45747</v>
      </c>
      <c r="E720" t="s">
        <v>665</v>
      </c>
      <c r="F720" s="11" t="s">
        <v>666</v>
      </c>
      <c r="G720" s="8">
        <v>0</v>
      </c>
      <c r="H720" s="8">
        <v>263.3</v>
      </c>
      <c r="I720" s="8">
        <f t="shared" si="38"/>
        <v>-3514.5</v>
      </c>
      <c r="J720" s="12"/>
    </row>
    <row r="721" spans="1:10" hidden="1" x14ac:dyDescent="0.25">
      <c r="E721" s="4" t="s">
        <v>20</v>
      </c>
      <c r="G721" s="8">
        <f>SUM(G697:G720)</f>
        <v>4280.76</v>
      </c>
      <c r="H721" s="8">
        <f>SUM(H697:H720)</f>
        <v>7795.26</v>
      </c>
      <c r="I721" s="8">
        <f>G721-H721</f>
        <v>-3514.5</v>
      </c>
    </row>
    <row r="722" spans="1:10" hidden="1" x14ac:dyDescent="0.25"/>
    <row r="723" spans="1:10" x14ac:dyDescent="0.25">
      <c r="A723" s="5">
        <v>4000295</v>
      </c>
      <c r="B723" s="6" t="s">
        <v>667</v>
      </c>
      <c r="C723" s="7"/>
      <c r="D723" s="7"/>
      <c r="E723" s="7"/>
      <c r="F723" s="7"/>
      <c r="G723" s="7"/>
      <c r="H723" s="7"/>
      <c r="I723" s="7"/>
      <c r="J723" s="7"/>
    </row>
    <row r="724" spans="1:10" hidden="1" x14ac:dyDescent="0.25">
      <c r="E724" s="4" t="s">
        <v>10</v>
      </c>
      <c r="G724" s="8">
        <v>0</v>
      </c>
      <c r="H724" s="39">
        <v>6522.21</v>
      </c>
      <c r="I724" s="8">
        <f>G724-H724</f>
        <v>-6522.21</v>
      </c>
    </row>
    <row r="725" spans="1:10" hidden="1" x14ac:dyDescent="0.25">
      <c r="C725" s="9"/>
      <c r="D725" s="10">
        <v>45667</v>
      </c>
      <c r="E725" t="s">
        <v>668</v>
      </c>
      <c r="F725" s="11" t="s">
        <v>669</v>
      </c>
      <c r="G725" s="8">
        <v>0</v>
      </c>
      <c r="H725" s="39">
        <v>215.26</v>
      </c>
      <c r="I725" s="8">
        <f t="shared" ref="I725:I741" si="39">G725-H725+I724</f>
        <v>-6737.47</v>
      </c>
      <c r="J725" s="12"/>
    </row>
    <row r="726" spans="1:10" x14ac:dyDescent="0.25">
      <c r="A726" t="s">
        <v>8240</v>
      </c>
      <c r="B726" s="65">
        <v>45762</v>
      </c>
      <c r="C726" s="9"/>
      <c r="D726" s="10">
        <v>45672</v>
      </c>
      <c r="E726" t="s">
        <v>670</v>
      </c>
      <c r="F726" s="11" t="s">
        <v>671</v>
      </c>
      <c r="G726" s="8">
        <v>0</v>
      </c>
      <c r="H726" s="8">
        <v>1053.8599999999999</v>
      </c>
      <c r="I726" s="8">
        <f t="shared" si="39"/>
        <v>-7791.33</v>
      </c>
      <c r="J726" s="32" t="s">
        <v>8147</v>
      </c>
    </row>
    <row r="727" spans="1:10" x14ac:dyDescent="0.25">
      <c r="A727" t="s">
        <v>8240</v>
      </c>
      <c r="B727" s="65">
        <v>45762</v>
      </c>
      <c r="C727" s="9"/>
      <c r="D727" s="10">
        <v>45672</v>
      </c>
      <c r="E727" t="s">
        <v>672</v>
      </c>
      <c r="F727" s="11" t="s">
        <v>673</v>
      </c>
      <c r="G727" s="8">
        <v>0</v>
      </c>
      <c r="H727" s="8">
        <v>-193.73</v>
      </c>
      <c r="I727" s="8">
        <f t="shared" si="39"/>
        <v>-7597.6</v>
      </c>
      <c r="J727" s="32" t="s">
        <v>8147</v>
      </c>
    </row>
    <row r="728" spans="1:10" hidden="1" x14ac:dyDescent="0.25">
      <c r="C728" s="9"/>
      <c r="D728" s="10">
        <v>45672</v>
      </c>
      <c r="E728" t="s">
        <v>11</v>
      </c>
      <c r="F728" s="11" t="s">
        <v>674</v>
      </c>
      <c r="G728" s="39">
        <v>982.52</v>
      </c>
      <c r="H728" s="8">
        <v>0</v>
      </c>
      <c r="I728" s="8">
        <f t="shared" si="39"/>
        <v>-6615.08</v>
      </c>
      <c r="J728" s="12"/>
    </row>
    <row r="729" spans="1:10" hidden="1" x14ac:dyDescent="0.25">
      <c r="C729" s="9"/>
      <c r="D729" s="10">
        <v>45672</v>
      </c>
      <c r="E729" t="s">
        <v>11</v>
      </c>
      <c r="F729" s="11" t="s">
        <v>675</v>
      </c>
      <c r="G729" s="39">
        <v>2405.79</v>
      </c>
      <c r="H729" s="8">
        <v>0</v>
      </c>
      <c r="I729" s="8">
        <f t="shared" si="39"/>
        <v>-4209.29</v>
      </c>
      <c r="J729" s="12"/>
    </row>
    <row r="730" spans="1:10" hidden="1" x14ac:dyDescent="0.25">
      <c r="C730" s="9"/>
      <c r="D730" s="10">
        <v>45672</v>
      </c>
      <c r="E730" t="s">
        <v>11</v>
      </c>
      <c r="F730" s="11" t="s">
        <v>675</v>
      </c>
      <c r="G730" s="39">
        <v>0</v>
      </c>
      <c r="H730" s="39">
        <v>2405.79</v>
      </c>
      <c r="I730" s="8">
        <f t="shared" si="39"/>
        <v>-6615.08</v>
      </c>
      <c r="J730" s="12"/>
    </row>
    <row r="731" spans="1:10" hidden="1" x14ac:dyDescent="0.25">
      <c r="C731" s="9"/>
      <c r="D731" s="10">
        <v>45672</v>
      </c>
      <c r="E731" t="s">
        <v>11</v>
      </c>
      <c r="F731" s="11" t="s">
        <v>674</v>
      </c>
      <c r="G731" s="39">
        <v>0</v>
      </c>
      <c r="H731" s="39">
        <v>982.52</v>
      </c>
      <c r="I731" s="8">
        <f t="shared" si="39"/>
        <v>-7597.6</v>
      </c>
      <c r="J731" s="12"/>
    </row>
    <row r="732" spans="1:10" hidden="1" x14ac:dyDescent="0.25">
      <c r="C732" s="9"/>
      <c r="D732" s="10">
        <v>45691</v>
      </c>
      <c r="E732" t="s">
        <v>676</v>
      </c>
      <c r="F732" s="11" t="s">
        <v>42</v>
      </c>
      <c r="G732" s="39">
        <v>2405.79</v>
      </c>
      <c r="H732" s="39">
        <v>0</v>
      </c>
      <c r="I732" s="8">
        <f t="shared" si="39"/>
        <v>-5191.8100000000004</v>
      </c>
      <c r="J732" s="12"/>
    </row>
    <row r="733" spans="1:10" hidden="1" x14ac:dyDescent="0.25">
      <c r="C733" s="9"/>
      <c r="D733" s="10">
        <v>45691</v>
      </c>
      <c r="E733" t="s">
        <v>676</v>
      </c>
      <c r="F733" s="11" t="s">
        <v>42</v>
      </c>
      <c r="G733" s="39">
        <v>982.52</v>
      </c>
      <c r="H733" s="39">
        <v>0</v>
      </c>
      <c r="I733" s="8">
        <f t="shared" si="39"/>
        <v>-4209.2900000000009</v>
      </c>
      <c r="J733" s="12"/>
    </row>
    <row r="734" spans="1:10" hidden="1" x14ac:dyDescent="0.25">
      <c r="C734" s="9"/>
      <c r="D734" s="10">
        <v>45700</v>
      </c>
      <c r="E734" t="s">
        <v>677</v>
      </c>
      <c r="F734" s="11" t="s">
        <v>678</v>
      </c>
      <c r="G734" s="8">
        <v>0</v>
      </c>
      <c r="H734" s="39">
        <v>1615.93</v>
      </c>
      <c r="I734" s="8">
        <f t="shared" si="39"/>
        <v>-5825.2200000000012</v>
      </c>
      <c r="J734" s="12"/>
    </row>
    <row r="735" spans="1:10" hidden="1" x14ac:dyDescent="0.25">
      <c r="C735" s="9"/>
      <c r="D735" s="10">
        <v>45705</v>
      </c>
      <c r="E735" t="s">
        <v>11</v>
      </c>
      <c r="F735" s="11" t="s">
        <v>679</v>
      </c>
      <c r="G735" s="39">
        <v>667.07</v>
      </c>
      <c r="H735" s="8">
        <v>0</v>
      </c>
      <c r="I735" s="8">
        <f t="shared" si="39"/>
        <v>-5158.1500000000015</v>
      </c>
      <c r="J735" s="12"/>
    </row>
    <row r="736" spans="1:10" hidden="1" x14ac:dyDescent="0.25">
      <c r="C736" s="9"/>
      <c r="D736" s="10">
        <v>45705</v>
      </c>
      <c r="E736" t="s">
        <v>11</v>
      </c>
      <c r="F736" s="11" t="s">
        <v>680</v>
      </c>
      <c r="G736" s="39">
        <v>1768.85</v>
      </c>
      <c r="H736" s="8">
        <v>0</v>
      </c>
      <c r="I736" s="8">
        <f t="shared" si="39"/>
        <v>-3389.3000000000015</v>
      </c>
      <c r="J736" s="12"/>
    </row>
    <row r="737" spans="1:10" hidden="1" x14ac:dyDescent="0.25">
      <c r="C737" s="9"/>
      <c r="D737" s="10">
        <v>45733</v>
      </c>
      <c r="E737" t="s">
        <v>11</v>
      </c>
      <c r="F737" s="11" t="s">
        <v>681</v>
      </c>
      <c r="G737" s="39">
        <v>174.24</v>
      </c>
      <c r="H737" s="8">
        <v>0</v>
      </c>
      <c r="I737" s="8">
        <f t="shared" si="39"/>
        <v>-3215.0600000000013</v>
      </c>
      <c r="J737" s="12"/>
    </row>
    <row r="738" spans="1:10" hidden="1" x14ac:dyDescent="0.25">
      <c r="C738" s="9"/>
      <c r="D738" s="10">
        <v>45733</v>
      </c>
      <c r="E738" t="s">
        <v>11</v>
      </c>
      <c r="F738" s="11" t="s">
        <v>682</v>
      </c>
      <c r="G738" s="39">
        <v>523.74</v>
      </c>
      <c r="H738" s="8">
        <v>0</v>
      </c>
      <c r="I738" s="8">
        <f t="shared" si="39"/>
        <v>-2691.3200000000015</v>
      </c>
      <c r="J738" s="12"/>
    </row>
    <row r="739" spans="1:10" hidden="1" x14ac:dyDescent="0.25">
      <c r="C739" s="9"/>
      <c r="D739" s="10">
        <v>45733</v>
      </c>
      <c r="E739" t="s">
        <v>11</v>
      </c>
      <c r="F739" s="11" t="s">
        <v>669</v>
      </c>
      <c r="G739" s="39">
        <v>215.26</v>
      </c>
      <c r="H739" s="8">
        <v>0</v>
      </c>
      <c r="I739" s="8">
        <f t="shared" si="39"/>
        <v>-2476.0600000000013</v>
      </c>
      <c r="J739" s="12"/>
    </row>
    <row r="740" spans="1:10" hidden="1" x14ac:dyDescent="0.25">
      <c r="C740" s="9"/>
      <c r="D740" s="10">
        <v>45735</v>
      </c>
      <c r="E740" t="s">
        <v>683</v>
      </c>
      <c r="F740" s="11" t="s">
        <v>684</v>
      </c>
      <c r="G740" s="8">
        <v>0</v>
      </c>
      <c r="H740" s="8">
        <v>1252.74</v>
      </c>
      <c r="I740" s="8">
        <f t="shared" si="39"/>
        <v>-3728.8000000000011</v>
      </c>
      <c r="J740" s="12"/>
    </row>
    <row r="741" spans="1:10" hidden="1" x14ac:dyDescent="0.25">
      <c r="C741" s="9"/>
      <c r="D741" s="10">
        <v>45762</v>
      </c>
      <c r="E741" t="s">
        <v>11</v>
      </c>
      <c r="F741" s="11" t="s">
        <v>678</v>
      </c>
      <c r="G741" s="39">
        <v>1615.93</v>
      </c>
      <c r="H741" s="8">
        <v>0</v>
      </c>
      <c r="I741" s="8">
        <f t="shared" si="39"/>
        <v>-2112.8700000000008</v>
      </c>
      <c r="J741" s="12"/>
    </row>
    <row r="742" spans="1:10" hidden="1" x14ac:dyDescent="0.25">
      <c r="E742" s="4" t="s">
        <v>20</v>
      </c>
      <c r="G742" s="8">
        <f>SUM(G724:G741)</f>
        <v>11741.710000000001</v>
      </c>
      <c r="H742" s="8">
        <f>SUM(H724:H741)</f>
        <v>13854.58</v>
      </c>
      <c r="I742" s="8">
        <f>G742-H742</f>
        <v>-2112.869999999999</v>
      </c>
    </row>
    <row r="744" spans="1:10" hidden="1" x14ac:dyDescent="0.25">
      <c r="A744" s="5">
        <v>4000299</v>
      </c>
      <c r="B744" s="6" t="s">
        <v>685</v>
      </c>
      <c r="C744" s="7"/>
      <c r="D744" s="7"/>
      <c r="E744" s="7"/>
      <c r="F744" s="7"/>
      <c r="G744" s="7"/>
      <c r="H744" s="7"/>
      <c r="I744" s="7"/>
      <c r="J744" s="7"/>
    </row>
    <row r="745" spans="1:10" s="40" customFormat="1" hidden="1" x14ac:dyDescent="0.25">
      <c r="E745" s="41" t="s">
        <v>10</v>
      </c>
      <c r="G745" s="39">
        <v>0</v>
      </c>
      <c r="H745" s="39">
        <v>330.16</v>
      </c>
      <c r="I745" s="39">
        <f>G745-H745</f>
        <v>-330.16</v>
      </c>
    </row>
    <row r="746" spans="1:10" s="40" customFormat="1" hidden="1" x14ac:dyDescent="0.25">
      <c r="C746" s="42"/>
      <c r="D746" s="43">
        <v>45672</v>
      </c>
      <c r="E746" s="40" t="s">
        <v>11</v>
      </c>
      <c r="F746" s="44" t="s">
        <v>686</v>
      </c>
      <c r="G746" s="39">
        <v>330.16</v>
      </c>
      <c r="H746" s="39">
        <v>0</v>
      </c>
      <c r="I746" s="39">
        <f t="shared" ref="I746:I751" si="40">G746-H746+I745</f>
        <v>0</v>
      </c>
      <c r="J746" s="45"/>
    </row>
    <row r="747" spans="1:10" s="40" customFormat="1" hidden="1" x14ac:dyDescent="0.25">
      <c r="C747" s="42"/>
      <c r="D747" s="43">
        <v>45672</v>
      </c>
      <c r="E747" s="40" t="s">
        <v>11</v>
      </c>
      <c r="F747" s="44" t="s">
        <v>686</v>
      </c>
      <c r="G747" s="39">
        <v>0</v>
      </c>
      <c r="H747" s="39">
        <v>330.16</v>
      </c>
      <c r="I747" s="39">
        <f t="shared" si="40"/>
        <v>-330.16</v>
      </c>
      <c r="J747" s="45"/>
    </row>
    <row r="748" spans="1:10" s="40" customFormat="1" hidden="1" x14ac:dyDescent="0.25">
      <c r="C748" s="42"/>
      <c r="D748" s="43">
        <v>45691</v>
      </c>
      <c r="E748" s="40" t="s">
        <v>687</v>
      </c>
      <c r="F748" s="44" t="s">
        <v>42</v>
      </c>
      <c r="G748" s="39">
        <v>330.16</v>
      </c>
      <c r="H748" s="39">
        <v>0</v>
      </c>
      <c r="I748" s="39">
        <f t="shared" si="40"/>
        <v>0</v>
      </c>
      <c r="J748" s="45"/>
    </row>
    <row r="749" spans="1:10" s="40" customFormat="1" hidden="1" x14ac:dyDescent="0.25">
      <c r="C749" s="42"/>
      <c r="D749" s="43">
        <v>45694</v>
      </c>
      <c r="E749" s="40" t="s">
        <v>688</v>
      </c>
      <c r="F749" s="44" t="s">
        <v>689</v>
      </c>
      <c r="G749" s="39">
        <v>0</v>
      </c>
      <c r="H749" s="39">
        <v>679.56</v>
      </c>
      <c r="I749" s="39">
        <f t="shared" si="40"/>
        <v>-679.56</v>
      </c>
      <c r="J749" s="45"/>
    </row>
    <row r="750" spans="1:10" hidden="1" x14ac:dyDescent="0.25">
      <c r="C750" s="9"/>
      <c r="D750" s="10">
        <v>45723</v>
      </c>
      <c r="E750" t="s">
        <v>690</v>
      </c>
      <c r="F750" s="11" t="s">
        <v>691</v>
      </c>
      <c r="G750" s="8">
        <v>0</v>
      </c>
      <c r="H750" s="8">
        <v>418.6</v>
      </c>
      <c r="I750" s="8">
        <f t="shared" si="40"/>
        <v>-1098.1599999999999</v>
      </c>
      <c r="J750" s="12"/>
    </row>
    <row r="751" spans="1:10" s="40" customFormat="1" hidden="1" x14ac:dyDescent="0.25">
      <c r="C751" s="42"/>
      <c r="D751" s="43">
        <v>45762</v>
      </c>
      <c r="E751" s="40" t="s">
        <v>11</v>
      </c>
      <c r="F751" s="44" t="s">
        <v>689</v>
      </c>
      <c r="G751" s="39">
        <v>679.56</v>
      </c>
      <c r="H751" s="39">
        <v>0</v>
      </c>
      <c r="I751" s="39">
        <f t="shared" si="40"/>
        <v>-418.59999999999991</v>
      </c>
      <c r="J751" s="45"/>
    </row>
    <row r="752" spans="1:10" hidden="1" x14ac:dyDescent="0.25">
      <c r="E752" s="4" t="s">
        <v>20</v>
      </c>
      <c r="G752" s="8">
        <f>SUM(G745:G751)</f>
        <v>1339.88</v>
      </c>
      <c r="H752" s="8">
        <f>SUM(H745:H751)</f>
        <v>1758.48</v>
      </c>
      <c r="I752" s="8">
        <f>G752-H752</f>
        <v>-418.59999999999991</v>
      </c>
    </row>
    <row r="753" spans="1:10" hidden="1" x14ac:dyDescent="0.25"/>
    <row r="754" spans="1:10" hidden="1" x14ac:dyDescent="0.25">
      <c r="A754" s="5">
        <v>4000312</v>
      </c>
      <c r="B754" s="6" t="s">
        <v>692</v>
      </c>
      <c r="C754" s="7"/>
      <c r="D754" s="7"/>
      <c r="E754" s="7"/>
      <c r="F754" s="7"/>
      <c r="G754" s="7"/>
      <c r="H754" s="7"/>
      <c r="I754" s="7"/>
      <c r="J754" s="7"/>
    </row>
    <row r="755" spans="1:10" hidden="1" x14ac:dyDescent="0.25">
      <c r="C755" s="9"/>
      <c r="D755" s="35">
        <v>45596</v>
      </c>
      <c r="E755" s="36" t="s">
        <v>8241</v>
      </c>
      <c r="F755" s="37" t="s">
        <v>693</v>
      </c>
      <c r="G755" s="38">
        <v>0</v>
      </c>
      <c r="H755" s="57">
        <v>1589.72</v>
      </c>
      <c r="I755" s="38">
        <v>-7932.0700000000006</v>
      </c>
      <c r="J755" s="59"/>
    </row>
    <row r="756" spans="1:10" hidden="1" x14ac:dyDescent="0.25">
      <c r="C756" s="9"/>
      <c r="D756" s="35">
        <v>45601</v>
      </c>
      <c r="E756" s="36" t="s">
        <v>8242</v>
      </c>
      <c r="F756" s="37" t="s">
        <v>42</v>
      </c>
      <c r="G756" s="38">
        <v>0</v>
      </c>
      <c r="H756" s="58">
        <v>2659.45</v>
      </c>
      <c r="I756" s="38">
        <v>-8061.0700000000006</v>
      </c>
      <c r="J756" s="61">
        <f>G762-H756</f>
        <v>0</v>
      </c>
    </row>
    <row r="757" spans="1:10" hidden="1" x14ac:dyDescent="0.25">
      <c r="C757" s="9"/>
      <c r="D757" s="35">
        <v>45626</v>
      </c>
      <c r="E757" s="36" t="s">
        <v>8243</v>
      </c>
      <c r="F757" s="37" t="s">
        <v>700</v>
      </c>
      <c r="G757" s="38">
        <v>0</v>
      </c>
      <c r="H757" s="57">
        <v>1676.16</v>
      </c>
      <c r="I757" s="38">
        <v>-8912.5300000000007</v>
      </c>
      <c r="J757" s="12"/>
    </row>
    <row r="758" spans="1:10" hidden="1" x14ac:dyDescent="0.25">
      <c r="C758" s="9"/>
      <c r="D758" s="35">
        <v>45657</v>
      </c>
      <c r="E758" s="36" t="s">
        <v>8244</v>
      </c>
      <c r="F758" s="37" t="s">
        <v>702</v>
      </c>
      <c r="G758" s="38">
        <v>0</v>
      </c>
      <c r="H758" s="57">
        <v>1320.61</v>
      </c>
      <c r="I758" s="38">
        <v>-7245.9400000000005</v>
      </c>
      <c r="J758" s="12"/>
    </row>
    <row r="759" spans="1:10" hidden="1" x14ac:dyDescent="0.25">
      <c r="E759" s="4" t="s">
        <v>10</v>
      </c>
      <c r="G759" s="8">
        <v>0</v>
      </c>
      <c r="H759" s="8">
        <v>7245.94</v>
      </c>
      <c r="I759" s="8">
        <f>G759-H759</f>
        <v>-7245.94</v>
      </c>
    </row>
    <row r="760" spans="1:10" hidden="1" x14ac:dyDescent="0.25">
      <c r="C760" s="9"/>
      <c r="D760" s="10">
        <v>45672</v>
      </c>
      <c r="E760" t="s">
        <v>11</v>
      </c>
      <c r="F760" s="11" t="s">
        <v>693</v>
      </c>
      <c r="G760" s="57">
        <v>1589.72</v>
      </c>
      <c r="H760" s="8">
        <v>0</v>
      </c>
      <c r="I760" s="8">
        <f t="shared" ref="I760:I771" si="41">G760-H760+I759</f>
        <v>-5656.2199999999993</v>
      </c>
      <c r="J760" s="12"/>
    </row>
    <row r="761" spans="1:10" hidden="1" x14ac:dyDescent="0.25">
      <c r="C761" s="9"/>
      <c r="D761" s="10">
        <v>45672</v>
      </c>
      <c r="E761" t="s">
        <v>11</v>
      </c>
      <c r="F761" s="11" t="s">
        <v>693</v>
      </c>
      <c r="G761" s="8">
        <v>0</v>
      </c>
      <c r="H761" s="33">
        <v>1589.72</v>
      </c>
      <c r="I761" s="8">
        <f t="shared" si="41"/>
        <v>-7245.94</v>
      </c>
      <c r="J761" s="66">
        <f>G764-H761</f>
        <v>0</v>
      </c>
    </row>
    <row r="762" spans="1:10" hidden="1" x14ac:dyDescent="0.25">
      <c r="C762" s="9"/>
      <c r="D762" s="10">
        <v>45674</v>
      </c>
      <c r="E762" t="s">
        <v>694</v>
      </c>
      <c r="F762" s="11" t="s">
        <v>42</v>
      </c>
      <c r="G762" s="58">
        <v>2659.45</v>
      </c>
      <c r="H762" s="8">
        <v>0</v>
      </c>
      <c r="I762" s="8">
        <f t="shared" si="41"/>
        <v>-4586.49</v>
      </c>
      <c r="J762" s="12"/>
    </row>
    <row r="763" spans="1:10" hidden="1" x14ac:dyDescent="0.25">
      <c r="C763" s="9"/>
      <c r="D763" s="10">
        <v>45688</v>
      </c>
      <c r="E763" t="s">
        <v>695</v>
      </c>
      <c r="F763" s="11" t="s">
        <v>696</v>
      </c>
      <c r="G763" s="8">
        <v>0</v>
      </c>
      <c r="H763" s="57">
        <v>1014.68</v>
      </c>
      <c r="I763" s="8">
        <f t="shared" si="41"/>
        <v>-5601.17</v>
      </c>
      <c r="J763" s="12"/>
    </row>
    <row r="764" spans="1:10" hidden="1" x14ac:dyDescent="0.25">
      <c r="C764" s="9" t="s">
        <v>124</v>
      </c>
      <c r="D764" s="10">
        <v>45691</v>
      </c>
      <c r="E764" t="s">
        <v>697</v>
      </c>
      <c r="F764" s="11" t="s">
        <v>42</v>
      </c>
      <c r="G764" s="33">
        <v>1589.72</v>
      </c>
      <c r="H764" s="8">
        <v>0</v>
      </c>
      <c r="I764" s="8">
        <f t="shared" si="41"/>
        <v>-4011.45</v>
      </c>
      <c r="J764" s="12"/>
    </row>
    <row r="765" spans="1:10" hidden="1" x14ac:dyDescent="0.25">
      <c r="C765" s="9"/>
      <c r="D765" s="10">
        <v>45703</v>
      </c>
      <c r="E765" t="s">
        <v>698</v>
      </c>
      <c r="F765" s="11" t="s">
        <v>699</v>
      </c>
      <c r="G765" s="8">
        <v>0</v>
      </c>
      <c r="H765" s="8">
        <v>494.71</v>
      </c>
      <c r="I765" s="8">
        <f t="shared" si="41"/>
        <v>-4506.16</v>
      </c>
      <c r="J765" s="63">
        <v>45792</v>
      </c>
    </row>
    <row r="766" spans="1:10" hidden="1" x14ac:dyDescent="0.25">
      <c r="C766" s="9"/>
      <c r="D766" s="10">
        <v>45705</v>
      </c>
      <c r="E766" t="s">
        <v>11</v>
      </c>
      <c r="F766" s="11" t="s">
        <v>700</v>
      </c>
      <c r="G766" s="57">
        <v>1676.16</v>
      </c>
      <c r="H766" s="8">
        <v>0</v>
      </c>
      <c r="I766" s="8">
        <f t="shared" si="41"/>
        <v>-2830</v>
      </c>
      <c r="J766" s="12"/>
    </row>
    <row r="767" spans="1:10" hidden="1" x14ac:dyDescent="0.25">
      <c r="C767" s="9"/>
      <c r="D767" s="10">
        <v>45705</v>
      </c>
      <c r="E767" t="s">
        <v>11</v>
      </c>
      <c r="F767" s="11" t="s">
        <v>700</v>
      </c>
      <c r="G767" s="33">
        <v>0</v>
      </c>
      <c r="H767" s="33">
        <v>1676.16</v>
      </c>
      <c r="I767" s="8">
        <f t="shared" si="41"/>
        <v>-4506.16</v>
      </c>
      <c r="J767" s="12"/>
    </row>
    <row r="768" spans="1:10" hidden="1" x14ac:dyDescent="0.25">
      <c r="C768" s="9" t="s">
        <v>124</v>
      </c>
      <c r="D768" s="10">
        <v>45719</v>
      </c>
      <c r="E768" t="s">
        <v>701</v>
      </c>
      <c r="F768" s="11" t="s">
        <v>42</v>
      </c>
      <c r="G768" s="33">
        <v>1676.16</v>
      </c>
      <c r="H768" s="33">
        <v>0</v>
      </c>
      <c r="I768" s="8">
        <f t="shared" si="41"/>
        <v>-2830</v>
      </c>
      <c r="J768" s="12"/>
    </row>
    <row r="769" spans="1:10" hidden="1" x14ac:dyDescent="0.25">
      <c r="C769" s="9"/>
      <c r="D769" s="10">
        <v>45733</v>
      </c>
      <c r="E769" t="s">
        <v>11</v>
      </c>
      <c r="F769" s="11" t="s">
        <v>702</v>
      </c>
      <c r="G769" s="57">
        <v>1320.61</v>
      </c>
      <c r="H769" s="8">
        <v>0</v>
      </c>
      <c r="I769" s="8">
        <f t="shared" si="41"/>
        <v>-1509.39</v>
      </c>
      <c r="J769" s="12"/>
    </row>
    <row r="770" spans="1:10" hidden="1" x14ac:dyDescent="0.25">
      <c r="C770" s="9"/>
      <c r="D770" s="10">
        <v>45747</v>
      </c>
      <c r="E770" t="s">
        <v>703</v>
      </c>
      <c r="F770" s="11" t="s">
        <v>704</v>
      </c>
      <c r="G770" s="8">
        <v>0</v>
      </c>
      <c r="H770" s="8">
        <v>1215.94</v>
      </c>
      <c r="I770" s="8">
        <f t="shared" si="41"/>
        <v>-2725.33</v>
      </c>
      <c r="J770" s="63">
        <v>45823</v>
      </c>
    </row>
    <row r="771" spans="1:10" hidden="1" x14ac:dyDescent="0.25">
      <c r="C771" s="9"/>
      <c r="D771" s="10">
        <v>45762</v>
      </c>
      <c r="E771" t="s">
        <v>11</v>
      </c>
      <c r="F771" s="11" t="s">
        <v>696</v>
      </c>
      <c r="G771" s="57">
        <v>1014.68</v>
      </c>
      <c r="H771" s="8">
        <v>0</v>
      </c>
      <c r="I771" s="8">
        <f t="shared" si="41"/>
        <v>-1710.65</v>
      </c>
      <c r="J771" s="12"/>
    </row>
    <row r="772" spans="1:10" hidden="1" x14ac:dyDescent="0.25">
      <c r="E772" s="4" t="s">
        <v>20</v>
      </c>
      <c r="G772" s="8">
        <f>SUM(G759:G771)</f>
        <v>11526.500000000002</v>
      </c>
      <c r="H772" s="8">
        <f>SUM(H759:H771)</f>
        <v>13237.15</v>
      </c>
      <c r="I772" s="8">
        <f>G772-H772</f>
        <v>-1710.6499999999978</v>
      </c>
    </row>
    <row r="773" spans="1:10" hidden="1" x14ac:dyDescent="0.25"/>
    <row r="774" spans="1:10" x14ac:dyDescent="0.25">
      <c r="A774" s="5">
        <v>4000319</v>
      </c>
      <c r="B774" s="6" t="s">
        <v>705</v>
      </c>
      <c r="C774" s="7"/>
      <c r="D774" s="7"/>
      <c r="E774" s="7"/>
      <c r="F774" s="7"/>
      <c r="G774" s="7"/>
      <c r="H774" s="7"/>
      <c r="I774" s="7"/>
      <c r="J774" s="7"/>
    </row>
    <row r="775" spans="1:10" hidden="1" x14ac:dyDescent="0.25">
      <c r="C775" s="9"/>
      <c r="D775" s="35">
        <v>45589</v>
      </c>
      <c r="E775" s="36" t="s">
        <v>8245</v>
      </c>
      <c r="F775" s="37" t="s">
        <v>706</v>
      </c>
      <c r="G775" s="38">
        <v>0</v>
      </c>
      <c r="H775" s="39">
        <v>288.58999999999997</v>
      </c>
      <c r="I775" s="38">
        <f t="shared" ref="I775:I777" si="42">G775-H775+I774</f>
        <v>-288.58999999999997</v>
      </c>
      <c r="J775" s="12"/>
    </row>
    <row r="776" spans="1:10" hidden="1" x14ac:dyDescent="0.25">
      <c r="C776" s="9"/>
      <c r="D776" s="35">
        <v>45626</v>
      </c>
      <c r="E776" s="36" t="s">
        <v>8246</v>
      </c>
      <c r="F776" s="37" t="s">
        <v>711</v>
      </c>
      <c r="G776" s="38">
        <v>0</v>
      </c>
      <c r="H776" s="39">
        <v>117.54</v>
      </c>
      <c r="I776" s="38">
        <f t="shared" si="42"/>
        <v>-406.13</v>
      </c>
      <c r="J776" s="12"/>
    </row>
    <row r="777" spans="1:10" hidden="1" x14ac:dyDescent="0.25">
      <c r="C777" s="9"/>
      <c r="D777" s="35">
        <v>45642</v>
      </c>
      <c r="E777" s="36" t="s">
        <v>8247</v>
      </c>
      <c r="F777" s="37" t="s">
        <v>712</v>
      </c>
      <c r="G777" s="38">
        <v>0</v>
      </c>
      <c r="H777" s="39">
        <v>93.08</v>
      </c>
      <c r="I777" s="38">
        <f t="shared" si="42"/>
        <v>-499.21</v>
      </c>
      <c r="J777" s="12"/>
    </row>
    <row r="778" spans="1:10" hidden="1" x14ac:dyDescent="0.25">
      <c r="E778" s="4" t="s">
        <v>10</v>
      </c>
      <c r="G778" s="8">
        <v>0</v>
      </c>
      <c r="H778" s="8">
        <v>499.21</v>
      </c>
      <c r="I778" s="8">
        <f>G778-H778</f>
        <v>-499.21</v>
      </c>
    </row>
    <row r="779" spans="1:10" hidden="1" x14ac:dyDescent="0.25">
      <c r="C779" s="9"/>
      <c r="D779" s="10">
        <v>45672</v>
      </c>
      <c r="E779" t="s">
        <v>11</v>
      </c>
      <c r="F779" s="11" t="s">
        <v>706</v>
      </c>
      <c r="G779" s="39">
        <v>288.58999999999997</v>
      </c>
      <c r="H779" s="8">
        <v>0</v>
      </c>
      <c r="I779" s="8">
        <f t="shared" ref="I779:I786" si="43">G779-H779+I778</f>
        <v>-210.62</v>
      </c>
      <c r="J779" s="12"/>
    </row>
    <row r="780" spans="1:10" hidden="1" x14ac:dyDescent="0.25">
      <c r="C780" s="9"/>
      <c r="D780" s="10">
        <v>45672</v>
      </c>
      <c r="E780" t="s">
        <v>11</v>
      </c>
      <c r="F780" s="11" t="s">
        <v>706</v>
      </c>
      <c r="G780" s="39">
        <v>0</v>
      </c>
      <c r="H780" s="39">
        <v>288.58999999999997</v>
      </c>
      <c r="I780" s="8">
        <f t="shared" si="43"/>
        <v>-499.21</v>
      </c>
      <c r="J780" s="12"/>
    </row>
    <row r="781" spans="1:10" hidden="1" x14ac:dyDescent="0.25">
      <c r="C781" s="9"/>
      <c r="D781" s="10">
        <v>45677</v>
      </c>
      <c r="E781" t="s">
        <v>707</v>
      </c>
      <c r="F781" s="11" t="s">
        <v>708</v>
      </c>
      <c r="G781" s="39">
        <v>0</v>
      </c>
      <c r="H781" s="39">
        <v>30.25</v>
      </c>
      <c r="I781" s="8">
        <f t="shared" si="43"/>
        <v>-529.46</v>
      </c>
      <c r="J781" s="12"/>
    </row>
    <row r="782" spans="1:10" hidden="1" x14ac:dyDescent="0.25">
      <c r="C782" s="9"/>
      <c r="D782" s="10">
        <v>45692</v>
      </c>
      <c r="E782" t="s">
        <v>709</v>
      </c>
      <c r="F782" s="11" t="s">
        <v>42</v>
      </c>
      <c r="G782" s="39">
        <v>318.83999999999997</v>
      </c>
      <c r="H782" s="39">
        <v>0</v>
      </c>
      <c r="I782" s="8">
        <f t="shared" si="43"/>
        <v>-210.62000000000006</v>
      </c>
      <c r="J782" s="12"/>
    </row>
    <row r="783" spans="1:10" x14ac:dyDescent="0.25">
      <c r="C783" s="9"/>
      <c r="D783" s="10">
        <v>45705</v>
      </c>
      <c r="E783" t="s">
        <v>710</v>
      </c>
      <c r="F783" s="11" t="s">
        <v>42</v>
      </c>
      <c r="G783" s="8">
        <v>62.22</v>
      </c>
      <c r="H783" s="8">
        <v>0</v>
      </c>
      <c r="I783" s="8">
        <f t="shared" si="43"/>
        <v>-148.40000000000006</v>
      </c>
      <c r="J783" s="20" t="s">
        <v>8144</v>
      </c>
    </row>
    <row r="784" spans="1:10" hidden="1" x14ac:dyDescent="0.25">
      <c r="C784" s="9"/>
      <c r="D784" s="10">
        <v>45705</v>
      </c>
      <c r="E784" t="s">
        <v>11</v>
      </c>
      <c r="F784" s="11" t="s">
        <v>711</v>
      </c>
      <c r="G784" s="39">
        <v>117.54</v>
      </c>
      <c r="H784" s="8">
        <v>0</v>
      </c>
      <c r="I784" s="8">
        <f t="shared" si="43"/>
        <v>-30.860000000000056</v>
      </c>
      <c r="J784" s="12"/>
    </row>
    <row r="785" spans="1:10" hidden="1" x14ac:dyDescent="0.25">
      <c r="C785" s="9"/>
      <c r="D785" s="10">
        <v>45705</v>
      </c>
      <c r="E785" t="s">
        <v>11</v>
      </c>
      <c r="F785" s="11" t="s">
        <v>712</v>
      </c>
      <c r="G785" s="39">
        <v>93.08</v>
      </c>
      <c r="H785" s="8">
        <v>0</v>
      </c>
      <c r="I785" s="8">
        <f t="shared" si="43"/>
        <v>62.219999999999942</v>
      </c>
      <c r="J785" s="12"/>
    </row>
    <row r="786" spans="1:10" hidden="1" x14ac:dyDescent="0.25">
      <c r="C786" s="9"/>
      <c r="D786" s="10">
        <v>45716</v>
      </c>
      <c r="E786" t="s">
        <v>713</v>
      </c>
      <c r="F786" s="11" t="s">
        <v>714</v>
      </c>
      <c r="G786" s="8">
        <v>0</v>
      </c>
      <c r="H786" s="8">
        <v>164.6</v>
      </c>
      <c r="I786" s="8">
        <f t="shared" si="43"/>
        <v>-102.38000000000005</v>
      </c>
      <c r="J786" s="63">
        <v>45792</v>
      </c>
    </row>
    <row r="787" spans="1:10" hidden="1" x14ac:dyDescent="0.25">
      <c r="E787" s="4" t="s">
        <v>20</v>
      </c>
      <c r="G787" s="8">
        <f>SUM(G778:G786)</f>
        <v>880.27</v>
      </c>
      <c r="H787" s="8">
        <f>SUM(H778:H786)</f>
        <v>982.65</v>
      </c>
      <c r="I787" s="8">
        <f>G787-H787</f>
        <v>-102.38</v>
      </c>
    </row>
    <row r="789" spans="1:10" hidden="1" x14ac:dyDescent="0.25">
      <c r="A789" s="5">
        <v>4000327</v>
      </c>
      <c r="B789" s="6" t="s">
        <v>715</v>
      </c>
      <c r="C789" s="7"/>
      <c r="D789" s="7"/>
      <c r="E789" s="7"/>
      <c r="F789" s="7"/>
      <c r="G789" s="7"/>
      <c r="H789" s="7"/>
      <c r="I789" s="7"/>
      <c r="J789" s="7"/>
    </row>
    <row r="790" spans="1:10" hidden="1" x14ac:dyDescent="0.25">
      <c r="C790" s="9"/>
      <c r="D790" s="10">
        <v>45761</v>
      </c>
      <c r="E790" t="s">
        <v>716</v>
      </c>
      <c r="F790" s="11" t="s">
        <v>42</v>
      </c>
      <c r="G790" s="8">
        <v>0</v>
      </c>
      <c r="H790" s="8">
        <v>0</v>
      </c>
      <c r="I790" s="8">
        <f>G790-H790</f>
        <v>0</v>
      </c>
      <c r="J790" s="12"/>
    </row>
    <row r="791" spans="1:10" hidden="1" x14ac:dyDescent="0.25">
      <c r="E791" s="4" t="s">
        <v>20</v>
      </c>
      <c r="G791" s="8">
        <f>G790</f>
        <v>0</v>
      </c>
      <c r="H791" s="8">
        <f>H790</f>
        <v>0</v>
      </c>
      <c r="I791" s="8">
        <f>G791-H791</f>
        <v>0</v>
      </c>
    </row>
    <row r="792" spans="1:10" hidden="1" x14ac:dyDescent="0.25"/>
    <row r="793" spans="1:10" hidden="1" x14ac:dyDescent="0.25">
      <c r="A793" s="5">
        <v>4000328</v>
      </c>
      <c r="B793" s="6" t="s">
        <v>717</v>
      </c>
      <c r="C793" s="7"/>
      <c r="D793" s="7"/>
      <c r="E793" s="7"/>
      <c r="F793" s="7"/>
      <c r="G793" s="7"/>
      <c r="H793" s="7"/>
      <c r="I793" s="7"/>
      <c r="J793" s="7"/>
    </row>
    <row r="794" spans="1:10" hidden="1" x14ac:dyDescent="0.25">
      <c r="E794" s="4" t="s">
        <v>10</v>
      </c>
      <c r="G794" s="8">
        <v>0</v>
      </c>
      <c r="H794" s="39">
        <v>478.06</v>
      </c>
      <c r="I794" s="8">
        <f>G794-H794</f>
        <v>-478.06</v>
      </c>
    </row>
    <row r="795" spans="1:10" hidden="1" x14ac:dyDescent="0.25">
      <c r="C795" s="9"/>
      <c r="D795" s="10">
        <v>45701</v>
      </c>
      <c r="E795" t="s">
        <v>718</v>
      </c>
      <c r="F795" s="11" t="s">
        <v>719</v>
      </c>
      <c r="G795" s="8">
        <v>0</v>
      </c>
      <c r="H795" s="39">
        <v>531.91999999999996</v>
      </c>
      <c r="I795" s="8">
        <f t="shared" ref="I795:I802" si="44">G795-H795+I794</f>
        <v>-1009.98</v>
      </c>
      <c r="J795" s="12"/>
    </row>
    <row r="796" spans="1:10" hidden="1" x14ac:dyDescent="0.25">
      <c r="C796" s="9"/>
      <c r="D796" s="10">
        <v>45705</v>
      </c>
      <c r="E796" t="s">
        <v>11</v>
      </c>
      <c r="F796" s="11" t="s">
        <v>720</v>
      </c>
      <c r="G796" s="39">
        <v>478.06</v>
      </c>
      <c r="H796" s="8">
        <v>0</v>
      </c>
      <c r="I796" s="8">
        <f t="shared" si="44"/>
        <v>-531.92000000000007</v>
      </c>
      <c r="J796" s="12"/>
    </row>
    <row r="797" spans="1:10" hidden="1" x14ac:dyDescent="0.25">
      <c r="C797" s="9"/>
      <c r="D797" s="10">
        <v>45705</v>
      </c>
      <c r="E797" t="s">
        <v>11</v>
      </c>
      <c r="F797" s="11" t="s">
        <v>720</v>
      </c>
      <c r="G797" s="8">
        <v>0</v>
      </c>
      <c r="H797" s="8">
        <v>478.06</v>
      </c>
      <c r="I797" s="8">
        <f t="shared" si="44"/>
        <v>-1009.98</v>
      </c>
      <c r="J797" s="12"/>
    </row>
    <row r="798" spans="1:10" hidden="1" x14ac:dyDescent="0.25">
      <c r="C798" s="9" t="s">
        <v>124</v>
      </c>
      <c r="D798" s="10">
        <v>45719</v>
      </c>
      <c r="E798" t="s">
        <v>721</v>
      </c>
      <c r="F798" s="11" t="s">
        <v>722</v>
      </c>
      <c r="G798" s="8">
        <v>478.06</v>
      </c>
      <c r="H798" s="8">
        <v>0</v>
      </c>
      <c r="I798" s="8">
        <f t="shared" si="44"/>
        <v>-531.92000000000007</v>
      </c>
      <c r="J798" s="12"/>
    </row>
    <row r="799" spans="1:10" hidden="1" x14ac:dyDescent="0.25">
      <c r="C799" s="9"/>
      <c r="D799" s="10">
        <v>45719</v>
      </c>
      <c r="E799" t="s">
        <v>723</v>
      </c>
      <c r="F799" s="11" t="s">
        <v>42</v>
      </c>
      <c r="G799" s="39">
        <v>0</v>
      </c>
      <c r="H799" s="39">
        <v>488.44</v>
      </c>
      <c r="I799" s="8">
        <f t="shared" si="44"/>
        <v>-1020.3600000000001</v>
      </c>
      <c r="J799" s="12"/>
    </row>
    <row r="800" spans="1:10" hidden="1" x14ac:dyDescent="0.25">
      <c r="C800" s="9"/>
      <c r="D800" s="10">
        <v>45719</v>
      </c>
      <c r="E800" t="s">
        <v>723</v>
      </c>
      <c r="F800" s="11" t="s">
        <v>42</v>
      </c>
      <c r="G800" s="39">
        <v>488.44</v>
      </c>
      <c r="H800" s="39">
        <v>0</v>
      </c>
      <c r="I800" s="8">
        <f t="shared" si="44"/>
        <v>-531.92000000000007</v>
      </c>
      <c r="J800" s="12"/>
    </row>
    <row r="801" spans="1:10" hidden="1" x14ac:dyDescent="0.25">
      <c r="C801" s="9"/>
      <c r="D801" s="10">
        <v>45747</v>
      </c>
      <c r="E801" t="s">
        <v>724</v>
      </c>
      <c r="F801" s="11" t="s">
        <v>725</v>
      </c>
      <c r="G801" s="8">
        <v>0</v>
      </c>
      <c r="H801" s="8">
        <v>865.05</v>
      </c>
      <c r="I801" s="8">
        <f t="shared" si="44"/>
        <v>-1396.97</v>
      </c>
      <c r="J801" s="12"/>
    </row>
    <row r="802" spans="1:10" hidden="1" x14ac:dyDescent="0.25">
      <c r="C802" s="9"/>
      <c r="D802" s="10">
        <v>45762</v>
      </c>
      <c r="E802" t="s">
        <v>11</v>
      </c>
      <c r="F802" s="11" t="s">
        <v>719</v>
      </c>
      <c r="G802" s="39">
        <v>531.91999999999996</v>
      </c>
      <c r="H802" s="8">
        <v>0</v>
      </c>
      <c r="I802" s="8">
        <f t="shared" si="44"/>
        <v>-865.05000000000007</v>
      </c>
      <c r="J802" s="12"/>
    </row>
    <row r="803" spans="1:10" hidden="1" x14ac:dyDescent="0.25">
      <c r="E803" s="4" t="s">
        <v>20</v>
      </c>
      <c r="G803" s="8">
        <f>SUM(G794:G802)</f>
        <v>1976.48</v>
      </c>
      <c r="H803" s="8">
        <f>SUM(H794:H802)</f>
        <v>2841.5299999999997</v>
      </c>
      <c r="I803" s="8">
        <f>G803-H803</f>
        <v>-865.04999999999973</v>
      </c>
    </row>
    <row r="804" spans="1:10" hidden="1" x14ac:dyDescent="0.25"/>
    <row r="805" spans="1:10" x14ac:dyDescent="0.25">
      <c r="A805" s="5">
        <v>4000332</v>
      </c>
      <c r="B805" s="6" t="s">
        <v>726</v>
      </c>
      <c r="C805" s="7"/>
      <c r="D805" s="7"/>
      <c r="E805" s="7"/>
      <c r="F805" s="7"/>
      <c r="G805" s="7"/>
      <c r="H805" s="7"/>
      <c r="I805" s="7"/>
      <c r="J805" s="7"/>
    </row>
    <row r="806" spans="1:10" x14ac:dyDescent="0.25">
      <c r="C806" s="9"/>
      <c r="D806" s="35">
        <v>45511</v>
      </c>
      <c r="E806" s="36" t="s">
        <v>8242</v>
      </c>
      <c r="F806" s="37" t="s">
        <v>42</v>
      </c>
      <c r="G806" s="38">
        <v>0</v>
      </c>
      <c r="H806" s="38">
        <v>519.07000000000005</v>
      </c>
      <c r="I806" s="38">
        <f t="shared" ref="I806:I807" si="45">G806-H806+I805</f>
        <v>-519.07000000000005</v>
      </c>
      <c r="J806" s="32" t="s">
        <v>8249</v>
      </c>
    </row>
    <row r="807" spans="1:10" hidden="1" x14ac:dyDescent="0.25">
      <c r="C807" s="9"/>
      <c r="D807" s="10">
        <v>45610</v>
      </c>
      <c r="E807" t="s">
        <v>8248</v>
      </c>
      <c r="F807" s="11" t="s">
        <v>729</v>
      </c>
      <c r="G807" s="8">
        <v>0</v>
      </c>
      <c r="H807" s="8">
        <v>221.68</v>
      </c>
      <c r="I807" s="8">
        <f t="shared" si="45"/>
        <v>-740.75</v>
      </c>
      <c r="J807" s="12"/>
    </row>
    <row r="808" spans="1:10" hidden="1" x14ac:dyDescent="0.25">
      <c r="E808" s="4" t="s">
        <v>10</v>
      </c>
      <c r="G808" s="8">
        <v>0</v>
      </c>
      <c r="H808" s="8">
        <v>740.75</v>
      </c>
      <c r="I808" s="8">
        <f>G808-H808</f>
        <v>-740.75</v>
      </c>
    </row>
    <row r="809" spans="1:10" hidden="1" x14ac:dyDescent="0.25">
      <c r="C809" s="9"/>
      <c r="D809" s="10">
        <v>45700</v>
      </c>
      <c r="E809" t="s">
        <v>727</v>
      </c>
      <c r="F809" s="11" t="s">
        <v>728</v>
      </c>
      <c r="G809" s="8">
        <v>0</v>
      </c>
      <c r="H809" s="8">
        <v>191.35</v>
      </c>
      <c r="I809" s="8">
        <f>G809-H809+I808</f>
        <v>-932.1</v>
      </c>
      <c r="J809" s="63">
        <v>45792</v>
      </c>
    </row>
    <row r="810" spans="1:10" hidden="1" x14ac:dyDescent="0.25">
      <c r="C810" s="9"/>
      <c r="D810" s="10">
        <v>45705</v>
      </c>
      <c r="E810" t="s">
        <v>11</v>
      </c>
      <c r="F810" s="11" t="s">
        <v>729</v>
      </c>
      <c r="G810" s="8">
        <v>221.68</v>
      </c>
      <c r="H810" s="8">
        <v>0</v>
      </c>
      <c r="I810" s="8">
        <f>G810-H810+I809</f>
        <v>-710.42000000000007</v>
      </c>
      <c r="J810" s="12"/>
    </row>
    <row r="811" spans="1:10" hidden="1" x14ac:dyDescent="0.25">
      <c r="E811" s="4" t="s">
        <v>20</v>
      </c>
      <c r="G811" s="8">
        <f>SUM(G808:G810)</f>
        <v>221.68</v>
      </c>
      <c r="H811" s="8">
        <f>SUM(H808:H810)</f>
        <v>932.1</v>
      </c>
      <c r="I811" s="8">
        <f>G811-H811</f>
        <v>-710.42000000000007</v>
      </c>
    </row>
    <row r="813" spans="1:10" hidden="1" x14ac:dyDescent="0.25">
      <c r="A813" s="5">
        <v>4000339</v>
      </c>
      <c r="B813" s="6" t="s">
        <v>730</v>
      </c>
      <c r="C813" s="7"/>
      <c r="D813" s="7"/>
      <c r="E813" s="7"/>
      <c r="F813" s="7"/>
      <c r="G813" s="7"/>
      <c r="H813" s="7"/>
      <c r="I813" s="7"/>
      <c r="J813" s="7"/>
    </row>
    <row r="814" spans="1:10" hidden="1" x14ac:dyDescent="0.25">
      <c r="E814" s="4" t="s">
        <v>10</v>
      </c>
      <c r="G814" s="8">
        <v>0</v>
      </c>
      <c r="H814" s="39">
        <v>2682.52</v>
      </c>
      <c r="I814" s="8">
        <f>G814-H814</f>
        <v>-2682.52</v>
      </c>
    </row>
    <row r="815" spans="1:10" hidden="1" x14ac:dyDescent="0.25">
      <c r="C815" s="9"/>
      <c r="D815" s="10">
        <v>45672</v>
      </c>
      <c r="E815" t="s">
        <v>11</v>
      </c>
      <c r="F815" s="11" t="s">
        <v>731</v>
      </c>
      <c r="G815" s="39">
        <v>122.36</v>
      </c>
      <c r="H815" s="8">
        <v>0</v>
      </c>
      <c r="I815" s="8">
        <f t="shared" ref="I815:I831" si="46">G815-H815+I814</f>
        <v>-2560.16</v>
      </c>
      <c r="J815" s="12"/>
    </row>
    <row r="816" spans="1:10" hidden="1" x14ac:dyDescent="0.25">
      <c r="C816" s="9"/>
      <c r="D816" s="10">
        <v>45672</v>
      </c>
      <c r="E816" t="s">
        <v>11</v>
      </c>
      <c r="F816" s="11" t="s">
        <v>732</v>
      </c>
      <c r="G816" s="39">
        <v>344.28</v>
      </c>
      <c r="H816" s="8">
        <v>0</v>
      </c>
      <c r="I816" s="8">
        <f t="shared" si="46"/>
        <v>-2215.88</v>
      </c>
      <c r="J816" s="12"/>
    </row>
    <row r="817" spans="3:10" hidden="1" x14ac:dyDescent="0.25">
      <c r="C817" s="9"/>
      <c r="D817" s="10">
        <v>45672</v>
      </c>
      <c r="E817" t="s">
        <v>11</v>
      </c>
      <c r="F817" s="11" t="s">
        <v>733</v>
      </c>
      <c r="G817" s="39">
        <v>507.46</v>
      </c>
      <c r="H817" s="8">
        <v>0</v>
      </c>
      <c r="I817" s="8">
        <f t="shared" si="46"/>
        <v>-1708.42</v>
      </c>
      <c r="J817" s="12"/>
    </row>
    <row r="818" spans="3:10" hidden="1" x14ac:dyDescent="0.25">
      <c r="C818" s="9"/>
      <c r="D818" s="10">
        <v>45674</v>
      </c>
      <c r="E818" t="s">
        <v>734</v>
      </c>
      <c r="F818" s="11" t="s">
        <v>735</v>
      </c>
      <c r="G818" s="8">
        <v>0</v>
      </c>
      <c r="H818" s="39">
        <v>434.22</v>
      </c>
      <c r="I818" s="8">
        <f t="shared" si="46"/>
        <v>-2142.6400000000003</v>
      </c>
      <c r="J818" s="12"/>
    </row>
    <row r="819" spans="3:10" hidden="1" x14ac:dyDescent="0.25">
      <c r="C819" s="9"/>
      <c r="D819" s="10">
        <v>45687</v>
      </c>
      <c r="E819" t="s">
        <v>736</v>
      </c>
      <c r="F819" s="11" t="s">
        <v>737</v>
      </c>
      <c r="G819" s="8">
        <v>0</v>
      </c>
      <c r="H819" s="39">
        <v>3158.05</v>
      </c>
      <c r="I819" s="8">
        <f t="shared" si="46"/>
        <v>-5300.6900000000005</v>
      </c>
      <c r="J819" s="12"/>
    </row>
    <row r="820" spans="3:10" hidden="1" x14ac:dyDescent="0.25">
      <c r="C820" s="9"/>
      <c r="D820" s="10">
        <v>45688</v>
      </c>
      <c r="E820" t="s">
        <v>738</v>
      </c>
      <c r="F820" s="11" t="s">
        <v>739</v>
      </c>
      <c r="G820" s="8">
        <v>0</v>
      </c>
      <c r="H820" s="39">
        <v>83.76</v>
      </c>
      <c r="I820" s="8">
        <f t="shared" si="46"/>
        <v>-5384.4500000000007</v>
      </c>
      <c r="J820" s="12"/>
    </row>
    <row r="821" spans="3:10" hidden="1" x14ac:dyDescent="0.25">
      <c r="C821" s="9"/>
      <c r="D821" s="10">
        <v>45693</v>
      </c>
      <c r="E821" t="s">
        <v>740</v>
      </c>
      <c r="F821" s="11" t="s">
        <v>741</v>
      </c>
      <c r="G821" s="8">
        <v>0</v>
      </c>
      <c r="H821" s="39">
        <v>244.57</v>
      </c>
      <c r="I821" s="8">
        <f t="shared" si="46"/>
        <v>-5629.02</v>
      </c>
      <c r="J821" s="12"/>
    </row>
    <row r="822" spans="3:10" hidden="1" x14ac:dyDescent="0.25">
      <c r="C822" s="9"/>
      <c r="D822" s="10">
        <v>45705</v>
      </c>
      <c r="E822" t="s">
        <v>11</v>
      </c>
      <c r="F822" s="11" t="s">
        <v>742</v>
      </c>
      <c r="G822" s="39">
        <v>247.51</v>
      </c>
      <c r="H822" s="8">
        <v>0</v>
      </c>
      <c r="I822" s="8">
        <f t="shared" si="46"/>
        <v>-5381.51</v>
      </c>
      <c r="J822" s="12"/>
    </row>
    <row r="823" spans="3:10" hidden="1" x14ac:dyDescent="0.25">
      <c r="C823" s="9"/>
      <c r="D823" s="10">
        <v>45705</v>
      </c>
      <c r="E823" t="s">
        <v>11</v>
      </c>
      <c r="F823" s="11" t="s">
        <v>743</v>
      </c>
      <c r="G823" s="39">
        <v>1460.91</v>
      </c>
      <c r="H823" s="8">
        <v>0</v>
      </c>
      <c r="I823" s="8">
        <f t="shared" si="46"/>
        <v>-3920.6000000000004</v>
      </c>
      <c r="J823" s="12"/>
    </row>
    <row r="824" spans="3:10" hidden="1" x14ac:dyDescent="0.25">
      <c r="C824" s="9"/>
      <c r="D824" s="10">
        <v>45705</v>
      </c>
      <c r="E824" t="s">
        <v>11</v>
      </c>
      <c r="F824" s="11" t="s">
        <v>743</v>
      </c>
      <c r="G824" s="39">
        <v>0</v>
      </c>
      <c r="H824" s="39">
        <v>1460.91</v>
      </c>
      <c r="I824" s="8">
        <f t="shared" si="46"/>
        <v>-5381.51</v>
      </c>
      <c r="J824" s="12"/>
    </row>
    <row r="825" spans="3:10" hidden="1" x14ac:dyDescent="0.25">
      <c r="C825" s="9" t="s">
        <v>124</v>
      </c>
      <c r="D825" s="10">
        <v>45719</v>
      </c>
      <c r="E825" t="s">
        <v>744</v>
      </c>
      <c r="F825" s="11" t="s">
        <v>42</v>
      </c>
      <c r="G825" s="39">
        <v>1460.91</v>
      </c>
      <c r="H825" s="39">
        <v>0</v>
      </c>
      <c r="I825" s="8">
        <f t="shared" si="46"/>
        <v>-3920.6000000000004</v>
      </c>
      <c r="J825" s="12"/>
    </row>
    <row r="826" spans="3:10" hidden="1" x14ac:dyDescent="0.25">
      <c r="C826" s="9"/>
      <c r="D826" s="10">
        <v>45736</v>
      </c>
      <c r="E826" t="s">
        <v>745</v>
      </c>
      <c r="F826" s="11" t="s">
        <v>746</v>
      </c>
      <c r="G826" s="8">
        <v>0</v>
      </c>
      <c r="H826" s="8">
        <v>638.80999999999995</v>
      </c>
      <c r="I826" s="8">
        <f t="shared" si="46"/>
        <v>-4559.41</v>
      </c>
      <c r="J826" s="12"/>
    </row>
    <row r="827" spans="3:10" hidden="1" x14ac:dyDescent="0.25">
      <c r="C827" s="9"/>
      <c r="D827" s="10">
        <v>45741</v>
      </c>
      <c r="E827" t="s">
        <v>747</v>
      </c>
      <c r="F827" s="11" t="s">
        <v>748</v>
      </c>
      <c r="G827" s="8">
        <v>0</v>
      </c>
      <c r="H827" s="8">
        <v>1227.46</v>
      </c>
      <c r="I827" s="8">
        <f t="shared" si="46"/>
        <v>-5786.87</v>
      </c>
      <c r="J827" s="12"/>
    </row>
    <row r="828" spans="3:10" hidden="1" x14ac:dyDescent="0.25">
      <c r="C828" s="9"/>
      <c r="D828" s="10">
        <v>45762</v>
      </c>
      <c r="E828" t="s">
        <v>11</v>
      </c>
      <c r="F828" s="11" t="s">
        <v>739</v>
      </c>
      <c r="G828" s="39">
        <v>83.76</v>
      </c>
      <c r="H828" s="8">
        <v>0</v>
      </c>
      <c r="I828" s="8">
        <f t="shared" si="46"/>
        <v>-5703.11</v>
      </c>
      <c r="J828" s="12"/>
    </row>
    <row r="829" spans="3:10" hidden="1" x14ac:dyDescent="0.25">
      <c r="C829" s="9"/>
      <c r="D829" s="10">
        <v>45762</v>
      </c>
      <c r="E829" t="s">
        <v>11</v>
      </c>
      <c r="F829" s="11" t="s">
        <v>741</v>
      </c>
      <c r="G829" s="39">
        <v>244.57</v>
      </c>
      <c r="H829" s="8">
        <v>0</v>
      </c>
      <c r="I829" s="8">
        <f t="shared" si="46"/>
        <v>-5458.54</v>
      </c>
      <c r="J829" s="12"/>
    </row>
    <row r="830" spans="3:10" hidden="1" x14ac:dyDescent="0.25">
      <c r="C830" s="9"/>
      <c r="D830" s="10">
        <v>45762</v>
      </c>
      <c r="E830" t="s">
        <v>11</v>
      </c>
      <c r="F830" s="11" t="s">
        <v>735</v>
      </c>
      <c r="G830" s="39">
        <v>434.22</v>
      </c>
      <c r="H830" s="8">
        <v>0</v>
      </c>
      <c r="I830" s="8">
        <f t="shared" si="46"/>
        <v>-5024.32</v>
      </c>
      <c r="J830" s="12"/>
    </row>
    <row r="831" spans="3:10" hidden="1" x14ac:dyDescent="0.25">
      <c r="C831" s="9"/>
      <c r="D831" s="10">
        <v>45762</v>
      </c>
      <c r="E831" t="s">
        <v>11</v>
      </c>
      <c r="F831" s="11" t="s">
        <v>737</v>
      </c>
      <c r="G831" s="39">
        <v>3158.05</v>
      </c>
      <c r="H831" s="8">
        <v>0</v>
      </c>
      <c r="I831" s="8">
        <f t="shared" si="46"/>
        <v>-1866.2699999999995</v>
      </c>
      <c r="J831" s="12"/>
    </row>
    <row r="832" spans="3:10" hidden="1" x14ac:dyDescent="0.25">
      <c r="E832" s="4" t="s">
        <v>20</v>
      </c>
      <c r="G832" s="8">
        <f>SUM(G814:G831)</f>
        <v>8064.0300000000007</v>
      </c>
      <c r="H832" s="8">
        <f>SUM(H814:H831)</f>
        <v>9930.2999999999993</v>
      </c>
      <c r="I832" s="8">
        <f>G832-H832</f>
        <v>-1866.2699999999986</v>
      </c>
    </row>
    <row r="833" spans="1:10" hidden="1" x14ac:dyDescent="0.25"/>
    <row r="834" spans="1:10" hidden="1" x14ac:dyDescent="0.25">
      <c r="A834" s="5">
        <v>4000344</v>
      </c>
      <c r="B834" s="6" t="s">
        <v>749</v>
      </c>
      <c r="C834" s="7"/>
      <c r="D834" s="7"/>
      <c r="E834" s="7"/>
      <c r="F834" s="7"/>
      <c r="G834" s="7"/>
      <c r="H834" s="7"/>
      <c r="I834" s="7"/>
      <c r="J834" s="7"/>
    </row>
    <row r="835" spans="1:10" hidden="1" x14ac:dyDescent="0.25">
      <c r="C835" s="9"/>
      <c r="D835" s="35">
        <v>45583</v>
      </c>
      <c r="E835" s="36" t="s">
        <v>8250</v>
      </c>
      <c r="F835" s="37" t="s">
        <v>753</v>
      </c>
      <c r="G835" s="38">
        <v>0</v>
      </c>
      <c r="H835" s="39">
        <v>-182.36</v>
      </c>
      <c r="I835" s="38">
        <v>-431.17000000000007</v>
      </c>
      <c r="J835" s="12"/>
    </row>
    <row r="836" spans="1:10" hidden="1" x14ac:dyDescent="0.25">
      <c r="C836" s="9"/>
      <c r="D836" s="35">
        <v>45646</v>
      </c>
      <c r="E836" s="36" t="s">
        <v>8251</v>
      </c>
      <c r="F836" s="37" t="s">
        <v>756</v>
      </c>
      <c r="G836" s="38">
        <v>0</v>
      </c>
      <c r="H836" s="39">
        <v>29.92</v>
      </c>
      <c r="I836" s="38">
        <v>-161.81</v>
      </c>
      <c r="J836" s="12"/>
    </row>
    <row r="837" spans="1:10" hidden="1" x14ac:dyDescent="0.25">
      <c r="E837" s="4" t="s">
        <v>10</v>
      </c>
      <c r="G837" s="8">
        <v>152.44</v>
      </c>
      <c r="H837" s="8">
        <v>0</v>
      </c>
      <c r="I837" s="8">
        <f>G837-H837</f>
        <v>152.44</v>
      </c>
    </row>
    <row r="838" spans="1:10" hidden="1" x14ac:dyDescent="0.25">
      <c r="C838" s="9"/>
      <c r="D838" s="10">
        <v>45667</v>
      </c>
      <c r="E838" t="s">
        <v>750</v>
      </c>
      <c r="F838" s="11" t="s">
        <v>751</v>
      </c>
      <c r="G838" s="8">
        <v>0</v>
      </c>
      <c r="H838" s="39">
        <v>58.65</v>
      </c>
      <c r="I838" s="8">
        <f t="shared" ref="I838:I846" si="47">G838-H838+I837</f>
        <v>93.789999999999992</v>
      </c>
      <c r="J838" s="12"/>
    </row>
    <row r="839" spans="1:10" hidden="1" x14ac:dyDescent="0.25">
      <c r="C839" s="9"/>
      <c r="D839" s="10">
        <v>45673</v>
      </c>
      <c r="E839" t="s">
        <v>752</v>
      </c>
      <c r="F839" s="11" t="s">
        <v>753</v>
      </c>
      <c r="G839" s="8">
        <v>0</v>
      </c>
      <c r="H839" s="39">
        <v>182.36</v>
      </c>
      <c r="I839" s="8">
        <f t="shared" si="47"/>
        <v>-88.570000000000022</v>
      </c>
      <c r="J839" s="12"/>
    </row>
    <row r="840" spans="1:10" hidden="1" x14ac:dyDescent="0.25">
      <c r="C840" s="9"/>
      <c r="D840" s="10">
        <v>45695</v>
      </c>
      <c r="E840" t="s">
        <v>754</v>
      </c>
      <c r="F840" s="11" t="s">
        <v>755</v>
      </c>
      <c r="G840" s="8">
        <v>0</v>
      </c>
      <c r="H840" s="39">
        <v>284.62</v>
      </c>
      <c r="I840" s="8">
        <f t="shared" si="47"/>
        <v>-373.19000000000005</v>
      </c>
      <c r="J840" s="12"/>
    </row>
    <row r="841" spans="1:10" hidden="1" x14ac:dyDescent="0.25">
      <c r="C841" s="9"/>
      <c r="D841" s="10">
        <v>45709</v>
      </c>
      <c r="E841" t="s">
        <v>11</v>
      </c>
      <c r="F841" s="11" t="s">
        <v>756</v>
      </c>
      <c r="G841" s="39">
        <v>29.92</v>
      </c>
      <c r="H841" s="8">
        <v>0</v>
      </c>
      <c r="I841" s="8">
        <f t="shared" si="47"/>
        <v>-343.27000000000004</v>
      </c>
      <c r="J841" s="12"/>
    </row>
    <row r="842" spans="1:10" hidden="1" x14ac:dyDescent="0.25">
      <c r="C842" s="9"/>
      <c r="D842" s="10">
        <v>45723</v>
      </c>
      <c r="E842" t="s">
        <v>757</v>
      </c>
      <c r="F842" s="11" t="s">
        <v>758</v>
      </c>
      <c r="G842" s="8">
        <v>0</v>
      </c>
      <c r="H842" s="8">
        <v>46.51</v>
      </c>
      <c r="I842" s="8">
        <f t="shared" si="47"/>
        <v>-389.78000000000003</v>
      </c>
      <c r="J842" s="12"/>
    </row>
    <row r="843" spans="1:10" hidden="1" x14ac:dyDescent="0.25">
      <c r="C843" s="9"/>
      <c r="D843" s="10">
        <v>45726</v>
      </c>
      <c r="E843" t="s">
        <v>11</v>
      </c>
      <c r="F843" s="11" t="s">
        <v>751</v>
      </c>
      <c r="G843" s="39">
        <v>58.65</v>
      </c>
      <c r="H843" s="8">
        <v>0</v>
      </c>
      <c r="I843" s="8">
        <f t="shared" si="47"/>
        <v>-331.13000000000005</v>
      </c>
      <c r="J843" s="12"/>
    </row>
    <row r="844" spans="1:10" hidden="1" x14ac:dyDescent="0.25">
      <c r="C844" s="9"/>
      <c r="D844" s="10">
        <v>45730</v>
      </c>
      <c r="E844" t="s">
        <v>759</v>
      </c>
      <c r="F844" s="11" t="s">
        <v>760</v>
      </c>
      <c r="G844" s="8">
        <v>0</v>
      </c>
      <c r="H844" s="8">
        <v>218.61</v>
      </c>
      <c r="I844" s="8">
        <f t="shared" si="47"/>
        <v>-549.74</v>
      </c>
      <c r="J844" s="12"/>
    </row>
    <row r="845" spans="1:10" hidden="1" x14ac:dyDescent="0.25">
      <c r="C845" s="9"/>
      <c r="D845" s="10">
        <v>45737</v>
      </c>
      <c r="E845" t="s">
        <v>761</v>
      </c>
      <c r="F845" s="11" t="s">
        <v>762</v>
      </c>
      <c r="G845" s="8">
        <v>0</v>
      </c>
      <c r="H845" s="8">
        <v>21.68</v>
      </c>
      <c r="I845" s="8">
        <f t="shared" si="47"/>
        <v>-571.41999999999996</v>
      </c>
      <c r="J845" s="12"/>
    </row>
    <row r="846" spans="1:10" hidden="1" x14ac:dyDescent="0.25">
      <c r="C846" s="9"/>
      <c r="D846" s="10">
        <v>45754</v>
      </c>
      <c r="E846" t="s">
        <v>11</v>
      </c>
      <c r="F846" s="11" t="s">
        <v>755</v>
      </c>
      <c r="G846" s="39">
        <v>284.62</v>
      </c>
      <c r="H846" s="8">
        <v>0</v>
      </c>
      <c r="I846" s="8">
        <f t="shared" si="47"/>
        <v>-286.79999999999995</v>
      </c>
      <c r="J846" s="12"/>
    </row>
    <row r="847" spans="1:10" hidden="1" x14ac:dyDescent="0.25">
      <c r="E847" s="4" t="s">
        <v>20</v>
      </c>
      <c r="G847" s="8">
        <f>SUM(G837:G846)</f>
        <v>525.63</v>
      </c>
      <c r="H847" s="8">
        <f>SUM(H837:H846)</f>
        <v>812.43</v>
      </c>
      <c r="I847" s="8">
        <f>G847-H847</f>
        <v>-286.79999999999995</v>
      </c>
    </row>
    <row r="848" spans="1:10" hidden="1" x14ac:dyDescent="0.25"/>
    <row r="849" spans="1:10" hidden="1" x14ac:dyDescent="0.25">
      <c r="A849" s="5">
        <v>4000351</v>
      </c>
      <c r="B849" s="6" t="s">
        <v>763</v>
      </c>
      <c r="C849" s="7"/>
      <c r="D849" s="7"/>
      <c r="E849" s="7"/>
      <c r="F849" s="7"/>
      <c r="G849" s="7"/>
      <c r="H849" s="7"/>
      <c r="I849" s="7"/>
      <c r="J849" s="7"/>
    </row>
    <row r="850" spans="1:10" hidden="1" x14ac:dyDescent="0.25">
      <c r="C850" s="9"/>
      <c r="D850" s="10">
        <v>45615</v>
      </c>
      <c r="E850" t="s">
        <v>8252</v>
      </c>
      <c r="F850" s="11" t="s">
        <v>8253</v>
      </c>
      <c r="G850" s="8">
        <v>0</v>
      </c>
      <c r="H850" s="39">
        <v>351.52</v>
      </c>
      <c r="I850" s="8">
        <f t="shared" ref="I850:I852" si="48">G850-H850+I849</f>
        <v>-351.52</v>
      </c>
      <c r="J850" s="12"/>
    </row>
    <row r="851" spans="1:10" hidden="1" x14ac:dyDescent="0.25">
      <c r="C851" s="9"/>
      <c r="D851" s="10">
        <v>45643</v>
      </c>
      <c r="E851" t="s">
        <v>8254</v>
      </c>
      <c r="F851" s="11" t="s">
        <v>8255</v>
      </c>
      <c r="G851" s="8">
        <v>0</v>
      </c>
      <c r="H851" s="39">
        <v>230.81</v>
      </c>
      <c r="I851" s="8">
        <f t="shared" si="48"/>
        <v>-582.32999999999993</v>
      </c>
      <c r="J851" s="12"/>
    </row>
    <row r="852" spans="1:10" hidden="1" x14ac:dyDescent="0.25">
      <c r="C852" s="9"/>
      <c r="D852" s="10">
        <v>45649</v>
      </c>
      <c r="E852" t="s">
        <v>8256</v>
      </c>
      <c r="F852" s="11" t="s">
        <v>8257</v>
      </c>
      <c r="G852" s="8">
        <v>0</v>
      </c>
      <c r="H852" s="39">
        <v>175.11</v>
      </c>
      <c r="I852" s="8">
        <f t="shared" si="48"/>
        <v>-757.43999999999994</v>
      </c>
      <c r="J852" s="12"/>
    </row>
    <row r="853" spans="1:10" hidden="1" x14ac:dyDescent="0.25">
      <c r="E853" s="4" t="s">
        <v>10</v>
      </c>
      <c r="G853" s="8">
        <v>0</v>
      </c>
      <c r="H853" s="8">
        <v>757.44</v>
      </c>
      <c r="I853" s="8">
        <f>G853-H853</f>
        <v>-757.44</v>
      </c>
    </row>
    <row r="854" spans="1:10" hidden="1" x14ac:dyDescent="0.25">
      <c r="C854" s="9"/>
      <c r="D854" s="10">
        <v>45672</v>
      </c>
      <c r="E854" t="s">
        <v>764</v>
      </c>
      <c r="F854" s="11" t="s">
        <v>765</v>
      </c>
      <c r="G854" s="8">
        <v>0</v>
      </c>
      <c r="H854" s="39">
        <v>102.15</v>
      </c>
      <c r="I854" s="8">
        <f t="shared" ref="I854:I863" si="49">G854-H854+I853</f>
        <v>-859.59</v>
      </c>
      <c r="J854" s="12"/>
    </row>
    <row r="855" spans="1:10" hidden="1" x14ac:dyDescent="0.25">
      <c r="C855" s="9"/>
      <c r="D855" s="10">
        <v>45672</v>
      </c>
      <c r="E855" t="s">
        <v>766</v>
      </c>
      <c r="F855" s="11" t="s">
        <v>42</v>
      </c>
      <c r="G855" s="39">
        <v>351.52</v>
      </c>
      <c r="H855" s="8">
        <v>0</v>
      </c>
      <c r="I855" s="8">
        <f t="shared" si="49"/>
        <v>-508.07000000000005</v>
      </c>
      <c r="J855" s="12"/>
    </row>
    <row r="856" spans="1:10" hidden="1" x14ac:dyDescent="0.25">
      <c r="C856" s="9"/>
      <c r="D856" s="10">
        <v>45672</v>
      </c>
      <c r="E856" t="s">
        <v>766</v>
      </c>
      <c r="F856" s="11" t="s">
        <v>42</v>
      </c>
      <c r="G856" s="8">
        <v>0</v>
      </c>
      <c r="H856" s="56">
        <v>351.52</v>
      </c>
      <c r="I856" s="8">
        <f t="shared" si="49"/>
        <v>-859.59</v>
      </c>
      <c r="J856" s="67">
        <f>G857+G858-H856</f>
        <v>0</v>
      </c>
    </row>
    <row r="857" spans="1:10" hidden="1" x14ac:dyDescent="0.25">
      <c r="C857" s="9"/>
      <c r="D857" s="10">
        <v>45700</v>
      </c>
      <c r="E857" t="s">
        <v>767</v>
      </c>
      <c r="F857" s="11" t="s">
        <v>42</v>
      </c>
      <c r="G857" s="56">
        <v>335.72</v>
      </c>
      <c r="H857" s="8">
        <v>0</v>
      </c>
      <c r="I857" s="8">
        <f t="shared" si="49"/>
        <v>-523.87</v>
      </c>
      <c r="J857" s="12"/>
    </row>
    <row r="858" spans="1:10" hidden="1" x14ac:dyDescent="0.25">
      <c r="C858" s="9"/>
      <c r="D858" s="10">
        <v>45701</v>
      </c>
      <c r="E858" t="s">
        <v>767</v>
      </c>
      <c r="F858" s="11" t="s">
        <v>42</v>
      </c>
      <c r="G858" s="56">
        <v>15.8</v>
      </c>
      <c r="H858" s="8">
        <v>0</v>
      </c>
      <c r="I858" s="8">
        <f t="shared" si="49"/>
        <v>-508.07</v>
      </c>
      <c r="J858" s="12"/>
    </row>
    <row r="859" spans="1:10" hidden="1" x14ac:dyDescent="0.25">
      <c r="C859" s="9"/>
      <c r="D859" s="10">
        <v>45702</v>
      </c>
      <c r="E859" t="s">
        <v>768</v>
      </c>
      <c r="F859" s="11" t="s">
        <v>769</v>
      </c>
      <c r="G859" s="8">
        <v>0</v>
      </c>
      <c r="H859" s="39">
        <v>540.14</v>
      </c>
      <c r="I859" s="8">
        <f t="shared" si="49"/>
        <v>-1048.21</v>
      </c>
      <c r="J859" s="12"/>
    </row>
    <row r="860" spans="1:10" hidden="1" x14ac:dyDescent="0.25">
      <c r="C860" s="9"/>
      <c r="D860" s="10">
        <v>45705</v>
      </c>
      <c r="E860" t="s">
        <v>770</v>
      </c>
      <c r="F860" s="11" t="s">
        <v>42</v>
      </c>
      <c r="G860" s="39">
        <v>405.92</v>
      </c>
      <c r="H860" s="8">
        <v>0</v>
      </c>
      <c r="I860" s="8">
        <f t="shared" si="49"/>
        <v>-642.29</v>
      </c>
      <c r="J860" s="12"/>
    </row>
    <row r="861" spans="1:10" hidden="1" x14ac:dyDescent="0.25">
      <c r="C861" s="9"/>
      <c r="D861" s="10">
        <v>45705</v>
      </c>
      <c r="E861" t="s">
        <v>771</v>
      </c>
      <c r="F861" s="11" t="s">
        <v>42</v>
      </c>
      <c r="G861" s="39">
        <v>102.15</v>
      </c>
      <c r="H861" s="8">
        <v>0</v>
      </c>
      <c r="I861" s="8">
        <f t="shared" si="49"/>
        <v>-540.14</v>
      </c>
      <c r="J861" s="12"/>
    </row>
    <row r="862" spans="1:10" hidden="1" x14ac:dyDescent="0.25">
      <c r="C862" s="9"/>
      <c r="D862" s="10">
        <v>45707</v>
      </c>
      <c r="E862" t="s">
        <v>772</v>
      </c>
      <c r="F862" s="11" t="s">
        <v>773</v>
      </c>
      <c r="G862" s="8">
        <v>0</v>
      </c>
      <c r="H862" s="8">
        <v>-178.25</v>
      </c>
      <c r="I862" s="8">
        <f t="shared" si="49"/>
        <v>-361.89</v>
      </c>
      <c r="J862" s="63">
        <v>45762</v>
      </c>
    </row>
    <row r="863" spans="1:10" hidden="1" x14ac:dyDescent="0.25">
      <c r="C863" s="9"/>
      <c r="D863" s="10">
        <v>45733</v>
      </c>
      <c r="E863" t="s">
        <v>774</v>
      </c>
      <c r="F863" s="11" t="s">
        <v>42</v>
      </c>
      <c r="G863" s="39">
        <v>540.14</v>
      </c>
      <c r="H863" s="8">
        <v>0</v>
      </c>
      <c r="I863" s="8">
        <f t="shared" si="49"/>
        <v>178.25</v>
      </c>
      <c r="J863" s="12"/>
    </row>
    <row r="864" spans="1:10" hidden="1" x14ac:dyDescent="0.25">
      <c r="E864" s="4" t="s">
        <v>20</v>
      </c>
      <c r="G864" s="8">
        <f>SUM(G853:G863)</f>
        <v>1751.25</v>
      </c>
      <c r="H864" s="8">
        <f>SUM(H853:H863)</f>
        <v>1573</v>
      </c>
      <c r="I864" s="8">
        <f>G864-H864</f>
        <v>178.25</v>
      </c>
    </row>
    <row r="865" spans="1:10" hidden="1" x14ac:dyDescent="0.25"/>
    <row r="866" spans="1:10" hidden="1" x14ac:dyDescent="0.25">
      <c r="A866" s="5">
        <v>4000352</v>
      </c>
      <c r="B866" s="6" t="s">
        <v>775</v>
      </c>
      <c r="C866" s="7"/>
      <c r="D866" s="7"/>
      <c r="E866" s="7"/>
      <c r="F866" s="7"/>
      <c r="G866" s="7"/>
      <c r="H866" s="7"/>
      <c r="I866" s="7"/>
      <c r="J866" s="7"/>
    </row>
    <row r="867" spans="1:10" hidden="1" x14ac:dyDescent="0.25">
      <c r="C867" s="9"/>
      <c r="D867" s="35">
        <v>45596</v>
      </c>
      <c r="E867" s="36" t="s">
        <v>8258</v>
      </c>
      <c r="F867" s="37" t="s">
        <v>778</v>
      </c>
      <c r="G867" s="38">
        <v>0</v>
      </c>
      <c r="H867" s="33">
        <v>141.57</v>
      </c>
      <c r="I867" s="38">
        <v>-4062.97</v>
      </c>
      <c r="J867" s="12"/>
    </row>
    <row r="868" spans="1:10" hidden="1" x14ac:dyDescent="0.25">
      <c r="C868" s="9"/>
      <c r="D868" s="35">
        <v>45626</v>
      </c>
      <c r="E868" s="36" t="s">
        <v>8259</v>
      </c>
      <c r="F868" s="37" t="s">
        <v>784</v>
      </c>
      <c r="G868" s="38">
        <v>0</v>
      </c>
      <c r="H868" s="33">
        <v>935.09</v>
      </c>
      <c r="I868" s="38">
        <v>-1959.7999999999997</v>
      </c>
      <c r="J868" s="12"/>
    </row>
    <row r="869" spans="1:10" hidden="1" x14ac:dyDescent="0.25">
      <c r="C869" s="9"/>
      <c r="D869" s="35">
        <v>45641</v>
      </c>
      <c r="E869" s="36" t="s">
        <v>8260</v>
      </c>
      <c r="F869" s="37" t="s">
        <v>783</v>
      </c>
      <c r="G869" s="38">
        <v>0</v>
      </c>
      <c r="H869" s="33">
        <v>243.21</v>
      </c>
      <c r="I869" s="38">
        <v>-2203.0099999999998</v>
      </c>
      <c r="J869" s="12"/>
    </row>
    <row r="870" spans="1:10" hidden="1" x14ac:dyDescent="0.25">
      <c r="C870" s="9"/>
      <c r="D870" s="35">
        <v>45657</v>
      </c>
      <c r="E870" s="36" t="s">
        <v>8261</v>
      </c>
      <c r="F870" s="37" t="s">
        <v>790</v>
      </c>
      <c r="G870" s="38">
        <v>0</v>
      </c>
      <c r="H870" s="33">
        <v>381.15</v>
      </c>
      <c r="I870" s="38">
        <v>-1701.02</v>
      </c>
      <c r="J870" s="12"/>
    </row>
    <row r="871" spans="1:10" hidden="1" x14ac:dyDescent="0.25">
      <c r="E871" s="4" t="s">
        <v>10</v>
      </c>
      <c r="G871" s="8">
        <v>0</v>
      </c>
      <c r="H871" s="8">
        <v>1701.02</v>
      </c>
      <c r="I871" s="8">
        <f>G871-H871</f>
        <v>-1701.02</v>
      </c>
    </row>
    <row r="872" spans="1:10" hidden="1" x14ac:dyDescent="0.25">
      <c r="C872" s="9"/>
      <c r="D872" s="10">
        <v>45672</v>
      </c>
      <c r="E872" t="s">
        <v>776</v>
      </c>
      <c r="F872" s="11" t="s">
        <v>777</v>
      </c>
      <c r="G872" s="8">
        <v>0</v>
      </c>
      <c r="H872" s="33">
        <v>45.74</v>
      </c>
      <c r="I872" s="8">
        <f t="shared" ref="I872:I885" si="50">G872-H872+I871</f>
        <v>-1746.76</v>
      </c>
      <c r="J872" s="12"/>
    </row>
    <row r="873" spans="1:10" hidden="1" x14ac:dyDescent="0.25">
      <c r="C873" s="9"/>
      <c r="D873" s="10">
        <v>45672</v>
      </c>
      <c r="E873" t="s">
        <v>11</v>
      </c>
      <c r="F873" s="11" t="s">
        <v>778</v>
      </c>
      <c r="G873" s="33">
        <v>141.57</v>
      </c>
      <c r="H873" s="8">
        <v>0</v>
      </c>
      <c r="I873" s="8">
        <f t="shared" si="50"/>
        <v>-1605.19</v>
      </c>
      <c r="J873" s="12"/>
    </row>
    <row r="874" spans="1:10" hidden="1" x14ac:dyDescent="0.25">
      <c r="C874" s="9"/>
      <c r="D874" s="10">
        <v>45688</v>
      </c>
      <c r="E874" t="s">
        <v>779</v>
      </c>
      <c r="F874" s="11" t="s">
        <v>780</v>
      </c>
      <c r="G874" s="8">
        <v>0</v>
      </c>
      <c r="H874" s="8">
        <v>272.25</v>
      </c>
      <c r="I874" s="8">
        <f t="shared" si="50"/>
        <v>-1877.44</v>
      </c>
      <c r="J874" s="63">
        <v>45762</v>
      </c>
    </row>
    <row r="875" spans="1:10" hidden="1" x14ac:dyDescent="0.25">
      <c r="C875" s="9"/>
      <c r="D875" s="10">
        <v>45705</v>
      </c>
      <c r="E875" t="s">
        <v>781</v>
      </c>
      <c r="F875" s="11" t="s">
        <v>782</v>
      </c>
      <c r="G875" s="8">
        <v>0</v>
      </c>
      <c r="H875" s="8">
        <v>435.48</v>
      </c>
      <c r="I875" s="8">
        <f t="shared" si="50"/>
        <v>-2312.92</v>
      </c>
      <c r="J875" s="63">
        <v>45792</v>
      </c>
    </row>
    <row r="876" spans="1:10" hidden="1" x14ac:dyDescent="0.25">
      <c r="C876" s="9"/>
      <c r="D876" s="10">
        <v>45705</v>
      </c>
      <c r="E876" t="s">
        <v>11</v>
      </c>
      <c r="F876" s="11" t="s">
        <v>783</v>
      </c>
      <c r="G876" s="33">
        <v>243.21</v>
      </c>
      <c r="H876" s="8">
        <v>0</v>
      </c>
      <c r="I876" s="8">
        <f t="shared" si="50"/>
        <v>-2069.71</v>
      </c>
      <c r="J876" s="12"/>
    </row>
    <row r="877" spans="1:10" hidden="1" x14ac:dyDescent="0.25">
      <c r="C877" s="9"/>
      <c r="D877" s="10">
        <v>45705</v>
      </c>
      <c r="E877" t="s">
        <v>11</v>
      </c>
      <c r="F877" s="11" t="s">
        <v>784</v>
      </c>
      <c r="G877" s="33">
        <v>935.09</v>
      </c>
      <c r="H877" s="8">
        <v>0</v>
      </c>
      <c r="I877" s="8">
        <f t="shared" si="50"/>
        <v>-1134.6199999999999</v>
      </c>
      <c r="J877" s="12"/>
    </row>
    <row r="878" spans="1:10" hidden="1" x14ac:dyDescent="0.25">
      <c r="C878" s="9"/>
      <c r="D878" s="10">
        <v>45705</v>
      </c>
      <c r="E878" t="s">
        <v>11</v>
      </c>
      <c r="F878" s="11" t="s">
        <v>784</v>
      </c>
      <c r="G878" s="33">
        <v>0</v>
      </c>
      <c r="H878" s="68">
        <v>935.09</v>
      </c>
      <c r="I878" s="8">
        <f t="shared" si="50"/>
        <v>-2069.71</v>
      </c>
      <c r="J878" s="12"/>
    </row>
    <row r="879" spans="1:10" hidden="1" x14ac:dyDescent="0.25">
      <c r="C879" s="9"/>
      <c r="D879" s="10">
        <v>45705</v>
      </c>
      <c r="E879" t="s">
        <v>11</v>
      </c>
      <c r="F879" s="11" t="s">
        <v>783</v>
      </c>
      <c r="G879" s="8">
        <v>0</v>
      </c>
      <c r="H879" s="68">
        <v>243.21</v>
      </c>
      <c r="I879" s="8">
        <f t="shared" si="50"/>
        <v>-2312.92</v>
      </c>
      <c r="J879" s="12"/>
    </row>
    <row r="880" spans="1:10" hidden="1" x14ac:dyDescent="0.25">
      <c r="C880" s="9"/>
      <c r="D880" s="10">
        <v>45716</v>
      </c>
      <c r="E880" t="s">
        <v>785</v>
      </c>
      <c r="F880" s="11" t="s">
        <v>786</v>
      </c>
      <c r="G880" s="8">
        <v>0</v>
      </c>
      <c r="H880" s="8">
        <v>647.20000000000005</v>
      </c>
      <c r="I880" s="8">
        <f t="shared" si="50"/>
        <v>-2960.12</v>
      </c>
      <c r="J880" s="12"/>
    </row>
    <row r="881" spans="1:10" hidden="1" x14ac:dyDescent="0.25">
      <c r="C881" s="9" t="s">
        <v>124</v>
      </c>
      <c r="D881" s="10">
        <v>45719</v>
      </c>
      <c r="E881" t="s">
        <v>787</v>
      </c>
      <c r="F881" s="11" t="s">
        <v>42</v>
      </c>
      <c r="G881" s="68">
        <v>1178.3</v>
      </c>
      <c r="H881" s="8">
        <v>0</v>
      </c>
      <c r="I881" s="8">
        <f t="shared" si="50"/>
        <v>-1781.82</v>
      </c>
      <c r="J881" s="69">
        <f>G881-H878-H879</f>
        <v>0</v>
      </c>
    </row>
    <row r="882" spans="1:10" hidden="1" x14ac:dyDescent="0.25">
      <c r="C882" s="9"/>
      <c r="D882" s="10">
        <v>45731</v>
      </c>
      <c r="E882" t="s">
        <v>788</v>
      </c>
      <c r="F882" s="11" t="s">
        <v>789</v>
      </c>
      <c r="G882" s="8">
        <v>0</v>
      </c>
      <c r="H882" s="8">
        <v>278.45</v>
      </c>
      <c r="I882" s="8">
        <f t="shared" si="50"/>
        <v>-2060.27</v>
      </c>
      <c r="J882" s="12"/>
    </row>
    <row r="883" spans="1:10" hidden="1" x14ac:dyDescent="0.25">
      <c r="C883" s="9"/>
      <c r="D883" s="10">
        <v>45733</v>
      </c>
      <c r="E883" t="s">
        <v>11</v>
      </c>
      <c r="F883" s="11" t="s">
        <v>790</v>
      </c>
      <c r="G883" s="33">
        <v>381.15</v>
      </c>
      <c r="H883" s="8">
        <v>0</v>
      </c>
      <c r="I883" s="8">
        <f t="shared" si="50"/>
        <v>-1679.12</v>
      </c>
      <c r="J883" s="12"/>
    </row>
    <row r="884" spans="1:10" hidden="1" x14ac:dyDescent="0.25">
      <c r="C884" s="9"/>
      <c r="D884" s="10">
        <v>45747</v>
      </c>
      <c r="E884" t="s">
        <v>791</v>
      </c>
      <c r="F884" s="11" t="s">
        <v>792</v>
      </c>
      <c r="G884" s="8">
        <v>0</v>
      </c>
      <c r="H884" s="8">
        <v>308.91000000000003</v>
      </c>
      <c r="I884" s="8">
        <f t="shared" si="50"/>
        <v>-1988.03</v>
      </c>
      <c r="J884" s="12"/>
    </row>
    <row r="885" spans="1:10" hidden="1" x14ac:dyDescent="0.25">
      <c r="C885" s="9"/>
      <c r="D885" s="10">
        <v>45762</v>
      </c>
      <c r="E885" t="s">
        <v>11</v>
      </c>
      <c r="F885" s="11" t="s">
        <v>777</v>
      </c>
      <c r="G885" s="33">
        <v>45.74</v>
      </c>
      <c r="H885" s="8">
        <v>0</v>
      </c>
      <c r="I885" s="8">
        <f t="shared" si="50"/>
        <v>-1942.29</v>
      </c>
      <c r="J885" s="12"/>
    </row>
    <row r="886" spans="1:10" hidden="1" x14ac:dyDescent="0.25">
      <c r="E886" s="4" t="s">
        <v>20</v>
      </c>
      <c r="G886" s="8">
        <f>SUM(G871:G885)</f>
        <v>2925.06</v>
      </c>
      <c r="H886" s="8">
        <f>SUM(H871:H885)</f>
        <v>4867.3499999999995</v>
      </c>
      <c r="I886" s="8">
        <f>G886-H886</f>
        <v>-1942.2899999999995</v>
      </c>
    </row>
    <row r="887" spans="1:10" hidden="1" x14ac:dyDescent="0.25"/>
    <row r="888" spans="1:10" hidden="1" x14ac:dyDescent="0.25">
      <c r="A888" s="5">
        <v>4000353</v>
      </c>
      <c r="B888" s="6" t="s">
        <v>793</v>
      </c>
      <c r="C888" s="7"/>
      <c r="D888" s="7"/>
      <c r="E888" s="7"/>
      <c r="F888" s="7"/>
      <c r="G888" s="7"/>
      <c r="H888" s="7"/>
      <c r="I888" s="7"/>
      <c r="J888" s="7"/>
    </row>
    <row r="889" spans="1:10" hidden="1" x14ac:dyDescent="0.25">
      <c r="C889" s="9"/>
      <c r="D889" s="35">
        <v>45595</v>
      </c>
      <c r="E889" s="36" t="s">
        <v>8262</v>
      </c>
      <c r="F889" s="37" t="s">
        <v>8263</v>
      </c>
      <c r="G889" s="38">
        <v>0</v>
      </c>
      <c r="H889" s="56">
        <v>934.63</v>
      </c>
      <c r="I889" s="38">
        <f>I888+G889-H889</f>
        <v>-934.63</v>
      </c>
      <c r="J889" s="12"/>
    </row>
    <row r="890" spans="1:10" hidden="1" x14ac:dyDescent="0.25">
      <c r="C890" s="9"/>
      <c r="D890" s="35">
        <v>45601</v>
      </c>
      <c r="E890" s="36" t="s">
        <v>8242</v>
      </c>
      <c r="F890" s="37" t="s">
        <v>42</v>
      </c>
      <c r="G890" s="38">
        <v>0</v>
      </c>
      <c r="H890" s="56">
        <v>3929.89</v>
      </c>
      <c r="I890" s="38">
        <f t="shared" ref="I890:I893" si="51">I889+G890-H890</f>
        <v>-4864.5199999999995</v>
      </c>
      <c r="J890" s="12"/>
    </row>
    <row r="891" spans="1:10" hidden="1" x14ac:dyDescent="0.25">
      <c r="C891" s="9"/>
      <c r="D891" s="35">
        <v>45611</v>
      </c>
      <c r="E891" s="36" t="s">
        <v>8264</v>
      </c>
      <c r="F891" s="37" t="s">
        <v>8265</v>
      </c>
      <c r="G891" s="38">
        <v>0</v>
      </c>
      <c r="H891" s="56">
        <v>1591</v>
      </c>
      <c r="I891" s="38">
        <f t="shared" si="51"/>
        <v>-6455.5199999999995</v>
      </c>
      <c r="J891" s="67">
        <f>G896+G898-H889-H890-H891</f>
        <v>0</v>
      </c>
    </row>
    <row r="892" spans="1:10" hidden="1" x14ac:dyDescent="0.25">
      <c r="C892" s="9"/>
      <c r="D892" s="35">
        <v>45626</v>
      </c>
      <c r="E892" s="36" t="s">
        <v>8266</v>
      </c>
      <c r="F892" s="37" t="s">
        <v>8267</v>
      </c>
      <c r="G892" s="38">
        <v>0</v>
      </c>
      <c r="H892" s="39">
        <v>799.92</v>
      </c>
      <c r="I892" s="38">
        <f t="shared" si="51"/>
        <v>-7255.44</v>
      </c>
      <c r="J892" s="59">
        <f>G898-J891</f>
        <v>3929.89</v>
      </c>
    </row>
    <row r="893" spans="1:10" hidden="1" x14ac:dyDescent="0.25">
      <c r="C893" s="9"/>
      <c r="D893" s="35">
        <v>45641</v>
      </c>
      <c r="E893" s="36" t="s">
        <v>8268</v>
      </c>
      <c r="F893" s="37" t="s">
        <v>8269</v>
      </c>
      <c r="G893" s="38">
        <v>0</v>
      </c>
      <c r="H893" s="39">
        <v>981.95</v>
      </c>
      <c r="I893" s="38">
        <f t="shared" si="51"/>
        <v>-8237.39</v>
      </c>
      <c r="J893" s="12"/>
    </row>
    <row r="894" spans="1:10" hidden="1" x14ac:dyDescent="0.25">
      <c r="E894" s="4" t="s">
        <v>10</v>
      </c>
      <c r="G894" s="8">
        <v>0</v>
      </c>
      <c r="H894" s="8">
        <v>8237.39</v>
      </c>
      <c r="I894" s="8">
        <f>G894-H894</f>
        <v>-8237.39</v>
      </c>
    </row>
    <row r="895" spans="1:10" hidden="1" x14ac:dyDescent="0.25">
      <c r="C895" s="9"/>
      <c r="D895" s="10">
        <v>45672</v>
      </c>
      <c r="E895" t="s">
        <v>794</v>
      </c>
      <c r="F895" s="11" t="s">
        <v>795</v>
      </c>
      <c r="G895" s="8">
        <v>0</v>
      </c>
      <c r="H895" s="39">
        <v>563.97</v>
      </c>
      <c r="I895" s="8">
        <f t="shared" ref="I895:I906" si="52">G895-H895+I894</f>
        <v>-8801.3599999999988</v>
      </c>
      <c r="J895" s="12"/>
    </row>
    <row r="896" spans="1:10" hidden="1" x14ac:dyDescent="0.25">
      <c r="C896" s="9"/>
      <c r="D896" s="10">
        <v>45672</v>
      </c>
      <c r="E896" t="s">
        <v>796</v>
      </c>
      <c r="F896" s="11" t="s">
        <v>795</v>
      </c>
      <c r="G896" s="56">
        <v>2525.63</v>
      </c>
      <c r="H896" s="8">
        <v>0</v>
      </c>
      <c r="I896" s="8">
        <f t="shared" si="52"/>
        <v>-6275.7299999999987</v>
      </c>
      <c r="J896" s="12"/>
    </row>
    <row r="897" spans="1:15" hidden="1" x14ac:dyDescent="0.25">
      <c r="C897" s="9"/>
      <c r="D897" s="10">
        <v>45672</v>
      </c>
      <c r="E897" t="s">
        <v>796</v>
      </c>
      <c r="F897" s="11" t="s">
        <v>795</v>
      </c>
      <c r="G897" s="8">
        <v>0</v>
      </c>
      <c r="H897" s="25">
        <v>2525.63</v>
      </c>
      <c r="I897" s="8">
        <f t="shared" si="52"/>
        <v>-8801.3599999999988</v>
      </c>
      <c r="J897" s="70">
        <f>G899-H897</f>
        <v>0</v>
      </c>
    </row>
    <row r="898" spans="1:15" hidden="1" x14ac:dyDescent="0.25">
      <c r="C898" s="9"/>
      <c r="D898" s="10">
        <v>45674</v>
      </c>
      <c r="E898" t="s">
        <v>797</v>
      </c>
      <c r="F898" s="11" t="s">
        <v>42</v>
      </c>
      <c r="G898" s="56">
        <v>3929.89</v>
      </c>
      <c r="H898" s="8">
        <v>0</v>
      </c>
      <c r="I898" s="8">
        <f t="shared" si="52"/>
        <v>-4871.4699999999993</v>
      </c>
      <c r="J898" s="12"/>
    </row>
    <row r="899" spans="1:15" hidden="1" x14ac:dyDescent="0.25">
      <c r="C899" s="9"/>
      <c r="D899" s="10">
        <v>45691</v>
      </c>
      <c r="E899" t="s">
        <v>798</v>
      </c>
      <c r="F899" s="11" t="s">
        <v>42</v>
      </c>
      <c r="G899" s="25">
        <v>2525.63</v>
      </c>
      <c r="H899" s="8">
        <v>0</v>
      </c>
      <c r="I899" s="8">
        <f t="shared" si="52"/>
        <v>-2345.8399999999992</v>
      </c>
      <c r="J899" s="12"/>
    </row>
    <row r="900" spans="1:15" hidden="1" x14ac:dyDescent="0.25">
      <c r="C900" s="9"/>
      <c r="D900" s="10">
        <v>45703</v>
      </c>
      <c r="E900" t="s">
        <v>799</v>
      </c>
      <c r="F900" s="11" t="s">
        <v>800</v>
      </c>
      <c r="G900" s="8">
        <v>0</v>
      </c>
      <c r="H900" s="8">
        <v>1434.6</v>
      </c>
      <c r="I900" s="8">
        <f t="shared" si="52"/>
        <v>-3780.4399999999991</v>
      </c>
      <c r="J900" s="65">
        <v>45792</v>
      </c>
    </row>
    <row r="901" spans="1:15" hidden="1" x14ac:dyDescent="0.25">
      <c r="C901" s="9"/>
      <c r="D901" s="10">
        <v>45705</v>
      </c>
      <c r="E901" t="s">
        <v>801</v>
      </c>
      <c r="F901" s="11" t="s">
        <v>795</v>
      </c>
      <c r="G901" s="39">
        <v>1781.87</v>
      </c>
      <c r="H901" s="8">
        <v>0</v>
      </c>
      <c r="I901" s="8">
        <f t="shared" si="52"/>
        <v>-1998.5699999999993</v>
      </c>
      <c r="J901" s="12"/>
    </row>
    <row r="902" spans="1:15" hidden="1" x14ac:dyDescent="0.25">
      <c r="C902" s="9"/>
      <c r="D902" s="10">
        <v>45716</v>
      </c>
      <c r="E902" t="s">
        <v>802</v>
      </c>
      <c r="F902" s="11" t="s">
        <v>803</v>
      </c>
      <c r="G902" s="8">
        <v>0</v>
      </c>
      <c r="H902" s="8">
        <v>1432.46</v>
      </c>
      <c r="I902" s="8">
        <f t="shared" si="52"/>
        <v>-3431.0299999999993</v>
      </c>
      <c r="J902" s="12"/>
    </row>
    <row r="903" spans="1:15" hidden="1" x14ac:dyDescent="0.25">
      <c r="C903" s="9"/>
      <c r="D903" s="10">
        <v>45731</v>
      </c>
      <c r="E903" t="s">
        <v>804</v>
      </c>
      <c r="F903" s="11" t="s">
        <v>805</v>
      </c>
      <c r="G903" s="8">
        <v>0</v>
      </c>
      <c r="H903" s="25">
        <v>447.76</v>
      </c>
      <c r="I903" s="8">
        <f t="shared" si="52"/>
        <v>-3878.7899999999991</v>
      </c>
      <c r="J903" s="12"/>
    </row>
    <row r="904" spans="1:15" hidden="1" x14ac:dyDescent="0.25">
      <c r="C904" s="9"/>
      <c r="D904" s="10">
        <v>45731</v>
      </c>
      <c r="E904" t="s">
        <v>804</v>
      </c>
      <c r="F904" s="11" t="s">
        <v>805</v>
      </c>
      <c r="G904" s="25">
        <v>447.76</v>
      </c>
      <c r="H904" s="8">
        <v>0</v>
      </c>
      <c r="I904" s="8">
        <f t="shared" si="52"/>
        <v>-3431.0299999999988</v>
      </c>
      <c r="J904" s="12"/>
    </row>
    <row r="905" spans="1:15" hidden="1" x14ac:dyDescent="0.25">
      <c r="C905" s="9"/>
      <c r="D905" s="10">
        <v>45746</v>
      </c>
      <c r="E905" t="s">
        <v>806</v>
      </c>
      <c r="F905" s="11" t="s">
        <v>807</v>
      </c>
      <c r="G905" s="8">
        <v>0</v>
      </c>
      <c r="H905" s="8">
        <v>2911.49</v>
      </c>
      <c r="I905" s="8">
        <f t="shared" si="52"/>
        <v>-6342.5199999999986</v>
      </c>
      <c r="J905" s="12"/>
    </row>
    <row r="906" spans="1:15" hidden="1" x14ac:dyDescent="0.25">
      <c r="C906" s="9"/>
      <c r="D906" s="10">
        <v>45762</v>
      </c>
      <c r="E906" t="s">
        <v>11</v>
      </c>
      <c r="F906" s="11" t="s">
        <v>795</v>
      </c>
      <c r="G906" s="39">
        <v>563.97</v>
      </c>
      <c r="H906" s="8">
        <v>0</v>
      </c>
      <c r="I906" s="8">
        <f t="shared" si="52"/>
        <v>-5778.5499999999984</v>
      </c>
      <c r="J906" s="12"/>
    </row>
    <row r="907" spans="1:15" hidden="1" x14ac:dyDescent="0.25">
      <c r="E907" s="4" t="s">
        <v>20</v>
      </c>
      <c r="G907" s="8">
        <f>SUM(G894:G906)</f>
        <v>11774.75</v>
      </c>
      <c r="H907" s="8">
        <f>SUM(H894:H906)</f>
        <v>17553.3</v>
      </c>
      <c r="I907" s="8">
        <f>G907-H907</f>
        <v>-5778.5499999999993</v>
      </c>
    </row>
    <row r="908" spans="1:15" hidden="1" x14ac:dyDescent="0.25"/>
    <row r="909" spans="1:15" x14ac:dyDescent="0.25">
      <c r="A909" s="5">
        <v>4000384</v>
      </c>
      <c r="B909" s="6" t="s">
        <v>808</v>
      </c>
      <c r="C909" s="7"/>
      <c r="D909" s="7"/>
      <c r="E909" s="7"/>
      <c r="F909" s="7"/>
      <c r="G909" s="7"/>
      <c r="H909" s="7"/>
      <c r="I909" s="7"/>
      <c r="J909" s="7"/>
    </row>
    <row r="910" spans="1:15" x14ac:dyDescent="0.25">
      <c r="C910" s="9"/>
      <c r="D910" s="35">
        <v>45607</v>
      </c>
      <c r="E910" s="36" t="s">
        <v>8270</v>
      </c>
      <c r="F910" s="37" t="s">
        <v>8271</v>
      </c>
      <c r="G910" s="38">
        <v>0</v>
      </c>
      <c r="H910" s="38">
        <v>550.01</v>
      </c>
      <c r="I910" s="38">
        <f>G910-H910+I909</f>
        <v>-550.01</v>
      </c>
      <c r="J910" s="32" t="s">
        <v>8147</v>
      </c>
      <c r="O910" s="34"/>
    </row>
    <row r="911" spans="1:15" hidden="1" x14ac:dyDescent="0.25">
      <c r="E911" s="4" t="s">
        <v>20</v>
      </c>
      <c r="G911" s="8">
        <f>G910</f>
        <v>0</v>
      </c>
      <c r="H911" s="8">
        <f>H910</f>
        <v>550.01</v>
      </c>
      <c r="I911" s="8">
        <f>G911-H911</f>
        <v>-550.01</v>
      </c>
    </row>
    <row r="913" spans="1:15" hidden="1" x14ac:dyDescent="0.25">
      <c r="A913" s="5">
        <v>4000389</v>
      </c>
      <c r="B913" s="6" t="s">
        <v>809</v>
      </c>
      <c r="C913" s="7"/>
      <c r="D913" s="7"/>
      <c r="E913" s="7"/>
      <c r="F913" s="7"/>
      <c r="G913" s="7"/>
      <c r="H913" s="7"/>
      <c r="I913" s="7"/>
      <c r="J913" s="7"/>
    </row>
    <row r="914" spans="1:15" hidden="1" x14ac:dyDescent="0.25">
      <c r="C914" s="9"/>
      <c r="D914" s="10">
        <v>45582</v>
      </c>
      <c r="E914" t="s">
        <v>8272</v>
      </c>
      <c r="F914" s="11" t="s">
        <v>8273</v>
      </c>
      <c r="G914" s="8">
        <v>0</v>
      </c>
      <c r="H914" s="57">
        <v>232.32</v>
      </c>
      <c r="I914" s="8">
        <v>-1008.1700000000001</v>
      </c>
      <c r="J914" s="12"/>
      <c r="O914" s="34"/>
    </row>
    <row r="915" spans="1:15" hidden="1" x14ac:dyDescent="0.25">
      <c r="C915" s="9"/>
      <c r="D915" s="10">
        <v>45604</v>
      </c>
      <c r="E915" t="s">
        <v>8274</v>
      </c>
      <c r="F915" s="11" t="s">
        <v>8275</v>
      </c>
      <c r="G915" s="8">
        <v>0</v>
      </c>
      <c r="H915" s="57">
        <v>1997.71</v>
      </c>
      <c r="I915" s="8">
        <v>-2350.3000000000002</v>
      </c>
      <c r="J915" s="60">
        <f>G919-H914-H915</f>
        <v>0</v>
      </c>
      <c r="O915" s="34"/>
    </row>
    <row r="916" spans="1:15" ht="17.25" hidden="1" customHeight="1" x14ac:dyDescent="0.25">
      <c r="E916" s="4" t="s">
        <v>10</v>
      </c>
      <c r="G916" s="8">
        <v>0</v>
      </c>
      <c r="H916" s="8">
        <v>2230.0300000000002</v>
      </c>
      <c r="I916" s="8">
        <f>G916-H916</f>
        <v>-2230.0300000000002</v>
      </c>
    </row>
    <row r="917" spans="1:15" hidden="1" x14ac:dyDescent="0.25">
      <c r="C917" s="9"/>
      <c r="D917" s="10">
        <v>45694</v>
      </c>
      <c r="E917" t="s">
        <v>810</v>
      </c>
      <c r="F917" s="11" t="s">
        <v>811</v>
      </c>
      <c r="G917" s="38">
        <v>0</v>
      </c>
      <c r="H917" s="38">
        <v>1735.14</v>
      </c>
      <c r="I917" s="8">
        <f>G917-H917+I916</f>
        <v>-3965.17</v>
      </c>
      <c r="J917" s="12"/>
    </row>
    <row r="918" spans="1:15" hidden="1" x14ac:dyDescent="0.25">
      <c r="C918" s="9"/>
      <c r="D918" s="10">
        <v>45733</v>
      </c>
      <c r="E918" t="s">
        <v>11</v>
      </c>
      <c r="F918" s="11" t="s">
        <v>811</v>
      </c>
      <c r="G918" s="38">
        <v>1735.14</v>
      </c>
      <c r="H918" s="38">
        <v>0</v>
      </c>
      <c r="I918" s="8">
        <f>G918-H918+I917</f>
        <v>-2230.0299999999997</v>
      </c>
      <c r="J918" s="12"/>
    </row>
    <row r="919" spans="1:15" hidden="1" x14ac:dyDescent="0.25">
      <c r="C919" s="9"/>
      <c r="D919" s="10">
        <v>45754</v>
      </c>
      <c r="E919" t="s">
        <v>365</v>
      </c>
      <c r="F919" s="11" t="s">
        <v>42</v>
      </c>
      <c r="G919" s="57">
        <v>2230.0300000000002</v>
      </c>
      <c r="H919" s="8">
        <v>0</v>
      </c>
      <c r="I919" s="8">
        <f>G919-H919+I918</f>
        <v>0</v>
      </c>
      <c r="J919" s="12"/>
    </row>
    <row r="920" spans="1:15" hidden="1" x14ac:dyDescent="0.25">
      <c r="E920" s="4" t="s">
        <v>20</v>
      </c>
      <c r="G920" s="8">
        <f>SUM(G916:G919)</f>
        <v>3965.17</v>
      </c>
      <c r="H920" s="8">
        <f>SUM(H916:H919)</f>
        <v>3965.17</v>
      </c>
      <c r="I920" s="8">
        <f>G920-H920</f>
        <v>0</v>
      </c>
    </row>
    <row r="921" spans="1:15" hidden="1" x14ac:dyDescent="0.25"/>
    <row r="922" spans="1:15" hidden="1" x14ac:dyDescent="0.25">
      <c r="A922" s="5">
        <v>4000418</v>
      </c>
      <c r="B922" s="6" t="s">
        <v>812</v>
      </c>
      <c r="C922" s="7"/>
      <c r="D922" s="7"/>
      <c r="E922" s="7"/>
      <c r="F922" s="7"/>
      <c r="G922" s="7"/>
      <c r="H922" s="7"/>
      <c r="I922" s="7"/>
      <c r="J922" s="7"/>
    </row>
    <row r="923" spans="1:15" hidden="1" x14ac:dyDescent="0.25">
      <c r="C923" s="9"/>
      <c r="D923" s="10">
        <v>45747</v>
      </c>
      <c r="E923" t="s">
        <v>813</v>
      </c>
      <c r="F923" s="11" t="s">
        <v>814</v>
      </c>
      <c r="G923" s="8">
        <v>0</v>
      </c>
      <c r="H923" s="8">
        <v>94.42</v>
      </c>
      <c r="I923" s="8">
        <f>G923-H923</f>
        <v>-94.42</v>
      </c>
      <c r="J923" s="12"/>
    </row>
    <row r="924" spans="1:15" hidden="1" x14ac:dyDescent="0.25">
      <c r="E924" s="4" t="s">
        <v>20</v>
      </c>
      <c r="G924" s="8">
        <f>G923</f>
        <v>0</v>
      </c>
      <c r="H924" s="8">
        <f>H923</f>
        <v>94.42</v>
      </c>
      <c r="I924" s="8">
        <f>G924-H924</f>
        <v>-94.42</v>
      </c>
    </row>
    <row r="925" spans="1:15" hidden="1" x14ac:dyDescent="0.25"/>
    <row r="926" spans="1:15" hidden="1" x14ac:dyDescent="0.25">
      <c r="A926" s="5">
        <v>4000442</v>
      </c>
      <c r="B926" s="6" t="s">
        <v>815</v>
      </c>
      <c r="C926" s="7"/>
      <c r="D926" s="7"/>
      <c r="E926" s="7"/>
      <c r="F926" s="7"/>
      <c r="G926" s="7"/>
      <c r="H926" s="7"/>
      <c r="I926" s="7"/>
      <c r="J926" s="7"/>
    </row>
    <row r="927" spans="1:15" hidden="1" x14ac:dyDescent="0.25">
      <c r="E927" s="4" t="s">
        <v>10</v>
      </c>
      <c r="G927" s="8">
        <v>0</v>
      </c>
      <c r="H927" s="57">
        <v>2704.28</v>
      </c>
      <c r="I927" s="8">
        <f>G927-H927</f>
        <v>-2704.28</v>
      </c>
    </row>
    <row r="928" spans="1:15" hidden="1" x14ac:dyDescent="0.25">
      <c r="C928" s="9"/>
      <c r="D928" s="10">
        <v>45687</v>
      </c>
      <c r="E928" t="s">
        <v>816</v>
      </c>
      <c r="F928" s="11" t="s">
        <v>817</v>
      </c>
      <c r="G928" s="8">
        <v>0</v>
      </c>
      <c r="H928" s="57">
        <v>777.97</v>
      </c>
      <c r="I928" s="8">
        <f>G928-H928+I927</f>
        <v>-3482.25</v>
      </c>
      <c r="J928" s="12"/>
    </row>
    <row r="929" spans="1:10" hidden="1" x14ac:dyDescent="0.25">
      <c r="C929" s="9"/>
      <c r="D929" s="10">
        <v>45688</v>
      </c>
      <c r="E929" t="s">
        <v>818</v>
      </c>
      <c r="F929" s="11" t="s">
        <v>819</v>
      </c>
      <c r="G929" s="8">
        <v>0</v>
      </c>
      <c r="H929" s="8">
        <v>150.06</v>
      </c>
      <c r="I929" s="8">
        <f>G929-H929+I928</f>
        <v>-3632.31</v>
      </c>
      <c r="J929" s="63">
        <v>45792</v>
      </c>
    </row>
    <row r="930" spans="1:10" hidden="1" x14ac:dyDescent="0.25">
      <c r="C930" s="9"/>
      <c r="D930" s="10">
        <v>45733</v>
      </c>
      <c r="E930" t="s">
        <v>11</v>
      </c>
      <c r="F930" s="11" t="s">
        <v>817</v>
      </c>
      <c r="G930" s="57">
        <v>777.97</v>
      </c>
      <c r="H930" s="8">
        <v>0</v>
      </c>
      <c r="I930" s="8">
        <f>G930-H930+I929</f>
        <v>-2854.34</v>
      </c>
      <c r="J930" s="12"/>
    </row>
    <row r="931" spans="1:10" hidden="1" x14ac:dyDescent="0.25">
      <c r="C931" s="9"/>
      <c r="D931" s="10">
        <v>45762</v>
      </c>
      <c r="E931" t="s">
        <v>820</v>
      </c>
      <c r="F931" s="11" t="s">
        <v>42</v>
      </c>
      <c r="G931" s="57">
        <v>2704.28</v>
      </c>
      <c r="H931" s="8">
        <v>0</v>
      </c>
      <c r="I931" s="8">
        <f>G931-H931+I930</f>
        <v>-150.05999999999995</v>
      </c>
      <c r="J931" s="12"/>
    </row>
    <row r="932" spans="1:10" hidden="1" x14ac:dyDescent="0.25">
      <c r="E932" s="4" t="s">
        <v>20</v>
      </c>
      <c r="G932" s="8">
        <f>SUM(G927:G931)</f>
        <v>3482.25</v>
      </c>
      <c r="H932" s="8">
        <f>SUM(H927:H931)</f>
        <v>3632.31</v>
      </c>
      <c r="I932" s="8">
        <f>G932-H932</f>
        <v>-150.05999999999995</v>
      </c>
    </row>
    <row r="933" spans="1:10" hidden="1" x14ac:dyDescent="0.25"/>
    <row r="934" spans="1:10" hidden="1" x14ac:dyDescent="0.25">
      <c r="A934" s="5">
        <v>4000456</v>
      </c>
      <c r="B934" s="6" t="s">
        <v>821</v>
      </c>
      <c r="C934" s="7"/>
      <c r="D934" s="7"/>
      <c r="E934" s="7"/>
      <c r="F934" s="7"/>
      <c r="G934" s="7"/>
      <c r="H934" s="7"/>
      <c r="I934" s="7"/>
      <c r="J934" s="7"/>
    </row>
    <row r="935" spans="1:10" hidden="1" x14ac:dyDescent="0.25">
      <c r="E935" s="4" t="s">
        <v>10</v>
      </c>
      <c r="G935" s="8">
        <v>0</v>
      </c>
      <c r="H935" s="8">
        <v>768.56</v>
      </c>
      <c r="I935" s="8">
        <f>G935-H935</f>
        <v>-768.56</v>
      </c>
    </row>
    <row r="936" spans="1:10" hidden="1" x14ac:dyDescent="0.25">
      <c r="C936" s="9"/>
      <c r="D936" s="10">
        <v>45705</v>
      </c>
      <c r="E936" t="s">
        <v>822</v>
      </c>
      <c r="F936" s="11" t="s">
        <v>42</v>
      </c>
      <c r="G936" s="8">
        <v>768.56</v>
      </c>
      <c r="H936" s="8">
        <v>0</v>
      </c>
      <c r="I936" s="8">
        <f t="shared" ref="I936:I941" si="53">G936-H936+I935</f>
        <v>0</v>
      </c>
      <c r="J936" s="12"/>
    </row>
    <row r="937" spans="1:10" hidden="1" x14ac:dyDescent="0.25">
      <c r="C937" s="9"/>
      <c r="D937" s="10">
        <v>45705</v>
      </c>
      <c r="E937" t="s">
        <v>822</v>
      </c>
      <c r="F937" s="11" t="s">
        <v>42</v>
      </c>
      <c r="G937" s="8">
        <v>0</v>
      </c>
      <c r="H937" s="8">
        <v>768.56</v>
      </c>
      <c r="I937" s="8">
        <f t="shared" si="53"/>
        <v>-768.56</v>
      </c>
      <c r="J937" s="12"/>
    </row>
    <row r="938" spans="1:10" hidden="1" x14ac:dyDescent="0.25">
      <c r="C938" s="9" t="s">
        <v>124</v>
      </c>
      <c r="D938" s="10">
        <v>45719</v>
      </c>
      <c r="E938" t="s">
        <v>823</v>
      </c>
      <c r="F938" s="11" t="s">
        <v>42</v>
      </c>
      <c r="G938" s="8">
        <v>768.56</v>
      </c>
      <c r="H938" s="8">
        <v>0</v>
      </c>
      <c r="I938" s="8">
        <f t="shared" si="53"/>
        <v>0</v>
      </c>
      <c r="J938" s="12"/>
    </row>
    <row r="939" spans="1:10" hidden="1" x14ac:dyDescent="0.25">
      <c r="C939" s="9"/>
      <c r="D939" s="10">
        <v>45726</v>
      </c>
      <c r="E939" t="s">
        <v>824</v>
      </c>
      <c r="F939" s="11" t="s">
        <v>825</v>
      </c>
      <c r="G939" s="8">
        <v>0</v>
      </c>
      <c r="H939" s="8">
        <v>1084.1199999999999</v>
      </c>
      <c r="I939" s="8">
        <f t="shared" si="53"/>
        <v>-1084.1199999999999</v>
      </c>
      <c r="J939" s="63">
        <v>45792</v>
      </c>
    </row>
    <row r="940" spans="1:10" hidden="1" x14ac:dyDescent="0.25">
      <c r="C940" s="9"/>
      <c r="D940" s="10">
        <v>45728</v>
      </c>
      <c r="E940" t="s">
        <v>826</v>
      </c>
      <c r="F940" s="11" t="s">
        <v>827</v>
      </c>
      <c r="G940" s="8">
        <v>0</v>
      </c>
      <c r="H940" s="8">
        <v>430.55</v>
      </c>
      <c r="I940" s="8">
        <f t="shared" si="53"/>
        <v>-1514.6699999999998</v>
      </c>
      <c r="J940" s="12"/>
    </row>
    <row r="941" spans="1:10" hidden="1" x14ac:dyDescent="0.25">
      <c r="C941" s="9"/>
      <c r="D941" s="10">
        <v>45734</v>
      </c>
      <c r="E941" t="s">
        <v>828</v>
      </c>
      <c r="F941" s="11" t="s">
        <v>829</v>
      </c>
      <c r="G941" s="8">
        <v>0</v>
      </c>
      <c r="H941" s="8">
        <v>235.65</v>
      </c>
      <c r="I941" s="8">
        <f t="shared" si="53"/>
        <v>-1750.32</v>
      </c>
      <c r="J941" s="12"/>
    </row>
    <row r="942" spans="1:10" hidden="1" x14ac:dyDescent="0.25">
      <c r="E942" s="4" t="s">
        <v>20</v>
      </c>
      <c r="G942" s="8">
        <f>SUM(G935:G941)</f>
        <v>1537.12</v>
      </c>
      <c r="H942" s="8">
        <f>SUM(H935:H941)</f>
        <v>3287.44</v>
      </c>
      <c r="I942" s="8">
        <f>G942-H942</f>
        <v>-1750.3200000000002</v>
      </c>
    </row>
    <row r="943" spans="1:10" hidden="1" x14ac:dyDescent="0.25"/>
    <row r="944" spans="1:10" hidden="1" x14ac:dyDescent="0.25">
      <c r="A944" s="5">
        <v>4000468</v>
      </c>
      <c r="B944" s="6" t="s">
        <v>830</v>
      </c>
      <c r="C944" s="7"/>
      <c r="D944" s="7"/>
      <c r="E944" s="7"/>
      <c r="F944" s="7"/>
      <c r="G944" s="7"/>
      <c r="H944" s="7"/>
      <c r="I944" s="7"/>
      <c r="J944" s="7"/>
    </row>
    <row r="945" spans="1:10" hidden="1" x14ac:dyDescent="0.25">
      <c r="E945" s="4" t="s">
        <v>10</v>
      </c>
      <c r="G945" s="8">
        <v>0</v>
      </c>
      <c r="H945" s="57">
        <v>2615.1999999999998</v>
      </c>
      <c r="I945" s="8">
        <f>G945-H945</f>
        <v>-2615.1999999999998</v>
      </c>
    </row>
    <row r="946" spans="1:10" hidden="1" x14ac:dyDescent="0.25">
      <c r="C946" s="9"/>
      <c r="D946" s="10">
        <v>45672</v>
      </c>
      <c r="E946" t="s">
        <v>11</v>
      </c>
      <c r="F946" s="11" t="s">
        <v>831</v>
      </c>
      <c r="G946" s="57">
        <v>1236.28</v>
      </c>
      <c r="H946" s="8">
        <v>0</v>
      </c>
      <c r="I946" s="8">
        <f t="shared" ref="I946:I952" si="54">G946-H946+I945</f>
        <v>-1378.9199999999998</v>
      </c>
      <c r="J946" s="12"/>
    </row>
    <row r="947" spans="1:10" hidden="1" x14ac:dyDescent="0.25">
      <c r="C947" s="9"/>
      <c r="D947" s="10">
        <v>45688</v>
      </c>
      <c r="E947" t="s">
        <v>832</v>
      </c>
      <c r="F947" s="11" t="s">
        <v>833</v>
      </c>
      <c r="G947" s="8">
        <v>0</v>
      </c>
      <c r="H947" s="57">
        <v>672.12</v>
      </c>
      <c r="I947" s="8">
        <f t="shared" si="54"/>
        <v>-2051.04</v>
      </c>
      <c r="J947" s="63">
        <v>45762</v>
      </c>
    </row>
    <row r="948" spans="1:10" hidden="1" x14ac:dyDescent="0.25">
      <c r="C948" s="9"/>
      <c r="D948" s="10">
        <v>45705</v>
      </c>
      <c r="E948" t="s">
        <v>11</v>
      </c>
      <c r="F948" s="11" t="s">
        <v>834</v>
      </c>
      <c r="G948" s="57">
        <v>1286.1099999999999</v>
      </c>
      <c r="H948" s="8">
        <v>0</v>
      </c>
      <c r="I948" s="8">
        <f t="shared" si="54"/>
        <v>-764.93000000000006</v>
      </c>
      <c r="J948" s="12"/>
    </row>
    <row r="949" spans="1:10" hidden="1" x14ac:dyDescent="0.25">
      <c r="C949" s="9"/>
      <c r="D949" s="10">
        <v>45716</v>
      </c>
      <c r="E949" t="s">
        <v>835</v>
      </c>
      <c r="F949" s="11" t="s">
        <v>836</v>
      </c>
      <c r="G949" s="8">
        <v>0</v>
      </c>
      <c r="H949" s="8">
        <v>820.23</v>
      </c>
      <c r="I949" s="8">
        <f t="shared" si="54"/>
        <v>-1585.16</v>
      </c>
      <c r="J949" s="12"/>
    </row>
    <row r="950" spans="1:10" hidden="1" x14ac:dyDescent="0.25">
      <c r="C950" s="9"/>
      <c r="D950" s="10">
        <v>45733</v>
      </c>
      <c r="E950" t="s">
        <v>11</v>
      </c>
      <c r="F950" s="11" t="s">
        <v>837</v>
      </c>
      <c r="G950" s="57">
        <v>92.81</v>
      </c>
      <c r="H950" s="8">
        <v>0</v>
      </c>
      <c r="I950" s="8">
        <f t="shared" si="54"/>
        <v>-1492.3500000000001</v>
      </c>
      <c r="J950" s="12"/>
    </row>
    <row r="951" spans="1:10" hidden="1" x14ac:dyDescent="0.25">
      <c r="C951" s="9"/>
      <c r="D951" s="10">
        <v>45747</v>
      </c>
      <c r="E951" t="s">
        <v>838</v>
      </c>
      <c r="F951" s="11" t="s">
        <v>839</v>
      </c>
      <c r="G951" s="8">
        <v>0</v>
      </c>
      <c r="H951" s="8">
        <v>518.41</v>
      </c>
      <c r="I951" s="8">
        <f t="shared" si="54"/>
        <v>-2010.7600000000002</v>
      </c>
      <c r="J951" s="12"/>
    </row>
    <row r="952" spans="1:10" hidden="1" x14ac:dyDescent="0.25">
      <c r="C952" s="9"/>
      <c r="D952" s="10">
        <v>45762</v>
      </c>
      <c r="E952" t="s">
        <v>11</v>
      </c>
      <c r="F952" s="11" t="s">
        <v>833</v>
      </c>
      <c r="G952" s="57">
        <v>672.12</v>
      </c>
      <c r="H952" s="8">
        <v>0</v>
      </c>
      <c r="I952" s="8">
        <f t="shared" si="54"/>
        <v>-1338.6400000000003</v>
      </c>
      <c r="J952" s="12"/>
    </row>
    <row r="953" spans="1:10" hidden="1" x14ac:dyDescent="0.25">
      <c r="E953" s="4" t="s">
        <v>20</v>
      </c>
      <c r="G953" s="8">
        <f>SUM(G945:G952)</f>
        <v>3287.3199999999997</v>
      </c>
      <c r="H953" s="8">
        <f>SUM(H945:H952)</f>
        <v>4625.9599999999991</v>
      </c>
      <c r="I953" s="8">
        <f>G953-H953</f>
        <v>-1338.6399999999994</v>
      </c>
    </row>
    <row r="954" spans="1:10" hidden="1" x14ac:dyDescent="0.25"/>
    <row r="955" spans="1:10" hidden="1" x14ac:dyDescent="0.25">
      <c r="A955" s="5">
        <v>4000475</v>
      </c>
      <c r="B955" s="6" t="s">
        <v>840</v>
      </c>
      <c r="C955" s="7"/>
      <c r="D955" s="7"/>
      <c r="E955" s="7"/>
      <c r="F955" s="7"/>
      <c r="G955" s="7"/>
      <c r="H955" s="7"/>
      <c r="I955" s="7"/>
      <c r="J955" s="7"/>
    </row>
    <row r="956" spans="1:10" hidden="1" x14ac:dyDescent="0.25">
      <c r="C956" s="9"/>
      <c r="D956" s="35">
        <v>45611</v>
      </c>
      <c r="E956" s="36" t="s">
        <v>8276</v>
      </c>
      <c r="F956" s="37" t="s">
        <v>843</v>
      </c>
      <c r="G956" s="38">
        <v>0</v>
      </c>
      <c r="H956" s="39">
        <v>1681.33</v>
      </c>
      <c r="I956" s="38">
        <v>-3525.2799999999979</v>
      </c>
      <c r="J956" s="12"/>
    </row>
    <row r="957" spans="1:10" hidden="1" x14ac:dyDescent="0.25">
      <c r="C957" s="9"/>
      <c r="D957" s="35">
        <v>45641</v>
      </c>
      <c r="E957" s="36" t="s">
        <v>8277</v>
      </c>
      <c r="F957" s="37" t="s">
        <v>845</v>
      </c>
      <c r="G957" s="38">
        <v>0</v>
      </c>
      <c r="H957" s="39">
        <v>619.47</v>
      </c>
      <c r="I957" s="38">
        <v>-3074.4999999999982</v>
      </c>
      <c r="J957" s="12"/>
    </row>
    <row r="958" spans="1:10" hidden="1" x14ac:dyDescent="0.25">
      <c r="C958" s="9"/>
      <c r="D958" s="35">
        <v>45657</v>
      </c>
      <c r="E958" s="36" t="s">
        <v>8278</v>
      </c>
      <c r="F958" s="37" t="s">
        <v>8279</v>
      </c>
      <c r="G958" s="38">
        <v>0</v>
      </c>
      <c r="H958" s="39">
        <v>1009.43</v>
      </c>
      <c r="I958" s="38">
        <v>-3310.2299999999982</v>
      </c>
      <c r="J958" s="12"/>
    </row>
    <row r="959" spans="1:10" hidden="1" x14ac:dyDescent="0.25">
      <c r="E959" s="4" t="s">
        <v>10</v>
      </c>
      <c r="G959" s="8">
        <v>0</v>
      </c>
      <c r="H959" s="8">
        <v>3310.23</v>
      </c>
      <c r="I959" s="8">
        <f>G959-H959</f>
        <v>-3310.23</v>
      </c>
    </row>
    <row r="960" spans="1:10" hidden="1" x14ac:dyDescent="0.25">
      <c r="C960" s="9"/>
      <c r="D960" s="10">
        <v>45672</v>
      </c>
      <c r="E960" t="s">
        <v>841</v>
      </c>
      <c r="F960" s="11" t="s">
        <v>842</v>
      </c>
      <c r="G960" s="8">
        <v>0</v>
      </c>
      <c r="H960" s="39">
        <v>86.96</v>
      </c>
      <c r="I960" s="8">
        <f t="shared" ref="I960:I967" si="55">G960-H960+I959</f>
        <v>-3397.19</v>
      </c>
      <c r="J960" s="12"/>
    </row>
    <row r="961" spans="1:10" hidden="1" x14ac:dyDescent="0.25">
      <c r="C961" s="9"/>
      <c r="D961" s="10">
        <v>45672</v>
      </c>
      <c r="E961" t="s">
        <v>11</v>
      </c>
      <c r="F961" s="11" t="s">
        <v>843</v>
      </c>
      <c r="G961" s="39">
        <v>1681.33</v>
      </c>
      <c r="H961" s="8">
        <v>0</v>
      </c>
      <c r="I961" s="8">
        <f t="shared" si="55"/>
        <v>-1715.8600000000001</v>
      </c>
      <c r="J961" s="12"/>
    </row>
    <row r="962" spans="1:10" hidden="1" x14ac:dyDescent="0.25">
      <c r="C962" s="9"/>
      <c r="D962" s="10">
        <v>45672</v>
      </c>
      <c r="E962" t="s">
        <v>11</v>
      </c>
      <c r="F962" s="11" t="s">
        <v>843</v>
      </c>
      <c r="G962" s="39">
        <v>0</v>
      </c>
      <c r="H962" s="39">
        <v>1681.33</v>
      </c>
      <c r="I962" s="8">
        <f t="shared" si="55"/>
        <v>-3397.19</v>
      </c>
      <c r="J962" s="12"/>
    </row>
    <row r="963" spans="1:10" hidden="1" x14ac:dyDescent="0.25">
      <c r="C963" s="9"/>
      <c r="D963" s="10">
        <v>45700</v>
      </c>
      <c r="E963" t="s">
        <v>844</v>
      </c>
      <c r="F963" s="11" t="s">
        <v>42</v>
      </c>
      <c r="G963" s="39">
        <v>1681.33</v>
      </c>
      <c r="H963" s="39">
        <v>0</v>
      </c>
      <c r="I963" s="8">
        <f t="shared" si="55"/>
        <v>-1715.8600000000001</v>
      </c>
      <c r="J963" s="12"/>
    </row>
    <row r="964" spans="1:10" hidden="1" x14ac:dyDescent="0.25">
      <c r="C964" s="9"/>
      <c r="D964" s="10">
        <v>45705</v>
      </c>
      <c r="E964" t="s">
        <v>11</v>
      </c>
      <c r="F964" s="11" t="s">
        <v>845</v>
      </c>
      <c r="G964" s="39">
        <v>619.47</v>
      </c>
      <c r="H964" s="8">
        <v>0</v>
      </c>
      <c r="I964" s="8">
        <f t="shared" si="55"/>
        <v>-1096.3900000000001</v>
      </c>
      <c r="J964" s="12"/>
    </row>
    <row r="965" spans="1:10" hidden="1" x14ac:dyDescent="0.25">
      <c r="C965" s="9"/>
      <c r="D965" s="10">
        <v>45716</v>
      </c>
      <c r="E965" t="s">
        <v>846</v>
      </c>
      <c r="F965" s="11" t="s">
        <v>847</v>
      </c>
      <c r="G965" s="8">
        <v>0</v>
      </c>
      <c r="H965" s="8">
        <v>1577.85</v>
      </c>
      <c r="I965" s="8">
        <f t="shared" si="55"/>
        <v>-2674.24</v>
      </c>
      <c r="J965" s="12"/>
    </row>
    <row r="966" spans="1:10" hidden="1" x14ac:dyDescent="0.25">
      <c r="C966" s="9"/>
      <c r="D966" s="10">
        <v>45733</v>
      </c>
      <c r="E966" t="s">
        <v>848</v>
      </c>
      <c r="F966" s="11" t="s">
        <v>42</v>
      </c>
      <c r="G966" s="39">
        <v>1096.3900000000001</v>
      </c>
      <c r="H966" s="8">
        <v>0</v>
      </c>
      <c r="I966" s="8">
        <f t="shared" si="55"/>
        <v>-1577.8499999999997</v>
      </c>
      <c r="J966" s="12"/>
    </row>
    <row r="967" spans="1:10" hidden="1" x14ac:dyDescent="0.25">
      <c r="C967" s="9"/>
      <c r="D967" s="10">
        <v>45747</v>
      </c>
      <c r="E967" t="s">
        <v>849</v>
      </c>
      <c r="F967" s="11" t="s">
        <v>850</v>
      </c>
      <c r="G967" s="8">
        <v>0</v>
      </c>
      <c r="H967" s="8">
        <v>2134.61</v>
      </c>
      <c r="I967" s="8">
        <f t="shared" si="55"/>
        <v>-3712.46</v>
      </c>
      <c r="J967" s="12"/>
    </row>
    <row r="968" spans="1:10" hidden="1" x14ac:dyDescent="0.25">
      <c r="E968" s="4" t="s">
        <v>20</v>
      </c>
      <c r="G968" s="8">
        <f>SUM(G959:G967)</f>
        <v>5078.5200000000004</v>
      </c>
      <c r="H968" s="8">
        <f>SUM(H959:H967)</f>
        <v>8790.9800000000014</v>
      </c>
      <c r="I968" s="8">
        <f>G968-H968</f>
        <v>-3712.4600000000009</v>
      </c>
    </row>
    <row r="969" spans="1:10" hidden="1" x14ac:dyDescent="0.25"/>
    <row r="970" spans="1:10" x14ac:dyDescent="0.25">
      <c r="A970" s="5">
        <v>4000477</v>
      </c>
      <c r="B970" s="6" t="s">
        <v>851</v>
      </c>
      <c r="C970" s="7"/>
      <c r="D970" s="7"/>
      <c r="E970" s="7"/>
      <c r="F970" s="7"/>
      <c r="G970" s="7"/>
      <c r="H970" s="7"/>
      <c r="I970" s="7"/>
      <c r="J970" s="7"/>
    </row>
    <row r="971" spans="1:10" x14ac:dyDescent="0.25">
      <c r="C971" s="9"/>
      <c r="D971" s="10">
        <v>45705</v>
      </c>
      <c r="E971" t="s">
        <v>852</v>
      </c>
      <c r="F971" s="11" t="s">
        <v>42</v>
      </c>
      <c r="G971" s="8">
        <v>92.44</v>
      </c>
      <c r="H971" s="8">
        <v>0</v>
      </c>
      <c r="I971" s="8">
        <f>G971-H971</f>
        <v>92.44</v>
      </c>
      <c r="J971" s="20" t="s">
        <v>8144</v>
      </c>
    </row>
    <row r="972" spans="1:10" hidden="1" x14ac:dyDescent="0.25">
      <c r="E972" s="4" t="s">
        <v>20</v>
      </c>
      <c r="G972" s="8">
        <f>G971</f>
        <v>92.44</v>
      </c>
      <c r="H972" s="8">
        <f>H971</f>
        <v>0</v>
      </c>
      <c r="I972" s="8">
        <f>G972-H972</f>
        <v>92.44</v>
      </c>
    </row>
    <row r="974" spans="1:10" hidden="1" x14ac:dyDescent="0.25">
      <c r="A974" s="5">
        <v>4000495</v>
      </c>
      <c r="B974" s="6" t="s">
        <v>853</v>
      </c>
      <c r="C974" s="7"/>
      <c r="D974" s="7"/>
      <c r="E974" s="7"/>
      <c r="F974" s="7"/>
      <c r="G974" s="7"/>
      <c r="H974" s="7"/>
      <c r="I974" s="7"/>
      <c r="J974" s="7"/>
    </row>
    <row r="975" spans="1:10" hidden="1" x14ac:dyDescent="0.25">
      <c r="E975" s="4" t="s">
        <v>10</v>
      </c>
      <c r="G975" s="8">
        <v>0</v>
      </c>
      <c r="H975" s="39">
        <v>1015.95</v>
      </c>
      <c r="I975" s="8">
        <f>G975-H975</f>
        <v>-1015.95</v>
      </c>
    </row>
    <row r="976" spans="1:10" hidden="1" x14ac:dyDescent="0.25">
      <c r="C976" s="9"/>
      <c r="D976" s="10">
        <v>45672</v>
      </c>
      <c r="E976" t="s">
        <v>854</v>
      </c>
      <c r="F976" s="11" t="s">
        <v>855</v>
      </c>
      <c r="G976" s="8">
        <v>0</v>
      </c>
      <c r="H976" s="39">
        <v>708.31</v>
      </c>
      <c r="I976" s="8">
        <f t="shared" ref="I976:I989" si="56">G976-H976+I975</f>
        <v>-1724.26</v>
      </c>
      <c r="J976" s="12"/>
    </row>
    <row r="977" spans="1:10" hidden="1" x14ac:dyDescent="0.25">
      <c r="C977" s="9"/>
      <c r="D977" s="10">
        <v>45672</v>
      </c>
      <c r="E977" t="s">
        <v>11</v>
      </c>
      <c r="F977" s="11" t="s">
        <v>856</v>
      </c>
      <c r="G977" s="39">
        <v>305.97000000000003</v>
      </c>
      <c r="H977" s="8">
        <v>0</v>
      </c>
      <c r="I977" s="8">
        <f t="shared" si="56"/>
        <v>-1418.29</v>
      </c>
      <c r="J977" s="12"/>
    </row>
    <row r="978" spans="1:10" hidden="1" x14ac:dyDescent="0.25">
      <c r="C978" s="9"/>
      <c r="D978" s="10">
        <v>45672</v>
      </c>
      <c r="E978" t="s">
        <v>11</v>
      </c>
      <c r="F978" s="11" t="s">
        <v>857</v>
      </c>
      <c r="G978" s="39">
        <v>309.76</v>
      </c>
      <c r="H978" s="8">
        <v>0</v>
      </c>
      <c r="I978" s="8">
        <f t="shared" si="56"/>
        <v>-1108.53</v>
      </c>
      <c r="J978" s="12"/>
    </row>
    <row r="979" spans="1:10" hidden="1" x14ac:dyDescent="0.25">
      <c r="C979" s="9"/>
      <c r="D979" s="10">
        <v>45688</v>
      </c>
      <c r="E979" t="s">
        <v>858</v>
      </c>
      <c r="F979" s="11" t="s">
        <v>859</v>
      </c>
      <c r="G979" s="8">
        <v>0</v>
      </c>
      <c r="H979" s="39">
        <v>1147.5999999999999</v>
      </c>
      <c r="I979" s="8">
        <f t="shared" si="56"/>
        <v>-2256.13</v>
      </c>
      <c r="J979" s="12"/>
    </row>
    <row r="980" spans="1:10" hidden="1" x14ac:dyDescent="0.25">
      <c r="C980" s="9"/>
      <c r="D980" s="10">
        <v>45703</v>
      </c>
      <c r="E980" t="s">
        <v>860</v>
      </c>
      <c r="F980" s="11" t="s">
        <v>861</v>
      </c>
      <c r="G980" s="8">
        <v>0</v>
      </c>
      <c r="H980" s="39">
        <v>440.39</v>
      </c>
      <c r="I980" s="8">
        <f t="shared" si="56"/>
        <v>-2696.52</v>
      </c>
      <c r="J980" s="12"/>
    </row>
    <row r="981" spans="1:10" hidden="1" x14ac:dyDescent="0.25">
      <c r="C981" s="9"/>
      <c r="D981" s="10">
        <v>45705</v>
      </c>
      <c r="E981" t="s">
        <v>11</v>
      </c>
      <c r="F981" s="11" t="s">
        <v>862</v>
      </c>
      <c r="G981" s="39">
        <v>311.14999999999998</v>
      </c>
      <c r="H981" s="8">
        <v>0</v>
      </c>
      <c r="I981" s="8">
        <f t="shared" si="56"/>
        <v>-2385.37</v>
      </c>
      <c r="J981" s="12"/>
    </row>
    <row r="982" spans="1:10" hidden="1" x14ac:dyDescent="0.25">
      <c r="C982" s="9"/>
      <c r="D982" s="10">
        <v>45705</v>
      </c>
      <c r="E982" t="s">
        <v>11</v>
      </c>
      <c r="F982" s="11" t="s">
        <v>863</v>
      </c>
      <c r="G982" s="39">
        <v>89.07</v>
      </c>
      <c r="H982" s="8">
        <v>0</v>
      </c>
      <c r="I982" s="8">
        <f t="shared" si="56"/>
        <v>-2296.2999999999997</v>
      </c>
      <c r="J982" s="12"/>
    </row>
    <row r="983" spans="1:10" hidden="1" x14ac:dyDescent="0.25">
      <c r="C983" s="9"/>
      <c r="D983" s="10">
        <v>45716</v>
      </c>
      <c r="E983" t="s">
        <v>864</v>
      </c>
      <c r="F983" s="11" t="s">
        <v>865</v>
      </c>
      <c r="G983" s="8">
        <v>0</v>
      </c>
      <c r="H983" s="39">
        <v>504.59</v>
      </c>
      <c r="I983" s="8">
        <f t="shared" si="56"/>
        <v>-2800.89</v>
      </c>
      <c r="J983" s="12"/>
    </row>
    <row r="984" spans="1:10" hidden="1" x14ac:dyDescent="0.25">
      <c r="C984" s="9"/>
      <c r="D984" s="10">
        <v>45731</v>
      </c>
      <c r="E984" t="s">
        <v>866</v>
      </c>
      <c r="F984" s="11" t="s">
        <v>867</v>
      </c>
      <c r="G984" s="8">
        <v>0</v>
      </c>
      <c r="H984" s="8">
        <v>572.78</v>
      </c>
      <c r="I984" s="8">
        <f t="shared" si="56"/>
        <v>-3373.67</v>
      </c>
      <c r="J984" s="12"/>
    </row>
    <row r="985" spans="1:10" hidden="1" x14ac:dyDescent="0.25">
      <c r="C985" s="9"/>
      <c r="D985" s="10">
        <v>45733</v>
      </c>
      <c r="E985" t="s">
        <v>11</v>
      </c>
      <c r="F985" s="11" t="s">
        <v>855</v>
      </c>
      <c r="G985" s="39">
        <v>708.31</v>
      </c>
      <c r="H985" s="8">
        <v>0</v>
      </c>
      <c r="I985" s="8">
        <f t="shared" si="56"/>
        <v>-2665.36</v>
      </c>
      <c r="J985" s="12"/>
    </row>
    <row r="986" spans="1:10" hidden="1" x14ac:dyDescent="0.25">
      <c r="C986" s="9"/>
      <c r="D986" s="10">
        <v>45747</v>
      </c>
      <c r="E986" t="s">
        <v>868</v>
      </c>
      <c r="F986" s="11" t="s">
        <v>869</v>
      </c>
      <c r="G986" s="8">
        <v>0</v>
      </c>
      <c r="H986" s="8">
        <v>919.56</v>
      </c>
      <c r="I986" s="8">
        <f t="shared" si="56"/>
        <v>-3584.92</v>
      </c>
      <c r="J986" s="12"/>
    </row>
    <row r="987" spans="1:10" hidden="1" x14ac:dyDescent="0.25">
      <c r="C987" s="9"/>
      <c r="D987" s="10">
        <v>45762</v>
      </c>
      <c r="E987" t="s">
        <v>11</v>
      </c>
      <c r="F987" s="11" t="s">
        <v>865</v>
      </c>
      <c r="G987" s="39">
        <v>504.59</v>
      </c>
      <c r="H987" s="8">
        <v>0</v>
      </c>
      <c r="I987" s="8">
        <f t="shared" si="56"/>
        <v>-3080.33</v>
      </c>
      <c r="J987" s="12"/>
    </row>
    <row r="988" spans="1:10" hidden="1" x14ac:dyDescent="0.25">
      <c r="C988" s="9"/>
      <c r="D988" s="10">
        <v>45762</v>
      </c>
      <c r="E988" t="s">
        <v>11</v>
      </c>
      <c r="F988" s="11" t="s">
        <v>861</v>
      </c>
      <c r="G988" s="39">
        <v>440.39</v>
      </c>
      <c r="H988" s="8">
        <v>0</v>
      </c>
      <c r="I988" s="8">
        <f t="shared" si="56"/>
        <v>-2639.94</v>
      </c>
      <c r="J988" s="12"/>
    </row>
    <row r="989" spans="1:10" hidden="1" x14ac:dyDescent="0.25">
      <c r="C989" s="9"/>
      <c r="D989" s="10">
        <v>45762</v>
      </c>
      <c r="E989" t="s">
        <v>11</v>
      </c>
      <c r="F989" s="11" t="s">
        <v>859</v>
      </c>
      <c r="G989" s="39">
        <v>1147.5999999999999</v>
      </c>
      <c r="H989" s="8">
        <v>0</v>
      </c>
      <c r="I989" s="8">
        <f t="shared" si="56"/>
        <v>-1492.3400000000001</v>
      </c>
      <c r="J989" s="12"/>
    </row>
    <row r="990" spans="1:10" hidden="1" x14ac:dyDescent="0.25">
      <c r="E990" s="4" t="s">
        <v>20</v>
      </c>
      <c r="G990" s="8">
        <f>SUM(G975:G989)</f>
        <v>3816.8399999999997</v>
      </c>
      <c r="H990" s="8">
        <f>SUM(H975:H989)</f>
        <v>5309.18</v>
      </c>
      <c r="I990" s="8">
        <f>G990-H990</f>
        <v>-1492.3400000000006</v>
      </c>
    </row>
    <row r="991" spans="1:10" hidden="1" x14ac:dyDescent="0.25"/>
    <row r="992" spans="1:10" hidden="1" x14ac:dyDescent="0.25">
      <c r="A992" s="5">
        <v>4000497</v>
      </c>
      <c r="B992" s="6" t="s">
        <v>870</v>
      </c>
      <c r="C992" s="7"/>
      <c r="D992" s="7"/>
      <c r="E992" s="7"/>
      <c r="F992" s="7"/>
      <c r="G992" s="7"/>
      <c r="H992" s="7"/>
      <c r="I992" s="7"/>
      <c r="J992" s="7"/>
    </row>
    <row r="993" spans="1:10" hidden="1" x14ac:dyDescent="0.25">
      <c r="E993" s="4" t="s">
        <v>10</v>
      </c>
      <c r="G993" s="8">
        <v>0</v>
      </c>
      <c r="H993" s="39">
        <v>3979.6</v>
      </c>
      <c r="I993" s="8">
        <f>G993-H993</f>
        <v>-3979.6</v>
      </c>
    </row>
    <row r="994" spans="1:10" hidden="1" x14ac:dyDescent="0.25">
      <c r="C994" s="9"/>
      <c r="D994" s="10">
        <v>45672</v>
      </c>
      <c r="E994" t="s">
        <v>11</v>
      </c>
      <c r="F994" s="11" t="s">
        <v>871</v>
      </c>
      <c r="G994" s="39">
        <v>1364.23</v>
      </c>
      <c r="H994" s="8">
        <v>0</v>
      </c>
      <c r="I994" s="8">
        <f t="shared" ref="I994:I1000" si="57">G994-H994+I993</f>
        <v>-2615.37</v>
      </c>
      <c r="J994" s="12"/>
    </row>
    <row r="995" spans="1:10" hidden="1" x14ac:dyDescent="0.25">
      <c r="C995" s="9"/>
      <c r="D995" s="10">
        <v>45688</v>
      </c>
      <c r="E995" t="s">
        <v>872</v>
      </c>
      <c r="F995" s="11" t="s">
        <v>873</v>
      </c>
      <c r="G995" s="8">
        <v>0</v>
      </c>
      <c r="H995" s="39">
        <v>1357.64</v>
      </c>
      <c r="I995" s="8">
        <f t="shared" si="57"/>
        <v>-3973.01</v>
      </c>
      <c r="J995" s="12"/>
    </row>
    <row r="996" spans="1:10" hidden="1" x14ac:dyDescent="0.25">
      <c r="C996" s="9"/>
      <c r="D996" s="10">
        <v>45705</v>
      </c>
      <c r="E996" t="s">
        <v>11</v>
      </c>
      <c r="F996" s="11" t="s">
        <v>874</v>
      </c>
      <c r="G996" s="39">
        <v>1073.08</v>
      </c>
      <c r="H996" s="8">
        <v>0</v>
      </c>
      <c r="I996" s="8">
        <f t="shared" si="57"/>
        <v>-2899.9300000000003</v>
      </c>
      <c r="J996" s="12"/>
    </row>
    <row r="997" spans="1:10" hidden="1" x14ac:dyDescent="0.25">
      <c r="C997" s="9"/>
      <c r="D997" s="10">
        <v>45716</v>
      </c>
      <c r="E997" t="s">
        <v>875</v>
      </c>
      <c r="F997" s="11" t="s">
        <v>876</v>
      </c>
      <c r="G997" s="8">
        <v>0</v>
      </c>
      <c r="H997" s="8">
        <v>2169.15</v>
      </c>
      <c r="I997" s="8">
        <f t="shared" si="57"/>
        <v>-5069.08</v>
      </c>
      <c r="J997" s="12"/>
    </row>
    <row r="998" spans="1:10" hidden="1" x14ac:dyDescent="0.25">
      <c r="C998" s="9"/>
      <c r="D998" s="10">
        <v>45733</v>
      </c>
      <c r="E998" t="s">
        <v>11</v>
      </c>
      <c r="F998" s="11" t="s">
        <v>877</v>
      </c>
      <c r="G998" s="39">
        <v>1542.29</v>
      </c>
      <c r="H998" s="8">
        <v>0</v>
      </c>
      <c r="I998" s="8">
        <f t="shared" si="57"/>
        <v>-3526.79</v>
      </c>
      <c r="J998" s="12"/>
    </row>
    <row r="999" spans="1:10" hidden="1" x14ac:dyDescent="0.25">
      <c r="C999" s="9"/>
      <c r="D999" s="10">
        <v>45747</v>
      </c>
      <c r="E999" t="s">
        <v>878</v>
      </c>
      <c r="F999" s="11" t="s">
        <v>879</v>
      </c>
      <c r="G999" s="8">
        <v>0</v>
      </c>
      <c r="H999" s="8">
        <v>1149.9000000000001</v>
      </c>
      <c r="I999" s="8">
        <f t="shared" si="57"/>
        <v>-4676.6900000000005</v>
      </c>
      <c r="J999" s="12"/>
    </row>
    <row r="1000" spans="1:10" hidden="1" x14ac:dyDescent="0.25">
      <c r="C1000" s="9"/>
      <c r="D1000" s="10">
        <v>45762</v>
      </c>
      <c r="E1000" t="s">
        <v>11</v>
      </c>
      <c r="F1000" s="11" t="s">
        <v>873</v>
      </c>
      <c r="G1000" s="39">
        <v>1357.64</v>
      </c>
      <c r="H1000" s="8">
        <v>0</v>
      </c>
      <c r="I1000" s="8">
        <f t="shared" si="57"/>
        <v>-3319.05</v>
      </c>
      <c r="J1000" s="12"/>
    </row>
    <row r="1001" spans="1:10" hidden="1" x14ac:dyDescent="0.25">
      <c r="E1001" s="4" t="s">
        <v>20</v>
      </c>
      <c r="G1001" s="8">
        <f>SUM(G993:G1000)</f>
        <v>5337.24</v>
      </c>
      <c r="H1001" s="8">
        <f>SUM(H993:H1000)</f>
        <v>8656.2899999999991</v>
      </c>
      <c r="I1001" s="8">
        <f>G1001-H1001</f>
        <v>-3319.0499999999993</v>
      </c>
    </row>
    <row r="1002" spans="1:10" hidden="1" x14ac:dyDescent="0.25"/>
    <row r="1003" spans="1:10" x14ac:dyDescent="0.25">
      <c r="A1003" s="5">
        <v>4000499</v>
      </c>
      <c r="B1003" s="6" t="s">
        <v>880</v>
      </c>
      <c r="C1003" s="7"/>
      <c r="D1003" s="7"/>
      <c r="E1003" s="7"/>
      <c r="F1003" s="7"/>
      <c r="G1003" s="7"/>
      <c r="H1003" s="7"/>
      <c r="I1003" s="7"/>
      <c r="J1003" s="7"/>
    </row>
    <row r="1004" spans="1:10" hidden="1" x14ac:dyDescent="0.25">
      <c r="E1004" s="4" t="s">
        <v>10</v>
      </c>
      <c r="G1004" s="8">
        <v>653.1</v>
      </c>
      <c r="H1004" s="8">
        <v>0</v>
      </c>
      <c r="I1004" s="8">
        <f>G1004-H1004</f>
        <v>653.1</v>
      </c>
    </row>
    <row r="1005" spans="1:10" hidden="1" x14ac:dyDescent="0.25">
      <c r="C1005" s="9"/>
      <c r="D1005" s="10">
        <v>45658</v>
      </c>
      <c r="E1005" t="s">
        <v>881</v>
      </c>
      <c r="F1005" s="11" t="s">
        <v>882</v>
      </c>
      <c r="G1005" s="8">
        <v>0</v>
      </c>
      <c r="H1005" s="8">
        <v>653.1</v>
      </c>
      <c r="I1005" s="8">
        <f>G1005-H1005+I1004</f>
        <v>0</v>
      </c>
      <c r="J1005" s="12"/>
    </row>
    <row r="1006" spans="1:10" x14ac:dyDescent="0.25">
      <c r="C1006" s="9"/>
      <c r="D1006" s="10">
        <v>45715</v>
      </c>
      <c r="E1006" t="s">
        <v>883</v>
      </c>
      <c r="F1006" s="11" t="s">
        <v>884</v>
      </c>
      <c r="G1006" s="8">
        <v>0</v>
      </c>
      <c r="H1006" s="8">
        <v>510.74</v>
      </c>
      <c r="I1006" s="8">
        <f>G1006-H1006+I1005</f>
        <v>-510.74</v>
      </c>
      <c r="J1006" s="32" t="s">
        <v>8147</v>
      </c>
    </row>
    <row r="1007" spans="1:10" hidden="1" x14ac:dyDescent="0.25">
      <c r="E1007" s="4" t="s">
        <v>20</v>
      </c>
      <c r="G1007" s="8">
        <f>SUM(G1004:G1006)</f>
        <v>653.1</v>
      </c>
      <c r="H1007" s="8">
        <f>SUM(H1004:H1006)</f>
        <v>1163.8400000000001</v>
      </c>
      <c r="I1007" s="8">
        <f>G1007-H1007</f>
        <v>-510.74000000000012</v>
      </c>
    </row>
    <row r="1009" spans="1:14" x14ac:dyDescent="0.25">
      <c r="A1009" s="5">
        <v>4000501</v>
      </c>
      <c r="B1009" s="6" t="s">
        <v>885</v>
      </c>
      <c r="C1009" s="7"/>
      <c r="D1009" s="7"/>
      <c r="E1009" s="7"/>
      <c r="F1009" s="7"/>
      <c r="G1009" s="7"/>
      <c r="H1009" s="7"/>
      <c r="I1009" s="7"/>
      <c r="J1009" s="27" t="s">
        <v>8145</v>
      </c>
      <c r="K1009" s="27"/>
      <c r="L1009" s="27"/>
      <c r="M1009" s="27"/>
      <c r="N1009" s="27"/>
    </row>
    <row r="1010" spans="1:14" hidden="1" x14ac:dyDescent="0.25">
      <c r="E1010" s="4" t="s">
        <v>10</v>
      </c>
      <c r="G1010" s="8">
        <v>0</v>
      </c>
      <c r="H1010" s="8">
        <v>11714.36</v>
      </c>
      <c r="I1010" s="8">
        <f>G1010-H1010</f>
        <v>-11714.36</v>
      </c>
    </row>
    <row r="1011" spans="1:14" hidden="1" x14ac:dyDescent="0.25">
      <c r="C1011" s="9"/>
      <c r="D1011" s="10">
        <v>45665</v>
      </c>
      <c r="E1011" t="s">
        <v>72</v>
      </c>
      <c r="F1011" s="11" t="s">
        <v>42</v>
      </c>
      <c r="G1011" s="8">
        <v>146.41</v>
      </c>
      <c r="H1011" s="8">
        <v>0</v>
      </c>
      <c r="I1011" s="8">
        <f t="shared" ref="I1011:I1020" si="58">G1011-H1011+I1010</f>
        <v>-11567.95</v>
      </c>
      <c r="J1011" s="12"/>
    </row>
    <row r="1012" spans="1:14" hidden="1" x14ac:dyDescent="0.25">
      <c r="C1012" s="9"/>
      <c r="D1012" s="10">
        <v>45665</v>
      </c>
      <c r="E1012" t="s">
        <v>72</v>
      </c>
      <c r="F1012" s="11" t="s">
        <v>42</v>
      </c>
      <c r="G1012" s="8">
        <v>497.92</v>
      </c>
      <c r="H1012" s="8">
        <v>0</v>
      </c>
      <c r="I1012" s="8">
        <f t="shared" si="58"/>
        <v>-11070.03</v>
      </c>
      <c r="J1012" s="12"/>
    </row>
    <row r="1013" spans="1:14" hidden="1" x14ac:dyDescent="0.25">
      <c r="C1013" s="9"/>
      <c r="D1013" s="10">
        <v>45665</v>
      </c>
      <c r="E1013" t="s">
        <v>72</v>
      </c>
      <c r="F1013" s="11" t="s">
        <v>42</v>
      </c>
      <c r="G1013" s="8">
        <v>263.18</v>
      </c>
      <c r="H1013" s="8">
        <v>0</v>
      </c>
      <c r="I1013" s="8">
        <f t="shared" si="58"/>
        <v>-10806.85</v>
      </c>
      <c r="J1013" s="12"/>
    </row>
    <row r="1014" spans="1:14" hidden="1" x14ac:dyDescent="0.25">
      <c r="C1014" s="9"/>
      <c r="D1014" s="10">
        <v>45665</v>
      </c>
      <c r="E1014" t="s">
        <v>72</v>
      </c>
      <c r="F1014" s="11" t="s">
        <v>42</v>
      </c>
      <c r="G1014" s="8">
        <v>739.49</v>
      </c>
      <c r="H1014" s="8">
        <v>0</v>
      </c>
      <c r="I1014" s="8">
        <f t="shared" si="58"/>
        <v>-10067.36</v>
      </c>
      <c r="J1014" s="12"/>
    </row>
    <row r="1015" spans="1:14" hidden="1" x14ac:dyDescent="0.25">
      <c r="C1015" s="9"/>
      <c r="D1015" s="10">
        <v>45665</v>
      </c>
      <c r="E1015" t="s">
        <v>72</v>
      </c>
      <c r="F1015" s="11" t="s">
        <v>42</v>
      </c>
      <c r="G1015" s="8">
        <v>639.70000000000005</v>
      </c>
      <c r="H1015" s="8">
        <v>0</v>
      </c>
      <c r="I1015" s="8">
        <f t="shared" si="58"/>
        <v>-9427.66</v>
      </c>
      <c r="J1015" s="12"/>
    </row>
    <row r="1016" spans="1:14" hidden="1" x14ac:dyDescent="0.25">
      <c r="C1016" s="9"/>
      <c r="D1016" s="10">
        <v>45665</v>
      </c>
      <c r="E1016" t="s">
        <v>72</v>
      </c>
      <c r="F1016" s="11" t="s">
        <v>42</v>
      </c>
      <c r="G1016" s="8">
        <v>91.16</v>
      </c>
      <c r="H1016" s="8">
        <v>0</v>
      </c>
      <c r="I1016" s="8">
        <f t="shared" si="58"/>
        <v>-9336.5</v>
      </c>
      <c r="J1016" s="12"/>
    </row>
    <row r="1017" spans="1:14" hidden="1" x14ac:dyDescent="0.25">
      <c r="C1017" s="9"/>
      <c r="D1017" s="10">
        <v>45665</v>
      </c>
      <c r="E1017" t="s">
        <v>72</v>
      </c>
      <c r="F1017" s="11" t="s">
        <v>42</v>
      </c>
      <c r="G1017" s="8">
        <v>14.82</v>
      </c>
      <c r="H1017" s="8">
        <v>0</v>
      </c>
      <c r="I1017" s="8">
        <f t="shared" si="58"/>
        <v>-9321.68</v>
      </c>
      <c r="J1017" s="12"/>
    </row>
    <row r="1018" spans="1:14" hidden="1" x14ac:dyDescent="0.25">
      <c r="C1018" s="9"/>
      <c r="D1018" s="10">
        <v>45665</v>
      </c>
      <c r="E1018" t="s">
        <v>72</v>
      </c>
      <c r="F1018" s="11" t="s">
        <v>42</v>
      </c>
      <c r="G1018" s="8">
        <v>415.03</v>
      </c>
      <c r="H1018" s="8">
        <v>0</v>
      </c>
      <c r="I1018" s="8">
        <f t="shared" si="58"/>
        <v>-8906.65</v>
      </c>
      <c r="J1018" s="12"/>
    </row>
    <row r="1019" spans="1:14" hidden="1" x14ac:dyDescent="0.25">
      <c r="C1019" s="9"/>
      <c r="D1019" s="10">
        <v>45695</v>
      </c>
      <c r="E1019" t="s">
        <v>886</v>
      </c>
      <c r="F1019" s="11" t="s">
        <v>42</v>
      </c>
      <c r="G1019" s="8">
        <v>509.23</v>
      </c>
      <c r="H1019" s="8">
        <v>0</v>
      </c>
      <c r="I1019" s="8">
        <f t="shared" si="58"/>
        <v>-8397.42</v>
      </c>
      <c r="J1019" s="12"/>
    </row>
    <row r="1020" spans="1:14" hidden="1" x14ac:dyDescent="0.25">
      <c r="C1020" s="9"/>
      <c r="D1020" s="10">
        <v>45730</v>
      </c>
      <c r="E1020" t="s">
        <v>887</v>
      </c>
      <c r="F1020" s="11" t="s">
        <v>888</v>
      </c>
      <c r="G1020" s="8">
        <v>1527.77</v>
      </c>
      <c r="H1020" s="8">
        <v>0</v>
      </c>
      <c r="I1020" s="8">
        <f t="shared" si="58"/>
        <v>-6869.65</v>
      </c>
      <c r="J1020" s="12"/>
    </row>
    <row r="1021" spans="1:14" x14ac:dyDescent="0.25">
      <c r="E1021" s="4" t="s">
        <v>20</v>
      </c>
      <c r="G1021" s="8">
        <f>SUM(G1010:G1020)</f>
        <v>4844.71</v>
      </c>
      <c r="H1021" s="8">
        <f>SUM(H1010:H1020)</f>
        <v>11714.36</v>
      </c>
      <c r="I1021" s="8">
        <f>G1021-H1021</f>
        <v>-6869.6500000000005</v>
      </c>
      <c r="J1021" s="62">
        <f>G1021-H1021</f>
        <v>-6869.6500000000005</v>
      </c>
    </row>
    <row r="1023" spans="1:14" hidden="1" x14ac:dyDescent="0.25">
      <c r="A1023" s="5">
        <v>4000507</v>
      </c>
      <c r="B1023" s="6" t="s">
        <v>889</v>
      </c>
      <c r="C1023" s="7"/>
      <c r="D1023" s="7"/>
      <c r="E1023" s="7"/>
      <c r="F1023" s="7"/>
      <c r="G1023" s="7"/>
      <c r="H1023" s="7"/>
      <c r="I1023" s="7"/>
      <c r="J1023" s="7"/>
    </row>
    <row r="1024" spans="1:14" s="40" customFormat="1" hidden="1" x14ac:dyDescent="0.25">
      <c r="E1024" s="41" t="s">
        <v>10</v>
      </c>
      <c r="G1024" s="39">
        <v>0</v>
      </c>
      <c r="H1024" s="39">
        <v>276.97000000000003</v>
      </c>
      <c r="I1024" s="39">
        <f>G1024-H1024</f>
        <v>-276.97000000000003</v>
      </c>
    </row>
    <row r="1025" spans="1:10" s="40" customFormat="1" hidden="1" x14ac:dyDescent="0.25">
      <c r="C1025" s="42"/>
      <c r="D1025" s="43">
        <v>45672</v>
      </c>
      <c r="E1025" s="40" t="s">
        <v>11</v>
      </c>
      <c r="F1025" s="44" t="s">
        <v>890</v>
      </c>
      <c r="G1025" s="39">
        <v>276.97000000000003</v>
      </c>
      <c r="H1025" s="39">
        <v>0</v>
      </c>
      <c r="I1025" s="39">
        <f>G1025-H1025+I1024</f>
        <v>0</v>
      </c>
      <c r="J1025" s="45"/>
    </row>
    <row r="1026" spans="1:10" hidden="1" x14ac:dyDescent="0.25">
      <c r="C1026" s="9"/>
      <c r="D1026" s="10">
        <v>45672</v>
      </c>
      <c r="E1026" t="s">
        <v>11</v>
      </c>
      <c r="F1026" s="11" t="s">
        <v>890</v>
      </c>
      <c r="G1026" s="8">
        <v>0</v>
      </c>
      <c r="H1026" s="8">
        <v>276.97000000000003</v>
      </c>
      <c r="I1026" s="8">
        <f>G1026-H1026+I1025</f>
        <v>-276.97000000000003</v>
      </c>
      <c r="J1026" s="12"/>
    </row>
    <row r="1027" spans="1:10" hidden="1" x14ac:dyDescent="0.25">
      <c r="C1027" s="9"/>
      <c r="D1027" s="10">
        <v>45700</v>
      </c>
      <c r="E1027" t="s">
        <v>891</v>
      </c>
      <c r="F1027" s="11" t="s">
        <v>42</v>
      </c>
      <c r="G1027" s="8">
        <v>276.97000000000003</v>
      </c>
      <c r="H1027" s="8">
        <v>0</v>
      </c>
      <c r="I1027" s="8">
        <f>G1027-H1027+I1026</f>
        <v>0</v>
      </c>
      <c r="J1027" s="12"/>
    </row>
    <row r="1028" spans="1:10" hidden="1" x14ac:dyDescent="0.25">
      <c r="E1028" s="4" t="s">
        <v>20</v>
      </c>
      <c r="G1028" s="8">
        <f>SUM(G1024:G1027)</f>
        <v>553.94000000000005</v>
      </c>
      <c r="H1028" s="8">
        <f>SUM(H1024:H1027)</f>
        <v>553.94000000000005</v>
      </c>
      <c r="I1028" s="8">
        <f>G1028-H1028</f>
        <v>0</v>
      </c>
    </row>
    <row r="1029" spans="1:10" hidden="1" x14ac:dyDescent="0.25"/>
    <row r="1030" spans="1:10" hidden="1" x14ac:dyDescent="0.25">
      <c r="A1030" s="5">
        <v>4000512</v>
      </c>
      <c r="B1030" s="6" t="s">
        <v>892</v>
      </c>
      <c r="C1030" s="7"/>
      <c r="D1030" s="7"/>
      <c r="E1030" s="7"/>
      <c r="F1030" s="7"/>
      <c r="G1030" s="7"/>
      <c r="H1030" s="7"/>
      <c r="I1030" s="7"/>
      <c r="J1030" s="7"/>
    </row>
    <row r="1031" spans="1:10" s="40" customFormat="1" hidden="1" x14ac:dyDescent="0.25">
      <c r="C1031" s="42"/>
      <c r="D1031" s="43">
        <v>45707</v>
      </c>
      <c r="E1031" s="40" t="s">
        <v>893</v>
      </c>
      <c r="F1031" s="44" t="s">
        <v>894</v>
      </c>
      <c r="G1031" s="39">
        <v>0</v>
      </c>
      <c r="H1031" s="39">
        <v>217.01</v>
      </c>
      <c r="I1031" s="39">
        <f>G1031-H1031</f>
        <v>-217.01</v>
      </c>
      <c r="J1031" s="45"/>
    </row>
    <row r="1032" spans="1:10" s="40" customFormat="1" hidden="1" x14ac:dyDescent="0.25">
      <c r="C1032" s="42"/>
      <c r="D1032" s="43">
        <v>45707</v>
      </c>
      <c r="E1032" s="40" t="s">
        <v>893</v>
      </c>
      <c r="F1032" s="44" t="s">
        <v>894</v>
      </c>
      <c r="G1032" s="39">
        <v>217.01</v>
      </c>
      <c r="H1032" s="39">
        <v>0</v>
      </c>
      <c r="I1032" s="39">
        <f t="shared" ref="I1032:I1037" si="59">G1032-H1032+I1031</f>
        <v>0</v>
      </c>
      <c r="J1032" s="45"/>
    </row>
    <row r="1033" spans="1:10" s="40" customFormat="1" hidden="1" x14ac:dyDescent="0.25">
      <c r="C1033" s="42"/>
      <c r="D1033" s="43">
        <v>45712</v>
      </c>
      <c r="E1033" s="40" t="s">
        <v>895</v>
      </c>
      <c r="F1033" s="44" t="s">
        <v>896</v>
      </c>
      <c r="G1033" s="39">
        <v>0</v>
      </c>
      <c r="H1033" s="39">
        <v>138.04</v>
      </c>
      <c r="I1033" s="39">
        <f t="shared" si="59"/>
        <v>-138.04</v>
      </c>
      <c r="J1033" s="45"/>
    </row>
    <row r="1034" spans="1:10" s="40" customFormat="1" hidden="1" x14ac:dyDescent="0.25">
      <c r="C1034" s="42"/>
      <c r="D1034" s="43">
        <v>45712</v>
      </c>
      <c r="E1034" s="40" t="s">
        <v>895</v>
      </c>
      <c r="F1034" s="44" t="s">
        <v>896</v>
      </c>
      <c r="G1034" s="39">
        <v>138.04</v>
      </c>
      <c r="H1034" s="39">
        <v>0</v>
      </c>
      <c r="I1034" s="39">
        <f t="shared" si="59"/>
        <v>0</v>
      </c>
      <c r="J1034" s="45"/>
    </row>
    <row r="1035" spans="1:10" hidden="1" x14ac:dyDescent="0.25">
      <c r="C1035" s="9"/>
      <c r="D1035" s="10">
        <v>45735</v>
      </c>
      <c r="E1035" t="s">
        <v>897</v>
      </c>
      <c r="F1035" s="11" t="s">
        <v>898</v>
      </c>
      <c r="G1035" s="8">
        <v>60</v>
      </c>
      <c r="H1035" s="8">
        <v>60</v>
      </c>
      <c r="I1035" s="8">
        <f t="shared" si="59"/>
        <v>0</v>
      </c>
      <c r="J1035" s="12"/>
    </row>
    <row r="1036" spans="1:10" s="40" customFormat="1" hidden="1" x14ac:dyDescent="0.25">
      <c r="C1036" s="42"/>
      <c r="D1036" s="43">
        <v>45761</v>
      </c>
      <c r="E1036" s="40" t="s">
        <v>899</v>
      </c>
      <c r="F1036" s="44" t="s">
        <v>900</v>
      </c>
      <c r="G1036" s="39">
        <v>0</v>
      </c>
      <c r="H1036" s="39">
        <v>353.89</v>
      </c>
      <c r="I1036" s="39">
        <f t="shared" si="59"/>
        <v>-353.89</v>
      </c>
      <c r="J1036" s="45"/>
    </row>
    <row r="1037" spans="1:10" s="40" customFormat="1" hidden="1" x14ac:dyDescent="0.25">
      <c r="C1037" s="42"/>
      <c r="D1037" s="43">
        <v>45761</v>
      </c>
      <c r="E1037" s="40" t="s">
        <v>899</v>
      </c>
      <c r="F1037" s="44" t="s">
        <v>900</v>
      </c>
      <c r="G1037" s="39">
        <v>353.89</v>
      </c>
      <c r="H1037" s="39">
        <v>0</v>
      </c>
      <c r="I1037" s="39">
        <f t="shared" si="59"/>
        <v>0</v>
      </c>
      <c r="J1037" s="45"/>
    </row>
    <row r="1038" spans="1:10" hidden="1" x14ac:dyDescent="0.25">
      <c r="E1038" s="4" t="s">
        <v>20</v>
      </c>
      <c r="G1038" s="8">
        <f>SUM(G1031:G1037)</f>
        <v>768.93999999999994</v>
      </c>
      <c r="H1038" s="8">
        <f>SUM(H1031:H1037)</f>
        <v>768.93999999999994</v>
      </c>
      <c r="I1038" s="8">
        <f>G1038-H1038</f>
        <v>0</v>
      </c>
    </row>
    <row r="1039" spans="1:10" hidden="1" x14ac:dyDescent="0.25"/>
    <row r="1040" spans="1:10" x14ac:dyDescent="0.25">
      <c r="A1040" s="5">
        <v>4000522</v>
      </c>
      <c r="B1040" s="6" t="s">
        <v>901</v>
      </c>
      <c r="C1040" s="7"/>
      <c r="D1040" s="7"/>
      <c r="E1040" s="7"/>
      <c r="F1040" s="7"/>
      <c r="G1040" s="7"/>
      <c r="H1040" s="7"/>
      <c r="I1040" s="7"/>
      <c r="J1040" s="7"/>
    </row>
    <row r="1041" spans="1:11" x14ac:dyDescent="0.25">
      <c r="C1041" s="9"/>
      <c r="D1041" s="35">
        <v>45596</v>
      </c>
      <c r="E1041" s="36" t="s">
        <v>8280</v>
      </c>
      <c r="F1041" s="37" t="s">
        <v>8281</v>
      </c>
      <c r="G1041" s="38">
        <v>0</v>
      </c>
      <c r="H1041" s="38">
        <v>234.26</v>
      </c>
      <c r="I1041" s="38">
        <f t="shared" ref="I1041:I1043" si="60">G1041-H1041+I1040</f>
        <v>-234.26</v>
      </c>
      <c r="J1041" s="32" t="s">
        <v>8147</v>
      </c>
    </row>
    <row r="1042" spans="1:11" hidden="1" x14ac:dyDescent="0.25">
      <c r="C1042" s="9"/>
      <c r="D1042" s="35">
        <v>45626</v>
      </c>
      <c r="E1042" s="36" t="s">
        <v>8282</v>
      </c>
      <c r="F1042" s="37" t="s">
        <v>903</v>
      </c>
      <c r="G1042" s="38">
        <v>0</v>
      </c>
      <c r="H1042" s="38">
        <v>53.26</v>
      </c>
      <c r="I1042" s="38">
        <f t="shared" si="60"/>
        <v>-287.52</v>
      </c>
      <c r="J1042" s="12"/>
    </row>
    <row r="1043" spans="1:11" hidden="1" x14ac:dyDescent="0.25">
      <c r="C1043" s="9"/>
      <c r="D1043" s="35">
        <v>45641</v>
      </c>
      <c r="E1043" s="36" t="s">
        <v>8283</v>
      </c>
      <c r="F1043" s="37" t="s">
        <v>902</v>
      </c>
      <c r="G1043" s="38">
        <v>0</v>
      </c>
      <c r="H1043" s="38">
        <v>384.66</v>
      </c>
      <c r="I1043" s="38">
        <f t="shared" si="60"/>
        <v>-672.18000000000006</v>
      </c>
      <c r="J1043" s="12"/>
    </row>
    <row r="1044" spans="1:11" hidden="1" x14ac:dyDescent="0.25">
      <c r="E1044" s="4" t="s">
        <v>10</v>
      </c>
      <c r="G1044" s="8">
        <v>0</v>
      </c>
      <c r="H1044" s="8">
        <v>672.18</v>
      </c>
      <c r="I1044" s="8">
        <f>G1044-H1044</f>
        <v>-672.18</v>
      </c>
    </row>
    <row r="1045" spans="1:11" hidden="1" x14ac:dyDescent="0.25">
      <c r="C1045" s="9"/>
      <c r="D1045" s="10">
        <v>45702</v>
      </c>
      <c r="E1045" t="s">
        <v>11</v>
      </c>
      <c r="F1045" s="11" t="s">
        <v>902</v>
      </c>
      <c r="G1045" s="8">
        <v>384.66</v>
      </c>
      <c r="H1045" s="8">
        <v>0</v>
      </c>
      <c r="I1045" s="8">
        <f>G1045-H1045+I1044</f>
        <v>-287.51999999999992</v>
      </c>
      <c r="J1045" s="12"/>
    </row>
    <row r="1046" spans="1:11" hidden="1" x14ac:dyDescent="0.25">
      <c r="C1046" s="9"/>
      <c r="D1046" s="10">
        <v>45702</v>
      </c>
      <c r="E1046" t="s">
        <v>11</v>
      </c>
      <c r="F1046" s="11" t="s">
        <v>903</v>
      </c>
      <c r="G1046" s="8">
        <v>53.26</v>
      </c>
      <c r="H1046" s="8">
        <v>0</v>
      </c>
      <c r="I1046" s="8">
        <f>G1046-H1046+I1045</f>
        <v>-234.25999999999993</v>
      </c>
      <c r="J1046" s="12"/>
    </row>
    <row r="1047" spans="1:11" hidden="1" x14ac:dyDescent="0.25">
      <c r="E1047" s="4" t="s">
        <v>20</v>
      </c>
      <c r="G1047" s="8">
        <f>SUM(G1044:G1046)</f>
        <v>437.92</v>
      </c>
      <c r="H1047" s="8">
        <f>SUM(H1044:H1046)</f>
        <v>672.18</v>
      </c>
      <c r="I1047" s="8">
        <f>G1047-H1047</f>
        <v>-234.25999999999993</v>
      </c>
    </row>
    <row r="1049" spans="1:11" hidden="1" x14ac:dyDescent="0.25">
      <c r="A1049" s="5">
        <v>4000526</v>
      </c>
      <c r="B1049" s="6" t="s">
        <v>904</v>
      </c>
      <c r="C1049" s="7"/>
      <c r="D1049" s="7"/>
      <c r="E1049" s="7"/>
      <c r="F1049" s="7"/>
      <c r="G1049" s="7"/>
      <c r="H1049" s="7"/>
      <c r="I1049" s="7"/>
      <c r="J1049" s="7"/>
    </row>
    <row r="1050" spans="1:11" hidden="1" x14ac:dyDescent="0.25">
      <c r="E1050" s="4" t="s">
        <v>10</v>
      </c>
      <c r="G1050" s="8">
        <v>0</v>
      </c>
      <c r="H1050" s="8">
        <v>267.07</v>
      </c>
      <c r="I1050" s="8">
        <f>G1050-H1050</f>
        <v>-267.07</v>
      </c>
    </row>
    <row r="1051" spans="1:11" hidden="1" x14ac:dyDescent="0.25">
      <c r="C1051" s="9"/>
      <c r="D1051" s="10">
        <v>45677</v>
      </c>
      <c r="E1051" t="s">
        <v>905</v>
      </c>
      <c r="F1051" s="11" t="s">
        <v>42</v>
      </c>
      <c r="G1051" s="8">
        <v>267.07</v>
      </c>
      <c r="H1051" s="8">
        <v>0</v>
      </c>
      <c r="I1051" s="8">
        <f>G1051-H1051+I1050</f>
        <v>0</v>
      </c>
      <c r="J1051" s="12"/>
    </row>
    <row r="1052" spans="1:11" hidden="1" x14ac:dyDescent="0.25">
      <c r="E1052" s="4" t="s">
        <v>20</v>
      </c>
      <c r="G1052" s="8">
        <f>SUM(G1050:G1051)</f>
        <v>267.07</v>
      </c>
      <c r="H1052" s="8">
        <f>SUM(H1050:H1051)</f>
        <v>267.07</v>
      </c>
      <c r="I1052" s="8">
        <f>G1052-H1052</f>
        <v>0</v>
      </c>
    </row>
    <row r="1053" spans="1:11" hidden="1" x14ac:dyDescent="0.25"/>
    <row r="1054" spans="1:11" x14ac:dyDescent="0.25">
      <c r="A1054" s="5">
        <v>4000535</v>
      </c>
      <c r="B1054" s="6" t="s">
        <v>906</v>
      </c>
      <c r="C1054" s="7"/>
      <c r="D1054" s="7"/>
      <c r="E1054" s="7"/>
      <c r="F1054" s="7"/>
      <c r="G1054" s="7"/>
      <c r="H1054" s="7"/>
      <c r="I1054" s="7"/>
      <c r="J1054" s="7"/>
    </row>
    <row r="1055" spans="1:11" x14ac:dyDescent="0.25">
      <c r="C1055" s="9"/>
      <c r="D1055" s="10">
        <v>45716</v>
      </c>
      <c r="E1055" t="s">
        <v>907</v>
      </c>
      <c r="F1055" s="11" t="s">
        <v>42</v>
      </c>
      <c r="G1055" s="8">
        <v>0</v>
      </c>
      <c r="H1055" s="8">
        <v>33.69</v>
      </c>
      <c r="I1055" s="8">
        <f>G1055-H1055</f>
        <v>-33.69</v>
      </c>
      <c r="J1055" s="20" t="s">
        <v>8296</v>
      </c>
      <c r="K1055" s="20"/>
    </row>
    <row r="1056" spans="1:11" hidden="1" x14ac:dyDescent="0.25">
      <c r="E1056" s="4" t="s">
        <v>20</v>
      </c>
      <c r="G1056" s="8">
        <f>G1055</f>
        <v>0</v>
      </c>
      <c r="H1056" s="8">
        <f>H1055</f>
        <v>33.69</v>
      </c>
      <c r="I1056" s="8">
        <f>G1056-H1056</f>
        <v>-33.69</v>
      </c>
    </row>
    <row r="1058" spans="1:10" hidden="1" x14ac:dyDescent="0.25">
      <c r="A1058" s="5">
        <v>4000551</v>
      </c>
      <c r="B1058" s="6" t="s">
        <v>908</v>
      </c>
      <c r="C1058" s="7"/>
      <c r="D1058" s="7"/>
      <c r="E1058" s="7"/>
      <c r="F1058" s="7"/>
      <c r="G1058" s="7"/>
      <c r="H1058" s="7"/>
      <c r="I1058" s="7"/>
      <c r="J1058" s="7"/>
    </row>
    <row r="1059" spans="1:10" hidden="1" x14ac:dyDescent="0.25">
      <c r="E1059" s="4" t="s">
        <v>10</v>
      </c>
      <c r="G1059" s="8">
        <v>0</v>
      </c>
      <c r="H1059" s="38">
        <v>1133.7</v>
      </c>
      <c r="I1059" s="8">
        <f>G1059-H1059</f>
        <v>-1133.7</v>
      </c>
    </row>
    <row r="1060" spans="1:10" hidden="1" x14ac:dyDescent="0.25">
      <c r="C1060" s="9"/>
      <c r="D1060" s="10">
        <v>45671</v>
      </c>
      <c r="E1060" t="s">
        <v>11</v>
      </c>
      <c r="F1060" s="11" t="s">
        <v>909</v>
      </c>
      <c r="G1060" s="38">
        <v>16.73</v>
      </c>
      <c r="H1060" s="8">
        <v>0</v>
      </c>
      <c r="I1060" s="8">
        <f t="shared" ref="I1060:I1065" si="61">G1060-H1060+I1059</f>
        <v>-1116.97</v>
      </c>
      <c r="J1060" s="12"/>
    </row>
    <row r="1061" spans="1:10" hidden="1" x14ac:dyDescent="0.25">
      <c r="C1061" s="9"/>
      <c r="D1061" s="10">
        <v>45688</v>
      </c>
      <c r="E1061" t="s">
        <v>910</v>
      </c>
      <c r="F1061" s="11" t="s">
        <v>911</v>
      </c>
      <c r="G1061" s="8">
        <v>0</v>
      </c>
      <c r="H1061" s="8">
        <v>724.58</v>
      </c>
      <c r="I1061" s="8">
        <f t="shared" si="61"/>
        <v>-1841.5500000000002</v>
      </c>
      <c r="J1061" s="63">
        <v>45762</v>
      </c>
    </row>
    <row r="1062" spans="1:10" hidden="1" x14ac:dyDescent="0.25">
      <c r="C1062" s="9"/>
      <c r="D1062" s="10">
        <v>45713</v>
      </c>
      <c r="E1062" t="s">
        <v>11</v>
      </c>
      <c r="F1062" s="11" t="s">
        <v>912</v>
      </c>
      <c r="G1062" s="38">
        <v>482.49</v>
      </c>
      <c r="H1062" s="8">
        <v>0</v>
      </c>
      <c r="I1062" s="8">
        <f t="shared" si="61"/>
        <v>-1359.0600000000002</v>
      </c>
      <c r="J1062" s="12"/>
    </row>
    <row r="1063" spans="1:10" hidden="1" x14ac:dyDescent="0.25">
      <c r="C1063" s="9"/>
      <c r="D1063" s="10">
        <v>45716</v>
      </c>
      <c r="E1063" t="s">
        <v>913</v>
      </c>
      <c r="F1063" s="11" t="s">
        <v>914</v>
      </c>
      <c r="G1063" s="8">
        <v>0</v>
      </c>
      <c r="H1063" s="8">
        <v>280.95</v>
      </c>
      <c r="I1063" s="8">
        <f t="shared" si="61"/>
        <v>-1640.0100000000002</v>
      </c>
      <c r="J1063" s="12"/>
    </row>
    <row r="1064" spans="1:10" hidden="1" x14ac:dyDescent="0.25">
      <c r="C1064" s="9"/>
      <c r="D1064" s="10">
        <v>45741</v>
      </c>
      <c r="E1064" t="s">
        <v>11</v>
      </c>
      <c r="F1064" s="11" t="s">
        <v>915</v>
      </c>
      <c r="G1064" s="38">
        <v>634.48</v>
      </c>
      <c r="H1064" s="8">
        <v>0</v>
      </c>
      <c r="I1064" s="8">
        <f t="shared" si="61"/>
        <v>-1005.5300000000002</v>
      </c>
      <c r="J1064" s="12"/>
    </row>
    <row r="1065" spans="1:10" hidden="1" x14ac:dyDescent="0.25">
      <c r="C1065" s="9"/>
      <c r="D1065" s="10">
        <v>45747</v>
      </c>
      <c r="E1065" t="s">
        <v>916</v>
      </c>
      <c r="F1065" s="11" t="s">
        <v>917</v>
      </c>
      <c r="G1065" s="8">
        <v>0</v>
      </c>
      <c r="H1065" s="8">
        <v>774.62</v>
      </c>
      <c r="I1065" s="8">
        <f t="shared" si="61"/>
        <v>-1780.15</v>
      </c>
      <c r="J1065" s="12"/>
    </row>
    <row r="1066" spans="1:10" hidden="1" x14ac:dyDescent="0.25">
      <c r="E1066" s="4" t="s">
        <v>20</v>
      </c>
      <c r="G1066" s="8">
        <f>SUM(G1059:G1065)</f>
        <v>1133.7</v>
      </c>
      <c r="H1066" s="8">
        <f>SUM(H1059:H1065)</f>
        <v>2913.85</v>
      </c>
      <c r="I1066" s="8">
        <f>G1066-H1066</f>
        <v>-1780.1499999999999</v>
      </c>
    </row>
    <row r="1067" spans="1:10" hidden="1" x14ac:dyDescent="0.25"/>
    <row r="1068" spans="1:10" hidden="1" x14ac:dyDescent="0.25">
      <c r="A1068" s="5">
        <v>4000552</v>
      </c>
      <c r="B1068" s="6" t="s">
        <v>918</v>
      </c>
      <c r="C1068" s="7"/>
      <c r="D1068" s="7"/>
      <c r="E1068" s="7"/>
      <c r="F1068" s="7"/>
      <c r="G1068" s="7"/>
      <c r="H1068" s="7"/>
      <c r="I1068" s="7"/>
      <c r="J1068" s="7"/>
    </row>
    <row r="1069" spans="1:10" hidden="1" x14ac:dyDescent="0.25">
      <c r="E1069" s="4" t="s">
        <v>10</v>
      </c>
      <c r="G1069" s="38">
        <v>0</v>
      </c>
      <c r="H1069" s="38">
        <v>200.81</v>
      </c>
      <c r="I1069" s="8">
        <f>G1069-H1069</f>
        <v>-200.81</v>
      </c>
    </row>
    <row r="1070" spans="1:10" hidden="1" x14ac:dyDescent="0.25">
      <c r="C1070" s="9"/>
      <c r="D1070" s="10">
        <v>45667</v>
      </c>
      <c r="E1070" t="s">
        <v>11</v>
      </c>
      <c r="F1070" s="11" t="s">
        <v>919</v>
      </c>
      <c r="G1070" s="38">
        <v>200.81</v>
      </c>
      <c r="H1070" s="38">
        <v>0</v>
      </c>
      <c r="I1070" s="8">
        <f>G1070-H1070+I1069</f>
        <v>0</v>
      </c>
      <c r="J1070" s="12"/>
    </row>
    <row r="1071" spans="1:10" hidden="1" x14ac:dyDescent="0.25">
      <c r="C1071" s="9"/>
      <c r="D1071" s="10">
        <v>45671</v>
      </c>
      <c r="E1071" t="s">
        <v>920</v>
      </c>
      <c r="F1071" s="11" t="s">
        <v>921</v>
      </c>
      <c r="G1071" s="38">
        <v>0</v>
      </c>
      <c r="H1071" s="38">
        <v>212.79</v>
      </c>
      <c r="I1071" s="8">
        <f>G1071-H1071+I1070</f>
        <v>-212.79</v>
      </c>
      <c r="J1071" s="12"/>
    </row>
    <row r="1072" spans="1:10" hidden="1" x14ac:dyDescent="0.25">
      <c r="C1072" s="9"/>
      <c r="D1072" s="10">
        <v>45713</v>
      </c>
      <c r="E1072" t="s">
        <v>922</v>
      </c>
      <c r="F1072" s="11" t="s">
        <v>923</v>
      </c>
      <c r="G1072" s="8">
        <v>0</v>
      </c>
      <c r="H1072" s="8">
        <v>1259.03</v>
      </c>
      <c r="I1072" s="8">
        <f>G1072-H1072+I1071</f>
        <v>-1471.82</v>
      </c>
      <c r="J1072" s="63">
        <v>45773</v>
      </c>
    </row>
    <row r="1073" spans="1:10" hidden="1" x14ac:dyDescent="0.25">
      <c r="C1073" s="9"/>
      <c r="D1073" s="10">
        <v>45720</v>
      </c>
      <c r="E1073" t="s">
        <v>924</v>
      </c>
      <c r="F1073" s="11" t="s">
        <v>925</v>
      </c>
      <c r="G1073" s="8">
        <v>0</v>
      </c>
      <c r="H1073" s="8">
        <v>-405.11</v>
      </c>
      <c r="I1073" s="8">
        <f>G1073-H1073+I1072</f>
        <v>-1066.71</v>
      </c>
      <c r="J1073" s="12"/>
    </row>
    <row r="1074" spans="1:10" hidden="1" x14ac:dyDescent="0.25">
      <c r="C1074" s="9"/>
      <c r="D1074" s="10">
        <v>45734</v>
      </c>
      <c r="E1074" t="s">
        <v>11</v>
      </c>
      <c r="F1074" s="11" t="s">
        <v>921</v>
      </c>
      <c r="G1074" s="38">
        <v>212.79</v>
      </c>
      <c r="H1074" s="8">
        <v>0</v>
      </c>
      <c r="I1074" s="8">
        <f>G1074-H1074+I1073</f>
        <v>-853.92000000000007</v>
      </c>
      <c r="J1074" s="12"/>
    </row>
    <row r="1075" spans="1:10" hidden="1" x14ac:dyDescent="0.25">
      <c r="E1075" s="4" t="s">
        <v>20</v>
      </c>
      <c r="G1075" s="8">
        <f>SUM(G1069:G1074)</f>
        <v>413.6</v>
      </c>
      <c r="H1075" s="8">
        <f>SUM(H1069:H1074)</f>
        <v>1267.52</v>
      </c>
      <c r="I1075" s="8">
        <f>G1075-H1075</f>
        <v>-853.92</v>
      </c>
    </row>
    <row r="1076" spans="1:10" hidden="1" x14ac:dyDescent="0.25"/>
    <row r="1077" spans="1:10" hidden="1" x14ac:dyDescent="0.25">
      <c r="A1077" s="5">
        <v>4000573</v>
      </c>
      <c r="B1077" s="6" t="s">
        <v>926</v>
      </c>
      <c r="C1077" s="7"/>
      <c r="D1077" s="7"/>
      <c r="E1077" s="7"/>
      <c r="F1077" s="7"/>
      <c r="G1077" s="7"/>
      <c r="H1077" s="7"/>
      <c r="I1077" s="7"/>
      <c r="J1077" s="7"/>
    </row>
    <row r="1078" spans="1:10" hidden="1" x14ac:dyDescent="0.25">
      <c r="C1078" s="9"/>
      <c r="D1078" s="10">
        <v>45708</v>
      </c>
      <c r="E1078" t="s">
        <v>927</v>
      </c>
      <c r="F1078" s="11" t="s">
        <v>928</v>
      </c>
      <c r="G1078" s="8">
        <v>0</v>
      </c>
      <c r="H1078" s="8">
        <v>378.39</v>
      </c>
      <c r="I1078" s="8">
        <f>G1078-H1078</f>
        <v>-378.39</v>
      </c>
      <c r="J1078" s="63">
        <v>45792</v>
      </c>
    </row>
    <row r="1079" spans="1:10" hidden="1" x14ac:dyDescent="0.25">
      <c r="E1079" s="4" t="s">
        <v>20</v>
      </c>
      <c r="G1079" s="8">
        <f>G1078</f>
        <v>0</v>
      </c>
      <c r="H1079" s="8">
        <f>H1078</f>
        <v>378.39</v>
      </c>
      <c r="I1079" s="8">
        <f>G1079-H1079</f>
        <v>-378.39</v>
      </c>
    </row>
    <row r="1080" spans="1:10" hidden="1" x14ac:dyDescent="0.25"/>
    <row r="1081" spans="1:10" hidden="1" x14ac:dyDescent="0.25">
      <c r="A1081" s="5">
        <v>4000580</v>
      </c>
      <c r="B1081" s="6" t="s">
        <v>929</v>
      </c>
      <c r="C1081" s="7"/>
      <c r="D1081" s="7"/>
      <c r="E1081" s="7"/>
      <c r="F1081" s="7"/>
      <c r="G1081" s="7"/>
      <c r="H1081" s="7"/>
      <c r="I1081" s="7"/>
      <c r="J1081" s="7"/>
    </row>
    <row r="1082" spans="1:10" hidden="1" x14ac:dyDescent="0.25">
      <c r="C1082" s="9"/>
      <c r="D1082" s="35">
        <v>45595</v>
      </c>
      <c r="E1082" s="36" t="s">
        <v>8284</v>
      </c>
      <c r="F1082" s="37" t="s">
        <v>933</v>
      </c>
      <c r="G1082" s="38">
        <v>0</v>
      </c>
      <c r="H1082" s="39">
        <v>1282.44</v>
      </c>
      <c r="I1082" s="38">
        <f>I1081+G1082-H1082</f>
        <v>-1282.44</v>
      </c>
      <c r="J1082" s="12"/>
    </row>
    <row r="1083" spans="1:10" hidden="1" x14ac:dyDescent="0.25">
      <c r="C1083" s="9"/>
      <c r="D1083" s="35">
        <v>45596</v>
      </c>
      <c r="E1083" s="36" t="s">
        <v>8285</v>
      </c>
      <c r="F1083" s="37" t="s">
        <v>8286</v>
      </c>
      <c r="G1083" s="38">
        <v>0</v>
      </c>
      <c r="H1083" s="39">
        <v>979.34</v>
      </c>
      <c r="I1083" s="38">
        <f t="shared" ref="I1083:I1087" si="62">I1082+G1083-H1083</f>
        <v>-2261.7800000000002</v>
      </c>
      <c r="J1083" s="12"/>
    </row>
    <row r="1084" spans="1:10" hidden="1" x14ac:dyDescent="0.25">
      <c r="C1084" s="9"/>
      <c r="D1084" s="35">
        <v>45611</v>
      </c>
      <c r="E1084" s="36" t="s">
        <v>8287</v>
      </c>
      <c r="F1084" s="37" t="s">
        <v>932</v>
      </c>
      <c r="G1084" s="38">
        <v>0</v>
      </c>
      <c r="H1084" s="39">
        <v>1057.32</v>
      </c>
      <c r="I1084" s="38">
        <f t="shared" si="62"/>
        <v>-3319.1000000000004</v>
      </c>
      <c r="J1084" s="12"/>
    </row>
    <row r="1085" spans="1:10" hidden="1" x14ac:dyDescent="0.25">
      <c r="C1085" s="9"/>
      <c r="D1085" s="35">
        <v>45626</v>
      </c>
      <c r="E1085" s="36" t="s">
        <v>8288</v>
      </c>
      <c r="F1085" s="37" t="s">
        <v>940</v>
      </c>
      <c r="G1085" s="38">
        <v>0</v>
      </c>
      <c r="H1085" s="39">
        <v>1785.61</v>
      </c>
      <c r="I1085" s="38">
        <f t="shared" si="62"/>
        <v>-5104.71</v>
      </c>
      <c r="J1085" s="12"/>
    </row>
    <row r="1086" spans="1:10" hidden="1" x14ac:dyDescent="0.25">
      <c r="C1086" s="9"/>
      <c r="D1086" s="35">
        <v>45641</v>
      </c>
      <c r="E1086" s="36" t="s">
        <v>8289</v>
      </c>
      <c r="F1086" s="37" t="s">
        <v>941</v>
      </c>
      <c r="G1086" s="38">
        <v>0</v>
      </c>
      <c r="H1086" s="39">
        <v>330.97</v>
      </c>
      <c r="I1086" s="38">
        <f t="shared" si="62"/>
        <v>-5435.68</v>
      </c>
      <c r="J1086" s="12"/>
    </row>
    <row r="1087" spans="1:10" hidden="1" x14ac:dyDescent="0.25">
      <c r="C1087" s="9"/>
      <c r="D1087" s="35">
        <v>45657</v>
      </c>
      <c r="E1087" s="36" t="s">
        <v>8290</v>
      </c>
      <c r="F1087" s="37" t="s">
        <v>8291</v>
      </c>
      <c r="G1087" s="38">
        <v>0</v>
      </c>
      <c r="H1087" s="39">
        <v>1488.09</v>
      </c>
      <c r="I1087" s="38">
        <f t="shared" si="62"/>
        <v>-6923.77</v>
      </c>
      <c r="J1087" s="12"/>
    </row>
    <row r="1088" spans="1:10" hidden="1" x14ac:dyDescent="0.25">
      <c r="E1088" s="4" t="s">
        <v>10</v>
      </c>
      <c r="G1088" s="8">
        <v>0</v>
      </c>
      <c r="H1088" s="8">
        <v>6923.78</v>
      </c>
      <c r="I1088" s="8">
        <f>G1088-H1088</f>
        <v>-6923.78</v>
      </c>
    </row>
    <row r="1089" spans="3:10" hidden="1" x14ac:dyDescent="0.25">
      <c r="C1089" s="9"/>
      <c r="D1089" s="10">
        <v>45672</v>
      </c>
      <c r="E1089" t="s">
        <v>930</v>
      </c>
      <c r="F1089" s="11" t="s">
        <v>931</v>
      </c>
      <c r="G1089" s="8">
        <v>0</v>
      </c>
      <c r="H1089" s="39">
        <v>2142.1799999999998</v>
      </c>
      <c r="I1089" s="8">
        <f t="shared" ref="I1089:I1104" si="63">G1089-H1089+I1088</f>
        <v>-9065.9599999999991</v>
      </c>
      <c r="J1089" s="12"/>
    </row>
    <row r="1090" spans="3:10" hidden="1" x14ac:dyDescent="0.25">
      <c r="C1090" s="9"/>
      <c r="D1090" s="10">
        <v>45672</v>
      </c>
      <c r="E1090" t="s">
        <v>11</v>
      </c>
      <c r="F1090" s="11" t="s">
        <v>932</v>
      </c>
      <c r="G1090" s="39">
        <v>1057.32</v>
      </c>
      <c r="H1090" s="8">
        <v>0</v>
      </c>
      <c r="I1090" s="8">
        <f t="shared" si="63"/>
        <v>-8008.6399999999994</v>
      </c>
      <c r="J1090" s="12"/>
    </row>
    <row r="1091" spans="3:10" hidden="1" x14ac:dyDescent="0.25">
      <c r="C1091" s="9"/>
      <c r="D1091" s="10">
        <v>45672</v>
      </c>
      <c r="E1091" t="s">
        <v>11</v>
      </c>
      <c r="F1091" s="11" t="s">
        <v>933</v>
      </c>
      <c r="G1091" s="39">
        <v>1282.44</v>
      </c>
      <c r="H1091" s="8">
        <v>0</v>
      </c>
      <c r="I1091" s="8">
        <f t="shared" si="63"/>
        <v>-6726.1999999999989</v>
      </c>
      <c r="J1091" s="12"/>
    </row>
    <row r="1092" spans="3:10" hidden="1" x14ac:dyDescent="0.25">
      <c r="C1092" s="9"/>
      <c r="D1092" s="10">
        <v>45672</v>
      </c>
      <c r="E1092" t="s">
        <v>934</v>
      </c>
      <c r="F1092" s="11" t="s">
        <v>42</v>
      </c>
      <c r="G1092" s="39">
        <v>979.34</v>
      </c>
      <c r="H1092" s="8">
        <v>0</v>
      </c>
      <c r="I1092" s="8">
        <f t="shared" si="63"/>
        <v>-5746.8599999999988</v>
      </c>
      <c r="J1092" s="12"/>
    </row>
    <row r="1093" spans="3:10" hidden="1" x14ac:dyDescent="0.25">
      <c r="C1093" s="9"/>
      <c r="D1093" s="10">
        <v>45672</v>
      </c>
      <c r="E1093" t="s">
        <v>934</v>
      </c>
      <c r="F1093" s="11" t="s">
        <v>42</v>
      </c>
      <c r="G1093" s="8">
        <v>0</v>
      </c>
      <c r="H1093" s="8">
        <v>979.34</v>
      </c>
      <c r="I1093" s="8">
        <f t="shared" si="63"/>
        <v>-6726.1999999999989</v>
      </c>
      <c r="J1093" s="12"/>
    </row>
    <row r="1094" spans="3:10" hidden="1" x14ac:dyDescent="0.25">
      <c r="C1094" s="9"/>
      <c r="D1094" s="10">
        <v>45680</v>
      </c>
      <c r="E1094" t="s">
        <v>935</v>
      </c>
      <c r="F1094" s="11" t="s">
        <v>931</v>
      </c>
      <c r="G1094" s="8">
        <v>979.34</v>
      </c>
      <c r="H1094" s="8">
        <v>0</v>
      </c>
      <c r="I1094" s="8">
        <f t="shared" si="63"/>
        <v>-5746.8599999999988</v>
      </c>
      <c r="J1094" s="12"/>
    </row>
    <row r="1095" spans="3:10" hidden="1" x14ac:dyDescent="0.25">
      <c r="C1095" s="9"/>
      <c r="D1095" s="10">
        <v>45688</v>
      </c>
      <c r="E1095" t="s">
        <v>936</v>
      </c>
      <c r="F1095" s="11" t="s">
        <v>937</v>
      </c>
      <c r="G1095" s="8">
        <v>0</v>
      </c>
      <c r="H1095" s="39">
        <v>1729.11</v>
      </c>
      <c r="I1095" s="8">
        <f t="shared" si="63"/>
        <v>-7475.9699999999984</v>
      </c>
      <c r="J1095" s="12"/>
    </row>
    <row r="1096" spans="3:10" hidden="1" x14ac:dyDescent="0.25">
      <c r="C1096" s="9"/>
      <c r="D1096" s="10">
        <v>45703</v>
      </c>
      <c r="E1096" t="s">
        <v>938</v>
      </c>
      <c r="F1096" s="11" t="s">
        <v>939</v>
      </c>
      <c r="G1096" s="8">
        <v>0</v>
      </c>
      <c r="H1096" s="8">
        <v>1557.67</v>
      </c>
      <c r="I1096" s="8">
        <f t="shared" si="63"/>
        <v>-9033.64</v>
      </c>
      <c r="J1096" s="63">
        <v>45762</v>
      </c>
    </row>
    <row r="1097" spans="3:10" hidden="1" x14ac:dyDescent="0.25">
      <c r="C1097" s="9"/>
      <c r="D1097" s="10">
        <v>45705</v>
      </c>
      <c r="E1097" t="s">
        <v>11</v>
      </c>
      <c r="F1097" s="11" t="s">
        <v>940</v>
      </c>
      <c r="G1097" s="39">
        <v>1785.61</v>
      </c>
      <c r="H1097" s="8">
        <v>0</v>
      </c>
      <c r="I1097" s="8">
        <f t="shared" si="63"/>
        <v>-7248.03</v>
      </c>
      <c r="J1097" s="12"/>
    </row>
    <row r="1098" spans="3:10" hidden="1" x14ac:dyDescent="0.25">
      <c r="C1098" s="9"/>
      <c r="D1098" s="10">
        <v>45705</v>
      </c>
      <c r="E1098" t="s">
        <v>11</v>
      </c>
      <c r="F1098" s="11" t="s">
        <v>941</v>
      </c>
      <c r="G1098" s="39">
        <v>330.97</v>
      </c>
      <c r="H1098" s="8">
        <v>0</v>
      </c>
      <c r="I1098" s="8">
        <f t="shared" si="63"/>
        <v>-6917.0599999999995</v>
      </c>
      <c r="J1098" s="12"/>
    </row>
    <row r="1099" spans="3:10" hidden="1" x14ac:dyDescent="0.25">
      <c r="C1099" s="9"/>
      <c r="D1099" s="10">
        <v>45716</v>
      </c>
      <c r="E1099" t="s">
        <v>942</v>
      </c>
      <c r="F1099" s="11" t="s">
        <v>943</v>
      </c>
      <c r="G1099" s="8">
        <v>0</v>
      </c>
      <c r="H1099" s="8">
        <v>696.84</v>
      </c>
      <c r="I1099" s="8">
        <f t="shared" si="63"/>
        <v>-7613.9</v>
      </c>
      <c r="J1099" s="12"/>
    </row>
    <row r="1100" spans="3:10" hidden="1" x14ac:dyDescent="0.25">
      <c r="C1100" s="9"/>
      <c r="D1100" s="10">
        <v>45731</v>
      </c>
      <c r="E1100" t="s">
        <v>944</v>
      </c>
      <c r="F1100" s="11" t="s">
        <v>945</v>
      </c>
      <c r="G1100" s="8">
        <v>0</v>
      </c>
      <c r="H1100" s="8">
        <v>744.97</v>
      </c>
      <c r="I1100" s="8">
        <f t="shared" si="63"/>
        <v>-8358.869999999999</v>
      </c>
      <c r="J1100" s="12"/>
    </row>
    <row r="1101" spans="3:10" hidden="1" x14ac:dyDescent="0.25">
      <c r="C1101" s="9"/>
      <c r="D1101" s="10">
        <v>45733</v>
      </c>
      <c r="E1101" t="s">
        <v>946</v>
      </c>
      <c r="F1101" s="11" t="s">
        <v>42</v>
      </c>
      <c r="G1101" s="39">
        <v>1488.09</v>
      </c>
      <c r="H1101" s="8">
        <v>0</v>
      </c>
      <c r="I1101" s="8">
        <f t="shared" si="63"/>
        <v>-6870.7799999999988</v>
      </c>
      <c r="J1101" s="12"/>
    </row>
    <row r="1102" spans="3:10" hidden="1" x14ac:dyDescent="0.25">
      <c r="C1102" s="9"/>
      <c r="D1102" s="10">
        <v>45733</v>
      </c>
      <c r="E1102" t="s">
        <v>947</v>
      </c>
      <c r="F1102" s="11" t="s">
        <v>42</v>
      </c>
      <c r="G1102" s="39">
        <v>2142.1799999999998</v>
      </c>
      <c r="H1102" s="8">
        <v>0</v>
      </c>
      <c r="I1102" s="8">
        <f t="shared" si="63"/>
        <v>-4728.5999999999985</v>
      </c>
      <c r="J1102" s="12"/>
    </row>
    <row r="1103" spans="3:10" hidden="1" x14ac:dyDescent="0.25">
      <c r="C1103" s="9"/>
      <c r="D1103" s="10">
        <v>45747</v>
      </c>
      <c r="E1103" t="s">
        <v>948</v>
      </c>
      <c r="F1103" s="11" t="s">
        <v>949</v>
      </c>
      <c r="G1103" s="8">
        <v>0</v>
      </c>
      <c r="H1103" s="8">
        <v>1079.1300000000001</v>
      </c>
      <c r="I1103" s="8">
        <f t="shared" si="63"/>
        <v>-5807.7299999999987</v>
      </c>
      <c r="J1103" s="12"/>
    </row>
    <row r="1104" spans="3:10" hidden="1" x14ac:dyDescent="0.25">
      <c r="C1104" s="9"/>
      <c r="D1104" s="10">
        <v>45762</v>
      </c>
      <c r="E1104" t="s">
        <v>950</v>
      </c>
      <c r="F1104" s="11" t="s">
        <v>42</v>
      </c>
      <c r="G1104" s="39">
        <v>1729.11</v>
      </c>
      <c r="H1104" s="8">
        <v>0</v>
      </c>
      <c r="I1104" s="8">
        <f t="shared" si="63"/>
        <v>-4078.619999999999</v>
      </c>
      <c r="J1104" s="12"/>
    </row>
    <row r="1105" spans="1:10" hidden="1" x14ac:dyDescent="0.25">
      <c r="E1105" s="4" t="s">
        <v>20</v>
      </c>
      <c r="G1105" s="8">
        <f>SUM(G1088:G1104)</f>
        <v>11774.400000000001</v>
      </c>
      <c r="H1105" s="8">
        <f>SUM(H1088:H1104)</f>
        <v>15853.02</v>
      </c>
      <c r="I1105" s="8">
        <f>G1105-H1105</f>
        <v>-4078.619999999999</v>
      </c>
    </row>
    <row r="1106" spans="1:10" hidden="1" x14ac:dyDescent="0.25"/>
    <row r="1107" spans="1:10" hidden="1" x14ac:dyDescent="0.25">
      <c r="A1107" s="5">
        <v>4000583</v>
      </c>
      <c r="B1107" s="6" t="s">
        <v>951</v>
      </c>
      <c r="C1107" s="7"/>
      <c r="D1107" s="7"/>
      <c r="E1107" s="7"/>
      <c r="F1107" s="7"/>
      <c r="G1107" s="7"/>
      <c r="H1107" s="7"/>
      <c r="I1107" s="7"/>
      <c r="J1107" s="7"/>
    </row>
    <row r="1108" spans="1:10" hidden="1" x14ac:dyDescent="0.25">
      <c r="E1108" s="4" t="s">
        <v>10</v>
      </c>
      <c r="G1108" s="8">
        <v>0</v>
      </c>
      <c r="H1108" s="8">
        <v>64.489999999999995</v>
      </c>
      <c r="I1108" s="8">
        <f>G1108-H1108</f>
        <v>-64.489999999999995</v>
      </c>
    </row>
    <row r="1109" spans="1:10" hidden="1" x14ac:dyDescent="0.25">
      <c r="C1109" s="9"/>
      <c r="D1109" s="10">
        <v>45672</v>
      </c>
      <c r="E1109" t="s">
        <v>11</v>
      </c>
      <c r="F1109" s="11" t="s">
        <v>952</v>
      </c>
      <c r="G1109" s="8">
        <v>64.489999999999995</v>
      </c>
      <c r="H1109" s="8">
        <v>0</v>
      </c>
      <c r="I1109" s="8">
        <f>G1109-H1109+I1108</f>
        <v>0</v>
      </c>
      <c r="J1109" s="12"/>
    </row>
    <row r="1110" spans="1:10" hidden="1" x14ac:dyDescent="0.25">
      <c r="C1110" s="9"/>
      <c r="D1110" s="10">
        <v>45747</v>
      </c>
      <c r="E1110" t="s">
        <v>953</v>
      </c>
      <c r="F1110" s="11" t="s">
        <v>954</v>
      </c>
      <c r="G1110" s="8">
        <v>0</v>
      </c>
      <c r="H1110" s="8">
        <v>82.5</v>
      </c>
      <c r="I1110" s="8">
        <f>G1110-H1110+I1109</f>
        <v>-82.5</v>
      </c>
      <c r="J1110" s="12"/>
    </row>
    <row r="1111" spans="1:10" hidden="1" x14ac:dyDescent="0.25">
      <c r="E1111" s="4" t="s">
        <v>20</v>
      </c>
      <c r="G1111" s="8">
        <f>SUM(G1108:G1110)</f>
        <v>64.489999999999995</v>
      </c>
      <c r="H1111" s="8">
        <f>SUM(H1108:H1110)</f>
        <v>146.99</v>
      </c>
      <c r="I1111" s="8">
        <f>G1111-H1111</f>
        <v>-82.500000000000014</v>
      </c>
    </row>
    <row r="1112" spans="1:10" hidden="1" x14ac:dyDescent="0.25"/>
    <row r="1113" spans="1:10" x14ac:dyDescent="0.25">
      <c r="A1113" s="5">
        <v>4000585</v>
      </c>
      <c r="B1113" s="6" t="s">
        <v>955</v>
      </c>
      <c r="C1113" s="7"/>
      <c r="D1113" s="7"/>
      <c r="E1113" s="7"/>
      <c r="F1113" s="7"/>
      <c r="G1113" s="7"/>
      <c r="H1113" s="7"/>
      <c r="I1113" s="7"/>
      <c r="J1113" s="7"/>
    </row>
    <row r="1114" spans="1:10" x14ac:dyDescent="0.25">
      <c r="C1114" s="9"/>
      <c r="D1114" s="35">
        <v>45626</v>
      </c>
      <c r="E1114" s="36" t="s">
        <v>8292</v>
      </c>
      <c r="F1114" s="37" t="s">
        <v>8293</v>
      </c>
      <c r="G1114" s="38">
        <v>0</v>
      </c>
      <c r="H1114" s="38">
        <v>138.38999999999999</v>
      </c>
      <c r="I1114" s="38">
        <f t="shared" ref="I1114:I1115" si="64">G1114-H1114+I1113</f>
        <v>-138.38999999999999</v>
      </c>
      <c r="J1114" s="32" t="s">
        <v>8147</v>
      </c>
    </row>
    <row r="1115" spans="1:10" x14ac:dyDescent="0.25">
      <c r="C1115" s="9"/>
      <c r="D1115" s="35">
        <v>45641</v>
      </c>
      <c r="E1115" s="36" t="s">
        <v>8294</v>
      </c>
      <c r="F1115" s="37" t="s">
        <v>8295</v>
      </c>
      <c r="G1115" s="38">
        <v>0</v>
      </c>
      <c r="H1115" s="38">
        <v>29.32</v>
      </c>
      <c r="I1115" s="38">
        <f t="shared" si="64"/>
        <v>-167.70999999999998</v>
      </c>
      <c r="J1115" s="32" t="s">
        <v>8147</v>
      </c>
    </row>
    <row r="1116" spans="1:10" hidden="1" x14ac:dyDescent="0.25">
      <c r="E1116" s="4" t="s">
        <v>10</v>
      </c>
      <c r="G1116" s="8">
        <v>0</v>
      </c>
      <c r="H1116" s="8">
        <v>167.71</v>
      </c>
      <c r="I1116" s="8">
        <f>G1116-H1116</f>
        <v>-167.71</v>
      </c>
    </row>
    <row r="1117" spans="1:10" hidden="1" x14ac:dyDescent="0.25">
      <c r="C1117" s="9"/>
      <c r="D1117" s="10">
        <v>45703</v>
      </c>
      <c r="E1117" t="s">
        <v>956</v>
      </c>
      <c r="F1117" s="11" t="s">
        <v>957</v>
      </c>
      <c r="G1117" s="39">
        <v>0</v>
      </c>
      <c r="H1117" s="39">
        <v>120.3</v>
      </c>
      <c r="I1117" s="8">
        <f>G1117-H1117+I1116</f>
        <v>-288.01</v>
      </c>
      <c r="J1117" s="12"/>
    </row>
    <row r="1118" spans="1:10" hidden="1" x14ac:dyDescent="0.25">
      <c r="C1118" s="9"/>
      <c r="D1118" s="10">
        <v>45731</v>
      </c>
      <c r="E1118" t="s">
        <v>958</v>
      </c>
      <c r="F1118" s="11" t="s">
        <v>959</v>
      </c>
      <c r="G1118" s="39">
        <v>0</v>
      </c>
      <c r="H1118" s="39">
        <v>111.2</v>
      </c>
      <c r="I1118" s="8">
        <f>G1118-H1118+I1117</f>
        <v>-399.21</v>
      </c>
      <c r="J1118" s="12"/>
    </row>
    <row r="1119" spans="1:10" hidden="1" x14ac:dyDescent="0.25">
      <c r="C1119" s="9"/>
      <c r="D1119" s="10">
        <v>45733</v>
      </c>
      <c r="E1119" t="s">
        <v>11</v>
      </c>
      <c r="F1119" s="11" t="s">
        <v>957</v>
      </c>
      <c r="G1119" s="39">
        <v>120.3</v>
      </c>
      <c r="H1119" s="39">
        <v>0</v>
      </c>
      <c r="I1119" s="8">
        <f>G1119-H1119+I1118</f>
        <v>-278.90999999999997</v>
      </c>
      <c r="J1119" s="12"/>
    </row>
    <row r="1120" spans="1:10" hidden="1" x14ac:dyDescent="0.25">
      <c r="C1120" s="9"/>
      <c r="D1120" s="10">
        <v>45747</v>
      </c>
      <c r="E1120" t="s">
        <v>960</v>
      </c>
      <c r="F1120" s="11" t="s">
        <v>961</v>
      </c>
      <c r="G1120" s="8">
        <v>0</v>
      </c>
      <c r="H1120" s="8">
        <v>19.84</v>
      </c>
      <c r="I1120" s="8">
        <f>G1120-H1120+I1119</f>
        <v>-298.74999999999994</v>
      </c>
      <c r="J1120" s="12"/>
    </row>
    <row r="1121" spans="1:10" hidden="1" x14ac:dyDescent="0.25">
      <c r="C1121" s="9"/>
      <c r="D1121" s="10">
        <v>45762</v>
      </c>
      <c r="E1121" t="s">
        <v>11</v>
      </c>
      <c r="F1121" s="11" t="s">
        <v>959</v>
      </c>
      <c r="G1121" s="39">
        <v>111.2</v>
      </c>
      <c r="H1121" s="8">
        <v>0</v>
      </c>
      <c r="I1121" s="8">
        <f>G1121-H1121+I1120</f>
        <v>-187.54999999999995</v>
      </c>
      <c r="J1121" s="12"/>
    </row>
    <row r="1122" spans="1:10" hidden="1" x14ac:dyDescent="0.25">
      <c r="E1122" s="4" t="s">
        <v>20</v>
      </c>
      <c r="G1122" s="8">
        <f>SUM(G1116:G1121)</f>
        <v>231.5</v>
      </c>
      <c r="H1122" s="8">
        <f>SUM(H1116:H1121)</f>
        <v>419.04999999999995</v>
      </c>
      <c r="I1122" s="8">
        <f>G1122-H1122</f>
        <v>-187.54999999999995</v>
      </c>
    </row>
    <row r="1124" spans="1:10" hidden="1" x14ac:dyDescent="0.25">
      <c r="A1124" s="5">
        <v>4000590</v>
      </c>
      <c r="B1124" s="6" t="s">
        <v>962</v>
      </c>
      <c r="C1124" s="7"/>
      <c r="D1124" s="7"/>
      <c r="E1124" s="7"/>
      <c r="F1124" s="7"/>
      <c r="G1124" s="7"/>
      <c r="H1124" s="7"/>
      <c r="I1124" s="7"/>
      <c r="J1124" s="7"/>
    </row>
    <row r="1125" spans="1:10" hidden="1" x14ac:dyDescent="0.25">
      <c r="E1125" s="4" t="s">
        <v>10</v>
      </c>
      <c r="G1125" s="8">
        <v>0</v>
      </c>
      <c r="H1125" s="8">
        <v>675.8</v>
      </c>
      <c r="I1125" s="8">
        <f>G1125-H1125</f>
        <v>-675.8</v>
      </c>
    </row>
    <row r="1126" spans="1:10" hidden="1" x14ac:dyDescent="0.25">
      <c r="C1126" s="9"/>
      <c r="D1126" s="10">
        <v>45730</v>
      </c>
      <c r="E1126" t="s">
        <v>11</v>
      </c>
      <c r="F1126" s="11" t="s">
        <v>963</v>
      </c>
      <c r="G1126" s="8">
        <v>675.8</v>
      </c>
      <c r="H1126" s="8">
        <v>0</v>
      </c>
      <c r="I1126" s="8">
        <f>G1126-H1126+I1125</f>
        <v>0</v>
      </c>
      <c r="J1126" s="12"/>
    </row>
    <row r="1127" spans="1:10" hidden="1" x14ac:dyDescent="0.25">
      <c r="C1127" s="9"/>
      <c r="D1127" s="10">
        <v>45747</v>
      </c>
      <c r="E1127" t="s">
        <v>964</v>
      </c>
      <c r="F1127" s="11" t="s">
        <v>965</v>
      </c>
      <c r="G1127" s="8">
        <v>0</v>
      </c>
      <c r="H1127" s="8">
        <v>1677.99</v>
      </c>
      <c r="I1127" s="8">
        <f>G1127-H1127+I1126</f>
        <v>-1677.99</v>
      </c>
      <c r="J1127" s="12"/>
    </row>
    <row r="1128" spans="1:10" hidden="1" x14ac:dyDescent="0.25">
      <c r="E1128" s="4" t="s">
        <v>20</v>
      </c>
      <c r="G1128" s="8">
        <f>SUM(G1125:G1127)</f>
        <v>675.8</v>
      </c>
      <c r="H1128" s="8">
        <f>SUM(H1125:H1127)</f>
        <v>2353.79</v>
      </c>
      <c r="I1128" s="8">
        <f>G1128-H1128</f>
        <v>-1677.99</v>
      </c>
    </row>
    <row r="1129" spans="1:10" hidden="1" x14ac:dyDescent="0.25"/>
    <row r="1130" spans="1:10" hidden="1" x14ac:dyDescent="0.25">
      <c r="A1130" s="5">
        <v>4000591</v>
      </c>
      <c r="B1130" s="6" t="s">
        <v>966</v>
      </c>
      <c r="C1130" s="7"/>
      <c r="D1130" s="7"/>
      <c r="E1130" s="7"/>
      <c r="F1130" s="7"/>
      <c r="G1130" s="7"/>
      <c r="H1130" s="7"/>
      <c r="I1130" s="7"/>
      <c r="J1130" s="7"/>
    </row>
    <row r="1131" spans="1:10" hidden="1" x14ac:dyDescent="0.25">
      <c r="E1131" s="4" t="s">
        <v>10</v>
      </c>
      <c r="G1131" s="8">
        <v>0</v>
      </c>
      <c r="H1131" s="8">
        <v>888.22</v>
      </c>
      <c r="I1131" s="8">
        <f>G1131-H1131</f>
        <v>-888.22</v>
      </c>
    </row>
    <row r="1132" spans="1:10" hidden="1" x14ac:dyDescent="0.25">
      <c r="C1132" s="9"/>
      <c r="D1132" s="10">
        <v>45728</v>
      </c>
      <c r="E1132" t="s">
        <v>11</v>
      </c>
      <c r="F1132" s="11" t="s">
        <v>967</v>
      </c>
      <c r="G1132" s="8">
        <v>888.22</v>
      </c>
      <c r="H1132" s="8">
        <v>0</v>
      </c>
      <c r="I1132" s="8">
        <f>G1132-H1132+I1131</f>
        <v>0</v>
      </c>
      <c r="J1132" s="12"/>
    </row>
    <row r="1133" spans="1:10" hidden="1" x14ac:dyDescent="0.25">
      <c r="C1133" s="9"/>
      <c r="D1133" s="10">
        <v>45744</v>
      </c>
      <c r="E1133" t="s">
        <v>968</v>
      </c>
      <c r="F1133" s="11" t="s">
        <v>969</v>
      </c>
      <c r="G1133" s="8">
        <v>0</v>
      </c>
      <c r="H1133" s="8">
        <v>1381.76</v>
      </c>
      <c r="I1133" s="8">
        <f>G1133-H1133+I1132</f>
        <v>-1381.76</v>
      </c>
      <c r="J1133" s="12"/>
    </row>
    <row r="1134" spans="1:10" hidden="1" x14ac:dyDescent="0.25">
      <c r="E1134" s="4" t="s">
        <v>20</v>
      </c>
      <c r="G1134" s="8">
        <f>SUM(G1131:G1133)</f>
        <v>888.22</v>
      </c>
      <c r="H1134" s="8">
        <f>SUM(H1131:H1133)</f>
        <v>2269.98</v>
      </c>
      <c r="I1134" s="8">
        <f>G1134-H1134</f>
        <v>-1381.76</v>
      </c>
    </row>
    <row r="1135" spans="1:10" hidden="1" x14ac:dyDescent="0.25"/>
    <row r="1136" spans="1:10" hidden="1" x14ac:dyDescent="0.25">
      <c r="A1136" s="5">
        <v>4000606</v>
      </c>
      <c r="B1136" s="6" t="s">
        <v>970</v>
      </c>
      <c r="C1136" s="7"/>
      <c r="D1136" s="7"/>
      <c r="E1136" s="7"/>
      <c r="F1136" s="7"/>
      <c r="G1136" s="7"/>
      <c r="H1136" s="7"/>
      <c r="I1136" s="7"/>
      <c r="J1136" s="7"/>
    </row>
    <row r="1137" spans="1:11" hidden="1" x14ac:dyDescent="0.25">
      <c r="C1137" s="9"/>
      <c r="D1137" s="10">
        <v>45703</v>
      </c>
      <c r="E1137" t="s">
        <v>971</v>
      </c>
      <c r="F1137" s="11" t="s">
        <v>972</v>
      </c>
      <c r="G1137" s="8">
        <v>0</v>
      </c>
      <c r="H1137" s="8">
        <v>553.76</v>
      </c>
      <c r="I1137" s="8">
        <f>G1137-H1137</f>
        <v>-553.76</v>
      </c>
      <c r="J1137" s="63">
        <v>45792</v>
      </c>
    </row>
    <row r="1138" spans="1:11" hidden="1" x14ac:dyDescent="0.25">
      <c r="C1138" s="9"/>
      <c r="D1138" s="10">
        <v>45726</v>
      </c>
      <c r="E1138" t="s">
        <v>973</v>
      </c>
      <c r="F1138" s="11" t="s">
        <v>974</v>
      </c>
      <c r="G1138" s="8">
        <v>0</v>
      </c>
      <c r="H1138" s="8">
        <v>688.62</v>
      </c>
      <c r="I1138" s="8">
        <f>G1138-H1138+I1137</f>
        <v>-1242.3800000000001</v>
      </c>
      <c r="J1138" s="12"/>
    </row>
    <row r="1139" spans="1:11" hidden="1" x14ac:dyDescent="0.25">
      <c r="E1139" s="4" t="s">
        <v>20</v>
      </c>
      <c r="G1139" s="8">
        <f>SUM(G1137:G1138)</f>
        <v>0</v>
      </c>
      <c r="H1139" s="8">
        <f>SUM(H1137:H1138)</f>
        <v>1242.3800000000001</v>
      </c>
      <c r="I1139" s="8">
        <f>G1139-H1139</f>
        <v>-1242.3800000000001</v>
      </c>
    </row>
    <row r="1140" spans="1:11" hidden="1" x14ac:dyDescent="0.25"/>
    <row r="1141" spans="1:11" hidden="1" x14ac:dyDescent="0.25">
      <c r="A1141" s="5">
        <v>4000620</v>
      </c>
      <c r="B1141" s="6" t="s">
        <v>975</v>
      </c>
      <c r="C1141" s="7"/>
      <c r="D1141" s="7"/>
      <c r="E1141" s="7"/>
      <c r="F1141" s="7"/>
      <c r="G1141" s="7"/>
      <c r="H1141" s="7"/>
      <c r="I1141" s="7"/>
      <c r="J1141" s="7"/>
    </row>
    <row r="1142" spans="1:11" hidden="1" x14ac:dyDescent="0.25">
      <c r="C1142" s="9"/>
      <c r="D1142" s="10">
        <v>45351</v>
      </c>
      <c r="E1142" t="s">
        <v>8297</v>
      </c>
      <c r="F1142" s="11" t="s">
        <v>8298</v>
      </c>
      <c r="G1142" s="8">
        <v>0</v>
      </c>
      <c r="H1142" s="25">
        <v>5825.96</v>
      </c>
      <c r="I1142" s="8">
        <f>I1141+G1142-H1142</f>
        <v>-5825.96</v>
      </c>
      <c r="J1142" s="70">
        <v>5825.9599999999991</v>
      </c>
      <c r="K1142" s="21"/>
    </row>
    <row r="1143" spans="1:11" hidden="1" x14ac:dyDescent="0.25">
      <c r="C1143" s="9"/>
      <c r="D1143" s="10">
        <v>45427</v>
      </c>
      <c r="E1143" t="s">
        <v>8299</v>
      </c>
      <c r="F1143" s="11" t="s">
        <v>42</v>
      </c>
      <c r="G1143" s="25">
        <v>646.67999999999995</v>
      </c>
      <c r="H1143" s="8">
        <v>0</v>
      </c>
      <c r="I1143" s="8">
        <f t="shared" ref="I1143:I1154" si="65">I1142+G1143-H1143</f>
        <v>-5179.28</v>
      </c>
      <c r="J1143" s="12"/>
    </row>
    <row r="1144" spans="1:11" hidden="1" x14ac:dyDescent="0.25">
      <c r="C1144" s="9"/>
      <c r="D1144" s="10">
        <v>45460</v>
      </c>
      <c r="E1144" t="s">
        <v>8300</v>
      </c>
      <c r="F1144" s="11" t="s">
        <v>42</v>
      </c>
      <c r="G1144" s="25">
        <v>646.67999999999995</v>
      </c>
      <c r="H1144" s="8">
        <v>0</v>
      </c>
      <c r="I1144" s="8">
        <f t="shared" si="65"/>
        <v>-4532.5999999999995</v>
      </c>
      <c r="J1144" s="12"/>
    </row>
    <row r="1145" spans="1:11" hidden="1" x14ac:dyDescent="0.25">
      <c r="C1145" s="9"/>
      <c r="D1145" s="10">
        <v>45488</v>
      </c>
      <c r="E1145" t="s">
        <v>8301</v>
      </c>
      <c r="F1145" s="11" t="s">
        <v>42</v>
      </c>
      <c r="G1145" s="25">
        <v>646.67999999999995</v>
      </c>
      <c r="H1145" s="8">
        <v>0</v>
      </c>
      <c r="I1145" s="8">
        <f t="shared" si="65"/>
        <v>-3885.9199999999996</v>
      </c>
      <c r="J1145" s="12"/>
    </row>
    <row r="1146" spans="1:11" hidden="1" x14ac:dyDescent="0.25">
      <c r="C1146" s="9"/>
      <c r="D1146" s="10">
        <v>45519</v>
      </c>
      <c r="E1146" t="s">
        <v>8302</v>
      </c>
      <c r="F1146" s="11" t="s">
        <v>42</v>
      </c>
      <c r="G1146" s="25">
        <v>646.67999999999995</v>
      </c>
      <c r="H1146" s="8">
        <v>0</v>
      </c>
      <c r="I1146" s="8">
        <f t="shared" si="65"/>
        <v>-3239.24</v>
      </c>
      <c r="J1146" s="12"/>
    </row>
    <row r="1147" spans="1:11" hidden="1" x14ac:dyDescent="0.25">
      <c r="C1147" s="9"/>
      <c r="D1147" s="10">
        <v>45551</v>
      </c>
      <c r="E1147" t="s">
        <v>8303</v>
      </c>
      <c r="F1147" s="11" t="s">
        <v>42</v>
      </c>
      <c r="G1147" s="25">
        <v>646.67999999999995</v>
      </c>
      <c r="H1147" s="8">
        <v>0</v>
      </c>
      <c r="I1147" s="8">
        <f t="shared" si="65"/>
        <v>-2592.56</v>
      </c>
      <c r="J1147" s="12"/>
    </row>
    <row r="1148" spans="1:11" hidden="1" x14ac:dyDescent="0.25">
      <c r="C1148" s="9"/>
      <c r="D1148" s="10">
        <v>45580</v>
      </c>
      <c r="E1148" t="s">
        <v>8302</v>
      </c>
      <c r="F1148" s="11" t="s">
        <v>42</v>
      </c>
      <c r="G1148" s="25">
        <v>646.67999999999995</v>
      </c>
      <c r="H1148" s="8">
        <v>0</v>
      </c>
      <c r="I1148" s="8">
        <f t="shared" si="65"/>
        <v>-1945.88</v>
      </c>
      <c r="J1148" s="12"/>
    </row>
    <row r="1149" spans="1:11" hidden="1" x14ac:dyDescent="0.25">
      <c r="C1149" s="9"/>
      <c r="D1149" s="10">
        <v>45596</v>
      </c>
      <c r="E1149" t="s">
        <v>8304</v>
      </c>
      <c r="F1149" s="11" t="s">
        <v>979</v>
      </c>
      <c r="G1149" s="8">
        <v>0</v>
      </c>
      <c r="H1149" s="39">
        <v>894.84</v>
      </c>
      <c r="I1149" s="8">
        <f t="shared" si="65"/>
        <v>-2840.7200000000003</v>
      </c>
      <c r="J1149" s="12"/>
    </row>
    <row r="1150" spans="1:11" hidden="1" x14ac:dyDescent="0.25">
      <c r="C1150" s="9"/>
      <c r="D1150" s="10">
        <v>45601</v>
      </c>
      <c r="E1150" t="s">
        <v>8242</v>
      </c>
      <c r="F1150" s="11" t="s">
        <v>42</v>
      </c>
      <c r="G1150" s="8">
        <v>0</v>
      </c>
      <c r="H1150" s="25">
        <v>2956.14</v>
      </c>
      <c r="I1150" s="8">
        <f t="shared" si="65"/>
        <v>-5796.8600000000006</v>
      </c>
      <c r="J1150" s="70">
        <f>G1159-H1150</f>
        <v>0</v>
      </c>
    </row>
    <row r="1151" spans="1:11" hidden="1" x14ac:dyDescent="0.25">
      <c r="C1151" s="9"/>
      <c r="D1151" s="10">
        <v>45611</v>
      </c>
      <c r="E1151" t="s">
        <v>8305</v>
      </c>
      <c r="F1151" s="11" t="s">
        <v>42</v>
      </c>
      <c r="G1151" s="25">
        <v>646.67999999999995</v>
      </c>
      <c r="H1151" s="8">
        <v>0</v>
      </c>
      <c r="I1151" s="8">
        <f t="shared" si="65"/>
        <v>-5150.18</v>
      </c>
      <c r="J1151" s="12"/>
    </row>
    <row r="1152" spans="1:11" hidden="1" x14ac:dyDescent="0.25">
      <c r="C1152" s="9"/>
      <c r="D1152" s="10">
        <v>45626</v>
      </c>
      <c r="E1152" t="s">
        <v>8306</v>
      </c>
      <c r="F1152" s="11" t="s">
        <v>983</v>
      </c>
      <c r="G1152" s="8">
        <v>0</v>
      </c>
      <c r="H1152" s="39">
        <v>4787.8500000000004</v>
      </c>
      <c r="I1152" s="8">
        <f t="shared" si="65"/>
        <v>-9938.0300000000007</v>
      </c>
      <c r="J1152" s="12"/>
    </row>
    <row r="1153" spans="3:10" hidden="1" x14ac:dyDescent="0.25">
      <c r="C1153" s="9"/>
      <c r="D1153" s="10">
        <v>45642</v>
      </c>
      <c r="E1153" t="s">
        <v>8307</v>
      </c>
      <c r="F1153" s="11" t="s">
        <v>42</v>
      </c>
      <c r="G1153" s="25">
        <v>646.67999999999995</v>
      </c>
      <c r="H1153" s="8">
        <v>0</v>
      </c>
      <c r="I1153" s="8">
        <f t="shared" si="65"/>
        <v>-9291.35</v>
      </c>
      <c r="J1153" s="12"/>
    </row>
    <row r="1154" spans="3:10" hidden="1" x14ac:dyDescent="0.25">
      <c r="C1154" s="9"/>
      <c r="D1154" s="10">
        <v>45656</v>
      </c>
      <c r="E1154" t="s">
        <v>8308</v>
      </c>
      <c r="F1154" s="11" t="s">
        <v>986</v>
      </c>
      <c r="G1154" s="8">
        <v>0</v>
      </c>
      <c r="H1154" s="39">
        <v>1886.29</v>
      </c>
      <c r="I1154" s="8">
        <f t="shared" si="65"/>
        <v>-11177.64</v>
      </c>
      <c r="J1154" s="12"/>
    </row>
    <row r="1155" spans="3:10" hidden="1" x14ac:dyDescent="0.25">
      <c r="D1155" s="36"/>
      <c r="E1155" s="71" t="s">
        <v>10</v>
      </c>
      <c r="F1155" s="36"/>
      <c r="G1155" s="38">
        <v>0</v>
      </c>
      <c r="H1155" s="38">
        <v>11177.64</v>
      </c>
      <c r="I1155" s="38">
        <f>G1155-H1155</f>
        <v>-11177.64</v>
      </c>
    </row>
    <row r="1156" spans="3:10" hidden="1" x14ac:dyDescent="0.25">
      <c r="C1156" s="9"/>
      <c r="D1156" s="10">
        <v>45658</v>
      </c>
      <c r="E1156" t="s">
        <v>976</v>
      </c>
      <c r="F1156" s="11" t="s">
        <v>977</v>
      </c>
      <c r="G1156" s="8">
        <v>0</v>
      </c>
      <c r="H1156" s="25">
        <v>-3141.16</v>
      </c>
      <c r="I1156" s="8">
        <f t="shared" ref="I1156:I1166" si="66">G1156-H1156+I1155</f>
        <v>-8036.48</v>
      </c>
      <c r="J1156" s="12"/>
    </row>
    <row r="1157" spans="3:10" hidden="1" x14ac:dyDescent="0.25">
      <c r="C1157" s="9"/>
      <c r="D1157" s="10">
        <v>45672</v>
      </c>
      <c r="E1157" t="s">
        <v>978</v>
      </c>
      <c r="F1157" s="11" t="s">
        <v>42</v>
      </c>
      <c r="G1157" s="25">
        <v>652.52</v>
      </c>
      <c r="H1157" s="25">
        <v>0</v>
      </c>
      <c r="I1157" s="8">
        <f t="shared" si="66"/>
        <v>-7383.9599999999991</v>
      </c>
      <c r="J1157" s="12"/>
    </row>
    <row r="1158" spans="3:10" hidden="1" x14ac:dyDescent="0.25">
      <c r="C1158" s="9"/>
      <c r="D1158" s="10">
        <v>45672</v>
      </c>
      <c r="E1158" t="s">
        <v>11</v>
      </c>
      <c r="F1158" s="11" t="s">
        <v>979</v>
      </c>
      <c r="G1158" s="39">
        <v>894.84</v>
      </c>
      <c r="H1158" s="25">
        <v>3141.16</v>
      </c>
      <c r="I1158" s="8">
        <f t="shared" si="66"/>
        <v>-9630.2799999999988</v>
      </c>
      <c r="J1158" s="12"/>
    </row>
    <row r="1159" spans="3:10" hidden="1" x14ac:dyDescent="0.25">
      <c r="C1159" s="9"/>
      <c r="D1159" s="10">
        <v>45674</v>
      </c>
      <c r="E1159" t="s">
        <v>980</v>
      </c>
      <c r="F1159" s="11" t="s">
        <v>42</v>
      </c>
      <c r="G1159" s="25">
        <v>2956.14</v>
      </c>
      <c r="H1159" s="8">
        <v>0</v>
      </c>
      <c r="I1159" s="8">
        <f t="shared" si="66"/>
        <v>-6674.1399999999994</v>
      </c>
      <c r="J1159" s="12"/>
    </row>
    <row r="1160" spans="3:10" hidden="1" x14ac:dyDescent="0.25">
      <c r="C1160" s="9"/>
      <c r="D1160" s="10">
        <v>45688</v>
      </c>
      <c r="E1160" t="s">
        <v>981</v>
      </c>
      <c r="F1160" s="11" t="s">
        <v>982</v>
      </c>
      <c r="G1160" s="8">
        <v>0</v>
      </c>
      <c r="H1160" s="8">
        <v>2061.66</v>
      </c>
      <c r="I1160" s="8">
        <f t="shared" si="66"/>
        <v>-8735.7999999999993</v>
      </c>
      <c r="J1160" s="63">
        <v>45762</v>
      </c>
    </row>
    <row r="1161" spans="3:10" hidden="1" x14ac:dyDescent="0.25">
      <c r="C1161" s="9"/>
      <c r="D1161" s="10">
        <v>45705</v>
      </c>
      <c r="E1161" t="s">
        <v>11</v>
      </c>
      <c r="F1161" s="11" t="s">
        <v>983</v>
      </c>
      <c r="G1161" s="39">
        <v>4787.8500000000004</v>
      </c>
      <c r="H1161" s="8">
        <v>0</v>
      </c>
      <c r="I1161" s="8">
        <f t="shared" si="66"/>
        <v>-3947.9499999999989</v>
      </c>
      <c r="J1161" s="12"/>
    </row>
    <row r="1162" spans="3:10" hidden="1" x14ac:dyDescent="0.25">
      <c r="C1162" s="9"/>
      <c r="D1162" s="10">
        <v>45705</v>
      </c>
      <c r="E1162" t="s">
        <v>11</v>
      </c>
      <c r="F1162" s="11" t="s">
        <v>983</v>
      </c>
      <c r="G1162" s="38">
        <v>0</v>
      </c>
      <c r="H1162" s="38">
        <v>4787.8500000000004</v>
      </c>
      <c r="I1162" s="8">
        <f t="shared" si="66"/>
        <v>-8735.7999999999993</v>
      </c>
      <c r="J1162" s="12"/>
    </row>
    <row r="1163" spans="3:10" hidden="1" x14ac:dyDescent="0.25">
      <c r="C1163" s="9"/>
      <c r="D1163" s="10">
        <v>45715</v>
      </c>
      <c r="E1163" t="s">
        <v>11</v>
      </c>
      <c r="F1163" s="11" t="s">
        <v>983</v>
      </c>
      <c r="G1163" s="38">
        <v>4787.8500000000004</v>
      </c>
      <c r="H1163" s="38">
        <v>0</v>
      </c>
      <c r="I1163" s="8">
        <f t="shared" si="66"/>
        <v>-3947.9499999999989</v>
      </c>
      <c r="J1163" s="12"/>
    </row>
    <row r="1164" spans="3:10" hidden="1" x14ac:dyDescent="0.25">
      <c r="C1164" s="9"/>
      <c r="D1164" s="10">
        <v>45716</v>
      </c>
      <c r="E1164" t="s">
        <v>984</v>
      </c>
      <c r="F1164" s="11" t="s">
        <v>985</v>
      </c>
      <c r="G1164" s="8">
        <v>0</v>
      </c>
      <c r="H1164" s="8">
        <v>2861.38</v>
      </c>
      <c r="I1164" s="8">
        <f t="shared" si="66"/>
        <v>-6809.329999999999</v>
      </c>
      <c r="J1164" s="12"/>
    </row>
    <row r="1165" spans="3:10" hidden="1" x14ac:dyDescent="0.25">
      <c r="C1165" s="9"/>
      <c r="D1165" s="10">
        <v>45733</v>
      </c>
      <c r="E1165" t="s">
        <v>11</v>
      </c>
      <c r="F1165" s="11" t="s">
        <v>986</v>
      </c>
      <c r="G1165" s="39">
        <v>1886.29</v>
      </c>
      <c r="H1165" s="8">
        <v>0</v>
      </c>
      <c r="I1165" s="8">
        <f t="shared" si="66"/>
        <v>-4923.0399999999991</v>
      </c>
      <c r="J1165" s="12"/>
    </row>
    <row r="1166" spans="3:10" hidden="1" x14ac:dyDescent="0.25">
      <c r="C1166" s="9"/>
      <c r="D1166" s="10">
        <v>45747</v>
      </c>
      <c r="E1166" t="s">
        <v>987</v>
      </c>
      <c r="F1166" s="11" t="s">
        <v>988</v>
      </c>
      <c r="G1166" s="8">
        <v>0</v>
      </c>
      <c r="H1166" s="8">
        <v>5107.41</v>
      </c>
      <c r="I1166" s="8">
        <f t="shared" si="66"/>
        <v>-10030.449999999999</v>
      </c>
      <c r="J1166" s="12"/>
    </row>
    <row r="1167" spans="3:10" hidden="1" x14ac:dyDescent="0.25">
      <c r="E1167" s="4" t="s">
        <v>20</v>
      </c>
      <c r="G1167" s="8">
        <f>SUM(G1155:G1166)</f>
        <v>15965.490000000002</v>
      </c>
      <c r="H1167" s="8">
        <f>SUM(H1155:H1166)</f>
        <v>25995.940000000002</v>
      </c>
      <c r="I1167" s="8">
        <f>G1167-H1167</f>
        <v>-10030.450000000001</v>
      </c>
    </row>
    <row r="1168" spans="3:10" hidden="1" x14ac:dyDescent="0.25"/>
    <row r="1169" spans="1:10" hidden="1" x14ac:dyDescent="0.25">
      <c r="A1169" s="5">
        <v>4000621</v>
      </c>
      <c r="B1169" s="6" t="s">
        <v>989</v>
      </c>
      <c r="C1169" s="7"/>
      <c r="D1169" s="7"/>
      <c r="E1169" s="7"/>
      <c r="F1169" s="7"/>
      <c r="G1169" s="7"/>
      <c r="H1169" s="7"/>
      <c r="I1169" s="7"/>
      <c r="J1169" s="7"/>
    </row>
    <row r="1170" spans="1:10" hidden="1" x14ac:dyDescent="0.25">
      <c r="E1170" s="4" t="s">
        <v>10</v>
      </c>
      <c r="G1170" s="8">
        <v>0</v>
      </c>
      <c r="H1170" s="8">
        <v>252.83</v>
      </c>
      <c r="I1170" s="8">
        <f>G1170-H1170</f>
        <v>-252.83</v>
      </c>
    </row>
    <row r="1171" spans="1:10" hidden="1" x14ac:dyDescent="0.25">
      <c r="C1171" s="9"/>
      <c r="D1171" s="10">
        <v>45705</v>
      </c>
      <c r="E1171" t="s">
        <v>11</v>
      </c>
      <c r="F1171" s="11" t="s">
        <v>990</v>
      </c>
      <c r="G1171" s="8">
        <v>252.83</v>
      </c>
      <c r="H1171" s="8">
        <v>0</v>
      </c>
      <c r="I1171" s="8">
        <f>G1171-H1171+I1170</f>
        <v>0</v>
      </c>
      <c r="J1171" s="12"/>
    </row>
    <row r="1172" spans="1:10" hidden="1" x14ac:dyDescent="0.25">
      <c r="C1172" s="9"/>
      <c r="D1172" s="10">
        <v>45747</v>
      </c>
      <c r="E1172" t="s">
        <v>991</v>
      </c>
      <c r="F1172" s="11" t="s">
        <v>992</v>
      </c>
      <c r="G1172" s="8">
        <v>0</v>
      </c>
      <c r="H1172" s="8">
        <v>11.62</v>
      </c>
      <c r="I1172" s="8">
        <f>G1172-H1172+I1171</f>
        <v>-11.62</v>
      </c>
      <c r="J1172" s="12"/>
    </row>
    <row r="1173" spans="1:10" hidden="1" x14ac:dyDescent="0.25">
      <c r="E1173" s="4" t="s">
        <v>20</v>
      </c>
      <c r="G1173" s="8">
        <f>SUM(G1170:G1172)</f>
        <v>252.83</v>
      </c>
      <c r="H1173" s="8">
        <f>SUM(H1170:H1172)</f>
        <v>264.45</v>
      </c>
      <c r="I1173" s="8">
        <f>G1173-H1173</f>
        <v>-11.619999999999976</v>
      </c>
    </row>
    <row r="1174" spans="1:10" hidden="1" x14ac:dyDescent="0.25"/>
    <row r="1175" spans="1:10" x14ac:dyDescent="0.25">
      <c r="A1175" s="5">
        <v>4000645</v>
      </c>
      <c r="B1175" s="6" t="s">
        <v>993</v>
      </c>
      <c r="C1175" s="7"/>
      <c r="D1175" s="7"/>
      <c r="E1175" s="7"/>
      <c r="F1175" s="7"/>
      <c r="G1175" s="7"/>
      <c r="H1175" s="7"/>
      <c r="I1175" s="7"/>
      <c r="J1175" s="7"/>
    </row>
    <row r="1176" spans="1:10" hidden="1" x14ac:dyDescent="0.25">
      <c r="C1176" s="9"/>
      <c r="D1176" s="10">
        <v>45682</v>
      </c>
      <c r="E1176" t="s">
        <v>994</v>
      </c>
      <c r="F1176" s="11" t="s">
        <v>995</v>
      </c>
      <c r="G1176" s="8">
        <v>0</v>
      </c>
      <c r="H1176" s="25">
        <v>348.9</v>
      </c>
      <c r="I1176" s="8">
        <f>G1176-H1176</f>
        <v>-348.9</v>
      </c>
      <c r="J1176" s="12"/>
    </row>
    <row r="1177" spans="1:10" x14ac:dyDescent="0.25">
      <c r="C1177" s="9"/>
      <c r="D1177" s="10">
        <v>45684</v>
      </c>
      <c r="E1177" t="s">
        <v>11</v>
      </c>
      <c r="F1177" s="11" t="s">
        <v>996</v>
      </c>
      <c r="G1177" s="8">
        <v>404.55</v>
      </c>
      <c r="H1177" s="8">
        <v>0</v>
      </c>
      <c r="I1177" s="8">
        <f>G1177-H1177+I1176</f>
        <v>55.650000000000034</v>
      </c>
      <c r="J1177" s="20" t="s">
        <v>8144</v>
      </c>
    </row>
    <row r="1178" spans="1:10" hidden="1" x14ac:dyDescent="0.25">
      <c r="C1178" s="9"/>
      <c r="D1178" s="10">
        <v>45713</v>
      </c>
      <c r="E1178" t="s">
        <v>997</v>
      </c>
      <c r="F1178" s="11" t="s">
        <v>998</v>
      </c>
      <c r="G1178" s="8">
        <v>0</v>
      </c>
      <c r="H1178" s="25">
        <v>430.6</v>
      </c>
      <c r="I1178" s="8">
        <f>G1178-H1178+I1177</f>
        <v>-374.95</v>
      </c>
      <c r="J1178" s="12"/>
    </row>
    <row r="1179" spans="1:10" hidden="1" x14ac:dyDescent="0.25">
      <c r="C1179" s="9"/>
      <c r="D1179" s="10">
        <v>45713</v>
      </c>
      <c r="E1179" t="s">
        <v>11</v>
      </c>
      <c r="F1179" s="11" t="s">
        <v>995</v>
      </c>
      <c r="G1179" s="25">
        <v>348.9</v>
      </c>
      <c r="H1179" s="8">
        <v>0</v>
      </c>
      <c r="I1179" s="8">
        <f>G1179-H1179+I1178</f>
        <v>-26.050000000000011</v>
      </c>
      <c r="J1179" s="12"/>
    </row>
    <row r="1180" spans="1:10" hidden="1" x14ac:dyDescent="0.25">
      <c r="C1180" s="9"/>
      <c r="D1180" s="10">
        <v>45741</v>
      </c>
      <c r="E1180" t="s">
        <v>999</v>
      </c>
      <c r="F1180" s="11" t="s">
        <v>1000</v>
      </c>
      <c r="G1180" s="8">
        <v>0</v>
      </c>
      <c r="H1180" s="8">
        <v>430.6</v>
      </c>
      <c r="I1180" s="8">
        <f>G1180-H1180+I1179</f>
        <v>-456.65000000000003</v>
      </c>
      <c r="J1180" s="12"/>
    </row>
    <row r="1181" spans="1:10" hidden="1" x14ac:dyDescent="0.25">
      <c r="C1181" s="9"/>
      <c r="D1181" s="10">
        <v>45741</v>
      </c>
      <c r="E1181" t="s">
        <v>11</v>
      </c>
      <c r="F1181" s="11" t="s">
        <v>1000</v>
      </c>
      <c r="G1181" s="25">
        <v>430.6</v>
      </c>
      <c r="H1181" s="8">
        <v>0</v>
      </c>
      <c r="I1181" s="8">
        <f>G1181-H1181+I1180</f>
        <v>-26.050000000000011</v>
      </c>
      <c r="J1181" s="12"/>
    </row>
    <row r="1182" spans="1:10" hidden="1" x14ac:dyDescent="0.25">
      <c r="E1182" s="4" t="s">
        <v>20</v>
      </c>
      <c r="G1182" s="8">
        <f>SUM(G1176:G1181)</f>
        <v>1184.0500000000002</v>
      </c>
      <c r="H1182" s="8">
        <f>SUM(H1176:H1181)</f>
        <v>1210.0999999999999</v>
      </c>
      <c r="I1182" s="8">
        <f>G1182-H1182</f>
        <v>-26.049999999999727</v>
      </c>
    </row>
    <row r="1184" spans="1:10" x14ac:dyDescent="0.25">
      <c r="A1184" s="5">
        <v>4000658</v>
      </c>
      <c r="B1184" s="6" t="s">
        <v>1001</v>
      </c>
      <c r="C1184" s="7"/>
      <c r="D1184" s="7"/>
      <c r="E1184" s="7"/>
      <c r="F1184" s="7"/>
      <c r="G1184" s="7"/>
      <c r="H1184" s="7"/>
      <c r="I1184" s="7"/>
      <c r="J1184" s="7"/>
    </row>
    <row r="1185" spans="1:10" s="36" customFormat="1" hidden="1" x14ac:dyDescent="0.25">
      <c r="C1185" s="73"/>
      <c r="D1185" s="35">
        <v>45585</v>
      </c>
      <c r="E1185" s="36" t="s">
        <v>8309</v>
      </c>
      <c r="F1185" s="37" t="s">
        <v>1009</v>
      </c>
      <c r="G1185" s="38">
        <v>0</v>
      </c>
      <c r="H1185" s="39">
        <v>59.9</v>
      </c>
      <c r="I1185" s="38">
        <f t="shared" ref="I1185:I1186" si="67">G1185-H1185+I1184</f>
        <v>-59.9</v>
      </c>
      <c r="J1185" s="74"/>
    </row>
    <row r="1186" spans="1:10" s="36" customFormat="1" x14ac:dyDescent="0.25">
      <c r="C1186" s="73"/>
      <c r="D1186" s="35">
        <v>45606</v>
      </c>
      <c r="E1186" s="36" t="s">
        <v>8310</v>
      </c>
      <c r="F1186" s="37" t="s">
        <v>8311</v>
      </c>
      <c r="G1186" s="38">
        <v>0</v>
      </c>
      <c r="H1186" s="38">
        <v>145.19999999999999</v>
      </c>
      <c r="I1186" s="38">
        <f t="shared" si="67"/>
        <v>-205.1</v>
      </c>
      <c r="J1186" s="32" t="s">
        <v>8147</v>
      </c>
    </row>
    <row r="1187" spans="1:10" s="21" customFormat="1" hidden="1" x14ac:dyDescent="0.25">
      <c r="E1187" s="72" t="s">
        <v>10</v>
      </c>
      <c r="G1187" s="25">
        <v>0</v>
      </c>
      <c r="H1187" s="25">
        <v>205.1</v>
      </c>
      <c r="I1187" s="25">
        <f>G1187-H1187</f>
        <v>-205.1</v>
      </c>
    </row>
    <row r="1188" spans="1:10" hidden="1" x14ac:dyDescent="0.25">
      <c r="C1188" s="9"/>
      <c r="D1188" s="10">
        <v>45688</v>
      </c>
      <c r="E1188" t="s">
        <v>1002</v>
      </c>
      <c r="F1188" s="11" t="s">
        <v>1003</v>
      </c>
      <c r="G1188" s="8">
        <v>0</v>
      </c>
      <c r="H1188" s="39">
        <v>145.19999999999999</v>
      </c>
      <c r="I1188" s="8">
        <f t="shared" ref="I1188:I1193" si="68">G1188-H1188+I1187</f>
        <v>-350.29999999999995</v>
      </c>
      <c r="J1188" s="63">
        <v>45726</v>
      </c>
    </row>
    <row r="1189" spans="1:10" x14ac:dyDescent="0.25">
      <c r="B1189" s="63">
        <v>45726</v>
      </c>
      <c r="C1189" s="9"/>
      <c r="D1189" s="10">
        <v>45698</v>
      </c>
      <c r="E1189" t="s">
        <v>1004</v>
      </c>
      <c r="F1189" s="11" t="s">
        <v>1005</v>
      </c>
      <c r="G1189" s="8">
        <v>0</v>
      </c>
      <c r="H1189" s="8">
        <v>145.19999999999999</v>
      </c>
      <c r="I1189" s="8">
        <f t="shared" si="68"/>
        <v>-495.49999999999994</v>
      </c>
      <c r="J1189" s="32" t="s">
        <v>8147</v>
      </c>
    </row>
    <row r="1190" spans="1:10" hidden="1" x14ac:dyDescent="0.25">
      <c r="C1190" s="9"/>
      <c r="D1190" s="10">
        <v>45708</v>
      </c>
      <c r="E1190" t="s">
        <v>1006</v>
      </c>
      <c r="F1190" s="11" t="s">
        <v>1007</v>
      </c>
      <c r="G1190" s="8">
        <v>0</v>
      </c>
      <c r="H1190" s="39">
        <v>59.9</v>
      </c>
      <c r="I1190" s="8">
        <f t="shared" si="68"/>
        <v>-555.4</v>
      </c>
      <c r="J1190" s="12"/>
    </row>
    <row r="1191" spans="1:10" hidden="1" x14ac:dyDescent="0.25">
      <c r="C1191" s="9"/>
      <c r="D1191" s="10">
        <v>45728</v>
      </c>
      <c r="E1191" t="s">
        <v>1008</v>
      </c>
      <c r="F1191" s="11" t="s">
        <v>42</v>
      </c>
      <c r="G1191" s="39">
        <v>145.19999999999999</v>
      </c>
      <c r="H1191" s="8">
        <v>0</v>
      </c>
      <c r="I1191" s="8">
        <f t="shared" si="68"/>
        <v>-410.2</v>
      </c>
      <c r="J1191" s="12"/>
    </row>
    <row r="1192" spans="1:10" hidden="1" x14ac:dyDescent="0.25">
      <c r="C1192" s="9"/>
      <c r="D1192" s="10">
        <v>45728</v>
      </c>
      <c r="E1192" t="s">
        <v>1008</v>
      </c>
      <c r="F1192" s="11" t="s">
        <v>42</v>
      </c>
      <c r="G1192" s="39">
        <v>59.9</v>
      </c>
      <c r="H1192" s="8">
        <v>0</v>
      </c>
      <c r="I1192" s="8">
        <f t="shared" si="68"/>
        <v>-350.3</v>
      </c>
      <c r="J1192" s="12"/>
    </row>
    <row r="1193" spans="1:10" hidden="1" x14ac:dyDescent="0.25">
      <c r="C1193" s="9"/>
      <c r="D1193" s="10">
        <v>45761</v>
      </c>
      <c r="E1193" t="s">
        <v>11</v>
      </c>
      <c r="F1193" s="11" t="s">
        <v>1009</v>
      </c>
      <c r="G1193" s="39">
        <v>59.9</v>
      </c>
      <c r="H1193" s="8">
        <v>0</v>
      </c>
      <c r="I1193" s="8">
        <f t="shared" si="68"/>
        <v>-290.40000000000003</v>
      </c>
      <c r="J1193" s="12"/>
    </row>
    <row r="1194" spans="1:10" hidden="1" x14ac:dyDescent="0.25">
      <c r="E1194" s="4" t="s">
        <v>20</v>
      </c>
      <c r="G1194" s="8">
        <f>SUM(G1187:G1193)</f>
        <v>265</v>
      </c>
      <c r="H1194" s="8">
        <f>SUM(H1187:H1193)</f>
        <v>555.4</v>
      </c>
      <c r="I1194" s="8">
        <f>G1194-H1194</f>
        <v>-290.39999999999998</v>
      </c>
    </row>
    <row r="1196" spans="1:10" hidden="1" x14ac:dyDescent="0.25">
      <c r="A1196" s="5">
        <v>4000662</v>
      </c>
      <c r="B1196" s="6" t="s">
        <v>1010</v>
      </c>
      <c r="C1196" s="7"/>
      <c r="D1196" s="7"/>
      <c r="E1196" s="7"/>
      <c r="F1196" s="7"/>
      <c r="G1196" s="7"/>
      <c r="H1196" s="7"/>
      <c r="I1196" s="7"/>
      <c r="J1196" s="7"/>
    </row>
    <row r="1197" spans="1:10" hidden="1" x14ac:dyDescent="0.25">
      <c r="E1197" s="4" t="s">
        <v>10</v>
      </c>
      <c r="G1197" s="8">
        <v>0</v>
      </c>
      <c r="H1197" s="8">
        <v>485.34</v>
      </c>
      <c r="I1197" s="8">
        <f>G1197-H1197</f>
        <v>-485.34</v>
      </c>
    </row>
    <row r="1198" spans="1:10" hidden="1" x14ac:dyDescent="0.25">
      <c r="C1198" s="9"/>
      <c r="D1198" s="10">
        <v>45665</v>
      </c>
      <c r="E1198" t="s">
        <v>72</v>
      </c>
      <c r="F1198" s="11" t="s">
        <v>42</v>
      </c>
      <c r="G1198" s="8">
        <v>82.1</v>
      </c>
      <c r="H1198" s="8">
        <v>0</v>
      </c>
      <c r="I1198" s="8">
        <f>G1198-H1198+I1197</f>
        <v>-403.24</v>
      </c>
      <c r="J1198" s="12"/>
    </row>
    <row r="1199" spans="1:10" hidden="1" x14ac:dyDescent="0.25">
      <c r="C1199" s="9"/>
      <c r="D1199" s="10">
        <v>45702</v>
      </c>
      <c r="E1199" t="s">
        <v>11</v>
      </c>
      <c r="F1199" s="11" t="s">
        <v>1011</v>
      </c>
      <c r="G1199" s="8">
        <v>259.08999999999997</v>
      </c>
      <c r="H1199" s="8">
        <v>0</v>
      </c>
      <c r="I1199" s="8">
        <f>G1199-H1199+I1198</f>
        <v>-144.15000000000003</v>
      </c>
      <c r="J1199" s="12"/>
    </row>
    <row r="1200" spans="1:10" hidden="1" x14ac:dyDescent="0.25">
      <c r="C1200" s="9"/>
      <c r="D1200" s="10">
        <v>45747</v>
      </c>
      <c r="E1200" t="s">
        <v>1012</v>
      </c>
      <c r="F1200" s="11" t="s">
        <v>1013</v>
      </c>
      <c r="G1200" s="8">
        <v>0</v>
      </c>
      <c r="H1200" s="8">
        <v>154.99</v>
      </c>
      <c r="I1200" s="8">
        <f>G1200-H1200+I1199</f>
        <v>-299.14000000000004</v>
      </c>
      <c r="J1200" s="12"/>
    </row>
    <row r="1201" spans="1:10" hidden="1" x14ac:dyDescent="0.25">
      <c r="C1201" s="9"/>
      <c r="D1201" s="10">
        <v>45754</v>
      </c>
      <c r="E1201" t="s">
        <v>365</v>
      </c>
      <c r="F1201" s="11" t="s">
        <v>42</v>
      </c>
      <c r="G1201" s="8">
        <v>144.15</v>
      </c>
      <c r="H1201" s="8">
        <v>0</v>
      </c>
      <c r="I1201" s="8">
        <f>G1201-H1201+I1200</f>
        <v>-154.99000000000004</v>
      </c>
      <c r="J1201" s="12"/>
    </row>
    <row r="1202" spans="1:10" hidden="1" x14ac:dyDescent="0.25">
      <c r="E1202" s="4" t="s">
        <v>20</v>
      </c>
      <c r="G1202" s="8">
        <f>SUM(G1197:G1201)</f>
        <v>485.33999999999992</v>
      </c>
      <c r="H1202" s="8">
        <f>SUM(H1197:H1201)</f>
        <v>640.32999999999993</v>
      </c>
      <c r="I1202" s="8">
        <f>G1202-H1202</f>
        <v>-154.99</v>
      </c>
    </row>
    <row r="1203" spans="1:10" hidden="1" x14ac:dyDescent="0.25"/>
    <row r="1204" spans="1:10" hidden="1" x14ac:dyDescent="0.25">
      <c r="A1204" s="5">
        <v>4000668</v>
      </c>
      <c r="B1204" s="6" t="s">
        <v>1014</v>
      </c>
      <c r="C1204" s="7"/>
      <c r="D1204" s="7"/>
      <c r="E1204" s="7"/>
      <c r="F1204" s="7"/>
      <c r="G1204" s="7"/>
      <c r="H1204" s="7"/>
      <c r="I1204" s="7"/>
      <c r="J1204" s="7"/>
    </row>
    <row r="1205" spans="1:10" hidden="1" x14ac:dyDescent="0.25">
      <c r="E1205" s="4" t="s">
        <v>10</v>
      </c>
      <c r="G1205" s="8">
        <v>0</v>
      </c>
      <c r="H1205" s="8">
        <v>398.31</v>
      </c>
      <c r="I1205" s="8">
        <f>G1205-H1205</f>
        <v>-398.31</v>
      </c>
    </row>
    <row r="1206" spans="1:10" hidden="1" x14ac:dyDescent="0.25">
      <c r="C1206" s="9"/>
      <c r="D1206" s="10">
        <v>45670</v>
      </c>
      <c r="E1206" t="s">
        <v>1015</v>
      </c>
      <c r="F1206" s="11" t="s">
        <v>1016</v>
      </c>
      <c r="G1206" s="8">
        <v>0</v>
      </c>
      <c r="H1206" s="8">
        <v>410.46</v>
      </c>
      <c r="I1206" s="8">
        <f>G1206-H1206+I1205</f>
        <v>-808.77</v>
      </c>
      <c r="J1206" s="12"/>
    </row>
    <row r="1207" spans="1:10" hidden="1" x14ac:dyDescent="0.25">
      <c r="C1207" s="9"/>
      <c r="D1207" s="10">
        <v>45674</v>
      </c>
      <c r="E1207" t="s">
        <v>1017</v>
      </c>
      <c r="F1207" s="11" t="s">
        <v>42</v>
      </c>
      <c r="G1207" s="8">
        <v>398.31</v>
      </c>
      <c r="H1207" s="8">
        <v>0</v>
      </c>
      <c r="I1207" s="8">
        <f>G1207-H1207+I1206</f>
        <v>-410.46</v>
      </c>
      <c r="J1207" s="12"/>
    </row>
    <row r="1208" spans="1:10" hidden="1" x14ac:dyDescent="0.25">
      <c r="C1208" s="9"/>
      <c r="D1208" s="10">
        <v>45695</v>
      </c>
      <c r="E1208" t="s">
        <v>1018</v>
      </c>
      <c r="F1208" s="11" t="s">
        <v>1019</v>
      </c>
      <c r="G1208" s="8">
        <v>0</v>
      </c>
      <c r="H1208" s="8">
        <v>503.75</v>
      </c>
      <c r="I1208" s="8">
        <f>G1208-H1208+I1207</f>
        <v>-914.21</v>
      </c>
      <c r="J1208" s="12"/>
    </row>
    <row r="1209" spans="1:10" hidden="1" x14ac:dyDescent="0.25">
      <c r="C1209" s="9"/>
      <c r="D1209" s="10">
        <v>45733</v>
      </c>
      <c r="E1209" t="s">
        <v>11</v>
      </c>
      <c r="F1209" s="11" t="s">
        <v>1016</v>
      </c>
      <c r="G1209" s="8">
        <v>410.46</v>
      </c>
      <c r="H1209" s="8">
        <v>0</v>
      </c>
      <c r="I1209" s="8">
        <f>G1209-H1209+I1208</f>
        <v>-503.75000000000006</v>
      </c>
      <c r="J1209" s="12"/>
    </row>
    <row r="1210" spans="1:10" hidden="1" x14ac:dyDescent="0.25">
      <c r="C1210" s="9"/>
      <c r="D1210" s="10">
        <v>45762</v>
      </c>
      <c r="E1210" t="s">
        <v>11</v>
      </c>
      <c r="F1210" s="11" t="s">
        <v>1019</v>
      </c>
      <c r="G1210" s="8">
        <v>503.75</v>
      </c>
      <c r="H1210" s="8">
        <v>0</v>
      </c>
      <c r="I1210" s="8">
        <f>G1210-H1210+I1209</f>
        <v>0</v>
      </c>
      <c r="J1210" s="12"/>
    </row>
    <row r="1211" spans="1:10" hidden="1" x14ac:dyDescent="0.25">
      <c r="E1211" s="4" t="s">
        <v>20</v>
      </c>
      <c r="G1211" s="8">
        <f>SUM(G1205:G1210)</f>
        <v>1312.52</v>
      </c>
      <c r="H1211" s="8">
        <f>SUM(H1205:H1210)</f>
        <v>1312.52</v>
      </c>
      <c r="I1211" s="8">
        <f>G1211-H1211</f>
        <v>0</v>
      </c>
    </row>
    <row r="1212" spans="1:10" hidden="1" x14ac:dyDescent="0.25"/>
    <row r="1213" spans="1:10" hidden="1" x14ac:dyDescent="0.25">
      <c r="A1213" s="5">
        <v>4000692</v>
      </c>
      <c r="B1213" s="6" t="s">
        <v>1020</v>
      </c>
      <c r="C1213" s="7"/>
      <c r="D1213" s="7"/>
      <c r="E1213" s="7"/>
      <c r="F1213" s="7"/>
      <c r="G1213" s="7"/>
      <c r="H1213" s="7"/>
      <c r="I1213" s="7"/>
      <c r="J1213" s="7"/>
    </row>
    <row r="1214" spans="1:10" hidden="1" x14ac:dyDescent="0.25">
      <c r="C1214" s="9"/>
      <c r="D1214" s="10">
        <v>45604</v>
      </c>
      <c r="E1214" t="s">
        <v>8312</v>
      </c>
      <c r="F1214" s="11" t="s">
        <v>1021</v>
      </c>
      <c r="G1214" s="8">
        <v>0</v>
      </c>
      <c r="H1214" s="39">
        <v>621.53</v>
      </c>
      <c r="I1214" s="8">
        <f t="shared" ref="I1214:I1215" si="69">G1214-H1214+I1213</f>
        <v>-621.53</v>
      </c>
      <c r="J1214" s="12"/>
    </row>
    <row r="1215" spans="1:10" hidden="1" x14ac:dyDescent="0.25">
      <c r="C1215" s="9"/>
      <c r="D1215" s="10">
        <v>45639</v>
      </c>
      <c r="E1215" t="s">
        <v>8313</v>
      </c>
      <c r="F1215" s="11" t="s">
        <v>1023</v>
      </c>
      <c r="G1215" s="8">
        <v>0</v>
      </c>
      <c r="H1215" s="39">
        <v>472.51</v>
      </c>
      <c r="I1215" s="8">
        <f t="shared" si="69"/>
        <v>-1094.04</v>
      </c>
      <c r="J1215" s="12"/>
    </row>
    <row r="1216" spans="1:10" hidden="1" x14ac:dyDescent="0.25">
      <c r="E1216" s="4" t="s">
        <v>10</v>
      </c>
      <c r="G1216" s="8">
        <v>0</v>
      </c>
      <c r="H1216" s="8">
        <v>1094.04</v>
      </c>
      <c r="I1216" s="8">
        <f>G1216-H1216</f>
        <v>-1094.04</v>
      </c>
    </row>
    <row r="1217" spans="1:10" hidden="1" x14ac:dyDescent="0.25">
      <c r="C1217" s="9"/>
      <c r="D1217" s="10">
        <v>45672</v>
      </c>
      <c r="E1217" t="s">
        <v>11</v>
      </c>
      <c r="F1217" s="11" t="s">
        <v>1021</v>
      </c>
      <c r="G1217" s="39">
        <v>621.53</v>
      </c>
      <c r="H1217" s="39">
        <v>0</v>
      </c>
      <c r="I1217" s="8">
        <f>G1217-H1217+I1216</f>
        <v>-472.51</v>
      </c>
      <c r="J1217" s="12"/>
    </row>
    <row r="1218" spans="1:10" hidden="1" x14ac:dyDescent="0.25">
      <c r="C1218" s="9"/>
      <c r="D1218" s="10">
        <v>45672</v>
      </c>
      <c r="E1218" t="s">
        <v>11</v>
      </c>
      <c r="F1218" s="11" t="s">
        <v>1021</v>
      </c>
      <c r="G1218" s="39">
        <v>0</v>
      </c>
      <c r="H1218" s="39">
        <v>621.53</v>
      </c>
      <c r="I1218" s="8">
        <f>G1218-H1218+I1217</f>
        <v>-1094.04</v>
      </c>
      <c r="J1218" s="12"/>
    </row>
    <row r="1219" spans="1:10" hidden="1" x14ac:dyDescent="0.25">
      <c r="C1219" s="9"/>
      <c r="D1219" s="10">
        <v>45694</v>
      </c>
      <c r="E1219" t="s">
        <v>1022</v>
      </c>
      <c r="F1219" s="11" t="s">
        <v>42</v>
      </c>
      <c r="G1219" s="8">
        <v>621.53</v>
      </c>
      <c r="H1219" s="8">
        <v>0</v>
      </c>
      <c r="I1219" s="8">
        <f>G1219-H1219+I1218</f>
        <v>-472.51</v>
      </c>
      <c r="J1219" s="12"/>
    </row>
    <row r="1220" spans="1:10" hidden="1" x14ac:dyDescent="0.25">
      <c r="C1220" s="9"/>
      <c r="D1220" s="10">
        <v>45705</v>
      </c>
      <c r="E1220" t="s">
        <v>11</v>
      </c>
      <c r="F1220" s="11" t="s">
        <v>1023</v>
      </c>
      <c r="G1220" s="39">
        <v>472.51</v>
      </c>
      <c r="H1220" s="8">
        <v>0</v>
      </c>
      <c r="I1220" s="8">
        <f>G1220-H1220+I1219</f>
        <v>0</v>
      </c>
      <c r="J1220" s="12"/>
    </row>
    <row r="1221" spans="1:10" hidden="1" x14ac:dyDescent="0.25">
      <c r="E1221" s="4" t="s">
        <v>20</v>
      </c>
      <c r="G1221" s="8">
        <f>SUM(G1216:G1220)</f>
        <v>1715.57</v>
      </c>
      <c r="H1221" s="8">
        <f>SUM(H1216:H1220)</f>
        <v>1715.57</v>
      </c>
      <c r="I1221" s="8">
        <f>G1221-H1221</f>
        <v>0</v>
      </c>
    </row>
    <row r="1222" spans="1:10" hidden="1" x14ac:dyDescent="0.25"/>
    <row r="1223" spans="1:10" x14ac:dyDescent="0.25">
      <c r="A1223" s="5">
        <v>4000700</v>
      </c>
      <c r="B1223" s="6" t="s">
        <v>1024</v>
      </c>
      <c r="C1223" s="7"/>
      <c r="D1223" s="7"/>
      <c r="E1223" s="7"/>
      <c r="F1223" s="7"/>
      <c r="G1223" s="7"/>
      <c r="H1223" s="7"/>
      <c r="I1223" s="7"/>
      <c r="J1223" s="7"/>
    </row>
    <row r="1224" spans="1:10" x14ac:dyDescent="0.25">
      <c r="C1224" s="9"/>
      <c r="D1224" s="52">
        <v>45511</v>
      </c>
      <c r="E1224" s="53" t="s">
        <v>8242</v>
      </c>
      <c r="F1224" s="54" t="s">
        <v>42</v>
      </c>
      <c r="G1224" s="55">
        <v>0</v>
      </c>
      <c r="H1224" s="55">
        <v>497.68</v>
      </c>
      <c r="I1224" s="55">
        <f t="shared" ref="I1224" si="70">G1224-H1224+I1223</f>
        <v>-497.68</v>
      </c>
      <c r="J1224" s="32" t="s">
        <v>8249</v>
      </c>
    </row>
    <row r="1225" spans="1:10" hidden="1" x14ac:dyDescent="0.25">
      <c r="E1225" s="4" t="s">
        <v>10</v>
      </c>
      <c r="G1225" s="8">
        <v>0</v>
      </c>
      <c r="H1225" s="8">
        <v>497.68</v>
      </c>
      <c r="I1225" s="8">
        <f>G1225-H1225</f>
        <v>-497.68</v>
      </c>
    </row>
    <row r="1226" spans="1:10" x14ac:dyDescent="0.25">
      <c r="C1226" s="9"/>
      <c r="D1226" s="10">
        <v>45727</v>
      </c>
      <c r="E1226" t="s">
        <v>1025</v>
      </c>
      <c r="F1226" s="11" t="s">
        <v>1026</v>
      </c>
      <c r="G1226" s="8">
        <v>0</v>
      </c>
      <c r="H1226" s="8">
        <v>396</v>
      </c>
      <c r="I1226" s="8">
        <f>G1226-H1226+I1225</f>
        <v>-893.68000000000006</v>
      </c>
      <c r="J1226" s="32" t="s">
        <v>8147</v>
      </c>
    </row>
    <row r="1227" spans="1:10" hidden="1" x14ac:dyDescent="0.25">
      <c r="E1227" s="4" t="s">
        <v>20</v>
      </c>
      <c r="G1227" s="8">
        <f>SUM(G1225:G1226)</f>
        <v>0</v>
      </c>
      <c r="H1227" s="8">
        <f>SUM(H1225:H1226)</f>
        <v>893.68000000000006</v>
      </c>
      <c r="I1227" s="8">
        <f>G1227-H1227</f>
        <v>-893.68000000000006</v>
      </c>
    </row>
    <row r="1229" spans="1:10" hidden="1" x14ac:dyDescent="0.25">
      <c r="A1229" s="5">
        <v>4000701</v>
      </c>
      <c r="B1229" s="6" t="s">
        <v>1027</v>
      </c>
      <c r="C1229" s="7"/>
      <c r="D1229" s="7"/>
      <c r="E1229" s="7"/>
      <c r="F1229" s="7"/>
      <c r="G1229" s="7"/>
      <c r="H1229" s="7"/>
      <c r="I1229" s="7"/>
      <c r="J1229" s="7"/>
    </row>
    <row r="1230" spans="1:10" hidden="1" x14ac:dyDescent="0.25">
      <c r="E1230" s="4" t="s">
        <v>10</v>
      </c>
      <c r="G1230" s="8">
        <v>0</v>
      </c>
      <c r="H1230" s="55">
        <v>177.27</v>
      </c>
      <c r="I1230" s="8">
        <f>G1230-H1230</f>
        <v>-177.27</v>
      </c>
    </row>
    <row r="1231" spans="1:10" hidden="1" x14ac:dyDescent="0.25">
      <c r="C1231" s="9"/>
      <c r="D1231" s="10">
        <v>45672</v>
      </c>
      <c r="E1231" t="s">
        <v>1028</v>
      </c>
      <c r="F1231" s="11" t="s">
        <v>1029</v>
      </c>
      <c r="G1231" s="8">
        <v>0</v>
      </c>
      <c r="H1231" s="55">
        <v>138.55000000000001</v>
      </c>
      <c r="I1231" s="8">
        <f t="shared" ref="I1231:I1240" si="71">G1231-H1231+I1230</f>
        <v>-315.82000000000005</v>
      </c>
      <c r="J1231" s="12"/>
    </row>
    <row r="1232" spans="1:10" hidden="1" x14ac:dyDescent="0.25">
      <c r="C1232" s="9"/>
      <c r="D1232" s="10">
        <v>45672</v>
      </c>
      <c r="E1232" t="s">
        <v>11</v>
      </c>
      <c r="F1232" s="11" t="s">
        <v>1030</v>
      </c>
      <c r="G1232" s="55">
        <v>177.27</v>
      </c>
      <c r="H1232" s="8">
        <v>0</v>
      </c>
      <c r="I1232" s="8">
        <f t="shared" si="71"/>
        <v>-138.55000000000004</v>
      </c>
      <c r="J1232" s="12"/>
    </row>
    <row r="1233" spans="1:10" hidden="1" x14ac:dyDescent="0.25">
      <c r="C1233" s="9"/>
      <c r="D1233" s="10">
        <v>45687</v>
      </c>
      <c r="E1233" t="s">
        <v>1031</v>
      </c>
      <c r="F1233" s="11" t="s">
        <v>1032</v>
      </c>
      <c r="G1233" s="8">
        <v>0</v>
      </c>
      <c r="H1233" s="55">
        <v>271.25</v>
      </c>
      <c r="I1233" s="8">
        <f t="shared" si="71"/>
        <v>-409.80000000000007</v>
      </c>
      <c r="J1233" s="12"/>
    </row>
    <row r="1234" spans="1:10" hidden="1" x14ac:dyDescent="0.25">
      <c r="C1234" s="9"/>
      <c r="D1234" s="10">
        <v>45703</v>
      </c>
      <c r="E1234" t="s">
        <v>1033</v>
      </c>
      <c r="F1234" s="11" t="s">
        <v>1034</v>
      </c>
      <c r="G1234" s="8">
        <v>0</v>
      </c>
      <c r="H1234" s="55">
        <v>479.7</v>
      </c>
      <c r="I1234" s="8">
        <f t="shared" si="71"/>
        <v>-889.5</v>
      </c>
      <c r="J1234" s="12"/>
    </row>
    <row r="1235" spans="1:10" hidden="1" x14ac:dyDescent="0.25">
      <c r="C1235" s="9"/>
      <c r="D1235" s="10">
        <v>45705</v>
      </c>
      <c r="E1235" t="s">
        <v>11</v>
      </c>
      <c r="F1235" s="11" t="s">
        <v>1029</v>
      </c>
      <c r="G1235" s="55">
        <v>138.55000000000001</v>
      </c>
      <c r="H1235" s="8">
        <v>0</v>
      </c>
      <c r="I1235" s="8">
        <f t="shared" si="71"/>
        <v>-750.95</v>
      </c>
      <c r="J1235" s="12"/>
    </row>
    <row r="1236" spans="1:10" hidden="1" x14ac:dyDescent="0.25">
      <c r="C1236" s="9"/>
      <c r="D1236" s="10">
        <v>45716</v>
      </c>
      <c r="E1236" t="s">
        <v>1035</v>
      </c>
      <c r="F1236" s="11" t="s">
        <v>1036</v>
      </c>
      <c r="G1236" s="8">
        <v>0</v>
      </c>
      <c r="H1236" s="55">
        <v>111.93</v>
      </c>
      <c r="I1236" s="8">
        <f t="shared" si="71"/>
        <v>-862.88000000000011</v>
      </c>
      <c r="J1236" s="12"/>
    </row>
    <row r="1237" spans="1:10" hidden="1" x14ac:dyDescent="0.25">
      <c r="C1237" s="9"/>
      <c r="D1237" s="10">
        <v>45731</v>
      </c>
      <c r="E1237" t="s">
        <v>1037</v>
      </c>
      <c r="F1237" s="11" t="s">
        <v>1038</v>
      </c>
      <c r="G1237" s="8">
        <v>0</v>
      </c>
      <c r="H1237" s="55">
        <v>349.42</v>
      </c>
      <c r="I1237" s="8">
        <f t="shared" si="71"/>
        <v>-1212.3000000000002</v>
      </c>
      <c r="J1237" s="12"/>
    </row>
    <row r="1238" spans="1:10" hidden="1" x14ac:dyDescent="0.25">
      <c r="C1238" s="9"/>
      <c r="D1238" s="10">
        <v>45733</v>
      </c>
      <c r="E1238" t="s">
        <v>1039</v>
      </c>
      <c r="F1238" s="11" t="s">
        <v>42</v>
      </c>
      <c r="G1238" s="55">
        <v>750.95</v>
      </c>
      <c r="H1238" s="8">
        <v>0</v>
      </c>
      <c r="I1238" s="8">
        <f t="shared" si="71"/>
        <v>-461.35000000000014</v>
      </c>
      <c r="J1238" s="12"/>
    </row>
    <row r="1239" spans="1:10" hidden="1" x14ac:dyDescent="0.25">
      <c r="C1239" s="9"/>
      <c r="D1239" s="10">
        <v>45747</v>
      </c>
      <c r="E1239" t="s">
        <v>1040</v>
      </c>
      <c r="F1239" s="11" t="s">
        <v>1041</v>
      </c>
      <c r="G1239" s="8">
        <v>0</v>
      </c>
      <c r="H1239" s="8">
        <v>148.83000000000001</v>
      </c>
      <c r="I1239" s="8">
        <f t="shared" si="71"/>
        <v>-610.18000000000018</v>
      </c>
      <c r="J1239" s="12"/>
    </row>
    <row r="1240" spans="1:10" hidden="1" x14ac:dyDescent="0.25">
      <c r="C1240" s="9"/>
      <c r="D1240" s="10">
        <v>45762</v>
      </c>
      <c r="E1240" t="s">
        <v>1042</v>
      </c>
      <c r="F1240" s="11" t="s">
        <v>42</v>
      </c>
      <c r="G1240" s="55">
        <v>461.35</v>
      </c>
      <c r="H1240" s="8">
        <v>0</v>
      </c>
      <c r="I1240" s="8">
        <f t="shared" si="71"/>
        <v>-148.83000000000015</v>
      </c>
      <c r="J1240" s="12"/>
    </row>
    <row r="1241" spans="1:10" hidden="1" x14ac:dyDescent="0.25">
      <c r="E1241" s="4" t="s">
        <v>20</v>
      </c>
      <c r="G1241" s="8">
        <f>SUM(G1230:G1240)</f>
        <v>1528.12</v>
      </c>
      <c r="H1241" s="8">
        <f>SUM(H1230:H1240)</f>
        <v>1676.95</v>
      </c>
      <c r="I1241" s="8">
        <f>G1241-H1241</f>
        <v>-148.83000000000015</v>
      </c>
    </row>
    <row r="1242" spans="1:10" hidden="1" x14ac:dyDescent="0.25"/>
    <row r="1243" spans="1:10" hidden="1" x14ac:dyDescent="0.25">
      <c r="A1243" s="5">
        <v>4000704</v>
      </c>
      <c r="B1243" s="6" t="s">
        <v>1043</v>
      </c>
      <c r="C1243" s="7"/>
      <c r="D1243" s="7"/>
      <c r="E1243" s="7"/>
      <c r="F1243" s="7"/>
      <c r="G1243" s="7"/>
      <c r="H1243" s="7"/>
      <c r="I1243" s="7"/>
      <c r="J1243" s="7"/>
    </row>
    <row r="1244" spans="1:10" hidden="1" x14ac:dyDescent="0.25">
      <c r="C1244" s="9"/>
      <c r="D1244" s="52">
        <v>45590</v>
      </c>
      <c r="E1244" s="53" t="s">
        <v>8314</v>
      </c>
      <c r="F1244" s="54" t="s">
        <v>8315</v>
      </c>
      <c r="G1244" s="55">
        <v>0</v>
      </c>
      <c r="H1244" s="39">
        <v>347.44</v>
      </c>
      <c r="I1244" s="55">
        <f>I1243+G1244-H1244</f>
        <v>-347.44</v>
      </c>
      <c r="J1244" s="12"/>
    </row>
    <row r="1245" spans="1:10" hidden="1" x14ac:dyDescent="0.25">
      <c r="C1245" s="9"/>
      <c r="D1245" s="52">
        <v>45601</v>
      </c>
      <c r="E1245" s="53" t="s">
        <v>8242</v>
      </c>
      <c r="F1245" s="54" t="s">
        <v>42</v>
      </c>
      <c r="G1245" s="55">
        <v>0</v>
      </c>
      <c r="H1245" s="25">
        <v>1209.05</v>
      </c>
      <c r="I1245" s="55">
        <f t="shared" ref="I1245:I1249" si="72">I1244+G1245-H1245</f>
        <v>-1556.49</v>
      </c>
      <c r="J1245" s="70">
        <f>G1251-H1245</f>
        <v>0</v>
      </c>
    </row>
    <row r="1246" spans="1:10" hidden="1" x14ac:dyDescent="0.25">
      <c r="C1246" s="9"/>
      <c r="D1246" s="52">
        <v>45602</v>
      </c>
      <c r="E1246" s="53" t="s">
        <v>8316</v>
      </c>
      <c r="F1246" s="54" t="s">
        <v>8317</v>
      </c>
      <c r="G1246" s="55">
        <v>0</v>
      </c>
      <c r="H1246" s="39">
        <v>225.14</v>
      </c>
      <c r="I1246" s="55">
        <f t="shared" si="72"/>
        <v>-1781.63</v>
      </c>
      <c r="J1246" s="12"/>
    </row>
    <row r="1247" spans="1:10" hidden="1" x14ac:dyDescent="0.25">
      <c r="C1247" s="9"/>
      <c r="D1247" s="52">
        <v>45616</v>
      </c>
      <c r="E1247" s="53" t="s">
        <v>8318</v>
      </c>
      <c r="F1247" s="54" t="s">
        <v>8319</v>
      </c>
      <c r="G1247" s="55">
        <v>0</v>
      </c>
      <c r="H1247" s="39">
        <v>152.58000000000001</v>
      </c>
      <c r="I1247" s="55">
        <f t="shared" si="72"/>
        <v>-1934.21</v>
      </c>
      <c r="J1247" s="12"/>
    </row>
    <row r="1248" spans="1:10" hidden="1" x14ac:dyDescent="0.25">
      <c r="C1248" s="9"/>
      <c r="D1248" s="52">
        <v>45636</v>
      </c>
      <c r="E1248" s="53" t="s">
        <v>8320</v>
      </c>
      <c r="F1248" s="54" t="s">
        <v>8321</v>
      </c>
      <c r="G1248" s="55">
        <v>0</v>
      </c>
      <c r="H1248" s="39">
        <v>242.92</v>
      </c>
      <c r="I1248" s="55">
        <f t="shared" si="72"/>
        <v>-2177.13</v>
      </c>
      <c r="J1248" s="12"/>
    </row>
    <row r="1249" spans="3:10" hidden="1" x14ac:dyDescent="0.25">
      <c r="C1249" s="9"/>
      <c r="D1249" s="52">
        <v>45651</v>
      </c>
      <c r="E1249" s="53" t="s">
        <v>8322</v>
      </c>
      <c r="F1249" s="54" t="s">
        <v>1059</v>
      </c>
      <c r="G1249" s="55">
        <v>0</v>
      </c>
      <c r="H1249" s="39">
        <v>103.41</v>
      </c>
      <c r="I1249" s="55">
        <f t="shared" si="72"/>
        <v>-2280.54</v>
      </c>
      <c r="J1249" s="12"/>
    </row>
    <row r="1250" spans="3:10" hidden="1" x14ac:dyDescent="0.25">
      <c r="E1250" s="4" t="s">
        <v>10</v>
      </c>
      <c r="G1250" s="8">
        <v>0</v>
      </c>
      <c r="H1250" s="8">
        <v>2280.54</v>
      </c>
      <c r="I1250" s="8">
        <f>G1250-H1250</f>
        <v>-2280.54</v>
      </c>
    </row>
    <row r="1251" spans="3:10" hidden="1" x14ac:dyDescent="0.25">
      <c r="C1251" s="9"/>
      <c r="D1251" s="10">
        <v>45674</v>
      </c>
      <c r="E1251" t="s">
        <v>1044</v>
      </c>
      <c r="F1251" s="11" t="s">
        <v>42</v>
      </c>
      <c r="G1251" s="25">
        <v>1209.05</v>
      </c>
      <c r="H1251" s="8">
        <v>0</v>
      </c>
      <c r="I1251" s="8">
        <f t="shared" ref="I1251:I1262" si="73">G1251-H1251+I1250</f>
        <v>-1071.49</v>
      </c>
      <c r="J1251" s="12"/>
    </row>
    <row r="1252" spans="3:10" hidden="1" x14ac:dyDescent="0.25">
      <c r="C1252" s="9"/>
      <c r="D1252" s="10">
        <v>45677</v>
      </c>
      <c r="E1252" t="s">
        <v>1045</v>
      </c>
      <c r="F1252" s="11" t="s">
        <v>1046</v>
      </c>
      <c r="G1252" s="8">
        <v>0</v>
      </c>
      <c r="H1252" s="55">
        <v>1321.45</v>
      </c>
      <c r="I1252" s="8">
        <f t="shared" si="73"/>
        <v>-2392.94</v>
      </c>
      <c r="J1252" s="12"/>
    </row>
    <row r="1253" spans="3:10" hidden="1" x14ac:dyDescent="0.25">
      <c r="C1253" s="9"/>
      <c r="D1253" s="10">
        <v>45688</v>
      </c>
      <c r="E1253" t="s">
        <v>1047</v>
      </c>
      <c r="F1253" s="11" t="s">
        <v>1048</v>
      </c>
      <c r="G1253" s="8">
        <v>0</v>
      </c>
      <c r="H1253" s="55">
        <v>51.44</v>
      </c>
      <c r="I1253" s="8">
        <f t="shared" si="73"/>
        <v>-2444.38</v>
      </c>
      <c r="J1253" s="12"/>
    </row>
    <row r="1254" spans="3:10" hidden="1" x14ac:dyDescent="0.25">
      <c r="C1254" s="9"/>
      <c r="D1254" s="10">
        <v>45691</v>
      </c>
      <c r="E1254" t="s">
        <v>1049</v>
      </c>
      <c r="F1254" s="11" t="s">
        <v>1050</v>
      </c>
      <c r="G1254" s="8">
        <v>0</v>
      </c>
      <c r="H1254" s="55">
        <v>210.3</v>
      </c>
      <c r="I1254" s="8">
        <f t="shared" si="73"/>
        <v>-2654.6800000000003</v>
      </c>
      <c r="J1254" s="12"/>
    </row>
    <row r="1255" spans="3:10" hidden="1" x14ac:dyDescent="0.25">
      <c r="C1255" s="9"/>
      <c r="D1255" s="10">
        <v>45699</v>
      </c>
      <c r="E1255" t="s">
        <v>1051</v>
      </c>
      <c r="F1255" s="11" t="s">
        <v>42</v>
      </c>
      <c r="G1255" s="39">
        <v>572.58000000000004</v>
      </c>
      <c r="H1255" s="8">
        <v>0</v>
      </c>
      <c r="I1255" s="8">
        <f t="shared" si="73"/>
        <v>-2082.1000000000004</v>
      </c>
      <c r="J1255" s="12"/>
    </row>
    <row r="1256" spans="3:10" hidden="1" x14ac:dyDescent="0.25">
      <c r="C1256" s="9"/>
      <c r="D1256" s="10">
        <v>45705</v>
      </c>
      <c r="E1256" t="s">
        <v>1052</v>
      </c>
      <c r="F1256" s="11" t="s">
        <v>42</v>
      </c>
      <c r="G1256" s="39">
        <v>395.5</v>
      </c>
      <c r="H1256" s="8">
        <v>0</v>
      </c>
      <c r="I1256" s="8">
        <f t="shared" si="73"/>
        <v>-1686.6000000000004</v>
      </c>
      <c r="J1256" s="12"/>
    </row>
    <row r="1257" spans="3:10" hidden="1" x14ac:dyDescent="0.25">
      <c r="C1257" s="9"/>
      <c r="D1257" s="10">
        <v>45713</v>
      </c>
      <c r="E1257" t="s">
        <v>1053</v>
      </c>
      <c r="F1257" s="11" t="s">
        <v>1054</v>
      </c>
      <c r="G1257" s="8">
        <v>0</v>
      </c>
      <c r="H1257" s="8">
        <v>94.16</v>
      </c>
      <c r="I1257" s="8">
        <f t="shared" si="73"/>
        <v>-1780.7600000000004</v>
      </c>
      <c r="J1257" s="63">
        <v>45823</v>
      </c>
    </row>
    <row r="1258" spans="3:10" hidden="1" x14ac:dyDescent="0.25">
      <c r="C1258" s="9"/>
      <c r="D1258" s="10">
        <v>45716</v>
      </c>
      <c r="E1258" t="s">
        <v>1055</v>
      </c>
      <c r="F1258" s="11" t="s">
        <v>1056</v>
      </c>
      <c r="G1258" s="8">
        <v>0</v>
      </c>
      <c r="H1258" s="8">
        <v>144.79</v>
      </c>
      <c r="I1258" s="8">
        <f t="shared" si="73"/>
        <v>-1925.5500000000004</v>
      </c>
      <c r="J1258" s="12"/>
    </row>
    <row r="1259" spans="3:10" hidden="1" x14ac:dyDescent="0.25">
      <c r="C1259" s="9"/>
      <c r="D1259" s="10">
        <v>45726</v>
      </c>
      <c r="E1259" t="s">
        <v>1057</v>
      </c>
      <c r="F1259" s="11" t="s">
        <v>1058</v>
      </c>
      <c r="G1259" s="8">
        <v>0</v>
      </c>
      <c r="H1259" s="8">
        <v>132.63</v>
      </c>
      <c r="I1259" s="8">
        <f t="shared" si="73"/>
        <v>-2058.1800000000003</v>
      </c>
      <c r="J1259" s="12"/>
    </row>
    <row r="1260" spans="3:10" hidden="1" x14ac:dyDescent="0.25">
      <c r="C1260" s="9"/>
      <c r="D1260" s="10">
        <v>45733</v>
      </c>
      <c r="E1260" t="s">
        <v>11</v>
      </c>
      <c r="F1260" s="11" t="s">
        <v>1059</v>
      </c>
      <c r="G1260" s="39">
        <v>103.41</v>
      </c>
      <c r="H1260" s="8">
        <v>0</v>
      </c>
      <c r="I1260" s="8">
        <f t="shared" si="73"/>
        <v>-1954.7700000000002</v>
      </c>
      <c r="J1260" s="12"/>
    </row>
    <row r="1261" spans="3:10" hidden="1" x14ac:dyDescent="0.25">
      <c r="C1261" s="9"/>
      <c r="D1261" s="10">
        <v>45743</v>
      </c>
      <c r="E1261" t="s">
        <v>1060</v>
      </c>
      <c r="F1261" s="11" t="s">
        <v>1061</v>
      </c>
      <c r="G1261" s="8">
        <v>0</v>
      </c>
      <c r="H1261" s="8">
        <v>224.53</v>
      </c>
      <c r="I1261" s="8">
        <f t="shared" si="73"/>
        <v>-2179.3000000000002</v>
      </c>
      <c r="J1261" s="12"/>
    </row>
    <row r="1262" spans="3:10" hidden="1" x14ac:dyDescent="0.25">
      <c r="C1262" s="9"/>
      <c r="D1262" s="10">
        <v>45762</v>
      </c>
      <c r="E1262" t="s">
        <v>1062</v>
      </c>
      <c r="F1262" s="11" t="s">
        <v>42</v>
      </c>
      <c r="G1262" s="55">
        <v>1583.19</v>
      </c>
      <c r="H1262" s="8">
        <v>0</v>
      </c>
      <c r="I1262" s="8">
        <f t="shared" si="73"/>
        <v>-596.11000000000013</v>
      </c>
      <c r="J1262" s="12"/>
    </row>
    <row r="1263" spans="3:10" hidden="1" x14ac:dyDescent="0.25">
      <c r="E1263" s="4" t="s">
        <v>20</v>
      </c>
      <c r="G1263" s="8">
        <f>SUM(G1250:G1262)</f>
        <v>3863.73</v>
      </c>
      <c r="H1263" s="8">
        <f>SUM(H1250:H1262)</f>
        <v>4459.84</v>
      </c>
      <c r="I1263" s="8">
        <f>G1263-H1263</f>
        <v>-596.11000000000013</v>
      </c>
    </row>
    <row r="1264" spans="3:10" hidden="1" x14ac:dyDescent="0.25"/>
    <row r="1265" spans="1:11" x14ac:dyDescent="0.25">
      <c r="A1265" s="5">
        <v>4000714</v>
      </c>
      <c r="B1265" s="6" t="s">
        <v>1063</v>
      </c>
      <c r="C1265" s="7"/>
      <c r="D1265" s="7"/>
      <c r="E1265" s="7"/>
      <c r="F1265" s="7"/>
      <c r="G1265" s="7"/>
      <c r="H1265" s="7"/>
      <c r="I1265" s="7"/>
      <c r="J1265" s="7"/>
    </row>
    <row r="1266" spans="1:11" hidden="1" x14ac:dyDescent="0.25">
      <c r="E1266" s="4" t="s">
        <v>10</v>
      </c>
      <c r="G1266" s="8">
        <v>0</v>
      </c>
      <c r="H1266" s="33">
        <v>3842.1</v>
      </c>
      <c r="I1266" s="8">
        <f>G1266-H1266</f>
        <v>-3842.1</v>
      </c>
      <c r="J1266" s="75">
        <f>G1268+G1272+G1274+G1275+G1278-H1266</f>
        <v>0</v>
      </c>
    </row>
    <row r="1267" spans="1:11" hidden="1" x14ac:dyDescent="0.25">
      <c r="C1267" s="9"/>
      <c r="D1267" s="10">
        <v>45672</v>
      </c>
      <c r="E1267" t="s">
        <v>1064</v>
      </c>
      <c r="F1267" s="11" t="s">
        <v>1065</v>
      </c>
      <c r="G1267" s="8">
        <v>0</v>
      </c>
      <c r="H1267" s="8">
        <v>1407.35</v>
      </c>
      <c r="I1267" s="8">
        <f t="shared" ref="I1267:I1280" si="74">G1267-H1267+I1266</f>
        <v>-5249.45</v>
      </c>
      <c r="J1267" s="12"/>
    </row>
    <row r="1268" spans="1:11" hidden="1" x14ac:dyDescent="0.25">
      <c r="C1268" s="9"/>
      <c r="D1268" s="10">
        <v>45672</v>
      </c>
      <c r="E1268" t="s">
        <v>11</v>
      </c>
      <c r="F1268" s="11" t="s">
        <v>1066</v>
      </c>
      <c r="G1268" s="33">
        <v>142.24</v>
      </c>
      <c r="H1268" s="8">
        <v>0</v>
      </c>
      <c r="I1268" s="8">
        <f t="shared" si="74"/>
        <v>-5107.21</v>
      </c>
      <c r="J1268" s="12"/>
    </row>
    <row r="1269" spans="1:11" hidden="1" x14ac:dyDescent="0.25">
      <c r="C1269" s="9"/>
      <c r="D1269" s="10">
        <v>45672</v>
      </c>
      <c r="E1269" t="s">
        <v>11</v>
      </c>
      <c r="F1269" s="11" t="s">
        <v>1067</v>
      </c>
      <c r="G1269" s="25">
        <v>1407.35</v>
      </c>
      <c r="H1269" s="25">
        <v>0</v>
      </c>
      <c r="I1269" s="8">
        <f t="shared" si="74"/>
        <v>-3699.86</v>
      </c>
      <c r="J1269" s="12"/>
    </row>
    <row r="1270" spans="1:11" x14ac:dyDescent="0.25">
      <c r="C1270" s="9"/>
      <c r="D1270" s="10">
        <v>45672</v>
      </c>
      <c r="E1270" t="s">
        <v>11</v>
      </c>
      <c r="F1270" s="11" t="s">
        <v>1067</v>
      </c>
      <c r="G1270" s="8">
        <v>0</v>
      </c>
      <c r="H1270" s="8">
        <v>1427.99</v>
      </c>
      <c r="I1270" s="8">
        <f t="shared" si="74"/>
        <v>-5127.8500000000004</v>
      </c>
      <c r="J1270" s="32" t="s">
        <v>8249</v>
      </c>
      <c r="K1270" s="62"/>
    </row>
    <row r="1271" spans="1:11" hidden="1" x14ac:dyDescent="0.25">
      <c r="C1271" s="9"/>
      <c r="D1271" s="10">
        <v>45687</v>
      </c>
      <c r="E1271" t="s">
        <v>1068</v>
      </c>
      <c r="F1271" s="11" t="s">
        <v>1069</v>
      </c>
      <c r="G1271" s="8">
        <v>0</v>
      </c>
      <c r="H1271" s="25">
        <v>313.23</v>
      </c>
      <c r="I1271" s="8">
        <f t="shared" si="74"/>
        <v>-5441.08</v>
      </c>
      <c r="J1271" s="12"/>
    </row>
    <row r="1272" spans="1:11" hidden="1" x14ac:dyDescent="0.25">
      <c r="C1272" s="9"/>
      <c r="D1272" s="10">
        <v>45691</v>
      </c>
      <c r="E1272" t="s">
        <v>11</v>
      </c>
      <c r="F1272" s="11" t="s">
        <v>1067</v>
      </c>
      <c r="G1272" s="33">
        <v>1428.17</v>
      </c>
      <c r="H1272" s="8">
        <v>0</v>
      </c>
      <c r="I1272" s="8">
        <f t="shared" si="74"/>
        <v>-4012.91</v>
      </c>
      <c r="J1272" s="12"/>
    </row>
    <row r="1273" spans="1:11" hidden="1" x14ac:dyDescent="0.25">
      <c r="C1273" s="9"/>
      <c r="D1273" s="10">
        <v>45703</v>
      </c>
      <c r="E1273" t="s">
        <v>1070</v>
      </c>
      <c r="F1273" s="11" t="s">
        <v>1071</v>
      </c>
      <c r="G1273" s="8">
        <v>0</v>
      </c>
      <c r="H1273" s="8">
        <v>1957.03</v>
      </c>
      <c r="I1273" s="8">
        <f t="shared" si="74"/>
        <v>-5969.94</v>
      </c>
      <c r="J1273" s="63">
        <v>45792</v>
      </c>
    </row>
    <row r="1274" spans="1:11" hidden="1" x14ac:dyDescent="0.25">
      <c r="C1274" s="9"/>
      <c r="D1274" s="10">
        <v>45705</v>
      </c>
      <c r="E1274" t="s">
        <v>11</v>
      </c>
      <c r="F1274" s="11" t="s">
        <v>1072</v>
      </c>
      <c r="G1274" s="33">
        <v>415.32</v>
      </c>
      <c r="H1274" s="8">
        <v>0</v>
      </c>
      <c r="I1274" s="8">
        <f t="shared" si="74"/>
        <v>-5554.62</v>
      </c>
      <c r="J1274" s="12"/>
    </row>
    <row r="1275" spans="1:11" hidden="1" x14ac:dyDescent="0.25">
      <c r="C1275" s="9"/>
      <c r="D1275" s="10">
        <v>45705</v>
      </c>
      <c r="E1275" t="s">
        <v>11</v>
      </c>
      <c r="F1275" s="11" t="s">
        <v>1073</v>
      </c>
      <c r="G1275" s="33">
        <v>1067.01</v>
      </c>
      <c r="H1275" s="8">
        <v>0</v>
      </c>
      <c r="I1275" s="8">
        <f t="shared" si="74"/>
        <v>-4487.6099999999997</v>
      </c>
      <c r="J1275" s="12"/>
    </row>
    <row r="1276" spans="1:11" hidden="1" x14ac:dyDescent="0.25">
      <c r="C1276" s="9"/>
      <c r="D1276" s="10">
        <v>45716</v>
      </c>
      <c r="E1276" t="s">
        <v>1074</v>
      </c>
      <c r="F1276" s="11" t="s">
        <v>1075</v>
      </c>
      <c r="G1276" s="8">
        <v>0</v>
      </c>
      <c r="H1276" s="8">
        <v>425.5</v>
      </c>
      <c r="I1276" s="8">
        <f t="shared" si="74"/>
        <v>-4913.1099999999997</v>
      </c>
      <c r="J1276" s="12"/>
    </row>
    <row r="1277" spans="1:11" hidden="1" x14ac:dyDescent="0.25">
      <c r="C1277" s="9"/>
      <c r="D1277" s="10">
        <v>45731</v>
      </c>
      <c r="E1277" t="s">
        <v>1076</v>
      </c>
      <c r="F1277" s="11" t="s">
        <v>1077</v>
      </c>
      <c r="G1277" s="8">
        <v>0</v>
      </c>
      <c r="H1277" s="8">
        <v>764.18</v>
      </c>
      <c r="I1277" s="8">
        <f t="shared" si="74"/>
        <v>-5677.29</v>
      </c>
      <c r="J1277" s="12"/>
    </row>
    <row r="1278" spans="1:11" hidden="1" x14ac:dyDescent="0.25">
      <c r="C1278" s="9"/>
      <c r="D1278" s="10">
        <v>45733</v>
      </c>
      <c r="E1278" t="s">
        <v>11</v>
      </c>
      <c r="F1278" s="11" t="s">
        <v>1078</v>
      </c>
      <c r="G1278" s="33">
        <v>789.36</v>
      </c>
      <c r="H1278" s="8">
        <v>0</v>
      </c>
      <c r="I1278" s="8">
        <f t="shared" si="74"/>
        <v>-4887.93</v>
      </c>
      <c r="J1278" s="12"/>
    </row>
    <row r="1279" spans="1:11" hidden="1" x14ac:dyDescent="0.25">
      <c r="C1279" s="9"/>
      <c r="D1279" s="10">
        <v>45746</v>
      </c>
      <c r="E1279" t="s">
        <v>1079</v>
      </c>
      <c r="F1279" s="11" t="s">
        <v>1080</v>
      </c>
      <c r="G1279" s="8">
        <v>0</v>
      </c>
      <c r="H1279" s="8">
        <v>598.04</v>
      </c>
      <c r="I1279" s="8">
        <f t="shared" si="74"/>
        <v>-5485.97</v>
      </c>
      <c r="J1279" s="12"/>
    </row>
    <row r="1280" spans="1:11" hidden="1" x14ac:dyDescent="0.25">
      <c r="C1280" s="9"/>
      <c r="D1280" s="10">
        <v>45762</v>
      </c>
      <c r="E1280" t="s">
        <v>1081</v>
      </c>
      <c r="F1280" s="11" t="s">
        <v>42</v>
      </c>
      <c r="G1280" s="25">
        <v>313.23</v>
      </c>
      <c r="H1280" s="8">
        <v>0</v>
      </c>
      <c r="I1280" s="8">
        <f t="shared" si="74"/>
        <v>-5172.74</v>
      </c>
      <c r="J1280" s="12"/>
    </row>
    <row r="1281" spans="1:10" hidden="1" x14ac:dyDescent="0.25">
      <c r="E1281" s="4" t="s">
        <v>20</v>
      </c>
      <c r="G1281" s="8">
        <f>SUM(G1266:G1280)</f>
        <v>5562.68</v>
      </c>
      <c r="H1281" s="8">
        <f>SUM(H1266:H1280)</f>
        <v>10735.420000000002</v>
      </c>
      <c r="I1281" s="8">
        <f>G1281-H1281</f>
        <v>-5172.7400000000016</v>
      </c>
    </row>
    <row r="1283" spans="1:10" hidden="1" x14ac:dyDescent="0.25">
      <c r="A1283" s="5">
        <v>4000718</v>
      </c>
      <c r="B1283" s="6" t="s">
        <v>1082</v>
      </c>
      <c r="C1283" s="7"/>
      <c r="D1283" s="7"/>
      <c r="E1283" s="7"/>
      <c r="F1283" s="7"/>
      <c r="G1283" s="7"/>
      <c r="H1283" s="7"/>
      <c r="I1283" s="7"/>
      <c r="J1283" s="7"/>
    </row>
    <row r="1284" spans="1:10" hidden="1" x14ac:dyDescent="0.25">
      <c r="C1284" s="9"/>
      <c r="D1284" s="10">
        <v>45716</v>
      </c>
      <c r="E1284" t="s">
        <v>1083</v>
      </c>
      <c r="F1284" s="11" t="s">
        <v>1084</v>
      </c>
      <c r="G1284" s="8">
        <v>0</v>
      </c>
      <c r="H1284" s="8">
        <v>1003.19</v>
      </c>
      <c r="I1284" s="8">
        <f>G1284-H1284</f>
        <v>-1003.19</v>
      </c>
      <c r="J1284" s="63">
        <v>45792</v>
      </c>
    </row>
    <row r="1285" spans="1:10" hidden="1" x14ac:dyDescent="0.25">
      <c r="E1285" s="4" t="s">
        <v>20</v>
      </c>
      <c r="G1285" s="8">
        <f>G1284</f>
        <v>0</v>
      </c>
      <c r="H1285" s="8">
        <f>H1284</f>
        <v>1003.19</v>
      </c>
      <c r="I1285" s="8">
        <f>G1285-H1285</f>
        <v>-1003.19</v>
      </c>
    </row>
    <row r="1286" spans="1:10" hidden="1" x14ac:dyDescent="0.25"/>
    <row r="1287" spans="1:10" hidden="1" x14ac:dyDescent="0.25">
      <c r="A1287" s="5">
        <v>4000728</v>
      </c>
      <c r="B1287" s="6" t="s">
        <v>1085</v>
      </c>
      <c r="C1287" s="7"/>
      <c r="D1287" s="7"/>
      <c r="E1287" s="7"/>
      <c r="F1287" s="7"/>
      <c r="G1287" s="7"/>
      <c r="H1287" s="7"/>
      <c r="I1287" s="7"/>
      <c r="J1287" s="7"/>
    </row>
    <row r="1288" spans="1:10" hidden="1" x14ac:dyDescent="0.25">
      <c r="C1288" s="9"/>
      <c r="D1288" s="35">
        <v>45595</v>
      </c>
      <c r="E1288" s="36" t="s">
        <v>8323</v>
      </c>
      <c r="F1288" s="37" t="s">
        <v>8324</v>
      </c>
      <c r="G1288" s="38">
        <v>0</v>
      </c>
      <c r="H1288" s="39">
        <v>501.55</v>
      </c>
      <c r="I1288" s="38">
        <v>-537.01000000000022</v>
      </c>
      <c r="J1288" s="12"/>
    </row>
    <row r="1289" spans="1:10" hidden="1" x14ac:dyDescent="0.25">
      <c r="C1289" s="9"/>
      <c r="D1289" s="35">
        <v>45595</v>
      </c>
      <c r="E1289" s="36" t="s">
        <v>8325</v>
      </c>
      <c r="F1289" s="37" t="s">
        <v>8326</v>
      </c>
      <c r="G1289" s="38">
        <v>0</v>
      </c>
      <c r="H1289" s="39">
        <v>81.05</v>
      </c>
      <c r="I1289" s="38">
        <v>-618.06000000000017</v>
      </c>
      <c r="J1289" s="12"/>
    </row>
    <row r="1290" spans="1:10" hidden="1" x14ac:dyDescent="0.25">
      <c r="C1290" s="9"/>
      <c r="D1290" s="35">
        <v>45625</v>
      </c>
      <c r="E1290" s="36" t="s">
        <v>8327</v>
      </c>
      <c r="F1290" s="37" t="s">
        <v>1090</v>
      </c>
      <c r="G1290" s="38">
        <v>0</v>
      </c>
      <c r="H1290" s="39">
        <v>171.12</v>
      </c>
      <c r="I1290" s="38">
        <v>-766.21000000000015</v>
      </c>
      <c r="J1290" s="12"/>
    </row>
    <row r="1291" spans="1:10" hidden="1" x14ac:dyDescent="0.25">
      <c r="E1291" s="4" t="s">
        <v>10</v>
      </c>
      <c r="G1291" s="8">
        <v>0</v>
      </c>
      <c r="H1291" s="8">
        <v>753.72</v>
      </c>
      <c r="I1291" s="8">
        <f>G1291-H1291</f>
        <v>-753.72</v>
      </c>
    </row>
    <row r="1292" spans="1:10" hidden="1" x14ac:dyDescent="0.25">
      <c r="C1292" s="9"/>
      <c r="D1292" s="10">
        <v>45672</v>
      </c>
      <c r="E1292" t="s">
        <v>1086</v>
      </c>
      <c r="F1292" s="11" t="s">
        <v>42</v>
      </c>
      <c r="G1292" s="39">
        <v>582.6</v>
      </c>
      <c r="H1292" s="8">
        <v>0</v>
      </c>
      <c r="I1292" s="8">
        <f t="shared" ref="I1292:I1298" si="75">G1292-H1292+I1291</f>
        <v>-171.12</v>
      </c>
      <c r="J1292" s="12"/>
    </row>
    <row r="1293" spans="1:10" hidden="1" x14ac:dyDescent="0.25">
      <c r="C1293" s="9"/>
      <c r="D1293" s="10">
        <v>45672</v>
      </c>
      <c r="E1293" t="s">
        <v>1086</v>
      </c>
      <c r="F1293" s="11" t="s">
        <v>42</v>
      </c>
      <c r="G1293" s="8">
        <v>0</v>
      </c>
      <c r="H1293" s="39">
        <v>582.6</v>
      </c>
      <c r="I1293" s="8">
        <f t="shared" si="75"/>
        <v>-753.72</v>
      </c>
      <c r="J1293" s="12"/>
    </row>
    <row r="1294" spans="1:10" hidden="1" x14ac:dyDescent="0.25">
      <c r="C1294" s="9"/>
      <c r="D1294" s="10">
        <v>45688</v>
      </c>
      <c r="E1294" t="s">
        <v>1087</v>
      </c>
      <c r="F1294" s="11" t="s">
        <v>1088</v>
      </c>
      <c r="G1294" s="8">
        <v>0</v>
      </c>
      <c r="H1294" s="8">
        <v>130.16999999999999</v>
      </c>
      <c r="I1294" s="8">
        <f t="shared" si="75"/>
        <v>-883.89</v>
      </c>
      <c r="J1294" s="63">
        <v>45762</v>
      </c>
    </row>
    <row r="1295" spans="1:10" hidden="1" x14ac:dyDescent="0.25">
      <c r="C1295" s="9"/>
      <c r="D1295" s="10">
        <v>45700</v>
      </c>
      <c r="E1295" t="s">
        <v>1089</v>
      </c>
      <c r="F1295" s="11" t="s">
        <v>42</v>
      </c>
      <c r="G1295" s="39">
        <v>582.6</v>
      </c>
      <c r="H1295" s="8">
        <v>0</v>
      </c>
      <c r="I1295" s="8">
        <f t="shared" si="75"/>
        <v>-301.28999999999996</v>
      </c>
      <c r="J1295" s="12"/>
    </row>
    <row r="1296" spans="1:10" hidden="1" x14ac:dyDescent="0.25">
      <c r="C1296" s="9"/>
      <c r="D1296" s="10">
        <v>45705</v>
      </c>
      <c r="E1296" t="s">
        <v>11</v>
      </c>
      <c r="F1296" s="11" t="s">
        <v>1090</v>
      </c>
      <c r="G1296" s="39">
        <v>171.12</v>
      </c>
      <c r="H1296" s="8">
        <v>0</v>
      </c>
      <c r="I1296" s="8">
        <f t="shared" si="75"/>
        <v>-130.16999999999996</v>
      </c>
      <c r="J1296" s="12"/>
    </row>
    <row r="1297" spans="1:10" hidden="1" x14ac:dyDescent="0.25">
      <c r="C1297" s="9"/>
      <c r="D1297" s="10">
        <v>45716</v>
      </c>
      <c r="E1297" t="s">
        <v>1091</v>
      </c>
      <c r="F1297" s="11" t="s">
        <v>1092</v>
      </c>
      <c r="G1297" s="8">
        <v>0</v>
      </c>
      <c r="H1297" s="8">
        <v>285.77999999999997</v>
      </c>
      <c r="I1297" s="8">
        <f t="shared" si="75"/>
        <v>-415.94999999999993</v>
      </c>
      <c r="J1297" s="63">
        <v>45792</v>
      </c>
    </row>
    <row r="1298" spans="1:10" hidden="1" x14ac:dyDescent="0.25">
      <c r="C1298" s="9"/>
      <c r="D1298" s="10">
        <v>45747</v>
      </c>
      <c r="E1298" t="s">
        <v>1093</v>
      </c>
      <c r="F1298" s="11" t="s">
        <v>1094</v>
      </c>
      <c r="G1298" s="8">
        <v>0</v>
      </c>
      <c r="H1298" s="8">
        <v>185.86</v>
      </c>
      <c r="I1298" s="8">
        <f t="shared" si="75"/>
        <v>-601.80999999999995</v>
      </c>
      <c r="J1298" s="12"/>
    </row>
    <row r="1299" spans="1:10" hidden="1" x14ac:dyDescent="0.25">
      <c r="E1299" s="4" t="s">
        <v>20</v>
      </c>
      <c r="G1299" s="8">
        <f>SUM(G1291:G1298)</f>
        <v>1336.3200000000002</v>
      </c>
      <c r="H1299" s="8">
        <f>SUM(H1291:H1298)</f>
        <v>1938.13</v>
      </c>
      <c r="I1299" s="8">
        <f>G1299-H1299</f>
        <v>-601.80999999999995</v>
      </c>
    </row>
    <row r="1300" spans="1:10" hidden="1" x14ac:dyDescent="0.25"/>
    <row r="1301" spans="1:10" hidden="1" x14ac:dyDescent="0.25">
      <c r="A1301" s="5">
        <v>4000729</v>
      </c>
      <c r="B1301" s="6" t="s">
        <v>1095</v>
      </c>
      <c r="C1301" s="7"/>
      <c r="D1301" s="7"/>
      <c r="E1301" s="7"/>
      <c r="F1301" s="7"/>
      <c r="G1301" s="7"/>
      <c r="H1301" s="7"/>
      <c r="I1301" s="7"/>
      <c r="J1301" s="7"/>
    </row>
    <row r="1302" spans="1:10" hidden="1" x14ac:dyDescent="0.25">
      <c r="C1302" s="9"/>
      <c r="D1302" s="35">
        <v>45643</v>
      </c>
      <c r="E1302" s="36" t="s">
        <v>8328</v>
      </c>
      <c r="F1302" s="37" t="s">
        <v>8329</v>
      </c>
      <c r="G1302" s="38">
        <v>984.3</v>
      </c>
      <c r="H1302" s="38">
        <v>984.3</v>
      </c>
      <c r="I1302" s="38">
        <f t="shared" ref="I1302" si="76">G1302-H1302+I1301</f>
        <v>0</v>
      </c>
      <c r="J1302" s="12"/>
    </row>
    <row r="1303" spans="1:10" hidden="1" x14ac:dyDescent="0.25">
      <c r="E1303" s="4" t="s">
        <v>10</v>
      </c>
      <c r="G1303" s="8">
        <v>0</v>
      </c>
      <c r="H1303" s="8">
        <v>984.3</v>
      </c>
      <c r="I1303" s="8">
        <f>G1303-H1303</f>
        <v>-984.3</v>
      </c>
    </row>
    <row r="1304" spans="1:10" hidden="1" x14ac:dyDescent="0.25">
      <c r="C1304" s="9"/>
      <c r="D1304" s="10">
        <v>45744</v>
      </c>
      <c r="E1304" t="s">
        <v>1096</v>
      </c>
      <c r="F1304" s="11" t="s">
        <v>1097</v>
      </c>
      <c r="G1304" s="8">
        <v>0</v>
      </c>
      <c r="H1304" s="8">
        <v>2732.83</v>
      </c>
      <c r="I1304" s="8">
        <f>G1304-H1304+I1303</f>
        <v>-3717.13</v>
      </c>
      <c r="J1304" s="63">
        <v>45823</v>
      </c>
    </row>
    <row r="1305" spans="1:10" hidden="1" x14ac:dyDescent="0.25">
      <c r="E1305" s="4" t="s">
        <v>20</v>
      </c>
      <c r="G1305" s="8">
        <f>SUM(G1303:G1304)</f>
        <v>0</v>
      </c>
      <c r="H1305" s="8">
        <f>SUM(H1303:H1304)</f>
        <v>3717.13</v>
      </c>
      <c r="I1305" s="8">
        <f>G1305-H1305</f>
        <v>-3717.13</v>
      </c>
    </row>
    <row r="1306" spans="1:10" hidden="1" x14ac:dyDescent="0.25"/>
    <row r="1307" spans="1:10" x14ac:dyDescent="0.25">
      <c r="A1307" s="5">
        <v>4000732</v>
      </c>
      <c r="B1307" s="6" t="s">
        <v>1098</v>
      </c>
      <c r="C1307" s="7"/>
      <c r="D1307" s="7"/>
      <c r="E1307" s="7"/>
      <c r="F1307" s="7"/>
      <c r="G1307" s="7"/>
      <c r="H1307" s="7"/>
      <c r="I1307" s="7"/>
      <c r="J1307" s="7"/>
    </row>
    <row r="1308" spans="1:10" hidden="1" x14ac:dyDescent="0.25">
      <c r="C1308" s="9"/>
      <c r="D1308" s="10">
        <v>45688</v>
      </c>
      <c r="E1308" t="s">
        <v>1099</v>
      </c>
      <c r="F1308" s="11" t="s">
        <v>1100</v>
      </c>
      <c r="G1308" s="38">
        <v>0</v>
      </c>
      <c r="H1308" s="38">
        <v>96.8</v>
      </c>
      <c r="I1308" s="8">
        <f>G1308-H1308</f>
        <v>-96.8</v>
      </c>
      <c r="J1308" s="12"/>
    </row>
    <row r="1309" spans="1:10" hidden="1" x14ac:dyDescent="0.25">
      <c r="C1309" s="9"/>
      <c r="D1309" s="10">
        <v>45702</v>
      </c>
      <c r="E1309" t="s">
        <v>11</v>
      </c>
      <c r="F1309" s="11" t="s">
        <v>1100</v>
      </c>
      <c r="G1309" s="38">
        <v>96.8</v>
      </c>
      <c r="H1309" s="38">
        <v>0</v>
      </c>
      <c r="I1309" s="8">
        <f>G1309-H1309+I1308</f>
        <v>0</v>
      </c>
      <c r="J1309" s="12"/>
    </row>
    <row r="1310" spans="1:10" ht="13.5" customHeight="1" x14ac:dyDescent="0.25">
      <c r="B1310" s="63">
        <v>45731</v>
      </c>
      <c r="C1310" s="9"/>
      <c r="D1310" s="10">
        <v>45716</v>
      </c>
      <c r="E1310" t="s">
        <v>1101</v>
      </c>
      <c r="F1310" s="11" t="s">
        <v>1102</v>
      </c>
      <c r="G1310" s="8">
        <v>0</v>
      </c>
      <c r="H1310" s="8">
        <v>78.41</v>
      </c>
      <c r="I1310" s="8">
        <f>G1310-H1310+I1309</f>
        <v>-78.41</v>
      </c>
      <c r="J1310" s="32" t="s">
        <v>8147</v>
      </c>
    </row>
    <row r="1311" spans="1:10" hidden="1" x14ac:dyDescent="0.25">
      <c r="C1311" s="9"/>
      <c r="D1311" s="10">
        <v>45737</v>
      </c>
      <c r="E1311" t="s">
        <v>1103</v>
      </c>
      <c r="F1311" s="11" t="s">
        <v>1104</v>
      </c>
      <c r="G1311" s="38">
        <v>0</v>
      </c>
      <c r="H1311" s="38">
        <v>182.95</v>
      </c>
      <c r="I1311" s="8">
        <f>G1311-H1311+I1310</f>
        <v>-261.36</v>
      </c>
      <c r="J1311" s="32" t="s">
        <v>8147</v>
      </c>
    </row>
    <row r="1312" spans="1:10" hidden="1" x14ac:dyDescent="0.25">
      <c r="C1312" s="9"/>
      <c r="D1312" s="10">
        <v>45761</v>
      </c>
      <c r="E1312" t="s">
        <v>1105</v>
      </c>
      <c r="F1312" s="11" t="s">
        <v>42</v>
      </c>
      <c r="G1312" s="38">
        <v>182.95</v>
      </c>
      <c r="H1312" s="38">
        <v>0</v>
      </c>
      <c r="I1312" s="8">
        <f>G1312-H1312+I1311</f>
        <v>-78.410000000000025</v>
      </c>
      <c r="J1312" s="12"/>
    </row>
    <row r="1313" spans="1:10" hidden="1" x14ac:dyDescent="0.25">
      <c r="E1313" s="4" t="s">
        <v>20</v>
      </c>
      <c r="G1313" s="8">
        <f>SUM(G1308:G1312)</f>
        <v>279.75</v>
      </c>
      <c r="H1313" s="8">
        <f>SUM(H1308:H1312)</f>
        <v>358.15999999999997</v>
      </c>
      <c r="I1313" s="8">
        <f>G1313-H1313</f>
        <v>-78.409999999999968</v>
      </c>
    </row>
    <row r="1315" spans="1:10" hidden="1" x14ac:dyDescent="0.25">
      <c r="A1315" s="5">
        <v>4000736</v>
      </c>
      <c r="B1315" s="6" t="s">
        <v>1106</v>
      </c>
      <c r="C1315" s="7"/>
      <c r="D1315" s="7"/>
      <c r="E1315" s="7"/>
      <c r="F1315" s="7"/>
      <c r="G1315" s="7"/>
      <c r="H1315" s="7"/>
      <c r="I1315" s="7"/>
      <c r="J1315" s="7"/>
    </row>
    <row r="1316" spans="1:10" hidden="1" x14ac:dyDescent="0.25">
      <c r="E1316" s="4" t="s">
        <v>10</v>
      </c>
      <c r="G1316" s="8">
        <v>0</v>
      </c>
      <c r="H1316" s="38">
        <v>480.59</v>
      </c>
      <c r="I1316" s="8">
        <f>G1316-H1316</f>
        <v>-480.59</v>
      </c>
    </row>
    <row r="1317" spans="1:10" hidden="1" x14ac:dyDescent="0.25">
      <c r="C1317" s="9"/>
      <c r="D1317" s="10">
        <v>45702</v>
      </c>
      <c r="E1317" t="s">
        <v>11</v>
      </c>
      <c r="F1317" s="11" t="s">
        <v>1107</v>
      </c>
      <c r="G1317" s="38">
        <v>146.16999999999999</v>
      </c>
      <c r="H1317" s="8">
        <v>0</v>
      </c>
      <c r="I1317" s="8">
        <f>G1317-H1317+I1316</f>
        <v>-334.41999999999996</v>
      </c>
      <c r="J1317" s="12"/>
    </row>
    <row r="1318" spans="1:10" hidden="1" x14ac:dyDescent="0.25">
      <c r="C1318" s="9"/>
      <c r="D1318" s="10">
        <v>45726</v>
      </c>
      <c r="E1318" t="s">
        <v>1108</v>
      </c>
      <c r="F1318" s="11" t="s">
        <v>1109</v>
      </c>
      <c r="G1318" s="8">
        <v>0</v>
      </c>
      <c r="H1318" s="8">
        <v>192.21</v>
      </c>
      <c r="I1318" s="8">
        <f>G1318-H1318+I1317</f>
        <v>-526.63</v>
      </c>
      <c r="J1318" s="12"/>
    </row>
    <row r="1319" spans="1:10" hidden="1" x14ac:dyDescent="0.25">
      <c r="C1319" s="9"/>
      <c r="D1319" s="10">
        <v>45754</v>
      </c>
      <c r="E1319" t="s">
        <v>365</v>
      </c>
      <c r="F1319" s="11" t="s">
        <v>42</v>
      </c>
      <c r="G1319" s="38">
        <v>334.42</v>
      </c>
      <c r="H1319" s="8">
        <v>0</v>
      </c>
      <c r="I1319" s="8">
        <f>G1319-H1319+I1318</f>
        <v>-192.20999999999998</v>
      </c>
      <c r="J1319" s="12"/>
    </row>
    <row r="1320" spans="1:10" hidden="1" x14ac:dyDescent="0.25">
      <c r="E1320" s="4" t="s">
        <v>20</v>
      </c>
      <c r="G1320" s="8">
        <f>SUM(G1316:G1319)</f>
        <v>480.59000000000003</v>
      </c>
      <c r="H1320" s="8">
        <f>SUM(H1316:H1319)</f>
        <v>672.8</v>
      </c>
      <c r="I1320" s="8">
        <f>G1320-H1320</f>
        <v>-192.20999999999992</v>
      </c>
    </row>
    <row r="1321" spans="1:10" hidden="1" x14ac:dyDescent="0.25"/>
    <row r="1322" spans="1:10" hidden="1" x14ac:dyDescent="0.25">
      <c r="A1322" s="5">
        <v>4000737</v>
      </c>
      <c r="B1322" s="6" t="s">
        <v>1110</v>
      </c>
      <c r="C1322" s="7"/>
      <c r="D1322" s="7"/>
      <c r="E1322" s="7"/>
      <c r="F1322" s="7"/>
      <c r="G1322" s="7"/>
      <c r="H1322" s="7"/>
      <c r="I1322" s="7"/>
      <c r="J1322" s="7"/>
    </row>
    <row r="1323" spans="1:10" s="36" customFormat="1" hidden="1" x14ac:dyDescent="0.25">
      <c r="E1323" s="71" t="s">
        <v>10</v>
      </c>
      <c r="G1323" s="38">
        <v>0</v>
      </c>
      <c r="H1323" s="38">
        <v>602.14</v>
      </c>
      <c r="I1323" s="38">
        <f>G1323-H1323</f>
        <v>-602.14</v>
      </c>
    </row>
    <row r="1324" spans="1:10" s="36" customFormat="1" hidden="1" x14ac:dyDescent="0.25">
      <c r="C1324" s="73"/>
      <c r="D1324" s="35">
        <v>45672</v>
      </c>
      <c r="E1324" s="36" t="s">
        <v>11</v>
      </c>
      <c r="F1324" s="37" t="s">
        <v>1111</v>
      </c>
      <c r="G1324" s="38">
        <v>602.14</v>
      </c>
      <c r="H1324" s="38">
        <v>0</v>
      </c>
      <c r="I1324" s="38">
        <f>G1324-H1324+I1323</f>
        <v>0</v>
      </c>
      <c r="J1324" s="74"/>
    </row>
    <row r="1325" spans="1:10" hidden="1" x14ac:dyDescent="0.25">
      <c r="C1325" s="9"/>
      <c r="D1325" s="10">
        <v>45672</v>
      </c>
      <c r="E1325" t="s">
        <v>11</v>
      </c>
      <c r="F1325" s="11" t="s">
        <v>1111</v>
      </c>
      <c r="G1325" s="8">
        <v>0</v>
      </c>
      <c r="H1325" s="8">
        <v>602.14</v>
      </c>
      <c r="I1325" s="8">
        <f>G1325-H1325+I1324</f>
        <v>-602.14</v>
      </c>
      <c r="J1325" s="12"/>
    </row>
    <row r="1326" spans="1:10" hidden="1" x14ac:dyDescent="0.25">
      <c r="C1326" s="9"/>
      <c r="D1326" s="10">
        <v>45700</v>
      </c>
      <c r="E1326" t="s">
        <v>1112</v>
      </c>
      <c r="F1326" s="11" t="s">
        <v>42</v>
      </c>
      <c r="G1326" s="8">
        <v>602.14</v>
      </c>
      <c r="H1326" s="8">
        <v>0</v>
      </c>
      <c r="I1326" s="8">
        <f>G1326-H1326+I1325</f>
        <v>0</v>
      </c>
      <c r="J1326" s="12"/>
    </row>
    <row r="1327" spans="1:10" hidden="1" x14ac:dyDescent="0.25">
      <c r="C1327" s="9"/>
      <c r="D1327" s="10">
        <v>45708</v>
      </c>
      <c r="E1327" t="s">
        <v>1113</v>
      </c>
      <c r="F1327" s="11" t="s">
        <v>1114</v>
      </c>
      <c r="G1327" s="8">
        <v>0</v>
      </c>
      <c r="H1327" s="8">
        <v>602.14</v>
      </c>
      <c r="I1327" s="8">
        <f>G1327-H1327+I1326</f>
        <v>-602.14</v>
      </c>
      <c r="J1327" s="12"/>
    </row>
    <row r="1328" spans="1:10" hidden="1" x14ac:dyDescent="0.25">
      <c r="E1328" s="4" t="s">
        <v>20</v>
      </c>
      <c r="G1328" s="8">
        <f>SUM(G1323:G1327)</f>
        <v>1204.28</v>
      </c>
      <c r="H1328" s="8">
        <f>SUM(H1323:H1327)</f>
        <v>1806.42</v>
      </c>
      <c r="I1328" s="8">
        <f>G1328-H1328</f>
        <v>-602.1400000000001</v>
      </c>
    </row>
    <row r="1329" spans="1:10" hidden="1" x14ac:dyDescent="0.25"/>
    <row r="1330" spans="1:10" hidden="1" x14ac:dyDescent="0.25">
      <c r="A1330" s="5">
        <v>4000745</v>
      </c>
      <c r="B1330" s="6" t="s">
        <v>1115</v>
      </c>
      <c r="C1330" s="7"/>
      <c r="D1330" s="7"/>
      <c r="E1330" s="7"/>
      <c r="F1330" s="7"/>
      <c r="G1330" s="7"/>
      <c r="H1330" s="7"/>
      <c r="I1330" s="7"/>
      <c r="J1330" s="7"/>
    </row>
    <row r="1331" spans="1:10" hidden="1" x14ac:dyDescent="0.25">
      <c r="E1331" s="4" t="s">
        <v>10</v>
      </c>
      <c r="G1331" s="8">
        <v>0</v>
      </c>
      <c r="H1331" s="38">
        <v>856.68</v>
      </c>
      <c r="I1331" s="8">
        <f>G1331-H1331</f>
        <v>-856.68</v>
      </c>
    </row>
    <row r="1332" spans="1:10" hidden="1" x14ac:dyDescent="0.25">
      <c r="C1332" s="9"/>
      <c r="D1332" s="10">
        <v>45665</v>
      </c>
      <c r="E1332" t="s">
        <v>72</v>
      </c>
      <c r="F1332" s="11" t="s">
        <v>42</v>
      </c>
      <c r="G1332" s="38">
        <v>428.34</v>
      </c>
      <c r="H1332" s="8">
        <v>0</v>
      </c>
      <c r="I1332" s="8">
        <f>G1332-H1332+I1331</f>
        <v>-428.34</v>
      </c>
      <c r="J1332" s="12"/>
    </row>
    <row r="1333" spans="1:10" hidden="1" x14ac:dyDescent="0.25">
      <c r="C1333" s="9"/>
      <c r="D1333" s="10">
        <v>45694</v>
      </c>
      <c r="E1333" t="s">
        <v>1116</v>
      </c>
      <c r="F1333" s="11" t="s">
        <v>1117</v>
      </c>
      <c r="G1333" s="8">
        <v>0</v>
      </c>
      <c r="H1333" s="8">
        <v>428.34</v>
      </c>
      <c r="I1333" s="8">
        <f>G1333-H1333+I1332</f>
        <v>-856.68</v>
      </c>
      <c r="J1333" s="12"/>
    </row>
    <row r="1334" spans="1:10" hidden="1" x14ac:dyDescent="0.25">
      <c r="C1334" s="9"/>
      <c r="D1334" s="10">
        <v>45754</v>
      </c>
      <c r="E1334" t="s">
        <v>365</v>
      </c>
      <c r="F1334" s="11" t="s">
        <v>42</v>
      </c>
      <c r="G1334" s="38">
        <v>428.34</v>
      </c>
      <c r="H1334" s="8">
        <v>0</v>
      </c>
      <c r="I1334" s="8">
        <f>G1334-H1334+I1333</f>
        <v>-428.34</v>
      </c>
      <c r="J1334" s="12"/>
    </row>
    <row r="1335" spans="1:10" hidden="1" x14ac:dyDescent="0.25">
      <c r="E1335" s="4" t="s">
        <v>20</v>
      </c>
      <c r="G1335" s="8">
        <f>SUM(G1331:G1334)</f>
        <v>856.68</v>
      </c>
      <c r="H1335" s="8">
        <f>SUM(H1331:H1334)</f>
        <v>1285.02</v>
      </c>
      <c r="I1335" s="8">
        <f>G1335-H1335</f>
        <v>-428.34000000000003</v>
      </c>
    </row>
    <row r="1336" spans="1:10" hidden="1" x14ac:dyDescent="0.25"/>
    <row r="1337" spans="1:10" hidden="1" x14ac:dyDescent="0.25">
      <c r="A1337" s="5">
        <v>4000746</v>
      </c>
      <c r="B1337" s="6" t="s">
        <v>1118</v>
      </c>
      <c r="C1337" s="7"/>
      <c r="D1337" s="7"/>
      <c r="E1337" s="7"/>
      <c r="F1337" s="7"/>
      <c r="G1337" s="7"/>
      <c r="H1337" s="7"/>
      <c r="I1337" s="7"/>
      <c r="J1337" s="7"/>
    </row>
    <row r="1338" spans="1:10" hidden="1" x14ac:dyDescent="0.25">
      <c r="C1338" s="9"/>
      <c r="D1338" s="10">
        <v>45747</v>
      </c>
      <c r="E1338" t="s">
        <v>1119</v>
      </c>
      <c r="F1338" s="11" t="s">
        <v>1120</v>
      </c>
      <c r="G1338" s="8">
        <v>0</v>
      </c>
      <c r="H1338" s="8">
        <v>429.79</v>
      </c>
      <c r="I1338" s="8">
        <f>G1338-H1338</f>
        <v>-429.79</v>
      </c>
      <c r="J1338" s="12"/>
    </row>
    <row r="1339" spans="1:10" hidden="1" x14ac:dyDescent="0.25">
      <c r="E1339" s="4" t="s">
        <v>20</v>
      </c>
      <c r="G1339" s="8">
        <f>G1338</f>
        <v>0</v>
      </c>
      <c r="H1339" s="8">
        <f>H1338</f>
        <v>429.79</v>
      </c>
      <c r="I1339" s="8">
        <f>G1339-H1339</f>
        <v>-429.79</v>
      </c>
    </row>
    <row r="1340" spans="1:10" hidden="1" x14ac:dyDescent="0.25"/>
    <row r="1341" spans="1:10" x14ac:dyDescent="0.25">
      <c r="A1341" s="5">
        <v>4000755</v>
      </c>
      <c r="B1341" s="6" t="s">
        <v>1121</v>
      </c>
      <c r="C1341" s="7"/>
      <c r="D1341" s="7"/>
      <c r="E1341" s="7"/>
      <c r="F1341" s="7"/>
      <c r="G1341" s="7"/>
      <c r="H1341" s="7"/>
      <c r="I1341" s="7"/>
      <c r="J1341" s="7"/>
    </row>
    <row r="1342" spans="1:10" x14ac:dyDescent="0.25">
      <c r="C1342" s="9"/>
      <c r="D1342" s="35">
        <v>45107</v>
      </c>
      <c r="E1342" s="36" t="s">
        <v>8335</v>
      </c>
      <c r="F1342" s="37" t="s">
        <v>8336</v>
      </c>
      <c r="G1342" s="38">
        <v>0</v>
      </c>
      <c r="H1342" s="38">
        <v>134.58000000000001</v>
      </c>
      <c r="I1342" s="38">
        <v>-220.79</v>
      </c>
      <c r="J1342" s="32" t="s">
        <v>8147</v>
      </c>
    </row>
    <row r="1343" spans="1:10" hidden="1" x14ac:dyDescent="0.25">
      <c r="C1343" s="9"/>
      <c r="D1343" s="35">
        <v>45260</v>
      </c>
      <c r="E1343" s="36" t="s">
        <v>8337</v>
      </c>
      <c r="F1343" s="37" t="s">
        <v>8333</v>
      </c>
      <c r="G1343" s="39">
        <v>0</v>
      </c>
      <c r="H1343" s="39">
        <v>53.59</v>
      </c>
      <c r="I1343" s="38">
        <v>-530.66000000000008</v>
      </c>
      <c r="J1343" s="12"/>
    </row>
    <row r="1344" spans="1:10" hidden="1" x14ac:dyDescent="0.25">
      <c r="C1344" s="9"/>
      <c r="D1344" s="35">
        <v>45282</v>
      </c>
      <c r="E1344" s="36" t="s">
        <v>8338</v>
      </c>
      <c r="F1344" s="37" t="s">
        <v>8339</v>
      </c>
      <c r="G1344" s="39">
        <v>0</v>
      </c>
      <c r="H1344" s="39">
        <v>20.53</v>
      </c>
      <c r="I1344" s="38">
        <v>-551.19000000000005</v>
      </c>
      <c r="J1344" s="12"/>
    </row>
    <row r="1345" spans="3:10" hidden="1" x14ac:dyDescent="0.25">
      <c r="D1345" s="36"/>
      <c r="E1345" s="71" t="s">
        <v>10</v>
      </c>
      <c r="F1345" s="36"/>
      <c r="G1345" s="39">
        <v>0</v>
      </c>
      <c r="H1345" s="39">
        <v>208.7</v>
      </c>
      <c r="I1345" s="38">
        <f>I1341+G1345-H1345</f>
        <v>-208.7</v>
      </c>
    </row>
    <row r="1346" spans="3:10" hidden="1" x14ac:dyDescent="0.25">
      <c r="C1346" s="9" t="s">
        <v>124</v>
      </c>
      <c r="D1346" s="35">
        <v>45309</v>
      </c>
      <c r="E1346" s="36" t="s">
        <v>8332</v>
      </c>
      <c r="F1346" s="37" t="s">
        <v>8333</v>
      </c>
      <c r="G1346" s="39">
        <v>53.59</v>
      </c>
      <c r="H1346" s="39">
        <v>0</v>
      </c>
      <c r="I1346" s="38">
        <f t="shared" ref="I1346:I1349" si="77">I1345+G1346-H1346</f>
        <v>-155.10999999999999</v>
      </c>
      <c r="J1346" s="12"/>
    </row>
    <row r="1347" spans="3:10" hidden="1" x14ac:dyDescent="0.25">
      <c r="C1347" s="9" t="s">
        <v>124</v>
      </c>
      <c r="D1347" s="35">
        <v>45337</v>
      </c>
      <c r="E1347" s="36" t="s">
        <v>8334</v>
      </c>
      <c r="F1347" s="37" t="s">
        <v>42</v>
      </c>
      <c r="G1347" s="39">
        <v>20.53</v>
      </c>
      <c r="H1347" s="39">
        <v>0</v>
      </c>
      <c r="I1347" s="38">
        <f t="shared" si="77"/>
        <v>-134.57999999999998</v>
      </c>
      <c r="J1347" s="12"/>
    </row>
    <row r="1348" spans="3:10" hidden="1" x14ac:dyDescent="0.25">
      <c r="C1348" s="9"/>
      <c r="D1348" s="35">
        <v>45611</v>
      </c>
      <c r="E1348" s="36" t="s">
        <v>8330</v>
      </c>
      <c r="F1348" s="37" t="s">
        <v>1124</v>
      </c>
      <c r="G1348" s="39">
        <v>0</v>
      </c>
      <c r="H1348" s="39">
        <v>46.78</v>
      </c>
      <c r="I1348" s="38">
        <f t="shared" si="77"/>
        <v>-181.35999999999999</v>
      </c>
      <c r="J1348" s="12"/>
    </row>
    <row r="1349" spans="3:10" hidden="1" x14ac:dyDescent="0.25">
      <c r="C1349" s="9"/>
      <c r="D1349" s="35">
        <v>45639</v>
      </c>
      <c r="E1349" s="36" t="s">
        <v>8331</v>
      </c>
      <c r="F1349" s="37" t="s">
        <v>1129</v>
      </c>
      <c r="G1349" s="39">
        <v>0</v>
      </c>
      <c r="H1349" s="39">
        <v>12.35</v>
      </c>
      <c r="I1349" s="38">
        <f t="shared" si="77"/>
        <v>-193.70999999999998</v>
      </c>
      <c r="J1349" s="12"/>
    </row>
    <row r="1350" spans="3:10" hidden="1" x14ac:dyDescent="0.25">
      <c r="E1350" s="4" t="s">
        <v>10</v>
      </c>
      <c r="G1350" s="39">
        <v>0</v>
      </c>
      <c r="H1350" s="39">
        <v>193.71</v>
      </c>
      <c r="I1350" s="8">
        <f>G1350-H1350</f>
        <v>-193.71</v>
      </c>
    </row>
    <row r="1351" spans="3:10" hidden="1" x14ac:dyDescent="0.25">
      <c r="C1351" s="9"/>
      <c r="D1351" s="10">
        <v>45672</v>
      </c>
      <c r="E1351" t="s">
        <v>1122</v>
      </c>
      <c r="F1351" s="11" t="s">
        <v>1123</v>
      </c>
      <c r="G1351" s="39">
        <v>0</v>
      </c>
      <c r="H1351" s="39">
        <v>45.48</v>
      </c>
      <c r="I1351" s="8">
        <f t="shared" ref="I1351:I1360" si="78">G1351-H1351+I1350</f>
        <v>-239.19</v>
      </c>
      <c r="J1351" s="12"/>
    </row>
    <row r="1352" spans="3:10" hidden="1" x14ac:dyDescent="0.25">
      <c r="C1352" s="9"/>
      <c r="D1352" s="10">
        <v>45680</v>
      </c>
      <c r="E1352" t="s">
        <v>11</v>
      </c>
      <c r="F1352" s="11" t="s">
        <v>1124</v>
      </c>
      <c r="G1352" s="39">
        <v>46.78</v>
      </c>
      <c r="H1352" s="39">
        <v>0</v>
      </c>
      <c r="I1352" s="8">
        <f t="shared" si="78"/>
        <v>-192.41</v>
      </c>
      <c r="J1352" s="12"/>
    </row>
    <row r="1353" spans="3:10" hidden="1" x14ac:dyDescent="0.25">
      <c r="C1353" s="9"/>
      <c r="D1353" s="10">
        <v>45688</v>
      </c>
      <c r="E1353" t="s">
        <v>1125</v>
      </c>
      <c r="F1353" s="11" t="s">
        <v>1126</v>
      </c>
      <c r="G1353" s="39">
        <v>0</v>
      </c>
      <c r="H1353" s="39">
        <v>597.38</v>
      </c>
      <c r="I1353" s="8">
        <f t="shared" si="78"/>
        <v>-789.79</v>
      </c>
      <c r="J1353" s="12"/>
    </row>
    <row r="1354" spans="3:10" hidden="1" x14ac:dyDescent="0.25">
      <c r="C1354" s="9"/>
      <c r="D1354" s="10">
        <v>45702</v>
      </c>
      <c r="E1354" t="s">
        <v>1127</v>
      </c>
      <c r="F1354" s="11" t="s">
        <v>1128</v>
      </c>
      <c r="G1354" s="8">
        <v>0</v>
      </c>
      <c r="H1354" s="8">
        <v>47.88</v>
      </c>
      <c r="I1354" s="8">
        <f t="shared" si="78"/>
        <v>-837.67</v>
      </c>
      <c r="J1354" s="63">
        <v>45762</v>
      </c>
    </row>
    <row r="1355" spans="3:10" hidden="1" x14ac:dyDescent="0.25">
      <c r="C1355" s="9"/>
      <c r="D1355" s="10">
        <v>45706</v>
      </c>
      <c r="E1355" t="s">
        <v>11</v>
      </c>
      <c r="F1355" s="11" t="s">
        <v>1129</v>
      </c>
      <c r="G1355" s="39">
        <v>12.35</v>
      </c>
      <c r="H1355" s="8">
        <v>0</v>
      </c>
      <c r="I1355" s="8">
        <f t="shared" si="78"/>
        <v>-825.31999999999994</v>
      </c>
      <c r="J1355" s="12"/>
    </row>
    <row r="1356" spans="3:10" hidden="1" x14ac:dyDescent="0.25">
      <c r="C1356" s="9"/>
      <c r="D1356" s="10">
        <v>45716</v>
      </c>
      <c r="E1356" t="s">
        <v>1130</v>
      </c>
      <c r="F1356" s="11" t="s">
        <v>1131</v>
      </c>
      <c r="G1356" s="8">
        <v>0</v>
      </c>
      <c r="H1356" s="8">
        <v>86.66</v>
      </c>
      <c r="I1356" s="8">
        <f t="shared" si="78"/>
        <v>-911.9799999999999</v>
      </c>
      <c r="J1356" s="12"/>
    </row>
    <row r="1357" spans="3:10" hidden="1" x14ac:dyDescent="0.25">
      <c r="C1357" s="9"/>
      <c r="D1357" s="10">
        <v>45721</v>
      </c>
      <c r="E1357" t="s">
        <v>11</v>
      </c>
      <c r="F1357" s="11" t="s">
        <v>1126</v>
      </c>
      <c r="G1357" s="39">
        <v>597.38</v>
      </c>
      <c r="H1357" s="8">
        <v>0</v>
      </c>
      <c r="I1357" s="8">
        <f t="shared" si="78"/>
        <v>-314.59999999999991</v>
      </c>
      <c r="J1357" s="12"/>
    </row>
    <row r="1358" spans="3:10" hidden="1" x14ac:dyDescent="0.25">
      <c r="C1358" s="9"/>
      <c r="D1358" s="10">
        <v>45730</v>
      </c>
      <c r="E1358" t="s">
        <v>1132</v>
      </c>
      <c r="F1358" s="11" t="s">
        <v>1133</v>
      </c>
      <c r="G1358" s="8">
        <v>0</v>
      </c>
      <c r="H1358" s="8">
        <v>71.47</v>
      </c>
      <c r="I1358" s="8">
        <f t="shared" si="78"/>
        <v>-386.06999999999994</v>
      </c>
      <c r="J1358" s="12"/>
    </row>
    <row r="1359" spans="3:10" hidden="1" x14ac:dyDescent="0.25">
      <c r="C1359" s="9"/>
      <c r="D1359" s="10">
        <v>45733</v>
      </c>
      <c r="E1359" t="s">
        <v>11</v>
      </c>
      <c r="F1359" s="11" t="s">
        <v>1123</v>
      </c>
      <c r="G1359" s="39">
        <v>45.48</v>
      </c>
      <c r="H1359" s="8">
        <v>0</v>
      </c>
      <c r="I1359" s="8">
        <f t="shared" si="78"/>
        <v>-340.58999999999992</v>
      </c>
      <c r="J1359" s="12"/>
    </row>
    <row r="1360" spans="3:10" hidden="1" x14ac:dyDescent="0.25">
      <c r="C1360" s="9"/>
      <c r="D1360" s="10">
        <v>45747</v>
      </c>
      <c r="E1360" t="s">
        <v>1134</v>
      </c>
      <c r="F1360" s="11" t="s">
        <v>1135</v>
      </c>
      <c r="G1360" s="8">
        <v>0</v>
      </c>
      <c r="H1360" s="8">
        <v>262.86</v>
      </c>
      <c r="I1360" s="8">
        <f t="shared" si="78"/>
        <v>-603.44999999999993</v>
      </c>
      <c r="J1360" s="12"/>
    </row>
    <row r="1361" spans="1:10" hidden="1" x14ac:dyDescent="0.25">
      <c r="E1361" s="4" t="s">
        <v>20</v>
      </c>
      <c r="G1361" s="8">
        <f>SUM(G1350:G1360)</f>
        <v>701.99</v>
      </c>
      <c r="H1361" s="8">
        <f>SUM(H1350:H1360)</f>
        <v>1305.44</v>
      </c>
      <c r="I1361" s="8">
        <f>G1361-H1361</f>
        <v>-603.45000000000005</v>
      </c>
    </row>
    <row r="1363" spans="1:10" hidden="1" x14ac:dyDescent="0.25">
      <c r="A1363" s="5">
        <v>4000756</v>
      </c>
      <c r="B1363" s="6" t="s">
        <v>1136</v>
      </c>
      <c r="C1363" s="7"/>
      <c r="D1363" s="7"/>
      <c r="E1363" s="7"/>
      <c r="F1363" s="7"/>
      <c r="G1363" s="7"/>
      <c r="H1363" s="7"/>
      <c r="I1363" s="7"/>
      <c r="J1363" s="7"/>
    </row>
    <row r="1364" spans="1:10" hidden="1" x14ac:dyDescent="0.25">
      <c r="C1364" s="9"/>
      <c r="D1364" s="35">
        <v>45596</v>
      </c>
      <c r="E1364" s="36" t="s">
        <v>8340</v>
      </c>
      <c r="F1364" s="37" t="s">
        <v>1137</v>
      </c>
      <c r="G1364" s="38">
        <v>0</v>
      </c>
      <c r="H1364" s="39">
        <v>3032.39</v>
      </c>
      <c r="I1364" s="38">
        <f>I1363+G1364-H1364</f>
        <v>-3032.39</v>
      </c>
      <c r="J1364" s="12"/>
    </row>
    <row r="1365" spans="1:10" hidden="1" x14ac:dyDescent="0.25">
      <c r="C1365" s="9"/>
      <c r="D1365" s="35">
        <v>45626</v>
      </c>
      <c r="E1365" s="36" t="s">
        <v>8341</v>
      </c>
      <c r="F1365" s="37" t="s">
        <v>1144</v>
      </c>
      <c r="G1365" s="38">
        <v>0</v>
      </c>
      <c r="H1365" s="39">
        <v>367.65</v>
      </c>
      <c r="I1365" s="38">
        <f t="shared" ref="I1365:I1366" si="79">I1364+G1365-H1365</f>
        <v>-3400.04</v>
      </c>
      <c r="J1365" s="12"/>
    </row>
    <row r="1366" spans="1:10" hidden="1" x14ac:dyDescent="0.25">
      <c r="C1366" s="9"/>
      <c r="D1366" s="35">
        <v>45657</v>
      </c>
      <c r="E1366" s="36" t="s">
        <v>8342</v>
      </c>
      <c r="F1366" s="37" t="s">
        <v>1143</v>
      </c>
      <c r="G1366" s="38">
        <v>0</v>
      </c>
      <c r="H1366" s="39">
        <v>428.34</v>
      </c>
      <c r="I1366" s="38">
        <f t="shared" si="79"/>
        <v>-3828.38</v>
      </c>
      <c r="J1366" s="12"/>
    </row>
    <row r="1367" spans="1:10" hidden="1" x14ac:dyDescent="0.25">
      <c r="E1367" s="4" t="s">
        <v>10</v>
      </c>
      <c r="G1367" s="8">
        <v>0</v>
      </c>
      <c r="H1367" s="8">
        <v>3828.38</v>
      </c>
      <c r="I1367" s="8">
        <f>G1367-H1367</f>
        <v>-3828.38</v>
      </c>
    </row>
    <row r="1368" spans="1:10" hidden="1" x14ac:dyDescent="0.25">
      <c r="C1368" s="9"/>
      <c r="D1368" s="10">
        <v>45672</v>
      </c>
      <c r="E1368" t="s">
        <v>11</v>
      </c>
      <c r="F1368" s="11" t="s">
        <v>1137</v>
      </c>
      <c r="G1368" s="39">
        <v>3032.39</v>
      </c>
      <c r="H1368" s="8">
        <v>0</v>
      </c>
      <c r="I1368" s="8">
        <f t="shared" ref="I1368:I1375" si="80">G1368-H1368+I1367</f>
        <v>-795.99000000000024</v>
      </c>
      <c r="J1368" s="12"/>
    </row>
    <row r="1369" spans="1:10" hidden="1" x14ac:dyDescent="0.25">
      <c r="C1369" s="9"/>
      <c r="D1369" s="10">
        <v>45672</v>
      </c>
      <c r="E1369" t="s">
        <v>11</v>
      </c>
      <c r="F1369" s="11" t="s">
        <v>1137</v>
      </c>
      <c r="G1369" s="8">
        <v>0</v>
      </c>
      <c r="H1369" s="57">
        <v>3032.39</v>
      </c>
      <c r="I1369" s="8">
        <f t="shared" si="80"/>
        <v>-3828.38</v>
      </c>
      <c r="J1369" s="60">
        <f>G1371-H1369</f>
        <v>0</v>
      </c>
    </row>
    <row r="1370" spans="1:10" hidden="1" x14ac:dyDescent="0.25">
      <c r="C1370" s="9"/>
      <c r="D1370" s="10">
        <v>45688</v>
      </c>
      <c r="E1370" t="s">
        <v>1138</v>
      </c>
      <c r="F1370" s="11" t="s">
        <v>1139</v>
      </c>
      <c r="G1370" s="8">
        <v>0</v>
      </c>
      <c r="H1370" s="8">
        <v>1023.58</v>
      </c>
      <c r="I1370" s="8">
        <f t="shared" si="80"/>
        <v>-4851.96</v>
      </c>
      <c r="J1370" s="63">
        <v>45762</v>
      </c>
    </row>
    <row r="1371" spans="1:10" hidden="1" x14ac:dyDescent="0.25">
      <c r="C1371" s="9" t="s">
        <v>124</v>
      </c>
      <c r="D1371" s="10">
        <v>45691</v>
      </c>
      <c r="E1371" t="s">
        <v>1140</v>
      </c>
      <c r="F1371" s="11" t="s">
        <v>42</v>
      </c>
      <c r="G1371" s="57">
        <v>3032.39</v>
      </c>
      <c r="H1371" s="8">
        <v>0</v>
      </c>
      <c r="I1371" s="8">
        <f t="shared" si="80"/>
        <v>-1819.5700000000002</v>
      </c>
      <c r="J1371" s="12"/>
    </row>
    <row r="1372" spans="1:10" hidden="1" x14ac:dyDescent="0.25">
      <c r="C1372" s="9"/>
      <c r="D1372" s="10">
        <v>45716</v>
      </c>
      <c r="E1372" t="s">
        <v>1141</v>
      </c>
      <c r="F1372" s="11" t="s">
        <v>1142</v>
      </c>
      <c r="G1372" s="8">
        <v>0</v>
      </c>
      <c r="H1372" s="8">
        <v>353.7</v>
      </c>
      <c r="I1372" s="8">
        <f t="shared" si="80"/>
        <v>-2173.27</v>
      </c>
      <c r="J1372" s="12"/>
    </row>
    <row r="1373" spans="1:10" hidden="1" x14ac:dyDescent="0.25">
      <c r="C1373" s="9"/>
      <c r="D1373" s="10">
        <v>45733</v>
      </c>
      <c r="E1373" t="s">
        <v>11</v>
      </c>
      <c r="F1373" s="11" t="s">
        <v>1143</v>
      </c>
      <c r="G1373" s="39">
        <v>428.34</v>
      </c>
      <c r="H1373" s="8">
        <v>0</v>
      </c>
      <c r="I1373" s="8">
        <f t="shared" si="80"/>
        <v>-1744.93</v>
      </c>
      <c r="J1373" s="12"/>
    </row>
    <row r="1374" spans="1:10" hidden="1" x14ac:dyDescent="0.25">
      <c r="C1374" s="9"/>
      <c r="D1374" s="10">
        <v>45733</v>
      </c>
      <c r="E1374" t="s">
        <v>11</v>
      </c>
      <c r="F1374" s="11" t="s">
        <v>1144</v>
      </c>
      <c r="G1374" s="39">
        <v>367.65</v>
      </c>
      <c r="H1374" s="8">
        <v>0</v>
      </c>
      <c r="I1374" s="8">
        <f t="shared" si="80"/>
        <v>-1377.2800000000002</v>
      </c>
      <c r="J1374" s="12"/>
    </row>
    <row r="1375" spans="1:10" hidden="1" x14ac:dyDescent="0.25">
      <c r="C1375" s="9"/>
      <c r="D1375" s="10">
        <v>45747</v>
      </c>
      <c r="E1375" t="s">
        <v>1145</v>
      </c>
      <c r="F1375" s="11" t="s">
        <v>1146</v>
      </c>
      <c r="G1375" s="8">
        <v>0</v>
      </c>
      <c r="H1375" s="8">
        <v>169.9</v>
      </c>
      <c r="I1375" s="8">
        <f t="shared" si="80"/>
        <v>-1547.1800000000003</v>
      </c>
      <c r="J1375" s="12"/>
    </row>
    <row r="1376" spans="1:10" hidden="1" x14ac:dyDescent="0.25">
      <c r="E1376" s="4" t="s">
        <v>20</v>
      </c>
      <c r="G1376" s="8">
        <f>SUM(G1367:G1375)</f>
        <v>6860.7699999999995</v>
      </c>
      <c r="H1376" s="8">
        <f>SUM(H1367:H1375)</f>
        <v>8407.9500000000007</v>
      </c>
      <c r="I1376" s="8">
        <f>G1376-H1376</f>
        <v>-1547.1800000000012</v>
      </c>
    </row>
    <row r="1377" spans="1:12" hidden="1" x14ac:dyDescent="0.25"/>
    <row r="1378" spans="1:12" x14ac:dyDescent="0.25">
      <c r="A1378" s="5">
        <v>4000763</v>
      </c>
      <c r="B1378" s="6" t="s">
        <v>1147</v>
      </c>
      <c r="C1378" s="7"/>
      <c r="D1378" s="7"/>
      <c r="E1378" s="7"/>
      <c r="F1378" s="7"/>
      <c r="G1378" s="7"/>
      <c r="H1378" s="7"/>
      <c r="I1378" s="7"/>
      <c r="J1378" s="7"/>
    </row>
    <row r="1379" spans="1:12" x14ac:dyDescent="0.25">
      <c r="C1379" s="9"/>
      <c r="D1379" s="35">
        <v>45559</v>
      </c>
      <c r="E1379" s="36" t="s">
        <v>8343</v>
      </c>
      <c r="F1379" s="37" t="s">
        <v>8344</v>
      </c>
      <c r="G1379" s="38">
        <v>0</v>
      </c>
      <c r="H1379" s="79">
        <v>472.49</v>
      </c>
      <c r="I1379" s="38">
        <f>I1378+G1379-H1379</f>
        <v>-472.49</v>
      </c>
      <c r="J1379" s="77">
        <f>G1383-H1379</f>
        <v>-82</v>
      </c>
      <c r="K1379" s="78" t="s">
        <v>8350</v>
      </c>
      <c r="L1379" s="78"/>
    </row>
    <row r="1380" spans="1:12" hidden="1" x14ac:dyDescent="0.25">
      <c r="C1380" s="9"/>
      <c r="D1380" s="35">
        <v>45573</v>
      </c>
      <c r="E1380" s="36" t="s">
        <v>8345</v>
      </c>
      <c r="F1380" s="37" t="s">
        <v>8346</v>
      </c>
      <c r="G1380" s="38">
        <v>0</v>
      </c>
      <c r="H1380" s="76">
        <v>226.51</v>
      </c>
      <c r="I1380" s="38">
        <f t="shared" ref="I1380:I1383" si="81">I1379+G1380-H1380</f>
        <v>-699</v>
      </c>
      <c r="J1380" s="12"/>
    </row>
    <row r="1381" spans="1:12" hidden="1" x14ac:dyDescent="0.25">
      <c r="C1381" s="9"/>
      <c r="D1381" s="35">
        <v>45589</v>
      </c>
      <c r="E1381" s="36" t="s">
        <v>8347</v>
      </c>
      <c r="F1381" s="37" t="s">
        <v>1150</v>
      </c>
      <c r="G1381" s="38">
        <v>0</v>
      </c>
      <c r="H1381" s="76">
        <v>318.47000000000003</v>
      </c>
      <c r="I1381" s="38">
        <f t="shared" si="81"/>
        <v>-1017.47</v>
      </c>
      <c r="J1381" s="12"/>
    </row>
    <row r="1382" spans="1:12" hidden="1" x14ac:dyDescent="0.25">
      <c r="C1382" s="9"/>
      <c r="D1382" s="35">
        <v>45621</v>
      </c>
      <c r="E1382" s="36" t="s">
        <v>8348</v>
      </c>
      <c r="F1382" s="37" t="s">
        <v>1158</v>
      </c>
      <c r="G1382" s="38">
        <v>0</v>
      </c>
      <c r="H1382" s="76">
        <v>706.16</v>
      </c>
      <c r="I1382" s="38">
        <f t="shared" si="81"/>
        <v>-1723.63</v>
      </c>
      <c r="J1382" s="12"/>
    </row>
    <row r="1383" spans="1:12" x14ac:dyDescent="0.25">
      <c r="C1383" s="9"/>
      <c r="D1383" s="35">
        <v>45642</v>
      </c>
      <c r="E1383" s="36" t="s">
        <v>8349</v>
      </c>
      <c r="F1383" s="37" t="s">
        <v>42</v>
      </c>
      <c r="G1383" s="79">
        <v>390.49</v>
      </c>
      <c r="H1383" s="38">
        <v>0</v>
      </c>
      <c r="I1383" s="38">
        <f t="shared" si="81"/>
        <v>-1333.14</v>
      </c>
      <c r="J1383" s="12"/>
    </row>
    <row r="1384" spans="1:12" hidden="1" x14ac:dyDescent="0.25">
      <c r="E1384" s="4" t="s">
        <v>10</v>
      </c>
      <c r="G1384" s="8">
        <v>0</v>
      </c>
      <c r="H1384" s="8">
        <v>1333.14</v>
      </c>
      <c r="I1384" s="8">
        <f>G1384-H1384</f>
        <v>-1333.14</v>
      </c>
    </row>
    <row r="1385" spans="1:12" hidden="1" x14ac:dyDescent="0.25">
      <c r="C1385" s="9"/>
      <c r="D1385" s="10">
        <v>45665</v>
      </c>
      <c r="E1385" t="s">
        <v>1148</v>
      </c>
      <c r="F1385" s="11" t="s">
        <v>1149</v>
      </c>
      <c r="G1385" s="8">
        <v>0</v>
      </c>
      <c r="H1385" s="57">
        <v>2074</v>
      </c>
      <c r="I1385" s="8">
        <f t="shared" ref="I1385:I1395" si="82">G1385-H1385+I1384</f>
        <v>-3407.1400000000003</v>
      </c>
      <c r="J1385" s="12"/>
    </row>
    <row r="1386" spans="1:12" hidden="1" x14ac:dyDescent="0.25">
      <c r="C1386" s="9"/>
      <c r="D1386" s="10">
        <v>45672</v>
      </c>
      <c r="E1386" t="s">
        <v>11</v>
      </c>
      <c r="F1386" s="11" t="s">
        <v>1150</v>
      </c>
      <c r="G1386" s="76">
        <v>318.47000000000003</v>
      </c>
      <c r="H1386" s="8">
        <v>0</v>
      </c>
      <c r="I1386" s="8">
        <f t="shared" si="82"/>
        <v>-3088.67</v>
      </c>
      <c r="J1386" s="12"/>
    </row>
    <row r="1387" spans="1:12" hidden="1" x14ac:dyDescent="0.25">
      <c r="C1387" s="9"/>
      <c r="D1387" s="10">
        <v>45679</v>
      </c>
      <c r="E1387" t="s">
        <v>1151</v>
      </c>
      <c r="F1387" s="11" t="s">
        <v>1152</v>
      </c>
      <c r="G1387" s="8">
        <v>0</v>
      </c>
      <c r="H1387" s="76">
        <v>18.649999999999999</v>
      </c>
      <c r="I1387" s="8">
        <f t="shared" si="82"/>
        <v>-3107.32</v>
      </c>
      <c r="J1387" s="12"/>
    </row>
    <row r="1388" spans="1:12" hidden="1" x14ac:dyDescent="0.25">
      <c r="C1388" s="9"/>
      <c r="D1388" s="10">
        <v>45692</v>
      </c>
      <c r="E1388" t="s">
        <v>1153</v>
      </c>
      <c r="F1388" s="11" t="s">
        <v>42</v>
      </c>
      <c r="G1388" s="76">
        <v>245.16</v>
      </c>
      <c r="H1388" s="8">
        <v>0</v>
      </c>
      <c r="I1388" s="8">
        <f t="shared" si="82"/>
        <v>-2862.1600000000003</v>
      </c>
      <c r="J1388" s="12"/>
    </row>
    <row r="1389" spans="1:12" hidden="1" x14ac:dyDescent="0.25">
      <c r="C1389" s="9"/>
      <c r="D1389" s="10">
        <v>45694</v>
      </c>
      <c r="E1389" t="s">
        <v>1154</v>
      </c>
      <c r="F1389" s="11" t="s">
        <v>1155</v>
      </c>
      <c r="G1389" s="8">
        <v>0</v>
      </c>
      <c r="H1389" s="57">
        <v>1035.03</v>
      </c>
      <c r="I1389" s="8">
        <f t="shared" si="82"/>
        <v>-3897.1900000000005</v>
      </c>
      <c r="J1389" s="12"/>
    </row>
    <row r="1390" spans="1:12" hidden="1" x14ac:dyDescent="0.25">
      <c r="C1390" s="9"/>
      <c r="D1390" s="10">
        <v>45699</v>
      </c>
      <c r="E1390" t="s">
        <v>1156</v>
      </c>
      <c r="F1390" s="11" t="s">
        <v>1157</v>
      </c>
      <c r="G1390" s="8">
        <v>0</v>
      </c>
      <c r="H1390" s="8">
        <v>193.06</v>
      </c>
      <c r="I1390" s="8">
        <f t="shared" si="82"/>
        <v>-4090.2500000000005</v>
      </c>
      <c r="J1390" s="63">
        <v>45762</v>
      </c>
    </row>
    <row r="1391" spans="1:12" hidden="1" x14ac:dyDescent="0.25">
      <c r="C1391" s="9"/>
      <c r="D1391" s="10">
        <v>45705</v>
      </c>
      <c r="E1391" t="s">
        <v>11</v>
      </c>
      <c r="F1391" s="11" t="s">
        <v>1158</v>
      </c>
      <c r="G1391" s="76">
        <v>706.16</v>
      </c>
      <c r="H1391" s="8">
        <v>0</v>
      </c>
      <c r="I1391" s="8">
        <f t="shared" si="82"/>
        <v>-3384.0900000000006</v>
      </c>
      <c r="J1391" s="12"/>
    </row>
    <row r="1392" spans="1:12" hidden="1" x14ac:dyDescent="0.25">
      <c r="C1392" s="9"/>
      <c r="D1392" s="10">
        <v>45709</v>
      </c>
      <c r="E1392" t="s">
        <v>1159</v>
      </c>
      <c r="F1392" s="11" t="s">
        <v>1160</v>
      </c>
      <c r="G1392" s="8">
        <v>0</v>
      </c>
      <c r="H1392" s="8">
        <v>1429.62</v>
      </c>
      <c r="I1392" s="8">
        <f t="shared" si="82"/>
        <v>-4813.7100000000009</v>
      </c>
      <c r="J1392" s="12"/>
    </row>
    <row r="1393" spans="1:10" hidden="1" x14ac:dyDescent="0.25">
      <c r="C1393" s="9"/>
      <c r="D1393" s="10">
        <v>45720</v>
      </c>
      <c r="E1393" t="s">
        <v>1161</v>
      </c>
      <c r="F1393" s="11" t="s">
        <v>1162</v>
      </c>
      <c r="G1393" s="8">
        <v>0</v>
      </c>
      <c r="H1393" s="8">
        <v>3077.27</v>
      </c>
      <c r="I1393" s="8">
        <f t="shared" si="82"/>
        <v>-7890.9800000000014</v>
      </c>
      <c r="J1393" s="12"/>
    </row>
    <row r="1394" spans="1:10" hidden="1" x14ac:dyDescent="0.25">
      <c r="C1394" s="9"/>
      <c r="D1394" s="10">
        <v>45733</v>
      </c>
      <c r="E1394" t="s">
        <v>11</v>
      </c>
      <c r="F1394" s="11" t="s">
        <v>1149</v>
      </c>
      <c r="G1394" s="57">
        <v>2074</v>
      </c>
      <c r="H1394" s="8">
        <v>0</v>
      </c>
      <c r="I1394" s="8">
        <f t="shared" si="82"/>
        <v>-5816.9800000000014</v>
      </c>
      <c r="J1394" s="12"/>
    </row>
    <row r="1395" spans="1:10" hidden="1" x14ac:dyDescent="0.25">
      <c r="C1395" s="9"/>
      <c r="D1395" s="10">
        <v>45762</v>
      </c>
      <c r="E1395" t="s">
        <v>11</v>
      </c>
      <c r="F1395" s="11" t="s">
        <v>1155</v>
      </c>
      <c r="G1395" s="57">
        <v>1035.03</v>
      </c>
      <c r="H1395" s="8">
        <v>0</v>
      </c>
      <c r="I1395" s="8">
        <f t="shared" si="82"/>
        <v>-4781.9500000000016</v>
      </c>
      <c r="J1395" s="12"/>
    </row>
    <row r="1396" spans="1:10" hidden="1" x14ac:dyDescent="0.25">
      <c r="E1396" s="4" t="s">
        <v>20</v>
      </c>
      <c r="G1396" s="8">
        <f>SUM(G1384:G1395)</f>
        <v>4378.82</v>
      </c>
      <c r="H1396" s="8">
        <f>SUM(H1384:H1395)</f>
        <v>9160.77</v>
      </c>
      <c r="I1396" s="8">
        <f>G1396-H1396</f>
        <v>-4781.9500000000007</v>
      </c>
    </row>
    <row r="1398" spans="1:10" x14ac:dyDescent="0.25">
      <c r="A1398" s="5">
        <v>4000764</v>
      </c>
      <c r="B1398" s="6" t="s">
        <v>1163</v>
      </c>
      <c r="C1398" s="7"/>
      <c r="D1398" s="7"/>
      <c r="E1398" s="7"/>
      <c r="F1398" s="7"/>
      <c r="G1398" s="7"/>
      <c r="H1398" s="7"/>
      <c r="I1398" s="7"/>
      <c r="J1398" s="7"/>
    </row>
    <row r="1399" spans="1:10" x14ac:dyDescent="0.25">
      <c r="B1399" s="63">
        <v>45708</v>
      </c>
      <c r="C1399" s="9"/>
      <c r="D1399" s="10">
        <v>45658</v>
      </c>
      <c r="E1399" t="s">
        <v>1164</v>
      </c>
      <c r="F1399" s="11" t="s">
        <v>1165</v>
      </c>
      <c r="G1399" s="8">
        <v>0</v>
      </c>
      <c r="H1399" s="8">
        <v>226.11</v>
      </c>
      <c r="I1399" s="8">
        <f>G1399-H1399</f>
        <v>-226.11</v>
      </c>
      <c r="J1399" s="32" t="s">
        <v>8147</v>
      </c>
    </row>
    <row r="1400" spans="1:10" hidden="1" x14ac:dyDescent="0.25">
      <c r="C1400" s="9"/>
      <c r="D1400" s="10">
        <v>45695</v>
      </c>
      <c r="E1400" t="s">
        <v>1166</v>
      </c>
      <c r="F1400" s="11" t="s">
        <v>1167</v>
      </c>
      <c r="G1400" s="8">
        <v>40.17</v>
      </c>
      <c r="H1400" s="8">
        <v>40.17</v>
      </c>
      <c r="I1400" s="8">
        <f>G1400-H1400+I1399</f>
        <v>-226.11</v>
      </c>
      <c r="J1400" s="63"/>
    </row>
    <row r="1401" spans="1:10" hidden="1" x14ac:dyDescent="0.25">
      <c r="C1401" s="9"/>
      <c r="D1401" s="10">
        <v>45715</v>
      </c>
      <c r="E1401" t="s">
        <v>1168</v>
      </c>
      <c r="F1401" s="11" t="s">
        <v>1169</v>
      </c>
      <c r="G1401" s="8">
        <v>0</v>
      </c>
      <c r="H1401" s="8">
        <v>40.17</v>
      </c>
      <c r="I1401" s="8">
        <f>G1401-H1401+I1400</f>
        <v>-266.28000000000003</v>
      </c>
      <c r="J1401" s="63">
        <v>45775</v>
      </c>
    </row>
    <row r="1402" spans="1:10" hidden="1" x14ac:dyDescent="0.25">
      <c r="E1402" s="4" t="s">
        <v>20</v>
      </c>
      <c r="G1402" s="8">
        <f>SUM(G1399:G1401)</f>
        <v>40.17</v>
      </c>
      <c r="H1402" s="8">
        <f>SUM(H1399:H1401)</f>
        <v>306.45000000000005</v>
      </c>
      <c r="I1402" s="8">
        <f>G1402-H1402</f>
        <v>-266.28000000000003</v>
      </c>
    </row>
    <row r="1404" spans="1:10" x14ac:dyDescent="0.25">
      <c r="A1404" s="5">
        <v>4000766</v>
      </c>
      <c r="B1404" s="6" t="s">
        <v>1170</v>
      </c>
      <c r="C1404" s="7"/>
      <c r="D1404" s="7"/>
      <c r="E1404" s="7"/>
      <c r="F1404" s="7"/>
      <c r="G1404" s="7"/>
      <c r="H1404" s="7"/>
      <c r="I1404" s="7"/>
      <c r="J1404" s="7"/>
    </row>
    <row r="1405" spans="1:10" x14ac:dyDescent="0.25">
      <c r="C1405" s="9"/>
      <c r="D1405" s="35">
        <v>45511</v>
      </c>
      <c r="E1405" s="36" t="s">
        <v>8242</v>
      </c>
      <c r="F1405" s="37" t="s">
        <v>42</v>
      </c>
      <c r="G1405" s="38">
        <v>0</v>
      </c>
      <c r="H1405" s="38">
        <v>534.88</v>
      </c>
      <c r="I1405" s="38">
        <f t="shared" ref="I1405" si="83">G1405-H1405+I1404</f>
        <v>-534.88</v>
      </c>
      <c r="J1405" s="32" t="s">
        <v>8249</v>
      </c>
    </row>
    <row r="1406" spans="1:10" hidden="1" x14ac:dyDescent="0.25">
      <c r="E1406" s="4" t="s">
        <v>10</v>
      </c>
      <c r="G1406" s="8">
        <v>0</v>
      </c>
      <c r="H1406" s="8">
        <v>534.88</v>
      </c>
      <c r="I1406" s="8">
        <f>G1406-H1406</f>
        <v>-534.88</v>
      </c>
    </row>
    <row r="1407" spans="1:10" hidden="1" x14ac:dyDescent="0.25">
      <c r="C1407" s="9"/>
      <c r="D1407" s="10">
        <v>45688</v>
      </c>
      <c r="E1407" t="s">
        <v>1171</v>
      </c>
      <c r="F1407" s="11" t="s">
        <v>1172</v>
      </c>
      <c r="G1407" s="8">
        <v>0</v>
      </c>
      <c r="H1407" s="76">
        <v>550.25</v>
      </c>
      <c r="I1407" s="8">
        <f>G1407-H1407+I1406</f>
        <v>-1085.1300000000001</v>
      </c>
      <c r="J1407" s="12"/>
    </row>
    <row r="1408" spans="1:10" hidden="1" x14ac:dyDescent="0.25">
      <c r="C1408" s="9"/>
      <c r="D1408" s="10">
        <v>45730</v>
      </c>
      <c r="E1408" t="s">
        <v>1173</v>
      </c>
      <c r="F1408" s="11" t="s">
        <v>1174</v>
      </c>
      <c r="G1408" s="8">
        <v>0</v>
      </c>
      <c r="H1408" s="8">
        <v>656.88</v>
      </c>
      <c r="I1408" s="8">
        <f>G1408-H1408+I1407</f>
        <v>-1742.0100000000002</v>
      </c>
      <c r="J1408" s="12"/>
    </row>
    <row r="1409" spans="1:10" hidden="1" x14ac:dyDescent="0.25">
      <c r="C1409" s="9"/>
      <c r="D1409" s="10">
        <v>45762</v>
      </c>
      <c r="E1409" t="s">
        <v>11</v>
      </c>
      <c r="F1409" s="11" t="s">
        <v>1172</v>
      </c>
      <c r="G1409" s="76">
        <v>550.25</v>
      </c>
      <c r="H1409" s="8">
        <v>0</v>
      </c>
      <c r="I1409" s="8">
        <f>G1409-H1409+I1408</f>
        <v>-1191.7600000000002</v>
      </c>
      <c r="J1409" s="12"/>
    </row>
    <row r="1410" spans="1:10" hidden="1" x14ac:dyDescent="0.25">
      <c r="E1410" s="4" t="s">
        <v>20</v>
      </c>
      <c r="G1410" s="8">
        <f>SUM(G1406:G1409)</f>
        <v>550.25</v>
      </c>
      <c r="H1410" s="8">
        <f>SUM(H1406:H1409)</f>
        <v>1742.0100000000002</v>
      </c>
      <c r="I1410" s="8">
        <f>G1410-H1410</f>
        <v>-1191.7600000000002</v>
      </c>
    </row>
    <row r="1412" spans="1:10" hidden="1" x14ac:dyDescent="0.25">
      <c r="A1412" s="5">
        <v>4000769</v>
      </c>
      <c r="B1412" s="6" t="s">
        <v>1175</v>
      </c>
      <c r="C1412" s="7"/>
      <c r="D1412" s="7"/>
      <c r="E1412" s="7"/>
      <c r="F1412" s="7"/>
      <c r="G1412" s="7"/>
      <c r="H1412" s="7"/>
      <c r="I1412" s="7"/>
      <c r="J1412" s="7"/>
    </row>
    <row r="1413" spans="1:10" hidden="1" x14ac:dyDescent="0.25">
      <c r="E1413" s="4" t="s">
        <v>10</v>
      </c>
      <c r="G1413" s="38">
        <v>0</v>
      </c>
      <c r="H1413" s="38">
        <v>825.66</v>
      </c>
      <c r="I1413" s="8">
        <f>G1413-H1413</f>
        <v>-825.66</v>
      </c>
    </row>
    <row r="1414" spans="1:10" hidden="1" x14ac:dyDescent="0.25">
      <c r="C1414" s="9"/>
      <c r="D1414" s="10">
        <v>45667</v>
      </c>
      <c r="E1414" t="s">
        <v>1176</v>
      </c>
      <c r="F1414" s="11" t="s">
        <v>1177</v>
      </c>
      <c r="G1414" s="38">
        <v>0</v>
      </c>
      <c r="H1414" s="38">
        <v>842.84</v>
      </c>
      <c r="I1414" s="8">
        <f t="shared" ref="I1414:I1426" si="84">G1414-H1414+I1413</f>
        <v>-1668.5</v>
      </c>
      <c r="J1414" s="12"/>
    </row>
    <row r="1415" spans="1:10" hidden="1" x14ac:dyDescent="0.25">
      <c r="C1415" s="9"/>
      <c r="D1415" s="10">
        <v>45672</v>
      </c>
      <c r="E1415" t="s">
        <v>1178</v>
      </c>
      <c r="F1415" s="11" t="s">
        <v>1179</v>
      </c>
      <c r="G1415" s="38">
        <v>0</v>
      </c>
      <c r="H1415" s="38">
        <v>239.36</v>
      </c>
      <c r="I1415" s="8">
        <f t="shared" si="84"/>
        <v>-1907.8600000000001</v>
      </c>
      <c r="J1415" s="12"/>
    </row>
    <row r="1416" spans="1:10" hidden="1" x14ac:dyDescent="0.25">
      <c r="C1416" s="9"/>
      <c r="D1416" s="10">
        <v>45672</v>
      </c>
      <c r="E1416" t="s">
        <v>11</v>
      </c>
      <c r="F1416" s="11" t="s">
        <v>1180</v>
      </c>
      <c r="G1416" s="38">
        <v>825.66</v>
      </c>
      <c r="H1416" s="38">
        <v>0</v>
      </c>
      <c r="I1416" s="8">
        <f t="shared" si="84"/>
        <v>-1082.2000000000003</v>
      </c>
      <c r="J1416" s="12"/>
    </row>
    <row r="1417" spans="1:10" hidden="1" x14ac:dyDescent="0.25">
      <c r="C1417" s="9"/>
      <c r="D1417" s="10">
        <v>45672</v>
      </c>
      <c r="E1417" t="s">
        <v>11</v>
      </c>
      <c r="F1417" s="11" t="s">
        <v>1180</v>
      </c>
      <c r="G1417" s="38">
        <v>0</v>
      </c>
      <c r="H1417" s="38">
        <v>825.66</v>
      </c>
      <c r="I1417" s="8">
        <f t="shared" si="84"/>
        <v>-1907.8600000000001</v>
      </c>
      <c r="J1417" s="12"/>
    </row>
    <row r="1418" spans="1:10" hidden="1" x14ac:dyDescent="0.25">
      <c r="C1418" s="9"/>
      <c r="D1418" s="10">
        <v>45681</v>
      </c>
      <c r="E1418" t="s">
        <v>1181</v>
      </c>
      <c r="F1418" s="11" t="s">
        <v>42</v>
      </c>
      <c r="G1418" s="38">
        <v>825.66</v>
      </c>
      <c r="H1418" s="38">
        <v>0</v>
      </c>
      <c r="I1418" s="8">
        <f t="shared" si="84"/>
        <v>-1082.2000000000003</v>
      </c>
      <c r="J1418" s="12"/>
    </row>
    <row r="1419" spans="1:10" hidden="1" x14ac:dyDescent="0.25">
      <c r="C1419" s="9"/>
      <c r="D1419" s="10">
        <v>45688</v>
      </c>
      <c r="E1419" t="s">
        <v>1182</v>
      </c>
      <c r="F1419" s="11" t="s">
        <v>1183</v>
      </c>
      <c r="G1419" s="38">
        <v>0</v>
      </c>
      <c r="H1419" s="38">
        <v>472.94</v>
      </c>
      <c r="I1419" s="8">
        <f t="shared" si="84"/>
        <v>-1555.1400000000003</v>
      </c>
      <c r="J1419" s="12"/>
    </row>
    <row r="1420" spans="1:10" hidden="1" x14ac:dyDescent="0.25">
      <c r="C1420" s="9"/>
      <c r="D1420" s="10">
        <v>45703</v>
      </c>
      <c r="E1420" t="s">
        <v>1184</v>
      </c>
      <c r="F1420" s="11" t="s">
        <v>1185</v>
      </c>
      <c r="G1420" s="8">
        <v>0</v>
      </c>
      <c r="H1420" s="8">
        <v>736.85</v>
      </c>
      <c r="I1420" s="8">
        <f t="shared" si="84"/>
        <v>-2291.9900000000002</v>
      </c>
      <c r="J1420" s="63">
        <v>45762</v>
      </c>
    </row>
    <row r="1421" spans="1:10" hidden="1" x14ac:dyDescent="0.25">
      <c r="C1421" s="9"/>
      <c r="D1421" s="10">
        <v>45731</v>
      </c>
      <c r="E1421" t="s">
        <v>1186</v>
      </c>
      <c r="F1421" s="11" t="s">
        <v>1187</v>
      </c>
      <c r="G1421" s="8">
        <v>0</v>
      </c>
      <c r="H1421" s="8">
        <v>416.76</v>
      </c>
      <c r="I1421" s="8">
        <f t="shared" si="84"/>
        <v>-2708.75</v>
      </c>
      <c r="J1421" s="12"/>
    </row>
    <row r="1422" spans="1:10" hidden="1" x14ac:dyDescent="0.25">
      <c r="C1422" s="9"/>
      <c r="D1422" s="10">
        <v>45733</v>
      </c>
      <c r="E1422" t="s">
        <v>11</v>
      </c>
      <c r="F1422" s="11" t="s">
        <v>1183</v>
      </c>
      <c r="G1422" s="38">
        <v>472.94</v>
      </c>
      <c r="H1422" s="8">
        <v>0</v>
      </c>
      <c r="I1422" s="8">
        <f t="shared" si="84"/>
        <v>-2235.81</v>
      </c>
      <c r="J1422" s="12"/>
    </row>
    <row r="1423" spans="1:10" hidden="1" x14ac:dyDescent="0.25">
      <c r="C1423" s="9"/>
      <c r="D1423" s="10">
        <v>45733</v>
      </c>
      <c r="E1423" t="s">
        <v>1188</v>
      </c>
      <c r="F1423" s="11" t="s">
        <v>1179</v>
      </c>
      <c r="G1423" s="38">
        <v>1082.2</v>
      </c>
      <c r="H1423" s="8">
        <v>0</v>
      </c>
      <c r="I1423" s="8">
        <f t="shared" si="84"/>
        <v>-1153.6099999999999</v>
      </c>
      <c r="J1423" s="12"/>
    </row>
    <row r="1424" spans="1:10" hidden="1" x14ac:dyDescent="0.25">
      <c r="C1424" s="9"/>
      <c r="D1424" s="10">
        <v>45736</v>
      </c>
      <c r="E1424" t="s">
        <v>1189</v>
      </c>
      <c r="F1424" s="11" t="s">
        <v>1190</v>
      </c>
      <c r="G1424" s="8">
        <v>0</v>
      </c>
      <c r="H1424" s="8">
        <v>276.47000000000003</v>
      </c>
      <c r="I1424" s="8">
        <f t="shared" si="84"/>
        <v>-1430.08</v>
      </c>
      <c r="J1424" s="12"/>
    </row>
    <row r="1425" spans="1:10" hidden="1" x14ac:dyDescent="0.25">
      <c r="C1425" s="9"/>
      <c r="D1425" s="10">
        <v>45741</v>
      </c>
      <c r="E1425" t="s">
        <v>1191</v>
      </c>
      <c r="F1425" s="11" t="s">
        <v>1192</v>
      </c>
      <c r="G1425" s="8">
        <v>0</v>
      </c>
      <c r="H1425" s="8">
        <v>366.53</v>
      </c>
      <c r="I1425" s="8">
        <f t="shared" si="84"/>
        <v>-1796.61</v>
      </c>
      <c r="J1425" s="12"/>
    </row>
    <row r="1426" spans="1:10" hidden="1" x14ac:dyDescent="0.25">
      <c r="C1426" s="9"/>
      <c r="D1426" s="10">
        <v>45747</v>
      </c>
      <c r="E1426" t="s">
        <v>1193</v>
      </c>
      <c r="F1426" s="11" t="s">
        <v>1194</v>
      </c>
      <c r="G1426" s="8">
        <v>0</v>
      </c>
      <c r="H1426" s="8">
        <v>297.89999999999998</v>
      </c>
      <c r="I1426" s="8">
        <f t="shared" si="84"/>
        <v>-2094.5099999999998</v>
      </c>
      <c r="J1426" s="12"/>
    </row>
    <row r="1427" spans="1:10" hidden="1" x14ac:dyDescent="0.25">
      <c r="E1427" s="4" t="s">
        <v>20</v>
      </c>
      <c r="G1427" s="8">
        <f>SUM(G1413:G1426)</f>
        <v>3206.46</v>
      </c>
      <c r="H1427" s="8">
        <f>SUM(H1413:H1426)</f>
        <v>5300.9699999999993</v>
      </c>
      <c r="I1427" s="8">
        <f>G1427-H1427</f>
        <v>-2094.5099999999993</v>
      </c>
    </row>
    <row r="1428" spans="1:10" hidden="1" x14ac:dyDescent="0.25"/>
    <row r="1429" spans="1:10" x14ac:dyDescent="0.25">
      <c r="A1429" s="5">
        <v>4000771</v>
      </c>
      <c r="B1429" s="6" t="s">
        <v>1195</v>
      </c>
      <c r="C1429" s="7"/>
      <c r="D1429" s="7"/>
      <c r="E1429" s="7"/>
      <c r="F1429" s="7"/>
      <c r="G1429" s="7"/>
      <c r="H1429" s="7"/>
      <c r="I1429" s="7"/>
      <c r="J1429" s="7"/>
    </row>
    <row r="1430" spans="1:10" x14ac:dyDescent="0.25">
      <c r="C1430" s="9"/>
      <c r="D1430" s="35">
        <v>45511</v>
      </c>
      <c r="E1430" s="36" t="s">
        <v>8242</v>
      </c>
      <c r="F1430" s="37" t="s">
        <v>42</v>
      </c>
      <c r="G1430" s="38">
        <v>0</v>
      </c>
      <c r="H1430" s="38">
        <v>399.06</v>
      </c>
      <c r="I1430" s="38">
        <f t="shared" ref="I1430" si="85">G1430-H1430+I1429</f>
        <v>-399.06</v>
      </c>
      <c r="J1430" s="32" t="s">
        <v>8249</v>
      </c>
    </row>
    <row r="1431" spans="1:10" hidden="1" x14ac:dyDescent="0.25">
      <c r="E1431" s="4" t="s">
        <v>10</v>
      </c>
      <c r="G1431" s="8">
        <v>0</v>
      </c>
      <c r="H1431" s="8">
        <v>399.06</v>
      </c>
      <c r="I1431" s="8">
        <f>G1431-H1431</f>
        <v>-399.06</v>
      </c>
    </row>
    <row r="1432" spans="1:10" hidden="1" x14ac:dyDescent="0.25">
      <c r="C1432" s="9"/>
      <c r="D1432" s="10">
        <v>45658</v>
      </c>
      <c r="E1432" t="s">
        <v>1196</v>
      </c>
      <c r="F1432" s="11" t="s">
        <v>1197</v>
      </c>
      <c r="G1432" s="38">
        <v>0</v>
      </c>
      <c r="H1432" s="38">
        <v>80.569999999999993</v>
      </c>
      <c r="I1432" s="8">
        <f>G1432-H1432+I1431</f>
        <v>-479.63</v>
      </c>
      <c r="J1432" s="12"/>
    </row>
    <row r="1433" spans="1:10" hidden="1" x14ac:dyDescent="0.25">
      <c r="C1433" s="9"/>
      <c r="D1433" s="10">
        <v>45658</v>
      </c>
      <c r="E1433" t="s">
        <v>1198</v>
      </c>
      <c r="F1433" s="11" t="s">
        <v>1199</v>
      </c>
      <c r="G1433" s="38">
        <v>0</v>
      </c>
      <c r="H1433" s="38">
        <v>48.52</v>
      </c>
      <c r="I1433" s="8">
        <f>G1433-H1433+I1432</f>
        <v>-528.15</v>
      </c>
      <c r="J1433" s="12"/>
    </row>
    <row r="1434" spans="1:10" hidden="1" x14ac:dyDescent="0.25">
      <c r="C1434" s="9"/>
      <c r="D1434" s="10">
        <v>45672</v>
      </c>
      <c r="E1434" t="s">
        <v>11</v>
      </c>
      <c r="F1434" s="11" t="s">
        <v>1197</v>
      </c>
      <c r="G1434" s="38">
        <v>80.569999999999993</v>
      </c>
      <c r="H1434" s="38">
        <v>0</v>
      </c>
      <c r="I1434" s="8">
        <f>G1434-H1434+I1433</f>
        <v>-447.58</v>
      </c>
      <c r="J1434" s="12"/>
    </row>
    <row r="1435" spans="1:10" hidden="1" x14ac:dyDescent="0.25">
      <c r="C1435" s="9"/>
      <c r="D1435" s="10">
        <v>45705</v>
      </c>
      <c r="E1435" t="s">
        <v>11</v>
      </c>
      <c r="F1435" s="11" t="s">
        <v>1199</v>
      </c>
      <c r="G1435" s="38">
        <v>48.52</v>
      </c>
      <c r="H1435" s="38">
        <v>0</v>
      </c>
      <c r="I1435" s="8">
        <f>G1435-H1435+I1434</f>
        <v>-399.06</v>
      </c>
      <c r="J1435" s="12"/>
    </row>
    <row r="1436" spans="1:10" hidden="1" x14ac:dyDescent="0.25">
      <c r="E1436" s="4" t="s">
        <v>20</v>
      </c>
      <c r="G1436" s="8">
        <f>SUM(G1431:G1435)</f>
        <v>129.09</v>
      </c>
      <c r="H1436" s="8">
        <f>SUM(H1431:H1435)</f>
        <v>528.15</v>
      </c>
      <c r="I1436" s="8">
        <f>G1436-H1436</f>
        <v>-399.05999999999995</v>
      </c>
    </row>
    <row r="1438" spans="1:10" hidden="1" x14ac:dyDescent="0.25">
      <c r="A1438" s="5">
        <v>4000775</v>
      </c>
      <c r="B1438" s="6" t="s">
        <v>1200</v>
      </c>
      <c r="C1438" s="7"/>
      <c r="D1438" s="7"/>
      <c r="E1438" s="7"/>
      <c r="F1438" s="7"/>
      <c r="G1438" s="7"/>
      <c r="H1438" s="7"/>
      <c r="I1438" s="7"/>
      <c r="J1438" s="7"/>
    </row>
    <row r="1439" spans="1:10" hidden="1" x14ac:dyDescent="0.25">
      <c r="E1439" s="4" t="s">
        <v>10</v>
      </c>
      <c r="G1439" s="8">
        <v>0</v>
      </c>
      <c r="H1439" s="38">
        <v>2551.0300000000002</v>
      </c>
      <c r="I1439" s="8">
        <f>G1439-H1439</f>
        <v>-2551.0300000000002</v>
      </c>
    </row>
    <row r="1440" spans="1:10" hidden="1" x14ac:dyDescent="0.25">
      <c r="C1440" s="9"/>
      <c r="D1440" s="10">
        <v>45672</v>
      </c>
      <c r="E1440" t="s">
        <v>1201</v>
      </c>
      <c r="F1440" s="11" t="s">
        <v>1202</v>
      </c>
      <c r="G1440" s="8">
        <v>0</v>
      </c>
      <c r="H1440" s="38">
        <v>511.65</v>
      </c>
      <c r="I1440" s="8">
        <f t="shared" ref="I1440:I1448" si="86">G1440-H1440+I1439</f>
        <v>-3062.6800000000003</v>
      </c>
      <c r="J1440" s="12"/>
    </row>
    <row r="1441" spans="1:10" hidden="1" x14ac:dyDescent="0.25">
      <c r="C1441" s="9"/>
      <c r="D1441" s="10">
        <v>45672</v>
      </c>
      <c r="E1441" t="s">
        <v>1203</v>
      </c>
      <c r="F1441" s="11" t="s">
        <v>1202</v>
      </c>
      <c r="G1441" s="38">
        <v>1299.5899999999999</v>
      </c>
      <c r="H1441" s="8">
        <v>0</v>
      </c>
      <c r="I1441" s="8">
        <f t="shared" si="86"/>
        <v>-1763.0900000000004</v>
      </c>
      <c r="J1441" s="12"/>
    </row>
    <row r="1442" spans="1:10" hidden="1" x14ac:dyDescent="0.25">
      <c r="C1442" s="9"/>
      <c r="D1442" s="10">
        <v>45688</v>
      </c>
      <c r="E1442" t="s">
        <v>1204</v>
      </c>
      <c r="F1442" s="11" t="s">
        <v>1205</v>
      </c>
      <c r="G1442" s="8">
        <v>0</v>
      </c>
      <c r="H1442" s="8">
        <v>1169.3599999999999</v>
      </c>
      <c r="I1442" s="8">
        <f t="shared" si="86"/>
        <v>-2932.4500000000003</v>
      </c>
      <c r="J1442" s="63">
        <v>45762</v>
      </c>
    </row>
    <row r="1443" spans="1:10" hidden="1" x14ac:dyDescent="0.25">
      <c r="C1443" s="9"/>
      <c r="D1443" s="10">
        <v>45703</v>
      </c>
      <c r="E1443" t="s">
        <v>1206</v>
      </c>
      <c r="F1443" s="11" t="s">
        <v>1207</v>
      </c>
      <c r="G1443" s="8">
        <v>0</v>
      </c>
      <c r="H1443" s="8">
        <v>654.46</v>
      </c>
      <c r="I1443" s="8">
        <f t="shared" si="86"/>
        <v>-3586.9100000000003</v>
      </c>
      <c r="J1443" s="12"/>
    </row>
    <row r="1444" spans="1:10" hidden="1" x14ac:dyDescent="0.25">
      <c r="C1444" s="9"/>
      <c r="D1444" s="10">
        <v>45705</v>
      </c>
      <c r="E1444" t="s">
        <v>1208</v>
      </c>
      <c r="F1444" s="11" t="s">
        <v>42</v>
      </c>
      <c r="G1444" s="38">
        <v>963.88</v>
      </c>
      <c r="H1444" s="8">
        <v>0</v>
      </c>
      <c r="I1444" s="8">
        <f t="shared" si="86"/>
        <v>-2623.03</v>
      </c>
      <c r="J1444" s="12"/>
    </row>
    <row r="1445" spans="1:10" hidden="1" x14ac:dyDescent="0.25">
      <c r="C1445" s="9"/>
      <c r="D1445" s="10">
        <v>45716</v>
      </c>
      <c r="E1445" t="s">
        <v>1209</v>
      </c>
      <c r="F1445" s="11" t="s">
        <v>1210</v>
      </c>
      <c r="G1445" s="8">
        <v>0</v>
      </c>
      <c r="H1445" s="8">
        <v>773.46</v>
      </c>
      <c r="I1445" s="8">
        <f t="shared" si="86"/>
        <v>-3396.4900000000002</v>
      </c>
      <c r="J1445" s="12"/>
    </row>
    <row r="1446" spans="1:10" hidden="1" x14ac:dyDescent="0.25">
      <c r="C1446" s="9"/>
      <c r="D1446" s="10">
        <v>45731</v>
      </c>
      <c r="E1446" t="s">
        <v>1211</v>
      </c>
      <c r="F1446" s="11" t="s">
        <v>1212</v>
      </c>
      <c r="G1446" s="8">
        <v>0</v>
      </c>
      <c r="H1446" s="8">
        <v>523.26</v>
      </c>
      <c r="I1446" s="8">
        <f t="shared" si="86"/>
        <v>-3919.75</v>
      </c>
      <c r="J1446" s="12"/>
    </row>
    <row r="1447" spans="1:10" hidden="1" x14ac:dyDescent="0.25">
      <c r="C1447" s="9"/>
      <c r="D1447" s="10">
        <v>45733</v>
      </c>
      <c r="E1447" t="s">
        <v>1213</v>
      </c>
      <c r="F1447" s="11" t="s">
        <v>1202</v>
      </c>
      <c r="G1447" s="38">
        <v>799.21</v>
      </c>
      <c r="H1447" s="8">
        <v>0</v>
      </c>
      <c r="I1447" s="8">
        <f t="shared" si="86"/>
        <v>-3120.54</v>
      </c>
      <c r="J1447" s="12"/>
    </row>
    <row r="1448" spans="1:10" hidden="1" x14ac:dyDescent="0.25">
      <c r="C1448" s="9"/>
      <c r="D1448" s="10">
        <v>45747</v>
      </c>
      <c r="E1448" t="s">
        <v>1214</v>
      </c>
      <c r="F1448" s="11" t="s">
        <v>1215</v>
      </c>
      <c r="G1448" s="8">
        <v>0</v>
      </c>
      <c r="H1448" s="8">
        <v>465.75</v>
      </c>
      <c r="I1448" s="8">
        <f t="shared" si="86"/>
        <v>-3586.29</v>
      </c>
      <c r="J1448" s="12"/>
    </row>
    <row r="1449" spans="1:10" hidden="1" x14ac:dyDescent="0.25">
      <c r="E1449" s="4" t="s">
        <v>20</v>
      </c>
      <c r="G1449" s="8">
        <f>SUM(G1439:G1448)</f>
        <v>3062.68</v>
      </c>
      <c r="H1449" s="8">
        <f>SUM(H1439:H1448)</f>
        <v>6648.97</v>
      </c>
      <c r="I1449" s="8">
        <f>G1449-H1449</f>
        <v>-3586.2900000000004</v>
      </c>
    </row>
    <row r="1450" spans="1:10" hidden="1" x14ac:dyDescent="0.25"/>
    <row r="1451" spans="1:10" hidden="1" x14ac:dyDescent="0.25">
      <c r="A1451" s="5">
        <v>4000777</v>
      </c>
      <c r="B1451" s="6" t="s">
        <v>1216</v>
      </c>
      <c r="C1451" s="7"/>
      <c r="D1451" s="7"/>
      <c r="E1451" s="7"/>
      <c r="F1451" s="7"/>
      <c r="G1451" s="7"/>
      <c r="H1451" s="7"/>
      <c r="I1451" s="7"/>
      <c r="J1451" s="7"/>
    </row>
    <row r="1452" spans="1:10" hidden="1" x14ac:dyDescent="0.25">
      <c r="E1452" s="4" t="s">
        <v>10</v>
      </c>
      <c r="G1452" s="8">
        <v>0</v>
      </c>
      <c r="H1452" s="38">
        <v>431.24</v>
      </c>
      <c r="I1452" s="8">
        <f>G1452-H1452</f>
        <v>-431.24</v>
      </c>
    </row>
    <row r="1453" spans="1:10" hidden="1" x14ac:dyDescent="0.25">
      <c r="C1453" s="9"/>
      <c r="D1453" s="10">
        <v>45747</v>
      </c>
      <c r="E1453" t="s">
        <v>1217</v>
      </c>
      <c r="F1453" s="11" t="s">
        <v>1218</v>
      </c>
      <c r="G1453" s="8">
        <v>0</v>
      </c>
      <c r="H1453" s="8">
        <v>21.54</v>
      </c>
      <c r="I1453" s="8">
        <f>G1453-H1453+I1452</f>
        <v>-452.78000000000003</v>
      </c>
      <c r="J1453" s="12"/>
    </row>
    <row r="1454" spans="1:10" hidden="1" x14ac:dyDescent="0.25">
      <c r="C1454" s="9"/>
      <c r="D1454" s="10">
        <v>45749</v>
      </c>
      <c r="E1454" t="s">
        <v>11</v>
      </c>
      <c r="F1454" s="11" t="s">
        <v>1219</v>
      </c>
      <c r="G1454" s="38">
        <v>431.24</v>
      </c>
      <c r="H1454" s="8">
        <v>0</v>
      </c>
      <c r="I1454" s="8">
        <f>G1454-H1454+I1453</f>
        <v>-21.54000000000002</v>
      </c>
      <c r="J1454" s="12"/>
    </row>
    <row r="1455" spans="1:10" hidden="1" x14ac:dyDescent="0.25">
      <c r="E1455" s="4" t="s">
        <v>20</v>
      </c>
      <c r="G1455" s="8">
        <f>SUM(G1452:G1454)</f>
        <v>431.24</v>
      </c>
      <c r="H1455" s="8">
        <f>SUM(H1452:H1454)</f>
        <v>452.78000000000003</v>
      </c>
      <c r="I1455" s="8">
        <f>G1455-H1455</f>
        <v>-21.54000000000002</v>
      </c>
    </row>
    <row r="1456" spans="1:10" hidden="1" x14ac:dyDescent="0.25"/>
    <row r="1457" spans="1:10" hidden="1" x14ac:dyDescent="0.25">
      <c r="A1457" s="5">
        <v>4000790</v>
      </c>
      <c r="B1457" s="6" t="s">
        <v>1220</v>
      </c>
      <c r="C1457" s="7"/>
      <c r="D1457" s="7"/>
      <c r="E1457" s="7"/>
      <c r="F1457" s="7"/>
      <c r="G1457" s="7"/>
      <c r="H1457" s="7"/>
      <c r="I1457" s="7"/>
      <c r="J1457" s="7"/>
    </row>
    <row r="1458" spans="1:10" hidden="1" x14ac:dyDescent="0.25">
      <c r="E1458" s="4" t="s">
        <v>10</v>
      </c>
      <c r="G1458" s="8">
        <v>0</v>
      </c>
      <c r="H1458" s="8">
        <v>923.2</v>
      </c>
      <c r="I1458" s="8">
        <f>G1458-H1458</f>
        <v>-923.2</v>
      </c>
    </row>
    <row r="1459" spans="1:10" hidden="1" x14ac:dyDescent="0.25">
      <c r="C1459" s="9"/>
      <c r="D1459" s="10">
        <v>45672</v>
      </c>
      <c r="E1459" t="s">
        <v>11</v>
      </c>
      <c r="F1459" s="11" t="s">
        <v>1221</v>
      </c>
      <c r="G1459" s="8">
        <v>923.2</v>
      </c>
      <c r="H1459" s="8">
        <v>0</v>
      </c>
      <c r="I1459" s="8">
        <f t="shared" ref="I1459:I1464" si="87">G1459-H1459+I1458</f>
        <v>0</v>
      </c>
      <c r="J1459" s="63"/>
    </row>
    <row r="1460" spans="1:10" hidden="1" x14ac:dyDescent="0.25">
      <c r="C1460" s="9"/>
      <c r="D1460" s="10">
        <v>45688</v>
      </c>
      <c r="E1460" t="s">
        <v>1222</v>
      </c>
      <c r="F1460" s="11" t="s">
        <v>1223</v>
      </c>
      <c r="G1460" s="8">
        <v>0</v>
      </c>
      <c r="H1460" s="38">
        <v>435.6</v>
      </c>
      <c r="I1460" s="8">
        <f t="shared" si="87"/>
        <v>-435.6</v>
      </c>
      <c r="J1460" s="63">
        <v>45731</v>
      </c>
    </row>
    <row r="1461" spans="1:10" hidden="1" x14ac:dyDescent="0.25">
      <c r="C1461" s="9"/>
      <c r="D1461" s="10">
        <v>45716</v>
      </c>
      <c r="E1461" t="s">
        <v>1224</v>
      </c>
      <c r="F1461" s="11" t="s">
        <v>1225</v>
      </c>
      <c r="G1461" s="8">
        <v>0</v>
      </c>
      <c r="H1461" s="38">
        <v>435.6</v>
      </c>
      <c r="I1461" s="8">
        <f t="shared" si="87"/>
        <v>-871.2</v>
      </c>
      <c r="J1461" s="63">
        <v>45762</v>
      </c>
    </row>
    <row r="1462" spans="1:10" hidden="1" x14ac:dyDescent="0.25">
      <c r="C1462" s="9"/>
      <c r="D1462" s="10">
        <v>45733</v>
      </c>
      <c r="E1462" t="s">
        <v>11</v>
      </c>
      <c r="F1462" s="11" t="s">
        <v>1226</v>
      </c>
      <c r="G1462" s="38">
        <v>435.6</v>
      </c>
      <c r="H1462" s="8">
        <v>0</v>
      </c>
      <c r="I1462" s="8">
        <f t="shared" si="87"/>
        <v>-435.6</v>
      </c>
      <c r="J1462" s="63"/>
    </row>
    <row r="1463" spans="1:10" hidden="1" x14ac:dyDescent="0.25">
      <c r="C1463" s="9"/>
      <c r="D1463" s="10">
        <v>45747</v>
      </c>
      <c r="E1463" t="s">
        <v>1227</v>
      </c>
      <c r="F1463" s="11" t="s">
        <v>1226</v>
      </c>
      <c r="G1463" s="8">
        <v>0</v>
      </c>
      <c r="H1463" s="8">
        <v>435.6</v>
      </c>
      <c r="I1463" s="8">
        <f t="shared" si="87"/>
        <v>-871.2</v>
      </c>
      <c r="J1463" s="63">
        <v>45792</v>
      </c>
    </row>
    <row r="1464" spans="1:10" hidden="1" x14ac:dyDescent="0.25">
      <c r="C1464" s="9"/>
      <c r="D1464" s="10">
        <v>45762</v>
      </c>
      <c r="E1464" t="s">
        <v>11</v>
      </c>
      <c r="F1464" s="11" t="s">
        <v>1226</v>
      </c>
      <c r="G1464" s="38">
        <v>435.6</v>
      </c>
      <c r="H1464" s="8">
        <v>0</v>
      </c>
      <c r="I1464" s="8">
        <f t="shared" si="87"/>
        <v>-435.6</v>
      </c>
      <c r="J1464" s="63"/>
    </row>
    <row r="1465" spans="1:10" hidden="1" x14ac:dyDescent="0.25">
      <c r="E1465" s="4" t="s">
        <v>20</v>
      </c>
      <c r="G1465" s="8">
        <f>SUM(G1458:G1464)</f>
        <v>1794.4</v>
      </c>
      <c r="H1465" s="8">
        <f>SUM(H1458:H1464)</f>
        <v>2230</v>
      </c>
      <c r="I1465" s="8">
        <f>G1465-H1465</f>
        <v>-435.59999999999991</v>
      </c>
      <c r="J1465" s="63"/>
    </row>
    <row r="1466" spans="1:10" hidden="1" x14ac:dyDescent="0.25"/>
    <row r="1467" spans="1:10" hidden="1" x14ac:dyDescent="0.25">
      <c r="A1467" s="5">
        <v>4000794</v>
      </c>
      <c r="B1467" s="6" t="s">
        <v>1228</v>
      </c>
      <c r="C1467" s="7"/>
      <c r="D1467" s="7"/>
      <c r="E1467" s="7"/>
      <c r="F1467" s="7"/>
      <c r="G1467" s="7"/>
      <c r="H1467" s="7"/>
      <c r="I1467" s="7"/>
      <c r="J1467" s="7"/>
    </row>
    <row r="1468" spans="1:10" hidden="1" x14ac:dyDescent="0.25">
      <c r="E1468" s="4" t="s">
        <v>10</v>
      </c>
      <c r="G1468" s="8">
        <v>0</v>
      </c>
      <c r="H1468" s="29">
        <v>6575.1</v>
      </c>
      <c r="I1468" s="8">
        <f>G1468-H1468</f>
        <v>-6575.1</v>
      </c>
      <c r="J1468" s="80">
        <f>SUM(G1475:G1506)-H1468</f>
        <v>-84.990000000000691</v>
      </c>
    </row>
    <row r="1469" spans="1:10" hidden="1" x14ac:dyDescent="0.25">
      <c r="C1469" s="9"/>
      <c r="D1469" s="10">
        <v>45679</v>
      </c>
      <c r="E1469" t="s">
        <v>1229</v>
      </c>
      <c r="F1469" s="11" t="s">
        <v>1230</v>
      </c>
      <c r="G1469" s="8">
        <v>0</v>
      </c>
      <c r="H1469" s="57">
        <v>371.95</v>
      </c>
      <c r="I1469" s="8">
        <f t="shared" ref="I1469:I1512" si="88">G1469-H1469+I1468</f>
        <v>-6947.05</v>
      </c>
      <c r="J1469" s="12"/>
    </row>
    <row r="1470" spans="1:10" hidden="1" x14ac:dyDescent="0.25">
      <c r="C1470" s="9"/>
      <c r="D1470" s="10">
        <v>45688</v>
      </c>
      <c r="E1470" t="s">
        <v>1231</v>
      </c>
      <c r="F1470" s="11" t="s">
        <v>1232</v>
      </c>
      <c r="G1470" s="8">
        <v>0</v>
      </c>
      <c r="H1470" s="57">
        <v>479.77</v>
      </c>
      <c r="I1470" s="8">
        <f t="shared" si="88"/>
        <v>-7426.82</v>
      </c>
      <c r="J1470" s="12"/>
    </row>
    <row r="1471" spans="1:10" hidden="1" x14ac:dyDescent="0.25">
      <c r="C1471" s="9"/>
      <c r="D1471" s="10">
        <v>45692</v>
      </c>
      <c r="E1471" t="s">
        <v>1233</v>
      </c>
      <c r="F1471" s="11" t="s">
        <v>1234</v>
      </c>
      <c r="G1471" s="8">
        <v>0</v>
      </c>
      <c r="H1471" s="57">
        <v>893.71</v>
      </c>
      <c r="I1471" s="8">
        <f t="shared" si="88"/>
        <v>-8320.5299999999988</v>
      </c>
      <c r="J1471" s="12"/>
    </row>
    <row r="1472" spans="1:10" hidden="1" x14ac:dyDescent="0.25">
      <c r="C1472" s="9"/>
      <c r="D1472" s="10">
        <v>45698</v>
      </c>
      <c r="E1472" t="s">
        <v>1235</v>
      </c>
      <c r="F1472" s="11" t="s">
        <v>1236</v>
      </c>
      <c r="G1472" s="8">
        <v>0</v>
      </c>
      <c r="H1472" s="57">
        <v>301.52999999999997</v>
      </c>
      <c r="I1472" s="8">
        <f t="shared" si="88"/>
        <v>-8622.06</v>
      </c>
      <c r="J1472" s="12"/>
    </row>
    <row r="1473" spans="3:10" hidden="1" x14ac:dyDescent="0.25">
      <c r="C1473" s="9"/>
      <c r="D1473" s="10">
        <v>45700</v>
      </c>
      <c r="E1473" t="s">
        <v>1237</v>
      </c>
      <c r="F1473" s="11" t="s">
        <v>1238</v>
      </c>
      <c r="G1473" s="8">
        <v>84.99</v>
      </c>
      <c r="H1473" s="57">
        <v>360.58</v>
      </c>
      <c r="I1473" s="8">
        <f t="shared" si="88"/>
        <v>-8897.65</v>
      </c>
      <c r="J1473" s="12"/>
    </row>
    <row r="1474" spans="3:10" hidden="1" x14ac:dyDescent="0.25">
      <c r="C1474" s="9"/>
      <c r="D1474" s="10">
        <v>45700</v>
      </c>
      <c r="E1474" t="s">
        <v>1239</v>
      </c>
      <c r="F1474" s="11" t="s">
        <v>1240</v>
      </c>
      <c r="G1474" s="8">
        <v>0</v>
      </c>
      <c r="H1474" s="57">
        <v>119.49</v>
      </c>
      <c r="I1474" s="8">
        <f t="shared" si="88"/>
        <v>-9017.14</v>
      </c>
      <c r="J1474" s="12"/>
    </row>
    <row r="1475" spans="3:10" hidden="1" x14ac:dyDescent="0.25">
      <c r="C1475" s="9"/>
      <c r="D1475" s="10">
        <v>45702</v>
      </c>
      <c r="E1475" t="s">
        <v>11</v>
      </c>
      <c r="F1475" s="11" t="s">
        <v>1241</v>
      </c>
      <c r="G1475" s="29">
        <v>287.2</v>
      </c>
      <c r="H1475" s="8">
        <v>0</v>
      </c>
      <c r="I1475" s="8">
        <f t="shared" si="88"/>
        <v>-8729.9399999999987</v>
      </c>
      <c r="J1475" s="12"/>
    </row>
    <row r="1476" spans="3:10" hidden="1" x14ac:dyDescent="0.25">
      <c r="C1476" s="9"/>
      <c r="D1476" s="10">
        <v>45702</v>
      </c>
      <c r="E1476" t="s">
        <v>11</v>
      </c>
      <c r="F1476" s="11" t="s">
        <v>1242</v>
      </c>
      <c r="G1476" s="29">
        <v>273.85000000000002</v>
      </c>
      <c r="H1476" s="8">
        <v>0</v>
      </c>
      <c r="I1476" s="8">
        <f t="shared" si="88"/>
        <v>-8456.0899999999983</v>
      </c>
      <c r="J1476" s="12"/>
    </row>
    <row r="1477" spans="3:10" hidden="1" x14ac:dyDescent="0.25">
      <c r="C1477" s="9"/>
      <c r="D1477" s="10">
        <v>45702</v>
      </c>
      <c r="E1477" t="s">
        <v>11</v>
      </c>
      <c r="F1477" s="11" t="s">
        <v>1243</v>
      </c>
      <c r="G1477" s="29">
        <v>13.61</v>
      </c>
      <c r="H1477" s="8">
        <v>0</v>
      </c>
      <c r="I1477" s="8">
        <f t="shared" si="88"/>
        <v>-8442.4799999999977</v>
      </c>
      <c r="J1477" s="12"/>
    </row>
    <row r="1478" spans="3:10" hidden="1" x14ac:dyDescent="0.25">
      <c r="C1478" s="9"/>
      <c r="D1478" s="10">
        <v>45702</v>
      </c>
      <c r="E1478" t="s">
        <v>11</v>
      </c>
      <c r="F1478" s="11" t="s">
        <v>1244</v>
      </c>
      <c r="G1478" s="29">
        <v>324.49</v>
      </c>
      <c r="H1478" s="8">
        <v>0</v>
      </c>
      <c r="I1478" s="8">
        <f t="shared" si="88"/>
        <v>-8117.989999999998</v>
      </c>
      <c r="J1478" s="12"/>
    </row>
    <row r="1479" spans="3:10" hidden="1" x14ac:dyDescent="0.25">
      <c r="C1479" s="9"/>
      <c r="D1479" s="10">
        <v>45702</v>
      </c>
      <c r="E1479" t="s">
        <v>11</v>
      </c>
      <c r="F1479" s="11" t="s">
        <v>1245</v>
      </c>
      <c r="G1479" s="29">
        <v>24.38</v>
      </c>
      <c r="H1479" s="8">
        <v>0</v>
      </c>
      <c r="I1479" s="8">
        <f t="shared" si="88"/>
        <v>-8093.6099999999979</v>
      </c>
      <c r="J1479" s="12"/>
    </row>
    <row r="1480" spans="3:10" hidden="1" x14ac:dyDescent="0.25">
      <c r="C1480" s="9"/>
      <c r="D1480" s="10">
        <v>45702</v>
      </c>
      <c r="E1480" t="s">
        <v>11</v>
      </c>
      <c r="F1480" s="11" t="s">
        <v>1246</v>
      </c>
      <c r="G1480" s="29">
        <v>440.14</v>
      </c>
      <c r="H1480" s="8">
        <v>0</v>
      </c>
      <c r="I1480" s="8">
        <f t="shared" si="88"/>
        <v>-7653.4699999999975</v>
      </c>
      <c r="J1480" s="12"/>
    </row>
    <row r="1481" spans="3:10" hidden="1" x14ac:dyDescent="0.25">
      <c r="C1481" s="9"/>
      <c r="D1481" s="10">
        <v>45702</v>
      </c>
      <c r="E1481" t="s">
        <v>11</v>
      </c>
      <c r="F1481" s="11" t="s">
        <v>1247</v>
      </c>
      <c r="G1481" s="29">
        <v>259.91000000000003</v>
      </c>
      <c r="H1481" s="8">
        <v>0</v>
      </c>
      <c r="I1481" s="8">
        <f t="shared" si="88"/>
        <v>-7393.5599999999977</v>
      </c>
      <c r="J1481" s="12"/>
    </row>
    <row r="1482" spans="3:10" hidden="1" x14ac:dyDescent="0.25">
      <c r="C1482" s="9"/>
      <c r="D1482" s="10">
        <v>45702</v>
      </c>
      <c r="E1482" t="s">
        <v>11</v>
      </c>
      <c r="F1482" s="11" t="s">
        <v>1248</v>
      </c>
      <c r="G1482" s="29">
        <v>282.77999999999997</v>
      </c>
      <c r="H1482" s="8">
        <v>0</v>
      </c>
      <c r="I1482" s="8">
        <f t="shared" si="88"/>
        <v>-7110.7799999999979</v>
      </c>
      <c r="J1482" s="12"/>
    </row>
    <row r="1483" spans="3:10" hidden="1" x14ac:dyDescent="0.25">
      <c r="C1483" s="9"/>
      <c r="D1483" s="10">
        <v>45702</v>
      </c>
      <c r="E1483" t="s">
        <v>11</v>
      </c>
      <c r="F1483" s="11" t="s">
        <v>1249</v>
      </c>
      <c r="G1483" s="29">
        <v>131.26</v>
      </c>
      <c r="H1483" s="8">
        <v>0</v>
      </c>
      <c r="I1483" s="8">
        <f t="shared" si="88"/>
        <v>-6979.5199999999977</v>
      </c>
      <c r="J1483" s="12"/>
    </row>
    <row r="1484" spans="3:10" hidden="1" x14ac:dyDescent="0.25">
      <c r="C1484" s="9"/>
      <c r="D1484" s="10">
        <v>45702</v>
      </c>
      <c r="E1484" t="s">
        <v>11</v>
      </c>
      <c r="F1484" s="11" t="s">
        <v>1250</v>
      </c>
      <c r="G1484" s="29">
        <v>244.37</v>
      </c>
      <c r="H1484" s="8">
        <v>0</v>
      </c>
      <c r="I1484" s="8">
        <f t="shared" si="88"/>
        <v>-6735.1499999999978</v>
      </c>
      <c r="J1484" s="12"/>
    </row>
    <row r="1485" spans="3:10" hidden="1" x14ac:dyDescent="0.25">
      <c r="C1485" s="9"/>
      <c r="D1485" s="10">
        <v>45702</v>
      </c>
      <c r="E1485" t="s">
        <v>11</v>
      </c>
      <c r="F1485" s="11" t="s">
        <v>1242</v>
      </c>
      <c r="G1485" s="29">
        <v>273.85000000000002</v>
      </c>
      <c r="H1485" s="8">
        <v>0</v>
      </c>
      <c r="I1485" s="8">
        <f t="shared" si="88"/>
        <v>-6461.2999999999975</v>
      </c>
      <c r="J1485" s="12"/>
    </row>
    <row r="1486" spans="3:10" hidden="1" x14ac:dyDescent="0.25">
      <c r="C1486" s="9"/>
      <c r="D1486" s="10">
        <v>45706</v>
      </c>
      <c r="E1486" t="s">
        <v>11</v>
      </c>
      <c r="F1486" s="11" t="s">
        <v>1242</v>
      </c>
      <c r="G1486" s="29">
        <v>0</v>
      </c>
      <c r="H1486" s="8">
        <v>273.85000000000002</v>
      </c>
      <c r="I1486" s="8">
        <f t="shared" si="88"/>
        <v>-6735.1499999999978</v>
      </c>
      <c r="J1486" s="12"/>
    </row>
    <row r="1487" spans="3:10" hidden="1" x14ac:dyDescent="0.25">
      <c r="C1487" s="9"/>
      <c r="D1487" s="10">
        <v>45712</v>
      </c>
      <c r="E1487" t="s">
        <v>1251</v>
      </c>
      <c r="F1487" s="11" t="s">
        <v>1252</v>
      </c>
      <c r="G1487" s="29">
        <v>0</v>
      </c>
      <c r="H1487" s="8">
        <v>767.53</v>
      </c>
      <c r="I1487" s="8">
        <f t="shared" si="88"/>
        <v>-7502.6799999999976</v>
      </c>
      <c r="J1487" s="63">
        <v>45792</v>
      </c>
    </row>
    <row r="1488" spans="3:10" hidden="1" x14ac:dyDescent="0.25">
      <c r="C1488" s="9"/>
      <c r="D1488" s="10">
        <v>45728</v>
      </c>
      <c r="E1488" t="s">
        <v>1008</v>
      </c>
      <c r="F1488" s="11" t="s">
        <v>42</v>
      </c>
      <c r="G1488" s="29">
        <v>359.98</v>
      </c>
      <c r="H1488" s="8">
        <v>0</v>
      </c>
      <c r="I1488" s="8">
        <f t="shared" si="88"/>
        <v>-7142.6999999999971</v>
      </c>
      <c r="J1488" s="12"/>
    </row>
    <row r="1489" spans="3:10" hidden="1" x14ac:dyDescent="0.25">
      <c r="C1489" s="9"/>
      <c r="D1489" s="10">
        <v>45728</v>
      </c>
      <c r="E1489" t="s">
        <v>1008</v>
      </c>
      <c r="F1489" s="11" t="s">
        <v>42</v>
      </c>
      <c r="G1489" s="29">
        <v>716.93</v>
      </c>
      <c r="H1489" s="8">
        <v>0</v>
      </c>
      <c r="I1489" s="8">
        <f t="shared" si="88"/>
        <v>-6425.7699999999968</v>
      </c>
      <c r="J1489" s="12"/>
    </row>
    <row r="1490" spans="3:10" hidden="1" x14ac:dyDescent="0.25">
      <c r="C1490" s="9"/>
      <c r="D1490" s="10">
        <v>45728</v>
      </c>
      <c r="E1490" t="s">
        <v>1008</v>
      </c>
      <c r="F1490" s="11" t="s">
        <v>42</v>
      </c>
      <c r="G1490" s="29">
        <v>125.3</v>
      </c>
      <c r="H1490" s="8">
        <v>0</v>
      </c>
      <c r="I1490" s="8">
        <f t="shared" si="88"/>
        <v>-6300.4699999999966</v>
      </c>
      <c r="J1490" s="12"/>
    </row>
    <row r="1491" spans="3:10" hidden="1" x14ac:dyDescent="0.25">
      <c r="C1491" s="9"/>
      <c r="D1491" s="10">
        <v>45728</v>
      </c>
      <c r="E1491" t="s">
        <v>1008</v>
      </c>
      <c r="F1491" s="11" t="s">
        <v>42</v>
      </c>
      <c r="G1491" s="29">
        <v>87.6</v>
      </c>
      <c r="H1491" s="8">
        <v>0</v>
      </c>
      <c r="I1491" s="8">
        <f t="shared" si="88"/>
        <v>-6212.8699999999963</v>
      </c>
      <c r="J1491" s="12"/>
    </row>
    <row r="1492" spans="3:10" hidden="1" x14ac:dyDescent="0.25">
      <c r="C1492" s="9"/>
      <c r="D1492" s="10">
        <v>45728</v>
      </c>
      <c r="E1492" t="s">
        <v>1008</v>
      </c>
      <c r="F1492" s="11" t="s">
        <v>42</v>
      </c>
      <c r="G1492" s="29">
        <v>187.18</v>
      </c>
      <c r="H1492" s="8">
        <v>0</v>
      </c>
      <c r="I1492" s="8">
        <f t="shared" si="88"/>
        <v>-6025.689999999996</v>
      </c>
      <c r="J1492" s="12"/>
    </row>
    <row r="1493" spans="3:10" hidden="1" x14ac:dyDescent="0.25">
      <c r="C1493" s="9"/>
      <c r="D1493" s="10">
        <v>45728</v>
      </c>
      <c r="E1493" t="s">
        <v>1008</v>
      </c>
      <c r="F1493" s="11" t="s">
        <v>42</v>
      </c>
      <c r="G1493" s="29">
        <v>265</v>
      </c>
      <c r="H1493" s="8">
        <v>0</v>
      </c>
      <c r="I1493" s="8">
        <f t="shared" si="88"/>
        <v>-5760.689999999996</v>
      </c>
      <c r="J1493" s="12"/>
    </row>
    <row r="1494" spans="3:10" hidden="1" x14ac:dyDescent="0.25">
      <c r="C1494" s="9"/>
      <c r="D1494" s="10">
        <v>45728</v>
      </c>
      <c r="E1494" t="s">
        <v>1008</v>
      </c>
      <c r="F1494" s="11" t="s">
        <v>42</v>
      </c>
      <c r="G1494" s="29">
        <v>314.36</v>
      </c>
      <c r="H1494" s="8">
        <v>0</v>
      </c>
      <c r="I1494" s="8">
        <f t="shared" si="88"/>
        <v>-5446.3299999999963</v>
      </c>
      <c r="J1494" s="12"/>
    </row>
    <row r="1495" spans="3:10" hidden="1" x14ac:dyDescent="0.25">
      <c r="C1495" s="9"/>
      <c r="D1495" s="10">
        <v>45730</v>
      </c>
      <c r="E1495" t="s">
        <v>1253</v>
      </c>
      <c r="F1495" s="11" t="s">
        <v>1254</v>
      </c>
      <c r="G1495" s="29">
        <v>0</v>
      </c>
      <c r="H1495" s="8">
        <v>87.6</v>
      </c>
      <c r="I1495" s="8">
        <f t="shared" si="88"/>
        <v>-5533.9299999999967</v>
      </c>
      <c r="J1495" s="12"/>
    </row>
    <row r="1496" spans="3:10" hidden="1" x14ac:dyDescent="0.25">
      <c r="C1496" s="9"/>
      <c r="D1496" s="10">
        <v>45736</v>
      </c>
      <c r="E1496" t="s">
        <v>1255</v>
      </c>
      <c r="F1496" s="11" t="s">
        <v>1256</v>
      </c>
      <c r="G1496" s="29">
        <v>0</v>
      </c>
      <c r="H1496" s="8">
        <v>183.92</v>
      </c>
      <c r="I1496" s="8">
        <f t="shared" si="88"/>
        <v>-5717.8499999999967</v>
      </c>
      <c r="J1496" s="12"/>
    </row>
    <row r="1497" spans="3:10" hidden="1" x14ac:dyDescent="0.25">
      <c r="C1497" s="9"/>
      <c r="D1497" s="10">
        <v>45737</v>
      </c>
      <c r="E1497" t="s">
        <v>1257</v>
      </c>
      <c r="F1497" s="11" t="s">
        <v>1258</v>
      </c>
      <c r="G1497" s="29">
        <v>0</v>
      </c>
      <c r="H1497" s="8">
        <v>151.25</v>
      </c>
      <c r="I1497" s="8">
        <f t="shared" si="88"/>
        <v>-5869.0999999999967</v>
      </c>
      <c r="J1497" s="12"/>
    </row>
    <row r="1498" spans="3:10" hidden="1" x14ac:dyDescent="0.25">
      <c r="C1498" s="9"/>
      <c r="D1498" s="10">
        <v>45746</v>
      </c>
      <c r="E1498" t="s">
        <v>1259</v>
      </c>
      <c r="F1498" s="11" t="s">
        <v>1260</v>
      </c>
      <c r="G1498" s="29">
        <v>0</v>
      </c>
      <c r="H1498" s="8">
        <v>68.84</v>
      </c>
      <c r="I1498" s="8">
        <f t="shared" si="88"/>
        <v>-5937.9399999999969</v>
      </c>
      <c r="J1498" s="12"/>
    </row>
    <row r="1499" spans="3:10" hidden="1" x14ac:dyDescent="0.25">
      <c r="C1499" s="9"/>
      <c r="D1499" s="10">
        <v>45746</v>
      </c>
      <c r="E1499" t="s">
        <v>1261</v>
      </c>
      <c r="F1499" s="11" t="s">
        <v>1262</v>
      </c>
      <c r="G1499" s="29">
        <v>0</v>
      </c>
      <c r="H1499" s="8">
        <v>27.75</v>
      </c>
      <c r="I1499" s="8">
        <f t="shared" si="88"/>
        <v>-5965.6899999999969</v>
      </c>
      <c r="J1499" s="12"/>
    </row>
    <row r="1500" spans="3:10" hidden="1" x14ac:dyDescent="0.25">
      <c r="C1500" s="9"/>
      <c r="D1500" s="10">
        <v>45746</v>
      </c>
      <c r="E1500" t="s">
        <v>1263</v>
      </c>
      <c r="F1500" s="11" t="s">
        <v>1264</v>
      </c>
      <c r="G1500" s="29">
        <v>0</v>
      </c>
      <c r="H1500" s="8">
        <v>87.6</v>
      </c>
      <c r="I1500" s="8">
        <f t="shared" si="88"/>
        <v>-6053.2899999999972</v>
      </c>
      <c r="J1500" s="12"/>
    </row>
    <row r="1501" spans="3:10" hidden="1" x14ac:dyDescent="0.25">
      <c r="C1501" s="9"/>
      <c r="D1501" s="10">
        <v>45754</v>
      </c>
      <c r="E1501" t="s">
        <v>365</v>
      </c>
      <c r="F1501" s="11" t="s">
        <v>42</v>
      </c>
      <c r="G1501" s="29">
        <v>564.91999999999996</v>
      </c>
      <c r="H1501" s="8">
        <v>0</v>
      </c>
      <c r="I1501" s="8">
        <f t="shared" si="88"/>
        <v>-5488.3699999999972</v>
      </c>
      <c r="J1501" s="12"/>
    </row>
    <row r="1502" spans="3:10" hidden="1" x14ac:dyDescent="0.25">
      <c r="C1502" s="9"/>
      <c r="D1502" s="10">
        <v>45754</v>
      </c>
      <c r="E1502" t="s">
        <v>365</v>
      </c>
      <c r="F1502" s="11" t="s">
        <v>42</v>
      </c>
      <c r="G1502" s="29">
        <v>642.75</v>
      </c>
      <c r="H1502" s="8">
        <v>0</v>
      </c>
      <c r="I1502" s="8">
        <f t="shared" si="88"/>
        <v>-4845.6199999999972</v>
      </c>
      <c r="J1502" s="12"/>
    </row>
    <row r="1503" spans="3:10" hidden="1" x14ac:dyDescent="0.25">
      <c r="C1503" s="9"/>
      <c r="D1503" s="10">
        <v>45754</v>
      </c>
      <c r="E1503" t="s">
        <v>365</v>
      </c>
      <c r="F1503" s="11" t="s">
        <v>42</v>
      </c>
      <c r="G1503" s="29">
        <v>169.16</v>
      </c>
      <c r="H1503" s="8">
        <v>0</v>
      </c>
      <c r="I1503" s="8">
        <f t="shared" si="88"/>
        <v>-4676.4599999999973</v>
      </c>
      <c r="J1503" s="12"/>
    </row>
    <row r="1504" spans="3:10" hidden="1" x14ac:dyDescent="0.25">
      <c r="C1504" s="9"/>
      <c r="D1504" s="10">
        <v>45754</v>
      </c>
      <c r="E1504" t="s">
        <v>365</v>
      </c>
      <c r="F1504" s="11" t="s">
        <v>42</v>
      </c>
      <c r="G1504" s="29">
        <v>252.5</v>
      </c>
      <c r="H1504" s="8">
        <v>0</v>
      </c>
      <c r="I1504" s="8">
        <f t="shared" si="88"/>
        <v>-4423.9599999999973</v>
      </c>
      <c r="J1504" s="12"/>
    </row>
    <row r="1505" spans="1:10" hidden="1" x14ac:dyDescent="0.25">
      <c r="C1505" s="9"/>
      <c r="D1505" s="10">
        <v>45754</v>
      </c>
      <c r="E1505" t="s">
        <v>365</v>
      </c>
      <c r="F1505" s="11" t="s">
        <v>42</v>
      </c>
      <c r="G1505" s="29">
        <v>49.67</v>
      </c>
      <c r="H1505" s="8">
        <v>0</v>
      </c>
      <c r="I1505" s="8">
        <f t="shared" si="88"/>
        <v>-4374.2899999999972</v>
      </c>
      <c r="J1505" s="12"/>
    </row>
    <row r="1506" spans="1:10" hidden="1" x14ac:dyDescent="0.25">
      <c r="C1506" s="9"/>
      <c r="D1506" s="10">
        <v>45754</v>
      </c>
      <c r="E1506" t="s">
        <v>365</v>
      </c>
      <c r="F1506" s="11" t="s">
        <v>42</v>
      </c>
      <c r="G1506" s="29">
        <v>198.92</v>
      </c>
      <c r="H1506" s="8">
        <v>0</v>
      </c>
      <c r="I1506" s="8">
        <f t="shared" si="88"/>
        <v>-4175.3699999999972</v>
      </c>
      <c r="J1506" s="12"/>
    </row>
    <row r="1507" spans="1:10" hidden="1" x14ac:dyDescent="0.25">
      <c r="C1507" s="9"/>
      <c r="D1507" s="10">
        <v>45758</v>
      </c>
      <c r="E1507" t="s">
        <v>11</v>
      </c>
      <c r="F1507" s="11" t="s">
        <v>1265</v>
      </c>
      <c r="G1507" s="57">
        <v>119.49</v>
      </c>
      <c r="H1507" s="8">
        <v>0</v>
      </c>
      <c r="I1507" s="8">
        <f t="shared" si="88"/>
        <v>-4055.8799999999974</v>
      </c>
      <c r="J1507" s="12"/>
    </row>
    <row r="1508" spans="1:10" hidden="1" x14ac:dyDescent="0.25">
      <c r="C1508" s="9"/>
      <c r="D1508" s="10">
        <v>45758</v>
      </c>
      <c r="E1508" t="s">
        <v>11</v>
      </c>
      <c r="F1508" s="11" t="s">
        <v>1266</v>
      </c>
      <c r="G1508" s="57">
        <v>360.58</v>
      </c>
      <c r="H1508" s="8">
        <v>0</v>
      </c>
      <c r="I1508" s="8">
        <f t="shared" si="88"/>
        <v>-3695.2999999999975</v>
      </c>
      <c r="J1508" s="12"/>
    </row>
    <row r="1509" spans="1:10" hidden="1" x14ac:dyDescent="0.25">
      <c r="C1509" s="9"/>
      <c r="D1509" s="10">
        <v>45758</v>
      </c>
      <c r="E1509" t="s">
        <v>11</v>
      </c>
      <c r="F1509" s="11" t="s">
        <v>1236</v>
      </c>
      <c r="G1509" s="57">
        <v>301.54000000000002</v>
      </c>
      <c r="H1509" s="8">
        <v>0</v>
      </c>
      <c r="I1509" s="8">
        <f t="shared" si="88"/>
        <v>-3393.7599999999975</v>
      </c>
      <c r="J1509" s="12"/>
    </row>
    <row r="1510" spans="1:10" hidden="1" x14ac:dyDescent="0.25">
      <c r="C1510" s="9"/>
      <c r="D1510" s="10">
        <v>45758</v>
      </c>
      <c r="E1510" t="s">
        <v>11</v>
      </c>
      <c r="F1510" s="11" t="s">
        <v>1267</v>
      </c>
      <c r="G1510" s="57">
        <v>479.76</v>
      </c>
      <c r="H1510" s="8">
        <v>0</v>
      </c>
      <c r="I1510" s="8">
        <f t="shared" si="88"/>
        <v>-2913.9999999999973</v>
      </c>
      <c r="J1510" s="12"/>
    </row>
    <row r="1511" spans="1:10" hidden="1" x14ac:dyDescent="0.25">
      <c r="C1511" s="9"/>
      <c r="D1511" s="10">
        <v>45758</v>
      </c>
      <c r="E1511" t="s">
        <v>11</v>
      </c>
      <c r="F1511" s="11" t="s">
        <v>1230</v>
      </c>
      <c r="G1511" s="57">
        <v>371.95</v>
      </c>
      <c r="H1511" s="8">
        <v>0</v>
      </c>
      <c r="I1511" s="8">
        <f t="shared" si="88"/>
        <v>-2542.0499999999975</v>
      </c>
      <c r="J1511" s="12"/>
    </row>
    <row r="1512" spans="1:10" hidden="1" x14ac:dyDescent="0.25">
      <c r="C1512" s="9"/>
      <c r="D1512" s="10">
        <v>45758</v>
      </c>
      <c r="E1512" t="s">
        <v>11</v>
      </c>
      <c r="F1512" s="11" t="s">
        <v>1234</v>
      </c>
      <c r="G1512" s="57">
        <v>893.72</v>
      </c>
      <c r="H1512" s="8">
        <v>0</v>
      </c>
      <c r="I1512" s="8">
        <f t="shared" si="88"/>
        <v>-1648.3299999999974</v>
      </c>
      <c r="J1512" s="12"/>
    </row>
    <row r="1513" spans="1:10" hidden="1" x14ac:dyDescent="0.25">
      <c r="E1513" s="4" t="s">
        <v>20</v>
      </c>
      <c r="G1513" s="8">
        <f>SUM(G1468:G1512)</f>
        <v>9102.14</v>
      </c>
      <c r="H1513" s="8">
        <f>SUM(H1468:H1512)</f>
        <v>10750.470000000001</v>
      </c>
      <c r="I1513" s="8">
        <f>G1513-H1513</f>
        <v>-1648.3300000000017</v>
      </c>
    </row>
    <row r="1514" spans="1:10" hidden="1" x14ac:dyDescent="0.25"/>
    <row r="1515" spans="1:10" hidden="1" x14ac:dyDescent="0.25">
      <c r="A1515" s="5">
        <v>4000797</v>
      </c>
      <c r="B1515" s="6" t="s">
        <v>1268</v>
      </c>
      <c r="C1515" s="7"/>
      <c r="D1515" s="7"/>
      <c r="E1515" s="7"/>
      <c r="F1515" s="7"/>
      <c r="G1515" s="7"/>
      <c r="H1515" s="7"/>
      <c r="I1515" s="7"/>
      <c r="J1515" s="7"/>
    </row>
    <row r="1516" spans="1:10" hidden="1" x14ac:dyDescent="0.25">
      <c r="E1516" s="4" t="s">
        <v>10</v>
      </c>
      <c r="G1516" s="8">
        <v>0</v>
      </c>
      <c r="H1516" s="29">
        <v>1061.1199999999999</v>
      </c>
      <c r="I1516" s="8">
        <f>G1516-H1516</f>
        <v>-1061.1199999999999</v>
      </c>
    </row>
    <row r="1517" spans="1:10" hidden="1" x14ac:dyDescent="0.25">
      <c r="C1517" s="9"/>
      <c r="D1517" s="10">
        <v>45672</v>
      </c>
      <c r="E1517" t="s">
        <v>1269</v>
      </c>
      <c r="F1517" s="11" t="s">
        <v>1270</v>
      </c>
      <c r="G1517" s="8">
        <v>0</v>
      </c>
      <c r="H1517" s="29">
        <v>250.65</v>
      </c>
      <c r="I1517" s="8">
        <f t="shared" ref="I1517:I1526" si="89">G1517-H1517+I1516</f>
        <v>-1311.77</v>
      </c>
      <c r="J1517" s="12"/>
    </row>
    <row r="1518" spans="1:10" hidden="1" x14ac:dyDescent="0.25">
      <c r="C1518" s="9"/>
      <c r="D1518" s="10">
        <v>45672</v>
      </c>
      <c r="E1518" t="s">
        <v>1271</v>
      </c>
      <c r="F1518" s="11" t="s">
        <v>42</v>
      </c>
      <c r="G1518" s="29">
        <v>524.63</v>
      </c>
      <c r="H1518" s="8">
        <v>0</v>
      </c>
      <c r="I1518" s="8">
        <f t="shared" si="89"/>
        <v>-787.14</v>
      </c>
      <c r="J1518" s="12"/>
    </row>
    <row r="1519" spans="1:10" hidden="1" x14ac:dyDescent="0.25">
      <c r="C1519" s="9"/>
      <c r="D1519" s="10">
        <v>45688</v>
      </c>
      <c r="E1519" t="s">
        <v>1272</v>
      </c>
      <c r="F1519" s="11" t="s">
        <v>1273</v>
      </c>
      <c r="G1519" s="8">
        <v>0</v>
      </c>
      <c r="H1519" s="29">
        <v>60.31</v>
      </c>
      <c r="I1519" s="8">
        <f t="shared" si="89"/>
        <v>-847.45</v>
      </c>
      <c r="J1519" s="12"/>
    </row>
    <row r="1520" spans="1:10" hidden="1" x14ac:dyDescent="0.25">
      <c r="C1520" s="9"/>
      <c r="D1520" s="10">
        <v>45703</v>
      </c>
      <c r="E1520" t="s">
        <v>1274</v>
      </c>
      <c r="F1520" s="11" t="s">
        <v>1275</v>
      </c>
      <c r="G1520" s="8">
        <v>0</v>
      </c>
      <c r="H1520" s="29">
        <v>24.73</v>
      </c>
      <c r="I1520" s="8">
        <f t="shared" si="89"/>
        <v>-872.18000000000006</v>
      </c>
      <c r="J1520" s="12"/>
    </row>
    <row r="1521" spans="1:10" hidden="1" x14ac:dyDescent="0.25">
      <c r="C1521" s="9"/>
      <c r="D1521" s="10">
        <v>45705</v>
      </c>
      <c r="E1521" t="s">
        <v>1276</v>
      </c>
      <c r="F1521" s="11" t="s">
        <v>42</v>
      </c>
      <c r="G1521" s="29">
        <v>536.49</v>
      </c>
      <c r="H1521" s="8">
        <v>0</v>
      </c>
      <c r="I1521" s="8">
        <f t="shared" si="89"/>
        <v>-335.69000000000005</v>
      </c>
      <c r="J1521" s="12"/>
    </row>
    <row r="1522" spans="1:10" hidden="1" x14ac:dyDescent="0.25">
      <c r="C1522" s="9"/>
      <c r="D1522" s="10">
        <v>45716</v>
      </c>
      <c r="E1522" t="s">
        <v>1277</v>
      </c>
      <c r="F1522" s="11" t="s">
        <v>1278</v>
      </c>
      <c r="G1522" s="8">
        <v>0</v>
      </c>
      <c r="H1522" s="29">
        <v>32.39</v>
      </c>
      <c r="I1522" s="8">
        <f t="shared" si="89"/>
        <v>-368.08000000000004</v>
      </c>
      <c r="J1522" s="12"/>
    </row>
    <row r="1523" spans="1:10" hidden="1" x14ac:dyDescent="0.25">
      <c r="C1523" s="9"/>
      <c r="D1523" s="10">
        <v>45731</v>
      </c>
      <c r="E1523" t="s">
        <v>1279</v>
      </c>
      <c r="F1523" s="11" t="s">
        <v>1280</v>
      </c>
      <c r="G1523" s="8">
        <v>0</v>
      </c>
      <c r="H1523" s="8">
        <v>854.3</v>
      </c>
      <c r="I1523" s="8">
        <f t="shared" si="89"/>
        <v>-1222.3800000000001</v>
      </c>
      <c r="J1523" s="12"/>
    </row>
    <row r="1524" spans="1:10" hidden="1" x14ac:dyDescent="0.25">
      <c r="C1524" s="9"/>
      <c r="D1524" s="10">
        <v>45733</v>
      </c>
      <c r="E1524" t="s">
        <v>11</v>
      </c>
      <c r="F1524" s="11" t="s">
        <v>1281</v>
      </c>
      <c r="G1524" s="29">
        <v>310.95999999999998</v>
      </c>
      <c r="H1524" s="8">
        <v>0</v>
      </c>
      <c r="I1524" s="8">
        <f t="shared" si="89"/>
        <v>-911.42000000000007</v>
      </c>
      <c r="J1524" s="12"/>
    </row>
    <row r="1525" spans="1:10" hidden="1" x14ac:dyDescent="0.25">
      <c r="C1525" s="9"/>
      <c r="D1525" s="10">
        <v>45747</v>
      </c>
      <c r="E1525" t="s">
        <v>1282</v>
      </c>
      <c r="F1525" s="11" t="s">
        <v>1283</v>
      </c>
      <c r="G1525" s="8">
        <v>0</v>
      </c>
      <c r="H1525" s="8">
        <v>327.72</v>
      </c>
      <c r="I1525" s="8">
        <f t="shared" si="89"/>
        <v>-1239.1400000000001</v>
      </c>
      <c r="J1525" s="12"/>
    </row>
    <row r="1526" spans="1:10" hidden="1" x14ac:dyDescent="0.25">
      <c r="C1526" s="9"/>
      <c r="D1526" s="10">
        <v>45762</v>
      </c>
      <c r="E1526" t="s">
        <v>11</v>
      </c>
      <c r="F1526" s="11" t="s">
        <v>1284</v>
      </c>
      <c r="G1526" s="29">
        <v>57.12</v>
      </c>
      <c r="H1526" s="8">
        <v>0</v>
      </c>
      <c r="I1526" s="8">
        <f t="shared" si="89"/>
        <v>-1182.0200000000002</v>
      </c>
      <c r="J1526" s="12"/>
    </row>
    <row r="1527" spans="1:10" hidden="1" x14ac:dyDescent="0.25">
      <c r="E1527" s="4" t="s">
        <v>20</v>
      </c>
      <c r="G1527" s="8">
        <f>SUM(G1516:G1526)</f>
        <v>1429.1999999999998</v>
      </c>
      <c r="H1527" s="8">
        <f>SUM(H1516:H1526)</f>
        <v>2611.2200000000003</v>
      </c>
      <c r="I1527" s="8">
        <f>G1527-H1527</f>
        <v>-1182.0200000000004</v>
      </c>
    </row>
    <row r="1528" spans="1:10" hidden="1" x14ac:dyDescent="0.25"/>
    <row r="1529" spans="1:10" hidden="1" x14ac:dyDescent="0.25">
      <c r="A1529" s="5">
        <v>4000801</v>
      </c>
      <c r="B1529" s="6" t="s">
        <v>1285</v>
      </c>
      <c r="C1529" s="7"/>
      <c r="D1529" s="7"/>
      <c r="E1529" s="7"/>
      <c r="F1529" s="7"/>
      <c r="G1529" s="7"/>
      <c r="H1529" s="7"/>
      <c r="I1529" s="7"/>
      <c r="J1529" s="7"/>
    </row>
    <row r="1530" spans="1:10" hidden="1" x14ac:dyDescent="0.25">
      <c r="E1530" s="4" t="s">
        <v>10</v>
      </c>
      <c r="G1530" s="8">
        <v>0</v>
      </c>
      <c r="H1530" s="8">
        <v>12752.14</v>
      </c>
      <c r="I1530" s="8">
        <f>G1530-H1530</f>
        <v>-12752.14</v>
      </c>
    </row>
    <row r="1531" spans="1:10" hidden="1" x14ac:dyDescent="0.25">
      <c r="C1531" s="9"/>
      <c r="D1531" s="10">
        <v>45672</v>
      </c>
      <c r="E1531" t="s">
        <v>1286</v>
      </c>
      <c r="F1531" s="11" t="s">
        <v>1287</v>
      </c>
      <c r="G1531" s="8">
        <v>0</v>
      </c>
      <c r="H1531" s="8">
        <v>699.39</v>
      </c>
      <c r="I1531" s="8">
        <f t="shared" ref="I1531:I1545" si="90">G1531-H1531+I1530</f>
        <v>-13451.529999999999</v>
      </c>
      <c r="J1531" s="12"/>
    </row>
    <row r="1532" spans="1:10" hidden="1" x14ac:dyDescent="0.25">
      <c r="C1532" s="9"/>
      <c r="D1532" s="10">
        <v>45672</v>
      </c>
      <c r="E1532" t="s">
        <v>11</v>
      </c>
      <c r="F1532" s="11" t="s">
        <v>1288</v>
      </c>
      <c r="G1532" s="8">
        <v>4270.1499999999996</v>
      </c>
      <c r="H1532" s="8">
        <v>0</v>
      </c>
      <c r="I1532" s="8">
        <f t="shared" si="90"/>
        <v>-9181.3799999999992</v>
      </c>
      <c r="J1532" s="12"/>
    </row>
    <row r="1533" spans="1:10" hidden="1" x14ac:dyDescent="0.25">
      <c r="C1533" s="9"/>
      <c r="D1533" s="10">
        <v>45672</v>
      </c>
      <c r="E1533" t="s">
        <v>11</v>
      </c>
      <c r="F1533" s="11" t="s">
        <v>1289</v>
      </c>
      <c r="G1533" s="8">
        <v>2281.38</v>
      </c>
      <c r="H1533" s="8">
        <v>0</v>
      </c>
      <c r="I1533" s="8">
        <f t="shared" si="90"/>
        <v>-6899.9999999999991</v>
      </c>
      <c r="J1533" s="12"/>
    </row>
    <row r="1534" spans="1:10" hidden="1" x14ac:dyDescent="0.25">
      <c r="C1534" s="9"/>
      <c r="D1534" s="10">
        <v>45688</v>
      </c>
      <c r="E1534" t="s">
        <v>1290</v>
      </c>
      <c r="F1534" s="11" t="s">
        <v>1291</v>
      </c>
      <c r="G1534" s="8">
        <v>0</v>
      </c>
      <c r="H1534" s="8">
        <v>2935.18</v>
      </c>
      <c r="I1534" s="8">
        <f t="shared" si="90"/>
        <v>-9835.1799999999985</v>
      </c>
      <c r="J1534" s="12"/>
    </row>
    <row r="1535" spans="1:10" hidden="1" x14ac:dyDescent="0.25">
      <c r="C1535" s="9"/>
      <c r="D1535" s="10">
        <v>45702</v>
      </c>
      <c r="E1535" t="s">
        <v>1292</v>
      </c>
      <c r="F1535" s="11" t="s">
        <v>1293</v>
      </c>
      <c r="G1535" s="8">
        <v>0</v>
      </c>
      <c r="H1535" s="8">
        <v>3057.84</v>
      </c>
      <c r="I1535" s="8">
        <f t="shared" si="90"/>
        <v>-12893.019999999999</v>
      </c>
      <c r="J1535" s="12"/>
    </row>
    <row r="1536" spans="1:10" hidden="1" x14ac:dyDescent="0.25">
      <c r="C1536" s="9"/>
      <c r="D1536" s="10">
        <v>45705</v>
      </c>
      <c r="E1536" t="s">
        <v>11</v>
      </c>
      <c r="F1536" s="11" t="s">
        <v>1294</v>
      </c>
      <c r="G1536" s="8">
        <v>3060.79</v>
      </c>
      <c r="H1536" s="8">
        <v>0</v>
      </c>
      <c r="I1536" s="8">
        <f t="shared" si="90"/>
        <v>-9832.23</v>
      </c>
      <c r="J1536" s="12"/>
    </row>
    <row r="1537" spans="1:14" hidden="1" x14ac:dyDescent="0.25">
      <c r="C1537" s="9"/>
      <c r="D1537" s="10">
        <v>45705</v>
      </c>
      <c r="E1537" t="s">
        <v>11</v>
      </c>
      <c r="F1537" s="11" t="s">
        <v>1295</v>
      </c>
      <c r="G1537" s="8">
        <v>1482.26</v>
      </c>
      <c r="H1537" s="8">
        <v>0</v>
      </c>
      <c r="I1537" s="8">
        <f t="shared" si="90"/>
        <v>-8349.9699999999993</v>
      </c>
      <c r="J1537" s="12"/>
    </row>
    <row r="1538" spans="1:14" hidden="1" x14ac:dyDescent="0.25">
      <c r="C1538" s="9"/>
      <c r="D1538" s="10">
        <v>45716</v>
      </c>
      <c r="E1538" t="s">
        <v>1296</v>
      </c>
      <c r="F1538" s="11" t="s">
        <v>1297</v>
      </c>
      <c r="G1538" s="8">
        <v>0</v>
      </c>
      <c r="H1538" s="8">
        <v>6357.87</v>
      </c>
      <c r="I1538" s="8">
        <f t="shared" si="90"/>
        <v>-14707.84</v>
      </c>
      <c r="J1538" s="63">
        <v>45792</v>
      </c>
    </row>
    <row r="1539" spans="1:14" hidden="1" x14ac:dyDescent="0.25">
      <c r="C1539" s="9"/>
      <c r="D1539" s="10">
        <v>45716</v>
      </c>
      <c r="E1539" t="s">
        <v>1298</v>
      </c>
      <c r="F1539" s="11" t="s">
        <v>1299</v>
      </c>
      <c r="G1539" s="8">
        <v>0</v>
      </c>
      <c r="H1539" s="8">
        <v>-719.03</v>
      </c>
      <c r="I1539" s="8">
        <f t="shared" si="90"/>
        <v>-13988.81</v>
      </c>
      <c r="J1539" s="12"/>
    </row>
    <row r="1540" spans="1:14" hidden="1" x14ac:dyDescent="0.25">
      <c r="C1540" s="9"/>
      <c r="D1540" s="10">
        <v>45730</v>
      </c>
      <c r="E1540" t="s">
        <v>1300</v>
      </c>
      <c r="F1540" s="11" t="s">
        <v>1301</v>
      </c>
      <c r="G1540" s="8">
        <v>0</v>
      </c>
      <c r="H1540" s="8">
        <v>3498.69</v>
      </c>
      <c r="I1540" s="8">
        <f t="shared" si="90"/>
        <v>-17487.5</v>
      </c>
      <c r="J1540" s="12"/>
    </row>
    <row r="1541" spans="1:14" hidden="1" x14ac:dyDescent="0.25">
      <c r="C1541" s="9"/>
      <c r="D1541" s="10">
        <v>45733</v>
      </c>
      <c r="E1541" t="s">
        <v>1302</v>
      </c>
      <c r="F1541" s="11" t="s">
        <v>1287</v>
      </c>
      <c r="G1541" s="8">
        <v>1657.56</v>
      </c>
      <c r="H1541" s="8">
        <v>0</v>
      </c>
      <c r="I1541" s="8">
        <f t="shared" si="90"/>
        <v>-15829.94</v>
      </c>
      <c r="J1541" s="12"/>
    </row>
    <row r="1542" spans="1:14" hidden="1" x14ac:dyDescent="0.25">
      <c r="C1542" s="9"/>
      <c r="D1542" s="10">
        <v>45747</v>
      </c>
      <c r="E1542" t="s">
        <v>1303</v>
      </c>
      <c r="F1542" s="11" t="s">
        <v>1304</v>
      </c>
      <c r="G1542" s="8">
        <v>0</v>
      </c>
      <c r="H1542" s="8">
        <v>6588.37</v>
      </c>
      <c r="I1542" s="8">
        <f t="shared" si="90"/>
        <v>-22418.31</v>
      </c>
      <c r="J1542" s="12"/>
    </row>
    <row r="1543" spans="1:14" hidden="1" x14ac:dyDescent="0.25">
      <c r="C1543" s="9"/>
      <c r="D1543" s="10">
        <v>45762</v>
      </c>
      <c r="E1543" t="s">
        <v>11</v>
      </c>
      <c r="F1543" s="11" t="s">
        <v>1291</v>
      </c>
      <c r="G1543" s="8">
        <v>2935.18</v>
      </c>
      <c r="H1543" s="8">
        <v>0</v>
      </c>
      <c r="I1543" s="8">
        <f t="shared" si="90"/>
        <v>-19483.13</v>
      </c>
      <c r="J1543" s="12"/>
    </row>
    <row r="1544" spans="1:14" hidden="1" x14ac:dyDescent="0.25">
      <c r="C1544" s="9"/>
      <c r="D1544" s="10">
        <v>45762</v>
      </c>
      <c r="E1544" t="s">
        <v>11</v>
      </c>
      <c r="F1544" s="11" t="s">
        <v>1293</v>
      </c>
      <c r="G1544" s="8">
        <v>3057.84</v>
      </c>
      <c r="H1544" s="8">
        <v>0</v>
      </c>
      <c r="I1544" s="8">
        <f t="shared" si="90"/>
        <v>-16425.29</v>
      </c>
      <c r="J1544" s="12"/>
    </row>
    <row r="1545" spans="1:14" hidden="1" x14ac:dyDescent="0.25">
      <c r="C1545" s="9"/>
      <c r="D1545" s="10">
        <v>45762</v>
      </c>
      <c r="E1545" t="s">
        <v>11</v>
      </c>
      <c r="F1545" s="11" t="s">
        <v>1287</v>
      </c>
      <c r="G1545" s="8">
        <v>699.39</v>
      </c>
      <c r="H1545" s="8">
        <v>0</v>
      </c>
      <c r="I1545" s="8">
        <f t="shared" si="90"/>
        <v>-15725.900000000001</v>
      </c>
      <c r="J1545" s="12"/>
    </row>
    <row r="1546" spans="1:14" hidden="1" x14ac:dyDescent="0.25">
      <c r="E1546" s="4" t="s">
        <v>20</v>
      </c>
      <c r="G1546" s="8">
        <f>SUM(G1530:G1545)</f>
        <v>19444.55</v>
      </c>
      <c r="H1546" s="8">
        <f>SUM(H1530:H1545)</f>
        <v>35170.449999999997</v>
      </c>
      <c r="I1546" s="8">
        <f>G1546-H1546</f>
        <v>-15725.899999999998</v>
      </c>
    </row>
    <row r="1547" spans="1:14" hidden="1" x14ac:dyDescent="0.25"/>
    <row r="1548" spans="1:14" x14ac:dyDescent="0.25">
      <c r="A1548" s="5">
        <v>4000808</v>
      </c>
      <c r="B1548" s="6" t="s">
        <v>1305</v>
      </c>
      <c r="C1548" s="7"/>
      <c r="D1548" s="7"/>
      <c r="E1548" s="7"/>
      <c r="F1548" s="7"/>
      <c r="G1548" s="7"/>
      <c r="H1548" s="7"/>
      <c r="I1548" s="7"/>
      <c r="J1548" s="27" t="s">
        <v>8145</v>
      </c>
      <c r="K1548" s="27"/>
      <c r="L1548" s="27"/>
      <c r="M1548" s="27"/>
      <c r="N1548" s="27"/>
    </row>
    <row r="1549" spans="1:14" hidden="1" x14ac:dyDescent="0.25">
      <c r="E1549" s="4" t="s">
        <v>10</v>
      </c>
      <c r="G1549" s="8">
        <v>0</v>
      </c>
      <c r="H1549" s="29">
        <v>21303.06</v>
      </c>
      <c r="I1549" s="8">
        <f>G1549-H1549</f>
        <v>-21303.06</v>
      </c>
    </row>
    <row r="1550" spans="1:14" hidden="1" x14ac:dyDescent="0.25">
      <c r="C1550" s="9"/>
      <c r="D1550" s="10">
        <v>45658</v>
      </c>
      <c r="E1550" t="s">
        <v>1306</v>
      </c>
      <c r="F1550" s="11" t="s">
        <v>1307</v>
      </c>
      <c r="G1550" s="8">
        <v>0</v>
      </c>
      <c r="H1550" s="29">
        <v>0.01</v>
      </c>
      <c r="I1550" s="8">
        <f t="shared" ref="I1550:I1581" si="91">G1550-H1550+I1549</f>
        <v>-21303.07</v>
      </c>
      <c r="J1550" s="12"/>
    </row>
    <row r="1551" spans="1:14" hidden="1" x14ac:dyDescent="0.25">
      <c r="C1551" s="9"/>
      <c r="D1551" s="10">
        <v>45665</v>
      </c>
      <c r="E1551" t="s">
        <v>1308</v>
      </c>
      <c r="F1551" s="11" t="s">
        <v>1309</v>
      </c>
      <c r="G1551" s="8">
        <v>0</v>
      </c>
      <c r="H1551" s="29">
        <v>587.03</v>
      </c>
      <c r="I1551" s="8">
        <f t="shared" si="91"/>
        <v>-21890.1</v>
      </c>
      <c r="J1551" s="12"/>
    </row>
    <row r="1552" spans="1:14" hidden="1" x14ac:dyDescent="0.25">
      <c r="C1552" s="9"/>
      <c r="D1552" s="10">
        <v>45674</v>
      </c>
      <c r="E1552" t="s">
        <v>1310</v>
      </c>
      <c r="F1552" s="11" t="s">
        <v>42</v>
      </c>
      <c r="G1552" s="29">
        <v>2825.17</v>
      </c>
      <c r="H1552" s="29">
        <v>3.55</v>
      </c>
      <c r="I1552" s="8">
        <f t="shared" si="91"/>
        <v>-19068.48</v>
      </c>
      <c r="J1552" s="81">
        <f>G1552+G1560+G1561+G1562+G1563+G1570+G1569+G1571+G1572+G1580+G1581+G1582+G1583+G1584+G1585+G1589+G1590+G1591+G1592+G1593+G1594+G1595+G1596+G1597-H1549-H1550-H1551-H1552</f>
        <v>1.8207657603852567E-13</v>
      </c>
    </row>
    <row r="1553" spans="3:10" x14ac:dyDescent="0.25">
      <c r="C1553" s="9"/>
      <c r="D1553" s="10">
        <v>45677</v>
      </c>
      <c r="E1553" t="s">
        <v>1311</v>
      </c>
      <c r="F1553" s="11" t="s">
        <v>1312</v>
      </c>
      <c r="G1553" s="8">
        <v>0</v>
      </c>
      <c r="H1553" s="8">
        <v>519.09</v>
      </c>
      <c r="I1553" s="8">
        <f t="shared" si="91"/>
        <v>-19587.57</v>
      </c>
      <c r="J1553" s="63">
        <v>45737</v>
      </c>
    </row>
    <row r="1554" spans="3:10" x14ac:dyDescent="0.25">
      <c r="C1554" s="9"/>
      <c r="D1554" s="10">
        <v>45678</v>
      </c>
      <c r="E1554" t="s">
        <v>1313</v>
      </c>
      <c r="F1554" s="11" t="s">
        <v>1314</v>
      </c>
      <c r="G1554" s="8">
        <v>0</v>
      </c>
      <c r="H1554" s="8">
        <v>20.45</v>
      </c>
      <c r="I1554" s="8">
        <f t="shared" si="91"/>
        <v>-19608.02</v>
      </c>
      <c r="J1554" s="12"/>
    </row>
    <row r="1555" spans="3:10" x14ac:dyDescent="0.25">
      <c r="C1555" s="9"/>
      <c r="D1555" s="10">
        <v>45679</v>
      </c>
      <c r="E1555" t="s">
        <v>1315</v>
      </c>
      <c r="F1555" s="11" t="s">
        <v>1316</v>
      </c>
      <c r="G1555" s="8">
        <v>0</v>
      </c>
      <c r="H1555" s="8">
        <v>11.41</v>
      </c>
      <c r="I1555" s="8">
        <f t="shared" si="91"/>
        <v>-19619.43</v>
      </c>
      <c r="J1555" s="12"/>
    </row>
    <row r="1556" spans="3:10" x14ac:dyDescent="0.25">
      <c r="C1556" s="9"/>
      <c r="D1556" s="10">
        <v>45681</v>
      </c>
      <c r="E1556" t="s">
        <v>1317</v>
      </c>
      <c r="F1556" s="11" t="s">
        <v>1318</v>
      </c>
      <c r="G1556" s="8">
        <v>0</v>
      </c>
      <c r="H1556" s="8">
        <v>1717.6</v>
      </c>
      <c r="I1556" s="8">
        <f t="shared" si="91"/>
        <v>-21337.03</v>
      </c>
      <c r="J1556" s="12"/>
    </row>
    <row r="1557" spans="3:10" x14ac:dyDescent="0.25">
      <c r="C1557" s="9"/>
      <c r="D1557" s="10">
        <v>45687</v>
      </c>
      <c r="E1557" t="s">
        <v>1319</v>
      </c>
      <c r="F1557" s="11" t="s">
        <v>1320</v>
      </c>
      <c r="G1557" s="8">
        <v>0</v>
      </c>
      <c r="H1557" s="8">
        <v>347.15</v>
      </c>
      <c r="I1557" s="8">
        <f t="shared" si="91"/>
        <v>-21684.18</v>
      </c>
      <c r="J1557" s="63">
        <v>45747</v>
      </c>
    </row>
    <row r="1558" spans="3:10" hidden="1" x14ac:dyDescent="0.25">
      <c r="C1558" s="9"/>
      <c r="D1558" s="10">
        <v>45694</v>
      </c>
      <c r="E1558" t="s">
        <v>1321</v>
      </c>
      <c r="F1558" s="11" t="s">
        <v>1322</v>
      </c>
      <c r="G1558" s="8">
        <v>0</v>
      </c>
      <c r="H1558" s="8">
        <v>21.18</v>
      </c>
      <c r="I1558" s="8">
        <f t="shared" si="91"/>
        <v>-21705.360000000001</v>
      </c>
      <c r="J1558" s="63">
        <v>45762</v>
      </c>
    </row>
    <row r="1559" spans="3:10" hidden="1" x14ac:dyDescent="0.25">
      <c r="C1559" s="9"/>
      <c r="D1559" s="10">
        <v>45695</v>
      </c>
      <c r="E1559" t="s">
        <v>1323</v>
      </c>
      <c r="F1559" s="11" t="s">
        <v>1324</v>
      </c>
      <c r="G1559" s="8">
        <v>0</v>
      </c>
      <c r="H1559" s="8">
        <v>303.79000000000002</v>
      </c>
      <c r="I1559" s="8">
        <f t="shared" si="91"/>
        <v>-22009.15</v>
      </c>
      <c r="J1559" s="63">
        <v>45762</v>
      </c>
    </row>
    <row r="1560" spans="3:10" hidden="1" x14ac:dyDescent="0.25">
      <c r="C1560" s="9"/>
      <c r="D1560" s="10">
        <v>45695</v>
      </c>
      <c r="E1560" t="s">
        <v>11</v>
      </c>
      <c r="F1560" s="11" t="s">
        <v>1325</v>
      </c>
      <c r="G1560" s="29">
        <v>301.14</v>
      </c>
      <c r="H1560" s="8">
        <v>0</v>
      </c>
      <c r="I1560" s="8">
        <f t="shared" si="91"/>
        <v>-21708.010000000002</v>
      </c>
      <c r="J1560" s="12"/>
    </row>
    <row r="1561" spans="3:10" hidden="1" x14ac:dyDescent="0.25">
      <c r="C1561" s="9"/>
      <c r="D1561" s="10">
        <v>45695</v>
      </c>
      <c r="E1561" t="s">
        <v>11</v>
      </c>
      <c r="F1561" s="11" t="s">
        <v>1326</v>
      </c>
      <c r="G1561" s="29">
        <v>383.57</v>
      </c>
      <c r="H1561" s="8">
        <v>0</v>
      </c>
      <c r="I1561" s="8">
        <f t="shared" si="91"/>
        <v>-21324.440000000002</v>
      </c>
      <c r="J1561" s="12"/>
    </row>
    <row r="1562" spans="3:10" hidden="1" x14ac:dyDescent="0.25">
      <c r="C1562" s="9"/>
      <c r="D1562" s="10">
        <v>45695</v>
      </c>
      <c r="E1562" t="s">
        <v>11</v>
      </c>
      <c r="F1562" s="11" t="s">
        <v>1327</v>
      </c>
      <c r="G1562" s="29">
        <v>805.52</v>
      </c>
      <c r="H1562" s="8">
        <v>0</v>
      </c>
      <c r="I1562" s="8">
        <f t="shared" si="91"/>
        <v>-20518.920000000002</v>
      </c>
      <c r="J1562" s="12"/>
    </row>
    <row r="1563" spans="3:10" hidden="1" x14ac:dyDescent="0.25">
      <c r="C1563" s="9"/>
      <c r="D1563" s="10">
        <v>45695</v>
      </c>
      <c r="E1563" t="s">
        <v>11</v>
      </c>
      <c r="F1563" s="11" t="s">
        <v>1328</v>
      </c>
      <c r="G1563" s="29">
        <v>2201.86</v>
      </c>
      <c r="H1563" s="8">
        <v>0</v>
      </c>
      <c r="I1563" s="8">
        <f t="shared" si="91"/>
        <v>-18317.060000000001</v>
      </c>
      <c r="J1563" s="12"/>
    </row>
    <row r="1564" spans="3:10" hidden="1" x14ac:dyDescent="0.25">
      <c r="C1564" s="9"/>
      <c r="D1564" s="10">
        <v>45699</v>
      </c>
      <c r="E1564" t="s">
        <v>1329</v>
      </c>
      <c r="F1564" s="11" t="s">
        <v>1330</v>
      </c>
      <c r="G1564" s="8">
        <v>0</v>
      </c>
      <c r="H1564" s="8">
        <v>576.70000000000005</v>
      </c>
      <c r="I1564" s="8">
        <f t="shared" si="91"/>
        <v>-18893.760000000002</v>
      </c>
      <c r="J1564" s="12"/>
    </row>
    <row r="1565" spans="3:10" hidden="1" x14ac:dyDescent="0.25">
      <c r="C1565" s="9"/>
      <c r="D1565" s="10">
        <v>45699</v>
      </c>
      <c r="E1565" t="s">
        <v>1331</v>
      </c>
      <c r="F1565" s="11" t="s">
        <v>1332</v>
      </c>
      <c r="G1565" s="8">
        <v>0</v>
      </c>
      <c r="H1565" s="8">
        <v>2243.64</v>
      </c>
      <c r="I1565" s="8">
        <f t="shared" si="91"/>
        <v>-21137.4</v>
      </c>
      <c r="J1565" s="12"/>
    </row>
    <row r="1566" spans="3:10" hidden="1" x14ac:dyDescent="0.25">
      <c r="C1566" s="9"/>
      <c r="D1566" s="10">
        <v>45700</v>
      </c>
      <c r="E1566" t="s">
        <v>1333</v>
      </c>
      <c r="F1566" s="11" t="s">
        <v>1334</v>
      </c>
      <c r="G1566" s="8">
        <v>0</v>
      </c>
      <c r="H1566" s="8">
        <v>205.7</v>
      </c>
      <c r="I1566" s="8">
        <f t="shared" si="91"/>
        <v>-21343.100000000002</v>
      </c>
      <c r="J1566" s="12"/>
    </row>
    <row r="1567" spans="3:10" hidden="1" x14ac:dyDescent="0.25">
      <c r="C1567" s="9"/>
      <c r="D1567" s="10">
        <v>45700</v>
      </c>
      <c r="E1567" t="s">
        <v>1335</v>
      </c>
      <c r="F1567" s="11" t="s">
        <v>1336</v>
      </c>
      <c r="G1567" s="8">
        <v>0</v>
      </c>
      <c r="H1567" s="8">
        <v>200.01</v>
      </c>
      <c r="I1567" s="8">
        <f t="shared" si="91"/>
        <v>-21543.11</v>
      </c>
      <c r="J1567" s="12"/>
    </row>
    <row r="1568" spans="3:10" hidden="1" x14ac:dyDescent="0.25">
      <c r="C1568" s="9"/>
      <c r="D1568" s="10">
        <v>45701</v>
      </c>
      <c r="E1568" t="s">
        <v>1337</v>
      </c>
      <c r="F1568" s="11" t="s">
        <v>1338</v>
      </c>
      <c r="G1568" s="8">
        <v>0</v>
      </c>
      <c r="H1568" s="8">
        <v>4749.5</v>
      </c>
      <c r="I1568" s="8">
        <f t="shared" si="91"/>
        <v>-26292.61</v>
      </c>
      <c r="J1568" s="12"/>
    </row>
    <row r="1569" spans="3:10" hidden="1" x14ac:dyDescent="0.25">
      <c r="C1569" s="9"/>
      <c r="D1569" s="10">
        <v>45702</v>
      </c>
      <c r="E1569" t="s">
        <v>1339</v>
      </c>
      <c r="F1569" s="11" t="s">
        <v>42</v>
      </c>
      <c r="G1569" s="29">
        <v>1387.38</v>
      </c>
      <c r="H1569" s="8">
        <v>0</v>
      </c>
      <c r="I1569" s="8">
        <f t="shared" si="91"/>
        <v>-24905.23</v>
      </c>
      <c r="J1569" s="12"/>
    </row>
    <row r="1570" spans="3:10" hidden="1" x14ac:dyDescent="0.25">
      <c r="C1570" s="9"/>
      <c r="D1570" s="10">
        <v>45702</v>
      </c>
      <c r="E1570" t="s">
        <v>1340</v>
      </c>
      <c r="F1570" s="11" t="s">
        <v>42</v>
      </c>
      <c r="G1570" s="29">
        <v>1527.77</v>
      </c>
      <c r="H1570" s="8">
        <v>0</v>
      </c>
      <c r="I1570" s="8">
        <f t="shared" si="91"/>
        <v>-23377.46</v>
      </c>
      <c r="J1570" s="12"/>
    </row>
    <row r="1571" spans="3:10" hidden="1" x14ac:dyDescent="0.25">
      <c r="C1571" s="9"/>
      <c r="D1571" s="10">
        <v>45702</v>
      </c>
      <c r="E1571" t="s">
        <v>1341</v>
      </c>
      <c r="F1571" s="11" t="s">
        <v>42</v>
      </c>
      <c r="G1571" s="29">
        <v>741.78</v>
      </c>
      <c r="H1571" s="8">
        <v>0</v>
      </c>
      <c r="I1571" s="8">
        <f t="shared" si="91"/>
        <v>-22635.68</v>
      </c>
      <c r="J1571" s="12"/>
    </row>
    <row r="1572" spans="3:10" hidden="1" x14ac:dyDescent="0.25">
      <c r="C1572" s="9"/>
      <c r="D1572" s="10">
        <v>45702</v>
      </c>
      <c r="E1572" t="s">
        <v>11</v>
      </c>
      <c r="F1572" s="11" t="s">
        <v>1342</v>
      </c>
      <c r="G1572" s="29">
        <v>258.33999999999997</v>
      </c>
      <c r="H1572" s="8">
        <v>0</v>
      </c>
      <c r="I1572" s="8">
        <f t="shared" si="91"/>
        <v>-22377.34</v>
      </c>
      <c r="J1572" s="12"/>
    </row>
    <row r="1573" spans="3:10" hidden="1" x14ac:dyDescent="0.25">
      <c r="C1573" s="9"/>
      <c r="D1573" s="10">
        <v>45705</v>
      </c>
      <c r="E1573" t="s">
        <v>1343</v>
      </c>
      <c r="F1573" s="11" t="s">
        <v>1344</v>
      </c>
      <c r="G1573" s="8">
        <v>0</v>
      </c>
      <c r="H1573" s="8">
        <v>752.62</v>
      </c>
      <c r="I1573" s="8">
        <f t="shared" si="91"/>
        <v>-23129.96</v>
      </c>
      <c r="J1573" s="12"/>
    </row>
    <row r="1574" spans="3:10" hidden="1" x14ac:dyDescent="0.25">
      <c r="C1574" s="9"/>
      <c r="D1574" s="10">
        <v>45706</v>
      </c>
      <c r="E1574" t="s">
        <v>1345</v>
      </c>
      <c r="F1574" s="11" t="s">
        <v>1346</v>
      </c>
      <c r="G1574" s="8">
        <v>0</v>
      </c>
      <c r="H1574" s="8">
        <v>617.1</v>
      </c>
      <c r="I1574" s="8">
        <f t="shared" si="91"/>
        <v>-23747.059999999998</v>
      </c>
      <c r="J1574" s="12"/>
    </row>
    <row r="1575" spans="3:10" hidden="1" x14ac:dyDescent="0.25">
      <c r="C1575" s="9"/>
      <c r="D1575" s="10">
        <v>45713</v>
      </c>
      <c r="E1575" t="s">
        <v>1347</v>
      </c>
      <c r="F1575" s="11" t="s">
        <v>1348</v>
      </c>
      <c r="G1575" s="8">
        <v>0</v>
      </c>
      <c r="H1575" s="8">
        <v>332.52</v>
      </c>
      <c r="I1575" s="8">
        <f t="shared" si="91"/>
        <v>-24079.579999999998</v>
      </c>
      <c r="J1575" s="12"/>
    </row>
    <row r="1576" spans="3:10" hidden="1" x14ac:dyDescent="0.25">
      <c r="C1576" s="9"/>
      <c r="D1576" s="10">
        <v>45713</v>
      </c>
      <c r="E1576" t="s">
        <v>1349</v>
      </c>
      <c r="F1576" s="11" t="s">
        <v>1350</v>
      </c>
      <c r="G1576" s="8">
        <v>0</v>
      </c>
      <c r="H1576" s="8">
        <v>1514.07</v>
      </c>
      <c r="I1576" s="8">
        <f t="shared" si="91"/>
        <v>-25593.649999999998</v>
      </c>
      <c r="J1576" s="12"/>
    </row>
    <row r="1577" spans="3:10" hidden="1" x14ac:dyDescent="0.25">
      <c r="C1577" s="9"/>
      <c r="D1577" s="10">
        <v>45727</v>
      </c>
      <c r="E1577" t="s">
        <v>1351</v>
      </c>
      <c r="F1577" s="11" t="s">
        <v>1352</v>
      </c>
      <c r="G1577" s="8">
        <v>0</v>
      </c>
      <c r="H1577" s="8">
        <v>268.44</v>
      </c>
      <c r="I1577" s="8">
        <f t="shared" si="91"/>
        <v>-25862.089999999997</v>
      </c>
      <c r="J1577" s="12"/>
    </row>
    <row r="1578" spans="3:10" hidden="1" x14ac:dyDescent="0.25">
      <c r="C1578" s="9"/>
      <c r="D1578" s="10">
        <v>45728</v>
      </c>
      <c r="E1578" t="s">
        <v>1353</v>
      </c>
      <c r="F1578" s="11" t="s">
        <v>1354</v>
      </c>
      <c r="G1578" s="8">
        <v>0</v>
      </c>
      <c r="H1578" s="8">
        <v>586.04</v>
      </c>
      <c r="I1578" s="8">
        <f t="shared" si="91"/>
        <v>-26448.129999999997</v>
      </c>
      <c r="J1578" s="12"/>
    </row>
    <row r="1579" spans="3:10" hidden="1" x14ac:dyDescent="0.25">
      <c r="C1579" s="9"/>
      <c r="D1579" s="10">
        <v>45728</v>
      </c>
      <c r="E1579" t="s">
        <v>1355</v>
      </c>
      <c r="F1579" s="11" t="s">
        <v>1356</v>
      </c>
      <c r="G1579" s="8">
        <v>0</v>
      </c>
      <c r="H1579" s="8">
        <v>621</v>
      </c>
      <c r="I1579" s="8">
        <f t="shared" si="91"/>
        <v>-27069.129999999997</v>
      </c>
      <c r="J1579" s="12"/>
    </row>
    <row r="1580" spans="3:10" hidden="1" x14ac:dyDescent="0.25">
      <c r="C1580" s="9"/>
      <c r="D1580" s="10">
        <v>45730</v>
      </c>
      <c r="E1580" t="s">
        <v>1357</v>
      </c>
      <c r="F1580" s="11" t="s">
        <v>42</v>
      </c>
      <c r="G1580" s="29">
        <v>1387.38</v>
      </c>
      <c r="H1580" s="8">
        <v>0</v>
      </c>
      <c r="I1580" s="8">
        <f t="shared" si="91"/>
        <v>-25681.749999999996</v>
      </c>
      <c r="J1580" s="12"/>
    </row>
    <row r="1581" spans="3:10" hidden="1" x14ac:dyDescent="0.25">
      <c r="C1581" s="9"/>
      <c r="D1581" s="10">
        <v>45730</v>
      </c>
      <c r="E1581" t="s">
        <v>1358</v>
      </c>
      <c r="F1581" s="11" t="s">
        <v>42</v>
      </c>
      <c r="G1581" s="29">
        <v>741.78</v>
      </c>
      <c r="H1581" s="8">
        <v>0</v>
      </c>
      <c r="I1581" s="8">
        <f t="shared" si="91"/>
        <v>-24939.969999999998</v>
      </c>
      <c r="J1581" s="12"/>
    </row>
    <row r="1582" spans="3:10" hidden="1" x14ac:dyDescent="0.25">
      <c r="C1582" s="9"/>
      <c r="D1582" s="10">
        <v>45730</v>
      </c>
      <c r="E1582" t="s">
        <v>11</v>
      </c>
      <c r="F1582" s="11" t="s">
        <v>1309</v>
      </c>
      <c r="G1582" s="29">
        <v>587.03</v>
      </c>
      <c r="H1582" s="8">
        <v>0</v>
      </c>
      <c r="I1582" s="8">
        <f t="shared" ref="I1582:I1598" si="92">G1582-H1582+I1581</f>
        <v>-24352.94</v>
      </c>
      <c r="J1582" s="12"/>
    </row>
    <row r="1583" spans="3:10" hidden="1" x14ac:dyDescent="0.25">
      <c r="C1583" s="9"/>
      <c r="D1583" s="10">
        <v>45730</v>
      </c>
      <c r="E1583" t="s">
        <v>11</v>
      </c>
      <c r="F1583" s="11" t="s">
        <v>1359</v>
      </c>
      <c r="G1583" s="29">
        <v>1861.59</v>
      </c>
      <c r="H1583" s="8">
        <v>0</v>
      </c>
      <c r="I1583" s="8">
        <f t="shared" si="92"/>
        <v>-22491.35</v>
      </c>
      <c r="J1583" s="12"/>
    </row>
    <row r="1584" spans="3:10" hidden="1" x14ac:dyDescent="0.25">
      <c r="C1584" s="9"/>
      <c r="D1584" s="10">
        <v>45730</v>
      </c>
      <c r="E1584" t="s">
        <v>11</v>
      </c>
      <c r="F1584" s="11" t="s">
        <v>1360</v>
      </c>
      <c r="G1584" s="29">
        <v>529.98</v>
      </c>
      <c r="H1584" s="8">
        <v>0</v>
      </c>
      <c r="I1584" s="8">
        <f t="shared" si="92"/>
        <v>-21961.37</v>
      </c>
      <c r="J1584" s="12"/>
    </row>
    <row r="1585" spans="3:10" hidden="1" x14ac:dyDescent="0.25">
      <c r="C1585" s="9"/>
      <c r="D1585" s="10">
        <v>45730</v>
      </c>
      <c r="E1585" t="s">
        <v>11</v>
      </c>
      <c r="F1585" s="11" t="s">
        <v>1361</v>
      </c>
      <c r="G1585" s="29">
        <v>73.11</v>
      </c>
      <c r="H1585" s="8">
        <v>0</v>
      </c>
      <c r="I1585" s="8">
        <f t="shared" si="92"/>
        <v>-21888.26</v>
      </c>
      <c r="J1585" s="12"/>
    </row>
    <row r="1586" spans="3:10" hidden="1" x14ac:dyDescent="0.25">
      <c r="C1586" s="9"/>
      <c r="D1586" s="10">
        <v>45737</v>
      </c>
      <c r="E1586" t="s">
        <v>1362</v>
      </c>
      <c r="F1586" s="11" t="s">
        <v>1363</v>
      </c>
      <c r="G1586" s="8">
        <v>0</v>
      </c>
      <c r="H1586" s="8">
        <v>3731.11</v>
      </c>
      <c r="I1586" s="8">
        <f t="shared" si="92"/>
        <v>-25619.37</v>
      </c>
      <c r="J1586" s="12"/>
    </row>
    <row r="1587" spans="3:10" hidden="1" x14ac:dyDescent="0.25">
      <c r="C1587" s="9"/>
      <c r="D1587" s="10">
        <v>45742</v>
      </c>
      <c r="E1587" t="s">
        <v>1364</v>
      </c>
      <c r="F1587" s="11" t="s">
        <v>1365</v>
      </c>
      <c r="G1587" s="8">
        <v>0</v>
      </c>
      <c r="H1587" s="8">
        <v>9.75</v>
      </c>
      <c r="I1587" s="8">
        <f t="shared" si="92"/>
        <v>-25629.119999999999</v>
      </c>
      <c r="J1587" s="12"/>
    </row>
    <row r="1588" spans="3:10" hidden="1" x14ac:dyDescent="0.25">
      <c r="C1588" s="9"/>
      <c r="D1588" s="10">
        <v>45743</v>
      </c>
      <c r="E1588" t="s">
        <v>1366</v>
      </c>
      <c r="F1588" s="11" t="s">
        <v>1367</v>
      </c>
      <c r="G1588" s="8">
        <v>0</v>
      </c>
      <c r="H1588" s="8">
        <v>832.37</v>
      </c>
      <c r="I1588" s="8">
        <f t="shared" si="92"/>
        <v>-26461.489999999998</v>
      </c>
      <c r="J1588" s="12"/>
    </row>
    <row r="1589" spans="3:10" hidden="1" x14ac:dyDescent="0.25">
      <c r="C1589" s="9"/>
      <c r="D1589" s="10">
        <v>45754</v>
      </c>
      <c r="E1589" t="s">
        <v>365</v>
      </c>
      <c r="F1589" s="11" t="s">
        <v>42</v>
      </c>
      <c r="G1589" s="29">
        <v>206.69</v>
      </c>
      <c r="H1589" s="8">
        <v>0</v>
      </c>
      <c r="I1589" s="8">
        <f t="shared" si="92"/>
        <v>-26254.799999999999</v>
      </c>
      <c r="J1589" s="12"/>
    </row>
    <row r="1590" spans="3:10" hidden="1" x14ac:dyDescent="0.25">
      <c r="C1590" s="9"/>
      <c r="D1590" s="10">
        <v>45754</v>
      </c>
      <c r="E1590" t="s">
        <v>365</v>
      </c>
      <c r="F1590" s="11" t="s">
        <v>42</v>
      </c>
      <c r="G1590" s="29">
        <v>3.12</v>
      </c>
      <c r="H1590" s="8">
        <v>0</v>
      </c>
      <c r="I1590" s="8">
        <f t="shared" si="92"/>
        <v>-26251.68</v>
      </c>
      <c r="J1590" s="12"/>
    </row>
    <row r="1591" spans="3:10" hidden="1" x14ac:dyDescent="0.25">
      <c r="C1591" s="9"/>
      <c r="D1591" s="10">
        <v>45754</v>
      </c>
      <c r="E1591" t="s">
        <v>365</v>
      </c>
      <c r="F1591" s="11" t="s">
        <v>42</v>
      </c>
      <c r="G1591" s="29">
        <v>47.47</v>
      </c>
      <c r="H1591" s="8">
        <v>0</v>
      </c>
      <c r="I1591" s="8">
        <f t="shared" si="92"/>
        <v>-26204.21</v>
      </c>
      <c r="J1591" s="12"/>
    </row>
    <row r="1592" spans="3:10" hidden="1" x14ac:dyDescent="0.25">
      <c r="C1592" s="9"/>
      <c r="D1592" s="10">
        <v>45754</v>
      </c>
      <c r="E1592" t="s">
        <v>365</v>
      </c>
      <c r="F1592" s="11" t="s">
        <v>42</v>
      </c>
      <c r="G1592" s="29">
        <v>521.49</v>
      </c>
      <c r="H1592" s="8">
        <v>0</v>
      </c>
      <c r="I1592" s="8">
        <f t="shared" si="92"/>
        <v>-25682.719999999998</v>
      </c>
      <c r="J1592" s="12"/>
    </row>
    <row r="1593" spans="3:10" hidden="1" x14ac:dyDescent="0.25">
      <c r="C1593" s="9"/>
      <c r="D1593" s="10">
        <v>45754</v>
      </c>
      <c r="E1593" t="s">
        <v>365</v>
      </c>
      <c r="F1593" s="11" t="s">
        <v>42</v>
      </c>
      <c r="G1593" s="29">
        <v>967.73</v>
      </c>
      <c r="H1593" s="8">
        <v>0</v>
      </c>
      <c r="I1593" s="8">
        <f t="shared" si="92"/>
        <v>-24714.989999999998</v>
      </c>
      <c r="J1593" s="12"/>
    </row>
    <row r="1594" spans="3:10" hidden="1" x14ac:dyDescent="0.25">
      <c r="C1594" s="9"/>
      <c r="D1594" s="10">
        <v>45754</v>
      </c>
      <c r="E1594" t="s">
        <v>365</v>
      </c>
      <c r="F1594" s="11" t="s">
        <v>42</v>
      </c>
      <c r="G1594" s="29">
        <v>1125.47</v>
      </c>
      <c r="H1594" s="8">
        <v>0</v>
      </c>
      <c r="I1594" s="8">
        <f t="shared" si="92"/>
        <v>-23589.519999999997</v>
      </c>
      <c r="J1594" s="12"/>
    </row>
    <row r="1595" spans="3:10" hidden="1" x14ac:dyDescent="0.25">
      <c r="C1595" s="9"/>
      <c r="D1595" s="10">
        <v>45754</v>
      </c>
      <c r="E1595" t="s">
        <v>365</v>
      </c>
      <c r="F1595" s="11" t="s">
        <v>42</v>
      </c>
      <c r="G1595" s="29">
        <v>21.51</v>
      </c>
      <c r="H1595" s="8">
        <v>0</v>
      </c>
      <c r="I1595" s="8">
        <f t="shared" si="92"/>
        <v>-23568.01</v>
      </c>
      <c r="J1595" s="12"/>
    </row>
    <row r="1596" spans="3:10" hidden="1" x14ac:dyDescent="0.25">
      <c r="C1596" s="9"/>
      <c r="D1596" s="10">
        <v>45754</v>
      </c>
      <c r="E1596" t="s">
        <v>365</v>
      </c>
      <c r="F1596" s="11" t="s">
        <v>42</v>
      </c>
      <c r="G1596" s="29">
        <v>2029.79</v>
      </c>
      <c r="H1596" s="8">
        <v>0</v>
      </c>
      <c r="I1596" s="8">
        <f t="shared" si="92"/>
        <v>-21538.219999999998</v>
      </c>
      <c r="J1596" s="12"/>
    </row>
    <row r="1597" spans="3:10" hidden="1" x14ac:dyDescent="0.25">
      <c r="C1597" s="9"/>
      <c r="D1597" s="10">
        <v>45754</v>
      </c>
      <c r="E1597" t="s">
        <v>365</v>
      </c>
      <c r="F1597" s="11" t="s">
        <v>42</v>
      </c>
      <c r="G1597" s="29">
        <v>1356.98</v>
      </c>
      <c r="H1597" s="8">
        <v>0</v>
      </c>
      <c r="I1597" s="8">
        <f t="shared" si="92"/>
        <v>-20181.239999999998</v>
      </c>
      <c r="J1597" s="12"/>
    </row>
    <row r="1598" spans="3:10" x14ac:dyDescent="0.25">
      <c r="C1598" s="9"/>
      <c r="D1598" s="10">
        <v>45754</v>
      </c>
      <c r="E1598" t="s">
        <v>365</v>
      </c>
      <c r="F1598" s="11" t="s">
        <v>42</v>
      </c>
      <c r="G1598" s="8">
        <v>497.58</v>
      </c>
      <c r="H1598" s="8">
        <v>0</v>
      </c>
      <c r="I1598" s="8">
        <f t="shared" si="92"/>
        <v>-19683.659999999996</v>
      </c>
      <c r="J1598" s="30" t="s">
        <v>8351</v>
      </c>
    </row>
    <row r="1599" spans="3:10" hidden="1" x14ac:dyDescent="0.25">
      <c r="E1599" s="4" t="s">
        <v>20</v>
      </c>
      <c r="G1599" s="8">
        <f>SUM(G1549:G1598)</f>
        <v>22391.230000000003</v>
      </c>
      <c r="H1599" s="8">
        <f>SUM(H1549:H1598)</f>
        <v>42074.89</v>
      </c>
      <c r="I1599" s="8">
        <f>G1599-H1599</f>
        <v>-19683.659999999996</v>
      </c>
    </row>
    <row r="1601" spans="1:10" hidden="1" x14ac:dyDescent="0.25">
      <c r="A1601" s="5">
        <v>4001001</v>
      </c>
      <c r="B1601" s="6" t="s">
        <v>1368</v>
      </c>
      <c r="C1601" s="7"/>
      <c r="D1601" s="7"/>
      <c r="E1601" s="7"/>
      <c r="F1601" s="7"/>
      <c r="G1601" s="7"/>
      <c r="H1601" s="7"/>
      <c r="I1601" s="7"/>
      <c r="J1601" s="7"/>
    </row>
    <row r="1602" spans="1:10" hidden="1" x14ac:dyDescent="0.25">
      <c r="C1602" s="9"/>
      <c r="D1602" s="35">
        <v>45596</v>
      </c>
      <c r="E1602" s="36" t="s">
        <v>8352</v>
      </c>
      <c r="F1602" s="37" t="s">
        <v>1372</v>
      </c>
      <c r="G1602" s="38">
        <v>0</v>
      </c>
      <c r="H1602" s="33">
        <v>153.91</v>
      </c>
      <c r="I1602" s="38">
        <v>-6497.5800000000008</v>
      </c>
      <c r="J1602" s="12"/>
    </row>
    <row r="1603" spans="1:10" hidden="1" x14ac:dyDescent="0.25">
      <c r="C1603" s="9"/>
      <c r="D1603" s="35">
        <v>45601</v>
      </c>
      <c r="E1603" s="36" t="s">
        <v>8242</v>
      </c>
      <c r="F1603" s="37" t="s">
        <v>42</v>
      </c>
      <c r="G1603" s="38">
        <v>0</v>
      </c>
      <c r="H1603" s="25">
        <v>1453.28</v>
      </c>
      <c r="I1603" s="38">
        <v>-6473.22</v>
      </c>
      <c r="J1603" s="70">
        <f>G1613-H1603</f>
        <v>0</v>
      </c>
    </row>
    <row r="1604" spans="1:10" hidden="1" x14ac:dyDescent="0.25">
      <c r="C1604" s="9"/>
      <c r="D1604" s="35">
        <v>45611</v>
      </c>
      <c r="E1604" s="36" t="s">
        <v>8353</v>
      </c>
      <c r="F1604" s="37" t="s">
        <v>1371</v>
      </c>
      <c r="G1604" s="38">
        <v>0</v>
      </c>
      <c r="H1604" s="33">
        <v>1379.85</v>
      </c>
      <c r="I1604" s="38">
        <v>-7853.07</v>
      </c>
      <c r="J1604" s="12"/>
    </row>
    <row r="1605" spans="1:10" hidden="1" x14ac:dyDescent="0.25">
      <c r="C1605" s="9"/>
      <c r="D1605" s="35">
        <v>45626</v>
      </c>
      <c r="E1605" s="36" t="s">
        <v>8354</v>
      </c>
      <c r="F1605" s="37" t="s">
        <v>1377</v>
      </c>
      <c r="G1605" s="38">
        <v>0</v>
      </c>
      <c r="H1605" s="33">
        <v>633.29999999999995</v>
      </c>
      <c r="I1605" s="38">
        <v>-7304.08</v>
      </c>
      <c r="J1605" s="12"/>
    </row>
    <row r="1606" spans="1:10" hidden="1" x14ac:dyDescent="0.25">
      <c r="C1606" s="9"/>
      <c r="D1606" s="35">
        <v>45657</v>
      </c>
      <c r="E1606" s="36" t="s">
        <v>8355</v>
      </c>
      <c r="F1606" s="37" t="s">
        <v>1380</v>
      </c>
      <c r="G1606" s="38">
        <v>0</v>
      </c>
      <c r="H1606" s="33">
        <v>603.04</v>
      </c>
      <c r="I1606" s="38">
        <v>-4223.3799999999992</v>
      </c>
      <c r="J1606" s="12"/>
    </row>
    <row r="1607" spans="1:10" hidden="1" x14ac:dyDescent="0.25">
      <c r="A1607" s="5"/>
      <c r="B1607" s="6"/>
      <c r="C1607" s="7"/>
      <c r="D1607" s="7"/>
      <c r="E1607" s="7"/>
      <c r="F1607" s="7"/>
      <c r="G1607" s="7"/>
      <c r="H1607" s="7"/>
      <c r="I1607" s="7"/>
      <c r="J1607" s="7"/>
    </row>
    <row r="1608" spans="1:10" hidden="1" x14ac:dyDescent="0.25">
      <c r="E1608" s="4" t="s">
        <v>10</v>
      </c>
      <c r="G1608" s="8">
        <v>0</v>
      </c>
      <c r="H1608" s="8">
        <v>4223.38</v>
      </c>
      <c r="I1608" s="8">
        <f>G1608-H1608</f>
        <v>-4223.38</v>
      </c>
    </row>
    <row r="1609" spans="1:10" hidden="1" x14ac:dyDescent="0.25">
      <c r="C1609" s="9"/>
      <c r="D1609" s="10">
        <v>45672</v>
      </c>
      <c r="E1609" t="s">
        <v>1369</v>
      </c>
      <c r="F1609" s="11" t="s">
        <v>1370</v>
      </c>
      <c r="G1609" s="8">
        <v>0</v>
      </c>
      <c r="H1609" s="33">
        <v>1133.3800000000001</v>
      </c>
      <c r="I1609" s="8">
        <f t="shared" ref="I1609:I1620" si="93">G1609-H1609+I1608</f>
        <v>-5356.76</v>
      </c>
      <c r="J1609" s="12"/>
    </row>
    <row r="1610" spans="1:10" hidden="1" x14ac:dyDescent="0.25">
      <c r="C1610" s="9"/>
      <c r="D1610" s="10">
        <v>45672</v>
      </c>
      <c r="E1610" t="s">
        <v>11</v>
      </c>
      <c r="F1610" s="11" t="s">
        <v>1371</v>
      </c>
      <c r="G1610" s="33">
        <v>1379.85</v>
      </c>
      <c r="H1610" s="8">
        <v>0</v>
      </c>
      <c r="I1610" s="8">
        <f t="shared" si="93"/>
        <v>-3976.9100000000003</v>
      </c>
      <c r="J1610" s="12"/>
    </row>
    <row r="1611" spans="1:10" hidden="1" x14ac:dyDescent="0.25">
      <c r="C1611" s="9"/>
      <c r="D1611" s="10">
        <v>45672</v>
      </c>
      <c r="E1611" t="s">
        <v>11</v>
      </c>
      <c r="F1611" s="11" t="s">
        <v>1372</v>
      </c>
      <c r="G1611" s="33">
        <v>153.91</v>
      </c>
      <c r="H1611" s="8">
        <v>0</v>
      </c>
      <c r="I1611" s="8">
        <f t="shared" si="93"/>
        <v>-3823.0000000000005</v>
      </c>
      <c r="J1611" s="12"/>
    </row>
    <row r="1612" spans="1:10" hidden="1" x14ac:dyDescent="0.25">
      <c r="C1612" s="9"/>
      <c r="D1612" s="10">
        <v>45672</v>
      </c>
      <c r="E1612" t="s">
        <v>11</v>
      </c>
      <c r="F1612" s="11" t="s">
        <v>1371</v>
      </c>
      <c r="G1612" s="8">
        <v>0</v>
      </c>
      <c r="H1612" s="29">
        <v>1379.85</v>
      </c>
      <c r="I1612" s="8">
        <f t="shared" si="93"/>
        <v>-5202.8500000000004</v>
      </c>
      <c r="J1612" s="82"/>
    </row>
    <row r="1613" spans="1:10" hidden="1" x14ac:dyDescent="0.25">
      <c r="C1613" s="9"/>
      <c r="D1613" s="10">
        <v>45674</v>
      </c>
      <c r="E1613" t="s">
        <v>1373</v>
      </c>
      <c r="F1613" s="11" t="s">
        <v>42</v>
      </c>
      <c r="G1613" s="25">
        <v>1453.28</v>
      </c>
      <c r="H1613" s="8">
        <v>0</v>
      </c>
      <c r="I1613" s="8">
        <f t="shared" si="93"/>
        <v>-3749.5700000000006</v>
      </c>
      <c r="J1613" s="12"/>
    </row>
    <row r="1614" spans="1:10" hidden="1" x14ac:dyDescent="0.25">
      <c r="C1614" s="9"/>
      <c r="D1614" s="10">
        <v>45691</v>
      </c>
      <c r="E1614" t="s">
        <v>1374</v>
      </c>
      <c r="F1614" s="11" t="s">
        <v>1370</v>
      </c>
      <c r="G1614" s="29">
        <v>1379.85</v>
      </c>
      <c r="H1614" s="8">
        <v>0</v>
      </c>
      <c r="I1614" s="8">
        <f t="shared" si="93"/>
        <v>-2369.7200000000007</v>
      </c>
      <c r="J1614" s="12"/>
    </row>
    <row r="1615" spans="1:10" hidden="1" x14ac:dyDescent="0.25">
      <c r="C1615" s="9"/>
      <c r="D1615" s="10">
        <v>45703</v>
      </c>
      <c r="E1615" t="s">
        <v>1375</v>
      </c>
      <c r="F1615" s="11" t="s">
        <v>1376</v>
      </c>
      <c r="G1615" s="8">
        <v>0</v>
      </c>
      <c r="H1615" s="8">
        <v>1393.63</v>
      </c>
      <c r="I1615" s="8">
        <f t="shared" si="93"/>
        <v>-3763.3500000000008</v>
      </c>
      <c r="J1615" s="63">
        <v>45792</v>
      </c>
    </row>
    <row r="1616" spans="1:10" hidden="1" x14ac:dyDescent="0.25">
      <c r="C1616" s="9"/>
      <c r="D1616" s="10">
        <v>45705</v>
      </c>
      <c r="E1616" t="s">
        <v>11</v>
      </c>
      <c r="F1616" s="11" t="s">
        <v>1377</v>
      </c>
      <c r="G1616" s="33">
        <v>633.29999999999995</v>
      </c>
      <c r="H1616" s="8">
        <v>0</v>
      </c>
      <c r="I1616" s="8">
        <f t="shared" si="93"/>
        <v>-3130.0500000000011</v>
      </c>
      <c r="J1616" s="12"/>
    </row>
    <row r="1617" spans="1:10" hidden="1" x14ac:dyDescent="0.25">
      <c r="C1617" s="9"/>
      <c r="D1617" s="10">
        <v>45716</v>
      </c>
      <c r="E1617" t="s">
        <v>1378</v>
      </c>
      <c r="F1617" s="11" t="s">
        <v>1379</v>
      </c>
      <c r="G1617" s="8">
        <v>0</v>
      </c>
      <c r="H1617" s="8">
        <v>1858.46</v>
      </c>
      <c r="I1617" s="8">
        <f t="shared" si="93"/>
        <v>-4988.5100000000011</v>
      </c>
      <c r="J1617" s="12"/>
    </row>
    <row r="1618" spans="1:10" hidden="1" x14ac:dyDescent="0.25">
      <c r="C1618" s="9"/>
      <c r="D1618" s="10">
        <v>45733</v>
      </c>
      <c r="E1618" t="s">
        <v>11</v>
      </c>
      <c r="F1618" s="11" t="s">
        <v>1380</v>
      </c>
      <c r="G1618" s="33">
        <v>603.04</v>
      </c>
      <c r="H1618" s="8">
        <v>0</v>
      </c>
      <c r="I1618" s="8">
        <f t="shared" si="93"/>
        <v>-4385.4700000000012</v>
      </c>
      <c r="J1618" s="12"/>
    </row>
    <row r="1619" spans="1:10" hidden="1" x14ac:dyDescent="0.25">
      <c r="C1619" s="9"/>
      <c r="D1619" s="10">
        <v>45747</v>
      </c>
      <c r="E1619" t="s">
        <v>1381</v>
      </c>
      <c r="F1619" s="11" t="s">
        <v>1382</v>
      </c>
      <c r="G1619" s="8">
        <v>0</v>
      </c>
      <c r="H1619" s="8">
        <v>2106.8000000000002</v>
      </c>
      <c r="I1619" s="8">
        <f t="shared" si="93"/>
        <v>-6492.2700000000013</v>
      </c>
      <c r="J1619" s="12"/>
    </row>
    <row r="1620" spans="1:10" hidden="1" x14ac:dyDescent="0.25">
      <c r="C1620" s="9"/>
      <c r="D1620" s="10">
        <v>45762</v>
      </c>
      <c r="E1620" t="s">
        <v>11</v>
      </c>
      <c r="F1620" s="11" t="s">
        <v>1370</v>
      </c>
      <c r="G1620" s="33">
        <v>1133.3800000000001</v>
      </c>
      <c r="H1620" s="8">
        <v>0</v>
      </c>
      <c r="I1620" s="8">
        <f t="shared" si="93"/>
        <v>-5358.8900000000012</v>
      </c>
      <c r="J1620" s="12"/>
    </row>
    <row r="1621" spans="1:10" hidden="1" x14ac:dyDescent="0.25">
      <c r="E1621" s="4" t="s">
        <v>20</v>
      </c>
      <c r="G1621" s="8">
        <f>SUM(G1608:G1620)</f>
        <v>6736.61</v>
      </c>
      <c r="H1621" s="8">
        <f>SUM(H1608:H1620)</f>
        <v>12095.5</v>
      </c>
      <c r="I1621" s="8">
        <f>G1621-H1621</f>
        <v>-5358.89</v>
      </c>
    </row>
    <row r="1622" spans="1:10" hidden="1" x14ac:dyDescent="0.25"/>
    <row r="1623" spans="1:10" hidden="1" x14ac:dyDescent="0.25">
      <c r="A1623" s="5">
        <v>4001003</v>
      </c>
      <c r="B1623" s="6" t="s">
        <v>1383</v>
      </c>
      <c r="C1623" s="7"/>
      <c r="D1623" s="7"/>
      <c r="E1623" s="7"/>
      <c r="F1623" s="7"/>
      <c r="G1623" s="7"/>
      <c r="H1623" s="7"/>
      <c r="I1623" s="7"/>
      <c r="J1623" s="7"/>
    </row>
    <row r="1624" spans="1:10" hidden="1" x14ac:dyDescent="0.25">
      <c r="E1624" s="4" t="s">
        <v>10</v>
      </c>
      <c r="G1624" s="8">
        <v>0</v>
      </c>
      <c r="H1624" s="8">
        <v>211.17</v>
      </c>
      <c r="I1624" s="8">
        <f>G1624-H1624</f>
        <v>-211.17</v>
      </c>
    </row>
    <row r="1625" spans="1:10" hidden="1" x14ac:dyDescent="0.25">
      <c r="C1625" s="9"/>
      <c r="D1625" s="10">
        <v>45672</v>
      </c>
      <c r="E1625" t="s">
        <v>11</v>
      </c>
      <c r="F1625" s="11" t="s">
        <v>1384</v>
      </c>
      <c r="G1625" s="8">
        <v>211.17</v>
      </c>
      <c r="H1625" s="8">
        <v>0</v>
      </c>
      <c r="I1625" s="8">
        <f>G1625-H1625+I1624</f>
        <v>0</v>
      </c>
      <c r="J1625" s="12"/>
    </row>
    <row r="1626" spans="1:10" hidden="1" x14ac:dyDescent="0.25">
      <c r="C1626" s="9"/>
      <c r="D1626" s="10">
        <v>45688</v>
      </c>
      <c r="E1626" t="s">
        <v>1385</v>
      </c>
      <c r="F1626" s="11" t="s">
        <v>1386</v>
      </c>
      <c r="G1626" s="8">
        <v>0</v>
      </c>
      <c r="H1626" s="8">
        <v>237.63</v>
      </c>
      <c r="I1626" s="8">
        <f>G1626-H1626+I1625</f>
        <v>-237.63</v>
      </c>
      <c r="J1626" s="12"/>
    </row>
    <row r="1627" spans="1:10" hidden="1" x14ac:dyDescent="0.25">
      <c r="C1627" s="9"/>
      <c r="D1627" s="10">
        <v>45703</v>
      </c>
      <c r="E1627" t="s">
        <v>1387</v>
      </c>
      <c r="F1627" s="11" t="s">
        <v>1388</v>
      </c>
      <c r="G1627" s="8">
        <v>0</v>
      </c>
      <c r="H1627" s="8">
        <v>140.57</v>
      </c>
      <c r="I1627" s="8">
        <f>G1627-H1627+I1626</f>
        <v>-378.2</v>
      </c>
      <c r="J1627" s="63">
        <v>45792</v>
      </c>
    </row>
    <row r="1628" spans="1:10" hidden="1" x14ac:dyDescent="0.25">
      <c r="C1628" s="9"/>
      <c r="D1628" s="10">
        <v>45762</v>
      </c>
      <c r="E1628" t="s">
        <v>11</v>
      </c>
      <c r="F1628" s="11" t="s">
        <v>1386</v>
      </c>
      <c r="G1628" s="8">
        <v>237.63</v>
      </c>
      <c r="H1628" s="8">
        <v>0</v>
      </c>
      <c r="I1628" s="8">
        <f>G1628-H1628+I1627</f>
        <v>-140.57</v>
      </c>
      <c r="J1628" s="12"/>
    </row>
    <row r="1629" spans="1:10" hidden="1" x14ac:dyDescent="0.25">
      <c r="E1629" s="4" t="s">
        <v>20</v>
      </c>
      <c r="G1629" s="8">
        <f>SUM(G1624:G1628)</f>
        <v>448.79999999999995</v>
      </c>
      <c r="H1629" s="8">
        <f>SUM(H1624:H1628)</f>
        <v>589.36999999999989</v>
      </c>
      <c r="I1629" s="8">
        <f>G1629-H1629</f>
        <v>-140.56999999999994</v>
      </c>
    </row>
    <row r="1630" spans="1:10" hidden="1" x14ac:dyDescent="0.25"/>
    <row r="1631" spans="1:10" x14ac:dyDescent="0.25">
      <c r="A1631" s="5">
        <v>4001008</v>
      </c>
      <c r="B1631" s="6" t="s">
        <v>1389</v>
      </c>
      <c r="C1631" s="7"/>
      <c r="D1631" s="7"/>
      <c r="E1631" s="7"/>
      <c r="F1631" s="7"/>
      <c r="G1631" s="7"/>
      <c r="H1631" s="7"/>
      <c r="I1631" s="7"/>
      <c r="J1631" s="7"/>
    </row>
    <row r="1632" spans="1:10" x14ac:dyDescent="0.25">
      <c r="C1632" s="9"/>
      <c r="D1632" s="35">
        <v>45565</v>
      </c>
      <c r="E1632" s="36" t="s">
        <v>8356</v>
      </c>
      <c r="F1632" s="37" t="s">
        <v>8357</v>
      </c>
      <c r="G1632" s="38">
        <v>0</v>
      </c>
      <c r="H1632" s="38">
        <v>36.299999999999997</v>
      </c>
      <c r="I1632" s="38">
        <v>-336.70000000000016</v>
      </c>
      <c r="J1632" s="32" t="s">
        <v>8147</v>
      </c>
    </row>
    <row r="1633" spans="1:10" hidden="1" x14ac:dyDescent="0.25">
      <c r="C1633" s="9"/>
      <c r="D1633" s="35">
        <v>45596</v>
      </c>
      <c r="E1633" s="36" t="s">
        <v>8358</v>
      </c>
      <c r="F1633" s="37" t="s">
        <v>8359</v>
      </c>
      <c r="G1633" s="38">
        <v>0</v>
      </c>
      <c r="H1633" s="25">
        <v>255.19</v>
      </c>
      <c r="I1633" s="38">
        <v>-457.99000000000018</v>
      </c>
      <c r="J1633" s="12"/>
    </row>
    <row r="1634" spans="1:10" hidden="1" x14ac:dyDescent="0.25">
      <c r="C1634" s="9"/>
      <c r="D1634" s="35">
        <v>45625</v>
      </c>
      <c r="E1634" s="36" t="s">
        <v>8360</v>
      </c>
      <c r="F1634" s="37" t="s">
        <v>8361</v>
      </c>
      <c r="G1634" s="38">
        <v>0</v>
      </c>
      <c r="H1634" s="25">
        <v>252.77</v>
      </c>
      <c r="I1634" s="38">
        <v>-544.26000000000022</v>
      </c>
      <c r="J1634" s="12"/>
    </row>
    <row r="1635" spans="1:10" hidden="1" x14ac:dyDescent="0.25">
      <c r="C1635" s="9"/>
      <c r="D1635" s="35">
        <v>45639</v>
      </c>
      <c r="E1635" s="36" t="s">
        <v>8362</v>
      </c>
      <c r="F1635" s="37" t="s">
        <v>8363</v>
      </c>
      <c r="G1635" s="38">
        <v>0</v>
      </c>
      <c r="H1635" s="25">
        <v>78.05</v>
      </c>
      <c r="I1635" s="38">
        <v>-622.31000000000017</v>
      </c>
      <c r="J1635" s="12"/>
    </row>
    <row r="1636" spans="1:10" x14ac:dyDescent="0.25">
      <c r="C1636" s="9"/>
      <c r="D1636" s="35">
        <v>45649</v>
      </c>
      <c r="E1636" s="36" t="s">
        <v>8364</v>
      </c>
      <c r="F1636" s="37" t="s">
        <v>8365</v>
      </c>
      <c r="G1636" s="38">
        <v>0</v>
      </c>
      <c r="H1636" s="38">
        <v>60.98</v>
      </c>
      <c r="I1636" s="38">
        <v>-683.29000000000019</v>
      </c>
      <c r="J1636" s="32" t="s">
        <v>8147</v>
      </c>
    </row>
    <row r="1637" spans="1:10" hidden="1" x14ac:dyDescent="0.25">
      <c r="E1637" s="4" t="s">
        <v>10</v>
      </c>
      <c r="G1637" s="8">
        <v>0</v>
      </c>
      <c r="H1637" s="8">
        <v>683.29</v>
      </c>
      <c r="I1637" s="8">
        <f>G1637-H1637</f>
        <v>-683.29</v>
      </c>
    </row>
    <row r="1638" spans="1:10" hidden="1" x14ac:dyDescent="0.25">
      <c r="C1638" s="9"/>
      <c r="D1638" s="10">
        <v>45702</v>
      </c>
      <c r="E1638" t="s">
        <v>1390</v>
      </c>
      <c r="F1638" s="11" t="s">
        <v>42</v>
      </c>
      <c r="G1638" s="25">
        <v>78.05</v>
      </c>
      <c r="H1638" s="8">
        <v>0</v>
      </c>
      <c r="I1638" s="8">
        <f>G1638-H1638+I1637</f>
        <v>-605.24</v>
      </c>
      <c r="J1638" s="12"/>
    </row>
    <row r="1639" spans="1:10" hidden="1" x14ac:dyDescent="0.25">
      <c r="C1639" s="9"/>
      <c r="D1639" s="10">
        <v>45702</v>
      </c>
      <c r="E1639" t="s">
        <v>1391</v>
      </c>
      <c r="F1639" s="11" t="s">
        <v>42</v>
      </c>
      <c r="G1639" s="25">
        <v>252.77</v>
      </c>
      <c r="H1639" s="8">
        <v>0</v>
      </c>
      <c r="I1639" s="8">
        <f>G1639-H1639+I1638</f>
        <v>-352.47</v>
      </c>
      <c r="J1639" s="12"/>
    </row>
    <row r="1640" spans="1:10" hidden="1" x14ac:dyDescent="0.25">
      <c r="C1640" s="9"/>
      <c r="D1640" s="10">
        <v>45716</v>
      </c>
      <c r="E1640" t="s">
        <v>1392</v>
      </c>
      <c r="F1640" s="11" t="s">
        <v>1393</v>
      </c>
      <c r="G1640" s="8">
        <v>0</v>
      </c>
      <c r="H1640" s="8">
        <v>232.48</v>
      </c>
      <c r="I1640" s="8">
        <f>G1640-H1640+I1639</f>
        <v>-584.95000000000005</v>
      </c>
      <c r="J1640" s="63">
        <v>45792</v>
      </c>
    </row>
    <row r="1641" spans="1:10" x14ac:dyDescent="0.25">
      <c r="C1641" s="9"/>
      <c r="D1641" s="10">
        <v>45728</v>
      </c>
      <c r="E1641" t="s">
        <v>1008</v>
      </c>
      <c r="F1641" s="11" t="s">
        <v>42</v>
      </c>
      <c r="G1641" s="8">
        <v>56.63</v>
      </c>
      <c r="H1641" s="8">
        <v>0</v>
      </c>
      <c r="I1641" s="8">
        <f>G1641-H1641+I1640</f>
        <v>-528.32000000000005</v>
      </c>
      <c r="J1641" s="20" t="s">
        <v>8351</v>
      </c>
    </row>
    <row r="1642" spans="1:10" hidden="1" x14ac:dyDescent="0.25">
      <c r="C1642" s="9"/>
      <c r="D1642" s="10">
        <v>45754</v>
      </c>
      <c r="E1642" t="s">
        <v>365</v>
      </c>
      <c r="F1642" s="11" t="s">
        <v>42</v>
      </c>
      <c r="G1642" s="25">
        <v>255.19</v>
      </c>
      <c r="H1642" s="8">
        <v>0</v>
      </c>
      <c r="I1642" s="8">
        <f>G1642-H1642+I1641</f>
        <v>-273.13000000000005</v>
      </c>
      <c r="J1642" s="12"/>
    </row>
    <row r="1643" spans="1:10" hidden="1" x14ac:dyDescent="0.25">
      <c r="E1643" s="4" t="s">
        <v>20</v>
      </c>
      <c r="G1643" s="8">
        <f>SUM(G1637:G1642)</f>
        <v>642.64</v>
      </c>
      <c r="H1643" s="8">
        <f>SUM(H1637:H1642)</f>
        <v>915.77</v>
      </c>
      <c r="I1643" s="8">
        <f>G1643-H1643</f>
        <v>-273.13</v>
      </c>
    </row>
    <row r="1645" spans="1:10" hidden="1" x14ac:dyDescent="0.25">
      <c r="A1645" s="5">
        <v>4001011</v>
      </c>
      <c r="B1645" s="6" t="s">
        <v>1394</v>
      </c>
      <c r="C1645" s="7"/>
      <c r="D1645" s="7"/>
      <c r="E1645" s="7"/>
      <c r="F1645" s="7"/>
      <c r="G1645" s="7"/>
      <c r="H1645" s="7"/>
      <c r="I1645" s="7"/>
      <c r="J1645" s="7"/>
    </row>
    <row r="1646" spans="1:10" hidden="1" x14ac:dyDescent="0.25">
      <c r="C1646" s="9"/>
      <c r="D1646" s="10">
        <v>45713</v>
      </c>
      <c r="E1646" t="s">
        <v>1395</v>
      </c>
      <c r="F1646" s="11" t="s">
        <v>1396</v>
      </c>
      <c r="G1646" s="8">
        <v>0</v>
      </c>
      <c r="H1646" s="8">
        <v>357.18</v>
      </c>
      <c r="I1646" s="8">
        <f>G1646-H1646</f>
        <v>-357.18</v>
      </c>
      <c r="J1646" s="63">
        <v>45792</v>
      </c>
    </row>
    <row r="1647" spans="1:10" hidden="1" x14ac:dyDescent="0.25">
      <c r="E1647" s="4" t="s">
        <v>20</v>
      </c>
      <c r="G1647" s="8">
        <f>G1646</f>
        <v>0</v>
      </c>
      <c r="H1647" s="8">
        <f>H1646</f>
        <v>357.18</v>
      </c>
      <c r="I1647" s="8">
        <f>G1647-H1647</f>
        <v>-357.18</v>
      </c>
    </row>
    <row r="1648" spans="1:10" hidden="1" x14ac:dyDescent="0.25"/>
    <row r="1649" spans="1:10" hidden="1" x14ac:dyDescent="0.25">
      <c r="A1649" s="5">
        <v>4001014</v>
      </c>
      <c r="B1649" s="6" t="s">
        <v>1397</v>
      </c>
      <c r="C1649" s="7"/>
      <c r="D1649" s="7"/>
      <c r="E1649" s="7"/>
      <c r="F1649" s="7"/>
      <c r="G1649" s="7"/>
      <c r="H1649" s="7"/>
      <c r="I1649" s="7"/>
      <c r="J1649" s="7"/>
    </row>
    <row r="1650" spans="1:10" hidden="1" x14ac:dyDescent="0.25">
      <c r="E1650" s="4" t="s">
        <v>10</v>
      </c>
      <c r="G1650" s="8">
        <v>0</v>
      </c>
      <c r="H1650" s="8">
        <v>1920.78</v>
      </c>
      <c r="I1650" s="8">
        <f>G1650-H1650</f>
        <v>-1920.78</v>
      </c>
    </row>
    <row r="1651" spans="1:10" hidden="1" x14ac:dyDescent="0.25">
      <c r="C1651" s="9"/>
      <c r="D1651" s="10">
        <v>45672</v>
      </c>
      <c r="E1651" t="s">
        <v>11</v>
      </c>
      <c r="F1651" s="11" t="s">
        <v>1398</v>
      </c>
      <c r="G1651" s="8">
        <v>1172.82</v>
      </c>
      <c r="H1651" s="8">
        <v>0</v>
      </c>
      <c r="I1651" s="8">
        <f t="shared" ref="I1651:I1657" si="94">G1651-H1651+I1650</f>
        <v>-747.96</v>
      </c>
      <c r="J1651" s="12"/>
    </row>
    <row r="1652" spans="1:10" hidden="1" x14ac:dyDescent="0.25">
      <c r="C1652" s="9"/>
      <c r="D1652" s="10">
        <v>45672</v>
      </c>
      <c r="E1652" t="s">
        <v>11</v>
      </c>
      <c r="F1652" s="11" t="s">
        <v>1398</v>
      </c>
      <c r="G1652" s="8">
        <v>0</v>
      </c>
      <c r="H1652" s="8">
        <v>1172.82</v>
      </c>
      <c r="I1652" s="8">
        <f t="shared" si="94"/>
        <v>-1920.78</v>
      </c>
      <c r="J1652" s="12"/>
    </row>
    <row r="1653" spans="1:10" hidden="1" x14ac:dyDescent="0.25">
      <c r="C1653" s="9"/>
      <c r="D1653" s="10">
        <v>45689</v>
      </c>
      <c r="E1653" t="s">
        <v>1399</v>
      </c>
      <c r="F1653" s="11" t="s">
        <v>1400</v>
      </c>
      <c r="G1653" s="8">
        <v>0</v>
      </c>
      <c r="H1653" s="8">
        <v>1207.92</v>
      </c>
      <c r="I1653" s="8">
        <f t="shared" si="94"/>
        <v>-3128.7</v>
      </c>
      <c r="J1653" s="12"/>
    </row>
    <row r="1654" spans="1:10" hidden="1" x14ac:dyDescent="0.25">
      <c r="C1654" s="9" t="s">
        <v>124</v>
      </c>
      <c r="D1654" s="10">
        <v>45691</v>
      </c>
      <c r="E1654" t="s">
        <v>1401</v>
      </c>
      <c r="F1654" s="11" t="s">
        <v>42</v>
      </c>
      <c r="G1654" s="8">
        <v>1172.82</v>
      </c>
      <c r="H1654" s="8">
        <v>0</v>
      </c>
      <c r="I1654" s="8">
        <f t="shared" si="94"/>
        <v>-1955.8799999999999</v>
      </c>
      <c r="J1654" s="12"/>
    </row>
    <row r="1655" spans="1:10" hidden="1" x14ac:dyDescent="0.25">
      <c r="C1655" s="9"/>
      <c r="D1655" s="10">
        <v>45705</v>
      </c>
      <c r="E1655" t="s">
        <v>11</v>
      </c>
      <c r="F1655" s="11" t="s">
        <v>1402</v>
      </c>
      <c r="G1655" s="8">
        <v>747.96</v>
      </c>
      <c r="H1655" s="8">
        <v>0</v>
      </c>
      <c r="I1655" s="8">
        <f t="shared" si="94"/>
        <v>-1207.9199999999998</v>
      </c>
      <c r="J1655" s="12"/>
    </row>
    <row r="1656" spans="1:10" hidden="1" x14ac:dyDescent="0.25">
      <c r="C1656" s="9"/>
      <c r="D1656" s="10">
        <v>45723</v>
      </c>
      <c r="E1656" t="s">
        <v>1403</v>
      </c>
      <c r="F1656" s="11" t="s">
        <v>1404</v>
      </c>
      <c r="G1656" s="8">
        <v>0</v>
      </c>
      <c r="H1656" s="8">
        <v>383.36</v>
      </c>
      <c r="I1656" s="8">
        <f t="shared" si="94"/>
        <v>-1591.2799999999997</v>
      </c>
      <c r="J1656" s="12"/>
    </row>
    <row r="1657" spans="1:10" hidden="1" x14ac:dyDescent="0.25">
      <c r="C1657" s="9"/>
      <c r="D1657" s="10">
        <v>45762</v>
      </c>
      <c r="E1657" t="s">
        <v>11</v>
      </c>
      <c r="F1657" s="11" t="s">
        <v>1400</v>
      </c>
      <c r="G1657" s="8">
        <v>1207.92</v>
      </c>
      <c r="H1657" s="8">
        <v>0</v>
      </c>
      <c r="I1657" s="8">
        <f t="shared" si="94"/>
        <v>-383.35999999999967</v>
      </c>
      <c r="J1657" s="12"/>
    </row>
    <row r="1658" spans="1:10" hidden="1" x14ac:dyDescent="0.25">
      <c r="E1658" s="4" t="s">
        <v>20</v>
      </c>
      <c r="G1658" s="8">
        <f>SUM(G1650:G1657)</f>
        <v>4301.5200000000004</v>
      </c>
      <c r="H1658" s="8">
        <f>SUM(H1650:H1657)</f>
        <v>4684.88</v>
      </c>
      <c r="I1658" s="8">
        <f>G1658-H1658</f>
        <v>-383.35999999999967</v>
      </c>
    </row>
    <row r="1659" spans="1:10" hidden="1" x14ac:dyDescent="0.25"/>
    <row r="1660" spans="1:10" hidden="1" x14ac:dyDescent="0.25">
      <c r="A1660" s="5">
        <v>4001015</v>
      </c>
      <c r="B1660" s="6" t="s">
        <v>1405</v>
      </c>
      <c r="C1660" s="7"/>
      <c r="D1660" s="7"/>
      <c r="E1660" s="7"/>
      <c r="F1660" s="7"/>
      <c r="G1660" s="7"/>
      <c r="H1660" s="7"/>
      <c r="I1660" s="7"/>
      <c r="J1660" s="7"/>
    </row>
    <row r="1661" spans="1:10" hidden="1" x14ac:dyDescent="0.25">
      <c r="E1661" s="4" t="s">
        <v>10</v>
      </c>
      <c r="G1661" s="8">
        <v>0</v>
      </c>
      <c r="H1661" s="8">
        <v>2044.3</v>
      </c>
      <c r="I1661" s="8">
        <f>G1661-H1661</f>
        <v>-2044.3</v>
      </c>
    </row>
    <row r="1662" spans="1:10" hidden="1" x14ac:dyDescent="0.25">
      <c r="C1662" s="9"/>
      <c r="D1662" s="10">
        <v>45688</v>
      </c>
      <c r="E1662" t="s">
        <v>11</v>
      </c>
      <c r="F1662" s="11" t="s">
        <v>1406</v>
      </c>
      <c r="G1662" s="8">
        <v>1726.67</v>
      </c>
      <c r="H1662" s="8">
        <v>0</v>
      </c>
      <c r="I1662" s="8">
        <f>G1662-H1662+I1661</f>
        <v>-317.62999999999988</v>
      </c>
      <c r="J1662" s="12"/>
    </row>
    <row r="1663" spans="1:10" hidden="1" x14ac:dyDescent="0.25">
      <c r="C1663" s="9"/>
      <c r="D1663" s="10">
        <v>45703</v>
      </c>
      <c r="E1663" t="s">
        <v>1407</v>
      </c>
      <c r="F1663" s="11" t="s">
        <v>1408</v>
      </c>
      <c r="G1663" s="8">
        <v>0</v>
      </c>
      <c r="H1663" s="8">
        <v>1327.37</v>
      </c>
      <c r="I1663" s="8">
        <f>G1663-H1663+I1662</f>
        <v>-1644.9999999999998</v>
      </c>
      <c r="J1663" s="63">
        <v>45792</v>
      </c>
    </row>
    <row r="1664" spans="1:10" hidden="1" x14ac:dyDescent="0.25">
      <c r="C1664" s="9"/>
      <c r="D1664" s="10">
        <v>45731</v>
      </c>
      <c r="E1664" t="s">
        <v>1409</v>
      </c>
      <c r="F1664" s="11" t="s">
        <v>1410</v>
      </c>
      <c r="G1664" s="8">
        <v>0</v>
      </c>
      <c r="H1664" s="8">
        <v>1424.17</v>
      </c>
      <c r="I1664" s="8">
        <f>G1664-H1664+I1663</f>
        <v>-3069.17</v>
      </c>
      <c r="J1664" s="12"/>
    </row>
    <row r="1665" spans="1:10" hidden="1" x14ac:dyDescent="0.25">
      <c r="C1665" s="9"/>
      <c r="D1665" s="10">
        <v>45748</v>
      </c>
      <c r="E1665" t="s">
        <v>11</v>
      </c>
      <c r="F1665" s="11" t="s">
        <v>1411</v>
      </c>
      <c r="G1665" s="8">
        <v>317.63</v>
      </c>
      <c r="H1665" s="8">
        <v>0</v>
      </c>
      <c r="I1665" s="8">
        <f>G1665-H1665+I1664</f>
        <v>-2751.54</v>
      </c>
      <c r="J1665" s="12"/>
    </row>
    <row r="1666" spans="1:10" hidden="1" x14ac:dyDescent="0.25">
      <c r="E1666" s="4" t="s">
        <v>20</v>
      </c>
      <c r="G1666" s="8">
        <f>SUM(G1661:G1665)</f>
        <v>2044.3000000000002</v>
      </c>
      <c r="H1666" s="8">
        <f>SUM(H1661:H1665)</f>
        <v>4795.84</v>
      </c>
      <c r="I1666" s="8">
        <f>G1666-H1666</f>
        <v>-2751.54</v>
      </c>
    </row>
    <row r="1667" spans="1:10" hidden="1" x14ac:dyDescent="0.25"/>
    <row r="1668" spans="1:10" hidden="1" x14ac:dyDescent="0.25">
      <c r="A1668" s="5">
        <v>4001016</v>
      </c>
      <c r="B1668" s="6" t="s">
        <v>1412</v>
      </c>
      <c r="C1668" s="7"/>
      <c r="D1668" s="7"/>
      <c r="E1668" s="7"/>
      <c r="F1668" s="7"/>
      <c r="G1668" s="7"/>
      <c r="H1668" s="7"/>
      <c r="I1668" s="7"/>
      <c r="J1668" s="7"/>
    </row>
    <row r="1669" spans="1:10" hidden="1" x14ac:dyDescent="0.25">
      <c r="E1669" s="4" t="s">
        <v>10</v>
      </c>
      <c r="G1669" s="8">
        <v>0</v>
      </c>
      <c r="H1669" s="8">
        <v>1219.9000000000001</v>
      </c>
      <c r="I1669" s="8">
        <f>G1669-H1669</f>
        <v>-1219.9000000000001</v>
      </c>
    </row>
    <row r="1670" spans="1:10" hidden="1" x14ac:dyDescent="0.25">
      <c r="C1670" s="9"/>
      <c r="D1670" s="10">
        <v>45660</v>
      </c>
      <c r="E1670" t="s">
        <v>1413</v>
      </c>
      <c r="F1670" s="11" t="s">
        <v>1414</v>
      </c>
      <c r="G1670" s="8">
        <v>0</v>
      </c>
      <c r="H1670" s="8">
        <v>847.39</v>
      </c>
      <c r="I1670" s="8">
        <f t="shared" ref="I1670:I1679" si="95">G1670-H1670+I1669</f>
        <v>-2067.29</v>
      </c>
      <c r="J1670" s="12"/>
    </row>
    <row r="1671" spans="1:10" hidden="1" x14ac:dyDescent="0.25">
      <c r="C1671" s="9"/>
      <c r="D1671" s="10">
        <v>45672</v>
      </c>
      <c r="E1671" t="s">
        <v>1415</v>
      </c>
      <c r="F1671" s="11" t="s">
        <v>42</v>
      </c>
      <c r="G1671" s="8">
        <v>951.82</v>
      </c>
      <c r="H1671" s="8">
        <v>0</v>
      </c>
      <c r="I1671" s="8">
        <f t="shared" si="95"/>
        <v>-1115.4699999999998</v>
      </c>
      <c r="J1671" s="12"/>
    </row>
    <row r="1672" spans="1:10" hidden="1" x14ac:dyDescent="0.25">
      <c r="C1672" s="9"/>
      <c r="D1672" s="10">
        <v>45672</v>
      </c>
      <c r="E1672" t="s">
        <v>1415</v>
      </c>
      <c r="F1672" s="11" t="s">
        <v>42</v>
      </c>
      <c r="G1672" s="8">
        <v>0</v>
      </c>
      <c r="H1672" s="8">
        <v>951.82</v>
      </c>
      <c r="I1672" s="8">
        <f t="shared" si="95"/>
        <v>-2067.29</v>
      </c>
      <c r="J1672" s="12"/>
    </row>
    <row r="1673" spans="1:10" hidden="1" x14ac:dyDescent="0.25">
      <c r="C1673" s="9"/>
      <c r="D1673" s="10">
        <v>45680</v>
      </c>
      <c r="E1673" t="s">
        <v>1416</v>
      </c>
      <c r="F1673" s="11" t="s">
        <v>42</v>
      </c>
      <c r="G1673" s="8">
        <v>951.82</v>
      </c>
      <c r="H1673" s="8">
        <v>0</v>
      </c>
      <c r="I1673" s="8">
        <f t="shared" si="95"/>
        <v>-1115.4699999999998</v>
      </c>
      <c r="J1673" s="12"/>
    </row>
    <row r="1674" spans="1:10" hidden="1" x14ac:dyDescent="0.25">
      <c r="C1674" s="9"/>
      <c r="D1674" s="10">
        <v>45681</v>
      </c>
      <c r="E1674" t="s">
        <v>1417</v>
      </c>
      <c r="F1674" s="11" t="s">
        <v>1418</v>
      </c>
      <c r="G1674" s="8">
        <v>0</v>
      </c>
      <c r="H1674" s="8">
        <v>1236.3699999999999</v>
      </c>
      <c r="I1674" s="8">
        <f t="shared" si="95"/>
        <v>-2351.8399999999997</v>
      </c>
      <c r="J1674" s="12"/>
    </row>
    <row r="1675" spans="1:10" hidden="1" x14ac:dyDescent="0.25">
      <c r="C1675" s="9"/>
      <c r="D1675" s="10">
        <v>45705</v>
      </c>
      <c r="E1675" t="s">
        <v>11</v>
      </c>
      <c r="F1675" s="11" t="s">
        <v>1419</v>
      </c>
      <c r="G1675" s="8">
        <v>268.08</v>
      </c>
      <c r="H1675" s="8">
        <v>0</v>
      </c>
      <c r="I1675" s="8">
        <f t="shared" si="95"/>
        <v>-2083.7599999999998</v>
      </c>
      <c r="J1675" s="12"/>
    </row>
    <row r="1676" spans="1:10" hidden="1" x14ac:dyDescent="0.25">
      <c r="C1676" s="9"/>
      <c r="D1676" s="10">
        <v>45719</v>
      </c>
      <c r="E1676" t="s">
        <v>1420</v>
      </c>
      <c r="F1676" s="11" t="s">
        <v>1421</v>
      </c>
      <c r="G1676" s="8">
        <v>0</v>
      </c>
      <c r="H1676" s="8">
        <v>489.8</v>
      </c>
      <c r="I1676" s="8">
        <f t="shared" si="95"/>
        <v>-2573.56</v>
      </c>
      <c r="J1676" s="12"/>
    </row>
    <row r="1677" spans="1:10" hidden="1" x14ac:dyDescent="0.25">
      <c r="C1677" s="9"/>
      <c r="D1677" s="10">
        <v>45719</v>
      </c>
      <c r="E1677" t="s">
        <v>1420</v>
      </c>
      <c r="F1677" s="11" t="s">
        <v>1422</v>
      </c>
      <c r="G1677" s="8">
        <v>0</v>
      </c>
      <c r="H1677" s="8">
        <v>201.99</v>
      </c>
      <c r="I1677" s="8">
        <f t="shared" si="95"/>
        <v>-2775.55</v>
      </c>
      <c r="J1677" s="12"/>
    </row>
    <row r="1678" spans="1:10" hidden="1" x14ac:dyDescent="0.25">
      <c r="C1678" s="9"/>
      <c r="D1678" s="10">
        <v>45733</v>
      </c>
      <c r="E1678" t="s">
        <v>11</v>
      </c>
      <c r="F1678" s="11" t="s">
        <v>1414</v>
      </c>
      <c r="G1678" s="8">
        <v>847.39</v>
      </c>
      <c r="H1678" s="8">
        <v>0</v>
      </c>
      <c r="I1678" s="8">
        <f t="shared" si="95"/>
        <v>-1928.1600000000003</v>
      </c>
      <c r="J1678" s="12"/>
    </row>
    <row r="1679" spans="1:10" hidden="1" x14ac:dyDescent="0.25">
      <c r="C1679" s="9"/>
      <c r="D1679" s="10">
        <v>45762</v>
      </c>
      <c r="E1679" t="s">
        <v>11</v>
      </c>
      <c r="F1679" s="11" t="s">
        <v>1418</v>
      </c>
      <c r="G1679" s="8">
        <v>1236.3699999999999</v>
      </c>
      <c r="H1679" s="8">
        <v>0</v>
      </c>
      <c r="I1679" s="8">
        <f t="shared" si="95"/>
        <v>-691.79000000000042</v>
      </c>
      <c r="J1679" s="12"/>
    </row>
    <row r="1680" spans="1:10" hidden="1" x14ac:dyDescent="0.25">
      <c r="E1680" s="4" t="s">
        <v>20</v>
      </c>
      <c r="G1680" s="8">
        <f>SUM(G1669:G1679)</f>
        <v>4255.4799999999996</v>
      </c>
      <c r="H1680" s="8">
        <f>SUM(H1669:H1679)</f>
        <v>4947.2699999999995</v>
      </c>
      <c r="I1680" s="8">
        <f>G1680-H1680</f>
        <v>-691.79</v>
      </c>
    </row>
    <row r="1681" spans="1:10" ht="15.75" hidden="1" customHeight="1" x14ac:dyDescent="0.25"/>
    <row r="1682" spans="1:10" hidden="1" x14ac:dyDescent="0.25">
      <c r="A1682" s="5">
        <v>4001017</v>
      </c>
      <c r="B1682" s="6" t="s">
        <v>1423</v>
      </c>
      <c r="C1682" s="7"/>
      <c r="D1682" s="7"/>
      <c r="E1682" s="7"/>
      <c r="F1682" s="7"/>
      <c r="G1682" s="7"/>
      <c r="H1682" s="7"/>
      <c r="I1682" s="7"/>
      <c r="J1682" s="7"/>
    </row>
    <row r="1683" spans="1:10" hidden="1" x14ac:dyDescent="0.25">
      <c r="C1683" s="9"/>
      <c r="D1683" s="10">
        <v>45721</v>
      </c>
      <c r="E1683" t="s">
        <v>1424</v>
      </c>
      <c r="F1683" s="11" t="s">
        <v>1425</v>
      </c>
      <c r="G1683" s="8">
        <v>0</v>
      </c>
      <c r="H1683" s="8">
        <v>790.05</v>
      </c>
      <c r="I1683" s="8">
        <f>G1683-H1683</f>
        <v>-790.05</v>
      </c>
      <c r="J1683" s="12"/>
    </row>
    <row r="1684" spans="1:10" hidden="1" x14ac:dyDescent="0.25">
      <c r="E1684" s="4" t="s">
        <v>20</v>
      </c>
      <c r="G1684" s="8">
        <f>G1683</f>
        <v>0</v>
      </c>
      <c r="H1684" s="8">
        <f>H1683</f>
        <v>790.05</v>
      </c>
      <c r="I1684" s="8">
        <f>G1684-H1684</f>
        <v>-790.05</v>
      </c>
    </row>
    <row r="1685" spans="1:10" hidden="1" x14ac:dyDescent="0.25"/>
    <row r="1686" spans="1:10" hidden="1" x14ac:dyDescent="0.25">
      <c r="A1686" s="5">
        <v>4100014</v>
      </c>
      <c r="B1686" s="6" t="s">
        <v>1426</v>
      </c>
      <c r="C1686" s="7"/>
      <c r="D1686" s="7"/>
      <c r="E1686" s="7"/>
      <c r="F1686" s="7"/>
      <c r="G1686" s="7"/>
      <c r="H1686" s="7"/>
      <c r="I1686" s="7"/>
      <c r="J1686" s="7"/>
    </row>
    <row r="1687" spans="1:10" hidden="1" x14ac:dyDescent="0.25">
      <c r="C1687" s="9"/>
      <c r="D1687" s="10">
        <v>45667</v>
      </c>
      <c r="E1687" t="s">
        <v>1427</v>
      </c>
      <c r="F1687" s="11" t="s">
        <v>1428</v>
      </c>
      <c r="G1687" s="8">
        <v>0</v>
      </c>
      <c r="H1687" s="8">
        <v>0.87</v>
      </c>
      <c r="I1687" s="8">
        <f>G1687-H1687</f>
        <v>-0.87</v>
      </c>
      <c r="J1687" s="12"/>
    </row>
    <row r="1688" spans="1:10" hidden="1" x14ac:dyDescent="0.25">
      <c r="C1688" s="9"/>
      <c r="D1688" s="10">
        <v>45667</v>
      </c>
      <c r="E1688" t="s">
        <v>1427</v>
      </c>
      <c r="F1688" s="11" t="s">
        <v>1429</v>
      </c>
      <c r="G1688" s="8">
        <v>0</v>
      </c>
      <c r="H1688" s="8">
        <v>0.75</v>
      </c>
      <c r="I1688" s="8">
        <f t="shared" ref="I1688:I1694" si="96">G1688-H1688+I1687</f>
        <v>-1.62</v>
      </c>
      <c r="J1688" s="12"/>
    </row>
    <row r="1689" spans="1:10" hidden="1" x14ac:dyDescent="0.25">
      <c r="C1689" s="9"/>
      <c r="D1689" s="10">
        <v>45671</v>
      </c>
      <c r="E1689" t="s">
        <v>1430</v>
      </c>
      <c r="F1689" s="11" t="s">
        <v>1431</v>
      </c>
      <c r="G1689" s="8">
        <v>0</v>
      </c>
      <c r="H1689" s="8">
        <v>1.39</v>
      </c>
      <c r="I1689" s="8">
        <f t="shared" si="96"/>
        <v>-3.01</v>
      </c>
      <c r="J1689" s="12"/>
    </row>
    <row r="1690" spans="1:10" hidden="1" x14ac:dyDescent="0.25">
      <c r="C1690" s="9"/>
      <c r="D1690" s="10">
        <v>45674</v>
      </c>
      <c r="E1690" t="s">
        <v>1432</v>
      </c>
      <c r="F1690" s="11" t="s">
        <v>1433</v>
      </c>
      <c r="G1690" s="8">
        <v>0</v>
      </c>
      <c r="H1690" s="8">
        <v>0.99</v>
      </c>
      <c r="I1690" s="8">
        <f t="shared" si="96"/>
        <v>-4</v>
      </c>
      <c r="J1690" s="12"/>
    </row>
    <row r="1691" spans="1:10" hidden="1" x14ac:dyDescent="0.25">
      <c r="C1691" s="9"/>
      <c r="D1691" s="10">
        <v>45688</v>
      </c>
      <c r="E1691" t="s">
        <v>1434</v>
      </c>
      <c r="F1691" s="11" t="s">
        <v>1435</v>
      </c>
      <c r="G1691" s="8">
        <v>0</v>
      </c>
      <c r="H1691" s="8">
        <v>0.79</v>
      </c>
      <c r="I1691" s="8">
        <f t="shared" si="96"/>
        <v>-4.79</v>
      </c>
      <c r="J1691" s="12"/>
    </row>
    <row r="1692" spans="1:10" hidden="1" x14ac:dyDescent="0.25">
      <c r="C1692" s="9"/>
      <c r="D1692" s="10">
        <v>45709</v>
      </c>
      <c r="E1692" t="s">
        <v>1436</v>
      </c>
      <c r="F1692" s="11" t="s">
        <v>1437</v>
      </c>
      <c r="G1692" s="8">
        <v>0</v>
      </c>
      <c r="H1692" s="8">
        <v>1.4</v>
      </c>
      <c r="I1692" s="8">
        <f t="shared" si="96"/>
        <v>-6.1899999999999995</v>
      </c>
      <c r="J1692" s="12"/>
    </row>
    <row r="1693" spans="1:10" hidden="1" x14ac:dyDescent="0.25">
      <c r="C1693" s="9"/>
      <c r="D1693" s="10">
        <v>45721</v>
      </c>
      <c r="E1693" t="s">
        <v>1438</v>
      </c>
      <c r="F1693" s="11" t="s">
        <v>1439</v>
      </c>
      <c r="G1693" s="8">
        <v>0</v>
      </c>
      <c r="H1693" s="8">
        <v>2.4300000000000002</v>
      </c>
      <c r="I1693" s="8">
        <f t="shared" si="96"/>
        <v>-8.6199999999999992</v>
      </c>
      <c r="J1693" s="12"/>
    </row>
    <row r="1694" spans="1:10" hidden="1" x14ac:dyDescent="0.25">
      <c r="C1694" s="9"/>
      <c r="D1694" s="10">
        <v>45728</v>
      </c>
      <c r="E1694" t="s">
        <v>1440</v>
      </c>
      <c r="F1694" s="11" t="s">
        <v>1441</v>
      </c>
      <c r="G1694" s="8">
        <v>9.76</v>
      </c>
      <c r="H1694" s="8">
        <v>1.1399999999999999</v>
      </c>
      <c r="I1694" s="8">
        <f t="shared" si="96"/>
        <v>0</v>
      </c>
      <c r="J1694" s="12"/>
    </row>
    <row r="1695" spans="1:10" hidden="1" x14ac:dyDescent="0.25">
      <c r="E1695" s="4" t="s">
        <v>20</v>
      </c>
      <c r="G1695" s="8">
        <f>SUM(G1687:G1694)</f>
        <v>9.76</v>
      </c>
      <c r="H1695" s="8">
        <f>SUM(H1687:H1694)</f>
        <v>9.76</v>
      </c>
      <c r="I1695" s="8">
        <f>G1695-H1695</f>
        <v>0</v>
      </c>
    </row>
    <row r="1696" spans="1:10" hidden="1" x14ac:dyDescent="0.25"/>
    <row r="1697" spans="1:10" x14ac:dyDescent="0.25">
      <c r="A1697" s="5">
        <v>4100040</v>
      </c>
      <c r="B1697" s="6" t="s">
        <v>1442</v>
      </c>
      <c r="C1697" s="7"/>
      <c r="D1697" s="7"/>
      <c r="E1697" s="7"/>
      <c r="F1697" s="7"/>
      <c r="G1697" s="7"/>
      <c r="H1697" s="7"/>
      <c r="I1697" s="7"/>
      <c r="J1697" s="7"/>
    </row>
    <row r="1698" spans="1:10" hidden="1" x14ac:dyDescent="0.25">
      <c r="C1698" s="9"/>
      <c r="D1698" s="35">
        <v>45545</v>
      </c>
      <c r="E1698" s="36" t="s">
        <v>8369</v>
      </c>
      <c r="F1698" s="37" t="s">
        <v>8370</v>
      </c>
      <c r="G1698" s="38">
        <v>0</v>
      </c>
      <c r="H1698" s="39">
        <v>2929.7</v>
      </c>
      <c r="I1698" s="38">
        <f>I1697+G1698-H1698</f>
        <v>-2929.7</v>
      </c>
      <c r="J1698" s="12"/>
    </row>
    <row r="1699" spans="1:10" hidden="1" x14ac:dyDescent="0.25">
      <c r="C1699" s="9"/>
      <c r="D1699" s="35">
        <v>45545</v>
      </c>
      <c r="E1699" s="36" t="s">
        <v>8371</v>
      </c>
      <c r="F1699" s="37" t="s">
        <v>8372</v>
      </c>
      <c r="G1699" s="38">
        <v>0</v>
      </c>
      <c r="H1699" s="39">
        <v>3032.3</v>
      </c>
      <c r="I1699" s="38">
        <f t="shared" ref="I1699:I1703" si="97">I1698+G1699-H1699</f>
        <v>-5962</v>
      </c>
      <c r="J1699" s="12"/>
    </row>
    <row r="1700" spans="1:10" hidden="1" x14ac:dyDescent="0.25">
      <c r="C1700" s="9"/>
      <c r="D1700" s="35">
        <v>45575</v>
      </c>
      <c r="E1700" s="36" t="s">
        <v>8373</v>
      </c>
      <c r="F1700" s="37" t="s">
        <v>8374</v>
      </c>
      <c r="G1700" s="38">
        <v>0</v>
      </c>
      <c r="H1700" s="39">
        <v>2546.71</v>
      </c>
      <c r="I1700" s="38">
        <f t="shared" si="97"/>
        <v>-8508.7099999999991</v>
      </c>
      <c r="J1700" s="12"/>
    </row>
    <row r="1701" spans="1:10" hidden="1" x14ac:dyDescent="0.25">
      <c r="C1701" s="9"/>
      <c r="D1701" s="35">
        <v>45606</v>
      </c>
      <c r="E1701" s="36" t="s">
        <v>8375</v>
      </c>
      <c r="F1701" s="37" t="s">
        <v>8376</v>
      </c>
      <c r="G1701" s="38">
        <v>0</v>
      </c>
      <c r="H1701" s="39">
        <v>2460.5500000000002</v>
      </c>
      <c r="I1701" s="38">
        <f t="shared" si="97"/>
        <v>-10969.259999999998</v>
      </c>
      <c r="J1701" s="12"/>
    </row>
    <row r="1702" spans="1:10" hidden="1" x14ac:dyDescent="0.25">
      <c r="C1702" s="9"/>
      <c r="D1702" s="35">
        <v>45636</v>
      </c>
      <c r="E1702" s="36" t="s">
        <v>8377</v>
      </c>
      <c r="F1702" s="37" t="s">
        <v>8378</v>
      </c>
      <c r="G1702" s="38">
        <v>0</v>
      </c>
      <c r="H1702" s="39">
        <v>2460.5500000000002</v>
      </c>
      <c r="I1702" s="38">
        <f t="shared" si="97"/>
        <v>-13429.809999999998</v>
      </c>
      <c r="J1702" s="12"/>
    </row>
    <row r="1703" spans="1:10" hidden="1" x14ac:dyDescent="0.25">
      <c r="C1703" s="9"/>
      <c r="D1703" s="35">
        <v>45636</v>
      </c>
      <c r="E1703" s="36" t="s">
        <v>8379</v>
      </c>
      <c r="F1703" s="37" t="s">
        <v>8380</v>
      </c>
      <c r="G1703" s="38">
        <v>0</v>
      </c>
      <c r="H1703" s="39">
        <v>2546.71</v>
      </c>
      <c r="I1703" s="38">
        <f t="shared" si="97"/>
        <v>-15976.519999999997</v>
      </c>
      <c r="J1703" s="12"/>
    </row>
    <row r="1704" spans="1:10" hidden="1" x14ac:dyDescent="0.25">
      <c r="E1704" s="4" t="s">
        <v>10</v>
      </c>
      <c r="G1704" s="8">
        <v>0</v>
      </c>
      <c r="H1704" s="8">
        <v>15976.52</v>
      </c>
      <c r="I1704" s="8">
        <f>G1704-H1704</f>
        <v>-15976.52</v>
      </c>
    </row>
    <row r="1705" spans="1:10" hidden="1" x14ac:dyDescent="0.25">
      <c r="C1705" s="9"/>
      <c r="D1705" s="10">
        <v>45665</v>
      </c>
      <c r="E1705" t="s">
        <v>72</v>
      </c>
      <c r="F1705" s="11" t="s">
        <v>42</v>
      </c>
      <c r="G1705" s="39">
        <v>3032.3</v>
      </c>
      <c r="H1705" s="8">
        <v>0</v>
      </c>
      <c r="I1705" s="8">
        <f t="shared" ref="I1705:I1720" si="98">G1705-H1705+I1704</f>
        <v>-12944.220000000001</v>
      </c>
      <c r="J1705" s="12"/>
    </row>
    <row r="1706" spans="1:10" hidden="1" x14ac:dyDescent="0.25">
      <c r="C1706" s="9"/>
      <c r="D1706" s="10">
        <v>45665</v>
      </c>
      <c r="E1706" t="s">
        <v>72</v>
      </c>
      <c r="F1706" s="11" t="s">
        <v>42</v>
      </c>
      <c r="G1706" s="39">
        <v>2929.7</v>
      </c>
      <c r="H1706" s="8">
        <v>0</v>
      </c>
      <c r="I1706" s="8">
        <f t="shared" si="98"/>
        <v>-10014.52</v>
      </c>
      <c r="J1706" s="12"/>
    </row>
    <row r="1707" spans="1:10" hidden="1" x14ac:dyDescent="0.25">
      <c r="C1707" s="9"/>
      <c r="D1707" s="10">
        <v>45667</v>
      </c>
      <c r="E1707" t="s">
        <v>1443</v>
      </c>
      <c r="F1707" s="11" t="s">
        <v>1444</v>
      </c>
      <c r="G1707" s="8">
        <v>0</v>
      </c>
      <c r="H1707" s="39">
        <v>154.94999999999999</v>
      </c>
      <c r="I1707" s="8">
        <f t="shared" si="98"/>
        <v>-10169.470000000001</v>
      </c>
      <c r="J1707" s="12"/>
    </row>
    <row r="1708" spans="1:10" hidden="1" x14ac:dyDescent="0.25">
      <c r="C1708" s="9"/>
      <c r="D1708" s="10">
        <v>45667</v>
      </c>
      <c r="E1708" t="s">
        <v>1445</v>
      </c>
      <c r="F1708" s="11" t="s">
        <v>1446</v>
      </c>
      <c r="G1708" s="8">
        <v>0</v>
      </c>
      <c r="H1708" s="39">
        <v>2460.5500000000002</v>
      </c>
      <c r="I1708" s="8">
        <f t="shared" si="98"/>
        <v>-12630.02</v>
      </c>
      <c r="J1708" s="12"/>
    </row>
    <row r="1709" spans="1:10" hidden="1" x14ac:dyDescent="0.25">
      <c r="C1709" s="9"/>
      <c r="D1709" s="10">
        <v>45667</v>
      </c>
      <c r="E1709" t="s">
        <v>1447</v>
      </c>
      <c r="F1709" s="11" t="s">
        <v>1448</v>
      </c>
      <c r="G1709" s="8">
        <v>0</v>
      </c>
      <c r="H1709" s="39">
        <v>2546.71</v>
      </c>
      <c r="I1709" s="8">
        <f t="shared" si="98"/>
        <v>-15176.73</v>
      </c>
      <c r="J1709" s="12"/>
    </row>
    <row r="1710" spans="1:10" x14ac:dyDescent="0.25">
      <c r="C1710" s="9"/>
      <c r="D1710" s="10">
        <v>45698</v>
      </c>
      <c r="E1710" t="s">
        <v>1449</v>
      </c>
      <c r="F1710" s="11" t="s">
        <v>1450</v>
      </c>
      <c r="G1710" s="8">
        <v>0</v>
      </c>
      <c r="H1710" s="8">
        <v>2460.5500000000002</v>
      </c>
      <c r="I1710" s="8">
        <f t="shared" si="98"/>
        <v>-17637.28</v>
      </c>
      <c r="J1710" s="32" t="s">
        <v>8147</v>
      </c>
    </row>
    <row r="1711" spans="1:10" x14ac:dyDescent="0.25">
      <c r="C1711" s="9"/>
      <c r="D1711" s="10">
        <v>45698</v>
      </c>
      <c r="E1711" t="s">
        <v>1451</v>
      </c>
      <c r="F1711" s="11" t="s">
        <v>1452</v>
      </c>
      <c r="G1711" s="8">
        <v>0</v>
      </c>
      <c r="H1711" s="8">
        <v>2546.71</v>
      </c>
      <c r="I1711" s="8">
        <f t="shared" si="98"/>
        <v>-20183.989999999998</v>
      </c>
      <c r="J1711" s="32" t="s">
        <v>8147</v>
      </c>
    </row>
    <row r="1712" spans="1:10" hidden="1" x14ac:dyDescent="0.25">
      <c r="C1712" s="9"/>
      <c r="D1712" s="10">
        <v>45698</v>
      </c>
      <c r="E1712" t="s">
        <v>1453</v>
      </c>
      <c r="F1712" s="11" t="s">
        <v>42</v>
      </c>
      <c r="G1712" s="39">
        <v>2546.71</v>
      </c>
      <c r="H1712" s="8">
        <v>0</v>
      </c>
      <c r="I1712" s="8">
        <f t="shared" si="98"/>
        <v>-17637.28</v>
      </c>
      <c r="J1712" s="32" t="s">
        <v>8147</v>
      </c>
    </row>
    <row r="1713" spans="1:10" hidden="1" x14ac:dyDescent="0.25">
      <c r="C1713" s="9"/>
      <c r="D1713" s="10">
        <v>45698</v>
      </c>
      <c r="E1713" t="s">
        <v>1454</v>
      </c>
      <c r="F1713" s="11" t="s">
        <v>42</v>
      </c>
      <c r="G1713" s="39">
        <v>154.94999999999999</v>
      </c>
      <c r="H1713" s="8">
        <v>0</v>
      </c>
      <c r="I1713" s="8">
        <f t="shared" si="98"/>
        <v>-17482.329999999998</v>
      </c>
      <c r="J1713" s="32" t="s">
        <v>8147</v>
      </c>
    </row>
    <row r="1714" spans="1:10" hidden="1" x14ac:dyDescent="0.25">
      <c r="C1714" s="9"/>
      <c r="D1714" s="10">
        <v>45698</v>
      </c>
      <c r="E1714" t="s">
        <v>1455</v>
      </c>
      <c r="F1714" s="11" t="s">
        <v>42</v>
      </c>
      <c r="G1714" s="39">
        <v>2460.5500000000002</v>
      </c>
      <c r="H1714" s="8">
        <v>0</v>
      </c>
      <c r="I1714" s="8">
        <f t="shared" si="98"/>
        <v>-15021.779999999999</v>
      </c>
      <c r="J1714" s="32" t="s">
        <v>8147</v>
      </c>
    </row>
    <row r="1715" spans="1:10" hidden="1" x14ac:dyDescent="0.25">
      <c r="C1715" s="9"/>
      <c r="D1715" s="10">
        <v>45721</v>
      </c>
      <c r="E1715" t="s">
        <v>360</v>
      </c>
      <c r="F1715" s="11" t="s">
        <v>42</v>
      </c>
      <c r="G1715" s="39">
        <v>2460.5500000000002</v>
      </c>
      <c r="H1715" s="8">
        <v>0</v>
      </c>
      <c r="I1715" s="8">
        <f t="shared" si="98"/>
        <v>-12561.23</v>
      </c>
      <c r="J1715" s="32" t="s">
        <v>8147</v>
      </c>
    </row>
    <row r="1716" spans="1:10" hidden="1" x14ac:dyDescent="0.25">
      <c r="C1716" s="9"/>
      <c r="D1716" s="10">
        <v>45721</v>
      </c>
      <c r="E1716" t="s">
        <v>360</v>
      </c>
      <c r="F1716" s="11" t="s">
        <v>42</v>
      </c>
      <c r="G1716" s="39">
        <v>2546.71</v>
      </c>
      <c r="H1716" s="8">
        <v>0</v>
      </c>
      <c r="I1716" s="8">
        <f t="shared" si="98"/>
        <v>-10014.52</v>
      </c>
      <c r="J1716" s="32" t="s">
        <v>8147</v>
      </c>
    </row>
    <row r="1717" spans="1:10" x14ac:dyDescent="0.25">
      <c r="C1717" s="9"/>
      <c r="D1717" s="10">
        <v>45726</v>
      </c>
      <c r="E1717" t="s">
        <v>1456</v>
      </c>
      <c r="F1717" s="11" t="s">
        <v>1457</v>
      </c>
      <c r="G1717" s="8">
        <v>0</v>
      </c>
      <c r="H1717" s="8">
        <v>2460.5500000000002</v>
      </c>
      <c r="I1717" s="8">
        <f t="shared" si="98"/>
        <v>-12475.07</v>
      </c>
      <c r="J1717" s="32" t="s">
        <v>8147</v>
      </c>
    </row>
    <row r="1718" spans="1:10" x14ac:dyDescent="0.25">
      <c r="C1718" s="9"/>
      <c r="D1718" s="10">
        <v>45726</v>
      </c>
      <c r="E1718" t="s">
        <v>1458</v>
      </c>
      <c r="F1718" s="11" t="s">
        <v>911</v>
      </c>
      <c r="G1718" s="8">
        <v>0</v>
      </c>
      <c r="H1718" s="8">
        <v>2546.71</v>
      </c>
      <c r="I1718" s="8">
        <f t="shared" si="98"/>
        <v>-15021.779999999999</v>
      </c>
      <c r="J1718" s="32" t="s">
        <v>8147</v>
      </c>
    </row>
    <row r="1719" spans="1:10" hidden="1" x14ac:dyDescent="0.25">
      <c r="C1719" s="9"/>
      <c r="D1719" s="10">
        <v>45754</v>
      </c>
      <c r="E1719" t="s">
        <v>365</v>
      </c>
      <c r="F1719" s="11" t="s">
        <v>42</v>
      </c>
      <c r="G1719" s="39">
        <v>2460.5500000000002</v>
      </c>
      <c r="H1719" s="8">
        <v>0</v>
      </c>
      <c r="I1719" s="8">
        <f t="shared" si="98"/>
        <v>-12561.23</v>
      </c>
      <c r="J1719" s="12"/>
    </row>
    <row r="1720" spans="1:10" hidden="1" x14ac:dyDescent="0.25">
      <c r="C1720" s="9"/>
      <c r="D1720" s="10">
        <v>45754</v>
      </c>
      <c r="E1720" t="s">
        <v>365</v>
      </c>
      <c r="F1720" s="11" t="s">
        <v>42</v>
      </c>
      <c r="G1720" s="39">
        <v>2546.71</v>
      </c>
      <c r="H1720" s="8">
        <v>0</v>
      </c>
      <c r="I1720" s="8">
        <f t="shared" si="98"/>
        <v>-10014.52</v>
      </c>
      <c r="J1720" s="12"/>
    </row>
    <row r="1721" spans="1:10" hidden="1" x14ac:dyDescent="0.25">
      <c r="E1721" s="4" t="s">
        <v>20</v>
      </c>
      <c r="G1721" s="8">
        <f>SUM(G1704:G1720)</f>
        <v>21138.729999999996</v>
      </c>
      <c r="H1721" s="8">
        <f>SUM(H1704:H1720)</f>
        <v>31153.249999999996</v>
      </c>
      <c r="I1721" s="8">
        <f>G1721-H1721</f>
        <v>-10014.52</v>
      </c>
    </row>
    <row r="1723" spans="1:10" hidden="1" x14ac:dyDescent="0.25">
      <c r="A1723" s="5">
        <v>4100044</v>
      </c>
      <c r="B1723" s="6" t="s">
        <v>1459</v>
      </c>
      <c r="C1723" s="7"/>
      <c r="D1723" s="7"/>
      <c r="E1723" s="7"/>
      <c r="F1723" s="7"/>
      <c r="G1723" s="7"/>
      <c r="H1723" s="7"/>
      <c r="I1723" s="7"/>
      <c r="J1723" s="7"/>
    </row>
    <row r="1724" spans="1:10" hidden="1" x14ac:dyDescent="0.25">
      <c r="C1724" s="9"/>
      <c r="D1724" s="10">
        <v>45747</v>
      </c>
      <c r="E1724" t="s">
        <v>1460</v>
      </c>
      <c r="F1724" s="11" t="s">
        <v>1461</v>
      </c>
      <c r="G1724" s="8">
        <v>0</v>
      </c>
      <c r="H1724" s="8">
        <v>494.12</v>
      </c>
      <c r="I1724" s="8">
        <f>G1724-H1724</f>
        <v>-494.12</v>
      </c>
      <c r="J1724" s="12"/>
    </row>
    <row r="1725" spans="1:10" hidden="1" x14ac:dyDescent="0.25">
      <c r="E1725" s="4" t="s">
        <v>20</v>
      </c>
      <c r="G1725" s="8">
        <f>G1724</f>
        <v>0</v>
      </c>
      <c r="H1725" s="8">
        <f>H1724</f>
        <v>494.12</v>
      </c>
      <c r="I1725" s="8">
        <f>G1725-H1725</f>
        <v>-494.12</v>
      </c>
    </row>
    <row r="1726" spans="1:10" hidden="1" x14ac:dyDescent="0.25"/>
    <row r="1727" spans="1:10" hidden="1" x14ac:dyDescent="0.25">
      <c r="A1727" s="5">
        <v>4100050</v>
      </c>
      <c r="B1727" s="6" t="s">
        <v>1462</v>
      </c>
      <c r="C1727" s="7"/>
      <c r="D1727" s="7"/>
      <c r="E1727" s="7"/>
      <c r="F1727" s="7"/>
      <c r="G1727" s="7"/>
      <c r="H1727" s="7"/>
      <c r="I1727" s="7"/>
      <c r="J1727" s="7"/>
    </row>
    <row r="1728" spans="1:10" hidden="1" x14ac:dyDescent="0.25">
      <c r="E1728" s="4" t="s">
        <v>10</v>
      </c>
      <c r="G1728" s="8">
        <v>0</v>
      </c>
      <c r="H1728" s="33">
        <v>4310.37</v>
      </c>
      <c r="I1728" s="8">
        <f>G1728-H1728</f>
        <v>-4310.37</v>
      </c>
    </row>
    <row r="1729" spans="1:10" hidden="1" x14ac:dyDescent="0.25">
      <c r="C1729" s="9"/>
      <c r="D1729" s="10">
        <v>45672</v>
      </c>
      <c r="E1729" t="s">
        <v>1463</v>
      </c>
      <c r="F1729" s="11" t="s">
        <v>1464</v>
      </c>
      <c r="G1729" s="8">
        <v>0</v>
      </c>
      <c r="H1729" s="33">
        <v>760.57</v>
      </c>
      <c r="I1729" s="8">
        <f t="shared" ref="I1729:I1735" si="99">G1729-H1729+I1728</f>
        <v>-5070.9399999999996</v>
      </c>
      <c r="J1729" s="12"/>
    </row>
    <row r="1730" spans="1:10" hidden="1" x14ac:dyDescent="0.25">
      <c r="C1730" s="9"/>
      <c r="D1730" s="10">
        <v>45672</v>
      </c>
      <c r="E1730" t="s">
        <v>11</v>
      </c>
      <c r="F1730" s="11" t="s">
        <v>1465</v>
      </c>
      <c r="G1730" s="33">
        <v>1420.85</v>
      </c>
      <c r="H1730" s="8">
        <v>0</v>
      </c>
      <c r="I1730" s="8">
        <f t="shared" si="99"/>
        <v>-3650.0899999999997</v>
      </c>
      <c r="J1730" s="12"/>
    </row>
    <row r="1731" spans="1:10" hidden="1" x14ac:dyDescent="0.25">
      <c r="C1731" s="9"/>
      <c r="D1731" s="10">
        <v>45702</v>
      </c>
      <c r="E1731" t="s">
        <v>1466</v>
      </c>
      <c r="F1731" s="11" t="s">
        <v>1467</v>
      </c>
      <c r="G1731" s="8">
        <v>0</v>
      </c>
      <c r="H1731" s="8">
        <v>2351.15</v>
      </c>
      <c r="I1731" s="8">
        <f t="shared" si="99"/>
        <v>-6001.24</v>
      </c>
      <c r="J1731" s="12" t="s">
        <v>8368</v>
      </c>
    </row>
    <row r="1732" spans="1:10" hidden="1" x14ac:dyDescent="0.25">
      <c r="C1732" s="9"/>
      <c r="D1732" s="10">
        <v>45705</v>
      </c>
      <c r="E1732" t="s">
        <v>11</v>
      </c>
      <c r="F1732" s="11" t="s">
        <v>1468</v>
      </c>
      <c r="G1732" s="33">
        <v>2344.04</v>
      </c>
      <c r="H1732" s="8">
        <v>0</v>
      </c>
      <c r="I1732" s="8">
        <f t="shared" si="99"/>
        <v>-3657.2</v>
      </c>
      <c r="J1732" s="12"/>
    </row>
    <row r="1733" spans="1:10" hidden="1" x14ac:dyDescent="0.25">
      <c r="C1733" s="9"/>
      <c r="D1733" s="10">
        <v>45730</v>
      </c>
      <c r="E1733" t="s">
        <v>1469</v>
      </c>
      <c r="F1733" s="11" t="s">
        <v>283</v>
      </c>
      <c r="G1733" s="8">
        <v>0</v>
      </c>
      <c r="H1733" s="8">
        <v>1650.78</v>
      </c>
      <c r="I1733" s="8">
        <f t="shared" si="99"/>
        <v>-5307.98</v>
      </c>
      <c r="J1733" s="12"/>
    </row>
    <row r="1734" spans="1:10" hidden="1" x14ac:dyDescent="0.25">
      <c r="C1734" s="9"/>
      <c r="D1734" s="10">
        <v>45733</v>
      </c>
      <c r="E1734" t="s">
        <v>11</v>
      </c>
      <c r="F1734" s="11" t="s">
        <v>1464</v>
      </c>
      <c r="G1734" s="33">
        <v>760.57</v>
      </c>
      <c r="H1734" s="8">
        <v>0</v>
      </c>
      <c r="I1734" s="8">
        <f t="shared" si="99"/>
        <v>-4547.41</v>
      </c>
      <c r="J1734" s="12"/>
    </row>
    <row r="1735" spans="1:10" hidden="1" x14ac:dyDescent="0.25">
      <c r="C1735" s="9"/>
      <c r="D1735" s="10">
        <v>45733</v>
      </c>
      <c r="E1735" t="s">
        <v>11</v>
      </c>
      <c r="F1735" s="11" t="s">
        <v>1470</v>
      </c>
      <c r="G1735" s="33">
        <v>545.48</v>
      </c>
      <c r="H1735" s="8">
        <v>0</v>
      </c>
      <c r="I1735" s="8">
        <f t="shared" si="99"/>
        <v>-4001.93</v>
      </c>
      <c r="J1735" s="12"/>
    </row>
    <row r="1736" spans="1:10" hidden="1" x14ac:dyDescent="0.25">
      <c r="E1736" s="4" t="s">
        <v>20</v>
      </c>
      <c r="G1736" s="8">
        <f>SUM(G1728:G1735)</f>
        <v>5070.9400000000005</v>
      </c>
      <c r="H1736" s="8">
        <f>SUM(H1728:H1735)</f>
        <v>9072.8700000000008</v>
      </c>
      <c r="I1736" s="8">
        <f>G1736-H1736</f>
        <v>-4001.9300000000003</v>
      </c>
    </row>
    <row r="1737" spans="1:10" hidden="1" x14ac:dyDescent="0.25"/>
    <row r="1738" spans="1:10" hidden="1" x14ac:dyDescent="0.25">
      <c r="A1738" s="5">
        <v>4100076</v>
      </c>
      <c r="B1738" s="6" t="s">
        <v>1471</v>
      </c>
      <c r="C1738" s="7"/>
      <c r="D1738" s="7"/>
      <c r="E1738" s="7"/>
      <c r="F1738" s="7"/>
      <c r="G1738" s="7"/>
      <c r="H1738" s="7"/>
      <c r="I1738" s="7"/>
      <c r="J1738" s="7"/>
    </row>
    <row r="1739" spans="1:10" hidden="1" x14ac:dyDescent="0.25">
      <c r="C1739" s="9"/>
      <c r="D1739" s="10">
        <v>45660</v>
      </c>
      <c r="E1739" t="s">
        <v>1472</v>
      </c>
      <c r="F1739" s="11" t="s">
        <v>1473</v>
      </c>
      <c r="G1739" s="8">
        <v>0</v>
      </c>
      <c r="H1739" s="8">
        <v>1321.9</v>
      </c>
      <c r="I1739" s="8">
        <f>G1739-H1739</f>
        <v>-1321.9</v>
      </c>
      <c r="J1739" s="12"/>
    </row>
    <row r="1740" spans="1:10" hidden="1" x14ac:dyDescent="0.25">
      <c r="C1740" s="9"/>
      <c r="D1740" s="10">
        <v>45667</v>
      </c>
      <c r="E1740" t="s">
        <v>11</v>
      </c>
      <c r="F1740" s="11" t="s">
        <v>1473</v>
      </c>
      <c r="G1740" s="8">
        <v>1321.9</v>
      </c>
      <c r="H1740" s="8">
        <v>0</v>
      </c>
      <c r="I1740" s="8">
        <f t="shared" ref="I1740:I1745" si="100">G1740-H1740+I1739</f>
        <v>0</v>
      </c>
      <c r="J1740" s="12"/>
    </row>
    <row r="1741" spans="1:10" hidden="1" x14ac:dyDescent="0.25">
      <c r="C1741" s="9"/>
      <c r="D1741" s="10">
        <v>45692</v>
      </c>
      <c r="E1741" t="s">
        <v>1474</v>
      </c>
      <c r="F1741" s="11" t="s">
        <v>1475</v>
      </c>
      <c r="G1741" s="8">
        <v>0</v>
      </c>
      <c r="H1741" s="8">
        <v>1321.9</v>
      </c>
      <c r="I1741" s="8">
        <f t="shared" si="100"/>
        <v>-1321.9</v>
      </c>
      <c r="J1741" s="12"/>
    </row>
    <row r="1742" spans="1:10" hidden="1" x14ac:dyDescent="0.25">
      <c r="C1742" s="9"/>
      <c r="D1742" s="10">
        <v>45698</v>
      </c>
      <c r="E1742" t="s">
        <v>11</v>
      </c>
      <c r="F1742" s="11" t="s">
        <v>1473</v>
      </c>
      <c r="G1742" s="8">
        <v>1321.9</v>
      </c>
      <c r="H1742" s="8">
        <v>0</v>
      </c>
      <c r="I1742" s="8">
        <f t="shared" si="100"/>
        <v>0</v>
      </c>
      <c r="J1742" s="12"/>
    </row>
    <row r="1743" spans="1:10" hidden="1" x14ac:dyDescent="0.25">
      <c r="C1743" s="9"/>
      <c r="D1743" s="10">
        <v>45720</v>
      </c>
      <c r="E1743" t="s">
        <v>1476</v>
      </c>
      <c r="F1743" s="11" t="s">
        <v>1477</v>
      </c>
      <c r="G1743" s="8">
        <v>0</v>
      </c>
      <c r="H1743" s="8">
        <v>1321.9</v>
      </c>
      <c r="I1743" s="8">
        <f t="shared" si="100"/>
        <v>-1321.9</v>
      </c>
      <c r="J1743" s="12"/>
    </row>
    <row r="1744" spans="1:10" hidden="1" x14ac:dyDescent="0.25">
      <c r="C1744" s="9"/>
      <c r="D1744" s="10">
        <v>45727</v>
      </c>
      <c r="E1744" t="s">
        <v>11</v>
      </c>
      <c r="F1744" s="11" t="s">
        <v>1473</v>
      </c>
      <c r="G1744" s="8">
        <v>1321.9</v>
      </c>
      <c r="H1744" s="8">
        <v>0</v>
      </c>
      <c r="I1744" s="8">
        <f t="shared" si="100"/>
        <v>0</v>
      </c>
      <c r="J1744" s="12"/>
    </row>
    <row r="1745" spans="1:15" hidden="1" x14ac:dyDescent="0.25">
      <c r="C1745" s="9"/>
      <c r="D1745" s="10">
        <v>45756</v>
      </c>
      <c r="E1745" t="s">
        <v>11</v>
      </c>
      <c r="F1745" s="11" t="s">
        <v>1473</v>
      </c>
      <c r="G1745" s="8">
        <v>1321.9</v>
      </c>
      <c r="H1745" s="8">
        <v>0</v>
      </c>
      <c r="I1745" s="8">
        <f t="shared" si="100"/>
        <v>1321.9</v>
      </c>
      <c r="J1745" s="12"/>
    </row>
    <row r="1746" spans="1:15" hidden="1" x14ac:dyDescent="0.25">
      <c r="E1746" s="4" t="s">
        <v>20</v>
      </c>
      <c r="G1746" s="8">
        <f>SUM(G1739:G1745)</f>
        <v>5287.6</v>
      </c>
      <c r="H1746" s="8">
        <f>SUM(H1739:H1745)</f>
        <v>3965.7000000000003</v>
      </c>
      <c r="I1746" s="8">
        <f>G1746-H1746</f>
        <v>1321.9</v>
      </c>
    </row>
    <row r="1747" spans="1:15" hidden="1" x14ac:dyDescent="0.25"/>
    <row r="1748" spans="1:15" x14ac:dyDescent="0.25">
      <c r="A1748" s="5">
        <v>4100083</v>
      </c>
      <c r="B1748" s="6" t="s">
        <v>1478</v>
      </c>
      <c r="C1748" s="7"/>
      <c r="D1748" s="7"/>
      <c r="E1748" s="7"/>
      <c r="F1748" s="7"/>
      <c r="G1748" s="7"/>
      <c r="H1748" s="7"/>
      <c r="I1748" s="7"/>
      <c r="J1748" s="7"/>
    </row>
    <row r="1749" spans="1:15" x14ac:dyDescent="0.25">
      <c r="C1749" s="9"/>
      <c r="D1749" s="35">
        <v>45623</v>
      </c>
      <c r="E1749" s="36" t="s">
        <v>8366</v>
      </c>
      <c r="F1749" s="37" t="s">
        <v>8367</v>
      </c>
      <c r="G1749" s="38">
        <v>0</v>
      </c>
      <c r="H1749" s="38">
        <v>102.32</v>
      </c>
      <c r="I1749" s="38">
        <f>G1749-H1749+I1748</f>
        <v>-102.32</v>
      </c>
      <c r="J1749" s="32" t="s">
        <v>8147</v>
      </c>
      <c r="O1749" s="34"/>
    </row>
    <row r="1750" spans="1:15" hidden="1" x14ac:dyDescent="0.25">
      <c r="E1750" s="4" t="s">
        <v>20</v>
      </c>
      <c r="G1750" s="8">
        <f>G1749</f>
        <v>0</v>
      </c>
      <c r="H1750" s="8">
        <f>H1749</f>
        <v>102.32</v>
      </c>
      <c r="I1750" s="8">
        <f>G1750-H1750</f>
        <v>-102.32</v>
      </c>
    </row>
    <row r="1752" spans="1:15" hidden="1" x14ac:dyDescent="0.25">
      <c r="A1752" s="5">
        <v>4100086</v>
      </c>
      <c r="B1752" s="6" t="s">
        <v>1479</v>
      </c>
      <c r="C1752" s="7"/>
      <c r="D1752" s="7"/>
      <c r="E1752" s="7"/>
      <c r="F1752" s="7"/>
      <c r="G1752" s="7"/>
      <c r="H1752" s="7"/>
      <c r="I1752" s="7"/>
      <c r="J1752" s="7"/>
    </row>
    <row r="1753" spans="1:15" hidden="1" x14ac:dyDescent="0.25">
      <c r="C1753" s="9"/>
      <c r="D1753" s="10">
        <v>45665</v>
      </c>
      <c r="E1753" t="s">
        <v>1480</v>
      </c>
      <c r="F1753" s="11" t="s">
        <v>1481</v>
      </c>
      <c r="G1753" s="8">
        <v>0</v>
      </c>
      <c r="H1753" s="8">
        <v>18.149999999999999</v>
      </c>
      <c r="I1753" s="8">
        <f>G1753-H1753</f>
        <v>-18.149999999999999</v>
      </c>
      <c r="J1753" s="12"/>
    </row>
    <row r="1754" spans="1:15" hidden="1" x14ac:dyDescent="0.25">
      <c r="C1754" s="9"/>
      <c r="D1754" s="10">
        <v>45694</v>
      </c>
      <c r="E1754" t="s">
        <v>1482</v>
      </c>
      <c r="F1754" s="11" t="s">
        <v>1483</v>
      </c>
      <c r="G1754" s="8">
        <v>0</v>
      </c>
      <c r="H1754" s="8">
        <v>18.149999999999999</v>
      </c>
      <c r="I1754" s="8">
        <f>G1754-H1754+I1753</f>
        <v>-36.299999999999997</v>
      </c>
      <c r="J1754" s="12"/>
    </row>
    <row r="1755" spans="1:15" hidden="1" x14ac:dyDescent="0.25">
      <c r="C1755" s="9"/>
      <c r="D1755" s="10">
        <v>45722</v>
      </c>
      <c r="E1755" t="s">
        <v>1484</v>
      </c>
      <c r="F1755" s="11" t="s">
        <v>1485</v>
      </c>
      <c r="G1755" s="8">
        <v>54.45</v>
      </c>
      <c r="H1755" s="8">
        <v>18.149999999999999</v>
      </c>
      <c r="I1755" s="8">
        <f>G1755-H1755+I1754</f>
        <v>0</v>
      </c>
      <c r="J1755" s="12"/>
    </row>
    <row r="1756" spans="1:15" hidden="1" x14ac:dyDescent="0.25">
      <c r="E1756" s="4" t="s">
        <v>20</v>
      </c>
      <c r="G1756" s="8">
        <f>SUM(G1753:G1755)</f>
        <v>54.45</v>
      </c>
      <c r="H1756" s="8">
        <f>SUM(H1753:H1755)</f>
        <v>54.449999999999996</v>
      </c>
      <c r="I1756" s="8">
        <f>G1756-H1756</f>
        <v>0</v>
      </c>
    </row>
    <row r="1757" spans="1:15" hidden="1" x14ac:dyDescent="0.25"/>
    <row r="1758" spans="1:15" hidden="1" x14ac:dyDescent="0.25">
      <c r="A1758" s="5">
        <v>4100094</v>
      </c>
      <c r="B1758" s="6" t="s">
        <v>1486</v>
      </c>
      <c r="C1758" s="7"/>
      <c r="D1758" s="7"/>
      <c r="E1758" s="7"/>
      <c r="F1758" s="7"/>
      <c r="G1758" s="7"/>
      <c r="H1758" s="7"/>
      <c r="I1758" s="7"/>
      <c r="J1758" s="7"/>
    </row>
    <row r="1759" spans="1:15" hidden="1" x14ac:dyDescent="0.25">
      <c r="E1759" s="4" t="s">
        <v>10</v>
      </c>
      <c r="G1759" s="8">
        <v>0</v>
      </c>
      <c r="H1759" s="8">
        <v>208.12</v>
      </c>
      <c r="I1759" s="8">
        <f>G1759-H1759</f>
        <v>-208.12</v>
      </c>
    </row>
    <row r="1760" spans="1:15" hidden="1" x14ac:dyDescent="0.25">
      <c r="C1760" s="9"/>
      <c r="D1760" s="10">
        <v>45672</v>
      </c>
      <c r="E1760" t="s">
        <v>11</v>
      </c>
      <c r="F1760" s="11" t="s">
        <v>1487</v>
      </c>
      <c r="G1760" s="8">
        <v>151.25</v>
      </c>
      <c r="H1760" s="8">
        <v>0</v>
      </c>
      <c r="I1760" s="8">
        <f>G1760-H1760+I1759</f>
        <v>-56.870000000000005</v>
      </c>
      <c r="J1760" s="12"/>
    </row>
    <row r="1761" spans="1:10" hidden="1" x14ac:dyDescent="0.25">
      <c r="C1761" s="9"/>
      <c r="D1761" s="10">
        <v>45680</v>
      </c>
      <c r="E1761" t="s">
        <v>1488</v>
      </c>
      <c r="F1761" s="11" t="s">
        <v>1489</v>
      </c>
      <c r="G1761" s="8">
        <v>0</v>
      </c>
      <c r="H1761" s="8">
        <v>226.27</v>
      </c>
      <c r="I1761" s="8">
        <f>G1761-H1761+I1760</f>
        <v>-283.14</v>
      </c>
      <c r="J1761" s="12"/>
    </row>
    <row r="1762" spans="1:10" hidden="1" x14ac:dyDescent="0.25">
      <c r="C1762" s="9"/>
      <c r="D1762" s="10">
        <v>45705</v>
      </c>
      <c r="E1762" t="s">
        <v>11</v>
      </c>
      <c r="F1762" s="11" t="s">
        <v>1490</v>
      </c>
      <c r="G1762" s="8">
        <v>56.87</v>
      </c>
      <c r="H1762" s="8">
        <v>0</v>
      </c>
      <c r="I1762" s="8">
        <f>G1762-H1762+I1761</f>
        <v>-226.26999999999998</v>
      </c>
      <c r="J1762" s="12"/>
    </row>
    <row r="1763" spans="1:10" hidden="1" x14ac:dyDescent="0.25">
      <c r="C1763" s="9"/>
      <c r="D1763" s="10">
        <v>45744</v>
      </c>
      <c r="E1763" t="s">
        <v>1491</v>
      </c>
      <c r="F1763" s="11" t="s">
        <v>1492</v>
      </c>
      <c r="G1763" s="8">
        <v>0</v>
      </c>
      <c r="H1763" s="8">
        <v>210.54</v>
      </c>
      <c r="I1763" s="8">
        <f>G1763-H1763+I1762</f>
        <v>-436.80999999999995</v>
      </c>
      <c r="J1763" s="12"/>
    </row>
    <row r="1764" spans="1:10" hidden="1" x14ac:dyDescent="0.25">
      <c r="C1764" s="9"/>
      <c r="D1764" s="10">
        <v>45762</v>
      </c>
      <c r="E1764" t="s">
        <v>11</v>
      </c>
      <c r="F1764" s="11" t="s">
        <v>1489</v>
      </c>
      <c r="G1764" s="8">
        <v>226.27</v>
      </c>
      <c r="H1764" s="8">
        <v>0</v>
      </c>
      <c r="I1764" s="8">
        <f>G1764-H1764+I1763</f>
        <v>-210.53999999999994</v>
      </c>
      <c r="J1764" s="12"/>
    </row>
    <row r="1765" spans="1:10" hidden="1" x14ac:dyDescent="0.25">
      <c r="E1765" s="4" t="s">
        <v>20</v>
      </c>
      <c r="G1765" s="8">
        <f>SUM(G1759:G1764)</f>
        <v>434.39</v>
      </c>
      <c r="H1765" s="8">
        <f>SUM(H1759:H1764)</f>
        <v>644.92999999999995</v>
      </c>
      <c r="I1765" s="8">
        <f>G1765-H1765</f>
        <v>-210.53999999999996</v>
      </c>
    </row>
    <row r="1766" spans="1:10" hidden="1" x14ac:dyDescent="0.25"/>
    <row r="1767" spans="1:10" hidden="1" x14ac:dyDescent="0.25">
      <c r="A1767" s="5">
        <v>4100096</v>
      </c>
      <c r="B1767" s="6" t="s">
        <v>1493</v>
      </c>
      <c r="C1767" s="7"/>
      <c r="D1767" s="7"/>
      <c r="E1767" s="7"/>
      <c r="F1767" s="7"/>
      <c r="G1767" s="7"/>
      <c r="H1767" s="7"/>
      <c r="I1767" s="7"/>
      <c r="J1767" s="7"/>
    </row>
    <row r="1768" spans="1:10" hidden="1" x14ac:dyDescent="0.25">
      <c r="E1768" s="4" t="s">
        <v>10</v>
      </c>
      <c r="G1768" s="25">
        <v>0</v>
      </c>
      <c r="H1768" s="25">
        <v>420</v>
      </c>
      <c r="I1768" s="8">
        <f>G1768-H1768</f>
        <v>-420</v>
      </c>
    </row>
    <row r="1769" spans="1:10" hidden="1" x14ac:dyDescent="0.25">
      <c r="C1769" s="9"/>
      <c r="D1769" s="10">
        <v>45673</v>
      </c>
      <c r="E1769" t="s">
        <v>1494</v>
      </c>
      <c r="F1769" s="11" t="s">
        <v>1495</v>
      </c>
      <c r="G1769" s="25">
        <v>0</v>
      </c>
      <c r="H1769" s="25">
        <v>504.85</v>
      </c>
      <c r="I1769" s="8">
        <f>G1769-H1769+I1768</f>
        <v>-924.85</v>
      </c>
      <c r="J1769" s="12"/>
    </row>
    <row r="1770" spans="1:10" hidden="1" x14ac:dyDescent="0.25">
      <c r="C1770" s="9"/>
      <c r="D1770" s="10">
        <v>45677</v>
      </c>
      <c r="E1770" t="s">
        <v>11</v>
      </c>
      <c r="F1770" s="11" t="s">
        <v>1496</v>
      </c>
      <c r="G1770" s="25">
        <v>420</v>
      </c>
      <c r="H1770" s="25">
        <v>0</v>
      </c>
      <c r="I1770" s="8">
        <f>G1770-H1770+I1769</f>
        <v>-504.85</v>
      </c>
      <c r="J1770" s="12"/>
    </row>
    <row r="1771" spans="1:10" hidden="1" x14ac:dyDescent="0.25">
      <c r="C1771" s="9"/>
      <c r="D1771" s="10">
        <v>45688</v>
      </c>
      <c r="E1771" t="s">
        <v>1497</v>
      </c>
      <c r="F1771" s="11" t="s">
        <v>1498</v>
      </c>
      <c r="G1771" s="8">
        <v>0</v>
      </c>
      <c r="H1771" s="8">
        <v>664.92</v>
      </c>
      <c r="I1771" s="8">
        <f>G1771-H1771+I1770</f>
        <v>-1169.77</v>
      </c>
      <c r="J1771" s="63">
        <v>45691</v>
      </c>
    </row>
    <row r="1772" spans="1:10" hidden="1" x14ac:dyDescent="0.25">
      <c r="C1772" s="9"/>
      <c r="D1772" s="10">
        <v>45716</v>
      </c>
      <c r="E1772" t="s">
        <v>1499</v>
      </c>
      <c r="F1772" s="11" t="s">
        <v>1500</v>
      </c>
      <c r="G1772" s="8">
        <v>1304.72</v>
      </c>
      <c r="H1772" s="8">
        <v>639.79999999999995</v>
      </c>
      <c r="I1772" s="8">
        <f>G1772-H1772+I1771</f>
        <v>-504.84999999999991</v>
      </c>
      <c r="J1772" s="63">
        <v>45719</v>
      </c>
    </row>
    <row r="1773" spans="1:10" hidden="1" x14ac:dyDescent="0.25">
      <c r="C1773" s="9"/>
      <c r="D1773" s="10">
        <v>45761</v>
      </c>
      <c r="E1773" t="s">
        <v>11</v>
      </c>
      <c r="F1773" s="11" t="s">
        <v>1495</v>
      </c>
      <c r="G1773" s="25">
        <v>504.85</v>
      </c>
      <c r="H1773" s="8">
        <v>0</v>
      </c>
      <c r="I1773" s="8">
        <f>G1773-H1773+I1772</f>
        <v>0</v>
      </c>
      <c r="J1773" s="12"/>
    </row>
    <row r="1774" spans="1:10" hidden="1" x14ac:dyDescent="0.25">
      <c r="E1774" s="4" t="s">
        <v>20</v>
      </c>
      <c r="G1774" s="8">
        <f>SUM(G1768:G1773)</f>
        <v>2229.5700000000002</v>
      </c>
      <c r="H1774" s="8">
        <f>SUM(H1768:H1773)</f>
        <v>2229.5699999999997</v>
      </c>
      <c r="I1774" s="8">
        <f>G1774-H1774</f>
        <v>0</v>
      </c>
    </row>
    <row r="1775" spans="1:10" hidden="1" x14ac:dyDescent="0.25"/>
    <row r="1776" spans="1:10" x14ac:dyDescent="0.25">
      <c r="A1776" s="5">
        <v>4100098</v>
      </c>
      <c r="B1776" s="6" t="s">
        <v>1501</v>
      </c>
      <c r="C1776" s="7"/>
      <c r="D1776" s="7"/>
      <c r="E1776" s="7"/>
      <c r="F1776" s="7"/>
      <c r="G1776" s="7"/>
      <c r="H1776" s="7"/>
      <c r="I1776" s="7"/>
      <c r="J1776" s="7"/>
    </row>
    <row r="1777" spans="3:10" x14ac:dyDescent="0.25">
      <c r="C1777" s="9"/>
      <c r="D1777" s="10">
        <v>45698</v>
      </c>
      <c r="E1777" t="s">
        <v>1502</v>
      </c>
      <c r="F1777" s="11" t="s">
        <v>1503</v>
      </c>
      <c r="G1777" s="8">
        <v>0</v>
      </c>
      <c r="H1777" s="8">
        <v>16.57</v>
      </c>
      <c r="I1777" s="8">
        <f>G1777-H1777</f>
        <v>-16.57</v>
      </c>
      <c r="J1777" s="32" t="s">
        <v>8147</v>
      </c>
    </row>
    <row r="1778" spans="3:10" hidden="1" x14ac:dyDescent="0.25">
      <c r="E1778" s="4" t="s">
        <v>20</v>
      </c>
      <c r="G1778" s="8">
        <f>G1777</f>
        <v>0</v>
      </c>
      <c r="H1778" s="8">
        <f>H1777</f>
        <v>16.57</v>
      </c>
      <c r="I1778" s="8">
        <f>G1778-H1778</f>
        <v>-16.57</v>
      </c>
    </row>
  </sheetData>
  <mergeCells count="1">
    <mergeCell ref="A8:J8"/>
  </mergeCells>
  <pageMargins left="0.75" right="0.75" top="1" bottom="1" header="0.5" footer="0.5"/>
  <pageSetup paperSize="9" fitToHeight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E919-C83A-4A3D-98C8-D280FC721E2C}">
  <dimension ref="A1:K6060"/>
  <sheetViews>
    <sheetView tabSelected="1" topLeftCell="A91" workbookViewId="0">
      <selection activeCell="L102" sqref="L102"/>
    </sheetView>
  </sheetViews>
  <sheetFormatPr baseColWidth="10" defaultRowHeight="15" x14ac:dyDescent="0.25"/>
  <cols>
    <col min="5" max="5" width="32.7109375" bestFit="1" customWidth="1"/>
    <col min="10" max="10" width="20.28515625" customWidth="1"/>
  </cols>
  <sheetData>
    <row r="1" spans="1:10" ht="44.25" customHeight="1" thickTop="1" x14ac:dyDescent="0.25">
      <c r="A1" s="86" t="s">
        <v>8142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idden="1" x14ac:dyDescent="0.25">
      <c r="A2" s="5">
        <v>4300010</v>
      </c>
      <c r="B2" s="6" t="s">
        <v>1504</v>
      </c>
      <c r="C2" s="7"/>
      <c r="D2" s="7"/>
      <c r="E2" s="7"/>
      <c r="F2" s="7"/>
      <c r="G2" s="7"/>
      <c r="H2" s="7"/>
      <c r="I2" s="7"/>
      <c r="J2" s="7"/>
    </row>
    <row r="3" spans="1:10" hidden="1" x14ac:dyDescent="0.25">
      <c r="E3" s="4" t="s">
        <v>10</v>
      </c>
      <c r="G3" s="76">
        <v>7902.46</v>
      </c>
      <c r="H3" s="8">
        <v>0</v>
      </c>
      <c r="I3" s="8">
        <f>G3-H3</f>
        <v>7902.46</v>
      </c>
    </row>
    <row r="4" spans="1:10" hidden="1" x14ac:dyDescent="0.25">
      <c r="C4" s="9"/>
      <c r="D4" s="10">
        <v>45671</v>
      </c>
      <c r="E4" t="s">
        <v>1505</v>
      </c>
      <c r="F4" s="11" t="s">
        <v>1506</v>
      </c>
      <c r="G4" s="8">
        <v>1260.07</v>
      </c>
      <c r="H4" s="8">
        <v>0</v>
      </c>
      <c r="I4" s="8">
        <f t="shared" ref="I4:I13" si="0">G4-H4+I3</f>
        <v>9162.5300000000007</v>
      </c>
      <c r="J4" s="12"/>
    </row>
    <row r="5" spans="1:10" hidden="1" x14ac:dyDescent="0.25">
      <c r="C5" s="9"/>
      <c r="D5" s="10">
        <v>45673</v>
      </c>
      <c r="E5" t="s">
        <v>1507</v>
      </c>
      <c r="F5" s="11" t="s">
        <v>42</v>
      </c>
      <c r="G5" s="8">
        <v>0</v>
      </c>
      <c r="H5" s="76">
        <v>2575.7199999999998</v>
      </c>
      <c r="I5" s="8">
        <f t="shared" si="0"/>
        <v>6586.8100000000013</v>
      </c>
      <c r="J5" s="12"/>
    </row>
    <row r="6" spans="1:10" hidden="1" x14ac:dyDescent="0.25">
      <c r="C6" s="9"/>
      <c r="D6" s="10">
        <v>45688</v>
      </c>
      <c r="E6" t="s">
        <v>1508</v>
      </c>
      <c r="F6" s="11" t="s">
        <v>1509</v>
      </c>
      <c r="G6" s="8">
        <v>835.51</v>
      </c>
      <c r="H6" s="8">
        <v>0</v>
      </c>
      <c r="I6" s="8">
        <f t="shared" si="0"/>
        <v>7422.3200000000015</v>
      </c>
      <c r="J6" s="12"/>
    </row>
    <row r="7" spans="1:10" hidden="1" x14ac:dyDescent="0.25">
      <c r="C7" s="9"/>
      <c r="D7" s="10">
        <v>45702</v>
      </c>
      <c r="E7" t="s">
        <v>1510</v>
      </c>
      <c r="F7" s="11" t="s">
        <v>1511</v>
      </c>
      <c r="G7" s="8">
        <v>356.25</v>
      </c>
      <c r="H7" s="8">
        <v>0</v>
      </c>
      <c r="I7" s="8">
        <f t="shared" si="0"/>
        <v>7778.5700000000015</v>
      </c>
      <c r="J7" s="12"/>
    </row>
    <row r="8" spans="1:10" hidden="1" x14ac:dyDescent="0.25">
      <c r="C8" s="9"/>
      <c r="D8" s="10">
        <v>45702</v>
      </c>
      <c r="E8" t="s">
        <v>1507</v>
      </c>
      <c r="F8" s="11" t="s">
        <v>42</v>
      </c>
      <c r="G8" s="8">
        <v>0</v>
      </c>
      <c r="H8" s="76">
        <v>3775.74</v>
      </c>
      <c r="I8" s="8">
        <f t="shared" si="0"/>
        <v>4002.8300000000017</v>
      </c>
      <c r="J8" s="12"/>
    </row>
    <row r="9" spans="1:10" hidden="1" x14ac:dyDescent="0.25">
      <c r="C9" s="9"/>
      <c r="D9" s="10">
        <v>45716</v>
      </c>
      <c r="E9" t="s">
        <v>1512</v>
      </c>
      <c r="F9" s="11" t="s">
        <v>1513</v>
      </c>
      <c r="G9" s="8">
        <v>1288.6500000000001</v>
      </c>
      <c r="H9" s="8">
        <v>0</v>
      </c>
      <c r="I9" s="8">
        <f t="shared" si="0"/>
        <v>5291.4800000000014</v>
      </c>
      <c r="J9" s="12"/>
    </row>
    <row r="10" spans="1:10" hidden="1" x14ac:dyDescent="0.25">
      <c r="C10" s="9"/>
      <c r="D10" s="10">
        <v>45729</v>
      </c>
      <c r="E10" t="s">
        <v>1507</v>
      </c>
      <c r="F10" s="11" t="s">
        <v>42</v>
      </c>
      <c r="G10" s="8">
        <v>0</v>
      </c>
      <c r="H10" s="76">
        <v>1310.54</v>
      </c>
      <c r="I10" s="8">
        <f t="shared" si="0"/>
        <v>3980.9400000000014</v>
      </c>
      <c r="J10" s="12"/>
    </row>
    <row r="11" spans="1:10" hidden="1" x14ac:dyDescent="0.25">
      <c r="C11" s="9"/>
      <c r="D11" s="10">
        <v>45730</v>
      </c>
      <c r="E11" t="s">
        <v>1514</v>
      </c>
      <c r="F11" s="11" t="s">
        <v>1515</v>
      </c>
      <c r="G11" s="8">
        <v>1625.8</v>
      </c>
      <c r="H11" s="8">
        <v>0</v>
      </c>
      <c r="I11" s="8">
        <f t="shared" si="0"/>
        <v>5606.7400000000016</v>
      </c>
      <c r="J11" s="12"/>
    </row>
    <row r="12" spans="1:10" hidden="1" x14ac:dyDescent="0.25">
      <c r="C12" s="9"/>
      <c r="D12" s="10">
        <v>45747</v>
      </c>
      <c r="E12" t="s">
        <v>1516</v>
      </c>
      <c r="F12" s="11" t="s">
        <v>1517</v>
      </c>
      <c r="G12" s="8">
        <v>175.21</v>
      </c>
      <c r="H12" s="8">
        <v>0</v>
      </c>
      <c r="I12" s="8">
        <f t="shared" si="0"/>
        <v>5781.9500000000016</v>
      </c>
      <c r="J12" s="12"/>
    </row>
    <row r="13" spans="1:10" hidden="1" x14ac:dyDescent="0.25">
      <c r="C13" s="9"/>
      <c r="D13" s="10">
        <v>45757</v>
      </c>
      <c r="E13" t="s">
        <v>1518</v>
      </c>
      <c r="F13" s="11" t="s">
        <v>42</v>
      </c>
      <c r="G13" s="8">
        <v>0</v>
      </c>
      <c r="H13" s="76">
        <v>240.45</v>
      </c>
      <c r="I13" s="8">
        <f t="shared" si="0"/>
        <v>5541.5000000000018</v>
      </c>
      <c r="J13" s="12"/>
    </row>
    <row r="14" spans="1:10" hidden="1" x14ac:dyDescent="0.25">
      <c r="E14" s="4" t="s">
        <v>20</v>
      </c>
      <c r="G14" s="8">
        <f>SUM(G3:G13)</f>
        <v>13443.949999999999</v>
      </c>
      <c r="H14" s="8">
        <f>SUM(H3:H13)</f>
        <v>7902.4499999999989</v>
      </c>
      <c r="I14" s="8">
        <f>G14-H14</f>
        <v>5541.5</v>
      </c>
    </row>
    <row r="15" spans="1:10" hidden="1" x14ac:dyDescent="0.25"/>
    <row r="16" spans="1:10" x14ac:dyDescent="0.25">
      <c r="A16" s="5">
        <v>4300024</v>
      </c>
      <c r="B16" s="6" t="s">
        <v>1519</v>
      </c>
      <c r="C16" s="7"/>
      <c r="D16" s="7"/>
      <c r="E16" s="7"/>
      <c r="F16" s="7"/>
      <c r="G16" s="7"/>
      <c r="H16" s="7"/>
      <c r="I16" s="7"/>
      <c r="J16" s="7"/>
    </row>
    <row r="17" spans="3:10" x14ac:dyDescent="0.25">
      <c r="C17" s="9"/>
      <c r="D17" s="35">
        <v>45475</v>
      </c>
      <c r="E17" s="36" t="s">
        <v>8383</v>
      </c>
      <c r="F17" s="37" t="s">
        <v>42</v>
      </c>
      <c r="G17" s="38">
        <v>115.51</v>
      </c>
      <c r="H17" s="38">
        <v>0</v>
      </c>
      <c r="I17" s="38">
        <f t="shared" ref="I17" si="1">G17-H17+I16</f>
        <v>115.51</v>
      </c>
      <c r="J17" s="20" t="s">
        <v>8384</v>
      </c>
    </row>
    <row r="18" spans="3:10" hidden="1" x14ac:dyDescent="0.25">
      <c r="E18" s="4" t="s">
        <v>10</v>
      </c>
      <c r="G18" s="8">
        <v>115.51</v>
      </c>
      <c r="H18" s="8">
        <v>0</v>
      </c>
      <c r="I18" s="8">
        <f>G18-H18</f>
        <v>115.51</v>
      </c>
    </row>
    <row r="19" spans="3:10" hidden="1" x14ac:dyDescent="0.25">
      <c r="C19" s="9"/>
      <c r="D19" s="10">
        <v>45688</v>
      </c>
      <c r="E19" t="s">
        <v>1520</v>
      </c>
      <c r="F19" s="11" t="s">
        <v>1521</v>
      </c>
      <c r="G19" s="76">
        <v>86.13</v>
      </c>
      <c r="H19" s="76">
        <v>0</v>
      </c>
      <c r="I19" s="8">
        <f t="shared" ref="I19:I30" si="2">G19-H19+I18</f>
        <v>201.64</v>
      </c>
      <c r="J19" s="12"/>
    </row>
    <row r="20" spans="3:10" hidden="1" x14ac:dyDescent="0.25">
      <c r="C20" s="9"/>
      <c r="D20" s="10">
        <v>45688</v>
      </c>
      <c r="E20" t="s">
        <v>1522</v>
      </c>
      <c r="F20" s="11" t="s">
        <v>1523</v>
      </c>
      <c r="G20" s="76">
        <v>14.52</v>
      </c>
      <c r="H20" s="76">
        <v>0</v>
      </c>
      <c r="I20" s="8">
        <f t="shared" si="2"/>
        <v>216.16</v>
      </c>
      <c r="J20" s="12"/>
    </row>
    <row r="21" spans="3:10" hidden="1" x14ac:dyDescent="0.25">
      <c r="C21" s="9"/>
      <c r="D21" s="10">
        <v>45691</v>
      </c>
      <c r="E21" t="s">
        <v>1524</v>
      </c>
      <c r="F21" s="11" t="s">
        <v>1525</v>
      </c>
      <c r="G21" s="76">
        <v>0</v>
      </c>
      <c r="H21" s="76">
        <v>100.65</v>
      </c>
      <c r="I21" s="8">
        <f t="shared" si="2"/>
        <v>115.50999999999999</v>
      </c>
      <c r="J21" s="12"/>
    </row>
    <row r="22" spans="3:10" hidden="1" x14ac:dyDescent="0.25">
      <c r="C22" s="9"/>
      <c r="D22" s="10">
        <v>45702</v>
      </c>
      <c r="E22" t="s">
        <v>1526</v>
      </c>
      <c r="F22" s="11" t="s">
        <v>1527</v>
      </c>
      <c r="G22" s="76">
        <v>375.1</v>
      </c>
      <c r="H22" s="76">
        <v>0</v>
      </c>
      <c r="I22" s="8">
        <f t="shared" si="2"/>
        <v>490.61</v>
      </c>
      <c r="J22" s="12"/>
    </row>
    <row r="23" spans="3:10" hidden="1" x14ac:dyDescent="0.25">
      <c r="C23" s="9"/>
      <c r="D23" s="10">
        <v>45705</v>
      </c>
      <c r="E23" t="s">
        <v>1524</v>
      </c>
      <c r="F23" s="11" t="s">
        <v>1527</v>
      </c>
      <c r="G23" s="76">
        <v>0</v>
      </c>
      <c r="H23" s="76">
        <v>375.1</v>
      </c>
      <c r="I23" s="8">
        <f t="shared" si="2"/>
        <v>115.50999999999999</v>
      </c>
      <c r="J23" s="12"/>
    </row>
    <row r="24" spans="3:10" hidden="1" x14ac:dyDescent="0.25">
      <c r="C24" s="9"/>
      <c r="D24" s="10">
        <v>45716</v>
      </c>
      <c r="E24" t="s">
        <v>1528</v>
      </c>
      <c r="F24" s="11" t="s">
        <v>1529</v>
      </c>
      <c r="G24" s="76">
        <v>61.71</v>
      </c>
      <c r="H24" s="76">
        <v>0</v>
      </c>
      <c r="I24" s="8">
        <f t="shared" si="2"/>
        <v>177.22</v>
      </c>
      <c r="J24" s="12"/>
    </row>
    <row r="25" spans="3:10" hidden="1" x14ac:dyDescent="0.25">
      <c r="C25" s="9"/>
      <c r="D25" s="10">
        <v>45720</v>
      </c>
      <c r="E25" t="s">
        <v>1524</v>
      </c>
      <c r="F25" s="11" t="s">
        <v>1529</v>
      </c>
      <c r="G25" s="76">
        <v>0</v>
      </c>
      <c r="H25" s="76">
        <v>61.71</v>
      </c>
      <c r="I25" s="8">
        <f t="shared" si="2"/>
        <v>115.50999999999999</v>
      </c>
      <c r="J25" s="12"/>
    </row>
    <row r="26" spans="3:10" hidden="1" x14ac:dyDescent="0.25">
      <c r="C26" s="9"/>
      <c r="D26" s="10">
        <v>45730</v>
      </c>
      <c r="E26" t="s">
        <v>1530</v>
      </c>
      <c r="F26" s="11" t="s">
        <v>1531</v>
      </c>
      <c r="G26" s="76">
        <v>108.61</v>
      </c>
      <c r="H26" s="76">
        <v>0</v>
      </c>
      <c r="I26" s="8">
        <f t="shared" si="2"/>
        <v>224.12</v>
      </c>
      <c r="J26" s="12"/>
    </row>
    <row r="27" spans="3:10" hidden="1" x14ac:dyDescent="0.25">
      <c r="C27" s="9"/>
      <c r="D27" s="10">
        <v>45733</v>
      </c>
      <c r="E27" t="s">
        <v>1524</v>
      </c>
      <c r="F27" s="11" t="s">
        <v>1531</v>
      </c>
      <c r="G27" s="76">
        <v>0</v>
      </c>
      <c r="H27" s="76">
        <v>108.61</v>
      </c>
      <c r="I27" s="8">
        <f t="shared" si="2"/>
        <v>115.51</v>
      </c>
      <c r="J27" s="12"/>
    </row>
    <row r="28" spans="3:10" hidden="1" x14ac:dyDescent="0.25">
      <c r="C28" s="9"/>
      <c r="D28" s="10">
        <v>45747</v>
      </c>
      <c r="E28" t="s">
        <v>1532</v>
      </c>
      <c r="F28" s="11" t="s">
        <v>1533</v>
      </c>
      <c r="G28" s="76">
        <v>148.88999999999999</v>
      </c>
      <c r="H28" s="76">
        <v>0</v>
      </c>
      <c r="I28" s="8">
        <f t="shared" si="2"/>
        <v>264.39999999999998</v>
      </c>
      <c r="J28" s="12"/>
    </row>
    <row r="29" spans="3:10" hidden="1" x14ac:dyDescent="0.25">
      <c r="C29" s="9"/>
      <c r="D29" s="10">
        <v>45748</v>
      </c>
      <c r="E29" t="s">
        <v>1524</v>
      </c>
      <c r="F29" s="11" t="s">
        <v>1533</v>
      </c>
      <c r="G29" s="76">
        <v>0</v>
      </c>
      <c r="H29" s="76">
        <v>148.88999999999999</v>
      </c>
      <c r="I29" s="8">
        <f t="shared" si="2"/>
        <v>115.50999999999999</v>
      </c>
      <c r="J29" s="12"/>
    </row>
    <row r="30" spans="3:10" hidden="1" x14ac:dyDescent="0.25">
      <c r="C30" s="9"/>
      <c r="D30" s="10">
        <v>45762</v>
      </c>
      <c r="E30" t="s">
        <v>1524</v>
      </c>
      <c r="F30" s="11" t="s">
        <v>1534</v>
      </c>
      <c r="G30" s="8">
        <v>58.65</v>
      </c>
      <c r="H30" s="8">
        <v>58.65</v>
      </c>
      <c r="I30" s="8">
        <f t="shared" si="2"/>
        <v>115.50999999999999</v>
      </c>
      <c r="J30" s="12"/>
    </row>
    <row r="31" spans="3:10" hidden="1" x14ac:dyDescent="0.25">
      <c r="E31" s="4" t="s">
        <v>20</v>
      </c>
      <c r="G31" s="8">
        <f>SUM(G18:G30)</f>
        <v>969.12</v>
      </c>
      <c r="H31" s="8">
        <f>SUM(H18:H30)</f>
        <v>853.61</v>
      </c>
      <c r="I31" s="8">
        <f>G31-H31</f>
        <v>115.50999999999999</v>
      </c>
    </row>
    <row r="33" spans="1:10" hidden="1" x14ac:dyDescent="0.25">
      <c r="A33" s="5">
        <v>4300027</v>
      </c>
      <c r="B33" s="6" t="s">
        <v>1535</v>
      </c>
      <c r="C33" s="7"/>
      <c r="D33" s="7"/>
      <c r="E33" s="7"/>
      <c r="F33" s="7"/>
      <c r="G33" s="7"/>
      <c r="H33" s="7"/>
      <c r="I33" s="7"/>
      <c r="J33" s="7"/>
    </row>
    <row r="34" spans="1:10" hidden="1" x14ac:dyDescent="0.25">
      <c r="E34" s="4" t="s">
        <v>10</v>
      </c>
      <c r="G34" s="8">
        <v>363.23</v>
      </c>
      <c r="H34" s="8">
        <v>0</v>
      </c>
      <c r="I34" s="8">
        <f>G34-H34</f>
        <v>363.23</v>
      </c>
    </row>
    <row r="35" spans="1:10" hidden="1" x14ac:dyDescent="0.25">
      <c r="C35" s="9"/>
      <c r="D35" s="10">
        <v>45686</v>
      </c>
      <c r="E35" t="s">
        <v>1524</v>
      </c>
      <c r="F35" s="11" t="s">
        <v>1536</v>
      </c>
      <c r="G35" s="8">
        <v>0</v>
      </c>
      <c r="H35" s="8">
        <v>44.14</v>
      </c>
      <c r="I35" s="8">
        <f>G35-H35+I34</f>
        <v>319.09000000000003</v>
      </c>
      <c r="J35" s="12"/>
    </row>
    <row r="36" spans="1:10" hidden="1" x14ac:dyDescent="0.25">
      <c r="C36" s="9"/>
      <c r="D36" s="10">
        <v>45715</v>
      </c>
      <c r="E36" t="s">
        <v>1524</v>
      </c>
      <c r="F36" s="11" t="s">
        <v>1537</v>
      </c>
      <c r="G36" s="8">
        <v>0</v>
      </c>
      <c r="H36" s="8">
        <v>283.19</v>
      </c>
      <c r="I36" s="8">
        <f>G36-H36+I35</f>
        <v>35.900000000000034</v>
      </c>
      <c r="J36" s="12"/>
    </row>
    <row r="37" spans="1:10" hidden="1" x14ac:dyDescent="0.25">
      <c r="C37" s="9"/>
      <c r="D37" s="10">
        <v>45715</v>
      </c>
      <c r="E37" t="s">
        <v>1524</v>
      </c>
      <c r="F37" s="11" t="s">
        <v>1538</v>
      </c>
      <c r="G37" s="8">
        <v>0</v>
      </c>
      <c r="H37" s="8">
        <v>35.9</v>
      </c>
      <c r="I37" s="8">
        <f>G37-H37+I36</f>
        <v>0</v>
      </c>
      <c r="J37" s="12"/>
    </row>
    <row r="38" spans="1:10" hidden="1" x14ac:dyDescent="0.25">
      <c r="C38" s="9"/>
      <c r="D38" s="10">
        <v>45730</v>
      </c>
      <c r="E38" t="s">
        <v>1539</v>
      </c>
      <c r="F38" s="11" t="s">
        <v>1540</v>
      </c>
      <c r="G38" s="8">
        <v>58.5</v>
      </c>
      <c r="H38" s="8">
        <v>0</v>
      </c>
      <c r="I38" s="8">
        <f>G38-H38+I37</f>
        <v>58.5</v>
      </c>
      <c r="J38" s="12"/>
    </row>
    <row r="39" spans="1:10" hidden="1" x14ac:dyDescent="0.25">
      <c r="E39" s="4" t="s">
        <v>20</v>
      </c>
      <c r="G39" s="8">
        <f>SUM(G34:G38)</f>
        <v>421.73</v>
      </c>
      <c r="H39" s="8">
        <f>SUM(H34:H38)</f>
        <v>363.22999999999996</v>
      </c>
      <c r="I39" s="8">
        <f>G39-H39</f>
        <v>58.500000000000057</v>
      </c>
    </row>
    <row r="40" spans="1:10" hidden="1" x14ac:dyDescent="0.25"/>
    <row r="41" spans="1:10" hidden="1" x14ac:dyDescent="0.25">
      <c r="A41" s="5">
        <v>4300040</v>
      </c>
      <c r="B41" s="6" t="s">
        <v>278</v>
      </c>
      <c r="C41" s="7"/>
      <c r="D41" s="7"/>
      <c r="E41" s="7"/>
      <c r="F41" s="7"/>
      <c r="G41" s="7"/>
      <c r="H41" s="7"/>
      <c r="I41" s="7"/>
      <c r="J41" s="7"/>
    </row>
    <row r="42" spans="1:10" s="36" customFormat="1" hidden="1" x14ac:dyDescent="0.25">
      <c r="E42" s="71" t="s">
        <v>10</v>
      </c>
      <c r="G42" s="38">
        <v>108.56</v>
      </c>
      <c r="H42" s="38">
        <v>0</v>
      </c>
      <c r="I42" s="38">
        <f>G42-H42</f>
        <v>108.56</v>
      </c>
    </row>
    <row r="43" spans="1:10" s="36" customFormat="1" hidden="1" x14ac:dyDescent="0.25">
      <c r="C43" s="73"/>
      <c r="D43" s="35">
        <v>45660</v>
      </c>
      <c r="E43" s="36" t="s">
        <v>1524</v>
      </c>
      <c r="F43" s="37" t="s">
        <v>1541</v>
      </c>
      <c r="G43" s="38">
        <v>0</v>
      </c>
      <c r="H43" s="38">
        <v>108.56</v>
      </c>
      <c r="I43" s="38">
        <f t="shared" ref="I43:I50" si="3">G43-H43+I42</f>
        <v>0</v>
      </c>
      <c r="J43" s="74"/>
    </row>
    <row r="44" spans="1:10" s="36" customFormat="1" hidden="1" x14ac:dyDescent="0.25">
      <c r="C44" s="73"/>
      <c r="D44" s="35">
        <v>45702</v>
      </c>
      <c r="E44" s="36" t="s">
        <v>1542</v>
      </c>
      <c r="F44" s="37" t="s">
        <v>1543</v>
      </c>
      <c r="G44" s="38">
        <v>32.78</v>
      </c>
      <c r="H44" s="38">
        <v>0</v>
      </c>
      <c r="I44" s="38">
        <f t="shared" si="3"/>
        <v>32.78</v>
      </c>
      <c r="J44" s="74"/>
    </row>
    <row r="45" spans="1:10" s="36" customFormat="1" hidden="1" x14ac:dyDescent="0.25">
      <c r="C45" s="73"/>
      <c r="D45" s="35">
        <v>45705</v>
      </c>
      <c r="E45" s="36" t="s">
        <v>1524</v>
      </c>
      <c r="F45" s="37" t="s">
        <v>1543</v>
      </c>
      <c r="G45" s="38">
        <v>0</v>
      </c>
      <c r="H45" s="38">
        <v>32.78</v>
      </c>
      <c r="I45" s="38">
        <f t="shared" si="3"/>
        <v>0</v>
      </c>
      <c r="J45" s="74"/>
    </row>
    <row r="46" spans="1:10" s="36" customFormat="1" hidden="1" x14ac:dyDescent="0.25">
      <c r="C46" s="73"/>
      <c r="D46" s="35">
        <v>45716</v>
      </c>
      <c r="E46" s="36" t="s">
        <v>1544</v>
      </c>
      <c r="F46" s="37" t="s">
        <v>1545</v>
      </c>
      <c r="G46" s="38">
        <v>31.44</v>
      </c>
      <c r="H46" s="38">
        <v>0</v>
      </c>
      <c r="I46" s="38">
        <f t="shared" si="3"/>
        <v>31.44</v>
      </c>
      <c r="J46" s="74"/>
    </row>
    <row r="47" spans="1:10" s="36" customFormat="1" hidden="1" x14ac:dyDescent="0.25">
      <c r="C47" s="73"/>
      <c r="D47" s="35">
        <v>45720</v>
      </c>
      <c r="E47" s="36" t="s">
        <v>1524</v>
      </c>
      <c r="F47" s="37" t="s">
        <v>1545</v>
      </c>
      <c r="G47" s="38">
        <v>0</v>
      </c>
      <c r="H47" s="38">
        <v>31.44</v>
      </c>
      <c r="I47" s="38">
        <f t="shared" si="3"/>
        <v>0</v>
      </c>
      <c r="J47" s="74"/>
    </row>
    <row r="48" spans="1:10" s="36" customFormat="1" hidden="1" x14ac:dyDescent="0.25">
      <c r="C48" s="73"/>
      <c r="D48" s="35">
        <v>45730</v>
      </c>
      <c r="E48" s="36" t="s">
        <v>1546</v>
      </c>
      <c r="F48" s="37" t="s">
        <v>1547</v>
      </c>
      <c r="G48" s="38">
        <v>50.78</v>
      </c>
      <c r="H48" s="38">
        <v>0</v>
      </c>
      <c r="I48" s="38">
        <f t="shared" si="3"/>
        <v>50.78</v>
      </c>
      <c r="J48" s="74"/>
    </row>
    <row r="49" spans="1:11" s="36" customFormat="1" hidden="1" x14ac:dyDescent="0.25">
      <c r="C49" s="73"/>
      <c r="D49" s="35">
        <v>45733</v>
      </c>
      <c r="E49" s="36" t="s">
        <v>1524</v>
      </c>
      <c r="F49" s="37" t="s">
        <v>1547</v>
      </c>
      <c r="G49" s="38">
        <v>0</v>
      </c>
      <c r="H49" s="38">
        <v>50.78</v>
      </c>
      <c r="I49" s="38">
        <f t="shared" si="3"/>
        <v>0</v>
      </c>
      <c r="J49" s="74"/>
    </row>
    <row r="50" spans="1:11" hidden="1" x14ac:dyDescent="0.25">
      <c r="C50" s="9"/>
      <c r="D50" s="10">
        <v>45762</v>
      </c>
      <c r="E50" t="s">
        <v>1548</v>
      </c>
      <c r="F50" s="11" t="s">
        <v>42</v>
      </c>
      <c r="G50" s="8">
        <v>0</v>
      </c>
      <c r="H50" s="8">
        <v>75.66</v>
      </c>
      <c r="I50" s="8">
        <f t="shared" si="3"/>
        <v>-75.66</v>
      </c>
      <c r="J50" s="12"/>
    </row>
    <row r="51" spans="1:11" hidden="1" x14ac:dyDescent="0.25">
      <c r="E51" s="4" t="s">
        <v>20</v>
      </c>
      <c r="G51" s="8">
        <f>SUM(G42:G50)</f>
        <v>223.56</v>
      </c>
      <c r="H51" s="8">
        <f>SUM(H42:H50)</f>
        <v>299.22000000000003</v>
      </c>
      <c r="I51" s="8">
        <f>G51-H51</f>
        <v>-75.660000000000025</v>
      </c>
    </row>
    <row r="52" spans="1:11" hidden="1" x14ac:dyDescent="0.25"/>
    <row r="53" spans="1:11" x14ac:dyDescent="0.25">
      <c r="A53" s="5">
        <v>4300043</v>
      </c>
      <c r="B53" s="6" t="s">
        <v>1549</v>
      </c>
      <c r="C53" s="7"/>
      <c r="D53" s="7"/>
      <c r="E53" s="7"/>
      <c r="F53" s="7"/>
      <c r="G53" s="7"/>
      <c r="H53" s="7"/>
      <c r="I53" s="7"/>
      <c r="J53" s="7"/>
    </row>
    <row r="54" spans="1:11" x14ac:dyDescent="0.25">
      <c r="C54" s="9"/>
      <c r="D54" s="35">
        <v>45289</v>
      </c>
      <c r="E54" s="36" t="s">
        <v>8385</v>
      </c>
      <c r="F54" s="37" t="s">
        <v>8386</v>
      </c>
      <c r="G54" s="38">
        <v>6.92</v>
      </c>
      <c r="H54" s="38">
        <v>0</v>
      </c>
      <c r="I54" s="38">
        <f t="shared" ref="I54" si="4">G54-H54+I53</f>
        <v>6.92</v>
      </c>
      <c r="J54" s="20" t="s">
        <v>8384</v>
      </c>
    </row>
    <row r="55" spans="1:11" hidden="1" x14ac:dyDescent="0.25">
      <c r="E55" s="4" t="s">
        <v>20</v>
      </c>
      <c r="G55" s="8">
        <f>G54</f>
        <v>6.92</v>
      </c>
      <c r="H55" s="8">
        <f>H54</f>
        <v>0</v>
      </c>
      <c r="I55" s="8">
        <f>G55-H55</f>
        <v>6.92</v>
      </c>
    </row>
    <row r="57" spans="1:11" x14ac:dyDescent="0.25">
      <c r="A57" s="5">
        <v>4300049</v>
      </c>
      <c r="B57" s="6" t="s">
        <v>1550</v>
      </c>
      <c r="C57" s="7"/>
      <c r="D57" s="7"/>
      <c r="E57" s="7"/>
      <c r="F57" s="7"/>
      <c r="G57" s="7"/>
      <c r="H57" s="7"/>
      <c r="I57" s="7"/>
      <c r="J57" s="7"/>
    </row>
    <row r="58" spans="1:11" s="36" customFormat="1" hidden="1" x14ac:dyDescent="0.25">
      <c r="E58" s="71" t="s">
        <v>10</v>
      </c>
      <c r="G58" s="38">
        <v>41.96</v>
      </c>
      <c r="H58" s="38">
        <v>0</v>
      </c>
      <c r="I58" s="38">
        <f>G58-H58</f>
        <v>41.96</v>
      </c>
      <c r="K58"/>
    </row>
    <row r="59" spans="1:11" s="36" customFormat="1" hidden="1" x14ac:dyDescent="0.25">
      <c r="C59" s="73"/>
      <c r="D59" s="35">
        <v>45665</v>
      </c>
      <c r="E59" s="36" t="s">
        <v>1551</v>
      </c>
      <c r="F59" s="37" t="s">
        <v>42</v>
      </c>
      <c r="G59" s="38">
        <v>0</v>
      </c>
      <c r="H59" s="38">
        <v>41.96</v>
      </c>
      <c r="I59" s="38">
        <f t="shared" ref="I59:I70" si="5">G59-H59+I58</f>
        <v>0</v>
      </c>
      <c r="J59" s="74"/>
      <c r="K59"/>
    </row>
    <row r="60" spans="1:11" s="36" customFormat="1" hidden="1" x14ac:dyDescent="0.25">
      <c r="C60" s="73"/>
      <c r="D60" s="35">
        <v>45688</v>
      </c>
      <c r="E60" s="36" t="s">
        <v>1552</v>
      </c>
      <c r="F60" s="37" t="s">
        <v>1553</v>
      </c>
      <c r="G60" s="38">
        <v>49.33</v>
      </c>
      <c r="H60" s="38">
        <v>0</v>
      </c>
      <c r="I60" s="38">
        <f t="shared" si="5"/>
        <v>49.33</v>
      </c>
      <c r="J60" s="74"/>
      <c r="K60"/>
    </row>
    <row r="61" spans="1:11" s="36" customFormat="1" hidden="1" x14ac:dyDescent="0.25">
      <c r="C61" s="73"/>
      <c r="D61" s="35">
        <v>45692</v>
      </c>
      <c r="E61" s="36" t="s">
        <v>1524</v>
      </c>
      <c r="F61" s="37" t="s">
        <v>1553</v>
      </c>
      <c r="G61" s="38">
        <v>0</v>
      </c>
      <c r="H61" s="38">
        <v>49.33</v>
      </c>
      <c r="I61" s="38">
        <f t="shared" si="5"/>
        <v>0</v>
      </c>
      <c r="J61" s="74"/>
      <c r="K61"/>
    </row>
    <row r="62" spans="1:11" s="36" customFormat="1" hidden="1" x14ac:dyDescent="0.25">
      <c r="C62" s="73"/>
      <c r="D62" s="35">
        <v>45702</v>
      </c>
      <c r="E62" s="36" t="s">
        <v>1554</v>
      </c>
      <c r="F62" s="37" t="s">
        <v>1555</v>
      </c>
      <c r="G62" s="38">
        <v>128.38999999999999</v>
      </c>
      <c r="H62" s="38">
        <v>0</v>
      </c>
      <c r="I62" s="38">
        <f t="shared" si="5"/>
        <v>128.38999999999999</v>
      </c>
      <c r="J62" s="74"/>
      <c r="K62"/>
    </row>
    <row r="63" spans="1:11" s="36" customFormat="1" hidden="1" x14ac:dyDescent="0.25">
      <c r="C63" s="73"/>
      <c r="D63" s="35">
        <v>45707</v>
      </c>
      <c r="E63" s="36" t="s">
        <v>1556</v>
      </c>
      <c r="F63" s="37" t="s">
        <v>42</v>
      </c>
      <c r="G63" s="38">
        <v>0</v>
      </c>
      <c r="H63" s="38">
        <v>128.38999999999999</v>
      </c>
      <c r="I63" s="38">
        <f t="shared" si="5"/>
        <v>0</v>
      </c>
      <c r="J63" s="74"/>
      <c r="K63"/>
    </row>
    <row r="64" spans="1:11" s="36" customFormat="1" x14ac:dyDescent="0.25">
      <c r="C64" s="73"/>
      <c r="D64" s="35">
        <v>45716</v>
      </c>
      <c r="E64" s="36" t="s">
        <v>1557</v>
      </c>
      <c r="F64" s="37" t="s">
        <v>1558</v>
      </c>
      <c r="G64" s="38">
        <v>92.87</v>
      </c>
      <c r="H64" s="38">
        <v>0</v>
      </c>
      <c r="I64" s="38">
        <f t="shared" si="5"/>
        <v>92.87</v>
      </c>
      <c r="J64" s="74"/>
      <c r="K64"/>
    </row>
    <row r="65" spans="1:11" s="36" customFormat="1" x14ac:dyDescent="0.25">
      <c r="C65" s="73"/>
      <c r="D65" s="35">
        <v>45720</v>
      </c>
      <c r="E65" s="36" t="s">
        <v>1559</v>
      </c>
      <c r="F65" s="37" t="s">
        <v>42</v>
      </c>
      <c r="G65" s="38">
        <v>0</v>
      </c>
      <c r="H65" s="38">
        <v>92.87</v>
      </c>
      <c r="I65" s="38">
        <f t="shared" si="5"/>
        <v>0</v>
      </c>
      <c r="J65" s="74"/>
      <c r="K65"/>
    </row>
    <row r="66" spans="1:11" x14ac:dyDescent="0.25">
      <c r="C66" s="9"/>
      <c r="D66" s="10">
        <v>45722</v>
      </c>
      <c r="E66" t="s">
        <v>1560</v>
      </c>
      <c r="F66" s="11" t="s">
        <v>42</v>
      </c>
      <c r="G66" s="8">
        <v>0</v>
      </c>
      <c r="H66" s="8">
        <v>92.87</v>
      </c>
      <c r="I66" s="8">
        <f t="shared" si="5"/>
        <v>-92.87</v>
      </c>
      <c r="J66" s="30" t="s">
        <v>8387</v>
      </c>
    </row>
    <row r="67" spans="1:11" s="36" customFormat="1" hidden="1" x14ac:dyDescent="0.25">
      <c r="C67" s="73"/>
      <c r="D67" s="35">
        <v>45730</v>
      </c>
      <c r="E67" s="36" t="s">
        <v>1561</v>
      </c>
      <c r="F67" s="37" t="s">
        <v>1562</v>
      </c>
      <c r="G67" s="38">
        <v>37.78</v>
      </c>
      <c r="H67" s="38">
        <v>0</v>
      </c>
      <c r="I67" s="38">
        <f t="shared" si="5"/>
        <v>-55.09</v>
      </c>
      <c r="J67" s="74"/>
      <c r="K67"/>
    </row>
    <row r="68" spans="1:11" s="36" customFormat="1" hidden="1" x14ac:dyDescent="0.25">
      <c r="C68" s="73"/>
      <c r="D68" s="35">
        <v>45735</v>
      </c>
      <c r="E68" s="36" t="s">
        <v>1563</v>
      </c>
      <c r="F68" s="37" t="s">
        <v>42</v>
      </c>
      <c r="G68" s="38">
        <v>0</v>
      </c>
      <c r="H68" s="38">
        <v>37.78</v>
      </c>
      <c r="I68" s="38">
        <f t="shared" si="5"/>
        <v>-92.87</v>
      </c>
      <c r="J68" s="74"/>
      <c r="K68"/>
    </row>
    <row r="69" spans="1:11" s="36" customFormat="1" hidden="1" x14ac:dyDescent="0.25">
      <c r="C69" s="73"/>
      <c r="D69" s="35">
        <v>45747</v>
      </c>
      <c r="E69" s="36" t="s">
        <v>1564</v>
      </c>
      <c r="F69" s="37" t="s">
        <v>1565</v>
      </c>
      <c r="G69" s="38">
        <v>52.18</v>
      </c>
      <c r="H69" s="38">
        <v>0</v>
      </c>
      <c r="I69" s="38">
        <f t="shared" si="5"/>
        <v>-40.690000000000005</v>
      </c>
      <c r="J69" s="74"/>
      <c r="K69"/>
    </row>
    <row r="70" spans="1:11" s="36" customFormat="1" hidden="1" x14ac:dyDescent="0.25">
      <c r="C70" s="73"/>
      <c r="D70" s="35">
        <v>45749</v>
      </c>
      <c r="E70" s="36" t="s">
        <v>1524</v>
      </c>
      <c r="F70" s="37" t="s">
        <v>1565</v>
      </c>
      <c r="G70" s="38">
        <v>0</v>
      </c>
      <c r="H70" s="38">
        <v>52.18</v>
      </c>
      <c r="I70" s="38">
        <f t="shared" si="5"/>
        <v>-92.87</v>
      </c>
      <c r="J70" s="74"/>
      <c r="K70"/>
    </row>
    <row r="71" spans="1:11" hidden="1" x14ac:dyDescent="0.25">
      <c r="E71" s="4" t="s">
        <v>20</v>
      </c>
      <c r="G71" s="8">
        <f>SUM(G58:G70)</f>
        <v>402.50999999999993</v>
      </c>
      <c r="H71" s="8">
        <f>SUM(H58:H70)</f>
        <v>495.37999999999994</v>
      </c>
      <c r="I71" s="8">
        <f>G71-H71</f>
        <v>-92.87</v>
      </c>
    </row>
    <row r="73" spans="1:11" hidden="1" x14ac:dyDescent="0.25">
      <c r="A73" s="5">
        <v>4300051</v>
      </c>
      <c r="B73" s="6" t="s">
        <v>1566</v>
      </c>
      <c r="C73" s="7"/>
      <c r="D73" s="7"/>
      <c r="E73" s="7"/>
      <c r="F73" s="7"/>
      <c r="G73" s="7"/>
      <c r="H73" s="7"/>
      <c r="I73" s="7"/>
      <c r="J73" s="7"/>
    </row>
    <row r="74" spans="1:11" hidden="1" x14ac:dyDescent="0.25">
      <c r="E74" s="4" t="s">
        <v>10</v>
      </c>
      <c r="G74" s="8">
        <v>249.18</v>
      </c>
      <c r="H74" s="8">
        <v>0</v>
      </c>
      <c r="I74" s="8">
        <f>G74-H74</f>
        <v>249.18</v>
      </c>
    </row>
    <row r="75" spans="1:11" hidden="1" x14ac:dyDescent="0.25">
      <c r="C75" s="9"/>
      <c r="D75" s="10">
        <v>45659</v>
      </c>
      <c r="E75" t="s">
        <v>1524</v>
      </c>
      <c r="F75" s="11" t="s">
        <v>1567</v>
      </c>
      <c r="G75" s="8">
        <v>0</v>
      </c>
      <c r="H75" s="8">
        <v>249.18</v>
      </c>
      <c r="I75" s="8">
        <f>G75-H75+I74</f>
        <v>0</v>
      </c>
      <c r="J75" s="12"/>
    </row>
    <row r="76" spans="1:11" hidden="1" x14ac:dyDescent="0.25">
      <c r="C76" s="9"/>
      <c r="D76" s="10">
        <v>45716</v>
      </c>
      <c r="E76" t="s">
        <v>1568</v>
      </c>
      <c r="F76" s="11" t="s">
        <v>1569</v>
      </c>
      <c r="G76" s="8">
        <v>128.31</v>
      </c>
      <c r="H76" s="8">
        <v>0</v>
      </c>
      <c r="I76" s="8">
        <f>G76-H76+I75</f>
        <v>128.31</v>
      </c>
      <c r="J76" s="12"/>
    </row>
    <row r="77" spans="1:11" hidden="1" x14ac:dyDescent="0.25">
      <c r="C77" s="9"/>
      <c r="D77" s="10">
        <v>45719</v>
      </c>
      <c r="E77" t="s">
        <v>1570</v>
      </c>
      <c r="F77" s="11" t="s">
        <v>1569</v>
      </c>
      <c r="G77" s="8">
        <v>0</v>
      </c>
      <c r="H77" s="8">
        <v>128.31</v>
      </c>
      <c r="I77" s="8">
        <f>G77-H77+I76</f>
        <v>0</v>
      </c>
      <c r="J77" s="12"/>
    </row>
    <row r="78" spans="1:11" hidden="1" x14ac:dyDescent="0.25">
      <c r="C78" s="9"/>
      <c r="D78" s="10">
        <v>45762</v>
      </c>
      <c r="E78" t="s">
        <v>1571</v>
      </c>
      <c r="F78" s="11" t="s">
        <v>42</v>
      </c>
      <c r="G78" s="8">
        <v>0</v>
      </c>
      <c r="H78" s="8">
        <v>158.19999999999999</v>
      </c>
      <c r="I78" s="8">
        <f>G78-H78+I77</f>
        <v>-158.19999999999999</v>
      </c>
      <c r="J78" s="12"/>
    </row>
    <row r="79" spans="1:11" hidden="1" x14ac:dyDescent="0.25">
      <c r="E79" s="4" t="s">
        <v>20</v>
      </c>
      <c r="G79" s="8">
        <f>SUM(G74:G78)</f>
        <v>377.49</v>
      </c>
      <c r="H79" s="8">
        <f>SUM(H74:H78)</f>
        <v>535.69000000000005</v>
      </c>
      <c r="I79" s="8">
        <f>G79-H79</f>
        <v>-158.20000000000005</v>
      </c>
    </row>
    <row r="80" spans="1:11" hidden="1" x14ac:dyDescent="0.25"/>
    <row r="81" spans="1:10" hidden="1" x14ac:dyDescent="0.25">
      <c r="A81" s="5">
        <v>4300055</v>
      </c>
      <c r="B81" s="6" t="s">
        <v>1572</v>
      </c>
      <c r="C81" s="7"/>
      <c r="D81" s="7"/>
      <c r="E81" s="7"/>
      <c r="F81" s="7"/>
      <c r="G81" s="7"/>
      <c r="H81" s="7"/>
      <c r="I81" s="7"/>
      <c r="J81" s="7"/>
    </row>
    <row r="82" spans="1:10" hidden="1" x14ac:dyDescent="0.25">
      <c r="E82" s="4" t="s">
        <v>10</v>
      </c>
      <c r="G82" s="8">
        <v>53.82</v>
      </c>
      <c r="H82" s="8">
        <v>0</v>
      </c>
      <c r="I82" s="8">
        <f>G82-H82</f>
        <v>53.82</v>
      </c>
    </row>
    <row r="83" spans="1:10" hidden="1" x14ac:dyDescent="0.25">
      <c r="C83" s="9"/>
      <c r="D83" s="10">
        <v>45660</v>
      </c>
      <c r="E83" t="s">
        <v>1524</v>
      </c>
      <c r="F83" s="11" t="s">
        <v>1573</v>
      </c>
      <c r="G83" s="8">
        <v>0</v>
      </c>
      <c r="H83" s="8">
        <v>53.82</v>
      </c>
      <c r="I83" s="8">
        <f t="shared" ref="I83:I88" si="6">G83-H83+I82</f>
        <v>0</v>
      </c>
      <c r="J83" s="12"/>
    </row>
    <row r="84" spans="1:10" hidden="1" x14ac:dyDescent="0.25">
      <c r="C84" s="9"/>
      <c r="D84" s="10">
        <v>45730</v>
      </c>
      <c r="E84" t="s">
        <v>1574</v>
      </c>
      <c r="F84" s="11" t="s">
        <v>1575</v>
      </c>
      <c r="G84" s="8">
        <v>161.38</v>
      </c>
      <c r="H84" s="8">
        <v>0</v>
      </c>
      <c r="I84" s="8">
        <f t="shared" si="6"/>
        <v>161.38</v>
      </c>
      <c r="J84" s="12"/>
    </row>
    <row r="85" spans="1:10" hidden="1" x14ac:dyDescent="0.25">
      <c r="C85" s="9"/>
      <c r="D85" s="10">
        <v>45733</v>
      </c>
      <c r="E85" t="s">
        <v>1524</v>
      </c>
      <c r="F85" s="11" t="s">
        <v>1575</v>
      </c>
      <c r="G85" s="8">
        <v>0</v>
      </c>
      <c r="H85" s="8">
        <v>161.38</v>
      </c>
      <c r="I85" s="8">
        <f t="shared" si="6"/>
        <v>0</v>
      </c>
      <c r="J85" s="12"/>
    </row>
    <row r="86" spans="1:10" hidden="1" x14ac:dyDescent="0.25">
      <c r="C86" s="9"/>
      <c r="D86" s="10">
        <v>45747</v>
      </c>
      <c r="E86" t="s">
        <v>1576</v>
      </c>
      <c r="F86" s="11" t="s">
        <v>1577</v>
      </c>
      <c r="G86" s="8">
        <v>106.56</v>
      </c>
      <c r="H86" s="8">
        <v>0</v>
      </c>
      <c r="I86" s="8">
        <f t="shared" si="6"/>
        <v>106.56</v>
      </c>
      <c r="J86" s="12"/>
    </row>
    <row r="87" spans="1:10" hidden="1" x14ac:dyDescent="0.25">
      <c r="C87" s="9"/>
      <c r="D87" s="10">
        <v>45748</v>
      </c>
      <c r="E87" t="s">
        <v>1524</v>
      </c>
      <c r="F87" s="11" t="s">
        <v>1577</v>
      </c>
      <c r="G87" s="8">
        <v>0</v>
      </c>
      <c r="H87" s="8">
        <v>106.56</v>
      </c>
      <c r="I87" s="8">
        <f t="shared" si="6"/>
        <v>0</v>
      </c>
      <c r="J87" s="12"/>
    </row>
    <row r="88" spans="1:10" hidden="1" x14ac:dyDescent="0.25">
      <c r="C88" s="9"/>
      <c r="D88" s="10">
        <v>45762</v>
      </c>
      <c r="E88" t="s">
        <v>1578</v>
      </c>
      <c r="F88" s="11" t="s">
        <v>42</v>
      </c>
      <c r="G88" s="8">
        <v>0</v>
      </c>
      <c r="H88" s="8">
        <v>88.85</v>
      </c>
      <c r="I88" s="8">
        <f t="shared" si="6"/>
        <v>-88.85</v>
      </c>
      <c r="J88" s="12"/>
    </row>
    <row r="89" spans="1:10" hidden="1" x14ac:dyDescent="0.25">
      <c r="E89" s="4" t="s">
        <v>20</v>
      </c>
      <c r="G89" s="8">
        <f>SUM(G82:G88)</f>
        <v>321.76</v>
      </c>
      <c r="H89" s="8">
        <f>SUM(H82:H88)</f>
        <v>410.61</v>
      </c>
      <c r="I89" s="8">
        <f>G89-H89</f>
        <v>-88.850000000000023</v>
      </c>
    </row>
    <row r="90" spans="1:10" hidden="1" x14ac:dyDescent="0.25"/>
    <row r="91" spans="1:10" x14ac:dyDescent="0.25">
      <c r="A91" s="5">
        <v>4300060</v>
      </c>
      <c r="B91" s="6" t="s">
        <v>1579</v>
      </c>
      <c r="C91" s="7"/>
      <c r="D91" s="7"/>
      <c r="E91" s="7"/>
      <c r="F91" s="7"/>
      <c r="G91" s="7"/>
      <c r="H91" s="7"/>
      <c r="I91" s="7"/>
      <c r="J91" s="7"/>
    </row>
    <row r="92" spans="1:10" x14ac:dyDescent="0.25">
      <c r="C92" s="9"/>
      <c r="D92" s="35">
        <v>45365</v>
      </c>
      <c r="E92" s="36" t="s">
        <v>8388</v>
      </c>
      <c r="F92" s="37" t="s">
        <v>8389</v>
      </c>
      <c r="G92" s="38">
        <v>54.28</v>
      </c>
      <c r="H92" s="38">
        <v>0</v>
      </c>
      <c r="I92" s="38">
        <f>I91+G92-H92</f>
        <v>54.28</v>
      </c>
      <c r="J92" s="20" t="s">
        <v>8384</v>
      </c>
    </row>
    <row r="93" spans="1:10" x14ac:dyDescent="0.25">
      <c r="C93" s="9"/>
      <c r="D93" s="35">
        <v>45412</v>
      </c>
      <c r="E93" s="36" t="s">
        <v>8390</v>
      </c>
      <c r="F93" s="37" t="s">
        <v>8391</v>
      </c>
      <c r="G93" s="38">
        <v>1142.97</v>
      </c>
      <c r="H93" s="38">
        <v>0</v>
      </c>
      <c r="I93" s="38">
        <f t="shared" ref="I93:I115" si="7">I92+G93-H93</f>
        <v>1197.25</v>
      </c>
      <c r="J93" s="20" t="s">
        <v>8384</v>
      </c>
    </row>
    <row r="94" spans="1:10" x14ac:dyDescent="0.25">
      <c r="C94" s="9"/>
      <c r="D94" s="35">
        <v>45412</v>
      </c>
      <c r="E94" s="36" t="s">
        <v>8392</v>
      </c>
      <c r="F94" s="37" t="s">
        <v>8393</v>
      </c>
      <c r="G94" s="38">
        <v>59.36</v>
      </c>
      <c r="H94" s="38">
        <v>0</v>
      </c>
      <c r="I94" s="38">
        <f t="shared" si="7"/>
        <v>1256.6099999999999</v>
      </c>
      <c r="J94" s="20" t="s">
        <v>8384</v>
      </c>
    </row>
    <row r="95" spans="1:10" x14ac:dyDescent="0.25">
      <c r="C95" s="9"/>
      <c r="D95" s="35">
        <v>45426</v>
      </c>
      <c r="E95" s="36" t="s">
        <v>8394</v>
      </c>
      <c r="F95" s="37" t="s">
        <v>8395</v>
      </c>
      <c r="G95" s="38">
        <v>916.27</v>
      </c>
      <c r="H95" s="38">
        <v>0</v>
      </c>
      <c r="I95" s="38">
        <f t="shared" si="7"/>
        <v>2172.88</v>
      </c>
      <c r="J95" s="20" t="s">
        <v>8384</v>
      </c>
    </row>
    <row r="96" spans="1:10" x14ac:dyDescent="0.25">
      <c r="C96" s="9"/>
      <c r="D96" s="35">
        <v>45443</v>
      </c>
      <c r="E96" s="36" t="s">
        <v>8396</v>
      </c>
      <c r="F96" s="37" t="s">
        <v>8397</v>
      </c>
      <c r="G96" s="38">
        <v>1140.3399999999999</v>
      </c>
      <c r="H96" s="38">
        <v>0</v>
      </c>
      <c r="I96" s="38">
        <f t="shared" si="7"/>
        <v>3313.2200000000003</v>
      </c>
      <c r="J96" s="20" t="s">
        <v>8384</v>
      </c>
    </row>
    <row r="97" spans="3:10" ht="15.75" customHeight="1" x14ac:dyDescent="0.25">
      <c r="C97" s="9"/>
      <c r="D97" s="35">
        <v>45457</v>
      </c>
      <c r="E97" s="36" t="s">
        <v>8398</v>
      </c>
      <c r="F97" s="37" t="s">
        <v>8399</v>
      </c>
      <c r="G97" s="38">
        <v>963.89</v>
      </c>
      <c r="H97" s="38">
        <v>0</v>
      </c>
      <c r="I97" s="38">
        <f t="shared" si="7"/>
        <v>4277.1100000000006</v>
      </c>
      <c r="J97" s="20" t="s">
        <v>8384</v>
      </c>
    </row>
    <row r="98" spans="3:10" x14ac:dyDescent="0.25">
      <c r="C98" s="9"/>
      <c r="D98" s="35">
        <v>45457</v>
      </c>
      <c r="E98" s="36" t="s">
        <v>8400</v>
      </c>
      <c r="F98" s="37" t="s">
        <v>8401</v>
      </c>
      <c r="G98" s="38">
        <v>76.31</v>
      </c>
      <c r="H98" s="38">
        <v>0</v>
      </c>
      <c r="I98" s="38">
        <f t="shared" si="7"/>
        <v>4353.420000000001</v>
      </c>
      <c r="J98" s="20" t="s">
        <v>8384</v>
      </c>
    </row>
    <row r="99" spans="3:10" x14ac:dyDescent="0.25">
      <c r="C99" s="9"/>
      <c r="D99" s="35">
        <v>45504</v>
      </c>
      <c r="E99" s="36" t="s">
        <v>8402</v>
      </c>
      <c r="F99" s="37" t="s">
        <v>1595</v>
      </c>
      <c r="G99" s="38">
        <v>214.94</v>
      </c>
      <c r="H99" s="38">
        <v>0</v>
      </c>
      <c r="I99" s="38">
        <f t="shared" si="7"/>
        <v>4568.3600000000006</v>
      </c>
      <c r="J99" s="20" t="s">
        <v>8384</v>
      </c>
    </row>
    <row r="100" spans="3:10" x14ac:dyDescent="0.25">
      <c r="C100" s="9"/>
      <c r="D100" s="35">
        <v>45518</v>
      </c>
      <c r="E100" s="36" t="s">
        <v>8403</v>
      </c>
      <c r="F100" s="37" t="s">
        <v>8404</v>
      </c>
      <c r="G100" s="38">
        <v>501.13</v>
      </c>
      <c r="H100" s="38">
        <v>0</v>
      </c>
      <c r="I100" s="38">
        <f t="shared" si="7"/>
        <v>5069.4900000000007</v>
      </c>
      <c r="J100" s="20" t="s">
        <v>8384</v>
      </c>
    </row>
    <row r="101" spans="3:10" x14ac:dyDescent="0.25">
      <c r="C101" s="9"/>
      <c r="D101" s="35">
        <v>45565</v>
      </c>
      <c r="E101" s="36" t="s">
        <v>8405</v>
      </c>
      <c r="F101" s="37" t="s">
        <v>1585</v>
      </c>
      <c r="G101" s="56">
        <v>1327.99</v>
      </c>
      <c r="H101" s="38">
        <v>0</v>
      </c>
      <c r="I101" s="38">
        <f t="shared" si="7"/>
        <v>6397.4800000000005</v>
      </c>
      <c r="J101" s="20" t="s">
        <v>8384</v>
      </c>
    </row>
    <row r="102" spans="3:10" x14ac:dyDescent="0.25">
      <c r="C102" s="9"/>
      <c r="D102" s="35">
        <v>45573</v>
      </c>
      <c r="E102" s="36" t="s">
        <v>8406</v>
      </c>
      <c r="F102" s="37" t="s">
        <v>42</v>
      </c>
      <c r="G102" s="38">
        <v>0</v>
      </c>
      <c r="H102" s="38">
        <v>639.49</v>
      </c>
      <c r="I102" s="38">
        <f t="shared" si="7"/>
        <v>5757.9900000000007</v>
      </c>
      <c r="J102" s="32" t="s">
        <v>8351</v>
      </c>
    </row>
    <row r="103" spans="3:10" x14ac:dyDescent="0.25">
      <c r="C103" s="9"/>
      <c r="D103" s="35">
        <v>45573</v>
      </c>
      <c r="E103" s="36" t="s">
        <v>8406</v>
      </c>
      <c r="F103" s="37" t="s">
        <v>42</v>
      </c>
      <c r="G103" s="38">
        <v>0</v>
      </c>
      <c r="H103" s="38">
        <v>92.95</v>
      </c>
      <c r="I103" s="38">
        <f t="shared" si="7"/>
        <v>5665.0400000000009</v>
      </c>
      <c r="J103" s="32" t="s">
        <v>8351</v>
      </c>
    </row>
    <row r="104" spans="3:10" x14ac:dyDescent="0.25">
      <c r="C104" s="9"/>
      <c r="D104" s="35">
        <v>45573</v>
      </c>
      <c r="E104" s="36" t="s">
        <v>8406</v>
      </c>
      <c r="F104" s="37" t="s">
        <v>42</v>
      </c>
      <c r="G104" s="38">
        <v>0</v>
      </c>
      <c r="H104" s="38">
        <v>99.18</v>
      </c>
      <c r="I104" s="38">
        <f t="shared" si="7"/>
        <v>5565.8600000000006</v>
      </c>
      <c r="J104" s="32" t="s">
        <v>8351</v>
      </c>
    </row>
    <row r="105" spans="3:10" x14ac:dyDescent="0.25">
      <c r="C105" s="9"/>
      <c r="D105" s="35">
        <v>45579</v>
      </c>
      <c r="E105" s="36" t="s">
        <v>8407</v>
      </c>
      <c r="F105" s="37" t="s">
        <v>1584</v>
      </c>
      <c r="G105" s="56">
        <v>698.7</v>
      </c>
      <c r="H105" s="38">
        <v>0</v>
      </c>
      <c r="I105" s="38">
        <f t="shared" si="7"/>
        <v>6264.56</v>
      </c>
      <c r="J105" s="20" t="s">
        <v>8384</v>
      </c>
    </row>
    <row r="106" spans="3:10" x14ac:dyDescent="0.25">
      <c r="C106" s="9"/>
      <c r="D106" s="35">
        <v>45596</v>
      </c>
      <c r="E106" s="36" t="s">
        <v>8416</v>
      </c>
      <c r="F106" s="37" t="s">
        <v>8417</v>
      </c>
      <c r="G106" s="38">
        <v>772.51</v>
      </c>
      <c r="H106" s="38">
        <v>0</v>
      </c>
      <c r="I106" s="38">
        <f t="shared" si="7"/>
        <v>7037.0700000000006</v>
      </c>
      <c r="J106" s="12"/>
    </row>
    <row r="107" spans="3:10" x14ac:dyDescent="0.25">
      <c r="C107" s="9"/>
      <c r="D107" s="35">
        <v>45610</v>
      </c>
      <c r="E107" s="36" t="s">
        <v>8418</v>
      </c>
      <c r="F107" s="37" t="s">
        <v>8419</v>
      </c>
      <c r="G107" s="38">
        <v>457</v>
      </c>
      <c r="H107" s="38">
        <v>0</v>
      </c>
      <c r="I107" s="38">
        <f t="shared" si="7"/>
        <v>7494.0700000000006</v>
      </c>
      <c r="J107" s="12"/>
    </row>
    <row r="108" spans="3:10" x14ac:dyDescent="0.25">
      <c r="C108" s="9"/>
      <c r="D108" s="35">
        <v>45625</v>
      </c>
      <c r="E108" s="36" t="s">
        <v>8420</v>
      </c>
      <c r="F108" s="37" t="s">
        <v>1597</v>
      </c>
      <c r="G108" s="56">
        <v>700.05</v>
      </c>
      <c r="H108" s="38">
        <v>0</v>
      </c>
      <c r="I108" s="38">
        <f t="shared" si="7"/>
        <v>8194.1200000000008</v>
      </c>
      <c r="J108" s="12"/>
    </row>
    <row r="109" spans="3:10" x14ac:dyDescent="0.25">
      <c r="C109" s="9"/>
      <c r="D109" s="35">
        <v>45631</v>
      </c>
      <c r="E109" s="36" t="s">
        <v>1524</v>
      </c>
      <c r="F109" s="37" t="s">
        <v>8408</v>
      </c>
      <c r="G109" s="38">
        <v>0</v>
      </c>
      <c r="H109" s="38">
        <v>190.72</v>
      </c>
      <c r="I109" s="38">
        <f t="shared" si="7"/>
        <v>8003.4000000000005</v>
      </c>
      <c r="J109" s="32" t="s">
        <v>8351</v>
      </c>
    </row>
    <row r="110" spans="3:10" x14ac:dyDescent="0.25">
      <c r="C110" s="9"/>
      <c r="D110" s="35">
        <v>45631</v>
      </c>
      <c r="E110" s="36" t="s">
        <v>8409</v>
      </c>
      <c r="F110" s="37" t="s">
        <v>42</v>
      </c>
      <c r="G110" s="38">
        <v>0</v>
      </c>
      <c r="H110" s="38">
        <v>220.62</v>
      </c>
      <c r="I110" s="38">
        <f t="shared" si="7"/>
        <v>7782.7800000000007</v>
      </c>
      <c r="J110" s="32" t="s">
        <v>8351</v>
      </c>
    </row>
    <row r="111" spans="3:10" x14ac:dyDescent="0.25">
      <c r="C111" s="9"/>
      <c r="D111" s="35">
        <v>45631</v>
      </c>
      <c r="E111" s="36" t="s">
        <v>1524</v>
      </c>
      <c r="F111" s="37" t="s">
        <v>8410</v>
      </c>
      <c r="G111" s="38">
        <v>0</v>
      </c>
      <c r="H111" s="38">
        <v>121.11</v>
      </c>
      <c r="I111" s="38">
        <f t="shared" si="7"/>
        <v>7661.670000000001</v>
      </c>
      <c r="J111" s="32" t="s">
        <v>8351</v>
      </c>
    </row>
    <row r="112" spans="3:10" x14ac:dyDescent="0.25">
      <c r="C112" s="9"/>
      <c r="D112" s="35">
        <v>45631</v>
      </c>
      <c r="E112" s="36" t="s">
        <v>8409</v>
      </c>
      <c r="F112" s="37" t="s">
        <v>42</v>
      </c>
      <c r="G112" s="38">
        <v>0</v>
      </c>
      <c r="H112" s="38">
        <v>30.73</v>
      </c>
      <c r="I112" s="38">
        <f t="shared" si="7"/>
        <v>7630.9400000000014</v>
      </c>
      <c r="J112" s="32" t="s">
        <v>8351</v>
      </c>
    </row>
    <row r="113" spans="1:10" x14ac:dyDescent="0.25">
      <c r="C113" s="9"/>
      <c r="D113" s="35">
        <v>45639</v>
      </c>
      <c r="E113" s="36" t="s">
        <v>8411</v>
      </c>
      <c r="F113" s="37" t="s">
        <v>1598</v>
      </c>
      <c r="G113" s="56">
        <v>337.32</v>
      </c>
      <c r="H113" s="38">
        <v>0</v>
      </c>
      <c r="I113" s="38">
        <f t="shared" si="7"/>
        <v>7968.2600000000011</v>
      </c>
      <c r="J113" s="12"/>
    </row>
    <row r="114" spans="1:10" x14ac:dyDescent="0.25">
      <c r="C114" s="9"/>
      <c r="D114" s="35">
        <v>45657</v>
      </c>
      <c r="E114" s="36" t="s">
        <v>8412</v>
      </c>
      <c r="F114" s="37" t="s">
        <v>8413</v>
      </c>
      <c r="G114" s="38">
        <v>635.41999999999996</v>
      </c>
      <c r="H114" s="38">
        <v>0</v>
      </c>
      <c r="I114" s="38">
        <f t="shared" si="7"/>
        <v>8603.68</v>
      </c>
      <c r="J114" s="12"/>
    </row>
    <row r="115" spans="1:10" x14ac:dyDescent="0.25">
      <c r="C115" s="9"/>
      <c r="D115" s="35">
        <v>45657</v>
      </c>
      <c r="E115" s="36" t="s">
        <v>8414</v>
      </c>
      <c r="F115" s="37" t="s">
        <v>8415</v>
      </c>
      <c r="G115" s="38">
        <v>34.869999999999997</v>
      </c>
      <c r="H115" s="38">
        <v>0</v>
      </c>
      <c r="I115" s="38">
        <f t="shared" si="7"/>
        <v>8638.5500000000011</v>
      </c>
      <c r="J115" s="12"/>
    </row>
    <row r="116" spans="1:10" hidden="1" x14ac:dyDescent="0.25">
      <c r="A116" s="5"/>
      <c r="B116" s="6"/>
      <c r="C116" s="7"/>
      <c r="D116" s="7"/>
      <c r="E116" s="7"/>
      <c r="F116" s="7"/>
      <c r="G116" s="7"/>
      <c r="H116" s="7"/>
      <c r="I116" s="7"/>
      <c r="J116" s="7"/>
    </row>
    <row r="117" spans="1:10" hidden="1" x14ac:dyDescent="0.25">
      <c r="E117" s="4" t="s">
        <v>10</v>
      </c>
      <c r="G117" s="8">
        <v>8638.5499999999993</v>
      </c>
      <c r="H117" s="8">
        <v>0</v>
      </c>
      <c r="I117" s="8">
        <f>G117-H117</f>
        <v>8638.5499999999993</v>
      </c>
    </row>
    <row r="118" spans="1:10" x14ac:dyDescent="0.25">
      <c r="C118" s="9"/>
      <c r="D118" s="10">
        <v>45671</v>
      </c>
      <c r="E118" t="s">
        <v>1580</v>
      </c>
      <c r="F118" s="11" t="s">
        <v>1581</v>
      </c>
      <c r="G118" s="8">
        <v>681.4</v>
      </c>
      <c r="H118" s="8">
        <v>0</v>
      </c>
      <c r="I118" s="8">
        <f t="shared" ref="I118:I133" si="8">G118-H118+I117</f>
        <v>9319.9499999999989</v>
      </c>
      <c r="J118" s="12"/>
    </row>
    <row r="119" spans="1:10" x14ac:dyDescent="0.25">
      <c r="C119" s="9"/>
      <c r="D119" s="10">
        <v>45671</v>
      </c>
      <c r="E119" t="s">
        <v>1524</v>
      </c>
      <c r="F119" s="11" t="s">
        <v>1582</v>
      </c>
      <c r="G119" s="8">
        <v>0</v>
      </c>
      <c r="H119" s="8">
        <v>283.77</v>
      </c>
      <c r="I119" s="8">
        <f t="shared" si="8"/>
        <v>9036.1799999999985</v>
      </c>
      <c r="J119" s="12"/>
    </row>
    <row r="120" spans="1:10" x14ac:dyDescent="0.25">
      <c r="C120" s="9"/>
      <c r="D120" s="10">
        <v>45671</v>
      </c>
      <c r="E120" t="s">
        <v>1583</v>
      </c>
      <c r="F120" s="11" t="s">
        <v>42</v>
      </c>
      <c r="G120" s="8">
        <v>0</v>
      </c>
      <c r="H120" s="8">
        <v>251.05</v>
      </c>
      <c r="I120" s="8">
        <f t="shared" si="8"/>
        <v>8785.1299999999992</v>
      </c>
      <c r="J120" s="12"/>
    </row>
    <row r="121" spans="1:10" x14ac:dyDescent="0.25">
      <c r="C121" s="9"/>
      <c r="D121" s="10">
        <v>45678</v>
      </c>
      <c r="E121" t="s">
        <v>1524</v>
      </c>
      <c r="F121" s="11" t="s">
        <v>1584</v>
      </c>
      <c r="G121" s="8">
        <v>0</v>
      </c>
      <c r="H121" s="56">
        <v>698.7</v>
      </c>
      <c r="I121" s="8">
        <f t="shared" si="8"/>
        <v>8086.4299999999994</v>
      </c>
      <c r="J121" s="12"/>
    </row>
    <row r="122" spans="1:10" x14ac:dyDescent="0.25">
      <c r="C122" s="9"/>
      <c r="D122" s="10">
        <v>45678</v>
      </c>
      <c r="E122" t="s">
        <v>1524</v>
      </c>
      <c r="F122" s="11" t="s">
        <v>1585</v>
      </c>
      <c r="G122" s="8">
        <v>0</v>
      </c>
      <c r="H122" s="56">
        <v>1327.99</v>
      </c>
      <c r="I122" s="8">
        <f t="shared" si="8"/>
        <v>6758.44</v>
      </c>
      <c r="J122" s="12"/>
    </row>
    <row r="123" spans="1:10" x14ac:dyDescent="0.25">
      <c r="C123" s="9"/>
      <c r="D123" s="10">
        <v>45688</v>
      </c>
      <c r="E123" t="s">
        <v>1586</v>
      </c>
      <c r="F123" s="11" t="s">
        <v>1587</v>
      </c>
      <c r="G123" s="8">
        <v>851.32</v>
      </c>
      <c r="H123" s="8">
        <v>0</v>
      </c>
      <c r="I123" s="8">
        <f t="shared" si="8"/>
        <v>7609.7599999999993</v>
      </c>
      <c r="J123" s="12"/>
    </row>
    <row r="124" spans="1:10" x14ac:dyDescent="0.25">
      <c r="C124" s="9"/>
      <c r="D124" s="10">
        <v>45699</v>
      </c>
      <c r="E124" t="s">
        <v>1588</v>
      </c>
      <c r="F124" s="11" t="s">
        <v>42</v>
      </c>
      <c r="G124" s="8">
        <v>0</v>
      </c>
      <c r="H124" s="8">
        <v>1838.27</v>
      </c>
      <c r="I124" s="8">
        <f t="shared" si="8"/>
        <v>5771.49</v>
      </c>
      <c r="J124" s="12"/>
    </row>
    <row r="125" spans="1:10" x14ac:dyDescent="0.25">
      <c r="C125" s="9"/>
      <c r="D125" s="10">
        <v>45702</v>
      </c>
      <c r="E125" t="s">
        <v>1589</v>
      </c>
      <c r="F125" s="11" t="s">
        <v>1590</v>
      </c>
      <c r="G125" s="8">
        <v>767.19</v>
      </c>
      <c r="H125" s="8">
        <v>0</v>
      </c>
      <c r="I125" s="8">
        <f t="shared" si="8"/>
        <v>6538.68</v>
      </c>
      <c r="J125" s="12"/>
    </row>
    <row r="126" spans="1:10" x14ac:dyDescent="0.25">
      <c r="C126" s="9"/>
      <c r="D126" s="10">
        <v>45716</v>
      </c>
      <c r="E126" t="s">
        <v>1591</v>
      </c>
      <c r="F126" s="11" t="s">
        <v>1592</v>
      </c>
      <c r="G126" s="8">
        <v>698.17</v>
      </c>
      <c r="H126" s="8">
        <v>0</v>
      </c>
      <c r="I126" s="8">
        <f t="shared" si="8"/>
        <v>7236.85</v>
      </c>
      <c r="J126" s="12"/>
    </row>
    <row r="127" spans="1:10" x14ac:dyDescent="0.25">
      <c r="C127" s="9"/>
      <c r="D127" s="10">
        <v>45730</v>
      </c>
      <c r="E127" t="s">
        <v>1593</v>
      </c>
      <c r="F127" s="11" t="s">
        <v>1594</v>
      </c>
      <c r="G127" s="8">
        <v>669.89</v>
      </c>
      <c r="H127" s="8">
        <v>0</v>
      </c>
      <c r="I127" s="8">
        <f t="shared" si="8"/>
        <v>7906.7400000000007</v>
      </c>
      <c r="J127" s="12"/>
    </row>
    <row r="128" spans="1:10" x14ac:dyDescent="0.25">
      <c r="C128" s="9"/>
      <c r="D128" s="10">
        <v>45736</v>
      </c>
      <c r="E128" t="s">
        <v>1524</v>
      </c>
      <c r="F128" s="11" t="s">
        <v>1595</v>
      </c>
      <c r="G128" s="8">
        <v>0</v>
      </c>
      <c r="H128" s="8">
        <v>214.9</v>
      </c>
      <c r="I128" s="8">
        <f t="shared" si="8"/>
        <v>7691.8400000000011</v>
      </c>
      <c r="J128" s="12"/>
    </row>
    <row r="129" spans="1:10" x14ac:dyDescent="0.25">
      <c r="C129" s="9"/>
      <c r="D129" s="10">
        <v>45736</v>
      </c>
      <c r="E129" t="s">
        <v>1596</v>
      </c>
      <c r="F129" s="11" t="s">
        <v>42</v>
      </c>
      <c r="G129" s="8">
        <v>0</v>
      </c>
      <c r="H129" s="8">
        <v>50.86</v>
      </c>
      <c r="I129" s="8">
        <f t="shared" si="8"/>
        <v>7640.9800000000014</v>
      </c>
      <c r="J129" s="12"/>
    </row>
    <row r="130" spans="1:10" x14ac:dyDescent="0.25">
      <c r="C130" s="9"/>
      <c r="D130" s="10">
        <v>45736</v>
      </c>
      <c r="E130" t="s">
        <v>1596</v>
      </c>
      <c r="F130" s="11" t="s">
        <v>42</v>
      </c>
      <c r="G130" s="8">
        <v>0</v>
      </c>
      <c r="H130" s="8">
        <v>156.96</v>
      </c>
      <c r="I130" s="8">
        <f t="shared" si="8"/>
        <v>7484.0200000000013</v>
      </c>
      <c r="J130" s="12"/>
    </row>
    <row r="131" spans="1:10" x14ac:dyDescent="0.25">
      <c r="C131" s="9"/>
      <c r="D131" s="10">
        <v>45736</v>
      </c>
      <c r="E131" t="s">
        <v>1524</v>
      </c>
      <c r="F131" s="11" t="s">
        <v>1597</v>
      </c>
      <c r="G131" s="8">
        <v>0</v>
      </c>
      <c r="H131" s="56">
        <v>700.05</v>
      </c>
      <c r="I131" s="8">
        <f t="shared" si="8"/>
        <v>6783.9700000000012</v>
      </c>
      <c r="J131" s="12"/>
    </row>
    <row r="132" spans="1:10" x14ac:dyDescent="0.25">
      <c r="C132" s="9"/>
      <c r="D132" s="10">
        <v>45736</v>
      </c>
      <c r="E132" t="s">
        <v>1524</v>
      </c>
      <c r="F132" s="11" t="s">
        <v>1598</v>
      </c>
      <c r="G132" s="8">
        <v>0</v>
      </c>
      <c r="H132" s="56">
        <v>337.32</v>
      </c>
      <c r="I132" s="8">
        <f t="shared" si="8"/>
        <v>6446.6500000000015</v>
      </c>
      <c r="J132" s="12"/>
    </row>
    <row r="133" spans="1:10" x14ac:dyDescent="0.25">
      <c r="C133" s="9"/>
      <c r="D133" s="10">
        <v>45747</v>
      </c>
      <c r="E133" t="s">
        <v>1599</v>
      </c>
      <c r="F133" s="11" t="s">
        <v>1600</v>
      </c>
      <c r="G133" s="8">
        <v>1030.68</v>
      </c>
      <c r="H133" s="8">
        <v>0</v>
      </c>
      <c r="I133" s="8">
        <f t="shared" si="8"/>
        <v>7477.3300000000017</v>
      </c>
      <c r="J133" s="12"/>
    </row>
    <row r="134" spans="1:10" x14ac:dyDescent="0.25">
      <c r="E134" s="4" t="s">
        <v>20</v>
      </c>
      <c r="G134" s="8">
        <f>SUM(G117:G133)</f>
        <v>13337.199999999999</v>
      </c>
      <c r="H134" s="8">
        <f>SUM(H117:H133)</f>
        <v>5859.87</v>
      </c>
      <c r="I134" s="8">
        <f>G134-H134</f>
        <v>7477.329999999999</v>
      </c>
    </row>
    <row r="136" spans="1:10" x14ac:dyDescent="0.25">
      <c r="A136" s="5">
        <v>4300061</v>
      </c>
      <c r="B136" s="6" t="s">
        <v>1601</v>
      </c>
      <c r="C136" s="7"/>
      <c r="D136" s="7"/>
      <c r="E136" s="7"/>
      <c r="F136" s="7"/>
      <c r="G136" s="7"/>
      <c r="H136" s="7"/>
      <c r="I136" s="7"/>
      <c r="J136" s="7"/>
    </row>
    <row r="137" spans="1:10" x14ac:dyDescent="0.25">
      <c r="E137" s="4" t="s">
        <v>10</v>
      </c>
      <c r="G137" s="8">
        <v>3447.35</v>
      </c>
      <c r="H137" s="8">
        <v>0</v>
      </c>
      <c r="I137" s="8">
        <f>G137-H137</f>
        <v>3447.35</v>
      </c>
    </row>
    <row r="138" spans="1:10" x14ac:dyDescent="0.25">
      <c r="C138" s="9"/>
      <c r="D138" s="10">
        <v>45659</v>
      </c>
      <c r="E138" t="s">
        <v>1524</v>
      </c>
      <c r="F138" s="11" t="s">
        <v>1602</v>
      </c>
      <c r="G138" s="8">
        <v>0</v>
      </c>
      <c r="H138" s="8">
        <v>201.04</v>
      </c>
      <c r="I138" s="8">
        <f t="shared" ref="I138:I157" si="9">G138-H138+I137</f>
        <v>3246.31</v>
      </c>
      <c r="J138" s="12"/>
    </row>
    <row r="139" spans="1:10" x14ac:dyDescent="0.25">
      <c r="C139" s="9"/>
      <c r="D139" s="10">
        <v>45671</v>
      </c>
      <c r="E139" t="s">
        <v>1603</v>
      </c>
      <c r="F139" s="11" t="s">
        <v>1604</v>
      </c>
      <c r="G139" s="8">
        <v>137.97999999999999</v>
      </c>
      <c r="H139" s="8">
        <v>0</v>
      </c>
      <c r="I139" s="8">
        <f t="shared" si="9"/>
        <v>3384.29</v>
      </c>
      <c r="J139" s="12"/>
    </row>
    <row r="140" spans="1:10" x14ac:dyDescent="0.25">
      <c r="C140" s="9"/>
      <c r="D140" s="10">
        <v>45671</v>
      </c>
      <c r="E140" t="s">
        <v>1605</v>
      </c>
      <c r="F140" s="11" t="s">
        <v>1606</v>
      </c>
      <c r="G140" s="8">
        <v>65.63</v>
      </c>
      <c r="H140" s="8">
        <v>0</v>
      </c>
      <c r="I140" s="8">
        <f t="shared" si="9"/>
        <v>3449.92</v>
      </c>
      <c r="J140" s="12"/>
    </row>
    <row r="141" spans="1:10" x14ac:dyDescent="0.25">
      <c r="C141" s="9"/>
      <c r="D141" s="10">
        <v>45672</v>
      </c>
      <c r="E141" t="s">
        <v>1607</v>
      </c>
      <c r="F141" s="11" t="s">
        <v>42</v>
      </c>
      <c r="G141" s="8">
        <v>0</v>
      </c>
      <c r="H141" s="8">
        <v>65.63</v>
      </c>
      <c r="I141" s="8">
        <f t="shared" si="9"/>
        <v>3384.29</v>
      </c>
      <c r="J141" s="12"/>
    </row>
    <row r="142" spans="1:10" x14ac:dyDescent="0.25">
      <c r="C142" s="9"/>
      <c r="D142" s="10">
        <v>45688</v>
      </c>
      <c r="E142" t="s">
        <v>1608</v>
      </c>
      <c r="F142" s="11" t="s">
        <v>1609</v>
      </c>
      <c r="G142" s="8">
        <v>193.5</v>
      </c>
      <c r="H142" s="8">
        <v>0</v>
      </c>
      <c r="I142" s="8">
        <f t="shared" si="9"/>
        <v>3577.79</v>
      </c>
      <c r="J142" s="12"/>
    </row>
    <row r="143" spans="1:10" x14ac:dyDescent="0.25">
      <c r="C143" s="9"/>
      <c r="D143" s="10">
        <v>45688</v>
      </c>
      <c r="E143" t="s">
        <v>1610</v>
      </c>
      <c r="F143" s="11" t="s">
        <v>1611</v>
      </c>
      <c r="G143" s="8">
        <v>142.1</v>
      </c>
      <c r="H143" s="8">
        <v>0</v>
      </c>
      <c r="I143" s="8">
        <f t="shared" si="9"/>
        <v>3719.89</v>
      </c>
      <c r="J143" s="12"/>
    </row>
    <row r="144" spans="1:10" x14ac:dyDescent="0.25">
      <c r="C144" s="9"/>
      <c r="D144" s="10">
        <v>45691</v>
      </c>
      <c r="E144" t="s">
        <v>1524</v>
      </c>
      <c r="F144" s="11" t="s">
        <v>1611</v>
      </c>
      <c r="G144" s="8">
        <v>0</v>
      </c>
      <c r="H144" s="8">
        <v>142.1</v>
      </c>
      <c r="I144" s="8">
        <f t="shared" si="9"/>
        <v>3577.79</v>
      </c>
      <c r="J144" s="12"/>
    </row>
    <row r="145" spans="1:10" x14ac:dyDescent="0.25">
      <c r="C145" s="9"/>
      <c r="D145" s="10">
        <v>45702</v>
      </c>
      <c r="E145" t="s">
        <v>1612</v>
      </c>
      <c r="F145" s="11" t="s">
        <v>1613</v>
      </c>
      <c r="G145" s="8">
        <v>217.28</v>
      </c>
      <c r="H145" s="8">
        <v>0</v>
      </c>
      <c r="I145" s="8">
        <f t="shared" si="9"/>
        <v>3795.07</v>
      </c>
      <c r="J145" s="12"/>
    </row>
    <row r="146" spans="1:10" x14ac:dyDescent="0.25">
      <c r="C146" s="9"/>
      <c r="D146" s="10">
        <v>45702</v>
      </c>
      <c r="E146" t="s">
        <v>1614</v>
      </c>
      <c r="F146" s="11" t="s">
        <v>1615</v>
      </c>
      <c r="G146" s="8">
        <v>353.02</v>
      </c>
      <c r="H146" s="8">
        <v>0</v>
      </c>
      <c r="I146" s="8">
        <f t="shared" si="9"/>
        <v>4148.09</v>
      </c>
      <c r="J146" s="12"/>
    </row>
    <row r="147" spans="1:10" x14ac:dyDescent="0.25">
      <c r="C147" s="9"/>
      <c r="D147" s="10">
        <v>45705</v>
      </c>
      <c r="E147" t="s">
        <v>1524</v>
      </c>
      <c r="F147" s="11" t="s">
        <v>1615</v>
      </c>
      <c r="G147" s="8">
        <v>0</v>
      </c>
      <c r="H147" s="8">
        <v>353.02</v>
      </c>
      <c r="I147" s="8">
        <f t="shared" si="9"/>
        <v>3795.07</v>
      </c>
      <c r="J147" s="12"/>
    </row>
    <row r="148" spans="1:10" x14ac:dyDescent="0.25">
      <c r="C148" s="9"/>
      <c r="D148" s="10">
        <v>45716</v>
      </c>
      <c r="E148" t="s">
        <v>1616</v>
      </c>
      <c r="F148" s="11" t="s">
        <v>1617</v>
      </c>
      <c r="G148" s="8">
        <v>81.290000000000006</v>
      </c>
      <c r="H148" s="8">
        <v>0</v>
      </c>
      <c r="I148" s="8">
        <f t="shared" si="9"/>
        <v>3876.36</v>
      </c>
      <c r="J148" s="12"/>
    </row>
    <row r="149" spans="1:10" x14ac:dyDescent="0.25">
      <c r="C149" s="9"/>
      <c r="D149" s="10">
        <v>45716</v>
      </c>
      <c r="E149" t="s">
        <v>1618</v>
      </c>
      <c r="F149" s="11" t="s">
        <v>1619</v>
      </c>
      <c r="G149" s="8">
        <v>202.02</v>
      </c>
      <c r="H149" s="8">
        <v>0</v>
      </c>
      <c r="I149" s="8">
        <f t="shared" si="9"/>
        <v>4078.38</v>
      </c>
      <c r="J149" s="12"/>
    </row>
    <row r="150" spans="1:10" x14ac:dyDescent="0.25">
      <c r="C150" s="9" t="s">
        <v>124</v>
      </c>
      <c r="D150" s="10">
        <v>45719</v>
      </c>
      <c r="E150" t="s">
        <v>1620</v>
      </c>
      <c r="F150" s="11" t="s">
        <v>1619</v>
      </c>
      <c r="G150" s="8">
        <v>0</v>
      </c>
      <c r="H150" s="8">
        <v>202.02</v>
      </c>
      <c r="I150" s="8">
        <f t="shared" si="9"/>
        <v>3876.36</v>
      </c>
      <c r="J150" s="12"/>
    </row>
    <row r="151" spans="1:10" x14ac:dyDescent="0.25">
      <c r="C151" s="9"/>
      <c r="D151" s="10">
        <v>45730</v>
      </c>
      <c r="E151" t="s">
        <v>1621</v>
      </c>
      <c r="F151" s="11" t="s">
        <v>1622</v>
      </c>
      <c r="G151" s="8">
        <v>124.92</v>
      </c>
      <c r="H151" s="8">
        <v>0</v>
      </c>
      <c r="I151" s="8">
        <f t="shared" si="9"/>
        <v>4001.28</v>
      </c>
      <c r="J151" s="12"/>
    </row>
    <row r="152" spans="1:10" x14ac:dyDescent="0.25">
      <c r="C152" s="9"/>
      <c r="D152" s="10">
        <v>45730</v>
      </c>
      <c r="E152" t="s">
        <v>1623</v>
      </c>
      <c r="F152" s="11" t="s">
        <v>1624</v>
      </c>
      <c r="G152" s="8">
        <v>220.53</v>
      </c>
      <c r="H152" s="8">
        <v>0</v>
      </c>
      <c r="I152" s="8">
        <f t="shared" si="9"/>
        <v>4221.8100000000004</v>
      </c>
      <c r="J152" s="12"/>
    </row>
    <row r="153" spans="1:10" x14ac:dyDescent="0.25">
      <c r="C153" s="9"/>
      <c r="D153" s="10">
        <v>45733</v>
      </c>
      <c r="E153" t="s">
        <v>1524</v>
      </c>
      <c r="F153" s="11" t="s">
        <v>1624</v>
      </c>
      <c r="G153" s="8">
        <v>0</v>
      </c>
      <c r="H153" s="8">
        <v>220.53</v>
      </c>
      <c r="I153" s="8">
        <f t="shared" si="9"/>
        <v>4001.28</v>
      </c>
      <c r="J153" s="12"/>
    </row>
    <row r="154" spans="1:10" x14ac:dyDescent="0.25">
      <c r="C154" s="9"/>
      <c r="D154" s="10">
        <v>45747</v>
      </c>
      <c r="E154" t="s">
        <v>1625</v>
      </c>
      <c r="F154" s="11" t="s">
        <v>1626</v>
      </c>
      <c r="G154" s="8">
        <v>150.80000000000001</v>
      </c>
      <c r="H154" s="8">
        <v>0</v>
      </c>
      <c r="I154" s="8">
        <f t="shared" si="9"/>
        <v>4152.08</v>
      </c>
      <c r="J154" s="12"/>
    </row>
    <row r="155" spans="1:10" x14ac:dyDescent="0.25">
      <c r="C155" s="9"/>
      <c r="D155" s="10">
        <v>45747</v>
      </c>
      <c r="E155" t="s">
        <v>1627</v>
      </c>
      <c r="F155" s="11" t="s">
        <v>1628</v>
      </c>
      <c r="G155" s="8">
        <v>164.51</v>
      </c>
      <c r="H155" s="8">
        <v>0</v>
      </c>
      <c r="I155" s="8">
        <f t="shared" si="9"/>
        <v>4316.59</v>
      </c>
      <c r="J155" s="12"/>
    </row>
    <row r="156" spans="1:10" x14ac:dyDescent="0.25">
      <c r="C156" s="9"/>
      <c r="D156" s="10">
        <v>45748</v>
      </c>
      <c r="E156" t="s">
        <v>1524</v>
      </c>
      <c r="F156" s="11" t="s">
        <v>1628</v>
      </c>
      <c r="G156" s="8">
        <v>0</v>
      </c>
      <c r="H156" s="8">
        <v>164.51</v>
      </c>
      <c r="I156" s="8">
        <f t="shared" si="9"/>
        <v>4152.08</v>
      </c>
      <c r="J156" s="12"/>
    </row>
    <row r="157" spans="1:10" x14ac:dyDescent="0.25">
      <c r="C157" s="9"/>
      <c r="D157" s="10">
        <v>45762</v>
      </c>
      <c r="E157" t="s">
        <v>1607</v>
      </c>
      <c r="F157" s="11" t="s">
        <v>42</v>
      </c>
      <c r="G157" s="8">
        <v>0</v>
      </c>
      <c r="H157" s="8">
        <v>58.58</v>
      </c>
      <c r="I157" s="8">
        <f t="shared" si="9"/>
        <v>4093.5</v>
      </c>
      <c r="J157" s="12"/>
    </row>
    <row r="158" spans="1:10" x14ac:dyDescent="0.25">
      <c r="E158" s="4" t="s">
        <v>20</v>
      </c>
      <c r="G158" s="8">
        <f>SUM(G137:G157)</f>
        <v>5500.9300000000012</v>
      </c>
      <c r="H158" s="8">
        <f>SUM(H137:H157)</f>
        <v>1407.4299999999998</v>
      </c>
      <c r="I158" s="8">
        <f>G158-H158</f>
        <v>4093.5000000000014</v>
      </c>
    </row>
    <row r="160" spans="1:10" x14ac:dyDescent="0.25">
      <c r="A160" s="5">
        <v>4300062</v>
      </c>
      <c r="B160" s="6" t="s">
        <v>1629</v>
      </c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E161" s="4" t="s">
        <v>10</v>
      </c>
      <c r="G161" s="8">
        <v>366.21</v>
      </c>
      <c r="H161" s="8">
        <v>0</v>
      </c>
      <c r="I161" s="8">
        <f>G161-H161</f>
        <v>366.21</v>
      </c>
    </row>
    <row r="162" spans="1:10" x14ac:dyDescent="0.25">
      <c r="C162" s="9"/>
      <c r="D162" s="10">
        <v>45659</v>
      </c>
      <c r="E162" t="s">
        <v>1524</v>
      </c>
      <c r="F162" s="11" t="s">
        <v>1630</v>
      </c>
      <c r="G162" s="8">
        <v>0</v>
      </c>
      <c r="H162" s="8">
        <v>420.49</v>
      </c>
      <c r="I162" s="8">
        <f>G162-H162+I161</f>
        <v>-54.28000000000003</v>
      </c>
      <c r="J162" s="12"/>
    </row>
    <row r="163" spans="1:10" x14ac:dyDescent="0.25">
      <c r="C163" s="9"/>
      <c r="D163" s="10">
        <v>45671</v>
      </c>
      <c r="E163" t="s">
        <v>1631</v>
      </c>
      <c r="F163" s="11" t="s">
        <v>1632</v>
      </c>
      <c r="G163" s="8">
        <v>981.83</v>
      </c>
      <c r="H163" s="8">
        <v>0</v>
      </c>
      <c r="I163" s="8">
        <f>G163-H163+I162</f>
        <v>927.55</v>
      </c>
      <c r="J163" s="12"/>
    </row>
    <row r="164" spans="1:10" x14ac:dyDescent="0.25">
      <c r="C164" s="9"/>
      <c r="D164" s="10">
        <v>45672</v>
      </c>
      <c r="E164" t="s">
        <v>1524</v>
      </c>
      <c r="F164" s="11" t="s">
        <v>1632</v>
      </c>
      <c r="G164" s="8">
        <v>0</v>
      </c>
      <c r="H164" s="8">
        <v>981.83</v>
      </c>
      <c r="I164" s="8">
        <f>G164-H164+I163</f>
        <v>-54.280000000000086</v>
      </c>
      <c r="J164" s="12"/>
    </row>
    <row r="165" spans="1:10" x14ac:dyDescent="0.25">
      <c r="E165" s="4" t="s">
        <v>20</v>
      </c>
      <c r="G165" s="8">
        <f>SUM(G161:G164)</f>
        <v>1348.04</v>
      </c>
      <c r="H165" s="8">
        <f>SUM(H161:H164)</f>
        <v>1402.3200000000002</v>
      </c>
      <c r="I165" s="8">
        <f>G165-H165</f>
        <v>-54.2800000000002</v>
      </c>
    </row>
    <row r="167" spans="1:10" x14ac:dyDescent="0.25">
      <c r="A167" s="5">
        <v>4300063</v>
      </c>
      <c r="B167" s="6" t="s">
        <v>1633</v>
      </c>
      <c r="C167" s="7"/>
      <c r="D167" s="7"/>
      <c r="E167" s="7"/>
      <c r="F167" s="7"/>
      <c r="G167" s="7"/>
      <c r="H167" s="7"/>
      <c r="I167" s="7"/>
      <c r="J167" s="7"/>
    </row>
    <row r="168" spans="1:10" x14ac:dyDescent="0.25">
      <c r="E168" s="4" t="s">
        <v>10</v>
      </c>
      <c r="G168" s="8">
        <v>2812.65</v>
      </c>
      <c r="H168" s="8">
        <v>0</v>
      </c>
      <c r="I168" s="8">
        <f>G168-H168</f>
        <v>2812.65</v>
      </c>
    </row>
    <row r="169" spans="1:10" x14ac:dyDescent="0.25">
      <c r="C169" s="9"/>
      <c r="D169" s="10">
        <v>45671</v>
      </c>
      <c r="E169" t="s">
        <v>1634</v>
      </c>
      <c r="F169" s="11" t="s">
        <v>1635</v>
      </c>
      <c r="G169" s="8">
        <v>39.200000000000003</v>
      </c>
      <c r="H169" s="8">
        <v>0</v>
      </c>
      <c r="I169" s="8">
        <f>G169-H169+I168</f>
        <v>2851.85</v>
      </c>
      <c r="J169" s="12"/>
    </row>
    <row r="170" spans="1:10" x14ac:dyDescent="0.25">
      <c r="C170" s="9"/>
      <c r="D170" s="10">
        <v>45688</v>
      </c>
      <c r="E170" t="s">
        <v>1636</v>
      </c>
      <c r="F170" s="11" t="s">
        <v>1637</v>
      </c>
      <c r="G170" s="8">
        <v>208.59</v>
      </c>
      <c r="H170" s="8">
        <v>0</v>
      </c>
      <c r="I170" s="8">
        <f>G170-H170+I169</f>
        <v>3060.44</v>
      </c>
      <c r="J170" s="12"/>
    </row>
    <row r="171" spans="1:10" x14ac:dyDescent="0.25">
      <c r="C171" s="9"/>
      <c r="D171" s="10">
        <v>45702</v>
      </c>
      <c r="E171" t="s">
        <v>1638</v>
      </c>
      <c r="F171" s="11" t="s">
        <v>1639</v>
      </c>
      <c r="G171" s="8">
        <v>200.65</v>
      </c>
      <c r="H171" s="8">
        <v>0</v>
      </c>
      <c r="I171" s="8">
        <f>G171-H171+I170</f>
        <v>3261.09</v>
      </c>
      <c r="J171" s="12"/>
    </row>
    <row r="172" spans="1:10" x14ac:dyDescent="0.25">
      <c r="C172" s="9"/>
      <c r="D172" s="10">
        <v>45747</v>
      </c>
      <c r="E172" t="s">
        <v>1640</v>
      </c>
      <c r="F172" s="11" t="s">
        <v>1641</v>
      </c>
      <c r="G172" s="8">
        <v>98.86</v>
      </c>
      <c r="H172" s="8">
        <v>0</v>
      </c>
      <c r="I172" s="8">
        <f>G172-H172+I171</f>
        <v>3359.9500000000003</v>
      </c>
      <c r="J172" s="12"/>
    </row>
    <row r="173" spans="1:10" x14ac:dyDescent="0.25">
      <c r="E173" s="4" t="s">
        <v>20</v>
      </c>
      <c r="G173" s="8">
        <f>SUM(G168:G172)</f>
        <v>3359.9500000000003</v>
      </c>
      <c r="H173" s="8">
        <f>SUM(H168:H172)</f>
        <v>0</v>
      </c>
      <c r="I173" s="8">
        <f>G173-H173</f>
        <v>3359.9500000000003</v>
      </c>
    </row>
    <row r="175" spans="1:10" x14ac:dyDescent="0.25">
      <c r="A175" s="5">
        <v>4300064</v>
      </c>
      <c r="B175" s="6" t="s">
        <v>1642</v>
      </c>
      <c r="C175" s="7"/>
      <c r="D175" s="7"/>
      <c r="E175" s="7"/>
      <c r="F175" s="7"/>
      <c r="G175" s="7"/>
      <c r="H175" s="7"/>
      <c r="I175" s="7"/>
      <c r="J175" s="7"/>
    </row>
    <row r="176" spans="1:10" x14ac:dyDescent="0.25">
      <c r="E176" s="4" t="s">
        <v>10</v>
      </c>
      <c r="G176" s="8">
        <v>126.51</v>
      </c>
      <c r="H176" s="8">
        <v>0</v>
      </c>
      <c r="I176" s="8">
        <f>G176-H176</f>
        <v>126.51</v>
      </c>
    </row>
    <row r="177" spans="1:10" x14ac:dyDescent="0.25">
      <c r="C177" s="9"/>
      <c r="D177" s="10">
        <v>45702</v>
      </c>
      <c r="E177" t="s">
        <v>1643</v>
      </c>
      <c r="F177" s="11" t="s">
        <v>1644</v>
      </c>
      <c r="G177" s="8">
        <v>254.62</v>
      </c>
      <c r="H177" s="8">
        <v>0</v>
      </c>
      <c r="I177" s="8">
        <f>G177-H177+I176</f>
        <v>381.13</v>
      </c>
      <c r="J177" s="12"/>
    </row>
    <row r="178" spans="1:10" x14ac:dyDescent="0.25">
      <c r="E178" s="4" t="s">
        <v>20</v>
      </c>
      <c r="G178" s="8">
        <f>SUM(G176:G177)</f>
        <v>381.13</v>
      </c>
      <c r="H178" s="8">
        <f>SUM(H176:H177)</f>
        <v>0</v>
      </c>
      <c r="I178" s="8">
        <f>G178-H178</f>
        <v>381.13</v>
      </c>
    </row>
    <row r="180" spans="1:10" x14ac:dyDescent="0.25">
      <c r="A180" s="5">
        <v>4300065</v>
      </c>
      <c r="B180" s="6" t="s">
        <v>1645</v>
      </c>
      <c r="C180" s="7"/>
      <c r="D180" s="7"/>
      <c r="E180" s="7"/>
      <c r="F180" s="7"/>
      <c r="G180" s="7"/>
      <c r="H180" s="7"/>
      <c r="I180" s="7"/>
      <c r="J180" s="7"/>
    </row>
    <row r="181" spans="1:10" x14ac:dyDescent="0.25">
      <c r="C181" s="9"/>
      <c r="D181" s="10">
        <v>45702</v>
      </c>
      <c r="E181" t="s">
        <v>1646</v>
      </c>
      <c r="F181" s="11" t="s">
        <v>1647</v>
      </c>
      <c r="G181" s="8">
        <v>135.04</v>
      </c>
      <c r="H181" s="8">
        <v>0</v>
      </c>
      <c r="I181" s="8">
        <f>G181-H181</f>
        <v>135.04</v>
      </c>
      <c r="J181" s="12"/>
    </row>
    <row r="182" spans="1:10" x14ac:dyDescent="0.25">
      <c r="C182" s="9"/>
      <c r="D182" s="10">
        <v>45705</v>
      </c>
      <c r="E182" t="s">
        <v>1524</v>
      </c>
      <c r="F182" s="11" t="s">
        <v>1647</v>
      </c>
      <c r="G182" s="8">
        <v>0</v>
      </c>
      <c r="H182" s="8">
        <v>135.04</v>
      </c>
      <c r="I182" s="8">
        <f>G182-H182+I181</f>
        <v>0</v>
      </c>
      <c r="J182" s="12"/>
    </row>
    <row r="183" spans="1:10" x14ac:dyDescent="0.25">
      <c r="C183" s="9"/>
      <c r="D183" s="10">
        <v>45762</v>
      </c>
      <c r="E183" t="s">
        <v>1648</v>
      </c>
      <c r="F183" s="11" t="s">
        <v>42</v>
      </c>
      <c r="G183" s="8">
        <v>0</v>
      </c>
      <c r="H183" s="8">
        <v>65.650000000000006</v>
      </c>
      <c r="I183" s="8">
        <f>G183-H183+I182</f>
        <v>-65.650000000000006</v>
      </c>
      <c r="J183" s="12"/>
    </row>
    <row r="184" spans="1:10" x14ac:dyDescent="0.25">
      <c r="E184" s="4" t="s">
        <v>20</v>
      </c>
      <c r="G184" s="8">
        <f>SUM(G181:G183)</f>
        <v>135.04</v>
      </c>
      <c r="H184" s="8">
        <f>SUM(H181:H183)</f>
        <v>200.69</v>
      </c>
      <c r="I184" s="8">
        <f>G184-H184</f>
        <v>-65.650000000000006</v>
      </c>
    </row>
    <row r="186" spans="1:10" x14ac:dyDescent="0.25">
      <c r="A186" s="5">
        <v>4300072</v>
      </c>
      <c r="B186" s="6" t="s">
        <v>1649</v>
      </c>
      <c r="C186" s="7"/>
      <c r="D186" s="7"/>
      <c r="E186" s="7"/>
      <c r="F186" s="7"/>
      <c r="G186" s="7"/>
      <c r="H186" s="7"/>
      <c r="I186" s="7"/>
      <c r="J186" s="7"/>
    </row>
    <row r="187" spans="1:10" x14ac:dyDescent="0.25">
      <c r="E187" s="4" t="s">
        <v>10</v>
      </c>
      <c r="G187" s="8">
        <v>76.22</v>
      </c>
      <c r="H187" s="8">
        <v>0</v>
      </c>
      <c r="I187" s="8">
        <f>G187-H187</f>
        <v>76.22</v>
      </c>
    </row>
    <row r="188" spans="1:10" x14ac:dyDescent="0.25">
      <c r="C188" s="9"/>
      <c r="D188" s="10">
        <v>45660</v>
      </c>
      <c r="E188" t="s">
        <v>1524</v>
      </c>
      <c r="F188" s="11" t="s">
        <v>1650</v>
      </c>
      <c r="G188" s="8">
        <v>0</v>
      </c>
      <c r="H188" s="8">
        <v>76.22</v>
      </c>
      <c r="I188" s="8">
        <f t="shared" ref="I188:I199" si="10">G188-H188+I187</f>
        <v>0</v>
      </c>
      <c r="J188" s="12"/>
    </row>
    <row r="189" spans="1:10" x14ac:dyDescent="0.25">
      <c r="C189" s="9"/>
      <c r="D189" s="10">
        <v>45671</v>
      </c>
      <c r="E189" t="s">
        <v>1651</v>
      </c>
      <c r="F189" s="11" t="s">
        <v>1652</v>
      </c>
      <c r="G189" s="8">
        <v>697.13</v>
      </c>
      <c r="H189" s="8">
        <v>0</v>
      </c>
      <c r="I189" s="8">
        <f t="shared" si="10"/>
        <v>697.13</v>
      </c>
      <c r="J189" s="12"/>
    </row>
    <row r="190" spans="1:10" x14ac:dyDescent="0.25">
      <c r="C190" s="9"/>
      <c r="D190" s="10">
        <v>45672</v>
      </c>
      <c r="E190" t="s">
        <v>1524</v>
      </c>
      <c r="F190" s="11" t="s">
        <v>1652</v>
      </c>
      <c r="G190" s="8">
        <v>0</v>
      </c>
      <c r="H190" s="8">
        <v>697.13</v>
      </c>
      <c r="I190" s="8">
        <f t="shared" si="10"/>
        <v>0</v>
      </c>
      <c r="J190" s="12"/>
    </row>
    <row r="191" spans="1:10" x14ac:dyDescent="0.25">
      <c r="C191" s="9"/>
      <c r="D191" s="10">
        <v>45688</v>
      </c>
      <c r="E191" t="s">
        <v>1653</v>
      </c>
      <c r="F191" s="11" t="s">
        <v>1654</v>
      </c>
      <c r="G191" s="8">
        <v>90.79</v>
      </c>
      <c r="H191" s="8">
        <v>0</v>
      </c>
      <c r="I191" s="8">
        <f t="shared" si="10"/>
        <v>90.79</v>
      </c>
      <c r="J191" s="12"/>
    </row>
    <row r="192" spans="1:10" x14ac:dyDescent="0.25">
      <c r="C192" s="9" t="s">
        <v>124</v>
      </c>
      <c r="D192" s="10">
        <v>45691</v>
      </c>
      <c r="E192" t="s">
        <v>1655</v>
      </c>
      <c r="F192" s="11" t="s">
        <v>1654</v>
      </c>
      <c r="G192" s="8">
        <v>0</v>
      </c>
      <c r="H192" s="8">
        <v>90.79</v>
      </c>
      <c r="I192" s="8">
        <f t="shared" si="10"/>
        <v>0</v>
      </c>
      <c r="J192" s="12"/>
    </row>
    <row r="193" spans="1:10" x14ac:dyDescent="0.25">
      <c r="C193" s="9"/>
      <c r="D193" s="10">
        <v>45702</v>
      </c>
      <c r="E193" t="s">
        <v>1656</v>
      </c>
      <c r="F193" s="11" t="s">
        <v>1657</v>
      </c>
      <c r="G193" s="8">
        <v>105.02</v>
      </c>
      <c r="H193" s="8">
        <v>0</v>
      </c>
      <c r="I193" s="8">
        <f t="shared" si="10"/>
        <v>105.02</v>
      </c>
      <c r="J193" s="12"/>
    </row>
    <row r="194" spans="1:10" x14ac:dyDescent="0.25">
      <c r="C194" s="9"/>
      <c r="D194" s="10">
        <v>45705</v>
      </c>
      <c r="E194" t="s">
        <v>1524</v>
      </c>
      <c r="F194" s="11" t="s">
        <v>1657</v>
      </c>
      <c r="G194" s="8">
        <v>0</v>
      </c>
      <c r="H194" s="8">
        <v>105.02</v>
      </c>
      <c r="I194" s="8">
        <f t="shared" si="10"/>
        <v>0</v>
      </c>
      <c r="J194" s="12"/>
    </row>
    <row r="195" spans="1:10" x14ac:dyDescent="0.25">
      <c r="C195" s="9"/>
      <c r="D195" s="10">
        <v>45730</v>
      </c>
      <c r="E195" t="s">
        <v>1658</v>
      </c>
      <c r="F195" s="11" t="s">
        <v>1659</v>
      </c>
      <c r="G195" s="8">
        <v>970.41</v>
      </c>
      <c r="H195" s="8">
        <v>0</v>
      </c>
      <c r="I195" s="8">
        <f t="shared" si="10"/>
        <v>970.41</v>
      </c>
      <c r="J195" s="12"/>
    </row>
    <row r="196" spans="1:10" x14ac:dyDescent="0.25">
      <c r="C196" s="9"/>
      <c r="D196" s="10">
        <v>45733</v>
      </c>
      <c r="E196" t="s">
        <v>1524</v>
      </c>
      <c r="F196" s="11" t="s">
        <v>1659</v>
      </c>
      <c r="G196" s="8">
        <v>0</v>
      </c>
      <c r="H196" s="8">
        <v>970.41</v>
      </c>
      <c r="I196" s="8">
        <f t="shared" si="10"/>
        <v>0</v>
      </c>
      <c r="J196" s="12"/>
    </row>
    <row r="197" spans="1:10" x14ac:dyDescent="0.25">
      <c r="C197" s="9"/>
      <c r="D197" s="10">
        <v>45747</v>
      </c>
      <c r="E197" t="s">
        <v>1660</v>
      </c>
      <c r="F197" s="11" t="s">
        <v>1661</v>
      </c>
      <c r="G197" s="8">
        <v>1157.6400000000001</v>
      </c>
      <c r="H197" s="8">
        <v>0</v>
      </c>
      <c r="I197" s="8">
        <f t="shared" si="10"/>
        <v>1157.6400000000001</v>
      </c>
      <c r="J197" s="12"/>
    </row>
    <row r="198" spans="1:10" x14ac:dyDescent="0.25">
      <c r="C198" s="9"/>
      <c r="D198" s="10">
        <v>45748</v>
      </c>
      <c r="E198" t="s">
        <v>1524</v>
      </c>
      <c r="F198" s="11" t="s">
        <v>1661</v>
      </c>
      <c r="G198" s="8">
        <v>0</v>
      </c>
      <c r="H198" s="8">
        <v>1157.6400000000001</v>
      </c>
      <c r="I198" s="8">
        <f t="shared" si="10"/>
        <v>0</v>
      </c>
      <c r="J198" s="12"/>
    </row>
    <row r="199" spans="1:10" x14ac:dyDescent="0.25">
      <c r="C199" s="9"/>
      <c r="D199" s="10">
        <v>45762</v>
      </c>
      <c r="E199" t="s">
        <v>1662</v>
      </c>
      <c r="F199" s="11" t="s">
        <v>42</v>
      </c>
      <c r="G199" s="8">
        <v>0</v>
      </c>
      <c r="H199" s="8">
        <v>140.43</v>
      </c>
      <c r="I199" s="8">
        <f t="shared" si="10"/>
        <v>-140.43</v>
      </c>
      <c r="J199" s="12"/>
    </row>
    <row r="200" spans="1:10" x14ac:dyDescent="0.25">
      <c r="E200" s="4" t="s">
        <v>20</v>
      </c>
      <c r="G200" s="8">
        <f>SUM(G187:G199)</f>
        <v>3097.21</v>
      </c>
      <c r="H200" s="8">
        <f>SUM(H187:H199)</f>
        <v>3237.64</v>
      </c>
      <c r="I200" s="8">
        <f>G200-H200</f>
        <v>-140.42999999999984</v>
      </c>
    </row>
    <row r="202" spans="1:10" x14ac:dyDescent="0.25">
      <c r="A202" s="5">
        <v>4300074</v>
      </c>
      <c r="B202" s="6" t="s">
        <v>1663</v>
      </c>
      <c r="C202" s="7"/>
      <c r="D202" s="7"/>
      <c r="E202" s="7"/>
      <c r="F202" s="7"/>
      <c r="G202" s="7"/>
      <c r="H202" s="7"/>
      <c r="I202" s="7"/>
      <c r="J202" s="7"/>
    </row>
    <row r="203" spans="1:10" x14ac:dyDescent="0.25">
      <c r="E203" s="4" t="s">
        <v>10</v>
      </c>
      <c r="G203" s="8">
        <v>1894.06</v>
      </c>
      <c r="H203" s="8">
        <v>0</v>
      </c>
      <c r="I203" s="8">
        <f>G203-H203</f>
        <v>1894.06</v>
      </c>
    </row>
    <row r="204" spans="1:10" x14ac:dyDescent="0.25">
      <c r="C204" s="9"/>
      <c r="D204" s="10">
        <v>45671</v>
      </c>
      <c r="E204" t="s">
        <v>1664</v>
      </c>
      <c r="F204" s="11" t="s">
        <v>1665</v>
      </c>
      <c r="G204" s="8">
        <v>35.79</v>
      </c>
      <c r="H204" s="8">
        <v>0</v>
      </c>
      <c r="I204" s="8">
        <f t="shared" ref="I204:I209" si="11">G204-H204+I203</f>
        <v>1929.85</v>
      </c>
      <c r="J204" s="12"/>
    </row>
    <row r="205" spans="1:10" x14ac:dyDescent="0.25">
      <c r="C205" s="9"/>
      <c r="D205" s="10">
        <v>45672</v>
      </c>
      <c r="E205" t="s">
        <v>1524</v>
      </c>
      <c r="F205" s="11" t="s">
        <v>1666</v>
      </c>
      <c r="G205" s="8">
        <v>0</v>
      </c>
      <c r="H205" s="8">
        <v>303.81</v>
      </c>
      <c r="I205" s="8">
        <f t="shared" si="11"/>
        <v>1626.04</v>
      </c>
      <c r="J205" s="12"/>
    </row>
    <row r="206" spans="1:10" x14ac:dyDescent="0.25">
      <c r="C206" s="9"/>
      <c r="D206" s="10">
        <v>45688</v>
      </c>
      <c r="E206" t="s">
        <v>1667</v>
      </c>
      <c r="F206" s="11" t="s">
        <v>1668</v>
      </c>
      <c r="G206" s="8">
        <v>130.28</v>
      </c>
      <c r="H206" s="8">
        <v>0</v>
      </c>
      <c r="I206" s="8">
        <f t="shared" si="11"/>
        <v>1756.32</v>
      </c>
      <c r="J206" s="12"/>
    </row>
    <row r="207" spans="1:10" x14ac:dyDescent="0.25">
      <c r="C207" s="9"/>
      <c r="D207" s="10">
        <v>45703</v>
      </c>
      <c r="E207" t="s">
        <v>1524</v>
      </c>
      <c r="F207" s="11" t="s">
        <v>1669</v>
      </c>
      <c r="G207" s="8">
        <v>0</v>
      </c>
      <c r="H207" s="8">
        <v>40.15</v>
      </c>
      <c r="I207" s="8">
        <f t="shared" si="11"/>
        <v>1716.1699999999998</v>
      </c>
      <c r="J207" s="12"/>
    </row>
    <row r="208" spans="1:10" x14ac:dyDescent="0.25">
      <c r="C208" s="9"/>
      <c r="D208" s="10">
        <v>45730</v>
      </c>
      <c r="E208" t="s">
        <v>1670</v>
      </c>
      <c r="F208" s="11" t="s">
        <v>1671</v>
      </c>
      <c r="G208" s="8">
        <v>1509.98</v>
      </c>
      <c r="H208" s="8">
        <v>0</v>
      </c>
      <c r="I208" s="8">
        <f t="shared" si="11"/>
        <v>3226.1499999999996</v>
      </c>
      <c r="J208" s="12"/>
    </row>
    <row r="209" spans="1:10" x14ac:dyDescent="0.25">
      <c r="C209" s="9"/>
      <c r="D209" s="10">
        <v>45733</v>
      </c>
      <c r="E209" t="s">
        <v>1672</v>
      </c>
      <c r="F209" s="11" t="s">
        <v>42</v>
      </c>
      <c r="G209" s="8">
        <v>0</v>
      </c>
      <c r="H209" s="8">
        <v>35.79</v>
      </c>
      <c r="I209" s="8">
        <f t="shared" si="11"/>
        <v>3190.3599999999997</v>
      </c>
      <c r="J209" s="12"/>
    </row>
    <row r="210" spans="1:10" x14ac:dyDescent="0.25">
      <c r="E210" s="4" t="s">
        <v>20</v>
      </c>
      <c r="G210" s="8">
        <f>SUM(G203:G209)</f>
        <v>3570.11</v>
      </c>
      <c r="H210" s="8">
        <f>SUM(H203:H209)</f>
        <v>379.75</v>
      </c>
      <c r="I210" s="8">
        <f>G210-H210</f>
        <v>3190.36</v>
      </c>
    </row>
    <row r="212" spans="1:10" x14ac:dyDescent="0.25">
      <c r="A212" s="5">
        <v>4300075</v>
      </c>
      <c r="B212" s="6" t="s">
        <v>1673</v>
      </c>
      <c r="C212" s="7"/>
      <c r="D212" s="7"/>
      <c r="E212" s="7"/>
      <c r="F212" s="7"/>
      <c r="G212" s="7"/>
      <c r="H212" s="7"/>
      <c r="I212" s="7"/>
      <c r="J212" s="7"/>
    </row>
    <row r="213" spans="1:10" x14ac:dyDescent="0.25">
      <c r="E213" s="4" t="s">
        <v>10</v>
      </c>
      <c r="G213" s="8">
        <v>86.82</v>
      </c>
      <c r="H213" s="8">
        <v>0</v>
      </c>
      <c r="I213" s="8">
        <f>G213-H213</f>
        <v>86.82</v>
      </c>
    </row>
    <row r="214" spans="1:10" x14ac:dyDescent="0.25">
      <c r="C214" s="9"/>
      <c r="D214" s="10">
        <v>45660</v>
      </c>
      <c r="E214" t="s">
        <v>1674</v>
      </c>
      <c r="F214" s="11" t="s">
        <v>42</v>
      </c>
      <c r="G214" s="8">
        <v>0</v>
      </c>
      <c r="H214" s="8">
        <v>86.82</v>
      </c>
      <c r="I214" s="8">
        <f t="shared" ref="I214:I221" si="12">G214-H214+I213</f>
        <v>0</v>
      </c>
      <c r="J214" s="12"/>
    </row>
    <row r="215" spans="1:10" x14ac:dyDescent="0.25">
      <c r="C215" s="9"/>
      <c r="D215" s="10">
        <v>45688</v>
      </c>
      <c r="E215" t="s">
        <v>1675</v>
      </c>
      <c r="F215" s="11" t="s">
        <v>1676</v>
      </c>
      <c r="G215" s="8">
        <v>34.85</v>
      </c>
      <c r="H215" s="8">
        <v>0</v>
      </c>
      <c r="I215" s="8">
        <f t="shared" si="12"/>
        <v>34.85</v>
      </c>
      <c r="J215" s="12"/>
    </row>
    <row r="216" spans="1:10" x14ac:dyDescent="0.25">
      <c r="C216" s="9" t="s">
        <v>124</v>
      </c>
      <c r="D216" s="10">
        <v>45691</v>
      </c>
      <c r="E216" t="s">
        <v>1677</v>
      </c>
      <c r="F216" s="11" t="s">
        <v>1676</v>
      </c>
      <c r="G216" s="8">
        <v>0</v>
      </c>
      <c r="H216" s="8">
        <v>34.85</v>
      </c>
      <c r="I216" s="8">
        <f t="shared" si="12"/>
        <v>0</v>
      </c>
      <c r="J216" s="12"/>
    </row>
    <row r="217" spans="1:10" x14ac:dyDescent="0.25">
      <c r="C217" s="9"/>
      <c r="D217" s="10">
        <v>45702</v>
      </c>
      <c r="E217" t="s">
        <v>1678</v>
      </c>
      <c r="F217" s="11" t="s">
        <v>1679</v>
      </c>
      <c r="G217" s="8">
        <v>44.21</v>
      </c>
      <c r="H217" s="8">
        <v>0</v>
      </c>
      <c r="I217" s="8">
        <f t="shared" si="12"/>
        <v>44.21</v>
      </c>
      <c r="J217" s="12"/>
    </row>
    <row r="218" spans="1:10" x14ac:dyDescent="0.25">
      <c r="C218" s="9"/>
      <c r="D218" s="10">
        <v>45705</v>
      </c>
      <c r="E218" t="s">
        <v>1524</v>
      </c>
      <c r="F218" s="11" t="s">
        <v>1679</v>
      </c>
      <c r="G218" s="8">
        <v>0</v>
      </c>
      <c r="H218" s="8">
        <v>44.21</v>
      </c>
      <c r="I218" s="8">
        <f t="shared" si="12"/>
        <v>0</v>
      </c>
      <c r="J218" s="12"/>
    </row>
    <row r="219" spans="1:10" x14ac:dyDescent="0.25">
      <c r="C219" s="9"/>
      <c r="D219" s="10">
        <v>45730</v>
      </c>
      <c r="E219" t="s">
        <v>1680</v>
      </c>
      <c r="F219" s="11" t="s">
        <v>1681</v>
      </c>
      <c r="G219" s="8">
        <v>65.150000000000006</v>
      </c>
      <c r="H219" s="8">
        <v>0</v>
      </c>
      <c r="I219" s="8">
        <f t="shared" si="12"/>
        <v>65.150000000000006</v>
      </c>
      <c r="J219" s="12"/>
    </row>
    <row r="220" spans="1:10" x14ac:dyDescent="0.25">
      <c r="C220" s="9"/>
      <c r="D220" s="10">
        <v>45733</v>
      </c>
      <c r="E220" t="s">
        <v>1674</v>
      </c>
      <c r="F220" s="11" t="s">
        <v>42</v>
      </c>
      <c r="G220" s="8">
        <v>0</v>
      </c>
      <c r="H220" s="8">
        <v>65.150000000000006</v>
      </c>
      <c r="I220" s="8">
        <f t="shared" si="12"/>
        <v>0</v>
      </c>
      <c r="J220" s="12"/>
    </row>
    <row r="221" spans="1:10" x14ac:dyDescent="0.25">
      <c r="C221" s="9"/>
      <c r="D221" s="10">
        <v>45762</v>
      </c>
      <c r="E221" t="s">
        <v>1674</v>
      </c>
      <c r="F221" s="11" t="s">
        <v>42</v>
      </c>
      <c r="G221" s="8">
        <v>0</v>
      </c>
      <c r="H221" s="8">
        <v>96.52</v>
      </c>
      <c r="I221" s="8">
        <f t="shared" si="12"/>
        <v>-96.52</v>
      </c>
      <c r="J221" s="12"/>
    </row>
    <row r="222" spans="1:10" x14ac:dyDescent="0.25">
      <c r="E222" s="4" t="s">
        <v>20</v>
      </c>
      <c r="G222" s="8">
        <f>SUM(G213:G221)</f>
        <v>231.03</v>
      </c>
      <c r="H222" s="8">
        <f>SUM(H213:H221)</f>
        <v>327.55</v>
      </c>
      <c r="I222" s="8">
        <f>G222-H222</f>
        <v>-96.52000000000001</v>
      </c>
    </row>
    <row r="224" spans="1:10" x14ac:dyDescent="0.25">
      <c r="A224" s="5">
        <v>4300080</v>
      </c>
      <c r="B224" s="6" t="s">
        <v>1682</v>
      </c>
      <c r="C224" s="7"/>
      <c r="D224" s="7"/>
      <c r="E224" s="7"/>
      <c r="F224" s="7"/>
      <c r="G224" s="7"/>
      <c r="H224" s="7"/>
      <c r="I224" s="7"/>
      <c r="J224" s="7"/>
    </row>
    <row r="225" spans="1:10" x14ac:dyDescent="0.25">
      <c r="E225" s="4" t="s">
        <v>10</v>
      </c>
      <c r="G225" s="8">
        <v>108.84</v>
      </c>
      <c r="H225" s="8">
        <v>0</v>
      </c>
      <c r="I225" s="8">
        <f>G225-H225</f>
        <v>108.84</v>
      </c>
    </row>
    <row r="226" spans="1:10" x14ac:dyDescent="0.25">
      <c r="C226" s="9"/>
      <c r="D226" s="10">
        <v>45671</v>
      </c>
      <c r="E226" t="s">
        <v>1683</v>
      </c>
      <c r="F226" s="11" t="s">
        <v>1684</v>
      </c>
      <c r="G226" s="8">
        <v>582.74</v>
      </c>
      <c r="H226" s="8">
        <v>0</v>
      </c>
      <c r="I226" s="8">
        <f t="shared" ref="I226:I237" si="13">G226-H226+I225</f>
        <v>691.58</v>
      </c>
      <c r="J226" s="12"/>
    </row>
    <row r="227" spans="1:10" x14ac:dyDescent="0.25">
      <c r="C227" s="9"/>
      <c r="D227" s="10">
        <v>45672</v>
      </c>
      <c r="E227" t="s">
        <v>1524</v>
      </c>
      <c r="F227" s="11" t="s">
        <v>1685</v>
      </c>
      <c r="G227" s="8">
        <v>0</v>
      </c>
      <c r="H227" s="8">
        <v>108.84</v>
      </c>
      <c r="I227" s="8">
        <f t="shared" si="13"/>
        <v>582.74</v>
      </c>
      <c r="J227" s="12"/>
    </row>
    <row r="228" spans="1:10" x14ac:dyDescent="0.25">
      <c r="C228" s="9"/>
      <c r="D228" s="10">
        <v>45672</v>
      </c>
      <c r="E228" t="s">
        <v>1524</v>
      </c>
      <c r="F228" s="11" t="s">
        <v>1684</v>
      </c>
      <c r="G228" s="8">
        <v>0</v>
      </c>
      <c r="H228" s="8">
        <v>582.74</v>
      </c>
      <c r="I228" s="8">
        <f t="shared" si="13"/>
        <v>0</v>
      </c>
      <c r="J228" s="12"/>
    </row>
    <row r="229" spans="1:10" x14ac:dyDescent="0.25">
      <c r="C229" s="9"/>
      <c r="D229" s="10">
        <v>45688</v>
      </c>
      <c r="E229" t="s">
        <v>1686</v>
      </c>
      <c r="F229" s="11" t="s">
        <v>1687</v>
      </c>
      <c r="G229" s="8">
        <v>336.9</v>
      </c>
      <c r="H229" s="8">
        <v>0</v>
      </c>
      <c r="I229" s="8">
        <f t="shared" si="13"/>
        <v>336.9</v>
      </c>
      <c r="J229" s="12"/>
    </row>
    <row r="230" spans="1:10" x14ac:dyDescent="0.25">
      <c r="C230" s="9"/>
      <c r="D230" s="10">
        <v>45702</v>
      </c>
      <c r="E230" t="s">
        <v>1688</v>
      </c>
      <c r="F230" s="11" t="s">
        <v>1689</v>
      </c>
      <c r="G230" s="8">
        <v>184.9</v>
      </c>
      <c r="H230" s="8">
        <v>0</v>
      </c>
      <c r="I230" s="8">
        <f t="shared" si="13"/>
        <v>521.79999999999995</v>
      </c>
      <c r="J230" s="12"/>
    </row>
    <row r="231" spans="1:10" x14ac:dyDescent="0.25">
      <c r="C231" s="9"/>
      <c r="D231" s="10">
        <v>45705</v>
      </c>
      <c r="E231" t="s">
        <v>1524</v>
      </c>
      <c r="F231" s="11" t="s">
        <v>1687</v>
      </c>
      <c r="G231" s="8">
        <v>0</v>
      </c>
      <c r="H231" s="8">
        <v>336.9</v>
      </c>
      <c r="I231" s="8">
        <f t="shared" si="13"/>
        <v>184.89999999999998</v>
      </c>
      <c r="J231" s="12"/>
    </row>
    <row r="232" spans="1:10" x14ac:dyDescent="0.25">
      <c r="C232" s="9"/>
      <c r="D232" s="10">
        <v>45705</v>
      </c>
      <c r="E232" t="s">
        <v>1524</v>
      </c>
      <c r="F232" s="11" t="s">
        <v>1689</v>
      </c>
      <c r="G232" s="8">
        <v>0</v>
      </c>
      <c r="H232" s="8">
        <v>184.9</v>
      </c>
      <c r="I232" s="8">
        <f t="shared" si="13"/>
        <v>0</v>
      </c>
      <c r="J232" s="12"/>
    </row>
    <row r="233" spans="1:10" x14ac:dyDescent="0.25">
      <c r="C233" s="9"/>
      <c r="D233" s="10">
        <v>45716</v>
      </c>
      <c r="E233" t="s">
        <v>1690</v>
      </c>
      <c r="F233" s="11" t="s">
        <v>1691</v>
      </c>
      <c r="G233" s="8">
        <v>45.01</v>
      </c>
      <c r="H233" s="8">
        <v>0</v>
      </c>
      <c r="I233" s="8">
        <f t="shared" si="13"/>
        <v>45.01</v>
      </c>
      <c r="J233" s="12"/>
    </row>
    <row r="234" spans="1:10" x14ac:dyDescent="0.25">
      <c r="C234" s="9"/>
      <c r="D234" s="10">
        <v>45730</v>
      </c>
      <c r="E234" t="s">
        <v>1692</v>
      </c>
      <c r="F234" s="11" t="s">
        <v>1693</v>
      </c>
      <c r="G234" s="8">
        <v>154.18</v>
      </c>
      <c r="H234" s="8">
        <v>0</v>
      </c>
      <c r="I234" s="8">
        <f t="shared" si="13"/>
        <v>199.19</v>
      </c>
      <c r="J234" s="12"/>
    </row>
    <row r="235" spans="1:10" x14ac:dyDescent="0.25">
      <c r="C235" s="9"/>
      <c r="D235" s="10">
        <v>45733</v>
      </c>
      <c r="E235" t="s">
        <v>1524</v>
      </c>
      <c r="F235" s="11" t="s">
        <v>1691</v>
      </c>
      <c r="G235" s="8">
        <v>0</v>
      </c>
      <c r="H235" s="8">
        <v>45.01</v>
      </c>
      <c r="I235" s="8">
        <f t="shared" si="13"/>
        <v>154.18</v>
      </c>
      <c r="J235" s="12"/>
    </row>
    <row r="236" spans="1:10" x14ac:dyDescent="0.25">
      <c r="C236" s="9"/>
      <c r="D236" s="10">
        <v>45733</v>
      </c>
      <c r="E236" t="s">
        <v>1524</v>
      </c>
      <c r="F236" s="11" t="s">
        <v>1693</v>
      </c>
      <c r="G236" s="8">
        <v>0</v>
      </c>
      <c r="H236" s="8">
        <v>154.18</v>
      </c>
      <c r="I236" s="8">
        <f t="shared" si="13"/>
        <v>0</v>
      </c>
      <c r="J236" s="12"/>
    </row>
    <row r="237" spans="1:10" x14ac:dyDescent="0.25">
      <c r="C237" s="9"/>
      <c r="D237" s="10">
        <v>45762</v>
      </c>
      <c r="E237" t="s">
        <v>1524</v>
      </c>
      <c r="F237" s="11" t="s">
        <v>1694</v>
      </c>
      <c r="G237" s="8">
        <v>0</v>
      </c>
      <c r="H237" s="8">
        <v>210.69</v>
      </c>
      <c r="I237" s="8">
        <f t="shared" si="13"/>
        <v>-210.69</v>
      </c>
      <c r="J237" s="12"/>
    </row>
    <row r="238" spans="1:10" x14ac:dyDescent="0.25">
      <c r="E238" s="4" t="s">
        <v>20</v>
      </c>
      <c r="G238" s="8">
        <f>SUM(G225:G237)</f>
        <v>1412.5700000000002</v>
      </c>
      <c r="H238" s="8">
        <f>SUM(H225:H237)</f>
        <v>1623.2600000000002</v>
      </c>
      <c r="I238" s="8">
        <f>G238-H238</f>
        <v>-210.69000000000005</v>
      </c>
    </row>
    <row r="240" spans="1:10" hidden="1" x14ac:dyDescent="0.25">
      <c r="A240" s="5">
        <v>4300094</v>
      </c>
      <c r="B240" s="6" t="s">
        <v>1695</v>
      </c>
      <c r="C240" s="7"/>
      <c r="D240" s="7"/>
      <c r="E240" s="7"/>
      <c r="F240" s="7"/>
      <c r="G240" s="7"/>
      <c r="H240" s="7"/>
      <c r="I240" s="7"/>
      <c r="J240" s="7"/>
    </row>
    <row r="241" spans="3:10" hidden="1" x14ac:dyDescent="0.25">
      <c r="E241" s="4" t="s">
        <v>10</v>
      </c>
      <c r="G241" s="8">
        <v>240.8</v>
      </c>
      <c r="H241" s="8">
        <v>0</v>
      </c>
      <c r="I241" s="8">
        <f>G241-H241</f>
        <v>240.8</v>
      </c>
    </row>
    <row r="242" spans="3:10" hidden="1" x14ac:dyDescent="0.25">
      <c r="C242" s="9"/>
      <c r="D242" s="10">
        <v>45660</v>
      </c>
      <c r="E242" t="s">
        <v>1696</v>
      </c>
      <c r="F242" s="11" t="s">
        <v>42</v>
      </c>
      <c r="G242" s="8">
        <v>0</v>
      </c>
      <c r="H242" s="8">
        <v>240.8</v>
      </c>
      <c r="I242" s="8">
        <f t="shared" ref="I242:I254" si="14">G242-H242+I241</f>
        <v>0</v>
      </c>
      <c r="J242" s="12"/>
    </row>
    <row r="243" spans="3:10" hidden="1" x14ac:dyDescent="0.25">
      <c r="C243" s="9"/>
      <c r="D243" s="10">
        <v>45671</v>
      </c>
      <c r="E243" t="s">
        <v>1697</v>
      </c>
      <c r="F243" s="11" t="s">
        <v>1698</v>
      </c>
      <c r="G243" s="8">
        <v>156.91999999999999</v>
      </c>
      <c r="H243" s="8">
        <v>0</v>
      </c>
      <c r="I243" s="8">
        <f t="shared" si="14"/>
        <v>156.91999999999999</v>
      </c>
      <c r="J243" s="12"/>
    </row>
    <row r="244" spans="3:10" hidden="1" x14ac:dyDescent="0.25">
      <c r="C244" s="9"/>
      <c r="D244" s="10">
        <v>45672</v>
      </c>
      <c r="E244" t="s">
        <v>1699</v>
      </c>
      <c r="F244" s="11" t="s">
        <v>42</v>
      </c>
      <c r="G244" s="8">
        <v>0</v>
      </c>
      <c r="H244" s="8">
        <v>156.91999999999999</v>
      </c>
      <c r="I244" s="8">
        <f t="shared" si="14"/>
        <v>0</v>
      </c>
      <c r="J244" s="12"/>
    </row>
    <row r="245" spans="3:10" hidden="1" x14ac:dyDescent="0.25">
      <c r="C245" s="9"/>
      <c r="D245" s="10">
        <v>45688</v>
      </c>
      <c r="E245" t="s">
        <v>1700</v>
      </c>
      <c r="F245" s="11" t="s">
        <v>1701</v>
      </c>
      <c r="G245" s="8">
        <v>371.4</v>
      </c>
      <c r="H245" s="8">
        <v>0</v>
      </c>
      <c r="I245" s="8">
        <f t="shared" si="14"/>
        <v>371.4</v>
      </c>
      <c r="J245" s="12"/>
    </row>
    <row r="246" spans="3:10" hidden="1" x14ac:dyDescent="0.25">
      <c r="C246" s="9" t="s">
        <v>124</v>
      </c>
      <c r="D246" s="10">
        <v>45691</v>
      </c>
      <c r="E246" t="s">
        <v>183</v>
      </c>
      <c r="F246" s="11" t="s">
        <v>42</v>
      </c>
      <c r="G246" s="8">
        <v>0</v>
      </c>
      <c r="H246" s="8">
        <v>371.4</v>
      </c>
      <c r="I246" s="8">
        <f t="shared" si="14"/>
        <v>0</v>
      </c>
      <c r="J246" s="12"/>
    </row>
    <row r="247" spans="3:10" hidden="1" x14ac:dyDescent="0.25">
      <c r="C247" s="9"/>
      <c r="D247" s="10">
        <v>45702</v>
      </c>
      <c r="E247" t="s">
        <v>1702</v>
      </c>
      <c r="F247" s="11" t="s">
        <v>1703</v>
      </c>
      <c r="G247" s="8">
        <v>187.55</v>
      </c>
      <c r="H247" s="8">
        <v>0</v>
      </c>
      <c r="I247" s="8">
        <f t="shared" si="14"/>
        <v>187.55</v>
      </c>
      <c r="J247" s="12"/>
    </row>
    <row r="248" spans="3:10" hidden="1" x14ac:dyDescent="0.25">
      <c r="C248" s="9"/>
      <c r="D248" s="10">
        <v>45705</v>
      </c>
      <c r="E248" t="s">
        <v>1704</v>
      </c>
      <c r="F248" s="11" t="s">
        <v>42</v>
      </c>
      <c r="G248" s="8">
        <v>0</v>
      </c>
      <c r="H248" s="8">
        <v>187.55</v>
      </c>
      <c r="I248" s="8">
        <f t="shared" si="14"/>
        <v>0</v>
      </c>
      <c r="J248" s="12"/>
    </row>
    <row r="249" spans="3:10" hidden="1" x14ac:dyDescent="0.25">
      <c r="C249" s="9"/>
      <c r="D249" s="10">
        <v>45716</v>
      </c>
      <c r="E249" t="s">
        <v>1705</v>
      </c>
      <c r="F249" s="11" t="s">
        <v>1706</v>
      </c>
      <c r="G249" s="8">
        <v>221.53</v>
      </c>
      <c r="H249" s="8">
        <v>0</v>
      </c>
      <c r="I249" s="8">
        <f t="shared" si="14"/>
        <v>221.53</v>
      </c>
      <c r="J249" s="12"/>
    </row>
    <row r="250" spans="3:10" hidden="1" x14ac:dyDescent="0.25">
      <c r="C250" s="9"/>
      <c r="D250" s="10">
        <v>45730</v>
      </c>
      <c r="E250" t="s">
        <v>1707</v>
      </c>
      <c r="F250" s="11" t="s">
        <v>1708</v>
      </c>
      <c r="G250" s="8">
        <v>198.83</v>
      </c>
      <c r="H250" s="8">
        <v>0</v>
      </c>
      <c r="I250" s="8">
        <f t="shared" si="14"/>
        <v>420.36</v>
      </c>
      <c r="J250" s="12"/>
    </row>
    <row r="251" spans="3:10" hidden="1" x14ac:dyDescent="0.25">
      <c r="C251" s="9"/>
      <c r="D251" s="10">
        <v>45733</v>
      </c>
      <c r="E251" t="s">
        <v>1709</v>
      </c>
      <c r="F251" s="11" t="s">
        <v>42</v>
      </c>
      <c r="G251" s="8">
        <v>0</v>
      </c>
      <c r="H251" s="8">
        <v>221.53</v>
      </c>
      <c r="I251" s="8">
        <f t="shared" si="14"/>
        <v>198.83</v>
      </c>
      <c r="J251" s="12"/>
    </row>
    <row r="252" spans="3:10" hidden="1" x14ac:dyDescent="0.25">
      <c r="C252" s="9"/>
      <c r="D252" s="10">
        <v>45733</v>
      </c>
      <c r="E252" t="s">
        <v>1709</v>
      </c>
      <c r="F252" s="11" t="s">
        <v>42</v>
      </c>
      <c r="G252" s="8">
        <v>0</v>
      </c>
      <c r="H252" s="8">
        <v>198.83</v>
      </c>
      <c r="I252" s="8">
        <f t="shared" si="14"/>
        <v>0</v>
      </c>
      <c r="J252" s="12"/>
    </row>
    <row r="253" spans="3:10" hidden="1" x14ac:dyDescent="0.25">
      <c r="C253" s="9"/>
      <c r="D253" s="10">
        <v>45747</v>
      </c>
      <c r="E253" t="s">
        <v>1710</v>
      </c>
      <c r="F253" s="11" t="s">
        <v>1711</v>
      </c>
      <c r="G253" s="8">
        <v>216.8</v>
      </c>
      <c r="H253" s="8">
        <v>216.8</v>
      </c>
      <c r="I253" s="8">
        <f t="shared" si="14"/>
        <v>0</v>
      </c>
      <c r="J253" s="12"/>
    </row>
    <row r="254" spans="3:10" hidden="1" x14ac:dyDescent="0.25">
      <c r="C254" s="9"/>
      <c r="D254" s="10">
        <v>45762</v>
      </c>
      <c r="E254" t="s">
        <v>1712</v>
      </c>
      <c r="F254" s="11" t="s">
        <v>42</v>
      </c>
      <c r="G254" s="8">
        <v>0</v>
      </c>
      <c r="H254" s="8">
        <v>100.61</v>
      </c>
      <c r="I254" s="8">
        <f t="shared" si="14"/>
        <v>-100.61</v>
      </c>
      <c r="J254" s="12"/>
    </row>
    <row r="255" spans="3:10" hidden="1" x14ac:dyDescent="0.25">
      <c r="E255" s="4" t="s">
        <v>20</v>
      </c>
      <c r="G255" s="8">
        <f>SUM(G241:G254)</f>
        <v>1593.83</v>
      </c>
      <c r="H255" s="8">
        <f>SUM(H241:H254)</f>
        <v>1694.4399999999998</v>
      </c>
      <c r="I255" s="8">
        <f>G255-H255</f>
        <v>-100.6099999999999</v>
      </c>
    </row>
    <row r="256" spans="3:10" hidden="1" x14ac:dyDescent="0.25"/>
    <row r="257" spans="1:10" x14ac:dyDescent="0.25">
      <c r="A257" s="5">
        <v>4300101</v>
      </c>
      <c r="B257" s="6" t="s">
        <v>1713</v>
      </c>
      <c r="C257" s="7"/>
      <c r="D257" s="7"/>
      <c r="E257" s="7"/>
      <c r="F257" s="7"/>
      <c r="G257" s="7"/>
      <c r="H257" s="7"/>
      <c r="I257" s="7"/>
      <c r="J257" s="7"/>
    </row>
    <row r="258" spans="1:10" x14ac:dyDescent="0.25">
      <c r="E258" s="4" t="s">
        <v>10</v>
      </c>
      <c r="G258" s="8">
        <v>557.79999999999995</v>
      </c>
      <c r="H258" s="8">
        <v>0</v>
      </c>
      <c r="I258" s="8">
        <f>G258-H258</f>
        <v>557.79999999999995</v>
      </c>
    </row>
    <row r="259" spans="1:10" x14ac:dyDescent="0.25">
      <c r="C259" s="9"/>
      <c r="D259" s="10">
        <v>45659</v>
      </c>
      <c r="E259" t="s">
        <v>1524</v>
      </c>
      <c r="F259" s="11" t="s">
        <v>1714</v>
      </c>
      <c r="G259" s="8">
        <v>0</v>
      </c>
      <c r="H259" s="8">
        <v>557.79999999999995</v>
      </c>
      <c r="I259" s="8">
        <f t="shared" ref="I259:I270" si="15">G259-H259+I258</f>
        <v>0</v>
      </c>
      <c r="J259" s="12"/>
    </row>
    <row r="260" spans="1:10" x14ac:dyDescent="0.25">
      <c r="C260" s="9"/>
      <c r="D260" s="10">
        <v>45671</v>
      </c>
      <c r="E260" t="s">
        <v>1715</v>
      </c>
      <c r="F260" s="11" t="s">
        <v>1716</v>
      </c>
      <c r="G260" s="8">
        <v>348.48</v>
      </c>
      <c r="H260" s="8">
        <v>0</v>
      </c>
      <c r="I260" s="8">
        <f t="shared" si="15"/>
        <v>348.48</v>
      </c>
      <c r="J260" s="12"/>
    </row>
    <row r="261" spans="1:10" x14ac:dyDescent="0.25">
      <c r="C261" s="9"/>
      <c r="D261" s="10">
        <v>45672</v>
      </c>
      <c r="E261" t="s">
        <v>1524</v>
      </c>
      <c r="F261" s="11" t="s">
        <v>1716</v>
      </c>
      <c r="G261" s="8">
        <v>0</v>
      </c>
      <c r="H261" s="8">
        <v>348.48</v>
      </c>
      <c r="I261" s="8">
        <f t="shared" si="15"/>
        <v>0</v>
      </c>
      <c r="J261" s="12"/>
    </row>
    <row r="262" spans="1:10" x14ac:dyDescent="0.25">
      <c r="C262" s="9"/>
      <c r="D262" s="10">
        <v>45688</v>
      </c>
      <c r="E262" t="s">
        <v>1717</v>
      </c>
      <c r="F262" s="11" t="s">
        <v>1718</v>
      </c>
      <c r="G262" s="8">
        <v>544.6</v>
      </c>
      <c r="H262" s="8">
        <v>0</v>
      </c>
      <c r="I262" s="8">
        <f t="shared" si="15"/>
        <v>544.6</v>
      </c>
      <c r="J262" s="12"/>
    </row>
    <row r="263" spans="1:10" x14ac:dyDescent="0.25">
      <c r="C263" s="9"/>
      <c r="D263" s="10">
        <v>45691</v>
      </c>
      <c r="E263" t="s">
        <v>1524</v>
      </c>
      <c r="F263" s="11" t="s">
        <v>1718</v>
      </c>
      <c r="G263" s="8">
        <v>0</v>
      </c>
      <c r="H263" s="8">
        <v>544.6</v>
      </c>
      <c r="I263" s="8">
        <f t="shared" si="15"/>
        <v>0</v>
      </c>
      <c r="J263" s="12"/>
    </row>
    <row r="264" spans="1:10" x14ac:dyDescent="0.25">
      <c r="C264" s="9"/>
      <c r="D264" s="10">
        <v>45716</v>
      </c>
      <c r="E264" t="s">
        <v>1719</v>
      </c>
      <c r="F264" s="11" t="s">
        <v>1720</v>
      </c>
      <c r="G264" s="8">
        <v>126.72</v>
      </c>
      <c r="H264" s="8">
        <v>0</v>
      </c>
      <c r="I264" s="8">
        <f t="shared" si="15"/>
        <v>126.72</v>
      </c>
      <c r="J264" s="12"/>
    </row>
    <row r="265" spans="1:10" x14ac:dyDescent="0.25">
      <c r="C265" s="9"/>
      <c r="D265" s="10">
        <v>45720</v>
      </c>
      <c r="E265" t="s">
        <v>1524</v>
      </c>
      <c r="F265" s="11" t="s">
        <v>1720</v>
      </c>
      <c r="G265" s="8">
        <v>0</v>
      </c>
      <c r="H265" s="8">
        <v>126.72</v>
      </c>
      <c r="I265" s="8">
        <f t="shared" si="15"/>
        <v>0</v>
      </c>
      <c r="J265" s="12"/>
    </row>
    <row r="266" spans="1:10" x14ac:dyDescent="0.25">
      <c r="C266" s="9"/>
      <c r="D266" s="10">
        <v>45730</v>
      </c>
      <c r="E266" t="s">
        <v>1721</v>
      </c>
      <c r="F266" s="11" t="s">
        <v>1722</v>
      </c>
      <c r="G266" s="8">
        <v>114.25</v>
      </c>
      <c r="H266" s="8">
        <v>0</v>
      </c>
      <c r="I266" s="8">
        <f t="shared" si="15"/>
        <v>114.25</v>
      </c>
      <c r="J266" s="12"/>
    </row>
    <row r="267" spans="1:10" x14ac:dyDescent="0.25">
      <c r="C267" s="9"/>
      <c r="D267" s="10">
        <v>45733</v>
      </c>
      <c r="E267" t="s">
        <v>1524</v>
      </c>
      <c r="F267" s="11" t="s">
        <v>1722</v>
      </c>
      <c r="G267" s="8">
        <v>0</v>
      </c>
      <c r="H267" s="8">
        <v>114.25</v>
      </c>
      <c r="I267" s="8">
        <f t="shared" si="15"/>
        <v>0</v>
      </c>
      <c r="J267" s="12"/>
    </row>
    <row r="268" spans="1:10" x14ac:dyDescent="0.25">
      <c r="C268" s="9"/>
      <c r="D268" s="10">
        <v>45747</v>
      </c>
      <c r="E268" t="s">
        <v>1723</v>
      </c>
      <c r="F268" s="11" t="s">
        <v>1724</v>
      </c>
      <c r="G268" s="8">
        <v>125.26</v>
      </c>
      <c r="H268" s="8">
        <v>0</v>
      </c>
      <c r="I268" s="8">
        <f t="shared" si="15"/>
        <v>125.26</v>
      </c>
      <c r="J268" s="12"/>
    </row>
    <row r="269" spans="1:10" x14ac:dyDescent="0.25">
      <c r="C269" s="9"/>
      <c r="D269" s="10">
        <v>45748</v>
      </c>
      <c r="E269" t="s">
        <v>1524</v>
      </c>
      <c r="F269" s="11" t="s">
        <v>1724</v>
      </c>
      <c r="G269" s="8">
        <v>0</v>
      </c>
      <c r="H269" s="8">
        <v>125.26</v>
      </c>
      <c r="I269" s="8">
        <f t="shared" si="15"/>
        <v>0</v>
      </c>
      <c r="J269" s="12"/>
    </row>
    <row r="270" spans="1:10" x14ac:dyDescent="0.25">
      <c r="C270" s="9"/>
      <c r="D270" s="10">
        <v>45762</v>
      </c>
      <c r="E270" t="s">
        <v>1524</v>
      </c>
      <c r="F270" s="11" t="s">
        <v>1725</v>
      </c>
      <c r="G270" s="8">
        <v>0</v>
      </c>
      <c r="H270" s="8">
        <v>174.92</v>
      </c>
      <c r="I270" s="8">
        <f t="shared" si="15"/>
        <v>-174.92</v>
      </c>
      <c r="J270" s="12"/>
    </row>
    <row r="271" spans="1:10" x14ac:dyDescent="0.25">
      <c r="E271" s="4" t="s">
        <v>20</v>
      </c>
      <c r="G271" s="8">
        <f>SUM(G258:G270)</f>
        <v>1817.1100000000001</v>
      </c>
      <c r="H271" s="8">
        <f>SUM(H258:H270)</f>
        <v>1992.0300000000002</v>
      </c>
      <c r="I271" s="8">
        <f>G271-H271</f>
        <v>-174.92000000000007</v>
      </c>
    </row>
    <row r="273" spans="1:10" x14ac:dyDescent="0.25">
      <c r="A273" s="5">
        <v>4300102</v>
      </c>
      <c r="B273" s="6" t="s">
        <v>1726</v>
      </c>
      <c r="C273" s="7"/>
      <c r="D273" s="7"/>
      <c r="E273" s="7"/>
      <c r="F273" s="7"/>
      <c r="G273" s="7"/>
      <c r="H273" s="7"/>
      <c r="I273" s="7"/>
      <c r="J273" s="7"/>
    </row>
    <row r="274" spans="1:10" x14ac:dyDescent="0.25">
      <c r="E274" s="4" t="s">
        <v>10</v>
      </c>
      <c r="G274" s="8">
        <v>106.16</v>
      </c>
      <c r="H274" s="8">
        <v>0</v>
      </c>
      <c r="I274" s="8">
        <f>G274-H274</f>
        <v>106.16</v>
      </c>
    </row>
    <row r="275" spans="1:10" x14ac:dyDescent="0.25">
      <c r="C275" s="9"/>
      <c r="D275" s="10">
        <v>45688</v>
      </c>
      <c r="E275" t="s">
        <v>1727</v>
      </c>
      <c r="F275" s="11" t="s">
        <v>1728</v>
      </c>
      <c r="G275" s="8">
        <v>2.48</v>
      </c>
      <c r="H275" s="8">
        <v>0</v>
      </c>
      <c r="I275" s="8">
        <f t="shared" ref="I275:I280" si="16">G275-H275+I274</f>
        <v>108.64</v>
      </c>
      <c r="J275" s="12"/>
    </row>
    <row r="276" spans="1:10" x14ac:dyDescent="0.25">
      <c r="C276" s="9"/>
      <c r="D276" s="10">
        <v>45702</v>
      </c>
      <c r="E276" t="s">
        <v>1729</v>
      </c>
      <c r="F276" s="11" t="s">
        <v>1730</v>
      </c>
      <c r="G276" s="8">
        <v>13.85</v>
      </c>
      <c r="H276" s="8">
        <v>0</v>
      </c>
      <c r="I276" s="8">
        <f t="shared" si="16"/>
        <v>122.49</v>
      </c>
      <c r="J276" s="12"/>
    </row>
    <row r="277" spans="1:10" x14ac:dyDescent="0.25">
      <c r="C277" s="9"/>
      <c r="D277" s="10">
        <v>45713</v>
      </c>
      <c r="E277" t="s">
        <v>1731</v>
      </c>
      <c r="F277" s="11" t="s">
        <v>1731</v>
      </c>
      <c r="G277" s="8">
        <v>0</v>
      </c>
      <c r="H277" s="8">
        <v>105.37</v>
      </c>
      <c r="I277" s="8">
        <f t="shared" si="16"/>
        <v>17.11999999999999</v>
      </c>
      <c r="J277" s="12"/>
    </row>
    <row r="278" spans="1:10" x14ac:dyDescent="0.25">
      <c r="C278" s="9"/>
      <c r="D278" s="10">
        <v>45716</v>
      </c>
      <c r="E278" t="s">
        <v>1732</v>
      </c>
      <c r="F278" s="11" t="s">
        <v>1733</v>
      </c>
      <c r="G278" s="8">
        <v>49.59</v>
      </c>
      <c r="H278" s="8">
        <v>0</v>
      </c>
      <c r="I278" s="8">
        <f t="shared" si="16"/>
        <v>66.709999999999994</v>
      </c>
      <c r="J278" s="12"/>
    </row>
    <row r="279" spans="1:10" x14ac:dyDescent="0.25">
      <c r="C279" s="9"/>
      <c r="D279" s="10">
        <v>45716</v>
      </c>
      <c r="E279" t="s">
        <v>1734</v>
      </c>
      <c r="F279" s="11" t="s">
        <v>1735</v>
      </c>
      <c r="G279" s="8">
        <v>195.52</v>
      </c>
      <c r="H279" s="8">
        <v>0</v>
      </c>
      <c r="I279" s="8">
        <f t="shared" si="16"/>
        <v>262.23</v>
      </c>
      <c r="J279" s="12"/>
    </row>
    <row r="280" spans="1:10" x14ac:dyDescent="0.25">
      <c r="C280" s="9"/>
      <c r="D280" s="10">
        <v>45741</v>
      </c>
      <c r="E280" t="s">
        <v>1736</v>
      </c>
      <c r="F280" s="11" t="s">
        <v>1736</v>
      </c>
      <c r="G280" s="8">
        <v>0</v>
      </c>
      <c r="H280" s="8">
        <v>0.79</v>
      </c>
      <c r="I280" s="8">
        <f t="shared" si="16"/>
        <v>261.44</v>
      </c>
      <c r="J280" s="12"/>
    </row>
    <row r="281" spans="1:10" x14ac:dyDescent="0.25">
      <c r="E281" s="4" t="s">
        <v>20</v>
      </c>
      <c r="G281" s="8">
        <f>SUM(G274:G280)</f>
        <v>367.6</v>
      </c>
      <c r="H281" s="8">
        <f>SUM(H274:H280)</f>
        <v>106.16000000000001</v>
      </c>
      <c r="I281" s="8">
        <f>G281-H281</f>
        <v>261.44</v>
      </c>
    </row>
    <row r="283" spans="1:10" x14ac:dyDescent="0.25">
      <c r="A283" s="5">
        <v>4300104</v>
      </c>
      <c r="B283" s="6" t="s">
        <v>1737</v>
      </c>
      <c r="C283" s="7"/>
      <c r="D283" s="7"/>
      <c r="E283" s="7"/>
      <c r="F283" s="7"/>
      <c r="G283" s="7"/>
      <c r="H283" s="7"/>
      <c r="I283" s="7"/>
      <c r="J283" s="7"/>
    </row>
    <row r="284" spans="1:10" x14ac:dyDescent="0.25">
      <c r="E284" s="4" t="s">
        <v>10</v>
      </c>
      <c r="G284" s="8">
        <v>64.599999999999994</v>
      </c>
      <c r="H284" s="8">
        <v>0</v>
      </c>
      <c r="I284" s="8">
        <f>G284-H284</f>
        <v>64.599999999999994</v>
      </c>
    </row>
    <row r="285" spans="1:10" x14ac:dyDescent="0.25">
      <c r="C285" s="9"/>
      <c r="D285" s="10">
        <v>45660</v>
      </c>
      <c r="E285" t="s">
        <v>1738</v>
      </c>
      <c r="F285" s="11" t="s">
        <v>42</v>
      </c>
      <c r="G285" s="8">
        <v>0</v>
      </c>
      <c r="H285" s="8">
        <v>64.599999999999994</v>
      </c>
      <c r="I285" s="8">
        <f t="shared" ref="I285:I296" si="17">G285-H285+I284</f>
        <v>0</v>
      </c>
      <c r="J285" s="12"/>
    </row>
    <row r="286" spans="1:10" x14ac:dyDescent="0.25">
      <c r="C286" s="9"/>
      <c r="D286" s="10">
        <v>45671</v>
      </c>
      <c r="E286" t="s">
        <v>1739</v>
      </c>
      <c r="F286" s="11" t="s">
        <v>1740</v>
      </c>
      <c r="G286" s="8">
        <v>140.01</v>
      </c>
      <c r="H286" s="8">
        <v>0</v>
      </c>
      <c r="I286" s="8">
        <f t="shared" si="17"/>
        <v>140.01</v>
      </c>
      <c r="J286" s="12"/>
    </row>
    <row r="287" spans="1:10" x14ac:dyDescent="0.25">
      <c r="C287" s="9"/>
      <c r="D287" s="10">
        <v>45672</v>
      </c>
      <c r="E287" t="s">
        <v>1524</v>
      </c>
      <c r="F287" s="11" t="s">
        <v>1740</v>
      </c>
      <c r="G287" s="8">
        <v>0</v>
      </c>
      <c r="H287" s="8">
        <v>140.01</v>
      </c>
      <c r="I287" s="8">
        <f t="shared" si="17"/>
        <v>0</v>
      </c>
      <c r="J287" s="12"/>
    </row>
    <row r="288" spans="1:10" x14ac:dyDescent="0.25">
      <c r="C288" s="9"/>
      <c r="D288" s="10">
        <v>45688</v>
      </c>
      <c r="E288" t="s">
        <v>1741</v>
      </c>
      <c r="F288" s="11" t="s">
        <v>1742</v>
      </c>
      <c r="G288" s="8">
        <v>159.94</v>
      </c>
      <c r="H288" s="8">
        <v>0</v>
      </c>
      <c r="I288" s="8">
        <f t="shared" si="17"/>
        <v>159.94</v>
      </c>
      <c r="J288" s="12"/>
    </row>
    <row r="289" spans="1:10" x14ac:dyDescent="0.25">
      <c r="C289" s="9" t="s">
        <v>124</v>
      </c>
      <c r="D289" s="10">
        <v>45691</v>
      </c>
      <c r="E289" t="s">
        <v>1743</v>
      </c>
      <c r="F289" s="11" t="s">
        <v>1742</v>
      </c>
      <c r="G289" s="8">
        <v>0</v>
      </c>
      <c r="H289" s="8">
        <v>159.94</v>
      </c>
      <c r="I289" s="8">
        <f t="shared" si="17"/>
        <v>0</v>
      </c>
      <c r="J289" s="12"/>
    </row>
    <row r="290" spans="1:10" x14ac:dyDescent="0.25">
      <c r="C290" s="9"/>
      <c r="D290" s="10">
        <v>45716</v>
      </c>
      <c r="E290" t="s">
        <v>1744</v>
      </c>
      <c r="F290" s="11" t="s">
        <v>1745</v>
      </c>
      <c r="G290" s="8">
        <v>158.80000000000001</v>
      </c>
      <c r="H290" s="8">
        <v>0</v>
      </c>
      <c r="I290" s="8">
        <f t="shared" si="17"/>
        <v>158.80000000000001</v>
      </c>
      <c r="J290" s="12"/>
    </row>
    <row r="291" spans="1:10" x14ac:dyDescent="0.25">
      <c r="C291" s="9"/>
      <c r="D291" s="10">
        <v>45730</v>
      </c>
      <c r="E291" t="s">
        <v>1746</v>
      </c>
      <c r="F291" s="11" t="s">
        <v>1747</v>
      </c>
      <c r="G291" s="8">
        <v>144.22999999999999</v>
      </c>
      <c r="H291" s="8">
        <v>0</v>
      </c>
      <c r="I291" s="8">
        <f t="shared" si="17"/>
        <v>303.02999999999997</v>
      </c>
      <c r="J291" s="12"/>
    </row>
    <row r="292" spans="1:10" x14ac:dyDescent="0.25">
      <c r="C292" s="9"/>
      <c r="D292" s="10">
        <v>45733</v>
      </c>
      <c r="E292" t="s">
        <v>1738</v>
      </c>
      <c r="F292" s="11" t="s">
        <v>42</v>
      </c>
      <c r="G292" s="8">
        <v>0</v>
      </c>
      <c r="H292" s="8">
        <v>158.80000000000001</v>
      </c>
      <c r="I292" s="8">
        <f t="shared" si="17"/>
        <v>144.22999999999996</v>
      </c>
      <c r="J292" s="12"/>
    </row>
    <row r="293" spans="1:10" x14ac:dyDescent="0.25">
      <c r="C293" s="9"/>
      <c r="D293" s="10">
        <v>45733</v>
      </c>
      <c r="E293" t="s">
        <v>1524</v>
      </c>
      <c r="F293" s="11" t="s">
        <v>1747</v>
      </c>
      <c r="G293" s="8">
        <v>0</v>
      </c>
      <c r="H293" s="8">
        <v>144.22999999999999</v>
      </c>
      <c r="I293" s="8">
        <f t="shared" si="17"/>
        <v>0</v>
      </c>
      <c r="J293" s="12"/>
    </row>
    <row r="294" spans="1:10" x14ac:dyDescent="0.25">
      <c r="C294" s="9"/>
      <c r="D294" s="10">
        <v>45747</v>
      </c>
      <c r="E294" t="s">
        <v>1748</v>
      </c>
      <c r="F294" s="11" t="s">
        <v>1749</v>
      </c>
      <c r="G294" s="8">
        <v>372.74</v>
      </c>
      <c r="H294" s="8">
        <v>0</v>
      </c>
      <c r="I294" s="8">
        <f t="shared" si="17"/>
        <v>372.74</v>
      </c>
      <c r="J294" s="12"/>
    </row>
    <row r="295" spans="1:10" x14ac:dyDescent="0.25">
      <c r="C295" s="9"/>
      <c r="D295" s="10">
        <v>45748</v>
      </c>
      <c r="E295" t="s">
        <v>1524</v>
      </c>
      <c r="F295" s="11" t="s">
        <v>1749</v>
      </c>
      <c r="G295" s="8">
        <v>0</v>
      </c>
      <c r="H295" s="8">
        <v>372.74</v>
      </c>
      <c r="I295" s="8">
        <f t="shared" si="17"/>
        <v>0</v>
      </c>
      <c r="J295" s="12"/>
    </row>
    <row r="296" spans="1:10" x14ac:dyDescent="0.25">
      <c r="C296" s="9"/>
      <c r="D296" s="10">
        <v>45762</v>
      </c>
      <c r="E296" t="s">
        <v>1738</v>
      </c>
      <c r="F296" s="11" t="s">
        <v>42</v>
      </c>
      <c r="G296" s="8">
        <v>0</v>
      </c>
      <c r="H296" s="8">
        <v>212.17</v>
      </c>
      <c r="I296" s="8">
        <f t="shared" si="17"/>
        <v>-212.17</v>
      </c>
      <c r="J296" s="12"/>
    </row>
    <row r="297" spans="1:10" x14ac:dyDescent="0.25">
      <c r="E297" s="4" t="s">
        <v>20</v>
      </c>
      <c r="G297" s="8">
        <f>SUM(G284:G296)</f>
        <v>1040.32</v>
      </c>
      <c r="H297" s="8">
        <f>SUM(H284:H296)</f>
        <v>1252.49</v>
      </c>
      <c r="I297" s="8">
        <f>G297-H297</f>
        <v>-212.17000000000007</v>
      </c>
    </row>
    <row r="299" spans="1:10" x14ac:dyDescent="0.25">
      <c r="A299" s="5">
        <v>4300106</v>
      </c>
      <c r="B299" s="6" t="s">
        <v>1750</v>
      </c>
      <c r="C299" s="7"/>
      <c r="D299" s="7"/>
      <c r="E299" s="7"/>
      <c r="F299" s="7"/>
      <c r="G299" s="7"/>
      <c r="H299" s="7"/>
      <c r="I299" s="7"/>
      <c r="J299" s="7"/>
    </row>
    <row r="300" spans="1:10" x14ac:dyDescent="0.25">
      <c r="E300" s="4" t="s">
        <v>10</v>
      </c>
      <c r="G300" s="8">
        <v>37.56</v>
      </c>
      <c r="H300" s="8">
        <v>0</v>
      </c>
      <c r="I300" s="8">
        <f>G300-H300</f>
        <v>37.56</v>
      </c>
    </row>
    <row r="301" spans="1:10" x14ac:dyDescent="0.25">
      <c r="C301" s="9"/>
      <c r="D301" s="10">
        <v>45660</v>
      </c>
      <c r="E301" t="s">
        <v>1524</v>
      </c>
      <c r="F301" s="11" t="s">
        <v>1751</v>
      </c>
      <c r="G301" s="8">
        <v>0</v>
      </c>
      <c r="H301" s="8">
        <v>37.56</v>
      </c>
      <c r="I301" s="8">
        <f t="shared" ref="I301:I312" si="18">G301-H301+I300</f>
        <v>0</v>
      </c>
      <c r="J301" s="12"/>
    </row>
    <row r="302" spans="1:10" x14ac:dyDescent="0.25">
      <c r="C302" s="9"/>
      <c r="D302" s="10">
        <v>45688</v>
      </c>
      <c r="E302" t="s">
        <v>1752</v>
      </c>
      <c r="F302" s="11" t="s">
        <v>1753</v>
      </c>
      <c r="G302" s="8">
        <v>723.07</v>
      </c>
      <c r="H302" s="8">
        <v>0</v>
      </c>
      <c r="I302" s="8">
        <f t="shared" si="18"/>
        <v>723.07</v>
      </c>
      <c r="J302" s="12"/>
    </row>
    <row r="303" spans="1:10" x14ac:dyDescent="0.25">
      <c r="C303" s="9" t="s">
        <v>124</v>
      </c>
      <c r="D303" s="10">
        <v>45691</v>
      </c>
      <c r="E303" t="s">
        <v>1754</v>
      </c>
      <c r="F303" s="11" t="s">
        <v>1753</v>
      </c>
      <c r="G303" s="8">
        <v>0</v>
      </c>
      <c r="H303" s="8">
        <v>723.07</v>
      </c>
      <c r="I303" s="8">
        <f t="shared" si="18"/>
        <v>0</v>
      </c>
      <c r="J303" s="12"/>
    </row>
    <row r="304" spans="1:10" x14ac:dyDescent="0.25">
      <c r="C304" s="9"/>
      <c r="D304" s="10">
        <v>45702</v>
      </c>
      <c r="E304" t="s">
        <v>1755</v>
      </c>
      <c r="F304" s="11" t="s">
        <v>1756</v>
      </c>
      <c r="G304" s="8">
        <v>149.76</v>
      </c>
      <c r="H304" s="8">
        <v>0</v>
      </c>
      <c r="I304" s="8">
        <f t="shared" si="18"/>
        <v>149.76</v>
      </c>
      <c r="J304" s="12"/>
    </row>
    <row r="305" spans="1:10" x14ac:dyDescent="0.25">
      <c r="C305" s="9"/>
      <c r="D305" s="10">
        <v>45705</v>
      </c>
      <c r="E305" t="s">
        <v>1524</v>
      </c>
      <c r="F305" s="11" t="s">
        <v>1756</v>
      </c>
      <c r="G305" s="8">
        <v>0</v>
      </c>
      <c r="H305" s="8">
        <v>149.76</v>
      </c>
      <c r="I305" s="8">
        <f t="shared" si="18"/>
        <v>0</v>
      </c>
      <c r="J305" s="12"/>
    </row>
    <row r="306" spans="1:10" x14ac:dyDescent="0.25">
      <c r="C306" s="9"/>
      <c r="D306" s="10">
        <v>45716</v>
      </c>
      <c r="E306" t="s">
        <v>1757</v>
      </c>
      <c r="F306" s="11" t="s">
        <v>1758</v>
      </c>
      <c r="G306" s="8">
        <v>112.19</v>
      </c>
      <c r="H306" s="8">
        <v>0</v>
      </c>
      <c r="I306" s="8">
        <f t="shared" si="18"/>
        <v>112.19</v>
      </c>
      <c r="J306" s="12"/>
    </row>
    <row r="307" spans="1:10" x14ac:dyDescent="0.25">
      <c r="C307" s="9"/>
      <c r="D307" s="10">
        <v>45720</v>
      </c>
      <c r="E307" t="s">
        <v>1524</v>
      </c>
      <c r="F307" s="11" t="s">
        <v>1758</v>
      </c>
      <c r="G307" s="8">
        <v>0</v>
      </c>
      <c r="H307" s="8">
        <v>112.19</v>
      </c>
      <c r="I307" s="8">
        <f t="shared" si="18"/>
        <v>0</v>
      </c>
      <c r="J307" s="12"/>
    </row>
    <row r="308" spans="1:10" x14ac:dyDescent="0.25">
      <c r="C308" s="9"/>
      <c r="D308" s="10">
        <v>45730</v>
      </c>
      <c r="E308" t="s">
        <v>1759</v>
      </c>
      <c r="F308" s="11" t="s">
        <v>1760</v>
      </c>
      <c r="G308" s="8">
        <v>472.54</v>
      </c>
      <c r="H308" s="8">
        <v>0</v>
      </c>
      <c r="I308" s="8">
        <f t="shared" si="18"/>
        <v>472.54</v>
      </c>
      <c r="J308" s="12"/>
    </row>
    <row r="309" spans="1:10" x14ac:dyDescent="0.25">
      <c r="C309" s="9"/>
      <c r="D309" s="10">
        <v>45733</v>
      </c>
      <c r="E309" t="s">
        <v>1524</v>
      </c>
      <c r="F309" s="11" t="s">
        <v>1760</v>
      </c>
      <c r="G309" s="8">
        <v>0</v>
      </c>
      <c r="H309" s="8">
        <v>472.54</v>
      </c>
      <c r="I309" s="8">
        <f t="shared" si="18"/>
        <v>0</v>
      </c>
      <c r="J309" s="12"/>
    </row>
    <row r="310" spans="1:10" x14ac:dyDescent="0.25">
      <c r="C310" s="9"/>
      <c r="D310" s="10">
        <v>45747</v>
      </c>
      <c r="E310" t="s">
        <v>1761</v>
      </c>
      <c r="F310" s="11" t="s">
        <v>1762</v>
      </c>
      <c r="G310" s="8">
        <v>778.59</v>
      </c>
      <c r="H310" s="8">
        <v>0</v>
      </c>
      <c r="I310" s="8">
        <f t="shared" si="18"/>
        <v>778.59</v>
      </c>
      <c r="J310" s="12"/>
    </row>
    <row r="311" spans="1:10" x14ac:dyDescent="0.25">
      <c r="C311" s="9"/>
      <c r="D311" s="10">
        <v>45748</v>
      </c>
      <c r="E311" t="s">
        <v>1524</v>
      </c>
      <c r="F311" s="11" t="s">
        <v>1762</v>
      </c>
      <c r="G311" s="8">
        <v>0</v>
      </c>
      <c r="H311" s="8">
        <v>778.59</v>
      </c>
      <c r="I311" s="8">
        <f t="shared" si="18"/>
        <v>0</v>
      </c>
      <c r="J311" s="12"/>
    </row>
    <row r="312" spans="1:10" x14ac:dyDescent="0.25">
      <c r="C312" s="9"/>
      <c r="D312" s="10">
        <v>45762</v>
      </c>
      <c r="E312" t="s">
        <v>1763</v>
      </c>
      <c r="F312" s="11" t="s">
        <v>42</v>
      </c>
      <c r="G312" s="8">
        <v>0</v>
      </c>
      <c r="H312" s="8">
        <v>475.78</v>
      </c>
      <c r="I312" s="8">
        <f t="shared" si="18"/>
        <v>-475.78</v>
      </c>
      <c r="J312" s="12"/>
    </row>
    <row r="313" spans="1:10" x14ac:dyDescent="0.25">
      <c r="E313" s="4" t="s">
        <v>20</v>
      </c>
      <c r="G313" s="8">
        <f>SUM(G300:G312)</f>
        <v>2273.71</v>
      </c>
      <c r="H313" s="8">
        <f>SUM(H300:H312)</f>
        <v>2749.49</v>
      </c>
      <c r="I313" s="8">
        <f>G313-H313</f>
        <v>-475.77999999999975</v>
      </c>
    </row>
    <row r="315" spans="1:10" x14ac:dyDescent="0.25">
      <c r="A315" s="5">
        <v>4300108</v>
      </c>
      <c r="B315" s="6" t="s">
        <v>1764</v>
      </c>
      <c r="C315" s="7"/>
      <c r="D315" s="7"/>
      <c r="E315" s="7"/>
      <c r="F315" s="7"/>
      <c r="G315" s="7"/>
      <c r="H315" s="7"/>
      <c r="I315" s="7"/>
      <c r="J315" s="7"/>
    </row>
    <row r="316" spans="1:10" x14ac:dyDescent="0.25">
      <c r="E316" s="4" t="s">
        <v>10</v>
      </c>
      <c r="G316" s="8">
        <v>178.08</v>
      </c>
      <c r="H316" s="8">
        <v>0</v>
      </c>
      <c r="I316" s="8">
        <f>G316-H316</f>
        <v>178.08</v>
      </c>
    </row>
    <row r="317" spans="1:10" x14ac:dyDescent="0.25">
      <c r="C317" s="9"/>
      <c r="D317" s="10">
        <v>45673</v>
      </c>
      <c r="E317" t="s">
        <v>1765</v>
      </c>
      <c r="F317" s="11" t="s">
        <v>1766</v>
      </c>
      <c r="G317" s="8">
        <v>0</v>
      </c>
      <c r="H317" s="8">
        <v>178.08</v>
      </c>
      <c r="I317" s="8">
        <f>G317-H317+I316</f>
        <v>0</v>
      </c>
      <c r="J317" s="12"/>
    </row>
    <row r="318" spans="1:10" x14ac:dyDescent="0.25">
      <c r="C318" s="9"/>
      <c r="D318" s="10">
        <v>45702</v>
      </c>
      <c r="E318" t="s">
        <v>1767</v>
      </c>
      <c r="F318" s="11" t="s">
        <v>1768</v>
      </c>
      <c r="G318" s="8">
        <v>97.38</v>
      </c>
      <c r="H318" s="8">
        <v>0</v>
      </c>
      <c r="I318" s="8">
        <f>G318-H318+I317</f>
        <v>97.38</v>
      </c>
      <c r="J318" s="12"/>
    </row>
    <row r="319" spans="1:10" x14ac:dyDescent="0.25">
      <c r="C319" s="9"/>
      <c r="D319" s="10">
        <v>45747</v>
      </c>
      <c r="E319" t="s">
        <v>1769</v>
      </c>
      <c r="F319" s="11" t="s">
        <v>1770</v>
      </c>
      <c r="G319" s="8">
        <v>122.42</v>
      </c>
      <c r="H319" s="8">
        <v>0</v>
      </c>
      <c r="I319" s="8">
        <f>G319-H319+I318</f>
        <v>219.8</v>
      </c>
      <c r="J319" s="12"/>
    </row>
    <row r="320" spans="1:10" x14ac:dyDescent="0.25">
      <c r="E320" s="4" t="s">
        <v>20</v>
      </c>
      <c r="G320" s="8">
        <f>SUM(G316:G319)</f>
        <v>397.88000000000005</v>
      </c>
      <c r="H320" s="8">
        <f>SUM(H316:H319)</f>
        <v>178.08</v>
      </c>
      <c r="I320" s="8">
        <f>G320-H320</f>
        <v>219.80000000000004</v>
      </c>
    </row>
    <row r="322" spans="1:10" x14ac:dyDescent="0.25">
      <c r="A322" s="5">
        <v>4300115</v>
      </c>
      <c r="B322" s="6" t="s">
        <v>1771</v>
      </c>
      <c r="C322" s="7"/>
      <c r="D322" s="7"/>
      <c r="E322" s="7"/>
      <c r="F322" s="7"/>
      <c r="G322" s="7"/>
      <c r="H322" s="7"/>
      <c r="I322" s="7"/>
      <c r="J322" s="7"/>
    </row>
    <row r="323" spans="1:10" x14ac:dyDescent="0.25">
      <c r="E323" s="4" t="s">
        <v>10</v>
      </c>
      <c r="G323" s="8">
        <v>3956.49</v>
      </c>
      <c r="H323" s="8">
        <v>0</v>
      </c>
      <c r="I323" s="8">
        <f>G323-H323</f>
        <v>3956.49</v>
      </c>
    </row>
    <row r="324" spans="1:10" x14ac:dyDescent="0.25">
      <c r="C324" s="9"/>
      <c r="D324" s="10">
        <v>45667</v>
      </c>
      <c r="E324" t="s">
        <v>1772</v>
      </c>
      <c r="F324" s="11" t="s">
        <v>1773</v>
      </c>
      <c r="G324" s="8">
        <v>0</v>
      </c>
      <c r="H324" s="8">
        <v>1457.8</v>
      </c>
      <c r="I324" s="8">
        <f t="shared" ref="I324:I336" si="19">G324-H324+I323</f>
        <v>2498.6899999999996</v>
      </c>
      <c r="J324" s="12"/>
    </row>
    <row r="325" spans="1:10" x14ac:dyDescent="0.25">
      <c r="C325" s="9"/>
      <c r="D325" s="10">
        <v>45667</v>
      </c>
      <c r="E325" t="s">
        <v>1772</v>
      </c>
      <c r="F325" s="11" t="s">
        <v>1774</v>
      </c>
      <c r="G325" s="8">
        <v>0</v>
      </c>
      <c r="H325" s="8">
        <v>1071.71</v>
      </c>
      <c r="I325" s="8">
        <f t="shared" si="19"/>
        <v>1426.9799999999996</v>
      </c>
      <c r="J325" s="12"/>
    </row>
    <row r="326" spans="1:10" x14ac:dyDescent="0.25">
      <c r="C326" s="9"/>
      <c r="D326" s="10">
        <v>45667</v>
      </c>
      <c r="E326" t="s">
        <v>1772</v>
      </c>
      <c r="F326" s="11" t="s">
        <v>1775</v>
      </c>
      <c r="G326" s="8">
        <v>0</v>
      </c>
      <c r="H326" s="8">
        <v>148.33000000000001</v>
      </c>
      <c r="I326" s="8">
        <f t="shared" si="19"/>
        <v>1278.6499999999996</v>
      </c>
      <c r="J326" s="12"/>
    </row>
    <row r="327" spans="1:10" x14ac:dyDescent="0.25">
      <c r="C327" s="9"/>
      <c r="D327" s="10">
        <v>45671</v>
      </c>
      <c r="E327" t="s">
        <v>1776</v>
      </c>
      <c r="F327" s="11" t="s">
        <v>1777</v>
      </c>
      <c r="G327" s="8">
        <v>407.77</v>
      </c>
      <c r="H327" s="8">
        <v>0</v>
      </c>
      <c r="I327" s="8">
        <f t="shared" si="19"/>
        <v>1686.4199999999996</v>
      </c>
      <c r="J327" s="12"/>
    </row>
    <row r="328" spans="1:10" x14ac:dyDescent="0.25">
      <c r="C328" s="9"/>
      <c r="D328" s="10">
        <v>45688</v>
      </c>
      <c r="E328" t="s">
        <v>1778</v>
      </c>
      <c r="F328" s="11" t="s">
        <v>1779</v>
      </c>
      <c r="G328" s="8">
        <v>74.19</v>
      </c>
      <c r="H328" s="8">
        <v>0</v>
      </c>
      <c r="I328" s="8">
        <f t="shared" si="19"/>
        <v>1760.6099999999997</v>
      </c>
      <c r="J328" s="12"/>
    </row>
    <row r="329" spans="1:10" x14ac:dyDescent="0.25">
      <c r="C329" s="9"/>
      <c r="D329" s="10">
        <v>45699</v>
      </c>
      <c r="E329" t="s">
        <v>1524</v>
      </c>
      <c r="F329" s="11" t="s">
        <v>1780</v>
      </c>
      <c r="G329" s="8">
        <v>0</v>
      </c>
      <c r="H329" s="8">
        <v>188.53</v>
      </c>
      <c r="I329" s="8">
        <f t="shared" si="19"/>
        <v>1572.0799999999997</v>
      </c>
      <c r="J329" s="12"/>
    </row>
    <row r="330" spans="1:10" x14ac:dyDescent="0.25">
      <c r="C330" s="9"/>
      <c r="D330" s="10">
        <v>45699</v>
      </c>
      <c r="E330" t="s">
        <v>1524</v>
      </c>
      <c r="F330" s="11" t="s">
        <v>1781</v>
      </c>
      <c r="G330" s="8">
        <v>0</v>
      </c>
      <c r="H330" s="8">
        <v>447.22</v>
      </c>
      <c r="I330" s="8">
        <f t="shared" si="19"/>
        <v>1124.8599999999997</v>
      </c>
      <c r="J330" s="12"/>
    </row>
    <row r="331" spans="1:10" x14ac:dyDescent="0.25">
      <c r="C331" s="9"/>
      <c r="D331" s="10">
        <v>45702</v>
      </c>
      <c r="E331" t="s">
        <v>1782</v>
      </c>
      <c r="F331" s="11" t="s">
        <v>1783</v>
      </c>
      <c r="G331" s="8">
        <v>298.45999999999998</v>
      </c>
      <c r="H331" s="8">
        <v>0</v>
      </c>
      <c r="I331" s="8">
        <f t="shared" si="19"/>
        <v>1423.3199999999997</v>
      </c>
      <c r="J331" s="12"/>
    </row>
    <row r="332" spans="1:10" x14ac:dyDescent="0.25">
      <c r="C332" s="9"/>
      <c r="D332" s="10">
        <v>45716</v>
      </c>
      <c r="E332" t="s">
        <v>1784</v>
      </c>
      <c r="F332" s="11" t="s">
        <v>1785</v>
      </c>
      <c r="G332" s="8">
        <v>512.99</v>
      </c>
      <c r="H332" s="8">
        <v>0</v>
      </c>
      <c r="I332" s="8">
        <f t="shared" si="19"/>
        <v>1936.3099999999997</v>
      </c>
      <c r="J332" s="12"/>
    </row>
    <row r="333" spans="1:10" x14ac:dyDescent="0.25">
      <c r="C333" s="9"/>
      <c r="D333" s="10">
        <v>45726</v>
      </c>
      <c r="E333" t="s">
        <v>1524</v>
      </c>
      <c r="F333" s="11" t="s">
        <v>1786</v>
      </c>
      <c r="G333" s="8">
        <v>0</v>
      </c>
      <c r="H333" s="8">
        <v>263.18</v>
      </c>
      <c r="I333" s="8">
        <f t="shared" si="19"/>
        <v>1673.1299999999997</v>
      </c>
      <c r="J333" s="12"/>
    </row>
    <row r="334" spans="1:10" x14ac:dyDescent="0.25">
      <c r="C334" s="9"/>
      <c r="D334" s="10">
        <v>45730</v>
      </c>
      <c r="E334" t="s">
        <v>1787</v>
      </c>
      <c r="F334" s="11" t="s">
        <v>1788</v>
      </c>
      <c r="G334" s="8">
        <v>137.9</v>
      </c>
      <c r="H334" s="8">
        <v>0</v>
      </c>
      <c r="I334" s="8">
        <f t="shared" si="19"/>
        <v>1811.0299999999997</v>
      </c>
      <c r="J334" s="12"/>
    </row>
    <row r="335" spans="1:10" x14ac:dyDescent="0.25">
      <c r="C335" s="9"/>
      <c r="D335" s="10">
        <v>45757</v>
      </c>
      <c r="E335" t="s">
        <v>1524</v>
      </c>
      <c r="F335" s="11" t="s">
        <v>1789</v>
      </c>
      <c r="G335" s="8">
        <v>0</v>
      </c>
      <c r="H335" s="8">
        <v>75.5</v>
      </c>
      <c r="I335" s="8">
        <f t="shared" si="19"/>
        <v>1735.5299999999997</v>
      </c>
      <c r="J335" s="12"/>
    </row>
    <row r="336" spans="1:10" x14ac:dyDescent="0.25">
      <c r="C336" s="9"/>
      <c r="D336" s="10">
        <v>45757</v>
      </c>
      <c r="E336" t="s">
        <v>1524</v>
      </c>
      <c r="F336" s="11" t="s">
        <v>1790</v>
      </c>
      <c r="G336" s="8">
        <v>0</v>
      </c>
      <c r="H336" s="8">
        <v>304.20999999999998</v>
      </c>
      <c r="I336" s="8">
        <f t="shared" si="19"/>
        <v>1431.3199999999997</v>
      </c>
      <c r="J336" s="12"/>
    </row>
    <row r="337" spans="1:10" x14ac:dyDescent="0.25">
      <c r="E337" s="4" t="s">
        <v>20</v>
      </c>
      <c r="G337" s="8">
        <f>SUM(G323:G336)</f>
        <v>5387.7999999999993</v>
      </c>
      <c r="H337" s="8">
        <f>SUM(H323:H336)</f>
        <v>3956.48</v>
      </c>
      <c r="I337" s="8">
        <f>G337-H337</f>
        <v>1431.3199999999993</v>
      </c>
    </row>
    <row r="339" spans="1:10" x14ac:dyDescent="0.25">
      <c r="A339" s="5">
        <v>4300128</v>
      </c>
      <c r="B339" s="6" t="s">
        <v>1791</v>
      </c>
      <c r="C339" s="7"/>
      <c r="D339" s="7"/>
      <c r="E339" s="7"/>
      <c r="F339" s="7"/>
      <c r="G339" s="7"/>
      <c r="H339" s="7"/>
      <c r="I339" s="7"/>
      <c r="J339" s="7"/>
    </row>
    <row r="340" spans="1:10" x14ac:dyDescent="0.25">
      <c r="E340" s="4" t="s">
        <v>10</v>
      </c>
      <c r="G340" s="8">
        <v>50.02</v>
      </c>
      <c r="H340" s="8">
        <v>0</v>
      </c>
      <c r="I340" s="8">
        <f>G340-H340</f>
        <v>50.02</v>
      </c>
    </row>
    <row r="341" spans="1:10" x14ac:dyDescent="0.25">
      <c r="C341" s="9"/>
      <c r="D341" s="10">
        <v>45659</v>
      </c>
      <c r="E341" t="s">
        <v>1524</v>
      </c>
      <c r="F341" s="11" t="s">
        <v>1792</v>
      </c>
      <c r="G341" s="8">
        <v>0</v>
      </c>
      <c r="H341" s="8">
        <v>50.02</v>
      </c>
      <c r="I341" s="8">
        <f t="shared" ref="I341:I354" si="20">G341-H341+I340</f>
        <v>0</v>
      </c>
      <c r="J341" s="12"/>
    </row>
    <row r="342" spans="1:10" x14ac:dyDescent="0.25">
      <c r="C342" s="9"/>
      <c r="D342" s="10">
        <v>45671</v>
      </c>
      <c r="E342" t="s">
        <v>1793</v>
      </c>
      <c r="F342" s="11" t="s">
        <v>1794</v>
      </c>
      <c r="G342" s="8">
        <v>132.65</v>
      </c>
      <c r="H342" s="8">
        <v>0</v>
      </c>
      <c r="I342" s="8">
        <f t="shared" si="20"/>
        <v>132.65</v>
      </c>
      <c r="J342" s="12"/>
    </row>
    <row r="343" spans="1:10" x14ac:dyDescent="0.25">
      <c r="C343" s="9"/>
      <c r="D343" s="10">
        <v>45672</v>
      </c>
      <c r="E343" t="s">
        <v>1524</v>
      </c>
      <c r="F343" s="11" t="s">
        <v>1794</v>
      </c>
      <c r="G343" s="8">
        <v>0</v>
      </c>
      <c r="H343" s="8">
        <v>132.65</v>
      </c>
      <c r="I343" s="8">
        <f t="shared" si="20"/>
        <v>0</v>
      </c>
      <c r="J343" s="12"/>
    </row>
    <row r="344" spans="1:10" x14ac:dyDescent="0.25">
      <c r="C344" s="9"/>
      <c r="D344" s="10">
        <v>45688</v>
      </c>
      <c r="E344" t="s">
        <v>1795</v>
      </c>
      <c r="F344" s="11" t="s">
        <v>1796</v>
      </c>
      <c r="G344" s="8">
        <v>155.58000000000001</v>
      </c>
      <c r="H344" s="8">
        <v>0</v>
      </c>
      <c r="I344" s="8">
        <f t="shared" si="20"/>
        <v>155.58000000000001</v>
      </c>
      <c r="J344" s="12"/>
    </row>
    <row r="345" spans="1:10" x14ac:dyDescent="0.25">
      <c r="C345" s="9"/>
      <c r="D345" s="10">
        <v>45691</v>
      </c>
      <c r="E345" t="s">
        <v>1797</v>
      </c>
      <c r="F345" s="11" t="s">
        <v>42</v>
      </c>
      <c r="G345" s="8">
        <v>0</v>
      </c>
      <c r="H345" s="8">
        <v>155.58000000000001</v>
      </c>
      <c r="I345" s="8">
        <f t="shared" si="20"/>
        <v>0</v>
      </c>
      <c r="J345" s="12"/>
    </row>
    <row r="346" spans="1:10" x14ac:dyDescent="0.25">
      <c r="C346" s="9"/>
      <c r="D346" s="10">
        <v>45702</v>
      </c>
      <c r="E346" t="s">
        <v>1798</v>
      </c>
      <c r="F346" s="11" t="s">
        <v>1799</v>
      </c>
      <c r="G346" s="8">
        <v>591.98</v>
      </c>
      <c r="H346" s="8">
        <v>0</v>
      </c>
      <c r="I346" s="8">
        <f t="shared" si="20"/>
        <v>591.98</v>
      </c>
      <c r="J346" s="12"/>
    </row>
    <row r="347" spans="1:10" x14ac:dyDescent="0.25">
      <c r="C347" s="9"/>
      <c r="D347" s="10">
        <v>45705</v>
      </c>
      <c r="E347" t="s">
        <v>1524</v>
      </c>
      <c r="F347" s="11" t="s">
        <v>1799</v>
      </c>
      <c r="G347" s="8">
        <v>0</v>
      </c>
      <c r="H347" s="8">
        <v>591.98</v>
      </c>
      <c r="I347" s="8">
        <f t="shared" si="20"/>
        <v>0</v>
      </c>
      <c r="J347" s="12"/>
    </row>
    <row r="348" spans="1:10" x14ac:dyDescent="0.25">
      <c r="C348" s="9"/>
      <c r="D348" s="10">
        <v>45716</v>
      </c>
      <c r="E348" t="s">
        <v>1800</v>
      </c>
      <c r="F348" s="11" t="s">
        <v>1801</v>
      </c>
      <c r="G348" s="8">
        <v>222.19</v>
      </c>
      <c r="H348" s="8">
        <v>0</v>
      </c>
      <c r="I348" s="8">
        <f t="shared" si="20"/>
        <v>222.19</v>
      </c>
      <c r="J348" s="12"/>
    </row>
    <row r="349" spans="1:10" x14ac:dyDescent="0.25">
      <c r="C349" s="9" t="s">
        <v>124</v>
      </c>
      <c r="D349" s="10">
        <v>45719</v>
      </c>
      <c r="E349" t="s">
        <v>1802</v>
      </c>
      <c r="F349" s="11" t="s">
        <v>1801</v>
      </c>
      <c r="G349" s="8">
        <v>0</v>
      </c>
      <c r="H349" s="8">
        <v>222.19</v>
      </c>
      <c r="I349" s="8">
        <f t="shared" si="20"/>
        <v>0</v>
      </c>
      <c r="J349" s="12"/>
    </row>
    <row r="350" spans="1:10" x14ac:dyDescent="0.25">
      <c r="C350" s="9"/>
      <c r="D350" s="10">
        <v>45730</v>
      </c>
      <c r="E350" t="s">
        <v>1803</v>
      </c>
      <c r="F350" s="11" t="s">
        <v>1804</v>
      </c>
      <c r="G350" s="8">
        <v>646.96</v>
      </c>
      <c r="H350" s="8">
        <v>0</v>
      </c>
      <c r="I350" s="8">
        <f t="shared" si="20"/>
        <v>646.96</v>
      </c>
      <c r="J350" s="12"/>
    </row>
    <row r="351" spans="1:10" x14ac:dyDescent="0.25">
      <c r="C351" s="9"/>
      <c r="D351" s="10">
        <v>45733</v>
      </c>
      <c r="E351" t="s">
        <v>1524</v>
      </c>
      <c r="F351" s="11" t="s">
        <v>1804</v>
      </c>
      <c r="G351" s="8">
        <v>0</v>
      </c>
      <c r="H351" s="8">
        <v>646.96</v>
      </c>
      <c r="I351" s="8">
        <f t="shared" si="20"/>
        <v>0</v>
      </c>
      <c r="J351" s="12"/>
    </row>
    <row r="352" spans="1:10" x14ac:dyDescent="0.25">
      <c r="C352" s="9"/>
      <c r="D352" s="10">
        <v>45747</v>
      </c>
      <c r="E352" t="s">
        <v>1805</v>
      </c>
      <c r="F352" s="11" t="s">
        <v>1806</v>
      </c>
      <c r="G352" s="8">
        <v>72.36</v>
      </c>
      <c r="H352" s="8">
        <v>0</v>
      </c>
      <c r="I352" s="8">
        <f t="shared" si="20"/>
        <v>72.36</v>
      </c>
      <c r="J352" s="12"/>
    </row>
    <row r="353" spans="1:10" x14ac:dyDescent="0.25">
      <c r="C353" s="9"/>
      <c r="D353" s="10">
        <v>45748</v>
      </c>
      <c r="E353" t="s">
        <v>1524</v>
      </c>
      <c r="F353" s="11" t="s">
        <v>1806</v>
      </c>
      <c r="G353" s="8">
        <v>0</v>
      </c>
      <c r="H353" s="8">
        <v>72.36</v>
      </c>
      <c r="I353" s="8">
        <f t="shared" si="20"/>
        <v>0</v>
      </c>
      <c r="J353" s="12"/>
    </row>
    <row r="354" spans="1:10" x14ac:dyDescent="0.25">
      <c r="C354" s="9"/>
      <c r="D354" s="10">
        <v>45762</v>
      </c>
      <c r="E354" t="s">
        <v>1524</v>
      </c>
      <c r="F354" s="11" t="s">
        <v>1807</v>
      </c>
      <c r="G354" s="8">
        <v>0</v>
      </c>
      <c r="H354" s="8">
        <v>312.64999999999998</v>
      </c>
      <c r="I354" s="8">
        <f t="shared" si="20"/>
        <v>-312.64999999999998</v>
      </c>
      <c r="J354" s="12"/>
    </row>
    <row r="355" spans="1:10" x14ac:dyDescent="0.25">
      <c r="E355" s="4" t="s">
        <v>20</v>
      </c>
      <c r="G355" s="8">
        <f>SUM(G340:G354)</f>
        <v>1871.74</v>
      </c>
      <c r="H355" s="8">
        <f>SUM(H340:H354)</f>
        <v>2184.39</v>
      </c>
      <c r="I355" s="8">
        <f>G355-H355</f>
        <v>-312.64999999999986</v>
      </c>
    </row>
    <row r="357" spans="1:10" x14ac:dyDescent="0.25">
      <c r="A357" s="5">
        <v>4300130</v>
      </c>
      <c r="B357" s="6" t="s">
        <v>1808</v>
      </c>
      <c r="C357" s="7"/>
      <c r="D357" s="7"/>
      <c r="E357" s="7"/>
      <c r="F357" s="7"/>
      <c r="G357" s="7"/>
      <c r="H357" s="7"/>
      <c r="I357" s="7"/>
      <c r="J357" s="7"/>
    </row>
    <row r="358" spans="1:10" x14ac:dyDescent="0.25">
      <c r="E358" s="4" t="s">
        <v>10</v>
      </c>
      <c r="G358" s="8">
        <v>64.650000000000006</v>
      </c>
      <c r="H358" s="8">
        <v>0</v>
      </c>
      <c r="I358" s="8">
        <f>G358-H358</f>
        <v>64.650000000000006</v>
      </c>
    </row>
    <row r="359" spans="1:10" x14ac:dyDescent="0.25">
      <c r="C359" s="9"/>
      <c r="D359" s="10">
        <v>45708</v>
      </c>
      <c r="E359" t="s">
        <v>1809</v>
      </c>
      <c r="F359" s="11" t="s">
        <v>42</v>
      </c>
      <c r="G359" s="8">
        <v>0</v>
      </c>
      <c r="H359" s="8">
        <v>599.12</v>
      </c>
      <c r="I359" s="8">
        <f>G359-H359+I358</f>
        <v>-534.47</v>
      </c>
      <c r="J359" s="12"/>
    </row>
    <row r="360" spans="1:10" x14ac:dyDescent="0.25">
      <c r="C360" s="9"/>
      <c r="D360" s="10">
        <v>45708</v>
      </c>
      <c r="E360" t="s">
        <v>1524</v>
      </c>
      <c r="F360" s="11" t="s">
        <v>1810</v>
      </c>
      <c r="G360" s="8">
        <v>0</v>
      </c>
      <c r="H360" s="8">
        <v>64.650000000000006</v>
      </c>
      <c r="I360" s="8">
        <f>G360-H360+I359</f>
        <v>-599.12</v>
      </c>
      <c r="J360" s="12"/>
    </row>
    <row r="361" spans="1:10" x14ac:dyDescent="0.25">
      <c r="E361" s="4" t="s">
        <v>20</v>
      </c>
      <c r="G361" s="8">
        <f>SUM(G358:G360)</f>
        <v>64.650000000000006</v>
      </c>
      <c r="H361" s="8">
        <f>SUM(H358:H360)</f>
        <v>663.77</v>
      </c>
      <c r="I361" s="8">
        <f>G361-H361</f>
        <v>-599.12</v>
      </c>
    </row>
    <row r="363" spans="1:10" x14ac:dyDescent="0.25">
      <c r="A363" s="5">
        <v>4300131</v>
      </c>
      <c r="B363" s="6" t="s">
        <v>1811</v>
      </c>
      <c r="C363" s="7"/>
      <c r="D363" s="7"/>
      <c r="E363" s="7"/>
      <c r="F363" s="7"/>
      <c r="G363" s="7"/>
      <c r="H363" s="7"/>
      <c r="I363" s="7"/>
      <c r="J363" s="7"/>
    </row>
    <row r="364" spans="1:10" x14ac:dyDescent="0.25">
      <c r="E364" s="4" t="s">
        <v>10</v>
      </c>
      <c r="G364" s="8">
        <v>599.88</v>
      </c>
      <c r="H364" s="8">
        <v>0</v>
      </c>
      <c r="I364" s="8">
        <f>G364-H364</f>
        <v>599.88</v>
      </c>
    </row>
    <row r="365" spans="1:10" x14ac:dyDescent="0.25">
      <c r="E365" s="4" t="s">
        <v>20</v>
      </c>
      <c r="G365" s="8">
        <f>G364</f>
        <v>599.88</v>
      </c>
      <c r="H365" s="8">
        <f>H364</f>
        <v>0</v>
      </c>
      <c r="I365" s="8">
        <f>G365-H365</f>
        <v>599.88</v>
      </c>
    </row>
    <row r="367" spans="1:10" x14ac:dyDescent="0.25">
      <c r="A367" s="5">
        <v>4300132</v>
      </c>
      <c r="B367" s="6" t="s">
        <v>1812</v>
      </c>
      <c r="C367" s="7"/>
      <c r="D367" s="7"/>
      <c r="E367" s="7"/>
      <c r="F367" s="7"/>
      <c r="G367" s="7"/>
      <c r="H367" s="7"/>
      <c r="I367" s="7"/>
      <c r="J367" s="7"/>
    </row>
    <row r="368" spans="1:10" x14ac:dyDescent="0.25">
      <c r="E368" s="4" t="s">
        <v>10</v>
      </c>
      <c r="G368" s="8">
        <v>1824.15</v>
      </c>
      <c r="H368" s="8">
        <v>0</v>
      </c>
      <c r="I368" s="8">
        <f>G368-H368</f>
        <v>1824.15</v>
      </c>
    </row>
    <row r="369" spans="3:10" x14ac:dyDescent="0.25">
      <c r="C369" s="9"/>
      <c r="D369" s="10">
        <v>45671</v>
      </c>
      <c r="E369" t="s">
        <v>1813</v>
      </c>
      <c r="F369" s="11" t="s">
        <v>1814</v>
      </c>
      <c r="G369" s="8">
        <v>138.41999999999999</v>
      </c>
      <c r="H369" s="8">
        <v>0</v>
      </c>
      <c r="I369" s="8">
        <f t="shared" ref="I369:I408" si="21">G369-H369+I368</f>
        <v>1962.5700000000002</v>
      </c>
      <c r="J369" s="12"/>
    </row>
    <row r="370" spans="3:10" x14ac:dyDescent="0.25">
      <c r="C370" s="9"/>
      <c r="D370" s="10">
        <v>45671</v>
      </c>
      <c r="E370" t="s">
        <v>1815</v>
      </c>
      <c r="F370" s="11" t="s">
        <v>1816</v>
      </c>
      <c r="G370" s="8">
        <v>6.59</v>
      </c>
      <c r="H370" s="8">
        <v>0</v>
      </c>
      <c r="I370" s="8">
        <f t="shared" si="21"/>
        <v>1969.16</v>
      </c>
      <c r="J370" s="12"/>
    </row>
    <row r="371" spans="3:10" x14ac:dyDescent="0.25">
      <c r="C371" s="9"/>
      <c r="D371" s="10">
        <v>45671</v>
      </c>
      <c r="E371" t="s">
        <v>1817</v>
      </c>
      <c r="F371" s="11" t="s">
        <v>42</v>
      </c>
      <c r="G371" s="8">
        <v>0</v>
      </c>
      <c r="H371" s="8">
        <v>1008</v>
      </c>
      <c r="I371" s="8">
        <f t="shared" si="21"/>
        <v>961.16000000000008</v>
      </c>
      <c r="J371" s="12"/>
    </row>
    <row r="372" spans="3:10" x14ac:dyDescent="0.25">
      <c r="C372" s="9"/>
      <c r="D372" s="10">
        <v>45685</v>
      </c>
      <c r="E372" t="s">
        <v>1524</v>
      </c>
      <c r="F372" s="11" t="s">
        <v>1818</v>
      </c>
      <c r="G372" s="8">
        <v>0</v>
      </c>
      <c r="H372" s="8">
        <v>329.3</v>
      </c>
      <c r="I372" s="8">
        <f t="shared" si="21"/>
        <v>631.86000000000013</v>
      </c>
      <c r="J372" s="12"/>
    </row>
    <row r="373" spans="3:10" x14ac:dyDescent="0.25">
      <c r="C373" s="9"/>
      <c r="D373" s="10">
        <v>45688</v>
      </c>
      <c r="E373" t="s">
        <v>1819</v>
      </c>
      <c r="F373" s="11" t="s">
        <v>1820</v>
      </c>
      <c r="G373" s="8">
        <v>69.38</v>
      </c>
      <c r="H373" s="8">
        <v>0</v>
      </c>
      <c r="I373" s="8">
        <f t="shared" si="21"/>
        <v>701.24000000000012</v>
      </c>
      <c r="J373" s="12"/>
    </row>
    <row r="374" spans="3:10" x14ac:dyDescent="0.25">
      <c r="C374" s="9"/>
      <c r="D374" s="10">
        <v>45688</v>
      </c>
      <c r="E374" t="s">
        <v>1821</v>
      </c>
      <c r="F374" s="11" t="s">
        <v>1822</v>
      </c>
      <c r="G374" s="8">
        <v>102.21</v>
      </c>
      <c r="H374" s="8">
        <v>0</v>
      </c>
      <c r="I374" s="8">
        <f t="shared" si="21"/>
        <v>803.45000000000016</v>
      </c>
      <c r="J374" s="12"/>
    </row>
    <row r="375" spans="3:10" x14ac:dyDescent="0.25">
      <c r="C375" s="9"/>
      <c r="D375" s="10">
        <v>45688</v>
      </c>
      <c r="E375" t="s">
        <v>1823</v>
      </c>
      <c r="F375" s="11" t="s">
        <v>1824</v>
      </c>
      <c r="G375" s="8">
        <v>56.77</v>
      </c>
      <c r="H375" s="8">
        <v>0</v>
      </c>
      <c r="I375" s="8">
        <f t="shared" si="21"/>
        <v>860.22000000000014</v>
      </c>
      <c r="J375" s="12"/>
    </row>
    <row r="376" spans="3:10" x14ac:dyDescent="0.25">
      <c r="C376" s="9"/>
      <c r="D376" s="10">
        <v>45688</v>
      </c>
      <c r="E376" t="s">
        <v>1825</v>
      </c>
      <c r="F376" s="11" t="s">
        <v>1826</v>
      </c>
      <c r="G376" s="8">
        <v>45.74</v>
      </c>
      <c r="H376" s="8">
        <v>0</v>
      </c>
      <c r="I376" s="8">
        <f t="shared" si="21"/>
        <v>905.96000000000015</v>
      </c>
      <c r="J376" s="12"/>
    </row>
    <row r="377" spans="3:10" x14ac:dyDescent="0.25">
      <c r="C377" s="9"/>
      <c r="D377" s="10">
        <v>45688</v>
      </c>
      <c r="E377" t="s">
        <v>1827</v>
      </c>
      <c r="F377" s="11" t="s">
        <v>1828</v>
      </c>
      <c r="G377" s="8">
        <v>47.19</v>
      </c>
      <c r="H377" s="8">
        <v>0</v>
      </c>
      <c r="I377" s="8">
        <f t="shared" si="21"/>
        <v>953.15000000000009</v>
      </c>
      <c r="J377" s="12"/>
    </row>
    <row r="378" spans="3:10" x14ac:dyDescent="0.25">
      <c r="C378" s="9"/>
      <c r="D378" s="10">
        <v>45688</v>
      </c>
      <c r="E378" t="s">
        <v>1829</v>
      </c>
      <c r="F378" s="11" t="s">
        <v>1830</v>
      </c>
      <c r="G378" s="8">
        <v>38.659999999999997</v>
      </c>
      <c r="H378" s="8">
        <v>0</v>
      </c>
      <c r="I378" s="8">
        <f t="shared" si="21"/>
        <v>991.81000000000006</v>
      </c>
      <c r="J378" s="12"/>
    </row>
    <row r="379" spans="3:10" x14ac:dyDescent="0.25">
      <c r="C379" s="9"/>
      <c r="D379" s="10">
        <v>45688</v>
      </c>
      <c r="E379" t="s">
        <v>1831</v>
      </c>
      <c r="F379" s="11" t="s">
        <v>1832</v>
      </c>
      <c r="G379" s="8">
        <v>27.42</v>
      </c>
      <c r="H379" s="8">
        <v>0</v>
      </c>
      <c r="I379" s="8">
        <f t="shared" si="21"/>
        <v>1019.23</v>
      </c>
      <c r="J379" s="12"/>
    </row>
    <row r="380" spans="3:10" x14ac:dyDescent="0.25">
      <c r="C380" s="9"/>
      <c r="D380" s="10">
        <v>45699</v>
      </c>
      <c r="E380" t="s">
        <v>1524</v>
      </c>
      <c r="F380" s="11" t="s">
        <v>1833</v>
      </c>
      <c r="G380" s="8">
        <v>0</v>
      </c>
      <c r="H380" s="8">
        <v>41.99</v>
      </c>
      <c r="I380" s="8">
        <f t="shared" si="21"/>
        <v>977.24</v>
      </c>
      <c r="J380" s="12"/>
    </row>
    <row r="381" spans="3:10" x14ac:dyDescent="0.25">
      <c r="C381" s="9"/>
      <c r="D381" s="10">
        <v>45702</v>
      </c>
      <c r="E381" t="s">
        <v>1834</v>
      </c>
      <c r="F381" s="11" t="s">
        <v>1835</v>
      </c>
      <c r="G381" s="8">
        <v>32.19</v>
      </c>
      <c r="H381" s="8">
        <v>0</v>
      </c>
      <c r="I381" s="8">
        <f t="shared" si="21"/>
        <v>1009.4300000000001</v>
      </c>
      <c r="J381" s="12"/>
    </row>
    <row r="382" spans="3:10" x14ac:dyDescent="0.25">
      <c r="C382" s="9"/>
      <c r="D382" s="10">
        <v>45702</v>
      </c>
      <c r="E382" t="s">
        <v>1836</v>
      </c>
      <c r="F382" s="11" t="s">
        <v>1837</v>
      </c>
      <c r="G382" s="8">
        <v>22.14</v>
      </c>
      <c r="H382" s="8">
        <v>0</v>
      </c>
      <c r="I382" s="8">
        <f t="shared" si="21"/>
        <v>1031.5700000000002</v>
      </c>
      <c r="J382" s="12"/>
    </row>
    <row r="383" spans="3:10" x14ac:dyDescent="0.25">
      <c r="C383" s="9"/>
      <c r="D383" s="10">
        <v>45707</v>
      </c>
      <c r="E383" t="s">
        <v>1817</v>
      </c>
      <c r="F383" s="11" t="s">
        <v>42</v>
      </c>
      <c r="G383" s="8">
        <v>0</v>
      </c>
      <c r="H383" s="8">
        <v>360.38</v>
      </c>
      <c r="I383" s="8">
        <f t="shared" si="21"/>
        <v>671.19000000000017</v>
      </c>
      <c r="J383" s="12"/>
    </row>
    <row r="384" spans="3:10" x14ac:dyDescent="0.25">
      <c r="C384" s="9"/>
      <c r="D384" s="10">
        <v>45716</v>
      </c>
      <c r="E384" t="s">
        <v>1838</v>
      </c>
      <c r="F384" s="11" t="s">
        <v>1839</v>
      </c>
      <c r="G384" s="8">
        <v>32.65</v>
      </c>
      <c r="H384" s="8">
        <v>0</v>
      </c>
      <c r="I384" s="8">
        <f t="shared" si="21"/>
        <v>703.84000000000015</v>
      </c>
      <c r="J384" s="12"/>
    </row>
    <row r="385" spans="3:10" x14ac:dyDescent="0.25">
      <c r="C385" s="9"/>
      <c r="D385" s="10">
        <v>45716</v>
      </c>
      <c r="E385" t="s">
        <v>1840</v>
      </c>
      <c r="F385" s="11" t="s">
        <v>1841</v>
      </c>
      <c r="G385" s="8">
        <v>55.66</v>
      </c>
      <c r="H385" s="8">
        <v>0</v>
      </c>
      <c r="I385" s="8">
        <f t="shared" si="21"/>
        <v>759.50000000000011</v>
      </c>
      <c r="J385" s="12"/>
    </row>
    <row r="386" spans="3:10" x14ac:dyDescent="0.25">
      <c r="C386" s="9"/>
      <c r="D386" s="10">
        <v>45716</v>
      </c>
      <c r="E386" t="s">
        <v>1842</v>
      </c>
      <c r="F386" s="11" t="s">
        <v>1843</v>
      </c>
      <c r="G386" s="8">
        <v>283.25</v>
      </c>
      <c r="H386" s="8">
        <v>0</v>
      </c>
      <c r="I386" s="8">
        <f t="shared" si="21"/>
        <v>1042.75</v>
      </c>
      <c r="J386" s="12"/>
    </row>
    <row r="387" spans="3:10" x14ac:dyDescent="0.25">
      <c r="C387" s="9"/>
      <c r="D387" s="10">
        <v>45716</v>
      </c>
      <c r="E387" t="s">
        <v>1844</v>
      </c>
      <c r="F387" s="11" t="s">
        <v>1845</v>
      </c>
      <c r="G387" s="8">
        <v>206.41</v>
      </c>
      <c r="H387" s="8">
        <v>0</v>
      </c>
      <c r="I387" s="8">
        <f t="shared" si="21"/>
        <v>1249.1600000000001</v>
      </c>
      <c r="J387" s="12"/>
    </row>
    <row r="388" spans="3:10" x14ac:dyDescent="0.25">
      <c r="C388" s="9"/>
      <c r="D388" s="10">
        <v>45716</v>
      </c>
      <c r="E388" t="s">
        <v>1846</v>
      </c>
      <c r="F388" s="11" t="s">
        <v>1847</v>
      </c>
      <c r="G388" s="8">
        <v>20.41</v>
      </c>
      <c r="H388" s="8">
        <v>0</v>
      </c>
      <c r="I388" s="8">
        <f t="shared" si="21"/>
        <v>1269.5700000000002</v>
      </c>
      <c r="J388" s="12"/>
    </row>
    <row r="389" spans="3:10" x14ac:dyDescent="0.25">
      <c r="C389" s="9"/>
      <c r="D389" s="10">
        <v>45719</v>
      </c>
      <c r="E389" t="s">
        <v>1524</v>
      </c>
      <c r="F389" s="11" t="s">
        <v>1848</v>
      </c>
      <c r="G389" s="8">
        <v>0</v>
      </c>
      <c r="H389" s="8">
        <v>6.4</v>
      </c>
      <c r="I389" s="8">
        <f t="shared" si="21"/>
        <v>1263.17</v>
      </c>
      <c r="J389" s="12"/>
    </row>
    <row r="390" spans="3:10" x14ac:dyDescent="0.25">
      <c r="C390" s="9"/>
      <c r="D390" s="10">
        <v>45730</v>
      </c>
      <c r="E390" t="s">
        <v>1849</v>
      </c>
      <c r="F390" s="11" t="s">
        <v>1850</v>
      </c>
      <c r="G390" s="8">
        <v>52.27</v>
      </c>
      <c r="H390" s="8">
        <v>0</v>
      </c>
      <c r="I390" s="8">
        <f t="shared" si="21"/>
        <v>1315.44</v>
      </c>
      <c r="J390" s="12"/>
    </row>
    <row r="391" spans="3:10" x14ac:dyDescent="0.25">
      <c r="C391" s="9"/>
      <c r="D391" s="10">
        <v>45730</v>
      </c>
      <c r="E391" t="s">
        <v>1851</v>
      </c>
      <c r="F391" s="11" t="s">
        <v>1852</v>
      </c>
      <c r="G391" s="8">
        <v>148.38</v>
      </c>
      <c r="H391" s="8">
        <v>0</v>
      </c>
      <c r="I391" s="8">
        <f t="shared" si="21"/>
        <v>1463.8200000000002</v>
      </c>
      <c r="J391" s="12"/>
    </row>
    <row r="392" spans="3:10" x14ac:dyDescent="0.25">
      <c r="C392" s="9"/>
      <c r="D392" s="10">
        <v>45730</v>
      </c>
      <c r="E392" t="s">
        <v>1853</v>
      </c>
      <c r="F392" s="11" t="s">
        <v>1854</v>
      </c>
      <c r="G392" s="8">
        <v>56.41</v>
      </c>
      <c r="H392" s="8">
        <v>0</v>
      </c>
      <c r="I392" s="8">
        <f t="shared" si="21"/>
        <v>1520.2300000000002</v>
      </c>
      <c r="J392" s="12"/>
    </row>
    <row r="393" spans="3:10" x14ac:dyDescent="0.25">
      <c r="C393" s="9"/>
      <c r="D393" s="10">
        <v>45730</v>
      </c>
      <c r="E393" t="s">
        <v>1855</v>
      </c>
      <c r="F393" s="11" t="s">
        <v>1856</v>
      </c>
      <c r="G393" s="8">
        <v>514.95000000000005</v>
      </c>
      <c r="H393" s="8">
        <v>0</v>
      </c>
      <c r="I393" s="8">
        <f t="shared" si="21"/>
        <v>2035.1800000000003</v>
      </c>
      <c r="J393" s="12"/>
    </row>
    <row r="394" spans="3:10" x14ac:dyDescent="0.25">
      <c r="C394" s="9"/>
      <c r="D394" s="10">
        <v>45730</v>
      </c>
      <c r="E394" t="s">
        <v>1857</v>
      </c>
      <c r="F394" s="11" t="s">
        <v>1858</v>
      </c>
      <c r="G394" s="8">
        <v>31.27</v>
      </c>
      <c r="H394" s="8">
        <v>0</v>
      </c>
      <c r="I394" s="8">
        <f t="shared" si="21"/>
        <v>2066.4500000000003</v>
      </c>
      <c r="J394" s="12"/>
    </row>
    <row r="395" spans="3:10" x14ac:dyDescent="0.25">
      <c r="C395" s="9"/>
      <c r="D395" s="10">
        <v>45730</v>
      </c>
      <c r="E395" t="s">
        <v>1859</v>
      </c>
      <c r="F395" s="11" t="s">
        <v>1860</v>
      </c>
      <c r="G395" s="8">
        <v>98.42</v>
      </c>
      <c r="H395" s="8">
        <v>0</v>
      </c>
      <c r="I395" s="8">
        <f t="shared" si="21"/>
        <v>2164.8700000000003</v>
      </c>
      <c r="J395" s="12"/>
    </row>
    <row r="396" spans="3:10" x14ac:dyDescent="0.25">
      <c r="C396" s="9"/>
      <c r="D396" s="10">
        <v>45730</v>
      </c>
      <c r="E396" t="s">
        <v>1861</v>
      </c>
      <c r="F396" s="11" t="s">
        <v>1862</v>
      </c>
      <c r="G396" s="8">
        <v>80.37</v>
      </c>
      <c r="H396" s="8">
        <v>0</v>
      </c>
      <c r="I396" s="8">
        <f t="shared" si="21"/>
        <v>2245.2400000000002</v>
      </c>
      <c r="J396" s="12"/>
    </row>
    <row r="397" spans="3:10" x14ac:dyDescent="0.25">
      <c r="C397" s="9"/>
      <c r="D397" s="10">
        <v>45730</v>
      </c>
      <c r="E397" t="s">
        <v>1863</v>
      </c>
      <c r="F397" s="11" t="s">
        <v>1864</v>
      </c>
      <c r="G397" s="8">
        <v>20.059999999999999</v>
      </c>
      <c r="H397" s="8">
        <v>0</v>
      </c>
      <c r="I397" s="8">
        <f t="shared" si="21"/>
        <v>2265.3000000000002</v>
      </c>
      <c r="J397" s="12"/>
    </row>
    <row r="398" spans="3:10" x14ac:dyDescent="0.25">
      <c r="C398" s="9"/>
      <c r="D398" s="10">
        <v>45733</v>
      </c>
      <c r="E398" t="s">
        <v>1865</v>
      </c>
      <c r="F398" s="11" t="s">
        <v>42</v>
      </c>
      <c r="G398" s="8">
        <v>0</v>
      </c>
      <c r="H398" s="8">
        <v>145.01</v>
      </c>
      <c r="I398" s="8">
        <f t="shared" si="21"/>
        <v>2120.29</v>
      </c>
      <c r="J398" s="12"/>
    </row>
    <row r="399" spans="3:10" x14ac:dyDescent="0.25">
      <c r="C399" s="9"/>
      <c r="D399" s="10">
        <v>45747</v>
      </c>
      <c r="E399" t="s">
        <v>1866</v>
      </c>
      <c r="F399" s="11" t="s">
        <v>1867</v>
      </c>
      <c r="G399" s="8">
        <v>64.37</v>
      </c>
      <c r="H399" s="8">
        <v>0</v>
      </c>
      <c r="I399" s="8">
        <f t="shared" si="21"/>
        <v>2184.66</v>
      </c>
      <c r="J399" s="12"/>
    </row>
    <row r="400" spans="3:10" x14ac:dyDescent="0.25">
      <c r="C400" s="9"/>
      <c r="D400" s="10">
        <v>45747</v>
      </c>
      <c r="E400" t="s">
        <v>1868</v>
      </c>
      <c r="F400" s="11" t="s">
        <v>1869</v>
      </c>
      <c r="G400" s="8">
        <v>240.19</v>
      </c>
      <c r="H400" s="8">
        <v>0</v>
      </c>
      <c r="I400" s="8">
        <f t="shared" si="21"/>
        <v>2424.85</v>
      </c>
      <c r="J400" s="12"/>
    </row>
    <row r="401" spans="1:10" x14ac:dyDescent="0.25">
      <c r="C401" s="9"/>
      <c r="D401" s="10">
        <v>45747</v>
      </c>
      <c r="E401" t="s">
        <v>1870</v>
      </c>
      <c r="F401" s="11" t="s">
        <v>1871</v>
      </c>
      <c r="G401" s="8">
        <v>92.27</v>
      </c>
      <c r="H401" s="8">
        <v>0</v>
      </c>
      <c r="I401" s="8">
        <f t="shared" si="21"/>
        <v>2517.12</v>
      </c>
      <c r="J401" s="12"/>
    </row>
    <row r="402" spans="1:10" x14ac:dyDescent="0.25">
      <c r="C402" s="9"/>
      <c r="D402" s="10">
        <v>45747</v>
      </c>
      <c r="E402" t="s">
        <v>1872</v>
      </c>
      <c r="F402" s="11" t="s">
        <v>1818</v>
      </c>
      <c r="G402" s="8">
        <v>329.12</v>
      </c>
      <c r="H402" s="8">
        <v>0</v>
      </c>
      <c r="I402" s="8">
        <f t="shared" si="21"/>
        <v>2846.24</v>
      </c>
      <c r="J402" s="12"/>
    </row>
    <row r="403" spans="1:10" x14ac:dyDescent="0.25">
      <c r="C403" s="9"/>
      <c r="D403" s="10">
        <v>45747</v>
      </c>
      <c r="E403" t="s">
        <v>1873</v>
      </c>
      <c r="F403" s="11" t="s">
        <v>1874</v>
      </c>
      <c r="G403" s="8">
        <v>43.37</v>
      </c>
      <c r="H403" s="8">
        <v>0</v>
      </c>
      <c r="I403" s="8">
        <f t="shared" si="21"/>
        <v>2889.6099999999997</v>
      </c>
      <c r="J403" s="12"/>
    </row>
    <row r="404" spans="1:10" x14ac:dyDescent="0.25">
      <c r="C404" s="9"/>
      <c r="D404" s="10">
        <v>45747</v>
      </c>
      <c r="E404" t="s">
        <v>1875</v>
      </c>
      <c r="F404" s="11" t="s">
        <v>1876</v>
      </c>
      <c r="G404" s="8">
        <v>87.12</v>
      </c>
      <c r="H404" s="8">
        <v>0</v>
      </c>
      <c r="I404" s="8">
        <f t="shared" si="21"/>
        <v>2976.7299999999996</v>
      </c>
      <c r="J404" s="12"/>
    </row>
    <row r="405" spans="1:10" x14ac:dyDescent="0.25">
      <c r="C405" s="9"/>
      <c r="D405" s="10">
        <v>45747</v>
      </c>
      <c r="E405" t="s">
        <v>1877</v>
      </c>
      <c r="F405" s="11" t="s">
        <v>1878</v>
      </c>
      <c r="G405" s="8">
        <v>37.82</v>
      </c>
      <c r="H405" s="8">
        <v>0</v>
      </c>
      <c r="I405" s="8">
        <f t="shared" si="21"/>
        <v>3014.5499999999997</v>
      </c>
      <c r="J405" s="12"/>
    </row>
    <row r="406" spans="1:10" x14ac:dyDescent="0.25">
      <c r="C406" s="9"/>
      <c r="D406" s="10">
        <v>45747</v>
      </c>
      <c r="E406" t="s">
        <v>1879</v>
      </c>
      <c r="F406" s="11" t="s">
        <v>1880</v>
      </c>
      <c r="G406" s="8">
        <v>378.46</v>
      </c>
      <c r="H406" s="8">
        <v>0</v>
      </c>
      <c r="I406" s="8">
        <f t="shared" si="21"/>
        <v>3393.0099999999998</v>
      </c>
      <c r="J406" s="12"/>
    </row>
    <row r="407" spans="1:10" x14ac:dyDescent="0.25">
      <c r="C407" s="9"/>
      <c r="D407" s="10">
        <v>45747</v>
      </c>
      <c r="E407" t="s">
        <v>1881</v>
      </c>
      <c r="F407" s="11" t="s">
        <v>1882</v>
      </c>
      <c r="G407" s="8">
        <v>10.3</v>
      </c>
      <c r="H407" s="8">
        <v>0</v>
      </c>
      <c r="I407" s="8">
        <f t="shared" si="21"/>
        <v>3403.31</v>
      </c>
      <c r="J407" s="12"/>
    </row>
    <row r="408" spans="1:10" x14ac:dyDescent="0.25">
      <c r="C408" s="9"/>
      <c r="D408" s="10">
        <v>45762</v>
      </c>
      <c r="E408" t="s">
        <v>1865</v>
      </c>
      <c r="F408" s="11" t="s">
        <v>42</v>
      </c>
      <c r="G408" s="8">
        <v>0</v>
      </c>
      <c r="H408" s="8">
        <v>54.33</v>
      </c>
      <c r="I408" s="8">
        <f t="shared" si="21"/>
        <v>3348.98</v>
      </c>
      <c r="J408" s="12"/>
    </row>
    <row r="409" spans="1:10" x14ac:dyDescent="0.25">
      <c r="E409" s="4" t="s">
        <v>20</v>
      </c>
      <c r="G409" s="8">
        <f>SUM(G368:G408)</f>
        <v>5294.3899999999985</v>
      </c>
      <c r="H409" s="8">
        <f>SUM(H368:H408)</f>
        <v>1945.41</v>
      </c>
      <c r="I409" s="8">
        <f>G409-H409</f>
        <v>3348.9799999999987</v>
      </c>
    </row>
    <row r="411" spans="1:10" x14ac:dyDescent="0.25">
      <c r="A411" s="5">
        <v>4300142</v>
      </c>
      <c r="B411" s="6" t="s">
        <v>1883</v>
      </c>
      <c r="C411" s="7"/>
      <c r="D411" s="7"/>
      <c r="E411" s="7"/>
      <c r="F411" s="7"/>
      <c r="G411" s="7"/>
      <c r="H411" s="7"/>
      <c r="I411" s="7"/>
      <c r="J411" s="7"/>
    </row>
    <row r="412" spans="1:10" x14ac:dyDescent="0.25">
      <c r="C412" s="9"/>
      <c r="D412" s="10">
        <v>45671</v>
      </c>
      <c r="E412" t="s">
        <v>1884</v>
      </c>
      <c r="F412" s="11" t="s">
        <v>1885</v>
      </c>
      <c r="G412" s="8">
        <v>110.67</v>
      </c>
      <c r="H412" s="8">
        <v>0</v>
      </c>
      <c r="I412" s="8">
        <f>G412-H412</f>
        <v>110.67</v>
      </c>
      <c r="J412" s="12"/>
    </row>
    <row r="413" spans="1:10" x14ac:dyDescent="0.25">
      <c r="C413" s="9"/>
      <c r="D413" s="10">
        <v>45672</v>
      </c>
      <c r="E413" t="s">
        <v>1886</v>
      </c>
      <c r="F413" s="11" t="s">
        <v>42</v>
      </c>
      <c r="G413" s="8">
        <v>0</v>
      </c>
      <c r="H413" s="8">
        <v>110.67</v>
      </c>
      <c r="I413" s="8">
        <f>G413-H413+I412</f>
        <v>0</v>
      </c>
      <c r="J413" s="12"/>
    </row>
    <row r="414" spans="1:10" x14ac:dyDescent="0.25">
      <c r="C414" s="9"/>
      <c r="D414" s="10">
        <v>45688</v>
      </c>
      <c r="E414" t="s">
        <v>1887</v>
      </c>
      <c r="F414" s="11" t="s">
        <v>1888</v>
      </c>
      <c r="G414" s="8">
        <v>369.97</v>
      </c>
      <c r="H414" s="8">
        <v>0</v>
      </c>
      <c r="I414" s="8">
        <f>G414-H414+I413</f>
        <v>369.97</v>
      </c>
      <c r="J414" s="12"/>
    </row>
    <row r="415" spans="1:10" x14ac:dyDescent="0.25">
      <c r="C415" s="9"/>
      <c r="D415" s="10">
        <v>45691</v>
      </c>
      <c r="E415" t="s">
        <v>1886</v>
      </c>
      <c r="F415" s="11" t="s">
        <v>42</v>
      </c>
      <c r="G415" s="8">
        <v>0</v>
      </c>
      <c r="H415" s="8">
        <v>369.97</v>
      </c>
      <c r="I415" s="8">
        <f>G415-H415+I414</f>
        <v>0</v>
      </c>
      <c r="J415" s="12"/>
    </row>
    <row r="416" spans="1:10" x14ac:dyDescent="0.25">
      <c r="C416" s="9"/>
      <c r="D416" s="10">
        <v>45762</v>
      </c>
      <c r="E416" t="s">
        <v>1524</v>
      </c>
      <c r="F416" s="11" t="s">
        <v>1889</v>
      </c>
      <c r="G416" s="8">
        <v>0</v>
      </c>
      <c r="H416" s="8">
        <v>104.96</v>
      </c>
      <c r="I416" s="8">
        <f>G416-H416+I415</f>
        <v>-104.96</v>
      </c>
      <c r="J416" s="12"/>
    </row>
    <row r="417" spans="1:10" x14ac:dyDescent="0.25">
      <c r="E417" s="4" t="s">
        <v>20</v>
      </c>
      <c r="G417" s="8">
        <f>SUM(G412:G416)</f>
        <v>480.64000000000004</v>
      </c>
      <c r="H417" s="8">
        <f>SUM(H412:H416)</f>
        <v>585.6</v>
      </c>
      <c r="I417" s="8">
        <f>G417-H417</f>
        <v>-104.95999999999998</v>
      </c>
    </row>
    <row r="419" spans="1:10" x14ac:dyDescent="0.25">
      <c r="A419" s="5">
        <v>4300145</v>
      </c>
      <c r="B419" s="6" t="s">
        <v>1890</v>
      </c>
      <c r="C419" s="7"/>
      <c r="D419" s="7"/>
      <c r="E419" s="7"/>
      <c r="F419" s="7"/>
      <c r="G419" s="7"/>
      <c r="H419" s="7"/>
      <c r="I419" s="7"/>
      <c r="J419" s="7"/>
    </row>
    <row r="420" spans="1:10" x14ac:dyDescent="0.25">
      <c r="E420" s="4" t="s">
        <v>10</v>
      </c>
      <c r="G420" s="8">
        <v>3.61</v>
      </c>
      <c r="H420" s="8">
        <v>0</v>
      </c>
      <c r="I420" s="8">
        <f>G420-H420</f>
        <v>3.61</v>
      </c>
    </row>
    <row r="421" spans="1:10" x14ac:dyDescent="0.25">
      <c r="E421" s="4" t="s">
        <v>20</v>
      </c>
      <c r="G421" s="8">
        <f>G420</f>
        <v>3.61</v>
      </c>
      <c r="H421" s="8">
        <f>H420</f>
        <v>0</v>
      </c>
      <c r="I421" s="8">
        <f>G421-H421</f>
        <v>3.61</v>
      </c>
    </row>
    <row r="423" spans="1:10" x14ac:dyDescent="0.25">
      <c r="A423" s="5">
        <v>4300153</v>
      </c>
      <c r="B423" s="6" t="s">
        <v>1891</v>
      </c>
      <c r="C423" s="7"/>
      <c r="D423" s="7"/>
      <c r="E423" s="7"/>
      <c r="F423" s="7"/>
      <c r="G423" s="7"/>
      <c r="H423" s="7"/>
      <c r="I423" s="7"/>
      <c r="J423" s="7"/>
    </row>
    <row r="424" spans="1:10" x14ac:dyDescent="0.25">
      <c r="E424" s="4" t="s">
        <v>10</v>
      </c>
      <c r="G424" s="8">
        <v>1862.14</v>
      </c>
      <c r="H424" s="8">
        <v>0</v>
      </c>
      <c r="I424" s="8">
        <f>G424-H424</f>
        <v>1862.14</v>
      </c>
    </row>
    <row r="425" spans="1:10" x14ac:dyDescent="0.25">
      <c r="C425" s="9"/>
      <c r="D425" s="10">
        <v>45660</v>
      </c>
      <c r="E425" t="s">
        <v>1524</v>
      </c>
      <c r="F425" s="11" t="s">
        <v>1892</v>
      </c>
      <c r="G425" s="8">
        <v>0</v>
      </c>
      <c r="H425" s="8">
        <v>1862.14</v>
      </c>
      <c r="I425" s="8">
        <f t="shared" ref="I425:I436" si="22">G425-H425+I424</f>
        <v>0</v>
      </c>
      <c r="J425" s="12"/>
    </row>
    <row r="426" spans="1:10" x14ac:dyDescent="0.25">
      <c r="C426" s="9"/>
      <c r="D426" s="10">
        <v>45688</v>
      </c>
      <c r="E426" t="s">
        <v>1893</v>
      </c>
      <c r="F426" s="11" t="s">
        <v>1894</v>
      </c>
      <c r="G426" s="8">
        <v>143.78</v>
      </c>
      <c r="H426" s="8">
        <v>0</v>
      </c>
      <c r="I426" s="8">
        <f t="shared" si="22"/>
        <v>143.78</v>
      </c>
      <c r="J426" s="12"/>
    </row>
    <row r="427" spans="1:10" x14ac:dyDescent="0.25">
      <c r="C427" s="9"/>
      <c r="D427" s="10">
        <v>45691</v>
      </c>
      <c r="E427" t="s">
        <v>1524</v>
      </c>
      <c r="F427" s="11" t="s">
        <v>1894</v>
      </c>
      <c r="G427" s="8">
        <v>0</v>
      </c>
      <c r="H427" s="8">
        <v>143.78</v>
      </c>
      <c r="I427" s="8">
        <f t="shared" si="22"/>
        <v>0</v>
      </c>
      <c r="J427" s="12"/>
    </row>
    <row r="428" spans="1:10" x14ac:dyDescent="0.25">
      <c r="C428" s="9"/>
      <c r="D428" s="10">
        <v>45702</v>
      </c>
      <c r="E428" t="s">
        <v>1895</v>
      </c>
      <c r="F428" s="11" t="s">
        <v>1896</v>
      </c>
      <c r="G428" s="8">
        <v>837.17</v>
      </c>
      <c r="H428" s="8">
        <v>0</v>
      </c>
      <c r="I428" s="8">
        <f t="shared" si="22"/>
        <v>837.17</v>
      </c>
      <c r="J428" s="12"/>
    </row>
    <row r="429" spans="1:10" x14ac:dyDescent="0.25">
      <c r="C429" s="9"/>
      <c r="D429" s="10">
        <v>45705</v>
      </c>
      <c r="E429" t="s">
        <v>1524</v>
      </c>
      <c r="F429" s="11" t="s">
        <v>1896</v>
      </c>
      <c r="G429" s="8">
        <v>0</v>
      </c>
      <c r="H429" s="8">
        <v>837.17</v>
      </c>
      <c r="I429" s="8">
        <f t="shared" si="22"/>
        <v>0</v>
      </c>
      <c r="J429" s="12"/>
    </row>
    <row r="430" spans="1:10" x14ac:dyDescent="0.25">
      <c r="C430" s="9"/>
      <c r="D430" s="10">
        <v>45716</v>
      </c>
      <c r="E430" t="s">
        <v>1897</v>
      </c>
      <c r="F430" s="11" t="s">
        <v>1898</v>
      </c>
      <c r="G430" s="8">
        <v>111.04</v>
      </c>
      <c r="H430" s="8">
        <v>0</v>
      </c>
      <c r="I430" s="8">
        <f t="shared" si="22"/>
        <v>111.04</v>
      </c>
      <c r="J430" s="12"/>
    </row>
    <row r="431" spans="1:10" x14ac:dyDescent="0.25">
      <c r="C431" s="9"/>
      <c r="D431" s="10">
        <v>45720</v>
      </c>
      <c r="E431" t="s">
        <v>1524</v>
      </c>
      <c r="F431" s="11" t="s">
        <v>1898</v>
      </c>
      <c r="G431" s="8">
        <v>0</v>
      </c>
      <c r="H431" s="8">
        <v>111.04</v>
      </c>
      <c r="I431" s="8">
        <f t="shared" si="22"/>
        <v>0</v>
      </c>
      <c r="J431" s="12"/>
    </row>
    <row r="432" spans="1:10" x14ac:dyDescent="0.25">
      <c r="C432" s="9"/>
      <c r="D432" s="10">
        <v>45730</v>
      </c>
      <c r="E432" t="s">
        <v>1899</v>
      </c>
      <c r="F432" s="11" t="s">
        <v>1900</v>
      </c>
      <c r="G432" s="8">
        <v>388.45</v>
      </c>
      <c r="H432" s="8">
        <v>0</v>
      </c>
      <c r="I432" s="8">
        <f t="shared" si="22"/>
        <v>388.45</v>
      </c>
      <c r="J432" s="12"/>
    </row>
    <row r="433" spans="1:10" x14ac:dyDescent="0.25">
      <c r="C433" s="9"/>
      <c r="D433" s="10">
        <v>45733</v>
      </c>
      <c r="E433" t="s">
        <v>1524</v>
      </c>
      <c r="F433" s="11" t="s">
        <v>1900</v>
      </c>
      <c r="G433" s="8">
        <v>0</v>
      </c>
      <c r="H433" s="8">
        <v>388.45</v>
      </c>
      <c r="I433" s="8">
        <f t="shared" si="22"/>
        <v>0</v>
      </c>
      <c r="J433" s="12"/>
    </row>
    <row r="434" spans="1:10" x14ac:dyDescent="0.25">
      <c r="C434" s="9"/>
      <c r="D434" s="10">
        <v>45747</v>
      </c>
      <c r="E434" t="s">
        <v>1901</v>
      </c>
      <c r="F434" s="11" t="s">
        <v>1902</v>
      </c>
      <c r="G434" s="8">
        <v>92.19</v>
      </c>
      <c r="H434" s="8">
        <v>0</v>
      </c>
      <c r="I434" s="8">
        <f t="shared" si="22"/>
        <v>92.19</v>
      </c>
      <c r="J434" s="12"/>
    </row>
    <row r="435" spans="1:10" x14ac:dyDescent="0.25">
      <c r="C435" s="9"/>
      <c r="D435" s="10">
        <v>45748</v>
      </c>
      <c r="E435" t="s">
        <v>1524</v>
      </c>
      <c r="F435" s="11" t="s">
        <v>1902</v>
      </c>
      <c r="G435" s="8">
        <v>0</v>
      </c>
      <c r="H435" s="8">
        <v>92.19</v>
      </c>
      <c r="I435" s="8">
        <f t="shared" si="22"/>
        <v>0</v>
      </c>
      <c r="J435" s="12"/>
    </row>
    <row r="436" spans="1:10" x14ac:dyDescent="0.25">
      <c r="C436" s="9"/>
      <c r="D436" s="10">
        <v>45762</v>
      </c>
      <c r="E436" t="s">
        <v>1903</v>
      </c>
      <c r="F436" s="11" t="s">
        <v>42</v>
      </c>
      <c r="G436" s="8">
        <v>0</v>
      </c>
      <c r="H436" s="8">
        <v>379.23</v>
      </c>
      <c r="I436" s="8">
        <f t="shared" si="22"/>
        <v>-379.23</v>
      </c>
      <c r="J436" s="12"/>
    </row>
    <row r="437" spans="1:10" x14ac:dyDescent="0.25">
      <c r="E437" s="4" t="s">
        <v>20</v>
      </c>
      <c r="G437" s="8">
        <f>SUM(G424:G436)</f>
        <v>3434.77</v>
      </c>
      <c r="H437" s="8">
        <f>SUM(H424:H436)</f>
        <v>3814</v>
      </c>
      <c r="I437" s="8">
        <f>G437-H437</f>
        <v>-379.23</v>
      </c>
    </row>
    <row r="439" spans="1:10" x14ac:dyDescent="0.25">
      <c r="A439" s="5">
        <v>4300160</v>
      </c>
      <c r="B439" s="6" t="s">
        <v>1904</v>
      </c>
      <c r="C439" s="7"/>
      <c r="D439" s="7"/>
      <c r="E439" s="7"/>
      <c r="F439" s="7"/>
      <c r="G439" s="7"/>
      <c r="H439" s="7"/>
      <c r="I439" s="7"/>
      <c r="J439" s="7"/>
    </row>
    <row r="440" spans="1:10" x14ac:dyDescent="0.25">
      <c r="E440" s="4" t="s">
        <v>10</v>
      </c>
      <c r="G440" s="8">
        <v>89.16</v>
      </c>
      <c r="H440" s="8">
        <v>0</v>
      </c>
      <c r="I440" s="8">
        <f>G440-H440</f>
        <v>89.16</v>
      </c>
    </row>
    <row r="441" spans="1:10" x14ac:dyDescent="0.25">
      <c r="C441" s="9"/>
      <c r="D441" s="10">
        <v>45660</v>
      </c>
      <c r="E441" t="s">
        <v>1905</v>
      </c>
      <c r="F441" s="11" t="s">
        <v>42</v>
      </c>
      <c r="G441" s="8">
        <v>0</v>
      </c>
      <c r="H441" s="8">
        <v>89.16</v>
      </c>
      <c r="I441" s="8">
        <f t="shared" ref="I441:I452" si="23">G441-H441+I440</f>
        <v>0</v>
      </c>
      <c r="J441" s="12"/>
    </row>
    <row r="442" spans="1:10" x14ac:dyDescent="0.25">
      <c r="C442" s="9"/>
      <c r="D442" s="10">
        <v>45671</v>
      </c>
      <c r="E442" t="s">
        <v>1906</v>
      </c>
      <c r="F442" s="11" t="s">
        <v>1907</v>
      </c>
      <c r="G442" s="8">
        <v>41.16</v>
      </c>
      <c r="H442" s="8">
        <v>0</v>
      </c>
      <c r="I442" s="8">
        <f t="shared" si="23"/>
        <v>41.16</v>
      </c>
      <c r="J442" s="12"/>
    </row>
    <row r="443" spans="1:10" x14ac:dyDescent="0.25">
      <c r="C443" s="9"/>
      <c r="D443" s="10">
        <v>45672</v>
      </c>
      <c r="E443" t="s">
        <v>1905</v>
      </c>
      <c r="F443" s="11" t="s">
        <v>42</v>
      </c>
      <c r="G443" s="8">
        <v>0</v>
      </c>
      <c r="H443" s="8">
        <v>41.16</v>
      </c>
      <c r="I443" s="8">
        <f t="shared" si="23"/>
        <v>0</v>
      </c>
      <c r="J443" s="12"/>
    </row>
    <row r="444" spans="1:10" x14ac:dyDescent="0.25">
      <c r="C444" s="9"/>
      <c r="D444" s="10">
        <v>45702</v>
      </c>
      <c r="E444" t="s">
        <v>1908</v>
      </c>
      <c r="F444" s="11" t="s">
        <v>1909</v>
      </c>
      <c r="G444" s="8">
        <v>405.76</v>
      </c>
      <c r="H444" s="8">
        <v>0</v>
      </c>
      <c r="I444" s="8">
        <f t="shared" si="23"/>
        <v>405.76</v>
      </c>
      <c r="J444" s="12"/>
    </row>
    <row r="445" spans="1:10" x14ac:dyDescent="0.25">
      <c r="C445" s="9"/>
      <c r="D445" s="10">
        <v>45705</v>
      </c>
      <c r="E445" t="s">
        <v>1524</v>
      </c>
      <c r="F445" s="11" t="s">
        <v>1909</v>
      </c>
      <c r="G445" s="8">
        <v>0</v>
      </c>
      <c r="H445" s="8">
        <v>405.76</v>
      </c>
      <c r="I445" s="8">
        <f t="shared" si="23"/>
        <v>0</v>
      </c>
      <c r="J445" s="12"/>
    </row>
    <row r="446" spans="1:10" x14ac:dyDescent="0.25">
      <c r="C446" s="9"/>
      <c r="D446" s="10">
        <v>45716</v>
      </c>
      <c r="E446" t="s">
        <v>1910</v>
      </c>
      <c r="F446" s="11" t="s">
        <v>1911</v>
      </c>
      <c r="G446" s="8">
        <v>387.37</v>
      </c>
      <c r="H446" s="8">
        <v>0</v>
      </c>
      <c r="I446" s="8">
        <f t="shared" si="23"/>
        <v>387.37</v>
      </c>
      <c r="J446" s="12"/>
    </row>
    <row r="447" spans="1:10" x14ac:dyDescent="0.25">
      <c r="C447" s="9"/>
      <c r="D447" s="10">
        <v>45730</v>
      </c>
      <c r="E447" t="s">
        <v>1912</v>
      </c>
      <c r="F447" s="11" t="s">
        <v>1913</v>
      </c>
      <c r="G447" s="8">
        <v>34.340000000000003</v>
      </c>
      <c r="H447" s="8">
        <v>0</v>
      </c>
      <c r="I447" s="8">
        <f t="shared" si="23"/>
        <v>421.71000000000004</v>
      </c>
      <c r="J447" s="12"/>
    </row>
    <row r="448" spans="1:10" x14ac:dyDescent="0.25">
      <c r="C448" s="9"/>
      <c r="D448" s="10">
        <v>45733</v>
      </c>
      <c r="E448" t="s">
        <v>1905</v>
      </c>
      <c r="F448" s="11" t="s">
        <v>42</v>
      </c>
      <c r="G448" s="8">
        <v>0</v>
      </c>
      <c r="H448" s="8">
        <v>387.37</v>
      </c>
      <c r="I448" s="8">
        <f t="shared" si="23"/>
        <v>34.340000000000032</v>
      </c>
      <c r="J448" s="12"/>
    </row>
    <row r="449" spans="1:10" x14ac:dyDescent="0.25">
      <c r="C449" s="9"/>
      <c r="D449" s="10">
        <v>45733</v>
      </c>
      <c r="E449" t="s">
        <v>1524</v>
      </c>
      <c r="F449" s="11" t="s">
        <v>1913</v>
      </c>
      <c r="G449" s="8">
        <v>0</v>
      </c>
      <c r="H449" s="8">
        <v>34.340000000000003</v>
      </c>
      <c r="I449" s="8">
        <f t="shared" si="23"/>
        <v>0</v>
      </c>
      <c r="J449" s="12"/>
    </row>
    <row r="450" spans="1:10" x14ac:dyDescent="0.25">
      <c r="C450" s="9"/>
      <c r="D450" s="10">
        <v>45747</v>
      </c>
      <c r="E450" t="s">
        <v>1914</v>
      </c>
      <c r="F450" s="11" t="s">
        <v>1915</v>
      </c>
      <c r="G450" s="8">
        <v>267.91000000000003</v>
      </c>
      <c r="H450" s="8">
        <v>0</v>
      </c>
      <c r="I450" s="8">
        <f t="shared" si="23"/>
        <v>267.91000000000003</v>
      </c>
      <c r="J450" s="12"/>
    </row>
    <row r="451" spans="1:10" x14ac:dyDescent="0.25">
      <c r="C451" s="9"/>
      <c r="D451" s="10">
        <v>45762</v>
      </c>
      <c r="E451" t="s">
        <v>1524</v>
      </c>
      <c r="F451" s="11" t="s">
        <v>1915</v>
      </c>
      <c r="G451" s="8">
        <v>0</v>
      </c>
      <c r="H451" s="8">
        <v>267.91000000000003</v>
      </c>
      <c r="I451" s="8">
        <f t="shared" si="23"/>
        <v>0</v>
      </c>
      <c r="J451" s="12"/>
    </row>
    <row r="452" spans="1:10" x14ac:dyDescent="0.25">
      <c r="C452" s="9"/>
      <c r="D452" s="10">
        <v>45762</v>
      </c>
      <c r="E452" t="s">
        <v>1905</v>
      </c>
      <c r="F452" s="11" t="s">
        <v>42</v>
      </c>
      <c r="G452" s="8">
        <v>0</v>
      </c>
      <c r="H452" s="8">
        <v>244.06</v>
      </c>
      <c r="I452" s="8">
        <f t="shared" si="23"/>
        <v>-244.06</v>
      </c>
      <c r="J452" s="12"/>
    </row>
    <row r="453" spans="1:10" x14ac:dyDescent="0.25">
      <c r="E453" s="4" t="s">
        <v>20</v>
      </c>
      <c r="G453" s="8">
        <f>SUM(G440:G452)</f>
        <v>1225.7</v>
      </c>
      <c r="H453" s="8">
        <f>SUM(H440:H452)</f>
        <v>1469.76</v>
      </c>
      <c r="I453" s="8">
        <f>G453-H453</f>
        <v>-244.05999999999995</v>
      </c>
    </row>
    <row r="455" spans="1:10" x14ac:dyDescent="0.25">
      <c r="A455" s="5">
        <v>4300162</v>
      </c>
      <c r="B455" s="6" t="s">
        <v>1916</v>
      </c>
      <c r="C455" s="7"/>
      <c r="D455" s="7"/>
      <c r="E455" s="7"/>
      <c r="F455" s="7"/>
      <c r="G455" s="7"/>
      <c r="H455" s="7"/>
      <c r="I455" s="7"/>
      <c r="J455" s="7"/>
    </row>
    <row r="456" spans="1:10" x14ac:dyDescent="0.25">
      <c r="C456" s="9"/>
      <c r="D456" s="10">
        <v>45688</v>
      </c>
      <c r="E456" t="s">
        <v>1917</v>
      </c>
      <c r="F456" s="11" t="s">
        <v>1918</v>
      </c>
      <c r="G456" s="8">
        <v>353.03</v>
      </c>
      <c r="H456" s="8">
        <v>0</v>
      </c>
      <c r="I456" s="8">
        <f>G456-H456</f>
        <v>353.03</v>
      </c>
      <c r="J456" s="12"/>
    </row>
    <row r="457" spans="1:10" x14ac:dyDescent="0.25">
      <c r="C457" s="9"/>
      <c r="D457" s="10">
        <v>45691</v>
      </c>
      <c r="E457" t="s">
        <v>1524</v>
      </c>
      <c r="F457" s="11" t="s">
        <v>1918</v>
      </c>
      <c r="G457" s="8">
        <v>0</v>
      </c>
      <c r="H457" s="8">
        <v>353.03</v>
      </c>
      <c r="I457" s="8">
        <f t="shared" ref="I457:I462" si="24">G457-H457+I456</f>
        <v>0</v>
      </c>
      <c r="J457" s="12"/>
    </row>
    <row r="458" spans="1:10" x14ac:dyDescent="0.25">
      <c r="C458" s="9"/>
      <c r="D458" s="10">
        <v>45730</v>
      </c>
      <c r="E458" t="s">
        <v>1919</v>
      </c>
      <c r="F458" s="11" t="s">
        <v>1920</v>
      </c>
      <c r="G458" s="8">
        <v>192.37</v>
      </c>
      <c r="H458" s="8">
        <v>0</v>
      </c>
      <c r="I458" s="8">
        <f t="shared" si="24"/>
        <v>192.37</v>
      </c>
      <c r="J458" s="12"/>
    </row>
    <row r="459" spans="1:10" x14ac:dyDescent="0.25">
      <c r="C459" s="9"/>
      <c r="D459" s="10">
        <v>45733</v>
      </c>
      <c r="E459" t="s">
        <v>1524</v>
      </c>
      <c r="F459" s="11" t="s">
        <v>1920</v>
      </c>
      <c r="G459" s="8">
        <v>0</v>
      </c>
      <c r="H459" s="8">
        <v>192.37</v>
      </c>
      <c r="I459" s="8">
        <f t="shared" si="24"/>
        <v>0</v>
      </c>
      <c r="J459" s="12"/>
    </row>
    <row r="460" spans="1:10" x14ac:dyDescent="0.25">
      <c r="C460" s="9"/>
      <c r="D460" s="10">
        <v>45747</v>
      </c>
      <c r="E460" t="s">
        <v>1921</v>
      </c>
      <c r="F460" s="11" t="s">
        <v>1922</v>
      </c>
      <c r="G460" s="8">
        <v>71.58</v>
      </c>
      <c r="H460" s="8">
        <v>0</v>
      </c>
      <c r="I460" s="8">
        <f t="shared" si="24"/>
        <v>71.58</v>
      </c>
      <c r="J460" s="12"/>
    </row>
    <row r="461" spans="1:10" x14ac:dyDescent="0.25">
      <c r="C461" s="9"/>
      <c r="D461" s="10">
        <v>45748</v>
      </c>
      <c r="E461" t="s">
        <v>1524</v>
      </c>
      <c r="F461" s="11" t="s">
        <v>1922</v>
      </c>
      <c r="G461" s="8">
        <v>0</v>
      </c>
      <c r="H461" s="8">
        <v>71.58</v>
      </c>
      <c r="I461" s="8">
        <f t="shared" si="24"/>
        <v>0</v>
      </c>
      <c r="J461" s="12"/>
    </row>
    <row r="462" spans="1:10" x14ac:dyDescent="0.25">
      <c r="C462" s="9"/>
      <c r="D462" s="10">
        <v>45762</v>
      </c>
      <c r="E462" t="s">
        <v>1923</v>
      </c>
      <c r="F462" s="11" t="s">
        <v>1922</v>
      </c>
      <c r="G462" s="8">
        <v>0</v>
      </c>
      <c r="H462" s="8">
        <v>134.61000000000001</v>
      </c>
      <c r="I462" s="8">
        <f t="shared" si="24"/>
        <v>-134.61000000000001</v>
      </c>
      <c r="J462" s="12"/>
    </row>
    <row r="463" spans="1:10" x14ac:dyDescent="0.25">
      <c r="E463" s="4" t="s">
        <v>20</v>
      </c>
      <c r="G463" s="8">
        <f>SUM(G456:G462)</f>
        <v>616.98</v>
      </c>
      <c r="H463" s="8">
        <f>SUM(H456:H462)</f>
        <v>751.59</v>
      </c>
      <c r="I463" s="8">
        <f>G463-H463</f>
        <v>-134.61000000000001</v>
      </c>
    </row>
    <row r="465" spans="1:10" x14ac:dyDescent="0.25">
      <c r="A465" s="5">
        <v>4300167</v>
      </c>
      <c r="B465" s="6" t="s">
        <v>1924</v>
      </c>
      <c r="C465" s="7"/>
      <c r="D465" s="7"/>
      <c r="E465" s="7"/>
      <c r="F465" s="7"/>
      <c r="G465" s="7"/>
      <c r="H465" s="7"/>
      <c r="I465" s="7"/>
      <c r="J465" s="7"/>
    </row>
    <row r="466" spans="1:10" x14ac:dyDescent="0.25">
      <c r="C466" s="9"/>
      <c r="D466" s="10">
        <v>45688</v>
      </c>
      <c r="E466" t="s">
        <v>1925</v>
      </c>
      <c r="F466" s="11" t="s">
        <v>1926</v>
      </c>
      <c r="G466" s="8">
        <v>121.98</v>
      </c>
      <c r="H466" s="8">
        <v>0</v>
      </c>
      <c r="I466" s="8">
        <f>G466-H466</f>
        <v>121.98</v>
      </c>
      <c r="J466" s="12"/>
    </row>
    <row r="467" spans="1:10" x14ac:dyDescent="0.25">
      <c r="C467" s="9" t="s">
        <v>124</v>
      </c>
      <c r="D467" s="10">
        <v>45691</v>
      </c>
      <c r="E467" t="s">
        <v>1927</v>
      </c>
      <c r="F467" s="11" t="s">
        <v>1926</v>
      </c>
      <c r="G467" s="8">
        <v>0</v>
      </c>
      <c r="H467" s="8">
        <v>121.98</v>
      </c>
      <c r="I467" s="8">
        <f t="shared" ref="I467:I472" si="25">G467-H467+I466</f>
        <v>0</v>
      </c>
      <c r="J467" s="12"/>
    </row>
    <row r="468" spans="1:10" x14ac:dyDescent="0.25">
      <c r="C468" s="9"/>
      <c r="D468" s="10">
        <v>45702</v>
      </c>
      <c r="E468" t="s">
        <v>1928</v>
      </c>
      <c r="F468" s="11" t="s">
        <v>1929</v>
      </c>
      <c r="G468" s="8">
        <v>161.80000000000001</v>
      </c>
      <c r="H468" s="8">
        <v>0</v>
      </c>
      <c r="I468" s="8">
        <f t="shared" si="25"/>
        <v>161.80000000000001</v>
      </c>
      <c r="J468" s="12"/>
    </row>
    <row r="469" spans="1:10" x14ac:dyDescent="0.25">
      <c r="C469" s="9"/>
      <c r="D469" s="10">
        <v>45705</v>
      </c>
      <c r="E469" t="s">
        <v>1930</v>
      </c>
      <c r="F469" s="11" t="s">
        <v>42</v>
      </c>
      <c r="G469" s="8">
        <v>0</v>
      </c>
      <c r="H469" s="8">
        <v>161.80000000000001</v>
      </c>
      <c r="I469" s="8">
        <f t="shared" si="25"/>
        <v>0</v>
      </c>
      <c r="J469" s="12"/>
    </row>
    <row r="470" spans="1:10" x14ac:dyDescent="0.25">
      <c r="C470" s="9"/>
      <c r="D470" s="10">
        <v>45730</v>
      </c>
      <c r="E470" t="s">
        <v>1931</v>
      </c>
      <c r="F470" s="11" t="s">
        <v>1932</v>
      </c>
      <c r="G470" s="8">
        <v>39.630000000000003</v>
      </c>
      <c r="H470" s="8">
        <v>0</v>
      </c>
      <c r="I470" s="8">
        <f t="shared" si="25"/>
        <v>39.630000000000003</v>
      </c>
      <c r="J470" s="12"/>
    </row>
    <row r="471" spans="1:10" x14ac:dyDescent="0.25">
      <c r="C471" s="9"/>
      <c r="D471" s="10">
        <v>45733</v>
      </c>
      <c r="E471" t="s">
        <v>1524</v>
      </c>
      <c r="F471" s="11" t="s">
        <v>1932</v>
      </c>
      <c r="G471" s="8">
        <v>0</v>
      </c>
      <c r="H471" s="8">
        <v>39.630000000000003</v>
      </c>
      <c r="I471" s="8">
        <f t="shared" si="25"/>
        <v>0</v>
      </c>
      <c r="J471" s="12"/>
    </row>
    <row r="472" spans="1:10" x14ac:dyDescent="0.25">
      <c r="C472" s="9"/>
      <c r="D472" s="10">
        <v>45762</v>
      </c>
      <c r="E472" t="s">
        <v>1930</v>
      </c>
      <c r="F472" s="11" t="s">
        <v>42</v>
      </c>
      <c r="G472" s="8">
        <v>0</v>
      </c>
      <c r="H472" s="8">
        <v>63.53</v>
      </c>
      <c r="I472" s="8">
        <f t="shared" si="25"/>
        <v>-63.53</v>
      </c>
      <c r="J472" s="12"/>
    </row>
    <row r="473" spans="1:10" x14ac:dyDescent="0.25">
      <c r="E473" s="4" t="s">
        <v>20</v>
      </c>
      <c r="G473" s="8">
        <f>SUM(G466:G472)</f>
        <v>323.41000000000003</v>
      </c>
      <c r="H473" s="8">
        <f>SUM(H466:H472)</f>
        <v>386.94000000000005</v>
      </c>
      <c r="I473" s="8">
        <f>G473-H473</f>
        <v>-63.53000000000003</v>
      </c>
    </row>
    <row r="475" spans="1:10" x14ac:dyDescent="0.25">
      <c r="A475" s="5">
        <v>4300169</v>
      </c>
      <c r="B475" s="6" t="s">
        <v>1933</v>
      </c>
      <c r="C475" s="7"/>
      <c r="D475" s="7"/>
      <c r="E475" s="7"/>
      <c r="F475" s="7"/>
      <c r="G475" s="7"/>
      <c r="H475" s="7"/>
      <c r="I475" s="7"/>
      <c r="J475" s="7"/>
    </row>
    <row r="476" spans="1:10" x14ac:dyDescent="0.25">
      <c r="C476" s="9"/>
      <c r="D476" s="10">
        <v>45671</v>
      </c>
      <c r="E476" t="s">
        <v>1934</v>
      </c>
      <c r="F476" s="11" t="s">
        <v>1935</v>
      </c>
      <c r="G476" s="8">
        <v>200.85</v>
      </c>
      <c r="H476" s="8">
        <v>0</v>
      </c>
      <c r="I476" s="8">
        <f>G476-H476</f>
        <v>200.85</v>
      </c>
      <c r="J476" s="12"/>
    </row>
    <row r="477" spans="1:10" x14ac:dyDescent="0.25">
      <c r="C477" s="9"/>
      <c r="D477" s="10">
        <v>45672</v>
      </c>
      <c r="E477" t="s">
        <v>1524</v>
      </c>
      <c r="F477" s="11" t="s">
        <v>1935</v>
      </c>
      <c r="G477" s="8">
        <v>0</v>
      </c>
      <c r="H477" s="8">
        <v>200.85</v>
      </c>
      <c r="I477" s="8">
        <f t="shared" ref="I477:I488" si="26">G477-H477+I476</f>
        <v>0</v>
      </c>
      <c r="J477" s="12"/>
    </row>
    <row r="478" spans="1:10" x14ac:dyDescent="0.25">
      <c r="C478" s="9"/>
      <c r="D478" s="10">
        <v>45688</v>
      </c>
      <c r="E478" t="s">
        <v>1936</v>
      </c>
      <c r="F478" s="11" t="s">
        <v>1937</v>
      </c>
      <c r="G478" s="8">
        <v>431.73</v>
      </c>
      <c r="H478" s="8">
        <v>0</v>
      </c>
      <c r="I478" s="8">
        <f t="shared" si="26"/>
        <v>431.73</v>
      </c>
      <c r="J478" s="12"/>
    </row>
    <row r="479" spans="1:10" x14ac:dyDescent="0.25">
      <c r="C479" s="9"/>
      <c r="D479" s="10">
        <v>45691</v>
      </c>
      <c r="E479" t="s">
        <v>1524</v>
      </c>
      <c r="F479" s="11" t="s">
        <v>1937</v>
      </c>
      <c r="G479" s="8">
        <v>0</v>
      </c>
      <c r="H479" s="8">
        <v>431.73</v>
      </c>
      <c r="I479" s="8">
        <f t="shared" si="26"/>
        <v>0</v>
      </c>
      <c r="J479" s="12"/>
    </row>
    <row r="480" spans="1:10" x14ac:dyDescent="0.25">
      <c r="C480" s="9"/>
      <c r="D480" s="10">
        <v>45702</v>
      </c>
      <c r="E480" t="s">
        <v>1938</v>
      </c>
      <c r="F480" s="11" t="s">
        <v>1939</v>
      </c>
      <c r="G480" s="8">
        <v>109.58</v>
      </c>
      <c r="H480" s="8">
        <v>0</v>
      </c>
      <c r="I480" s="8">
        <f t="shared" si="26"/>
        <v>109.58</v>
      </c>
      <c r="J480" s="12"/>
    </row>
    <row r="481" spans="1:10" x14ac:dyDescent="0.25">
      <c r="C481" s="9"/>
      <c r="D481" s="10">
        <v>45705</v>
      </c>
      <c r="E481" t="s">
        <v>1524</v>
      </c>
      <c r="F481" s="11" t="s">
        <v>1939</v>
      </c>
      <c r="G481" s="8">
        <v>0</v>
      </c>
      <c r="H481" s="8">
        <v>109.58</v>
      </c>
      <c r="I481" s="8">
        <f t="shared" si="26"/>
        <v>0</v>
      </c>
      <c r="J481" s="12"/>
    </row>
    <row r="482" spans="1:10" x14ac:dyDescent="0.25">
      <c r="C482" s="9"/>
      <c r="D482" s="10">
        <v>45716</v>
      </c>
      <c r="E482" t="s">
        <v>1940</v>
      </c>
      <c r="F482" s="11" t="s">
        <v>1941</v>
      </c>
      <c r="G482" s="8">
        <v>286.24</v>
      </c>
      <c r="H482" s="8">
        <v>0</v>
      </c>
      <c r="I482" s="8">
        <f t="shared" si="26"/>
        <v>286.24</v>
      </c>
      <c r="J482" s="12"/>
    </row>
    <row r="483" spans="1:10" x14ac:dyDescent="0.25">
      <c r="C483" s="9" t="s">
        <v>124</v>
      </c>
      <c r="D483" s="10">
        <v>45719</v>
      </c>
      <c r="E483" t="s">
        <v>1942</v>
      </c>
      <c r="F483" s="11" t="s">
        <v>1941</v>
      </c>
      <c r="G483" s="8">
        <v>0</v>
      </c>
      <c r="H483" s="8">
        <v>286.24</v>
      </c>
      <c r="I483" s="8">
        <f t="shared" si="26"/>
        <v>0</v>
      </c>
      <c r="J483" s="12"/>
    </row>
    <row r="484" spans="1:10" x14ac:dyDescent="0.25">
      <c r="C484" s="9"/>
      <c r="D484" s="10">
        <v>45730</v>
      </c>
      <c r="E484" t="s">
        <v>1943</v>
      </c>
      <c r="F484" s="11" t="s">
        <v>1944</v>
      </c>
      <c r="G484" s="8">
        <v>670.49</v>
      </c>
      <c r="H484" s="8">
        <v>0</v>
      </c>
      <c r="I484" s="8">
        <f t="shared" si="26"/>
        <v>670.49</v>
      </c>
      <c r="J484" s="12"/>
    </row>
    <row r="485" spans="1:10" x14ac:dyDescent="0.25">
      <c r="C485" s="9"/>
      <c r="D485" s="10">
        <v>45733</v>
      </c>
      <c r="E485" t="s">
        <v>1524</v>
      </c>
      <c r="F485" s="11" t="s">
        <v>1944</v>
      </c>
      <c r="G485" s="8">
        <v>0</v>
      </c>
      <c r="H485" s="8">
        <v>670.49</v>
      </c>
      <c r="I485" s="8">
        <f t="shared" si="26"/>
        <v>0</v>
      </c>
      <c r="J485" s="12"/>
    </row>
    <row r="486" spans="1:10" x14ac:dyDescent="0.25">
      <c r="C486" s="9"/>
      <c r="D486" s="10">
        <v>45747</v>
      </c>
      <c r="E486" t="s">
        <v>1945</v>
      </c>
      <c r="F486" s="11" t="s">
        <v>1946</v>
      </c>
      <c r="G486" s="8">
        <v>66.45</v>
      </c>
      <c r="H486" s="8">
        <v>0</v>
      </c>
      <c r="I486" s="8">
        <f t="shared" si="26"/>
        <v>66.45</v>
      </c>
      <c r="J486" s="12"/>
    </row>
    <row r="487" spans="1:10" x14ac:dyDescent="0.25">
      <c r="C487" s="9"/>
      <c r="D487" s="10">
        <v>45748</v>
      </c>
      <c r="E487" t="s">
        <v>1524</v>
      </c>
      <c r="F487" s="11" t="s">
        <v>1946</v>
      </c>
      <c r="G487" s="8">
        <v>0</v>
      </c>
      <c r="H487" s="8">
        <v>66.45</v>
      </c>
      <c r="I487" s="8">
        <f t="shared" si="26"/>
        <v>0</v>
      </c>
      <c r="J487" s="12"/>
    </row>
    <row r="488" spans="1:10" x14ac:dyDescent="0.25">
      <c r="C488" s="9"/>
      <c r="D488" s="10">
        <v>45762</v>
      </c>
      <c r="E488" t="s">
        <v>1947</v>
      </c>
      <c r="F488" s="11" t="s">
        <v>42</v>
      </c>
      <c r="G488" s="8">
        <v>0</v>
      </c>
      <c r="H488" s="8">
        <v>136.37</v>
      </c>
      <c r="I488" s="8">
        <f t="shared" si="26"/>
        <v>-136.37</v>
      </c>
      <c r="J488" s="12"/>
    </row>
    <row r="489" spans="1:10" x14ac:dyDescent="0.25">
      <c r="E489" s="4" t="s">
        <v>20</v>
      </c>
      <c r="G489" s="8">
        <f>SUM(G476:G488)</f>
        <v>1765.3400000000001</v>
      </c>
      <c r="H489" s="8">
        <f>SUM(H476:H488)</f>
        <v>1901.71</v>
      </c>
      <c r="I489" s="8">
        <f>G489-H489</f>
        <v>-136.36999999999989</v>
      </c>
    </row>
    <row r="491" spans="1:10" x14ac:dyDescent="0.25">
      <c r="A491" s="5">
        <v>4300175</v>
      </c>
      <c r="B491" s="6" t="s">
        <v>1948</v>
      </c>
      <c r="C491" s="7"/>
      <c r="D491" s="7"/>
      <c r="E491" s="7"/>
      <c r="F491" s="7"/>
      <c r="G491" s="7"/>
      <c r="H491" s="7"/>
      <c r="I491" s="7"/>
      <c r="J491" s="7"/>
    </row>
    <row r="492" spans="1:10" x14ac:dyDescent="0.25">
      <c r="E492" s="4" t="s">
        <v>10</v>
      </c>
      <c r="G492" s="8">
        <v>0</v>
      </c>
      <c r="H492" s="8">
        <v>694.13</v>
      </c>
      <c r="I492" s="8">
        <f>G492-H492</f>
        <v>-694.13</v>
      </c>
    </row>
    <row r="493" spans="1:10" x14ac:dyDescent="0.25">
      <c r="E493" s="4" t="s">
        <v>20</v>
      </c>
      <c r="G493" s="8">
        <f>G492</f>
        <v>0</v>
      </c>
      <c r="H493" s="8">
        <f>H492</f>
        <v>694.13</v>
      </c>
      <c r="I493" s="8">
        <f>G493-H493</f>
        <v>-694.13</v>
      </c>
    </row>
    <row r="495" spans="1:10" x14ac:dyDescent="0.25">
      <c r="A495" s="5">
        <v>4300179</v>
      </c>
      <c r="B495" s="6" t="s">
        <v>1949</v>
      </c>
      <c r="C495" s="7"/>
      <c r="D495" s="7"/>
      <c r="E495" s="7"/>
      <c r="F495" s="7"/>
      <c r="G495" s="7"/>
      <c r="H495" s="7"/>
      <c r="I495" s="7"/>
      <c r="J495" s="7"/>
    </row>
    <row r="496" spans="1:10" x14ac:dyDescent="0.25">
      <c r="E496" s="4" t="s">
        <v>10</v>
      </c>
      <c r="G496" s="8">
        <v>1.23</v>
      </c>
      <c r="H496" s="8">
        <v>0</v>
      </c>
      <c r="I496" s="8">
        <f>G496-H496</f>
        <v>1.23</v>
      </c>
    </row>
    <row r="497" spans="1:10" x14ac:dyDescent="0.25">
      <c r="E497" s="4" t="s">
        <v>20</v>
      </c>
      <c r="G497" s="8">
        <f>G496</f>
        <v>1.23</v>
      </c>
      <c r="H497" s="8">
        <f>H496</f>
        <v>0</v>
      </c>
      <c r="I497" s="8">
        <f>G497-H497</f>
        <v>1.23</v>
      </c>
    </row>
    <row r="499" spans="1:10" x14ac:dyDescent="0.25">
      <c r="A499" s="5">
        <v>4300183</v>
      </c>
      <c r="B499" s="6" t="s">
        <v>1950</v>
      </c>
      <c r="C499" s="7"/>
      <c r="D499" s="7"/>
      <c r="E499" s="7"/>
      <c r="F499" s="7"/>
      <c r="G499" s="7"/>
      <c r="H499" s="7"/>
      <c r="I499" s="7"/>
      <c r="J499" s="7"/>
    </row>
    <row r="500" spans="1:10" x14ac:dyDescent="0.25">
      <c r="E500" s="4" t="s">
        <v>10</v>
      </c>
      <c r="G500" s="8">
        <v>7.3</v>
      </c>
      <c r="H500" s="8">
        <v>0</v>
      </c>
      <c r="I500" s="8">
        <f>G500-H500</f>
        <v>7.3</v>
      </c>
    </row>
    <row r="501" spans="1:10" x14ac:dyDescent="0.25">
      <c r="E501" s="4" t="s">
        <v>20</v>
      </c>
      <c r="G501" s="8">
        <f>G500</f>
        <v>7.3</v>
      </c>
      <c r="H501" s="8">
        <f>H500</f>
        <v>0</v>
      </c>
      <c r="I501" s="8">
        <f>G501-H501</f>
        <v>7.3</v>
      </c>
    </row>
    <row r="503" spans="1:10" x14ac:dyDescent="0.25">
      <c r="A503" s="5">
        <v>4300184</v>
      </c>
      <c r="B503" s="6" t="s">
        <v>1951</v>
      </c>
      <c r="C503" s="7"/>
      <c r="D503" s="7"/>
      <c r="E503" s="7"/>
      <c r="F503" s="7"/>
      <c r="G503" s="7"/>
      <c r="H503" s="7"/>
      <c r="I503" s="7"/>
      <c r="J503" s="7"/>
    </row>
    <row r="504" spans="1:10" x14ac:dyDescent="0.25">
      <c r="E504" s="4" t="s">
        <v>10</v>
      </c>
      <c r="G504" s="8">
        <v>158.61000000000001</v>
      </c>
      <c r="H504" s="8">
        <v>0</v>
      </c>
      <c r="I504" s="8">
        <f>G504-H504</f>
        <v>158.61000000000001</v>
      </c>
    </row>
    <row r="505" spans="1:10" x14ac:dyDescent="0.25">
      <c r="E505" s="4" t="s">
        <v>20</v>
      </c>
      <c r="G505" s="8">
        <f>G504</f>
        <v>158.61000000000001</v>
      </c>
      <c r="H505" s="8">
        <f>H504</f>
        <v>0</v>
      </c>
      <c r="I505" s="8">
        <f>G505-H505</f>
        <v>158.61000000000001</v>
      </c>
    </row>
    <row r="507" spans="1:10" x14ac:dyDescent="0.25">
      <c r="A507" s="5">
        <v>4300190</v>
      </c>
      <c r="B507" s="6" t="s">
        <v>1952</v>
      </c>
      <c r="C507" s="7"/>
      <c r="D507" s="7"/>
      <c r="E507" s="7"/>
      <c r="F507" s="7"/>
      <c r="G507" s="7"/>
      <c r="H507" s="7"/>
      <c r="I507" s="7"/>
      <c r="J507" s="7"/>
    </row>
    <row r="508" spans="1:10" x14ac:dyDescent="0.25">
      <c r="E508" s="4" t="s">
        <v>10</v>
      </c>
      <c r="G508" s="8">
        <v>201.37</v>
      </c>
      <c r="H508" s="8">
        <v>0</v>
      </c>
      <c r="I508" s="8">
        <f>G508-H508</f>
        <v>201.37</v>
      </c>
    </row>
    <row r="509" spans="1:10" x14ac:dyDescent="0.25">
      <c r="C509" s="9"/>
      <c r="D509" s="10">
        <v>45659</v>
      </c>
      <c r="E509" t="s">
        <v>1524</v>
      </c>
      <c r="F509" s="11" t="s">
        <v>1953</v>
      </c>
      <c r="G509" s="8">
        <v>0</v>
      </c>
      <c r="H509" s="8">
        <v>201.37</v>
      </c>
      <c r="I509" s="8">
        <f t="shared" ref="I509:I520" si="27">G509-H509+I508</f>
        <v>0</v>
      </c>
      <c r="J509" s="12"/>
    </row>
    <row r="510" spans="1:10" x14ac:dyDescent="0.25">
      <c r="C510" s="9"/>
      <c r="D510" s="10">
        <v>45671</v>
      </c>
      <c r="E510" t="s">
        <v>1954</v>
      </c>
      <c r="F510" s="11" t="s">
        <v>1955</v>
      </c>
      <c r="G510" s="8">
        <v>1039.2</v>
      </c>
      <c r="H510" s="8">
        <v>0</v>
      </c>
      <c r="I510" s="8">
        <f t="shared" si="27"/>
        <v>1039.2</v>
      </c>
      <c r="J510" s="12"/>
    </row>
    <row r="511" spans="1:10" x14ac:dyDescent="0.25">
      <c r="C511" s="9"/>
      <c r="D511" s="10">
        <v>45672</v>
      </c>
      <c r="E511" t="s">
        <v>1524</v>
      </c>
      <c r="F511" s="11" t="s">
        <v>1955</v>
      </c>
      <c r="G511" s="8">
        <v>0</v>
      </c>
      <c r="H511" s="8">
        <v>1039.2</v>
      </c>
      <c r="I511" s="8">
        <f t="shared" si="27"/>
        <v>0</v>
      </c>
      <c r="J511" s="12"/>
    </row>
    <row r="512" spans="1:10" x14ac:dyDescent="0.25">
      <c r="C512" s="9"/>
      <c r="D512" s="10">
        <v>45688</v>
      </c>
      <c r="E512" t="s">
        <v>1956</v>
      </c>
      <c r="F512" s="11" t="s">
        <v>1957</v>
      </c>
      <c r="G512" s="8">
        <v>45.71</v>
      </c>
      <c r="H512" s="8">
        <v>0</v>
      </c>
      <c r="I512" s="8">
        <f t="shared" si="27"/>
        <v>45.71</v>
      </c>
      <c r="J512" s="12"/>
    </row>
    <row r="513" spans="1:10" x14ac:dyDescent="0.25">
      <c r="C513" s="9"/>
      <c r="D513" s="10">
        <v>45691</v>
      </c>
      <c r="E513" t="s">
        <v>1524</v>
      </c>
      <c r="F513" s="11" t="s">
        <v>1957</v>
      </c>
      <c r="G513" s="8">
        <v>0</v>
      </c>
      <c r="H513" s="8">
        <v>45.71</v>
      </c>
      <c r="I513" s="8">
        <f t="shared" si="27"/>
        <v>0</v>
      </c>
      <c r="J513" s="12"/>
    </row>
    <row r="514" spans="1:10" x14ac:dyDescent="0.25">
      <c r="C514" s="9"/>
      <c r="D514" s="10">
        <v>45702</v>
      </c>
      <c r="E514" t="s">
        <v>1958</v>
      </c>
      <c r="F514" s="11" t="s">
        <v>1959</v>
      </c>
      <c r="G514" s="8">
        <v>417.74</v>
      </c>
      <c r="H514" s="8">
        <v>0</v>
      </c>
      <c r="I514" s="8">
        <f t="shared" si="27"/>
        <v>417.74</v>
      </c>
      <c r="J514" s="12"/>
    </row>
    <row r="515" spans="1:10" x14ac:dyDescent="0.25">
      <c r="C515" s="9"/>
      <c r="D515" s="10">
        <v>45705</v>
      </c>
      <c r="E515" t="s">
        <v>1524</v>
      </c>
      <c r="F515" s="11" t="s">
        <v>1959</v>
      </c>
      <c r="G515" s="8">
        <v>0</v>
      </c>
      <c r="H515" s="8">
        <v>417.74</v>
      </c>
      <c r="I515" s="8">
        <f t="shared" si="27"/>
        <v>0</v>
      </c>
      <c r="J515" s="12"/>
    </row>
    <row r="516" spans="1:10" x14ac:dyDescent="0.25">
      <c r="C516" s="9"/>
      <c r="D516" s="10">
        <v>45716</v>
      </c>
      <c r="E516" t="s">
        <v>1960</v>
      </c>
      <c r="F516" s="11" t="s">
        <v>1961</v>
      </c>
      <c r="G516" s="8">
        <v>502.27</v>
      </c>
      <c r="H516" s="8">
        <v>0</v>
      </c>
      <c r="I516" s="8">
        <f t="shared" si="27"/>
        <v>502.27</v>
      </c>
      <c r="J516" s="12"/>
    </row>
    <row r="517" spans="1:10" x14ac:dyDescent="0.25">
      <c r="C517" s="9" t="s">
        <v>124</v>
      </c>
      <c r="D517" s="10">
        <v>45719</v>
      </c>
      <c r="E517" t="s">
        <v>1962</v>
      </c>
      <c r="F517" s="11" t="s">
        <v>1961</v>
      </c>
      <c r="G517" s="8">
        <v>0</v>
      </c>
      <c r="H517" s="8">
        <v>502.27</v>
      </c>
      <c r="I517" s="8">
        <f t="shared" si="27"/>
        <v>0</v>
      </c>
      <c r="J517" s="12"/>
    </row>
    <row r="518" spans="1:10" x14ac:dyDescent="0.25">
      <c r="C518" s="9"/>
      <c r="D518" s="10">
        <v>45730</v>
      </c>
      <c r="E518" t="s">
        <v>1963</v>
      </c>
      <c r="F518" s="11" t="s">
        <v>1964</v>
      </c>
      <c r="G518" s="8">
        <v>528.61</v>
      </c>
      <c r="H518" s="8">
        <v>0</v>
      </c>
      <c r="I518" s="8">
        <f t="shared" si="27"/>
        <v>528.61</v>
      </c>
      <c r="J518" s="12"/>
    </row>
    <row r="519" spans="1:10" x14ac:dyDescent="0.25">
      <c r="C519" s="9"/>
      <c r="D519" s="10">
        <v>45733</v>
      </c>
      <c r="E519" t="s">
        <v>1524</v>
      </c>
      <c r="F519" s="11" t="s">
        <v>1964</v>
      </c>
      <c r="G519" s="8">
        <v>0</v>
      </c>
      <c r="H519" s="8">
        <v>528.61</v>
      </c>
      <c r="I519" s="8">
        <f t="shared" si="27"/>
        <v>0</v>
      </c>
      <c r="J519" s="12"/>
    </row>
    <row r="520" spans="1:10" x14ac:dyDescent="0.25">
      <c r="C520" s="9"/>
      <c r="D520" s="10">
        <v>45762</v>
      </c>
      <c r="E520" t="s">
        <v>1524</v>
      </c>
      <c r="F520" s="11" t="s">
        <v>1965</v>
      </c>
      <c r="G520" s="8">
        <v>0</v>
      </c>
      <c r="H520" s="8">
        <v>224.18</v>
      </c>
      <c r="I520" s="8">
        <f t="shared" si="27"/>
        <v>-224.18</v>
      </c>
      <c r="J520" s="12"/>
    </row>
    <row r="521" spans="1:10" x14ac:dyDescent="0.25">
      <c r="E521" s="4" t="s">
        <v>20</v>
      </c>
      <c r="G521" s="8">
        <f>SUM(G508:G520)</f>
        <v>2734.9</v>
      </c>
      <c r="H521" s="8">
        <f>SUM(H508:H520)</f>
        <v>2959.08</v>
      </c>
      <c r="I521" s="8">
        <f>G521-H521</f>
        <v>-224.17999999999984</v>
      </c>
    </row>
    <row r="523" spans="1:10" x14ac:dyDescent="0.25">
      <c r="A523" s="5">
        <v>4300202</v>
      </c>
      <c r="B523" s="6" t="s">
        <v>1966</v>
      </c>
      <c r="C523" s="7"/>
      <c r="D523" s="7"/>
      <c r="E523" s="7"/>
      <c r="F523" s="7"/>
      <c r="G523" s="7"/>
      <c r="H523" s="7"/>
      <c r="I523" s="7"/>
      <c r="J523" s="7"/>
    </row>
    <row r="524" spans="1:10" x14ac:dyDescent="0.25">
      <c r="E524" s="4" t="s">
        <v>10</v>
      </c>
      <c r="G524" s="8">
        <v>116.5</v>
      </c>
      <c r="H524" s="8">
        <v>0</v>
      </c>
      <c r="I524" s="8">
        <f>G524-H524</f>
        <v>116.5</v>
      </c>
    </row>
    <row r="525" spans="1:10" x14ac:dyDescent="0.25">
      <c r="C525" s="9"/>
      <c r="D525" s="10">
        <v>45685</v>
      </c>
      <c r="E525" t="s">
        <v>1524</v>
      </c>
      <c r="F525" s="11" t="s">
        <v>1967</v>
      </c>
      <c r="G525" s="8">
        <v>0</v>
      </c>
      <c r="H525" s="8">
        <v>86.52</v>
      </c>
      <c r="I525" s="8">
        <f t="shared" ref="I525:I531" si="28">G525-H525+I524</f>
        <v>29.980000000000004</v>
      </c>
      <c r="J525" s="12"/>
    </row>
    <row r="526" spans="1:10" x14ac:dyDescent="0.25">
      <c r="C526" s="9"/>
      <c r="D526" s="10">
        <v>45688</v>
      </c>
      <c r="E526" t="s">
        <v>1968</v>
      </c>
      <c r="F526" s="11" t="s">
        <v>1969</v>
      </c>
      <c r="G526" s="8">
        <v>75.37</v>
      </c>
      <c r="H526" s="8">
        <v>0</v>
      </c>
      <c r="I526" s="8">
        <f t="shared" si="28"/>
        <v>105.35000000000001</v>
      </c>
      <c r="J526" s="12"/>
    </row>
    <row r="527" spans="1:10" x14ac:dyDescent="0.25">
      <c r="C527" s="9"/>
      <c r="D527" s="10">
        <v>45702</v>
      </c>
      <c r="E527" t="s">
        <v>1970</v>
      </c>
      <c r="F527" s="11" t="s">
        <v>1971</v>
      </c>
      <c r="G527" s="8">
        <v>63.05</v>
      </c>
      <c r="H527" s="8">
        <v>0</v>
      </c>
      <c r="I527" s="8">
        <f t="shared" si="28"/>
        <v>168.4</v>
      </c>
      <c r="J527" s="12"/>
    </row>
    <row r="528" spans="1:10" x14ac:dyDescent="0.25">
      <c r="C528" s="9"/>
      <c r="D528" s="10">
        <v>45716</v>
      </c>
      <c r="E528" t="s">
        <v>1972</v>
      </c>
      <c r="F528" s="11" t="s">
        <v>1973</v>
      </c>
      <c r="G528" s="8">
        <v>54.3</v>
      </c>
      <c r="H528" s="8">
        <v>0</v>
      </c>
      <c r="I528" s="8">
        <f t="shared" si="28"/>
        <v>222.7</v>
      </c>
      <c r="J528" s="12"/>
    </row>
    <row r="529" spans="1:10" x14ac:dyDescent="0.25">
      <c r="C529" s="9"/>
      <c r="D529" s="10">
        <v>45730</v>
      </c>
      <c r="E529" t="s">
        <v>1974</v>
      </c>
      <c r="F529" s="11" t="s">
        <v>1975</v>
      </c>
      <c r="G529" s="8">
        <v>41.84</v>
      </c>
      <c r="H529" s="8">
        <v>0</v>
      </c>
      <c r="I529" s="8">
        <f t="shared" si="28"/>
        <v>264.53999999999996</v>
      </c>
      <c r="J529" s="12"/>
    </row>
    <row r="530" spans="1:10" x14ac:dyDescent="0.25">
      <c r="C530" s="9"/>
      <c r="D530" s="10">
        <v>45742</v>
      </c>
      <c r="E530" t="s">
        <v>1524</v>
      </c>
      <c r="F530" s="11" t="s">
        <v>1976</v>
      </c>
      <c r="G530" s="8">
        <v>0</v>
      </c>
      <c r="H530" s="8">
        <v>29.98</v>
      </c>
      <c r="I530" s="8">
        <f t="shared" si="28"/>
        <v>234.55999999999997</v>
      </c>
      <c r="J530" s="12"/>
    </row>
    <row r="531" spans="1:10" x14ac:dyDescent="0.25">
      <c r="C531" s="9"/>
      <c r="D531" s="10">
        <v>45747</v>
      </c>
      <c r="E531" t="s">
        <v>1977</v>
      </c>
      <c r="F531" s="11" t="s">
        <v>1978</v>
      </c>
      <c r="G531" s="8">
        <v>50.25</v>
      </c>
      <c r="H531" s="8">
        <v>0</v>
      </c>
      <c r="I531" s="8">
        <f t="shared" si="28"/>
        <v>284.80999999999995</v>
      </c>
      <c r="J531" s="12"/>
    </row>
    <row r="532" spans="1:10" x14ac:dyDescent="0.25">
      <c r="E532" s="4" t="s">
        <v>20</v>
      </c>
      <c r="G532" s="8">
        <f>SUM(G524:G531)</f>
        <v>401.31000000000006</v>
      </c>
      <c r="H532" s="8">
        <f>SUM(H524:H531)</f>
        <v>116.5</v>
      </c>
      <c r="I532" s="8">
        <f>G532-H532</f>
        <v>284.81000000000006</v>
      </c>
    </row>
    <row r="534" spans="1:10" x14ac:dyDescent="0.25">
      <c r="A534" s="5">
        <v>4300205</v>
      </c>
      <c r="B534" s="6" t="s">
        <v>1979</v>
      </c>
      <c r="C534" s="7"/>
      <c r="D534" s="7"/>
      <c r="E534" s="7"/>
      <c r="F534" s="7"/>
      <c r="G534" s="7"/>
      <c r="H534" s="7"/>
      <c r="I534" s="7"/>
      <c r="J534" s="7"/>
    </row>
    <row r="535" spans="1:10" x14ac:dyDescent="0.25">
      <c r="E535" s="4" t="s">
        <v>10</v>
      </c>
      <c r="G535" s="8">
        <v>0</v>
      </c>
      <c r="H535" s="8">
        <v>155.69</v>
      </c>
      <c r="I535" s="8">
        <f>G535-H535</f>
        <v>-155.69</v>
      </c>
    </row>
    <row r="536" spans="1:10" x14ac:dyDescent="0.25">
      <c r="C536" s="9"/>
      <c r="D536" s="10">
        <v>45671</v>
      </c>
      <c r="E536" t="s">
        <v>1980</v>
      </c>
      <c r="F536" s="11" t="s">
        <v>1981</v>
      </c>
      <c r="G536" s="8">
        <v>34.24</v>
      </c>
      <c r="H536" s="8">
        <v>0</v>
      </c>
      <c r="I536" s="8">
        <f t="shared" ref="I536:I548" si="29">G536-H536+I535</f>
        <v>-121.44999999999999</v>
      </c>
      <c r="J536" s="12"/>
    </row>
    <row r="537" spans="1:10" x14ac:dyDescent="0.25">
      <c r="C537" s="9"/>
      <c r="D537" s="10">
        <v>45672</v>
      </c>
      <c r="E537" t="s">
        <v>1524</v>
      </c>
      <c r="F537" s="11" t="s">
        <v>1982</v>
      </c>
      <c r="G537" s="8">
        <v>0</v>
      </c>
      <c r="H537" s="8">
        <v>27.95</v>
      </c>
      <c r="I537" s="8">
        <f t="shared" si="29"/>
        <v>-149.39999999999998</v>
      </c>
      <c r="J537" s="12"/>
    </row>
    <row r="538" spans="1:10" x14ac:dyDescent="0.25">
      <c r="C538" s="9"/>
      <c r="D538" s="10">
        <v>45672</v>
      </c>
      <c r="E538" t="s">
        <v>1524</v>
      </c>
      <c r="F538" s="11" t="s">
        <v>1983</v>
      </c>
      <c r="G538" s="8">
        <v>0</v>
      </c>
      <c r="H538" s="8">
        <v>42.99</v>
      </c>
      <c r="I538" s="8">
        <f t="shared" si="29"/>
        <v>-192.39</v>
      </c>
      <c r="J538" s="12"/>
    </row>
    <row r="539" spans="1:10" x14ac:dyDescent="0.25">
      <c r="C539" s="9"/>
      <c r="D539" s="10">
        <v>45672</v>
      </c>
      <c r="E539" t="s">
        <v>1524</v>
      </c>
      <c r="F539" s="11" t="s">
        <v>1981</v>
      </c>
      <c r="G539" s="8">
        <v>0</v>
      </c>
      <c r="H539" s="8">
        <v>34.24</v>
      </c>
      <c r="I539" s="8">
        <f t="shared" si="29"/>
        <v>-226.63</v>
      </c>
      <c r="J539" s="12"/>
    </row>
    <row r="540" spans="1:10" x14ac:dyDescent="0.25">
      <c r="C540" s="9"/>
      <c r="D540" s="10">
        <v>45688</v>
      </c>
      <c r="E540" t="s">
        <v>1984</v>
      </c>
      <c r="F540" s="11" t="s">
        <v>1985</v>
      </c>
      <c r="G540" s="8">
        <v>156.11000000000001</v>
      </c>
      <c r="H540" s="8">
        <v>0</v>
      </c>
      <c r="I540" s="8">
        <f t="shared" si="29"/>
        <v>-70.519999999999982</v>
      </c>
      <c r="J540" s="12"/>
    </row>
    <row r="541" spans="1:10" x14ac:dyDescent="0.25">
      <c r="C541" s="9"/>
      <c r="D541" s="10">
        <v>45702</v>
      </c>
      <c r="E541" t="s">
        <v>1986</v>
      </c>
      <c r="F541" s="11" t="s">
        <v>1987</v>
      </c>
      <c r="G541" s="8">
        <v>63.13</v>
      </c>
      <c r="H541" s="8">
        <v>0</v>
      </c>
      <c r="I541" s="8">
        <f t="shared" si="29"/>
        <v>-7.3899999999999793</v>
      </c>
      <c r="J541" s="12"/>
    </row>
    <row r="542" spans="1:10" x14ac:dyDescent="0.25">
      <c r="C542" s="9"/>
      <c r="D542" s="10">
        <v>45705</v>
      </c>
      <c r="E542" t="s">
        <v>1524</v>
      </c>
      <c r="F542" s="11" t="s">
        <v>1985</v>
      </c>
      <c r="G542" s="8">
        <v>0</v>
      </c>
      <c r="H542" s="8">
        <v>156.11000000000001</v>
      </c>
      <c r="I542" s="8">
        <f t="shared" si="29"/>
        <v>-163.5</v>
      </c>
      <c r="J542" s="12"/>
    </row>
    <row r="543" spans="1:10" x14ac:dyDescent="0.25">
      <c r="C543" s="9"/>
      <c r="D543" s="10">
        <v>45705</v>
      </c>
      <c r="E543" t="s">
        <v>1524</v>
      </c>
      <c r="F543" s="11" t="s">
        <v>1987</v>
      </c>
      <c r="G543" s="8">
        <v>0</v>
      </c>
      <c r="H543" s="8">
        <v>63.13</v>
      </c>
      <c r="I543" s="8">
        <f t="shared" si="29"/>
        <v>-226.63</v>
      </c>
      <c r="J543" s="12"/>
    </row>
    <row r="544" spans="1:10" x14ac:dyDescent="0.25">
      <c r="C544" s="9"/>
      <c r="D544" s="10">
        <v>45730</v>
      </c>
      <c r="E544" t="s">
        <v>1988</v>
      </c>
      <c r="F544" s="11" t="s">
        <v>1989</v>
      </c>
      <c r="G544" s="8">
        <v>57</v>
      </c>
      <c r="H544" s="8">
        <v>0</v>
      </c>
      <c r="I544" s="8">
        <f t="shared" si="29"/>
        <v>-169.63</v>
      </c>
      <c r="J544" s="12"/>
    </row>
    <row r="545" spans="1:10" x14ac:dyDescent="0.25">
      <c r="C545" s="9"/>
      <c r="D545" s="10">
        <v>45733</v>
      </c>
      <c r="E545" t="s">
        <v>1524</v>
      </c>
      <c r="F545" s="11" t="s">
        <v>1989</v>
      </c>
      <c r="G545" s="8">
        <v>0</v>
      </c>
      <c r="H545" s="8">
        <v>57</v>
      </c>
      <c r="I545" s="8">
        <f t="shared" si="29"/>
        <v>-226.63</v>
      </c>
      <c r="J545" s="12"/>
    </row>
    <row r="546" spans="1:10" x14ac:dyDescent="0.25">
      <c r="C546" s="9"/>
      <c r="D546" s="10">
        <v>45747</v>
      </c>
      <c r="E546" t="s">
        <v>1990</v>
      </c>
      <c r="F546" s="11" t="s">
        <v>1965</v>
      </c>
      <c r="G546" s="8">
        <v>224.18</v>
      </c>
      <c r="H546" s="8">
        <v>0</v>
      </c>
      <c r="I546" s="8">
        <f t="shared" si="29"/>
        <v>-2.4499999999999886</v>
      </c>
      <c r="J546" s="12"/>
    </row>
    <row r="547" spans="1:10" x14ac:dyDescent="0.25">
      <c r="C547" s="9"/>
      <c r="D547" s="10">
        <v>45762</v>
      </c>
      <c r="E547" t="s">
        <v>1524</v>
      </c>
      <c r="F547" s="11" t="s">
        <v>1965</v>
      </c>
      <c r="G547" s="8">
        <v>0</v>
      </c>
      <c r="H547" s="8">
        <v>224.18</v>
      </c>
      <c r="I547" s="8">
        <f t="shared" si="29"/>
        <v>-226.63</v>
      </c>
      <c r="J547" s="12"/>
    </row>
    <row r="548" spans="1:10" x14ac:dyDescent="0.25">
      <c r="C548" s="9"/>
      <c r="D548" s="10">
        <v>45762</v>
      </c>
      <c r="E548" t="s">
        <v>1991</v>
      </c>
      <c r="F548" s="11" t="s">
        <v>42</v>
      </c>
      <c r="G548" s="8">
        <v>0</v>
      </c>
      <c r="H548" s="8">
        <v>98.51</v>
      </c>
      <c r="I548" s="8">
        <f t="shared" si="29"/>
        <v>-325.14</v>
      </c>
      <c r="J548" s="12"/>
    </row>
    <row r="549" spans="1:10" x14ac:dyDescent="0.25">
      <c r="E549" s="4" t="s">
        <v>20</v>
      </c>
      <c r="G549" s="8">
        <f>SUM(G535:G548)</f>
        <v>534.66000000000008</v>
      </c>
      <c r="H549" s="8">
        <f>SUM(H535:H548)</f>
        <v>859.8</v>
      </c>
      <c r="I549" s="8">
        <f>G549-H549</f>
        <v>-325.13999999999987</v>
      </c>
    </row>
    <row r="551" spans="1:10" x14ac:dyDescent="0.25">
      <c r="A551" s="5">
        <v>4300208</v>
      </c>
      <c r="B551" s="6" t="s">
        <v>1992</v>
      </c>
      <c r="C551" s="7"/>
      <c r="D551" s="7"/>
      <c r="E551" s="7"/>
      <c r="F551" s="7"/>
      <c r="G551" s="7"/>
      <c r="H551" s="7"/>
      <c r="I551" s="7"/>
      <c r="J551" s="7"/>
    </row>
    <row r="552" spans="1:10" x14ac:dyDescent="0.25">
      <c r="E552" s="4" t="s">
        <v>10</v>
      </c>
      <c r="G552" s="8">
        <v>30.46</v>
      </c>
      <c r="H552" s="8">
        <v>0</v>
      </c>
      <c r="I552" s="8">
        <f>G552-H552</f>
        <v>30.46</v>
      </c>
    </row>
    <row r="553" spans="1:10" x14ac:dyDescent="0.25">
      <c r="C553" s="9"/>
      <c r="D553" s="10">
        <v>45659</v>
      </c>
      <c r="E553" t="s">
        <v>1524</v>
      </c>
      <c r="F553" s="11" t="s">
        <v>1993</v>
      </c>
      <c r="G553" s="8">
        <v>0</v>
      </c>
      <c r="H553" s="8">
        <v>30.46</v>
      </c>
      <c r="I553" s="8">
        <f t="shared" ref="I553:I564" si="30">G553-H553+I552</f>
        <v>0</v>
      </c>
      <c r="J553" s="12"/>
    </row>
    <row r="554" spans="1:10" x14ac:dyDescent="0.25">
      <c r="C554" s="9"/>
      <c r="D554" s="10">
        <v>45688</v>
      </c>
      <c r="E554" t="s">
        <v>1994</v>
      </c>
      <c r="F554" s="11" t="s">
        <v>1995</v>
      </c>
      <c r="G554" s="8">
        <v>609.39</v>
      </c>
      <c r="H554" s="8">
        <v>0</v>
      </c>
      <c r="I554" s="8">
        <f t="shared" si="30"/>
        <v>609.39</v>
      </c>
      <c r="J554" s="12"/>
    </row>
    <row r="555" spans="1:10" x14ac:dyDescent="0.25">
      <c r="C555" s="9"/>
      <c r="D555" s="10">
        <v>45691</v>
      </c>
      <c r="E555" t="s">
        <v>1524</v>
      </c>
      <c r="F555" s="11" t="s">
        <v>1995</v>
      </c>
      <c r="G555" s="8">
        <v>0</v>
      </c>
      <c r="H555" s="8">
        <v>609.39</v>
      </c>
      <c r="I555" s="8">
        <f t="shared" si="30"/>
        <v>0</v>
      </c>
      <c r="J555" s="12"/>
    </row>
    <row r="556" spans="1:10" x14ac:dyDescent="0.25">
      <c r="C556" s="9"/>
      <c r="D556" s="10">
        <v>45702</v>
      </c>
      <c r="E556" t="s">
        <v>1996</v>
      </c>
      <c r="F556" s="11" t="s">
        <v>1997</v>
      </c>
      <c r="G556" s="8">
        <v>155.97</v>
      </c>
      <c r="H556" s="8">
        <v>0</v>
      </c>
      <c r="I556" s="8">
        <f t="shared" si="30"/>
        <v>155.97</v>
      </c>
      <c r="J556" s="12"/>
    </row>
    <row r="557" spans="1:10" x14ac:dyDescent="0.25">
      <c r="C557" s="9"/>
      <c r="D557" s="10">
        <v>45705</v>
      </c>
      <c r="E557" t="s">
        <v>1524</v>
      </c>
      <c r="F557" s="11" t="s">
        <v>1997</v>
      </c>
      <c r="G557" s="8">
        <v>0</v>
      </c>
      <c r="H557" s="8">
        <v>155.97</v>
      </c>
      <c r="I557" s="8">
        <f t="shared" si="30"/>
        <v>0</v>
      </c>
      <c r="J557" s="12"/>
    </row>
    <row r="558" spans="1:10" x14ac:dyDescent="0.25">
      <c r="C558" s="9"/>
      <c r="D558" s="10">
        <v>45716</v>
      </c>
      <c r="E558" t="s">
        <v>1998</v>
      </c>
      <c r="F558" s="11" t="s">
        <v>1999</v>
      </c>
      <c r="G558" s="8">
        <v>224.9</v>
      </c>
      <c r="H558" s="8">
        <v>0</v>
      </c>
      <c r="I558" s="8">
        <f t="shared" si="30"/>
        <v>224.9</v>
      </c>
      <c r="J558" s="12"/>
    </row>
    <row r="559" spans="1:10" x14ac:dyDescent="0.25">
      <c r="C559" s="9"/>
      <c r="D559" s="10">
        <v>45720</v>
      </c>
      <c r="E559" t="s">
        <v>1524</v>
      </c>
      <c r="F559" s="11" t="s">
        <v>1999</v>
      </c>
      <c r="G559" s="8">
        <v>0</v>
      </c>
      <c r="H559" s="8">
        <v>224.9</v>
      </c>
      <c r="I559" s="8">
        <f t="shared" si="30"/>
        <v>0</v>
      </c>
      <c r="J559" s="12"/>
    </row>
    <row r="560" spans="1:10" x14ac:dyDescent="0.25">
      <c r="C560" s="9"/>
      <c r="D560" s="10">
        <v>45730</v>
      </c>
      <c r="E560" t="s">
        <v>2000</v>
      </c>
      <c r="F560" s="11" t="s">
        <v>2001</v>
      </c>
      <c r="G560" s="8">
        <v>108.14</v>
      </c>
      <c r="H560" s="8">
        <v>0</v>
      </c>
      <c r="I560" s="8">
        <f t="shared" si="30"/>
        <v>108.14</v>
      </c>
      <c r="J560" s="12"/>
    </row>
    <row r="561" spans="1:10" x14ac:dyDescent="0.25">
      <c r="C561" s="9"/>
      <c r="D561" s="10">
        <v>45733</v>
      </c>
      <c r="E561" t="s">
        <v>1524</v>
      </c>
      <c r="F561" s="11" t="s">
        <v>2001</v>
      </c>
      <c r="G561" s="8">
        <v>0</v>
      </c>
      <c r="H561" s="8">
        <v>108.14</v>
      </c>
      <c r="I561" s="8">
        <f t="shared" si="30"/>
        <v>0</v>
      </c>
      <c r="J561" s="12"/>
    </row>
    <row r="562" spans="1:10" x14ac:dyDescent="0.25">
      <c r="C562" s="9"/>
      <c r="D562" s="10">
        <v>45747</v>
      </c>
      <c r="E562" t="s">
        <v>2002</v>
      </c>
      <c r="F562" s="11" t="s">
        <v>2003</v>
      </c>
      <c r="G562" s="8">
        <v>282.04000000000002</v>
      </c>
      <c r="H562" s="8">
        <v>0</v>
      </c>
      <c r="I562" s="8">
        <f t="shared" si="30"/>
        <v>282.04000000000002</v>
      </c>
      <c r="J562" s="12"/>
    </row>
    <row r="563" spans="1:10" x14ac:dyDescent="0.25">
      <c r="C563" s="9"/>
      <c r="D563" s="10">
        <v>45748</v>
      </c>
      <c r="E563" t="s">
        <v>1524</v>
      </c>
      <c r="F563" s="11" t="s">
        <v>2003</v>
      </c>
      <c r="G563" s="8">
        <v>0</v>
      </c>
      <c r="H563" s="8">
        <v>282.04000000000002</v>
      </c>
      <c r="I563" s="8">
        <f t="shared" si="30"/>
        <v>0</v>
      </c>
      <c r="J563" s="12"/>
    </row>
    <row r="564" spans="1:10" x14ac:dyDescent="0.25">
      <c r="C564" s="9"/>
      <c r="D564" s="10">
        <v>45762</v>
      </c>
      <c r="E564" t="s">
        <v>1524</v>
      </c>
      <c r="F564" s="11" t="s">
        <v>2004</v>
      </c>
      <c r="G564" s="8">
        <v>0</v>
      </c>
      <c r="H564" s="8">
        <v>164.23</v>
      </c>
      <c r="I564" s="8">
        <f t="shared" si="30"/>
        <v>-164.23</v>
      </c>
      <c r="J564" s="12"/>
    </row>
    <row r="565" spans="1:10" x14ac:dyDescent="0.25">
      <c r="E565" s="4" t="s">
        <v>20</v>
      </c>
      <c r="G565" s="8">
        <f>SUM(G552:G564)</f>
        <v>1410.9</v>
      </c>
      <c r="H565" s="8">
        <f>SUM(H552:H564)</f>
        <v>1575.13</v>
      </c>
      <c r="I565" s="8">
        <f>G565-H565</f>
        <v>-164.23000000000002</v>
      </c>
    </row>
    <row r="567" spans="1:10" x14ac:dyDescent="0.25">
      <c r="A567" s="5">
        <v>4300212</v>
      </c>
      <c r="B567" s="6" t="s">
        <v>2005</v>
      </c>
      <c r="C567" s="7"/>
      <c r="D567" s="7"/>
      <c r="E567" s="7"/>
      <c r="F567" s="7"/>
      <c r="G567" s="7"/>
      <c r="H567" s="7"/>
      <c r="I567" s="7"/>
      <c r="J567" s="7"/>
    </row>
    <row r="568" spans="1:10" x14ac:dyDescent="0.25">
      <c r="E568" s="4" t="s">
        <v>10</v>
      </c>
      <c r="G568" s="8">
        <v>89.67</v>
      </c>
      <c r="H568" s="8">
        <v>0</v>
      </c>
      <c r="I568" s="8">
        <f>G568-H568</f>
        <v>89.67</v>
      </c>
    </row>
    <row r="569" spans="1:10" x14ac:dyDescent="0.25">
      <c r="C569" s="9"/>
      <c r="D569" s="10">
        <v>45667</v>
      </c>
      <c r="E569" t="s">
        <v>2006</v>
      </c>
      <c r="F569" s="11" t="s">
        <v>2007</v>
      </c>
      <c r="G569" s="8">
        <v>0</v>
      </c>
      <c r="H569" s="8">
        <v>64.010000000000005</v>
      </c>
      <c r="I569" s="8">
        <f>G569-H569+I568</f>
        <v>25.659999999999997</v>
      </c>
      <c r="J569" s="12"/>
    </row>
    <row r="570" spans="1:10" x14ac:dyDescent="0.25">
      <c r="C570" s="9"/>
      <c r="D570" s="10">
        <v>45688</v>
      </c>
      <c r="E570" t="s">
        <v>2008</v>
      </c>
      <c r="F570" s="11" t="s">
        <v>2009</v>
      </c>
      <c r="G570" s="8">
        <v>106.46</v>
      </c>
      <c r="H570" s="8">
        <v>0</v>
      </c>
      <c r="I570" s="8">
        <f>G570-H570+I569</f>
        <v>132.12</v>
      </c>
      <c r="J570" s="12"/>
    </row>
    <row r="571" spans="1:10" x14ac:dyDescent="0.25">
      <c r="E571" s="4" t="s">
        <v>20</v>
      </c>
      <c r="G571" s="8">
        <f>SUM(G568:G570)</f>
        <v>196.13</v>
      </c>
      <c r="H571" s="8">
        <f>SUM(H568:H570)</f>
        <v>64.010000000000005</v>
      </c>
      <c r="I571" s="8">
        <f>G571-H571</f>
        <v>132.12</v>
      </c>
    </row>
    <row r="573" spans="1:10" x14ac:dyDescent="0.25">
      <c r="A573" s="5">
        <v>4300213</v>
      </c>
      <c r="B573" s="6" t="s">
        <v>2010</v>
      </c>
      <c r="C573" s="7"/>
      <c r="D573" s="7"/>
      <c r="E573" s="7"/>
      <c r="F573" s="7"/>
      <c r="G573" s="7"/>
      <c r="H573" s="7"/>
      <c r="I573" s="7"/>
      <c r="J573" s="7"/>
    </row>
    <row r="574" spans="1:10" x14ac:dyDescent="0.25">
      <c r="C574" s="9"/>
      <c r="D574" s="10">
        <v>45671</v>
      </c>
      <c r="E574" t="s">
        <v>2011</v>
      </c>
      <c r="F574" s="11" t="s">
        <v>2012</v>
      </c>
      <c r="G574" s="8">
        <v>413.01</v>
      </c>
      <c r="H574" s="8">
        <v>0</v>
      </c>
      <c r="I574" s="8">
        <f>G574-H574</f>
        <v>413.01</v>
      </c>
      <c r="J574" s="12"/>
    </row>
    <row r="575" spans="1:10" x14ac:dyDescent="0.25">
      <c r="C575" s="9"/>
      <c r="D575" s="10">
        <v>45672</v>
      </c>
      <c r="E575" t="s">
        <v>1524</v>
      </c>
      <c r="F575" s="11" t="s">
        <v>2012</v>
      </c>
      <c r="G575" s="8">
        <v>0</v>
      </c>
      <c r="H575" s="8">
        <v>413.01</v>
      </c>
      <c r="I575" s="8">
        <f t="shared" ref="I575:I584" si="31">G575-H575+I574</f>
        <v>0</v>
      </c>
      <c r="J575" s="12"/>
    </row>
    <row r="576" spans="1:10" x14ac:dyDescent="0.25">
      <c r="C576" s="9"/>
      <c r="D576" s="10">
        <v>45688</v>
      </c>
      <c r="E576" t="s">
        <v>2013</v>
      </c>
      <c r="F576" s="11" t="s">
        <v>2014</v>
      </c>
      <c r="G576" s="8">
        <v>315.7</v>
      </c>
      <c r="H576" s="8">
        <v>0</v>
      </c>
      <c r="I576" s="8">
        <f t="shared" si="31"/>
        <v>315.7</v>
      </c>
      <c r="J576" s="12"/>
    </row>
    <row r="577" spans="1:10" x14ac:dyDescent="0.25">
      <c r="C577" s="9"/>
      <c r="D577" s="10">
        <v>45691</v>
      </c>
      <c r="E577" t="s">
        <v>1524</v>
      </c>
      <c r="F577" s="11" t="s">
        <v>2014</v>
      </c>
      <c r="G577" s="8">
        <v>0</v>
      </c>
      <c r="H577" s="8">
        <v>315.7</v>
      </c>
      <c r="I577" s="8">
        <f t="shared" si="31"/>
        <v>0</v>
      </c>
      <c r="J577" s="12"/>
    </row>
    <row r="578" spans="1:10" x14ac:dyDescent="0.25">
      <c r="C578" s="9"/>
      <c r="D578" s="10">
        <v>45702</v>
      </c>
      <c r="E578" t="s">
        <v>2015</v>
      </c>
      <c r="F578" s="11" t="s">
        <v>2016</v>
      </c>
      <c r="G578" s="8">
        <v>500.25</v>
      </c>
      <c r="H578" s="8">
        <v>0</v>
      </c>
      <c r="I578" s="8">
        <f t="shared" si="31"/>
        <v>500.25</v>
      </c>
      <c r="J578" s="12"/>
    </row>
    <row r="579" spans="1:10" x14ac:dyDescent="0.25">
      <c r="C579" s="9"/>
      <c r="D579" s="10">
        <v>45705</v>
      </c>
      <c r="E579" t="s">
        <v>1524</v>
      </c>
      <c r="F579" s="11" t="s">
        <v>2016</v>
      </c>
      <c r="G579" s="8">
        <v>0</v>
      </c>
      <c r="H579" s="8">
        <v>500.25</v>
      </c>
      <c r="I579" s="8">
        <f t="shared" si="31"/>
        <v>0</v>
      </c>
      <c r="J579" s="12"/>
    </row>
    <row r="580" spans="1:10" x14ac:dyDescent="0.25">
      <c r="C580" s="9"/>
      <c r="D580" s="10">
        <v>45716</v>
      </c>
      <c r="E580" t="s">
        <v>2017</v>
      </c>
      <c r="F580" s="11" t="s">
        <v>2018</v>
      </c>
      <c r="G580" s="8">
        <v>539.49</v>
      </c>
      <c r="H580" s="8">
        <v>0</v>
      </c>
      <c r="I580" s="8">
        <f t="shared" si="31"/>
        <v>539.49</v>
      </c>
      <c r="J580" s="12"/>
    </row>
    <row r="581" spans="1:10" x14ac:dyDescent="0.25">
      <c r="C581" s="9" t="s">
        <v>124</v>
      </c>
      <c r="D581" s="10">
        <v>45719</v>
      </c>
      <c r="E581" t="s">
        <v>2019</v>
      </c>
      <c r="F581" s="11" t="s">
        <v>2018</v>
      </c>
      <c r="G581" s="8">
        <v>0</v>
      </c>
      <c r="H581" s="8">
        <v>539.49</v>
      </c>
      <c r="I581" s="8">
        <f t="shared" si="31"/>
        <v>0</v>
      </c>
      <c r="J581" s="12"/>
    </row>
    <row r="582" spans="1:10" x14ac:dyDescent="0.25">
      <c r="C582" s="9"/>
      <c r="D582" s="10">
        <v>45730</v>
      </c>
      <c r="E582" t="s">
        <v>2020</v>
      </c>
      <c r="F582" s="11" t="s">
        <v>2021</v>
      </c>
      <c r="G582" s="8">
        <v>58.56</v>
      </c>
      <c r="H582" s="8">
        <v>0</v>
      </c>
      <c r="I582" s="8">
        <f t="shared" si="31"/>
        <v>58.56</v>
      </c>
      <c r="J582" s="12"/>
    </row>
    <row r="583" spans="1:10" x14ac:dyDescent="0.25">
      <c r="C583" s="9"/>
      <c r="D583" s="10">
        <v>45733</v>
      </c>
      <c r="E583" t="s">
        <v>1524</v>
      </c>
      <c r="F583" s="11" t="s">
        <v>2021</v>
      </c>
      <c r="G583" s="8">
        <v>0</v>
      </c>
      <c r="H583" s="8">
        <v>58.56</v>
      </c>
      <c r="I583" s="8">
        <f t="shared" si="31"/>
        <v>0</v>
      </c>
      <c r="J583" s="12"/>
    </row>
    <row r="584" spans="1:10" x14ac:dyDescent="0.25">
      <c r="C584" s="9"/>
      <c r="D584" s="10">
        <v>45762</v>
      </c>
      <c r="E584" t="s">
        <v>1524</v>
      </c>
      <c r="F584" s="11" t="s">
        <v>2022</v>
      </c>
      <c r="G584" s="8">
        <v>0</v>
      </c>
      <c r="H584" s="8">
        <v>114.45</v>
      </c>
      <c r="I584" s="8">
        <f t="shared" si="31"/>
        <v>-114.45</v>
      </c>
      <c r="J584" s="12"/>
    </row>
    <row r="585" spans="1:10" x14ac:dyDescent="0.25">
      <c r="E585" s="4" t="s">
        <v>20</v>
      </c>
      <c r="G585" s="8">
        <f>SUM(G574:G584)</f>
        <v>1827.01</v>
      </c>
      <c r="H585" s="8">
        <f>SUM(H574:H584)</f>
        <v>1941.46</v>
      </c>
      <c r="I585" s="8">
        <f>G585-H585</f>
        <v>-114.45000000000005</v>
      </c>
    </row>
    <row r="587" spans="1:10" x14ac:dyDescent="0.25">
      <c r="A587" s="5">
        <v>4300217</v>
      </c>
      <c r="B587" s="6" t="s">
        <v>2023</v>
      </c>
      <c r="C587" s="7"/>
      <c r="D587" s="7"/>
      <c r="E587" s="7"/>
      <c r="F587" s="7"/>
      <c r="G587" s="7"/>
      <c r="H587" s="7"/>
      <c r="I587" s="7"/>
      <c r="J587" s="7"/>
    </row>
    <row r="588" spans="1:10" x14ac:dyDescent="0.25">
      <c r="C588" s="9"/>
      <c r="D588" s="10">
        <v>45688</v>
      </c>
      <c r="E588" t="s">
        <v>2024</v>
      </c>
      <c r="F588" s="11" t="s">
        <v>2025</v>
      </c>
      <c r="G588" s="8">
        <v>422.91</v>
      </c>
      <c r="H588" s="8">
        <v>0</v>
      </c>
      <c r="I588" s="8">
        <f>G588-H588</f>
        <v>422.91</v>
      </c>
      <c r="J588" s="12"/>
    </row>
    <row r="589" spans="1:10" x14ac:dyDescent="0.25">
      <c r="C589" s="9"/>
      <c r="D589" s="10">
        <v>45691</v>
      </c>
      <c r="E589" t="s">
        <v>1524</v>
      </c>
      <c r="F589" s="11" t="s">
        <v>2025</v>
      </c>
      <c r="G589" s="8">
        <v>0</v>
      </c>
      <c r="H589" s="8">
        <v>422.91</v>
      </c>
      <c r="I589" s="8">
        <f t="shared" ref="I589:I594" si="32">G589-H589+I588</f>
        <v>0</v>
      </c>
      <c r="J589" s="12"/>
    </row>
    <row r="590" spans="1:10" x14ac:dyDescent="0.25">
      <c r="C590" s="9"/>
      <c r="D590" s="10">
        <v>45702</v>
      </c>
      <c r="E590" t="s">
        <v>2026</v>
      </c>
      <c r="F590" s="11" t="s">
        <v>2027</v>
      </c>
      <c r="G590" s="8">
        <v>71.27</v>
      </c>
      <c r="H590" s="8">
        <v>0</v>
      </c>
      <c r="I590" s="8">
        <f t="shared" si="32"/>
        <v>71.27</v>
      </c>
      <c r="J590" s="12"/>
    </row>
    <row r="591" spans="1:10" x14ac:dyDescent="0.25">
      <c r="C591" s="9"/>
      <c r="D591" s="10">
        <v>45705</v>
      </c>
      <c r="E591" t="s">
        <v>2028</v>
      </c>
      <c r="F591" s="11" t="s">
        <v>42</v>
      </c>
      <c r="G591" s="8">
        <v>0</v>
      </c>
      <c r="H591" s="8">
        <v>71.27</v>
      </c>
      <c r="I591" s="8">
        <f t="shared" si="32"/>
        <v>0</v>
      </c>
      <c r="J591" s="12"/>
    </row>
    <row r="592" spans="1:10" x14ac:dyDescent="0.25">
      <c r="C592" s="9"/>
      <c r="D592" s="10">
        <v>45730</v>
      </c>
      <c r="E592" t="s">
        <v>2029</v>
      </c>
      <c r="F592" s="11" t="s">
        <v>2030</v>
      </c>
      <c r="G592" s="8">
        <v>81.38</v>
      </c>
      <c r="H592" s="8">
        <v>0</v>
      </c>
      <c r="I592" s="8">
        <f t="shared" si="32"/>
        <v>81.38</v>
      </c>
      <c r="J592" s="12"/>
    </row>
    <row r="593" spans="1:10" x14ac:dyDescent="0.25">
      <c r="C593" s="9"/>
      <c r="D593" s="10">
        <v>45733</v>
      </c>
      <c r="E593" t="s">
        <v>2028</v>
      </c>
      <c r="F593" s="11" t="s">
        <v>42</v>
      </c>
      <c r="G593" s="8">
        <v>0</v>
      </c>
      <c r="H593" s="8">
        <v>81.38</v>
      </c>
      <c r="I593" s="8">
        <f t="shared" si="32"/>
        <v>0</v>
      </c>
      <c r="J593" s="12"/>
    </row>
    <row r="594" spans="1:10" x14ac:dyDescent="0.25">
      <c r="C594" s="9"/>
      <c r="D594" s="10">
        <v>45762</v>
      </c>
      <c r="E594" t="s">
        <v>2028</v>
      </c>
      <c r="F594" s="11" t="s">
        <v>42</v>
      </c>
      <c r="G594" s="8">
        <v>0</v>
      </c>
      <c r="H594" s="8">
        <v>111.2</v>
      </c>
      <c r="I594" s="8">
        <f t="shared" si="32"/>
        <v>-111.2</v>
      </c>
      <c r="J594" s="12"/>
    </row>
    <row r="595" spans="1:10" x14ac:dyDescent="0.25">
      <c r="E595" s="4" t="s">
        <v>20</v>
      </c>
      <c r="G595" s="8">
        <f>SUM(G588:G594)</f>
        <v>575.55999999999995</v>
      </c>
      <c r="H595" s="8">
        <f>SUM(H588:H594)</f>
        <v>686.76</v>
      </c>
      <c r="I595" s="8">
        <f>G595-H595</f>
        <v>-111.20000000000005</v>
      </c>
    </row>
    <row r="597" spans="1:10" x14ac:dyDescent="0.25">
      <c r="A597" s="5">
        <v>4300219</v>
      </c>
      <c r="B597" s="6" t="s">
        <v>2031</v>
      </c>
      <c r="C597" s="7"/>
      <c r="D597" s="7"/>
      <c r="E597" s="7"/>
      <c r="F597" s="7"/>
      <c r="G597" s="7"/>
      <c r="H597" s="7"/>
      <c r="I597" s="7"/>
      <c r="J597" s="7"/>
    </row>
    <row r="598" spans="1:10" x14ac:dyDescent="0.25">
      <c r="C598" s="9"/>
      <c r="D598" s="10">
        <v>45671</v>
      </c>
      <c r="E598" t="s">
        <v>2032</v>
      </c>
      <c r="F598" s="11" t="s">
        <v>2033</v>
      </c>
      <c r="G598" s="8">
        <v>63.15</v>
      </c>
      <c r="H598" s="8">
        <v>0</v>
      </c>
      <c r="I598" s="8">
        <f>G598-H598</f>
        <v>63.15</v>
      </c>
      <c r="J598" s="12"/>
    </row>
    <row r="599" spans="1:10" x14ac:dyDescent="0.25">
      <c r="C599" s="9"/>
      <c r="D599" s="10">
        <v>45672</v>
      </c>
      <c r="E599" t="s">
        <v>2034</v>
      </c>
      <c r="F599" s="11" t="s">
        <v>42</v>
      </c>
      <c r="G599" s="8">
        <v>0</v>
      </c>
      <c r="H599" s="8">
        <v>63.15</v>
      </c>
      <c r="I599" s="8">
        <f t="shared" ref="I599:I604" si="33">G599-H599+I598</f>
        <v>0</v>
      </c>
      <c r="J599" s="12"/>
    </row>
    <row r="600" spans="1:10" x14ac:dyDescent="0.25">
      <c r="C600" s="9"/>
      <c r="D600" s="10">
        <v>45688</v>
      </c>
      <c r="E600" t="s">
        <v>2035</v>
      </c>
      <c r="F600" s="11" t="s">
        <v>2036</v>
      </c>
      <c r="G600" s="8">
        <v>80.83</v>
      </c>
      <c r="H600" s="8">
        <v>0</v>
      </c>
      <c r="I600" s="8">
        <f t="shared" si="33"/>
        <v>80.83</v>
      </c>
      <c r="J600" s="12"/>
    </row>
    <row r="601" spans="1:10" x14ac:dyDescent="0.25">
      <c r="C601" s="9" t="s">
        <v>124</v>
      </c>
      <c r="D601" s="10">
        <v>45691</v>
      </c>
      <c r="E601" t="s">
        <v>2034</v>
      </c>
      <c r="F601" s="11" t="s">
        <v>42</v>
      </c>
      <c r="G601" s="8">
        <v>0</v>
      </c>
      <c r="H601" s="8">
        <v>80.83</v>
      </c>
      <c r="I601" s="8">
        <f t="shared" si="33"/>
        <v>0</v>
      </c>
      <c r="J601" s="12"/>
    </row>
    <row r="602" spans="1:10" x14ac:dyDescent="0.25">
      <c r="C602" s="9"/>
      <c r="D602" s="10">
        <v>45730</v>
      </c>
      <c r="E602" t="s">
        <v>2037</v>
      </c>
      <c r="F602" s="11" t="s">
        <v>2038</v>
      </c>
      <c r="G602" s="8">
        <v>69.61</v>
      </c>
      <c r="H602" s="8">
        <v>0</v>
      </c>
      <c r="I602" s="8">
        <f t="shared" si="33"/>
        <v>69.61</v>
      </c>
      <c r="J602" s="12"/>
    </row>
    <row r="603" spans="1:10" x14ac:dyDescent="0.25">
      <c r="C603" s="9"/>
      <c r="D603" s="10">
        <v>45733</v>
      </c>
      <c r="E603" t="s">
        <v>1524</v>
      </c>
      <c r="F603" s="11" t="s">
        <v>2038</v>
      </c>
      <c r="G603" s="8">
        <v>0</v>
      </c>
      <c r="H603" s="8">
        <v>69.61</v>
      </c>
      <c r="I603" s="8">
        <f t="shared" si="33"/>
        <v>0</v>
      </c>
      <c r="J603" s="12"/>
    </row>
    <row r="604" spans="1:10" x14ac:dyDescent="0.25">
      <c r="C604" s="9"/>
      <c r="D604" s="10">
        <v>45762</v>
      </c>
      <c r="E604" t="s">
        <v>2034</v>
      </c>
      <c r="F604" s="11" t="s">
        <v>42</v>
      </c>
      <c r="G604" s="8">
        <v>0</v>
      </c>
      <c r="H604" s="8">
        <v>315.01</v>
      </c>
      <c r="I604" s="8">
        <f t="shared" si="33"/>
        <v>-315.01</v>
      </c>
      <c r="J604" s="12"/>
    </row>
    <row r="605" spans="1:10" x14ac:dyDescent="0.25">
      <c r="E605" s="4" t="s">
        <v>20</v>
      </c>
      <c r="G605" s="8">
        <f>SUM(G598:G604)</f>
        <v>213.58999999999997</v>
      </c>
      <c r="H605" s="8">
        <f>SUM(H598:H604)</f>
        <v>528.59999999999991</v>
      </c>
      <c r="I605" s="8">
        <f>G605-H605</f>
        <v>-315.00999999999993</v>
      </c>
    </row>
    <row r="607" spans="1:10" x14ac:dyDescent="0.25">
      <c r="A607" s="5">
        <v>4300222</v>
      </c>
      <c r="B607" s="6" t="s">
        <v>2039</v>
      </c>
      <c r="C607" s="7"/>
      <c r="D607" s="7"/>
      <c r="E607" s="7"/>
      <c r="F607" s="7"/>
      <c r="G607" s="7"/>
      <c r="H607" s="7"/>
      <c r="I607" s="7"/>
      <c r="J607" s="7"/>
    </row>
    <row r="608" spans="1:10" x14ac:dyDescent="0.25">
      <c r="C608" s="9"/>
      <c r="D608" s="10">
        <v>45671</v>
      </c>
      <c r="E608" t="s">
        <v>2040</v>
      </c>
      <c r="F608" s="11" t="s">
        <v>2041</v>
      </c>
      <c r="G608" s="8">
        <v>83.05</v>
      </c>
      <c r="H608" s="8">
        <v>0</v>
      </c>
      <c r="I608" s="8">
        <f>G608-H608</f>
        <v>83.05</v>
      </c>
      <c r="J608" s="12"/>
    </row>
    <row r="609" spans="1:10" x14ac:dyDescent="0.25">
      <c r="C609" s="9"/>
      <c r="D609" s="10">
        <v>45672</v>
      </c>
      <c r="E609" t="s">
        <v>1524</v>
      </c>
      <c r="F609" s="11" t="s">
        <v>2041</v>
      </c>
      <c r="G609" s="8">
        <v>0</v>
      </c>
      <c r="H609" s="8">
        <v>83.05</v>
      </c>
      <c r="I609" s="8">
        <f t="shared" ref="I609:I616" si="34">G609-H609+I608</f>
        <v>0</v>
      </c>
      <c r="J609" s="12"/>
    </row>
    <row r="610" spans="1:10" x14ac:dyDescent="0.25">
      <c r="C610" s="9"/>
      <c r="D610" s="10">
        <v>45688</v>
      </c>
      <c r="E610" t="s">
        <v>2042</v>
      </c>
      <c r="F610" s="11" t="s">
        <v>2043</v>
      </c>
      <c r="G610" s="8">
        <v>43.32</v>
      </c>
      <c r="H610" s="8">
        <v>0</v>
      </c>
      <c r="I610" s="8">
        <f t="shared" si="34"/>
        <v>43.32</v>
      </c>
      <c r="J610" s="12"/>
    </row>
    <row r="611" spans="1:10" x14ac:dyDescent="0.25">
      <c r="C611" s="9"/>
      <c r="D611" s="10">
        <v>45691</v>
      </c>
      <c r="E611" t="s">
        <v>2044</v>
      </c>
      <c r="F611" s="11" t="s">
        <v>42</v>
      </c>
      <c r="G611" s="8">
        <v>0</v>
      </c>
      <c r="H611" s="8">
        <v>43.32</v>
      </c>
      <c r="I611" s="8">
        <f t="shared" si="34"/>
        <v>0</v>
      </c>
      <c r="J611" s="12"/>
    </row>
    <row r="612" spans="1:10" x14ac:dyDescent="0.25">
      <c r="C612" s="9"/>
      <c r="D612" s="10">
        <v>45702</v>
      </c>
      <c r="E612" t="s">
        <v>2045</v>
      </c>
      <c r="F612" s="11" t="s">
        <v>2046</v>
      </c>
      <c r="G612" s="8">
        <v>354.54</v>
      </c>
      <c r="H612" s="8">
        <v>0</v>
      </c>
      <c r="I612" s="8">
        <f t="shared" si="34"/>
        <v>354.54</v>
      </c>
      <c r="J612" s="12"/>
    </row>
    <row r="613" spans="1:10" x14ac:dyDescent="0.25">
      <c r="C613" s="9"/>
      <c r="D613" s="10">
        <v>45705</v>
      </c>
      <c r="E613" t="s">
        <v>1524</v>
      </c>
      <c r="F613" s="11" t="s">
        <v>2046</v>
      </c>
      <c r="G613" s="8">
        <v>0</v>
      </c>
      <c r="H613" s="8">
        <v>354.54</v>
      </c>
      <c r="I613" s="8">
        <f t="shared" si="34"/>
        <v>0</v>
      </c>
      <c r="J613" s="12"/>
    </row>
    <row r="614" spans="1:10" x14ac:dyDescent="0.25">
      <c r="C614" s="9"/>
      <c r="D614" s="10">
        <v>45730</v>
      </c>
      <c r="E614" t="s">
        <v>2047</v>
      </c>
      <c r="F614" s="11" t="s">
        <v>2048</v>
      </c>
      <c r="G614" s="8">
        <v>135.46</v>
      </c>
      <c r="H614" s="8">
        <v>0</v>
      </c>
      <c r="I614" s="8">
        <f t="shared" si="34"/>
        <v>135.46</v>
      </c>
      <c r="J614" s="12"/>
    </row>
    <row r="615" spans="1:10" x14ac:dyDescent="0.25">
      <c r="C615" s="9"/>
      <c r="D615" s="10">
        <v>45733</v>
      </c>
      <c r="E615" t="s">
        <v>1524</v>
      </c>
      <c r="F615" s="11" t="s">
        <v>2048</v>
      </c>
      <c r="G615" s="8">
        <v>0</v>
      </c>
      <c r="H615" s="8">
        <v>135.46</v>
      </c>
      <c r="I615" s="8">
        <f t="shared" si="34"/>
        <v>0</v>
      </c>
      <c r="J615" s="12"/>
    </row>
    <row r="616" spans="1:10" x14ac:dyDescent="0.25">
      <c r="C616" s="9"/>
      <c r="D616" s="10">
        <v>45762</v>
      </c>
      <c r="E616" t="s">
        <v>2044</v>
      </c>
      <c r="F616" s="11" t="s">
        <v>42</v>
      </c>
      <c r="G616" s="8">
        <v>0</v>
      </c>
      <c r="H616" s="8">
        <v>79.73</v>
      </c>
      <c r="I616" s="8">
        <f t="shared" si="34"/>
        <v>-79.73</v>
      </c>
      <c r="J616" s="12"/>
    </row>
    <row r="617" spans="1:10" x14ac:dyDescent="0.25">
      <c r="E617" s="4" t="s">
        <v>20</v>
      </c>
      <c r="G617" s="8">
        <f>SUM(G608:G616)</f>
        <v>616.37</v>
      </c>
      <c r="H617" s="8">
        <f>SUM(H608:H616)</f>
        <v>696.1</v>
      </c>
      <c r="I617" s="8">
        <f>G617-H617</f>
        <v>-79.730000000000018</v>
      </c>
    </row>
    <row r="619" spans="1:10" x14ac:dyDescent="0.25">
      <c r="A619" s="5">
        <v>4300224</v>
      </c>
      <c r="B619" s="6" t="s">
        <v>2049</v>
      </c>
      <c r="C619" s="7"/>
      <c r="D619" s="7"/>
      <c r="E619" s="7"/>
      <c r="F619" s="7"/>
      <c r="G619" s="7"/>
      <c r="H619" s="7"/>
      <c r="I619" s="7"/>
      <c r="J619" s="7"/>
    </row>
    <row r="620" spans="1:10" x14ac:dyDescent="0.25">
      <c r="E620" s="4" t="s">
        <v>10</v>
      </c>
      <c r="G620" s="8">
        <v>53.57</v>
      </c>
      <c r="H620" s="8">
        <v>0</v>
      </c>
      <c r="I620" s="8">
        <f>G620-H620</f>
        <v>53.57</v>
      </c>
    </row>
    <row r="621" spans="1:10" x14ac:dyDescent="0.25">
      <c r="C621" s="9"/>
      <c r="D621" s="10">
        <v>45659</v>
      </c>
      <c r="E621" t="s">
        <v>1524</v>
      </c>
      <c r="F621" s="11" t="s">
        <v>2050</v>
      </c>
      <c r="G621" s="8">
        <v>0</v>
      </c>
      <c r="H621" s="8">
        <v>53.57</v>
      </c>
      <c r="I621" s="8">
        <f t="shared" ref="I621:I628" si="35">G621-H621+I620</f>
        <v>0</v>
      </c>
      <c r="J621" s="12"/>
    </row>
    <row r="622" spans="1:10" x14ac:dyDescent="0.25">
      <c r="C622" s="9"/>
      <c r="D622" s="10">
        <v>45671</v>
      </c>
      <c r="E622" t="s">
        <v>2051</v>
      </c>
      <c r="F622" s="11" t="s">
        <v>2052</v>
      </c>
      <c r="G622" s="8">
        <v>38.97</v>
      </c>
      <c r="H622" s="8">
        <v>0</v>
      </c>
      <c r="I622" s="8">
        <f t="shared" si="35"/>
        <v>38.97</v>
      </c>
      <c r="J622" s="12"/>
    </row>
    <row r="623" spans="1:10" x14ac:dyDescent="0.25">
      <c r="C623" s="9"/>
      <c r="D623" s="10">
        <v>45672</v>
      </c>
      <c r="E623" t="s">
        <v>1524</v>
      </c>
      <c r="F623" s="11" t="s">
        <v>2052</v>
      </c>
      <c r="G623" s="8">
        <v>0</v>
      </c>
      <c r="H623" s="8">
        <v>38.97</v>
      </c>
      <c r="I623" s="8">
        <f t="shared" si="35"/>
        <v>0</v>
      </c>
      <c r="J623" s="12"/>
    </row>
    <row r="624" spans="1:10" x14ac:dyDescent="0.25">
      <c r="C624" s="9"/>
      <c r="D624" s="10">
        <v>45716</v>
      </c>
      <c r="E624" t="s">
        <v>2053</v>
      </c>
      <c r="F624" s="11" t="s">
        <v>2054</v>
      </c>
      <c r="G624" s="8">
        <v>53.07</v>
      </c>
      <c r="H624" s="8">
        <v>0</v>
      </c>
      <c r="I624" s="8">
        <f t="shared" si="35"/>
        <v>53.07</v>
      </c>
      <c r="J624" s="12"/>
    </row>
    <row r="625" spans="1:10" x14ac:dyDescent="0.25">
      <c r="C625" s="9" t="s">
        <v>124</v>
      </c>
      <c r="D625" s="10">
        <v>45719</v>
      </c>
      <c r="E625" t="s">
        <v>2055</v>
      </c>
      <c r="F625" s="11" t="s">
        <v>2054</v>
      </c>
      <c r="G625" s="8">
        <v>0</v>
      </c>
      <c r="H625" s="8">
        <v>53.07</v>
      </c>
      <c r="I625" s="8">
        <f t="shared" si="35"/>
        <v>0</v>
      </c>
      <c r="J625" s="12"/>
    </row>
    <row r="626" spans="1:10" x14ac:dyDescent="0.25">
      <c r="C626" s="9"/>
      <c r="D626" s="10">
        <v>45747</v>
      </c>
      <c r="E626" t="s">
        <v>2056</v>
      </c>
      <c r="F626" s="11" t="s">
        <v>2057</v>
      </c>
      <c r="G626" s="8">
        <v>72.7</v>
      </c>
      <c r="H626" s="8">
        <v>0</v>
      </c>
      <c r="I626" s="8">
        <f t="shared" si="35"/>
        <v>72.7</v>
      </c>
      <c r="J626" s="12"/>
    </row>
    <row r="627" spans="1:10" x14ac:dyDescent="0.25">
      <c r="C627" s="9" t="s">
        <v>124</v>
      </c>
      <c r="D627" s="10">
        <v>45748</v>
      </c>
      <c r="E627" t="s">
        <v>2058</v>
      </c>
      <c r="F627" s="11" t="s">
        <v>2057</v>
      </c>
      <c r="G627" s="8">
        <v>0</v>
      </c>
      <c r="H627" s="8">
        <v>72.7</v>
      </c>
      <c r="I627" s="8">
        <f t="shared" si="35"/>
        <v>0</v>
      </c>
      <c r="J627" s="12"/>
    </row>
    <row r="628" spans="1:10" x14ac:dyDescent="0.25">
      <c r="C628" s="9"/>
      <c r="D628" s="10">
        <v>45762</v>
      </c>
      <c r="E628" t="s">
        <v>2059</v>
      </c>
      <c r="F628" s="11" t="s">
        <v>42</v>
      </c>
      <c r="G628" s="8">
        <v>0</v>
      </c>
      <c r="H628" s="8">
        <v>47.55</v>
      </c>
      <c r="I628" s="8">
        <f t="shared" si="35"/>
        <v>-47.55</v>
      </c>
      <c r="J628" s="12"/>
    </row>
    <row r="629" spans="1:10" x14ac:dyDescent="0.25">
      <c r="E629" s="4" t="s">
        <v>20</v>
      </c>
      <c r="G629" s="8">
        <f>SUM(G620:G628)</f>
        <v>218.31</v>
      </c>
      <c r="H629" s="8">
        <f>SUM(H620:H628)</f>
        <v>265.86</v>
      </c>
      <c r="I629" s="8">
        <f>G629-H629</f>
        <v>-47.550000000000011</v>
      </c>
    </row>
    <row r="631" spans="1:10" x14ac:dyDescent="0.25">
      <c r="A631" s="5">
        <v>4300231</v>
      </c>
      <c r="B631" s="6" t="s">
        <v>2060</v>
      </c>
      <c r="C631" s="7"/>
      <c r="D631" s="7"/>
      <c r="E631" s="7"/>
      <c r="F631" s="7"/>
      <c r="G631" s="7"/>
      <c r="H631" s="7"/>
      <c r="I631" s="7"/>
      <c r="J631" s="7"/>
    </row>
    <row r="632" spans="1:10" x14ac:dyDescent="0.25">
      <c r="E632" s="4" t="s">
        <v>10</v>
      </c>
      <c r="G632" s="8">
        <v>66.36</v>
      </c>
      <c r="H632" s="8">
        <v>0</v>
      </c>
      <c r="I632" s="8">
        <f>G632-H632</f>
        <v>66.36</v>
      </c>
    </row>
    <row r="633" spans="1:10" x14ac:dyDescent="0.25">
      <c r="C633" s="9"/>
      <c r="D633" s="10">
        <v>45660</v>
      </c>
      <c r="E633" t="s">
        <v>1524</v>
      </c>
      <c r="F633" s="11" t="s">
        <v>2061</v>
      </c>
      <c r="G633" s="8">
        <v>0</v>
      </c>
      <c r="H633" s="8">
        <v>66.36</v>
      </c>
      <c r="I633" s="8">
        <f t="shared" ref="I633:I646" si="36">G633-H633+I632</f>
        <v>0</v>
      </c>
      <c r="J633" s="12"/>
    </row>
    <row r="634" spans="1:10" x14ac:dyDescent="0.25">
      <c r="C634" s="9"/>
      <c r="D634" s="10">
        <v>45671</v>
      </c>
      <c r="E634" t="s">
        <v>2062</v>
      </c>
      <c r="F634" s="11" t="s">
        <v>2063</v>
      </c>
      <c r="G634" s="8">
        <v>54.5</v>
      </c>
      <c r="H634" s="8">
        <v>0</v>
      </c>
      <c r="I634" s="8">
        <f t="shared" si="36"/>
        <v>54.5</v>
      </c>
      <c r="J634" s="12"/>
    </row>
    <row r="635" spans="1:10" x14ac:dyDescent="0.25">
      <c r="C635" s="9"/>
      <c r="D635" s="10">
        <v>45672</v>
      </c>
      <c r="E635" t="s">
        <v>1524</v>
      </c>
      <c r="F635" s="11" t="s">
        <v>2063</v>
      </c>
      <c r="G635" s="8">
        <v>0</v>
      </c>
      <c r="H635" s="8">
        <v>54.5</v>
      </c>
      <c r="I635" s="8">
        <f t="shared" si="36"/>
        <v>0</v>
      </c>
      <c r="J635" s="12"/>
    </row>
    <row r="636" spans="1:10" x14ac:dyDescent="0.25">
      <c r="C636" s="9"/>
      <c r="D636" s="10">
        <v>45688</v>
      </c>
      <c r="E636" t="s">
        <v>2064</v>
      </c>
      <c r="F636" s="11" t="s">
        <v>2065</v>
      </c>
      <c r="G636" s="8">
        <v>467.75</v>
      </c>
      <c r="H636" s="8">
        <v>0</v>
      </c>
      <c r="I636" s="8">
        <f t="shared" si="36"/>
        <v>467.75</v>
      </c>
      <c r="J636" s="12"/>
    </row>
    <row r="637" spans="1:10" x14ac:dyDescent="0.25">
      <c r="C637" s="9"/>
      <c r="D637" s="10">
        <v>45691</v>
      </c>
      <c r="E637" t="s">
        <v>1524</v>
      </c>
      <c r="F637" s="11" t="s">
        <v>2065</v>
      </c>
      <c r="G637" s="8">
        <v>0</v>
      </c>
      <c r="H637" s="8">
        <v>467.75</v>
      </c>
      <c r="I637" s="8">
        <f t="shared" si="36"/>
        <v>0</v>
      </c>
      <c r="J637" s="12"/>
    </row>
    <row r="638" spans="1:10" x14ac:dyDescent="0.25">
      <c r="C638" s="9"/>
      <c r="D638" s="10">
        <v>45702</v>
      </c>
      <c r="E638" t="s">
        <v>2066</v>
      </c>
      <c r="F638" s="11" t="s">
        <v>2067</v>
      </c>
      <c r="G638" s="8">
        <v>320.26</v>
      </c>
      <c r="H638" s="8">
        <v>0</v>
      </c>
      <c r="I638" s="8">
        <f t="shared" si="36"/>
        <v>320.26</v>
      </c>
      <c r="J638" s="12"/>
    </row>
    <row r="639" spans="1:10" x14ac:dyDescent="0.25">
      <c r="C639" s="9"/>
      <c r="D639" s="10">
        <v>45705</v>
      </c>
      <c r="E639" t="s">
        <v>1524</v>
      </c>
      <c r="F639" s="11" t="s">
        <v>2067</v>
      </c>
      <c r="G639" s="8">
        <v>0</v>
      </c>
      <c r="H639" s="8">
        <v>320.26</v>
      </c>
      <c r="I639" s="8">
        <f t="shared" si="36"/>
        <v>0</v>
      </c>
      <c r="J639" s="12"/>
    </row>
    <row r="640" spans="1:10" x14ac:dyDescent="0.25">
      <c r="C640" s="9"/>
      <c r="D640" s="10">
        <v>45716</v>
      </c>
      <c r="E640" t="s">
        <v>2068</v>
      </c>
      <c r="F640" s="11" t="s">
        <v>2069</v>
      </c>
      <c r="G640" s="8">
        <v>200.69</v>
      </c>
      <c r="H640" s="8">
        <v>0</v>
      </c>
      <c r="I640" s="8">
        <f t="shared" si="36"/>
        <v>200.69</v>
      </c>
      <c r="J640" s="12"/>
    </row>
    <row r="641" spans="1:10" x14ac:dyDescent="0.25">
      <c r="C641" s="9"/>
      <c r="D641" s="10">
        <v>45720</v>
      </c>
      <c r="E641" t="s">
        <v>1524</v>
      </c>
      <c r="F641" s="11" t="s">
        <v>2069</v>
      </c>
      <c r="G641" s="8">
        <v>0</v>
      </c>
      <c r="H641" s="8">
        <v>200.69</v>
      </c>
      <c r="I641" s="8">
        <f t="shared" si="36"/>
        <v>0</v>
      </c>
      <c r="J641" s="12"/>
    </row>
    <row r="642" spans="1:10" x14ac:dyDescent="0.25">
      <c r="C642" s="9"/>
      <c r="D642" s="10">
        <v>45730</v>
      </c>
      <c r="E642" t="s">
        <v>2070</v>
      </c>
      <c r="F642" s="11" t="s">
        <v>2071</v>
      </c>
      <c r="G642" s="8">
        <v>77.11</v>
      </c>
      <c r="H642" s="8">
        <v>0</v>
      </c>
      <c r="I642" s="8">
        <f t="shared" si="36"/>
        <v>77.11</v>
      </c>
      <c r="J642" s="12"/>
    </row>
    <row r="643" spans="1:10" x14ac:dyDescent="0.25">
      <c r="C643" s="9"/>
      <c r="D643" s="10">
        <v>45733</v>
      </c>
      <c r="E643" t="s">
        <v>1524</v>
      </c>
      <c r="F643" s="11" t="s">
        <v>2071</v>
      </c>
      <c r="G643" s="8">
        <v>0</v>
      </c>
      <c r="H643" s="8">
        <v>77.11</v>
      </c>
      <c r="I643" s="8">
        <f t="shared" si="36"/>
        <v>0</v>
      </c>
      <c r="J643" s="12"/>
    </row>
    <row r="644" spans="1:10" x14ac:dyDescent="0.25">
      <c r="C644" s="9"/>
      <c r="D644" s="10">
        <v>45747</v>
      </c>
      <c r="E644" t="s">
        <v>2072</v>
      </c>
      <c r="F644" s="11" t="s">
        <v>2073</v>
      </c>
      <c r="G644" s="8">
        <v>345.49</v>
      </c>
      <c r="H644" s="8">
        <v>0</v>
      </c>
      <c r="I644" s="8">
        <f t="shared" si="36"/>
        <v>345.49</v>
      </c>
      <c r="J644" s="12"/>
    </row>
    <row r="645" spans="1:10" x14ac:dyDescent="0.25">
      <c r="C645" s="9"/>
      <c r="D645" s="10">
        <v>45748</v>
      </c>
      <c r="E645" t="s">
        <v>1524</v>
      </c>
      <c r="F645" s="11" t="s">
        <v>2073</v>
      </c>
      <c r="G645" s="8">
        <v>0</v>
      </c>
      <c r="H645" s="8">
        <v>345.49</v>
      </c>
      <c r="I645" s="8">
        <f t="shared" si="36"/>
        <v>0</v>
      </c>
      <c r="J645" s="12"/>
    </row>
    <row r="646" spans="1:10" x14ac:dyDescent="0.25">
      <c r="C646" s="9"/>
      <c r="D646" s="10">
        <v>45762</v>
      </c>
      <c r="E646" t="s">
        <v>2074</v>
      </c>
      <c r="F646" s="11" t="s">
        <v>42</v>
      </c>
      <c r="G646" s="8">
        <v>0</v>
      </c>
      <c r="H646" s="8">
        <v>202.76</v>
      </c>
      <c r="I646" s="8">
        <f t="shared" si="36"/>
        <v>-202.76</v>
      </c>
      <c r="J646" s="12"/>
    </row>
    <row r="647" spans="1:10" x14ac:dyDescent="0.25">
      <c r="E647" s="4" t="s">
        <v>20</v>
      </c>
      <c r="G647" s="8">
        <f>SUM(G632:G646)</f>
        <v>1532.1599999999999</v>
      </c>
      <c r="H647" s="8">
        <f>SUM(H632:H646)</f>
        <v>1734.9199999999998</v>
      </c>
      <c r="I647" s="8">
        <f>G647-H647</f>
        <v>-202.76</v>
      </c>
    </row>
    <row r="649" spans="1:10" x14ac:dyDescent="0.25">
      <c r="A649" s="5">
        <v>4300233</v>
      </c>
      <c r="B649" s="6" t="s">
        <v>2075</v>
      </c>
      <c r="C649" s="7"/>
      <c r="D649" s="7"/>
      <c r="E649" s="7"/>
      <c r="F649" s="7"/>
      <c r="G649" s="7"/>
      <c r="H649" s="7"/>
      <c r="I649" s="7"/>
      <c r="J649" s="7"/>
    </row>
    <row r="650" spans="1:10" x14ac:dyDescent="0.25">
      <c r="C650" s="9"/>
      <c r="D650" s="10">
        <v>45702</v>
      </c>
      <c r="E650" t="s">
        <v>2076</v>
      </c>
      <c r="F650" s="11" t="s">
        <v>2077</v>
      </c>
      <c r="G650" s="8">
        <v>104.3</v>
      </c>
      <c r="H650" s="8">
        <v>0</v>
      </c>
      <c r="I650" s="8">
        <f>G650-H650</f>
        <v>104.3</v>
      </c>
      <c r="J650" s="12"/>
    </row>
    <row r="651" spans="1:10" x14ac:dyDescent="0.25">
      <c r="C651" s="9"/>
      <c r="D651" s="10">
        <v>45705</v>
      </c>
      <c r="E651" t="s">
        <v>1524</v>
      </c>
      <c r="F651" s="11" t="s">
        <v>2077</v>
      </c>
      <c r="G651" s="8">
        <v>0</v>
      </c>
      <c r="H651" s="8">
        <v>104.3</v>
      </c>
      <c r="I651" s="8">
        <f>G651-H651+I650</f>
        <v>0</v>
      </c>
      <c r="J651" s="12"/>
    </row>
    <row r="652" spans="1:10" x14ac:dyDescent="0.25">
      <c r="C652" s="9"/>
      <c r="D652" s="10">
        <v>45747</v>
      </c>
      <c r="E652" t="s">
        <v>2078</v>
      </c>
      <c r="F652" s="11" t="s">
        <v>2079</v>
      </c>
      <c r="G652" s="8">
        <v>93.19</v>
      </c>
      <c r="H652" s="8">
        <v>0</v>
      </c>
      <c r="I652" s="8">
        <f>G652-H652+I651</f>
        <v>93.19</v>
      </c>
      <c r="J652" s="12"/>
    </row>
    <row r="653" spans="1:10" x14ac:dyDescent="0.25">
      <c r="C653" s="9" t="s">
        <v>124</v>
      </c>
      <c r="D653" s="10">
        <v>45748</v>
      </c>
      <c r="E653" t="s">
        <v>2080</v>
      </c>
      <c r="F653" s="11" t="s">
        <v>2079</v>
      </c>
      <c r="G653" s="8">
        <v>0</v>
      </c>
      <c r="H653" s="8">
        <v>93.19</v>
      </c>
      <c r="I653" s="8">
        <f>G653-H653+I652</f>
        <v>0</v>
      </c>
      <c r="J653" s="12"/>
    </row>
    <row r="654" spans="1:10" x14ac:dyDescent="0.25">
      <c r="C654" s="9"/>
      <c r="D654" s="10">
        <v>45762</v>
      </c>
      <c r="E654" t="s">
        <v>1524</v>
      </c>
      <c r="F654" s="11" t="s">
        <v>2081</v>
      </c>
      <c r="G654" s="8">
        <v>0</v>
      </c>
      <c r="H654" s="8">
        <v>44.02</v>
      </c>
      <c r="I654" s="8">
        <f>G654-H654+I653</f>
        <v>-44.02</v>
      </c>
      <c r="J654" s="12"/>
    </row>
    <row r="655" spans="1:10" x14ac:dyDescent="0.25">
      <c r="E655" s="4" t="s">
        <v>20</v>
      </c>
      <c r="G655" s="8">
        <f>SUM(G650:G654)</f>
        <v>197.49</v>
      </c>
      <c r="H655" s="8">
        <f>SUM(H650:H654)</f>
        <v>241.51000000000002</v>
      </c>
      <c r="I655" s="8">
        <f>G655-H655</f>
        <v>-44.02000000000001</v>
      </c>
    </row>
    <row r="657" spans="1:10" x14ac:dyDescent="0.25">
      <c r="A657" s="5">
        <v>4300253</v>
      </c>
      <c r="B657" s="6" t="s">
        <v>2082</v>
      </c>
      <c r="C657" s="7"/>
      <c r="D657" s="7"/>
      <c r="E657" s="7"/>
      <c r="F657" s="7"/>
      <c r="G657" s="7"/>
      <c r="H657" s="7"/>
      <c r="I657" s="7"/>
      <c r="J657" s="7"/>
    </row>
    <row r="658" spans="1:10" x14ac:dyDescent="0.25">
      <c r="E658" s="4" t="s">
        <v>10</v>
      </c>
      <c r="G658" s="8">
        <v>3955.94</v>
      </c>
      <c r="H658" s="8">
        <v>0</v>
      </c>
      <c r="I658" s="8">
        <f>G658-H658</f>
        <v>3955.94</v>
      </c>
    </row>
    <row r="659" spans="1:10" x14ac:dyDescent="0.25">
      <c r="C659" s="9"/>
      <c r="D659" s="10">
        <v>45659</v>
      </c>
      <c r="E659" t="s">
        <v>2083</v>
      </c>
      <c r="F659" s="11" t="s">
        <v>2084</v>
      </c>
      <c r="G659" s="8">
        <v>0</v>
      </c>
      <c r="H659" s="8">
        <v>3955.94</v>
      </c>
      <c r="I659" s="8">
        <f>G659-H659+I658</f>
        <v>0</v>
      </c>
      <c r="J659" s="12"/>
    </row>
    <row r="660" spans="1:10" x14ac:dyDescent="0.25">
      <c r="C660" s="9"/>
      <c r="D660" s="10">
        <v>45680</v>
      </c>
      <c r="E660" t="s">
        <v>2085</v>
      </c>
      <c r="F660" s="11" t="s">
        <v>42</v>
      </c>
      <c r="G660" s="8">
        <v>0</v>
      </c>
      <c r="H660" s="8">
        <v>521.38</v>
      </c>
      <c r="I660" s="8">
        <f>G660-H660+I659</f>
        <v>-521.38</v>
      </c>
      <c r="J660" s="12"/>
    </row>
    <row r="661" spans="1:10" x14ac:dyDescent="0.25">
      <c r="E661" s="4" t="s">
        <v>20</v>
      </c>
      <c r="G661" s="8">
        <f>SUM(G658:G660)</f>
        <v>3955.94</v>
      </c>
      <c r="H661" s="8">
        <f>SUM(H658:H660)</f>
        <v>4477.32</v>
      </c>
      <c r="I661" s="8">
        <f>G661-H661</f>
        <v>-521.37999999999965</v>
      </c>
    </row>
    <row r="663" spans="1:10" x14ac:dyDescent="0.25">
      <c r="A663" s="5">
        <v>4300254</v>
      </c>
      <c r="B663" s="6" t="s">
        <v>2086</v>
      </c>
      <c r="C663" s="7"/>
      <c r="D663" s="7"/>
      <c r="E663" s="7"/>
      <c r="F663" s="7"/>
      <c r="G663" s="7"/>
      <c r="H663" s="7"/>
      <c r="I663" s="7"/>
      <c r="J663" s="7"/>
    </row>
    <row r="664" spans="1:10" x14ac:dyDescent="0.25">
      <c r="E664" s="4" t="s">
        <v>10</v>
      </c>
      <c r="G664" s="8">
        <v>3412.33</v>
      </c>
      <c r="H664" s="8">
        <v>0</v>
      </c>
      <c r="I664" s="8">
        <f>G664-H664</f>
        <v>3412.33</v>
      </c>
    </row>
    <row r="665" spans="1:10" x14ac:dyDescent="0.25">
      <c r="E665" s="4" t="s">
        <v>20</v>
      </c>
      <c r="G665" s="8">
        <f>G664</f>
        <v>3412.33</v>
      </c>
      <c r="H665" s="8">
        <f>H664</f>
        <v>0</v>
      </c>
      <c r="I665" s="8">
        <f>G665-H665</f>
        <v>3412.33</v>
      </c>
    </row>
    <row r="667" spans="1:10" x14ac:dyDescent="0.25">
      <c r="A667" s="5">
        <v>4300255</v>
      </c>
      <c r="B667" s="6" t="s">
        <v>2087</v>
      </c>
      <c r="C667" s="7"/>
      <c r="D667" s="7"/>
      <c r="E667" s="7"/>
      <c r="F667" s="7"/>
      <c r="G667" s="7"/>
      <c r="H667" s="7"/>
      <c r="I667" s="7"/>
      <c r="J667" s="7"/>
    </row>
    <row r="668" spans="1:10" x14ac:dyDescent="0.25">
      <c r="E668" s="4" t="s">
        <v>10</v>
      </c>
      <c r="G668" s="8">
        <v>31.24</v>
      </c>
      <c r="H668" s="8">
        <v>0</v>
      </c>
      <c r="I668" s="8">
        <f>G668-H668</f>
        <v>31.24</v>
      </c>
    </row>
    <row r="669" spans="1:10" x14ac:dyDescent="0.25">
      <c r="C669" s="9"/>
      <c r="D669" s="10">
        <v>45660</v>
      </c>
      <c r="E669" t="s">
        <v>2088</v>
      </c>
      <c r="F669" s="11" t="s">
        <v>42</v>
      </c>
      <c r="G669" s="8">
        <v>0</v>
      </c>
      <c r="H669" s="8">
        <v>31.24</v>
      </c>
      <c r="I669" s="8">
        <f t="shared" ref="I669:I676" si="37">G669-H669+I668</f>
        <v>0</v>
      </c>
      <c r="J669" s="12"/>
    </row>
    <row r="670" spans="1:10" x14ac:dyDescent="0.25">
      <c r="C670" s="9"/>
      <c r="D670" s="10">
        <v>45702</v>
      </c>
      <c r="E670" t="s">
        <v>2089</v>
      </c>
      <c r="F670" s="11" t="s">
        <v>2090</v>
      </c>
      <c r="G670" s="8">
        <v>103.18</v>
      </c>
      <c r="H670" s="8">
        <v>0</v>
      </c>
      <c r="I670" s="8">
        <f t="shared" si="37"/>
        <v>103.18</v>
      </c>
      <c r="J670" s="12"/>
    </row>
    <row r="671" spans="1:10" x14ac:dyDescent="0.25">
      <c r="C671" s="9"/>
      <c r="D671" s="10">
        <v>45705</v>
      </c>
      <c r="E671" t="s">
        <v>1524</v>
      </c>
      <c r="F671" s="11" t="s">
        <v>2090</v>
      </c>
      <c r="G671" s="8">
        <v>0</v>
      </c>
      <c r="H671" s="8">
        <v>103.18</v>
      </c>
      <c r="I671" s="8">
        <f t="shared" si="37"/>
        <v>0</v>
      </c>
      <c r="J671" s="12"/>
    </row>
    <row r="672" spans="1:10" x14ac:dyDescent="0.25">
      <c r="C672" s="9"/>
      <c r="D672" s="10">
        <v>45716</v>
      </c>
      <c r="E672" t="s">
        <v>2091</v>
      </c>
      <c r="F672" s="11" t="s">
        <v>2092</v>
      </c>
      <c r="G672" s="8">
        <v>132.02000000000001</v>
      </c>
      <c r="H672" s="8">
        <v>0</v>
      </c>
      <c r="I672" s="8">
        <f t="shared" si="37"/>
        <v>132.02000000000001</v>
      </c>
      <c r="J672" s="12"/>
    </row>
    <row r="673" spans="1:10" x14ac:dyDescent="0.25">
      <c r="C673" s="9"/>
      <c r="D673" s="10">
        <v>45720</v>
      </c>
      <c r="E673" t="s">
        <v>1524</v>
      </c>
      <c r="F673" s="11" t="s">
        <v>2092</v>
      </c>
      <c r="G673" s="8">
        <v>0</v>
      </c>
      <c r="H673" s="8">
        <v>132.02000000000001</v>
      </c>
      <c r="I673" s="8">
        <f t="shared" si="37"/>
        <v>0</v>
      </c>
      <c r="J673" s="12"/>
    </row>
    <row r="674" spans="1:10" x14ac:dyDescent="0.25">
      <c r="C674" s="9"/>
      <c r="D674" s="10">
        <v>45747</v>
      </c>
      <c r="E674" t="s">
        <v>2093</v>
      </c>
      <c r="F674" s="11" t="s">
        <v>2094</v>
      </c>
      <c r="G674" s="8">
        <v>88.02</v>
      </c>
      <c r="H674" s="8">
        <v>0</v>
      </c>
      <c r="I674" s="8">
        <f t="shared" si="37"/>
        <v>88.02</v>
      </c>
      <c r="J674" s="12"/>
    </row>
    <row r="675" spans="1:10" x14ac:dyDescent="0.25">
      <c r="C675" s="9"/>
      <c r="D675" s="10">
        <v>45748</v>
      </c>
      <c r="E675" t="s">
        <v>1524</v>
      </c>
      <c r="F675" s="11" t="s">
        <v>2094</v>
      </c>
      <c r="G675" s="8">
        <v>0</v>
      </c>
      <c r="H675" s="8">
        <v>88.02</v>
      </c>
      <c r="I675" s="8">
        <f t="shared" si="37"/>
        <v>0</v>
      </c>
      <c r="J675" s="12"/>
    </row>
    <row r="676" spans="1:10" x14ac:dyDescent="0.25">
      <c r="C676" s="9"/>
      <c r="D676" s="10">
        <v>45762</v>
      </c>
      <c r="E676" t="s">
        <v>1524</v>
      </c>
      <c r="F676" s="11" t="s">
        <v>2095</v>
      </c>
      <c r="G676" s="8">
        <v>0</v>
      </c>
      <c r="H676" s="8">
        <v>297.47000000000003</v>
      </c>
      <c r="I676" s="8">
        <f t="shared" si="37"/>
        <v>-297.47000000000003</v>
      </c>
      <c r="J676" s="12"/>
    </row>
    <row r="677" spans="1:10" x14ac:dyDescent="0.25">
      <c r="E677" s="4" t="s">
        <v>20</v>
      </c>
      <c r="G677" s="8">
        <f>SUM(G668:G676)</f>
        <v>354.46000000000004</v>
      </c>
      <c r="H677" s="8">
        <f>SUM(H668:H676)</f>
        <v>651.93000000000006</v>
      </c>
      <c r="I677" s="8">
        <f>G677-H677</f>
        <v>-297.47000000000003</v>
      </c>
    </row>
    <row r="679" spans="1:10" x14ac:dyDescent="0.25">
      <c r="A679" s="5">
        <v>4300260</v>
      </c>
      <c r="B679" s="6" t="s">
        <v>2096</v>
      </c>
      <c r="C679" s="7"/>
      <c r="D679" s="7"/>
      <c r="E679" s="7"/>
      <c r="F679" s="7"/>
      <c r="G679" s="7"/>
      <c r="H679" s="7"/>
      <c r="I679" s="7"/>
      <c r="J679" s="7"/>
    </row>
    <row r="680" spans="1:10" x14ac:dyDescent="0.25">
      <c r="E680" s="4" t="s">
        <v>10</v>
      </c>
      <c r="G680" s="8">
        <v>2996.35</v>
      </c>
      <c r="H680" s="8">
        <v>0</v>
      </c>
      <c r="I680" s="8">
        <f>G680-H680</f>
        <v>2996.35</v>
      </c>
    </row>
    <row r="681" spans="1:10" x14ac:dyDescent="0.25">
      <c r="C681" s="9"/>
      <c r="D681" s="10">
        <v>45664</v>
      </c>
      <c r="E681" t="s">
        <v>2097</v>
      </c>
      <c r="F681" s="11" t="s">
        <v>2098</v>
      </c>
      <c r="G681" s="8">
        <v>0</v>
      </c>
      <c r="H681" s="8">
        <v>288.61</v>
      </c>
      <c r="I681" s="8">
        <f t="shared" ref="I681:I693" si="38">G681-H681+I680</f>
        <v>2707.74</v>
      </c>
      <c r="J681" s="12"/>
    </row>
    <row r="682" spans="1:10" x14ac:dyDescent="0.25">
      <c r="C682" s="9"/>
      <c r="D682" s="10">
        <v>45671</v>
      </c>
      <c r="E682" t="s">
        <v>2099</v>
      </c>
      <c r="F682" s="11" t="s">
        <v>2100</v>
      </c>
      <c r="G682" s="8">
        <v>260.02999999999997</v>
      </c>
      <c r="H682" s="8">
        <v>0</v>
      </c>
      <c r="I682" s="8">
        <f t="shared" si="38"/>
        <v>2967.7699999999995</v>
      </c>
      <c r="J682" s="12"/>
    </row>
    <row r="683" spans="1:10" x14ac:dyDescent="0.25">
      <c r="C683" s="9"/>
      <c r="D683" s="10">
        <v>45677</v>
      </c>
      <c r="E683" t="s">
        <v>2097</v>
      </c>
      <c r="F683" s="11" t="s">
        <v>2101</v>
      </c>
      <c r="G683" s="8">
        <v>0</v>
      </c>
      <c r="H683" s="8">
        <v>185.05</v>
      </c>
      <c r="I683" s="8">
        <f t="shared" si="38"/>
        <v>2782.7199999999993</v>
      </c>
      <c r="J683" s="12"/>
    </row>
    <row r="684" spans="1:10" x14ac:dyDescent="0.25">
      <c r="C684" s="9"/>
      <c r="D684" s="10">
        <v>45688</v>
      </c>
      <c r="E684" t="s">
        <v>2102</v>
      </c>
      <c r="F684" s="11" t="s">
        <v>2103</v>
      </c>
      <c r="G684" s="8">
        <v>262.3</v>
      </c>
      <c r="H684" s="8">
        <v>0</v>
      </c>
      <c r="I684" s="8">
        <f t="shared" si="38"/>
        <v>3045.0199999999995</v>
      </c>
      <c r="J684" s="12"/>
    </row>
    <row r="685" spans="1:10" x14ac:dyDescent="0.25">
      <c r="C685" s="9"/>
      <c r="D685" s="10">
        <v>45693</v>
      </c>
      <c r="E685" t="s">
        <v>1524</v>
      </c>
      <c r="F685" s="11" t="s">
        <v>2104</v>
      </c>
      <c r="G685" s="8">
        <v>0</v>
      </c>
      <c r="H685" s="8">
        <v>507.29</v>
      </c>
      <c r="I685" s="8">
        <f t="shared" si="38"/>
        <v>2537.7299999999996</v>
      </c>
      <c r="J685" s="12"/>
    </row>
    <row r="686" spans="1:10" x14ac:dyDescent="0.25">
      <c r="C686" s="9"/>
      <c r="D686" s="10">
        <v>45702</v>
      </c>
      <c r="E686" t="s">
        <v>2105</v>
      </c>
      <c r="F686" s="11" t="s">
        <v>2106</v>
      </c>
      <c r="G686" s="8">
        <v>967.72</v>
      </c>
      <c r="H686" s="8">
        <v>0</v>
      </c>
      <c r="I686" s="8">
        <f t="shared" si="38"/>
        <v>3505.45</v>
      </c>
      <c r="J686" s="12"/>
    </row>
    <row r="687" spans="1:10" x14ac:dyDescent="0.25">
      <c r="C687" s="9"/>
      <c r="D687" s="10">
        <v>45708</v>
      </c>
      <c r="E687" t="s">
        <v>1524</v>
      </c>
      <c r="F687" s="11" t="s">
        <v>2107</v>
      </c>
      <c r="G687" s="8">
        <v>0</v>
      </c>
      <c r="H687" s="8">
        <v>58.3</v>
      </c>
      <c r="I687" s="8">
        <f t="shared" si="38"/>
        <v>3447.1499999999996</v>
      </c>
      <c r="J687" s="12"/>
    </row>
    <row r="688" spans="1:10" x14ac:dyDescent="0.25">
      <c r="C688" s="9"/>
      <c r="D688" s="10">
        <v>45716</v>
      </c>
      <c r="E688" t="s">
        <v>2108</v>
      </c>
      <c r="F688" s="11" t="s">
        <v>2109</v>
      </c>
      <c r="G688" s="8">
        <v>712.81</v>
      </c>
      <c r="H688" s="8">
        <v>0</v>
      </c>
      <c r="I688" s="8">
        <f t="shared" si="38"/>
        <v>4159.9599999999991</v>
      </c>
      <c r="J688" s="12"/>
    </row>
    <row r="689" spans="1:10" x14ac:dyDescent="0.25">
      <c r="C689" s="9"/>
      <c r="D689" s="10">
        <v>45721</v>
      </c>
      <c r="E689" t="s">
        <v>1524</v>
      </c>
      <c r="F689" s="11" t="s">
        <v>2110</v>
      </c>
      <c r="G689" s="8">
        <v>0</v>
      </c>
      <c r="H689" s="8">
        <v>747.18</v>
      </c>
      <c r="I689" s="8">
        <f t="shared" si="38"/>
        <v>3412.7799999999993</v>
      </c>
      <c r="J689" s="12"/>
    </row>
    <row r="690" spans="1:10" x14ac:dyDescent="0.25">
      <c r="C690" s="9"/>
      <c r="D690" s="10">
        <v>45730</v>
      </c>
      <c r="E690" t="s">
        <v>2111</v>
      </c>
      <c r="F690" s="11" t="s">
        <v>2112</v>
      </c>
      <c r="G690" s="8">
        <v>389.02</v>
      </c>
      <c r="H690" s="8">
        <v>0</v>
      </c>
      <c r="I690" s="8">
        <f t="shared" si="38"/>
        <v>3801.7999999999993</v>
      </c>
      <c r="J690" s="12"/>
    </row>
    <row r="691" spans="1:10" x14ac:dyDescent="0.25">
      <c r="C691" s="9"/>
      <c r="D691" s="10">
        <v>45736</v>
      </c>
      <c r="E691" t="s">
        <v>1524</v>
      </c>
      <c r="F691" s="11" t="s">
        <v>2113</v>
      </c>
      <c r="G691" s="8">
        <v>0</v>
      </c>
      <c r="H691" s="8">
        <v>1070.79</v>
      </c>
      <c r="I691" s="8">
        <f t="shared" si="38"/>
        <v>2731.0099999999993</v>
      </c>
      <c r="J691" s="12"/>
    </row>
    <row r="692" spans="1:10" x14ac:dyDescent="0.25">
      <c r="C692" s="9"/>
      <c r="D692" s="10">
        <v>45747</v>
      </c>
      <c r="E692" t="s">
        <v>2114</v>
      </c>
      <c r="F692" s="11" t="s">
        <v>2115</v>
      </c>
      <c r="G692" s="8">
        <v>692.98</v>
      </c>
      <c r="H692" s="8">
        <v>0</v>
      </c>
      <c r="I692" s="8">
        <f t="shared" si="38"/>
        <v>3423.9899999999993</v>
      </c>
      <c r="J692" s="12"/>
    </row>
    <row r="693" spans="1:10" x14ac:dyDescent="0.25">
      <c r="C693" s="9"/>
      <c r="D693" s="10">
        <v>45754</v>
      </c>
      <c r="E693" t="s">
        <v>1524</v>
      </c>
      <c r="F693" s="11" t="s">
        <v>2116</v>
      </c>
      <c r="G693" s="8">
        <v>0</v>
      </c>
      <c r="H693" s="8">
        <v>139.13</v>
      </c>
      <c r="I693" s="8">
        <f t="shared" si="38"/>
        <v>3284.8599999999992</v>
      </c>
      <c r="J693" s="12"/>
    </row>
    <row r="694" spans="1:10" x14ac:dyDescent="0.25">
      <c r="E694" s="4" t="s">
        <v>20</v>
      </c>
      <c r="G694" s="8">
        <f>SUM(G680:G693)</f>
        <v>6281.2100000000009</v>
      </c>
      <c r="H694" s="8">
        <f>SUM(H680:H693)</f>
        <v>2996.35</v>
      </c>
      <c r="I694" s="8">
        <f>G694-H694</f>
        <v>3284.860000000001</v>
      </c>
    </row>
    <row r="696" spans="1:10" x14ac:dyDescent="0.25">
      <c r="A696" s="5">
        <v>4300265</v>
      </c>
      <c r="B696" s="6" t="s">
        <v>2117</v>
      </c>
      <c r="C696" s="7"/>
      <c r="D696" s="7"/>
      <c r="E696" s="7"/>
      <c r="F696" s="7"/>
      <c r="G696" s="7"/>
      <c r="H696" s="7"/>
      <c r="I696" s="7"/>
      <c r="J696" s="7"/>
    </row>
    <row r="697" spans="1:10" x14ac:dyDescent="0.25">
      <c r="E697" s="4" t="s">
        <v>10</v>
      </c>
      <c r="G697" s="8">
        <v>699.11</v>
      </c>
      <c r="H697" s="8">
        <v>0</v>
      </c>
      <c r="I697" s="8">
        <f>G697-H697</f>
        <v>699.11</v>
      </c>
    </row>
    <row r="698" spans="1:10" x14ac:dyDescent="0.25">
      <c r="C698" s="9"/>
      <c r="D698" s="10">
        <v>45671</v>
      </c>
      <c r="E698" t="s">
        <v>2118</v>
      </c>
      <c r="F698" s="11" t="s">
        <v>2119</v>
      </c>
      <c r="G698" s="8">
        <v>520.91</v>
      </c>
      <c r="H698" s="8">
        <v>0</v>
      </c>
      <c r="I698" s="8">
        <f t="shared" ref="I698:I707" si="39">G698-H698+I697</f>
        <v>1220.02</v>
      </c>
      <c r="J698" s="12"/>
    </row>
    <row r="699" spans="1:10" x14ac:dyDescent="0.25">
      <c r="C699" s="9"/>
      <c r="D699" s="10">
        <v>45688</v>
      </c>
      <c r="E699" t="s">
        <v>2120</v>
      </c>
      <c r="F699" s="11" t="s">
        <v>2121</v>
      </c>
      <c r="G699" s="8">
        <v>698.55</v>
      </c>
      <c r="H699" s="8">
        <v>0</v>
      </c>
      <c r="I699" s="8">
        <f t="shared" si="39"/>
        <v>1918.57</v>
      </c>
      <c r="J699" s="12"/>
    </row>
    <row r="700" spans="1:10" x14ac:dyDescent="0.25">
      <c r="C700" s="9"/>
      <c r="D700" s="10">
        <v>45692</v>
      </c>
      <c r="E700" t="s">
        <v>2122</v>
      </c>
      <c r="F700" s="11" t="s">
        <v>2119</v>
      </c>
      <c r="G700" s="8">
        <v>0</v>
      </c>
      <c r="H700" s="8">
        <v>993.81</v>
      </c>
      <c r="I700" s="8">
        <f t="shared" si="39"/>
        <v>924.76</v>
      </c>
      <c r="J700" s="12"/>
    </row>
    <row r="701" spans="1:10" x14ac:dyDescent="0.25">
      <c r="C701" s="9"/>
      <c r="D701" s="10">
        <v>45702</v>
      </c>
      <c r="E701" t="s">
        <v>2123</v>
      </c>
      <c r="F701" s="11" t="s">
        <v>2124</v>
      </c>
      <c r="G701" s="8">
        <v>2629.45</v>
      </c>
      <c r="H701" s="8">
        <v>0</v>
      </c>
      <c r="I701" s="8">
        <f t="shared" si="39"/>
        <v>3554.21</v>
      </c>
      <c r="J701" s="12"/>
    </row>
    <row r="702" spans="1:10" x14ac:dyDescent="0.25">
      <c r="C702" s="9"/>
      <c r="D702" s="10">
        <v>45716</v>
      </c>
      <c r="E702" t="s">
        <v>2125</v>
      </c>
      <c r="F702" s="11" t="s">
        <v>2126</v>
      </c>
      <c r="G702" s="8">
        <v>317.14</v>
      </c>
      <c r="H702" s="8">
        <v>0</v>
      </c>
      <c r="I702" s="8">
        <f t="shared" si="39"/>
        <v>3871.35</v>
      </c>
      <c r="J702" s="12"/>
    </row>
    <row r="703" spans="1:10" x14ac:dyDescent="0.25">
      <c r="C703" s="9"/>
      <c r="D703" s="10">
        <v>45721</v>
      </c>
      <c r="E703" t="s">
        <v>1524</v>
      </c>
      <c r="F703" s="11" t="s">
        <v>2127</v>
      </c>
      <c r="G703" s="8">
        <v>0</v>
      </c>
      <c r="H703" s="8">
        <v>43.56</v>
      </c>
      <c r="I703" s="8">
        <f t="shared" si="39"/>
        <v>3827.79</v>
      </c>
      <c r="J703" s="12"/>
    </row>
    <row r="704" spans="1:10" x14ac:dyDescent="0.25">
      <c r="C704" s="9"/>
      <c r="D704" s="10">
        <v>45730</v>
      </c>
      <c r="E704" t="s">
        <v>2128</v>
      </c>
      <c r="F704" s="11" t="s">
        <v>2129</v>
      </c>
      <c r="G704" s="8">
        <v>1507.71</v>
      </c>
      <c r="H704" s="8">
        <v>0</v>
      </c>
      <c r="I704" s="8">
        <f t="shared" si="39"/>
        <v>5335.5</v>
      </c>
      <c r="J704" s="12"/>
    </row>
    <row r="705" spans="1:10" x14ac:dyDescent="0.25">
      <c r="C705" s="9"/>
      <c r="D705" s="10">
        <v>45735</v>
      </c>
      <c r="E705" t="s">
        <v>1524</v>
      </c>
      <c r="F705" s="11" t="s">
        <v>2119</v>
      </c>
      <c r="G705" s="8">
        <v>0</v>
      </c>
      <c r="H705" s="8">
        <v>520.91</v>
      </c>
      <c r="I705" s="8">
        <f t="shared" si="39"/>
        <v>4814.59</v>
      </c>
      <c r="J705" s="12"/>
    </row>
    <row r="706" spans="1:10" x14ac:dyDescent="0.25">
      <c r="C706" s="9"/>
      <c r="D706" s="10">
        <v>45747</v>
      </c>
      <c r="E706" t="s">
        <v>2130</v>
      </c>
      <c r="F706" s="11" t="s">
        <v>2131</v>
      </c>
      <c r="G706" s="8">
        <v>634.52</v>
      </c>
      <c r="H706" s="8">
        <v>0</v>
      </c>
      <c r="I706" s="8">
        <f t="shared" si="39"/>
        <v>5449.1100000000006</v>
      </c>
      <c r="J706" s="12"/>
    </row>
    <row r="707" spans="1:10" x14ac:dyDescent="0.25">
      <c r="C707" s="9"/>
      <c r="D707" s="10">
        <v>45750</v>
      </c>
      <c r="E707" t="s">
        <v>1524</v>
      </c>
      <c r="F707" s="11" t="s">
        <v>2121</v>
      </c>
      <c r="G707" s="8">
        <v>0</v>
      </c>
      <c r="H707" s="8">
        <v>698.55</v>
      </c>
      <c r="I707" s="8">
        <f t="shared" si="39"/>
        <v>4750.5600000000004</v>
      </c>
      <c r="J707" s="12"/>
    </row>
    <row r="708" spans="1:10" x14ac:dyDescent="0.25">
      <c r="E708" s="4" t="s">
        <v>20</v>
      </c>
      <c r="G708" s="8">
        <f>SUM(G697:G707)</f>
        <v>7007.3899999999994</v>
      </c>
      <c r="H708" s="8">
        <f>SUM(H697:H707)</f>
        <v>2256.83</v>
      </c>
      <c r="I708" s="8">
        <f>G708-H708</f>
        <v>4750.5599999999995</v>
      </c>
    </row>
    <row r="710" spans="1:10" x14ac:dyDescent="0.25">
      <c r="A710" s="5">
        <v>4300275</v>
      </c>
      <c r="B710" s="6" t="s">
        <v>2132</v>
      </c>
      <c r="C710" s="7"/>
      <c r="D710" s="7"/>
      <c r="E710" s="7"/>
      <c r="F710" s="7"/>
      <c r="G710" s="7"/>
      <c r="H710" s="7"/>
      <c r="I710" s="7"/>
      <c r="J710" s="7"/>
    </row>
    <row r="711" spans="1:10" x14ac:dyDescent="0.25">
      <c r="E711" s="4" t="s">
        <v>10</v>
      </c>
      <c r="G711" s="8">
        <v>203.59</v>
      </c>
      <c r="H711" s="8">
        <v>0</v>
      </c>
      <c r="I711" s="8">
        <f>G711-H711</f>
        <v>203.59</v>
      </c>
    </row>
    <row r="712" spans="1:10" x14ac:dyDescent="0.25">
      <c r="C712" s="9"/>
      <c r="D712" s="10">
        <v>45659</v>
      </c>
      <c r="E712" t="s">
        <v>1524</v>
      </c>
      <c r="F712" s="11" t="s">
        <v>2133</v>
      </c>
      <c r="G712" s="8">
        <v>0</v>
      </c>
      <c r="H712" s="8">
        <v>203.59</v>
      </c>
      <c r="I712" s="8">
        <f t="shared" ref="I712:I721" si="40">G712-H712+I711</f>
        <v>0</v>
      </c>
      <c r="J712" s="12"/>
    </row>
    <row r="713" spans="1:10" x14ac:dyDescent="0.25">
      <c r="C713" s="9"/>
      <c r="D713" s="10">
        <v>45688</v>
      </c>
      <c r="E713" t="s">
        <v>2134</v>
      </c>
      <c r="F713" s="11" t="s">
        <v>2135</v>
      </c>
      <c r="G713" s="8">
        <v>87.65</v>
      </c>
      <c r="H713" s="8">
        <v>0</v>
      </c>
      <c r="I713" s="8">
        <f t="shared" si="40"/>
        <v>87.65</v>
      </c>
      <c r="J713" s="12"/>
    </row>
    <row r="714" spans="1:10" x14ac:dyDescent="0.25">
      <c r="C714" s="9"/>
      <c r="D714" s="10">
        <v>45691</v>
      </c>
      <c r="E714" t="s">
        <v>2136</v>
      </c>
      <c r="F714" s="11" t="s">
        <v>42</v>
      </c>
      <c r="G714" s="8">
        <v>0</v>
      </c>
      <c r="H714" s="8">
        <v>87.65</v>
      </c>
      <c r="I714" s="8">
        <f t="shared" si="40"/>
        <v>0</v>
      </c>
      <c r="J714" s="12"/>
    </row>
    <row r="715" spans="1:10" x14ac:dyDescent="0.25">
      <c r="C715" s="9"/>
      <c r="D715" s="10">
        <v>45716</v>
      </c>
      <c r="E715" t="s">
        <v>2137</v>
      </c>
      <c r="F715" s="11" t="s">
        <v>2138</v>
      </c>
      <c r="G715" s="8">
        <v>149.96</v>
      </c>
      <c r="H715" s="8">
        <v>0</v>
      </c>
      <c r="I715" s="8">
        <f t="shared" si="40"/>
        <v>149.96</v>
      </c>
      <c r="J715" s="12"/>
    </row>
    <row r="716" spans="1:10" x14ac:dyDescent="0.25">
      <c r="C716" s="9" t="s">
        <v>124</v>
      </c>
      <c r="D716" s="10">
        <v>45719</v>
      </c>
      <c r="E716" t="s">
        <v>2139</v>
      </c>
      <c r="F716" s="11" t="s">
        <v>2138</v>
      </c>
      <c r="G716" s="8">
        <v>0</v>
      </c>
      <c r="H716" s="8">
        <v>149.96</v>
      </c>
      <c r="I716" s="8">
        <f t="shared" si="40"/>
        <v>0</v>
      </c>
      <c r="J716" s="12"/>
    </row>
    <row r="717" spans="1:10" x14ac:dyDescent="0.25">
      <c r="C717" s="9"/>
      <c r="D717" s="10">
        <v>45730</v>
      </c>
      <c r="E717" t="s">
        <v>2140</v>
      </c>
      <c r="F717" s="11" t="s">
        <v>2141</v>
      </c>
      <c r="G717" s="8">
        <v>130.19999999999999</v>
      </c>
      <c r="H717" s="8">
        <v>0</v>
      </c>
      <c r="I717" s="8">
        <f t="shared" si="40"/>
        <v>130.19999999999999</v>
      </c>
      <c r="J717" s="12"/>
    </row>
    <row r="718" spans="1:10" x14ac:dyDescent="0.25">
      <c r="C718" s="9"/>
      <c r="D718" s="10">
        <v>45733</v>
      </c>
      <c r="E718" t="s">
        <v>1524</v>
      </c>
      <c r="F718" s="11" t="s">
        <v>2141</v>
      </c>
      <c r="G718" s="8">
        <v>0</v>
      </c>
      <c r="H718" s="8">
        <v>130.19999999999999</v>
      </c>
      <c r="I718" s="8">
        <f t="shared" si="40"/>
        <v>0</v>
      </c>
      <c r="J718" s="12"/>
    </row>
    <row r="719" spans="1:10" x14ac:dyDescent="0.25">
      <c r="C719" s="9"/>
      <c r="D719" s="10">
        <v>45747</v>
      </c>
      <c r="E719" t="s">
        <v>2142</v>
      </c>
      <c r="F719" s="11" t="s">
        <v>2143</v>
      </c>
      <c r="G719" s="8">
        <v>434.81</v>
      </c>
      <c r="H719" s="8">
        <v>0</v>
      </c>
      <c r="I719" s="8">
        <f t="shared" si="40"/>
        <v>434.81</v>
      </c>
      <c r="J719" s="12"/>
    </row>
    <row r="720" spans="1:10" x14ac:dyDescent="0.25">
      <c r="C720" s="9"/>
      <c r="D720" s="10">
        <v>45748</v>
      </c>
      <c r="E720" t="s">
        <v>1524</v>
      </c>
      <c r="F720" s="11" t="s">
        <v>2143</v>
      </c>
      <c r="G720" s="8">
        <v>0</v>
      </c>
      <c r="H720" s="8">
        <v>434.81</v>
      </c>
      <c r="I720" s="8">
        <f t="shared" si="40"/>
        <v>0</v>
      </c>
      <c r="J720" s="12"/>
    </row>
    <row r="721" spans="1:10" x14ac:dyDescent="0.25">
      <c r="C721" s="9"/>
      <c r="D721" s="10">
        <v>45762</v>
      </c>
      <c r="E721" t="s">
        <v>1524</v>
      </c>
      <c r="F721" s="11" t="s">
        <v>2144</v>
      </c>
      <c r="G721" s="8">
        <v>0</v>
      </c>
      <c r="H721" s="8">
        <v>114.32</v>
      </c>
      <c r="I721" s="8">
        <f t="shared" si="40"/>
        <v>-114.32</v>
      </c>
      <c r="J721" s="12"/>
    </row>
    <row r="722" spans="1:10" x14ac:dyDescent="0.25">
      <c r="E722" s="4" t="s">
        <v>20</v>
      </c>
      <c r="G722" s="8">
        <f>SUM(G711:G721)</f>
        <v>1006.21</v>
      </c>
      <c r="H722" s="8">
        <f>SUM(H711:H721)</f>
        <v>1120.53</v>
      </c>
      <c r="I722" s="8">
        <f>G722-H722</f>
        <v>-114.31999999999994</v>
      </c>
    </row>
    <row r="724" spans="1:10" x14ac:dyDescent="0.25">
      <c r="A724" s="5">
        <v>4300300</v>
      </c>
      <c r="B724" s="6" t="s">
        <v>2145</v>
      </c>
      <c r="C724" s="7"/>
      <c r="D724" s="7"/>
      <c r="E724" s="7"/>
      <c r="F724" s="7"/>
      <c r="G724" s="7"/>
      <c r="H724" s="7"/>
      <c r="I724" s="7"/>
      <c r="J724" s="7"/>
    </row>
    <row r="725" spans="1:10" x14ac:dyDescent="0.25">
      <c r="C725" s="9"/>
      <c r="D725" s="10">
        <v>45688</v>
      </c>
      <c r="E725" t="s">
        <v>2146</v>
      </c>
      <c r="F725" s="11" t="s">
        <v>2147</v>
      </c>
      <c r="G725" s="8">
        <v>294.44</v>
      </c>
      <c r="H725" s="8">
        <v>0</v>
      </c>
      <c r="I725" s="8">
        <f>G725-H725</f>
        <v>294.44</v>
      </c>
      <c r="J725" s="12"/>
    </row>
    <row r="726" spans="1:10" x14ac:dyDescent="0.25">
      <c r="C726" s="9" t="s">
        <v>124</v>
      </c>
      <c r="D726" s="10">
        <v>45691</v>
      </c>
      <c r="E726" t="s">
        <v>2148</v>
      </c>
      <c r="F726" s="11" t="s">
        <v>2147</v>
      </c>
      <c r="G726" s="8">
        <v>0</v>
      </c>
      <c r="H726" s="8">
        <v>294.44</v>
      </c>
      <c r="I726" s="8">
        <f t="shared" ref="I726:I735" si="41">G726-H726+I725</f>
        <v>0</v>
      </c>
      <c r="J726" s="12"/>
    </row>
    <row r="727" spans="1:10" x14ac:dyDescent="0.25">
      <c r="C727" s="9"/>
      <c r="D727" s="10">
        <v>45702</v>
      </c>
      <c r="E727" t="s">
        <v>2149</v>
      </c>
      <c r="F727" s="11" t="s">
        <v>2150</v>
      </c>
      <c r="G727" s="8">
        <v>311.33</v>
      </c>
      <c r="H727" s="8">
        <v>0</v>
      </c>
      <c r="I727" s="8">
        <f t="shared" si="41"/>
        <v>311.33</v>
      </c>
      <c r="J727" s="12"/>
    </row>
    <row r="728" spans="1:10" x14ac:dyDescent="0.25">
      <c r="C728" s="9"/>
      <c r="D728" s="10">
        <v>45705</v>
      </c>
      <c r="E728" t="s">
        <v>1524</v>
      </c>
      <c r="F728" s="11" t="s">
        <v>2150</v>
      </c>
      <c r="G728" s="8">
        <v>0</v>
      </c>
      <c r="H728" s="8">
        <v>311.33</v>
      </c>
      <c r="I728" s="8">
        <f t="shared" si="41"/>
        <v>0</v>
      </c>
      <c r="J728" s="12"/>
    </row>
    <row r="729" spans="1:10" x14ac:dyDescent="0.25">
      <c r="C729" s="9"/>
      <c r="D729" s="10">
        <v>45716</v>
      </c>
      <c r="E729" t="s">
        <v>2151</v>
      </c>
      <c r="F729" s="11" t="s">
        <v>2152</v>
      </c>
      <c r="G729" s="8">
        <v>58.95</v>
      </c>
      <c r="H729" s="8">
        <v>0</v>
      </c>
      <c r="I729" s="8">
        <f t="shared" si="41"/>
        <v>58.95</v>
      </c>
      <c r="J729" s="12"/>
    </row>
    <row r="730" spans="1:10" x14ac:dyDescent="0.25">
      <c r="C730" s="9"/>
      <c r="D730" s="10">
        <v>45720</v>
      </c>
      <c r="E730" t="s">
        <v>1524</v>
      </c>
      <c r="F730" s="11" t="s">
        <v>2152</v>
      </c>
      <c r="G730" s="8">
        <v>0</v>
      </c>
      <c r="H730" s="8">
        <v>58.95</v>
      </c>
      <c r="I730" s="8">
        <f t="shared" si="41"/>
        <v>0</v>
      </c>
      <c r="J730" s="12"/>
    </row>
    <row r="731" spans="1:10" x14ac:dyDescent="0.25">
      <c r="C731" s="9"/>
      <c r="D731" s="10">
        <v>45730</v>
      </c>
      <c r="E731" t="s">
        <v>2153</v>
      </c>
      <c r="F731" s="11" t="s">
        <v>2154</v>
      </c>
      <c r="G731" s="8">
        <v>65.150000000000006</v>
      </c>
      <c r="H731" s="8">
        <v>0</v>
      </c>
      <c r="I731" s="8">
        <f t="shared" si="41"/>
        <v>65.150000000000006</v>
      </c>
      <c r="J731" s="12"/>
    </row>
    <row r="732" spans="1:10" x14ac:dyDescent="0.25">
      <c r="C732" s="9"/>
      <c r="D732" s="10">
        <v>45733</v>
      </c>
      <c r="E732" t="s">
        <v>2155</v>
      </c>
      <c r="F732" s="11" t="s">
        <v>42</v>
      </c>
      <c r="G732" s="8">
        <v>0</v>
      </c>
      <c r="H732" s="8">
        <v>65.150000000000006</v>
      </c>
      <c r="I732" s="8">
        <f t="shared" si="41"/>
        <v>0</v>
      </c>
      <c r="J732" s="12"/>
    </row>
    <row r="733" spans="1:10" x14ac:dyDescent="0.25">
      <c r="C733" s="9"/>
      <c r="D733" s="10">
        <v>45747</v>
      </c>
      <c r="E733" t="s">
        <v>2156</v>
      </c>
      <c r="F733" s="11" t="s">
        <v>2157</v>
      </c>
      <c r="G733" s="8">
        <v>210.83</v>
      </c>
      <c r="H733" s="8">
        <v>0</v>
      </c>
      <c r="I733" s="8">
        <f t="shared" si="41"/>
        <v>210.83</v>
      </c>
      <c r="J733" s="12"/>
    </row>
    <row r="734" spans="1:10" x14ac:dyDescent="0.25">
      <c r="C734" s="9"/>
      <c r="D734" s="10">
        <v>45748</v>
      </c>
      <c r="E734" t="s">
        <v>1524</v>
      </c>
      <c r="F734" s="11" t="s">
        <v>2157</v>
      </c>
      <c r="G734" s="8">
        <v>0</v>
      </c>
      <c r="H734" s="8">
        <v>210.83</v>
      </c>
      <c r="I734" s="8">
        <f t="shared" si="41"/>
        <v>0</v>
      </c>
      <c r="J734" s="12"/>
    </row>
    <row r="735" spans="1:10" x14ac:dyDescent="0.25">
      <c r="C735" s="9"/>
      <c r="D735" s="10">
        <v>45762</v>
      </c>
      <c r="E735" t="s">
        <v>2155</v>
      </c>
      <c r="F735" s="11" t="s">
        <v>42</v>
      </c>
      <c r="G735" s="8">
        <v>0</v>
      </c>
      <c r="H735" s="8">
        <v>1227.02</v>
      </c>
      <c r="I735" s="8">
        <f t="shared" si="41"/>
        <v>-1227.02</v>
      </c>
      <c r="J735" s="12"/>
    </row>
    <row r="736" spans="1:10" x14ac:dyDescent="0.25">
      <c r="E736" s="4" t="s">
        <v>20</v>
      </c>
      <c r="G736" s="8">
        <f>SUM(G725:G735)</f>
        <v>940.7</v>
      </c>
      <c r="H736" s="8">
        <f>SUM(H725:H735)</f>
        <v>2167.7200000000003</v>
      </c>
      <c r="I736" s="8">
        <f>G736-H736</f>
        <v>-1227.0200000000002</v>
      </c>
    </row>
    <row r="738" spans="1:10" x14ac:dyDescent="0.25">
      <c r="A738" s="5">
        <v>4300315</v>
      </c>
      <c r="B738" s="6" t="s">
        <v>2158</v>
      </c>
      <c r="C738" s="7"/>
      <c r="D738" s="7"/>
      <c r="E738" s="7"/>
      <c r="F738" s="7"/>
      <c r="G738" s="7"/>
      <c r="H738" s="7"/>
      <c r="I738" s="7"/>
      <c r="J738" s="7"/>
    </row>
    <row r="739" spans="1:10" x14ac:dyDescent="0.25">
      <c r="E739" s="4" t="s">
        <v>10</v>
      </c>
      <c r="G739" s="8">
        <v>25682.38</v>
      </c>
      <c r="H739" s="8">
        <v>0</v>
      </c>
      <c r="I739" s="8">
        <f>G739-H739</f>
        <v>25682.38</v>
      </c>
    </row>
    <row r="740" spans="1:10" x14ac:dyDescent="0.25">
      <c r="C740" s="9"/>
      <c r="D740" s="10">
        <v>45667</v>
      </c>
      <c r="E740" t="s">
        <v>2159</v>
      </c>
      <c r="F740" s="11" t="s">
        <v>42</v>
      </c>
      <c r="G740" s="8">
        <v>0</v>
      </c>
      <c r="H740" s="8">
        <v>8233.99</v>
      </c>
      <c r="I740" s="8">
        <f t="shared" ref="I740:I748" si="42">G740-H740+I739</f>
        <v>17448.39</v>
      </c>
      <c r="J740" s="12"/>
    </row>
    <row r="741" spans="1:10" x14ac:dyDescent="0.25">
      <c r="C741" s="9"/>
      <c r="D741" s="10">
        <v>45671</v>
      </c>
      <c r="E741" t="s">
        <v>2160</v>
      </c>
      <c r="F741" s="11" t="s">
        <v>2161</v>
      </c>
      <c r="G741" s="8">
        <v>1042.19</v>
      </c>
      <c r="H741" s="8">
        <v>0</v>
      </c>
      <c r="I741" s="8">
        <f t="shared" si="42"/>
        <v>18490.579999999998</v>
      </c>
      <c r="J741" s="12"/>
    </row>
    <row r="742" spans="1:10" x14ac:dyDescent="0.25">
      <c r="C742" s="9"/>
      <c r="D742" s="10">
        <v>45688</v>
      </c>
      <c r="E742" t="s">
        <v>2162</v>
      </c>
      <c r="F742" s="11" t="s">
        <v>2163</v>
      </c>
      <c r="G742" s="8">
        <v>3482.43</v>
      </c>
      <c r="H742" s="8">
        <v>0</v>
      </c>
      <c r="I742" s="8">
        <f t="shared" si="42"/>
        <v>21973.01</v>
      </c>
      <c r="J742" s="12"/>
    </row>
    <row r="743" spans="1:10" x14ac:dyDescent="0.25">
      <c r="C743" s="9"/>
      <c r="D743" s="10">
        <v>45701</v>
      </c>
      <c r="E743" t="s">
        <v>2164</v>
      </c>
      <c r="F743" s="11" t="s">
        <v>42</v>
      </c>
      <c r="G743" s="8">
        <v>0</v>
      </c>
      <c r="H743" s="8">
        <v>6598.45</v>
      </c>
      <c r="I743" s="8">
        <f t="shared" si="42"/>
        <v>15374.559999999998</v>
      </c>
      <c r="J743" s="12"/>
    </row>
    <row r="744" spans="1:10" x14ac:dyDescent="0.25">
      <c r="C744" s="9"/>
      <c r="D744" s="10">
        <v>45702</v>
      </c>
      <c r="E744" t="s">
        <v>2165</v>
      </c>
      <c r="F744" s="11" t="s">
        <v>2166</v>
      </c>
      <c r="G744" s="8">
        <v>3991.1</v>
      </c>
      <c r="H744" s="8">
        <v>0</v>
      </c>
      <c r="I744" s="8">
        <f t="shared" si="42"/>
        <v>19365.659999999996</v>
      </c>
      <c r="J744" s="12"/>
    </row>
    <row r="745" spans="1:10" x14ac:dyDescent="0.25">
      <c r="C745" s="9"/>
      <c r="D745" s="10">
        <v>45716</v>
      </c>
      <c r="E745" t="s">
        <v>2167</v>
      </c>
      <c r="F745" s="11" t="s">
        <v>2168</v>
      </c>
      <c r="G745" s="8">
        <v>2178.67</v>
      </c>
      <c r="H745" s="8">
        <v>0</v>
      </c>
      <c r="I745" s="8">
        <f t="shared" si="42"/>
        <v>21544.329999999994</v>
      </c>
      <c r="J745" s="12"/>
    </row>
    <row r="746" spans="1:10" x14ac:dyDescent="0.25">
      <c r="C746" s="9"/>
      <c r="D746" s="10">
        <v>45726</v>
      </c>
      <c r="E746" t="s">
        <v>2169</v>
      </c>
      <c r="F746" s="11" t="s">
        <v>42</v>
      </c>
      <c r="G746" s="8">
        <v>0</v>
      </c>
      <c r="H746" s="8">
        <v>7020.95</v>
      </c>
      <c r="I746" s="8">
        <f t="shared" si="42"/>
        <v>14523.379999999994</v>
      </c>
      <c r="J746" s="12"/>
    </row>
    <row r="747" spans="1:10" x14ac:dyDescent="0.25">
      <c r="C747" s="9"/>
      <c r="D747" s="10">
        <v>45730</v>
      </c>
      <c r="E747" t="s">
        <v>2170</v>
      </c>
      <c r="F747" s="11" t="s">
        <v>2171</v>
      </c>
      <c r="G747" s="8">
        <v>4021.88</v>
      </c>
      <c r="H747" s="8">
        <v>0</v>
      </c>
      <c r="I747" s="8">
        <f t="shared" si="42"/>
        <v>18545.259999999995</v>
      </c>
      <c r="J747" s="12"/>
    </row>
    <row r="748" spans="1:10" x14ac:dyDescent="0.25">
      <c r="C748" s="9"/>
      <c r="D748" s="10">
        <v>45747</v>
      </c>
      <c r="E748" t="s">
        <v>2172</v>
      </c>
      <c r="F748" s="11" t="s">
        <v>2173</v>
      </c>
      <c r="G748" s="8">
        <v>4482.0600000000004</v>
      </c>
      <c r="H748" s="8">
        <v>0</v>
      </c>
      <c r="I748" s="8">
        <f t="shared" si="42"/>
        <v>23027.319999999996</v>
      </c>
      <c r="J748" s="12"/>
    </row>
    <row r="749" spans="1:10" x14ac:dyDescent="0.25">
      <c r="E749" s="4" t="s">
        <v>20</v>
      </c>
      <c r="G749" s="8">
        <f>SUM(G739:G748)</f>
        <v>44880.709999999992</v>
      </c>
      <c r="H749" s="8">
        <f>SUM(H739:H748)</f>
        <v>21853.39</v>
      </c>
      <c r="I749" s="8">
        <f>G749-H749</f>
        <v>23027.319999999992</v>
      </c>
    </row>
    <row r="751" spans="1:10" x14ac:dyDescent="0.25">
      <c r="A751" s="5">
        <v>4300325</v>
      </c>
      <c r="B751" s="6" t="s">
        <v>2174</v>
      </c>
      <c r="C751" s="7"/>
      <c r="D751" s="7"/>
      <c r="E751" s="7"/>
      <c r="F751" s="7"/>
      <c r="G751" s="7"/>
      <c r="H751" s="7"/>
      <c r="I751" s="7"/>
      <c r="J751" s="7"/>
    </row>
    <row r="752" spans="1:10" x14ac:dyDescent="0.25">
      <c r="E752" s="4" t="s">
        <v>10</v>
      </c>
      <c r="G752" s="8">
        <v>129.32</v>
      </c>
      <c r="H752" s="8">
        <v>0</v>
      </c>
      <c r="I752" s="8">
        <f>G752-H752</f>
        <v>129.32</v>
      </c>
    </row>
    <row r="753" spans="1:10" x14ac:dyDescent="0.25">
      <c r="C753" s="9"/>
      <c r="D753" s="10">
        <v>45660</v>
      </c>
      <c r="E753" t="s">
        <v>1524</v>
      </c>
      <c r="F753" s="11" t="s">
        <v>2175</v>
      </c>
      <c r="G753" s="8">
        <v>0</v>
      </c>
      <c r="H753" s="8">
        <v>129.32</v>
      </c>
      <c r="I753" s="8">
        <f t="shared" ref="I753:I764" si="43">G753-H753+I752</f>
        <v>0</v>
      </c>
      <c r="J753" s="12"/>
    </row>
    <row r="754" spans="1:10" x14ac:dyDescent="0.25">
      <c r="C754" s="9"/>
      <c r="D754" s="10">
        <v>45688</v>
      </c>
      <c r="E754" t="s">
        <v>2176</v>
      </c>
      <c r="F754" s="11" t="s">
        <v>2177</v>
      </c>
      <c r="G754" s="8">
        <v>189.45</v>
      </c>
      <c r="H754" s="8">
        <v>0</v>
      </c>
      <c r="I754" s="8">
        <f t="shared" si="43"/>
        <v>189.45</v>
      </c>
      <c r="J754" s="12"/>
    </row>
    <row r="755" spans="1:10" x14ac:dyDescent="0.25">
      <c r="C755" s="9" t="s">
        <v>124</v>
      </c>
      <c r="D755" s="10">
        <v>45691</v>
      </c>
      <c r="E755" t="s">
        <v>2178</v>
      </c>
      <c r="F755" s="11" t="s">
        <v>2177</v>
      </c>
      <c r="G755" s="8">
        <v>0</v>
      </c>
      <c r="H755" s="8">
        <v>189.45</v>
      </c>
      <c r="I755" s="8">
        <f t="shared" si="43"/>
        <v>0</v>
      </c>
      <c r="J755" s="12"/>
    </row>
    <row r="756" spans="1:10" x14ac:dyDescent="0.25">
      <c r="C756" s="9"/>
      <c r="D756" s="10">
        <v>45702</v>
      </c>
      <c r="E756" t="s">
        <v>2179</v>
      </c>
      <c r="F756" s="11" t="s">
        <v>2180</v>
      </c>
      <c r="G756" s="8">
        <v>61.29</v>
      </c>
      <c r="H756" s="8">
        <v>0</v>
      </c>
      <c r="I756" s="8">
        <f t="shared" si="43"/>
        <v>61.29</v>
      </c>
      <c r="J756" s="12"/>
    </row>
    <row r="757" spans="1:10" x14ac:dyDescent="0.25">
      <c r="C757" s="9"/>
      <c r="D757" s="10">
        <v>45705</v>
      </c>
      <c r="E757" t="s">
        <v>1524</v>
      </c>
      <c r="F757" s="11" t="s">
        <v>2180</v>
      </c>
      <c r="G757" s="8">
        <v>0</v>
      </c>
      <c r="H757" s="8">
        <v>61.29</v>
      </c>
      <c r="I757" s="8">
        <f t="shared" si="43"/>
        <v>0</v>
      </c>
      <c r="J757" s="12"/>
    </row>
    <row r="758" spans="1:10" x14ac:dyDescent="0.25">
      <c r="C758" s="9"/>
      <c r="D758" s="10">
        <v>45716</v>
      </c>
      <c r="E758" t="s">
        <v>2181</v>
      </c>
      <c r="F758" s="11" t="s">
        <v>2182</v>
      </c>
      <c r="G758" s="8">
        <v>230.17</v>
      </c>
      <c r="H758" s="8">
        <v>0</v>
      </c>
      <c r="I758" s="8">
        <f t="shared" si="43"/>
        <v>230.17</v>
      </c>
      <c r="J758" s="12"/>
    </row>
    <row r="759" spans="1:10" x14ac:dyDescent="0.25">
      <c r="C759" s="9"/>
      <c r="D759" s="10">
        <v>45720</v>
      </c>
      <c r="E759" t="s">
        <v>1524</v>
      </c>
      <c r="F759" s="11" t="s">
        <v>2182</v>
      </c>
      <c r="G759" s="8">
        <v>0</v>
      </c>
      <c r="H759" s="8">
        <v>230.17</v>
      </c>
      <c r="I759" s="8">
        <f t="shared" si="43"/>
        <v>0</v>
      </c>
      <c r="J759" s="12"/>
    </row>
    <row r="760" spans="1:10" x14ac:dyDescent="0.25">
      <c r="C760" s="9"/>
      <c r="D760" s="10">
        <v>45730</v>
      </c>
      <c r="E760" t="s">
        <v>2183</v>
      </c>
      <c r="F760" s="11" t="s">
        <v>2184</v>
      </c>
      <c r="G760" s="8">
        <v>205</v>
      </c>
      <c r="H760" s="8">
        <v>0</v>
      </c>
      <c r="I760" s="8">
        <f t="shared" si="43"/>
        <v>205</v>
      </c>
      <c r="J760" s="12"/>
    </row>
    <row r="761" spans="1:10" x14ac:dyDescent="0.25">
      <c r="C761" s="9"/>
      <c r="D761" s="10">
        <v>45733</v>
      </c>
      <c r="E761" t="s">
        <v>1524</v>
      </c>
      <c r="F761" s="11" t="s">
        <v>2184</v>
      </c>
      <c r="G761" s="8">
        <v>0</v>
      </c>
      <c r="H761" s="8">
        <v>205</v>
      </c>
      <c r="I761" s="8">
        <f t="shared" si="43"/>
        <v>0</v>
      </c>
      <c r="J761" s="12"/>
    </row>
    <row r="762" spans="1:10" x14ac:dyDescent="0.25">
      <c r="C762" s="9"/>
      <c r="D762" s="10">
        <v>45747</v>
      </c>
      <c r="E762" t="s">
        <v>2185</v>
      </c>
      <c r="F762" s="11" t="s">
        <v>2186</v>
      </c>
      <c r="G762" s="8">
        <v>65.180000000000007</v>
      </c>
      <c r="H762" s="8">
        <v>0</v>
      </c>
      <c r="I762" s="8">
        <f t="shared" si="43"/>
        <v>65.180000000000007</v>
      </c>
      <c r="J762" s="12"/>
    </row>
    <row r="763" spans="1:10" x14ac:dyDescent="0.25">
      <c r="C763" s="9"/>
      <c r="D763" s="10">
        <v>45748</v>
      </c>
      <c r="E763" t="s">
        <v>1524</v>
      </c>
      <c r="F763" s="11" t="s">
        <v>2186</v>
      </c>
      <c r="G763" s="8">
        <v>0</v>
      </c>
      <c r="H763" s="8">
        <v>65.180000000000007</v>
      </c>
      <c r="I763" s="8">
        <f t="shared" si="43"/>
        <v>0</v>
      </c>
      <c r="J763" s="12"/>
    </row>
    <row r="764" spans="1:10" x14ac:dyDescent="0.25">
      <c r="C764" s="9"/>
      <c r="D764" s="10">
        <v>45762</v>
      </c>
      <c r="E764" t="s">
        <v>2187</v>
      </c>
      <c r="F764" s="11" t="s">
        <v>42</v>
      </c>
      <c r="G764" s="8">
        <v>0</v>
      </c>
      <c r="H764" s="8">
        <v>102.15</v>
      </c>
      <c r="I764" s="8">
        <f t="shared" si="43"/>
        <v>-102.15</v>
      </c>
      <c r="J764" s="12"/>
    </row>
    <row r="765" spans="1:10" x14ac:dyDescent="0.25">
      <c r="E765" s="4" t="s">
        <v>20</v>
      </c>
      <c r="G765" s="8">
        <f>SUM(G752:G764)</f>
        <v>880.41000000000008</v>
      </c>
      <c r="H765" s="8">
        <f>SUM(H752:H764)</f>
        <v>982.56000000000006</v>
      </c>
      <c r="I765" s="8">
        <f>G765-H765</f>
        <v>-102.14999999999998</v>
      </c>
    </row>
    <row r="767" spans="1:10" x14ac:dyDescent="0.25">
      <c r="A767" s="5">
        <v>4300330</v>
      </c>
      <c r="B767" s="6" t="s">
        <v>2188</v>
      </c>
      <c r="C767" s="7"/>
      <c r="D767" s="7"/>
      <c r="E767" s="7"/>
      <c r="F767" s="7"/>
      <c r="G767" s="7"/>
      <c r="H767" s="7"/>
      <c r="I767" s="7"/>
      <c r="J767" s="7"/>
    </row>
    <row r="768" spans="1:10" x14ac:dyDescent="0.25">
      <c r="E768" s="4" t="s">
        <v>10</v>
      </c>
      <c r="G768" s="8">
        <v>0</v>
      </c>
      <c r="H768" s="8">
        <v>363.51</v>
      </c>
      <c r="I768" s="8">
        <f>G768-H768</f>
        <v>-363.51</v>
      </c>
    </row>
    <row r="769" spans="1:10" x14ac:dyDescent="0.25">
      <c r="E769" s="4" t="s">
        <v>20</v>
      </c>
      <c r="G769" s="8">
        <f>G768</f>
        <v>0</v>
      </c>
      <c r="H769" s="8">
        <f>H768</f>
        <v>363.51</v>
      </c>
      <c r="I769" s="8">
        <f>G769-H769</f>
        <v>-363.51</v>
      </c>
    </row>
    <row r="771" spans="1:10" x14ac:dyDescent="0.25">
      <c r="A771" s="5">
        <v>4300365</v>
      </c>
      <c r="B771" s="6" t="s">
        <v>2189</v>
      </c>
      <c r="C771" s="7"/>
      <c r="D771" s="7"/>
      <c r="E771" s="7"/>
      <c r="F771" s="7"/>
      <c r="G771" s="7"/>
      <c r="H771" s="7"/>
      <c r="I771" s="7"/>
      <c r="J771" s="7"/>
    </row>
    <row r="772" spans="1:10" x14ac:dyDescent="0.25">
      <c r="E772" s="4" t="s">
        <v>10</v>
      </c>
      <c r="G772" s="8">
        <v>27538.21</v>
      </c>
      <c r="H772" s="8">
        <v>0</v>
      </c>
      <c r="I772" s="8">
        <f>G772-H772</f>
        <v>27538.21</v>
      </c>
    </row>
    <row r="773" spans="1:10" x14ac:dyDescent="0.25">
      <c r="C773" s="9"/>
      <c r="D773" s="10">
        <v>45663</v>
      </c>
      <c r="E773" t="s">
        <v>2190</v>
      </c>
      <c r="F773" s="11" t="s">
        <v>2191</v>
      </c>
      <c r="G773" s="8">
        <v>0</v>
      </c>
      <c r="H773" s="8">
        <v>444.45</v>
      </c>
      <c r="I773" s="8">
        <f t="shared" ref="I773:I804" si="44">G773-H773+I772</f>
        <v>27093.759999999998</v>
      </c>
      <c r="J773" s="12"/>
    </row>
    <row r="774" spans="1:10" x14ac:dyDescent="0.25">
      <c r="C774" s="9"/>
      <c r="D774" s="10">
        <v>45671</v>
      </c>
      <c r="E774" t="s">
        <v>2192</v>
      </c>
      <c r="F774" s="11" t="s">
        <v>2193</v>
      </c>
      <c r="G774" s="8">
        <v>-131.25</v>
      </c>
      <c r="H774" s="8">
        <v>0</v>
      </c>
      <c r="I774" s="8">
        <f t="shared" si="44"/>
        <v>26962.51</v>
      </c>
      <c r="J774" s="12"/>
    </row>
    <row r="775" spans="1:10" x14ac:dyDescent="0.25">
      <c r="C775" s="9"/>
      <c r="D775" s="10">
        <v>45671</v>
      </c>
      <c r="E775" t="s">
        <v>2194</v>
      </c>
      <c r="F775" s="11" t="s">
        <v>2195</v>
      </c>
      <c r="G775" s="8">
        <v>102.32</v>
      </c>
      <c r="H775" s="8">
        <v>0</v>
      </c>
      <c r="I775" s="8">
        <f t="shared" si="44"/>
        <v>27064.829999999998</v>
      </c>
      <c r="J775" s="12"/>
    </row>
    <row r="776" spans="1:10" x14ac:dyDescent="0.25">
      <c r="C776" s="9"/>
      <c r="D776" s="10">
        <v>45671</v>
      </c>
      <c r="E776" t="s">
        <v>2196</v>
      </c>
      <c r="F776" s="11" t="s">
        <v>2197</v>
      </c>
      <c r="G776" s="8">
        <v>424.59</v>
      </c>
      <c r="H776" s="8">
        <v>0</v>
      </c>
      <c r="I776" s="8">
        <f t="shared" si="44"/>
        <v>27489.42</v>
      </c>
      <c r="J776" s="12"/>
    </row>
    <row r="777" spans="1:10" x14ac:dyDescent="0.25">
      <c r="C777" s="9"/>
      <c r="D777" s="10">
        <v>45671</v>
      </c>
      <c r="E777" t="s">
        <v>2198</v>
      </c>
      <c r="F777" s="11" t="s">
        <v>2199</v>
      </c>
      <c r="G777" s="8">
        <v>257.73</v>
      </c>
      <c r="H777" s="8">
        <v>0</v>
      </c>
      <c r="I777" s="8">
        <f t="shared" si="44"/>
        <v>27747.149999999998</v>
      </c>
      <c r="J777" s="12"/>
    </row>
    <row r="778" spans="1:10" x14ac:dyDescent="0.25">
      <c r="C778" s="9"/>
      <c r="D778" s="10">
        <v>45671</v>
      </c>
      <c r="E778" t="s">
        <v>2200</v>
      </c>
      <c r="F778" s="11" t="s">
        <v>2201</v>
      </c>
      <c r="G778" s="8">
        <v>411.7</v>
      </c>
      <c r="H778" s="8">
        <v>0</v>
      </c>
      <c r="I778" s="8">
        <f t="shared" si="44"/>
        <v>28158.85</v>
      </c>
      <c r="J778" s="12"/>
    </row>
    <row r="779" spans="1:10" x14ac:dyDescent="0.25">
      <c r="C779" s="9"/>
      <c r="D779" s="10">
        <v>45671</v>
      </c>
      <c r="E779" t="s">
        <v>2202</v>
      </c>
      <c r="F779" s="11" t="s">
        <v>2203</v>
      </c>
      <c r="G779" s="8">
        <v>59.85</v>
      </c>
      <c r="H779" s="8">
        <v>0</v>
      </c>
      <c r="I779" s="8">
        <f t="shared" si="44"/>
        <v>28218.699999999997</v>
      </c>
      <c r="J779" s="12"/>
    </row>
    <row r="780" spans="1:10" x14ac:dyDescent="0.25">
      <c r="C780" s="9"/>
      <c r="D780" s="10">
        <v>45671</v>
      </c>
      <c r="E780" t="s">
        <v>2204</v>
      </c>
      <c r="F780" s="11" t="s">
        <v>2205</v>
      </c>
      <c r="G780" s="8">
        <v>75.02</v>
      </c>
      <c r="H780" s="8">
        <v>0</v>
      </c>
      <c r="I780" s="8">
        <f t="shared" si="44"/>
        <v>28293.719999999998</v>
      </c>
      <c r="J780" s="12"/>
    </row>
    <row r="781" spans="1:10" x14ac:dyDescent="0.25">
      <c r="C781" s="9"/>
      <c r="D781" s="10">
        <v>45671</v>
      </c>
      <c r="E781" t="s">
        <v>2206</v>
      </c>
      <c r="F781" s="11" t="s">
        <v>2207</v>
      </c>
      <c r="G781" s="8">
        <v>194.54</v>
      </c>
      <c r="H781" s="8">
        <v>0</v>
      </c>
      <c r="I781" s="8">
        <f t="shared" si="44"/>
        <v>28488.26</v>
      </c>
      <c r="J781" s="12"/>
    </row>
    <row r="782" spans="1:10" x14ac:dyDescent="0.25">
      <c r="C782" s="9"/>
      <c r="D782" s="10">
        <v>45671</v>
      </c>
      <c r="E782" t="s">
        <v>2208</v>
      </c>
      <c r="F782" s="11" t="s">
        <v>2209</v>
      </c>
      <c r="G782" s="8">
        <v>302.26</v>
      </c>
      <c r="H782" s="8">
        <v>0</v>
      </c>
      <c r="I782" s="8">
        <f t="shared" si="44"/>
        <v>28790.519999999997</v>
      </c>
      <c r="J782" s="12"/>
    </row>
    <row r="783" spans="1:10" x14ac:dyDescent="0.25">
      <c r="C783" s="9"/>
      <c r="D783" s="10">
        <v>45671</v>
      </c>
      <c r="E783" t="s">
        <v>2210</v>
      </c>
      <c r="F783" s="11" t="s">
        <v>2211</v>
      </c>
      <c r="G783" s="8">
        <v>46.13</v>
      </c>
      <c r="H783" s="8">
        <v>0</v>
      </c>
      <c r="I783" s="8">
        <f t="shared" si="44"/>
        <v>28836.649999999998</v>
      </c>
      <c r="J783" s="12"/>
    </row>
    <row r="784" spans="1:10" x14ac:dyDescent="0.25">
      <c r="C784" s="9"/>
      <c r="D784" s="10">
        <v>45671</v>
      </c>
      <c r="E784" t="s">
        <v>2212</v>
      </c>
      <c r="F784" s="11" t="s">
        <v>2213</v>
      </c>
      <c r="G784" s="8">
        <v>100.62</v>
      </c>
      <c r="H784" s="8">
        <v>0</v>
      </c>
      <c r="I784" s="8">
        <f t="shared" si="44"/>
        <v>28937.269999999997</v>
      </c>
      <c r="J784" s="12"/>
    </row>
    <row r="785" spans="3:10" x14ac:dyDescent="0.25">
      <c r="C785" s="9"/>
      <c r="D785" s="10">
        <v>45671</v>
      </c>
      <c r="E785" t="s">
        <v>2214</v>
      </c>
      <c r="F785" s="11" t="s">
        <v>2215</v>
      </c>
      <c r="G785" s="8">
        <v>6.78</v>
      </c>
      <c r="H785" s="8">
        <v>0</v>
      </c>
      <c r="I785" s="8">
        <f t="shared" si="44"/>
        <v>28944.049999999996</v>
      </c>
      <c r="J785" s="12"/>
    </row>
    <row r="786" spans="3:10" x14ac:dyDescent="0.25">
      <c r="C786" s="9"/>
      <c r="D786" s="10">
        <v>45671</v>
      </c>
      <c r="E786" t="s">
        <v>2216</v>
      </c>
      <c r="F786" s="11" t="s">
        <v>2217</v>
      </c>
      <c r="G786" s="8">
        <v>15.6</v>
      </c>
      <c r="H786" s="8">
        <v>0</v>
      </c>
      <c r="I786" s="8">
        <f t="shared" si="44"/>
        <v>28959.649999999994</v>
      </c>
      <c r="J786" s="12"/>
    </row>
    <row r="787" spans="3:10" x14ac:dyDescent="0.25">
      <c r="C787" s="9"/>
      <c r="D787" s="10">
        <v>45671</v>
      </c>
      <c r="E787" t="s">
        <v>2218</v>
      </c>
      <c r="F787" s="11" t="s">
        <v>2219</v>
      </c>
      <c r="G787" s="8">
        <v>3.01</v>
      </c>
      <c r="H787" s="8">
        <v>0</v>
      </c>
      <c r="I787" s="8">
        <f t="shared" si="44"/>
        <v>28962.659999999993</v>
      </c>
      <c r="J787" s="12"/>
    </row>
    <row r="788" spans="3:10" x14ac:dyDescent="0.25">
      <c r="C788" s="9"/>
      <c r="D788" s="10">
        <v>45687</v>
      </c>
      <c r="E788" t="s">
        <v>2220</v>
      </c>
      <c r="F788" s="11" t="s">
        <v>2193</v>
      </c>
      <c r="G788" s="8">
        <v>0</v>
      </c>
      <c r="H788" s="8">
        <v>8210.31</v>
      </c>
      <c r="I788" s="8">
        <f t="shared" si="44"/>
        <v>20752.349999999991</v>
      </c>
      <c r="J788" s="12"/>
    </row>
    <row r="789" spans="3:10" x14ac:dyDescent="0.25">
      <c r="C789" s="9"/>
      <c r="D789" s="10">
        <v>45688</v>
      </c>
      <c r="E789" t="s">
        <v>2221</v>
      </c>
      <c r="F789" s="11" t="s">
        <v>2222</v>
      </c>
      <c r="G789" s="8">
        <v>68.52</v>
      </c>
      <c r="H789" s="8">
        <v>0</v>
      </c>
      <c r="I789" s="8">
        <f t="shared" si="44"/>
        <v>20820.869999999992</v>
      </c>
      <c r="J789" s="12"/>
    </row>
    <row r="790" spans="3:10" x14ac:dyDescent="0.25">
      <c r="C790" s="9"/>
      <c r="D790" s="10">
        <v>45688</v>
      </c>
      <c r="E790" t="s">
        <v>2223</v>
      </c>
      <c r="F790" s="11" t="s">
        <v>2224</v>
      </c>
      <c r="G790" s="8">
        <v>89.1</v>
      </c>
      <c r="H790" s="8">
        <v>0</v>
      </c>
      <c r="I790" s="8">
        <f t="shared" si="44"/>
        <v>20909.96999999999</v>
      </c>
      <c r="J790" s="12"/>
    </row>
    <row r="791" spans="3:10" x14ac:dyDescent="0.25">
      <c r="C791" s="9"/>
      <c r="D791" s="10">
        <v>45688</v>
      </c>
      <c r="E791" t="s">
        <v>2225</v>
      </c>
      <c r="F791" s="11" t="s">
        <v>2226</v>
      </c>
      <c r="G791" s="8">
        <v>128.30000000000001</v>
      </c>
      <c r="H791" s="8">
        <v>0</v>
      </c>
      <c r="I791" s="8">
        <f t="shared" si="44"/>
        <v>21038.26999999999</v>
      </c>
      <c r="J791" s="12"/>
    </row>
    <row r="792" spans="3:10" x14ac:dyDescent="0.25">
      <c r="C792" s="9"/>
      <c r="D792" s="10">
        <v>45688</v>
      </c>
      <c r="E792" t="s">
        <v>2227</v>
      </c>
      <c r="F792" s="11" t="s">
        <v>2228</v>
      </c>
      <c r="G792" s="8">
        <v>30.86</v>
      </c>
      <c r="H792" s="8">
        <v>0</v>
      </c>
      <c r="I792" s="8">
        <f t="shared" si="44"/>
        <v>21069.12999999999</v>
      </c>
      <c r="J792" s="12"/>
    </row>
    <row r="793" spans="3:10" x14ac:dyDescent="0.25">
      <c r="C793" s="9"/>
      <c r="D793" s="10">
        <v>45688</v>
      </c>
      <c r="E793" t="s">
        <v>2229</v>
      </c>
      <c r="F793" s="11" t="s">
        <v>2230</v>
      </c>
      <c r="G793" s="8">
        <v>86.37</v>
      </c>
      <c r="H793" s="8">
        <v>0</v>
      </c>
      <c r="I793" s="8">
        <f t="shared" si="44"/>
        <v>21155.499999999989</v>
      </c>
      <c r="J793" s="12"/>
    </row>
    <row r="794" spans="3:10" x14ac:dyDescent="0.25">
      <c r="C794" s="9"/>
      <c r="D794" s="10">
        <v>45688</v>
      </c>
      <c r="E794" t="s">
        <v>2231</v>
      </c>
      <c r="F794" s="11" t="s">
        <v>2232</v>
      </c>
      <c r="G794" s="8">
        <v>57.7</v>
      </c>
      <c r="H794" s="8">
        <v>0</v>
      </c>
      <c r="I794" s="8">
        <f t="shared" si="44"/>
        <v>21213.19999999999</v>
      </c>
      <c r="J794" s="12"/>
    </row>
    <row r="795" spans="3:10" x14ac:dyDescent="0.25">
      <c r="C795" s="9"/>
      <c r="D795" s="10">
        <v>45688</v>
      </c>
      <c r="E795" t="s">
        <v>2233</v>
      </c>
      <c r="F795" s="11" t="s">
        <v>2234</v>
      </c>
      <c r="G795" s="8">
        <v>114.47</v>
      </c>
      <c r="H795" s="8">
        <v>0</v>
      </c>
      <c r="I795" s="8">
        <f t="shared" si="44"/>
        <v>21327.669999999991</v>
      </c>
      <c r="J795" s="12"/>
    </row>
    <row r="796" spans="3:10" x14ac:dyDescent="0.25">
      <c r="C796" s="9"/>
      <c r="D796" s="10">
        <v>45688</v>
      </c>
      <c r="E796" t="s">
        <v>2235</v>
      </c>
      <c r="F796" s="11" t="s">
        <v>2236</v>
      </c>
      <c r="G796" s="8">
        <v>157.31</v>
      </c>
      <c r="H796" s="8">
        <v>0</v>
      </c>
      <c r="I796" s="8">
        <f t="shared" si="44"/>
        <v>21484.979999999992</v>
      </c>
      <c r="J796" s="12"/>
    </row>
    <row r="797" spans="3:10" x14ac:dyDescent="0.25">
      <c r="C797" s="9"/>
      <c r="D797" s="10">
        <v>45688</v>
      </c>
      <c r="E797" t="s">
        <v>2237</v>
      </c>
      <c r="F797" s="11" t="s">
        <v>2238</v>
      </c>
      <c r="G797" s="8">
        <v>30.25</v>
      </c>
      <c r="H797" s="8">
        <v>0</v>
      </c>
      <c r="I797" s="8">
        <f t="shared" si="44"/>
        <v>21515.229999999992</v>
      </c>
      <c r="J797" s="12"/>
    </row>
    <row r="798" spans="3:10" x14ac:dyDescent="0.25">
      <c r="C798" s="9"/>
      <c r="D798" s="10">
        <v>45688</v>
      </c>
      <c r="E798" t="s">
        <v>2239</v>
      </c>
      <c r="F798" s="11" t="s">
        <v>2240</v>
      </c>
      <c r="G798" s="8">
        <v>53.72</v>
      </c>
      <c r="H798" s="8">
        <v>0</v>
      </c>
      <c r="I798" s="8">
        <f t="shared" si="44"/>
        <v>21568.949999999993</v>
      </c>
      <c r="J798" s="12"/>
    </row>
    <row r="799" spans="3:10" x14ac:dyDescent="0.25">
      <c r="C799" s="9"/>
      <c r="D799" s="10">
        <v>45688</v>
      </c>
      <c r="E799" t="s">
        <v>2241</v>
      </c>
      <c r="F799" s="11" t="s">
        <v>2242</v>
      </c>
      <c r="G799" s="8">
        <v>94.38</v>
      </c>
      <c r="H799" s="8">
        <v>0</v>
      </c>
      <c r="I799" s="8">
        <f t="shared" si="44"/>
        <v>21663.329999999994</v>
      </c>
      <c r="J799" s="12"/>
    </row>
    <row r="800" spans="3:10" x14ac:dyDescent="0.25">
      <c r="C800" s="9"/>
      <c r="D800" s="10">
        <v>45688</v>
      </c>
      <c r="E800" t="s">
        <v>2243</v>
      </c>
      <c r="F800" s="11" t="s">
        <v>2244</v>
      </c>
      <c r="G800" s="8">
        <v>173.3</v>
      </c>
      <c r="H800" s="8">
        <v>0</v>
      </c>
      <c r="I800" s="8">
        <f t="shared" si="44"/>
        <v>21836.629999999994</v>
      </c>
      <c r="J800" s="12"/>
    </row>
    <row r="801" spans="3:10" x14ac:dyDescent="0.25">
      <c r="C801" s="9"/>
      <c r="D801" s="10">
        <v>45688</v>
      </c>
      <c r="E801" t="s">
        <v>2245</v>
      </c>
      <c r="F801" s="11" t="s">
        <v>2246</v>
      </c>
      <c r="G801" s="8">
        <v>350.48</v>
      </c>
      <c r="H801" s="8">
        <v>0</v>
      </c>
      <c r="I801" s="8">
        <f t="shared" si="44"/>
        <v>22187.109999999993</v>
      </c>
      <c r="J801" s="12"/>
    </row>
    <row r="802" spans="3:10" x14ac:dyDescent="0.25">
      <c r="C802" s="9"/>
      <c r="D802" s="10">
        <v>45688</v>
      </c>
      <c r="E802" t="s">
        <v>2247</v>
      </c>
      <c r="F802" s="11" t="s">
        <v>2248</v>
      </c>
      <c r="G802" s="8">
        <v>165.29</v>
      </c>
      <c r="H802" s="8">
        <v>0</v>
      </c>
      <c r="I802" s="8">
        <f t="shared" si="44"/>
        <v>22352.399999999994</v>
      </c>
      <c r="J802" s="12"/>
    </row>
    <row r="803" spans="3:10" x14ac:dyDescent="0.25">
      <c r="C803" s="9"/>
      <c r="D803" s="10">
        <v>45688</v>
      </c>
      <c r="E803" t="s">
        <v>2249</v>
      </c>
      <c r="F803" s="11" t="s">
        <v>2250</v>
      </c>
      <c r="G803" s="8">
        <v>98.95</v>
      </c>
      <c r="H803" s="8">
        <v>0</v>
      </c>
      <c r="I803" s="8">
        <f t="shared" si="44"/>
        <v>22451.349999999995</v>
      </c>
      <c r="J803" s="12"/>
    </row>
    <row r="804" spans="3:10" x14ac:dyDescent="0.25">
      <c r="C804" s="9"/>
      <c r="D804" s="10">
        <v>45688</v>
      </c>
      <c r="E804" t="s">
        <v>2251</v>
      </c>
      <c r="F804" s="11" t="s">
        <v>2252</v>
      </c>
      <c r="G804" s="8">
        <v>80.650000000000006</v>
      </c>
      <c r="H804" s="8">
        <v>0</v>
      </c>
      <c r="I804" s="8">
        <f t="shared" si="44"/>
        <v>22531.999999999996</v>
      </c>
      <c r="J804" s="12"/>
    </row>
    <row r="805" spans="3:10" x14ac:dyDescent="0.25">
      <c r="C805" s="9"/>
      <c r="D805" s="10">
        <v>45688</v>
      </c>
      <c r="E805" t="s">
        <v>2253</v>
      </c>
      <c r="F805" s="11" t="s">
        <v>2254</v>
      </c>
      <c r="G805" s="8">
        <v>125.77</v>
      </c>
      <c r="H805" s="8">
        <v>0</v>
      </c>
      <c r="I805" s="8">
        <f t="shared" ref="I805:I836" si="45">G805-H805+I804</f>
        <v>22657.769999999997</v>
      </c>
      <c r="J805" s="12"/>
    </row>
    <row r="806" spans="3:10" x14ac:dyDescent="0.25">
      <c r="C806" s="9"/>
      <c r="D806" s="10">
        <v>45688</v>
      </c>
      <c r="E806" t="s">
        <v>2255</v>
      </c>
      <c r="F806" s="11" t="s">
        <v>2256</v>
      </c>
      <c r="G806" s="8">
        <v>598.22</v>
      </c>
      <c r="H806" s="8">
        <v>0</v>
      </c>
      <c r="I806" s="8">
        <f t="shared" si="45"/>
        <v>23255.989999999998</v>
      </c>
      <c r="J806" s="12"/>
    </row>
    <row r="807" spans="3:10" x14ac:dyDescent="0.25">
      <c r="C807" s="9"/>
      <c r="D807" s="10">
        <v>45688</v>
      </c>
      <c r="E807" t="s">
        <v>2257</v>
      </c>
      <c r="F807" s="11" t="s">
        <v>2258</v>
      </c>
      <c r="G807" s="8">
        <v>260.88</v>
      </c>
      <c r="H807" s="8">
        <v>0</v>
      </c>
      <c r="I807" s="8">
        <f t="shared" si="45"/>
        <v>23516.87</v>
      </c>
      <c r="J807" s="12"/>
    </row>
    <row r="808" spans="3:10" x14ac:dyDescent="0.25">
      <c r="C808" s="9"/>
      <c r="D808" s="10">
        <v>45688</v>
      </c>
      <c r="E808" t="s">
        <v>2259</v>
      </c>
      <c r="F808" s="11" t="s">
        <v>2260</v>
      </c>
      <c r="G808" s="8">
        <v>87.6</v>
      </c>
      <c r="H808" s="8">
        <v>0</v>
      </c>
      <c r="I808" s="8">
        <f t="shared" si="45"/>
        <v>23604.469999999998</v>
      </c>
      <c r="J808" s="12"/>
    </row>
    <row r="809" spans="3:10" x14ac:dyDescent="0.25">
      <c r="C809" s="9"/>
      <c r="D809" s="10">
        <v>45688</v>
      </c>
      <c r="E809" t="s">
        <v>2261</v>
      </c>
      <c r="F809" s="11" t="s">
        <v>2262</v>
      </c>
      <c r="G809" s="8">
        <v>120.52</v>
      </c>
      <c r="H809" s="8">
        <v>0</v>
      </c>
      <c r="I809" s="8">
        <f t="shared" si="45"/>
        <v>23724.989999999998</v>
      </c>
      <c r="J809" s="12"/>
    </row>
    <row r="810" spans="3:10" x14ac:dyDescent="0.25">
      <c r="C810" s="9"/>
      <c r="D810" s="10">
        <v>45688</v>
      </c>
      <c r="E810" t="s">
        <v>2263</v>
      </c>
      <c r="F810" s="11" t="s">
        <v>2264</v>
      </c>
      <c r="G810" s="8">
        <v>92.93</v>
      </c>
      <c r="H810" s="8">
        <v>0</v>
      </c>
      <c r="I810" s="8">
        <f t="shared" si="45"/>
        <v>23817.919999999998</v>
      </c>
      <c r="J810" s="12"/>
    </row>
    <row r="811" spans="3:10" x14ac:dyDescent="0.25">
      <c r="C811" s="9"/>
      <c r="D811" s="10">
        <v>45688</v>
      </c>
      <c r="E811" t="s">
        <v>2265</v>
      </c>
      <c r="F811" s="11" t="s">
        <v>2266</v>
      </c>
      <c r="G811" s="8">
        <v>34.299999999999997</v>
      </c>
      <c r="H811" s="8">
        <v>0</v>
      </c>
      <c r="I811" s="8">
        <f t="shared" si="45"/>
        <v>23852.219999999998</v>
      </c>
      <c r="J811" s="12"/>
    </row>
    <row r="812" spans="3:10" x14ac:dyDescent="0.25">
      <c r="C812" s="9"/>
      <c r="D812" s="10">
        <v>45688</v>
      </c>
      <c r="E812" t="s">
        <v>2267</v>
      </c>
      <c r="F812" s="11" t="s">
        <v>2268</v>
      </c>
      <c r="G812" s="8">
        <v>200.76</v>
      </c>
      <c r="H812" s="8">
        <v>0</v>
      </c>
      <c r="I812" s="8">
        <f t="shared" si="45"/>
        <v>24052.979999999996</v>
      </c>
      <c r="J812" s="12"/>
    </row>
    <row r="813" spans="3:10" x14ac:dyDescent="0.25">
      <c r="C813" s="9"/>
      <c r="D813" s="10">
        <v>45688</v>
      </c>
      <c r="E813" t="s">
        <v>2269</v>
      </c>
      <c r="F813" s="11" t="s">
        <v>2270</v>
      </c>
      <c r="G813" s="8">
        <v>14.92</v>
      </c>
      <c r="H813" s="8">
        <v>0</v>
      </c>
      <c r="I813" s="8">
        <f t="shared" si="45"/>
        <v>24067.899999999994</v>
      </c>
      <c r="J813" s="12"/>
    </row>
    <row r="814" spans="3:10" x14ac:dyDescent="0.25">
      <c r="C814" s="9"/>
      <c r="D814" s="10">
        <v>45688</v>
      </c>
      <c r="E814" t="s">
        <v>2271</v>
      </c>
      <c r="F814" s="11" t="s">
        <v>2272</v>
      </c>
      <c r="G814" s="8">
        <v>21.21</v>
      </c>
      <c r="H814" s="8">
        <v>0</v>
      </c>
      <c r="I814" s="8">
        <f t="shared" si="45"/>
        <v>24089.109999999993</v>
      </c>
      <c r="J814" s="12"/>
    </row>
    <row r="815" spans="3:10" x14ac:dyDescent="0.25">
      <c r="C815" s="9"/>
      <c r="D815" s="10">
        <v>45688</v>
      </c>
      <c r="E815" t="s">
        <v>2273</v>
      </c>
      <c r="F815" s="11" t="s">
        <v>2274</v>
      </c>
      <c r="G815" s="8">
        <v>14.52</v>
      </c>
      <c r="H815" s="8">
        <v>0</v>
      </c>
      <c r="I815" s="8">
        <f t="shared" si="45"/>
        <v>24103.629999999994</v>
      </c>
      <c r="J815" s="12"/>
    </row>
    <row r="816" spans="3:10" x14ac:dyDescent="0.25">
      <c r="C816" s="9"/>
      <c r="D816" s="10">
        <v>45688</v>
      </c>
      <c r="E816" t="s">
        <v>2275</v>
      </c>
      <c r="F816" s="11" t="s">
        <v>2276</v>
      </c>
      <c r="G816" s="8">
        <v>9.1999999999999993</v>
      </c>
      <c r="H816" s="8">
        <v>0</v>
      </c>
      <c r="I816" s="8">
        <f t="shared" si="45"/>
        <v>24112.829999999994</v>
      </c>
      <c r="J816" s="12"/>
    </row>
    <row r="817" spans="3:10" x14ac:dyDescent="0.25">
      <c r="C817" s="9"/>
      <c r="D817" s="10">
        <v>45688</v>
      </c>
      <c r="E817" t="s">
        <v>2277</v>
      </c>
      <c r="F817" s="11" t="s">
        <v>2278</v>
      </c>
      <c r="G817" s="8">
        <v>19.54</v>
      </c>
      <c r="H817" s="8">
        <v>0</v>
      </c>
      <c r="I817" s="8">
        <f t="shared" si="45"/>
        <v>24132.369999999995</v>
      </c>
      <c r="J817" s="12"/>
    </row>
    <row r="818" spans="3:10" x14ac:dyDescent="0.25">
      <c r="C818" s="9"/>
      <c r="D818" s="10">
        <v>45688</v>
      </c>
      <c r="E818" t="s">
        <v>2279</v>
      </c>
      <c r="F818" s="11" t="s">
        <v>2280</v>
      </c>
      <c r="G818" s="8">
        <v>13.04</v>
      </c>
      <c r="H818" s="8">
        <v>0</v>
      </c>
      <c r="I818" s="8">
        <f t="shared" si="45"/>
        <v>24145.409999999996</v>
      </c>
      <c r="J818" s="12"/>
    </row>
    <row r="819" spans="3:10" x14ac:dyDescent="0.25">
      <c r="C819" s="9"/>
      <c r="D819" s="10">
        <v>45688</v>
      </c>
      <c r="E819" t="s">
        <v>2281</v>
      </c>
      <c r="F819" s="11" t="s">
        <v>2282</v>
      </c>
      <c r="G819" s="8">
        <v>29.35</v>
      </c>
      <c r="H819" s="8">
        <v>0</v>
      </c>
      <c r="I819" s="8">
        <f t="shared" si="45"/>
        <v>24174.759999999995</v>
      </c>
      <c r="J819" s="12"/>
    </row>
    <row r="820" spans="3:10" x14ac:dyDescent="0.25">
      <c r="C820" s="9"/>
      <c r="D820" s="10">
        <v>45688</v>
      </c>
      <c r="E820" t="s">
        <v>2283</v>
      </c>
      <c r="F820" s="11" t="s">
        <v>2284</v>
      </c>
      <c r="G820" s="8">
        <v>28.68</v>
      </c>
      <c r="H820" s="8">
        <v>0</v>
      </c>
      <c r="I820" s="8">
        <f t="shared" si="45"/>
        <v>24203.439999999995</v>
      </c>
      <c r="J820" s="12"/>
    </row>
    <row r="821" spans="3:10" x14ac:dyDescent="0.25">
      <c r="C821" s="9"/>
      <c r="D821" s="10">
        <v>45688</v>
      </c>
      <c r="E821" t="s">
        <v>2285</v>
      </c>
      <c r="F821" s="11" t="s">
        <v>2286</v>
      </c>
      <c r="G821" s="8">
        <v>21.45</v>
      </c>
      <c r="H821" s="8">
        <v>0</v>
      </c>
      <c r="I821" s="8">
        <f t="shared" si="45"/>
        <v>24224.889999999996</v>
      </c>
      <c r="J821" s="12"/>
    </row>
    <row r="822" spans="3:10" x14ac:dyDescent="0.25">
      <c r="C822" s="9"/>
      <c r="D822" s="10">
        <v>45688</v>
      </c>
      <c r="E822" t="s">
        <v>2287</v>
      </c>
      <c r="F822" s="11" t="s">
        <v>2288</v>
      </c>
      <c r="G822" s="8">
        <v>11.42</v>
      </c>
      <c r="H822" s="8">
        <v>0</v>
      </c>
      <c r="I822" s="8">
        <f t="shared" si="45"/>
        <v>24236.309999999994</v>
      </c>
      <c r="J822" s="12"/>
    </row>
    <row r="823" spans="3:10" x14ac:dyDescent="0.25">
      <c r="C823" s="9"/>
      <c r="D823" s="10">
        <v>45702</v>
      </c>
      <c r="E823" t="s">
        <v>2289</v>
      </c>
      <c r="F823" s="11" t="s">
        <v>2290</v>
      </c>
      <c r="G823" s="8">
        <v>66.55</v>
      </c>
      <c r="H823" s="8">
        <v>0</v>
      </c>
      <c r="I823" s="8">
        <f t="shared" si="45"/>
        <v>24302.859999999993</v>
      </c>
      <c r="J823" s="12"/>
    </row>
    <row r="824" spans="3:10" x14ac:dyDescent="0.25">
      <c r="C824" s="9"/>
      <c r="D824" s="10">
        <v>45702</v>
      </c>
      <c r="E824" t="s">
        <v>2291</v>
      </c>
      <c r="F824" s="11" t="s">
        <v>2292</v>
      </c>
      <c r="G824" s="8">
        <v>92.44</v>
      </c>
      <c r="H824" s="8">
        <v>0</v>
      </c>
      <c r="I824" s="8">
        <f t="shared" si="45"/>
        <v>24395.299999999992</v>
      </c>
      <c r="J824" s="12"/>
    </row>
    <row r="825" spans="3:10" x14ac:dyDescent="0.25">
      <c r="C825" s="9"/>
      <c r="D825" s="10">
        <v>45702</v>
      </c>
      <c r="E825" t="s">
        <v>2293</v>
      </c>
      <c r="F825" s="11" t="s">
        <v>2294</v>
      </c>
      <c r="G825" s="8">
        <v>653.25</v>
      </c>
      <c r="H825" s="8">
        <v>0</v>
      </c>
      <c r="I825" s="8">
        <f t="shared" si="45"/>
        <v>25048.549999999992</v>
      </c>
      <c r="J825" s="12"/>
    </row>
    <row r="826" spans="3:10" x14ac:dyDescent="0.25">
      <c r="C826" s="9"/>
      <c r="D826" s="10">
        <v>45702</v>
      </c>
      <c r="E826" t="s">
        <v>2295</v>
      </c>
      <c r="F826" s="11" t="s">
        <v>2296</v>
      </c>
      <c r="G826" s="8">
        <v>177.58</v>
      </c>
      <c r="H826" s="8">
        <v>0</v>
      </c>
      <c r="I826" s="8">
        <f t="shared" si="45"/>
        <v>25226.129999999994</v>
      </c>
      <c r="J826" s="12"/>
    </row>
    <row r="827" spans="3:10" x14ac:dyDescent="0.25">
      <c r="C827" s="9"/>
      <c r="D827" s="10">
        <v>45702</v>
      </c>
      <c r="E827" t="s">
        <v>2297</v>
      </c>
      <c r="F827" s="11" t="s">
        <v>2298</v>
      </c>
      <c r="G827" s="8">
        <v>36.42</v>
      </c>
      <c r="H827" s="8">
        <v>0</v>
      </c>
      <c r="I827" s="8">
        <f t="shared" si="45"/>
        <v>25262.549999999992</v>
      </c>
      <c r="J827" s="12"/>
    </row>
    <row r="828" spans="3:10" x14ac:dyDescent="0.25">
      <c r="C828" s="9"/>
      <c r="D828" s="10">
        <v>45702</v>
      </c>
      <c r="E828" t="s">
        <v>2299</v>
      </c>
      <c r="F828" s="11" t="s">
        <v>2300</v>
      </c>
      <c r="G828" s="8">
        <v>136.51</v>
      </c>
      <c r="H828" s="8">
        <v>0</v>
      </c>
      <c r="I828" s="8">
        <f t="shared" si="45"/>
        <v>25399.05999999999</v>
      </c>
      <c r="J828" s="12"/>
    </row>
    <row r="829" spans="3:10" x14ac:dyDescent="0.25">
      <c r="C829" s="9"/>
      <c r="D829" s="10">
        <v>45702</v>
      </c>
      <c r="E829" t="s">
        <v>2301</v>
      </c>
      <c r="F829" s="11" t="s">
        <v>2302</v>
      </c>
      <c r="G829" s="8">
        <v>56.14</v>
      </c>
      <c r="H829" s="8">
        <v>0</v>
      </c>
      <c r="I829" s="8">
        <f t="shared" si="45"/>
        <v>25455.19999999999</v>
      </c>
      <c r="J829" s="12"/>
    </row>
    <row r="830" spans="3:10" x14ac:dyDescent="0.25">
      <c r="C830" s="9"/>
      <c r="D830" s="10">
        <v>45702</v>
      </c>
      <c r="E830" t="s">
        <v>2303</v>
      </c>
      <c r="F830" s="11" t="s">
        <v>2304</v>
      </c>
      <c r="G830" s="8">
        <v>40.32</v>
      </c>
      <c r="H830" s="8">
        <v>0</v>
      </c>
      <c r="I830" s="8">
        <f t="shared" si="45"/>
        <v>25495.51999999999</v>
      </c>
      <c r="J830" s="12"/>
    </row>
    <row r="831" spans="3:10" x14ac:dyDescent="0.25">
      <c r="C831" s="9"/>
      <c r="D831" s="10">
        <v>45702</v>
      </c>
      <c r="E831" t="s">
        <v>2305</v>
      </c>
      <c r="F831" s="11" t="s">
        <v>2306</v>
      </c>
      <c r="G831" s="8">
        <v>81.680000000000007</v>
      </c>
      <c r="H831" s="8">
        <v>0</v>
      </c>
      <c r="I831" s="8">
        <f t="shared" si="45"/>
        <v>25577.19999999999</v>
      </c>
      <c r="J831" s="12"/>
    </row>
    <row r="832" spans="3:10" x14ac:dyDescent="0.25">
      <c r="C832" s="9"/>
      <c r="D832" s="10">
        <v>45702</v>
      </c>
      <c r="E832" t="s">
        <v>2307</v>
      </c>
      <c r="F832" s="11" t="s">
        <v>2308</v>
      </c>
      <c r="G832" s="8">
        <v>305.49</v>
      </c>
      <c r="H832" s="8">
        <v>0</v>
      </c>
      <c r="I832" s="8">
        <f t="shared" si="45"/>
        <v>25882.689999999991</v>
      </c>
      <c r="J832" s="12"/>
    </row>
    <row r="833" spans="3:10" x14ac:dyDescent="0.25">
      <c r="C833" s="9"/>
      <c r="D833" s="10">
        <v>45702</v>
      </c>
      <c r="E833" t="s">
        <v>2309</v>
      </c>
      <c r="F833" s="11" t="s">
        <v>2310</v>
      </c>
      <c r="G833" s="8">
        <v>141.87</v>
      </c>
      <c r="H833" s="8">
        <v>0</v>
      </c>
      <c r="I833" s="8">
        <f t="shared" si="45"/>
        <v>26024.55999999999</v>
      </c>
      <c r="J833" s="12"/>
    </row>
    <row r="834" spans="3:10" x14ac:dyDescent="0.25">
      <c r="C834" s="9"/>
      <c r="D834" s="10">
        <v>45702</v>
      </c>
      <c r="E834" t="s">
        <v>2311</v>
      </c>
      <c r="F834" s="11" t="s">
        <v>2312</v>
      </c>
      <c r="G834" s="8">
        <v>37.89</v>
      </c>
      <c r="H834" s="8">
        <v>0</v>
      </c>
      <c r="I834" s="8">
        <f t="shared" si="45"/>
        <v>26062.44999999999</v>
      </c>
      <c r="J834" s="12"/>
    </row>
    <row r="835" spans="3:10" x14ac:dyDescent="0.25">
      <c r="C835" s="9"/>
      <c r="D835" s="10">
        <v>45702</v>
      </c>
      <c r="E835" t="s">
        <v>2313</v>
      </c>
      <c r="F835" s="11" t="s">
        <v>2314</v>
      </c>
      <c r="G835" s="8">
        <v>602.27</v>
      </c>
      <c r="H835" s="8">
        <v>0</v>
      </c>
      <c r="I835" s="8">
        <f t="shared" si="45"/>
        <v>26664.71999999999</v>
      </c>
      <c r="J835" s="12"/>
    </row>
    <row r="836" spans="3:10" x14ac:dyDescent="0.25">
      <c r="C836" s="9"/>
      <c r="D836" s="10">
        <v>45702</v>
      </c>
      <c r="E836" t="s">
        <v>2315</v>
      </c>
      <c r="F836" s="11" t="s">
        <v>2316</v>
      </c>
      <c r="G836" s="8">
        <v>84.81</v>
      </c>
      <c r="H836" s="8">
        <v>0</v>
      </c>
      <c r="I836" s="8">
        <f t="shared" si="45"/>
        <v>26749.529999999992</v>
      </c>
      <c r="J836" s="12"/>
    </row>
    <row r="837" spans="3:10" x14ac:dyDescent="0.25">
      <c r="C837" s="9"/>
      <c r="D837" s="10">
        <v>45702</v>
      </c>
      <c r="E837" t="s">
        <v>2317</v>
      </c>
      <c r="F837" s="11" t="s">
        <v>2318</v>
      </c>
      <c r="G837" s="8">
        <v>60.05</v>
      </c>
      <c r="H837" s="8">
        <v>0</v>
      </c>
      <c r="I837" s="8">
        <f t="shared" ref="I837:I868" si="46">G837-H837+I836</f>
        <v>26809.579999999991</v>
      </c>
      <c r="J837" s="12"/>
    </row>
    <row r="838" spans="3:10" x14ac:dyDescent="0.25">
      <c r="C838" s="9"/>
      <c r="D838" s="10">
        <v>45702</v>
      </c>
      <c r="E838" t="s">
        <v>2319</v>
      </c>
      <c r="F838" s="11" t="s">
        <v>2320</v>
      </c>
      <c r="G838" s="8">
        <v>548.29</v>
      </c>
      <c r="H838" s="8">
        <v>0</v>
      </c>
      <c r="I838" s="8">
        <f t="shared" si="46"/>
        <v>27357.869999999992</v>
      </c>
      <c r="J838" s="12"/>
    </row>
    <row r="839" spans="3:10" x14ac:dyDescent="0.25">
      <c r="C839" s="9"/>
      <c r="D839" s="10">
        <v>45702</v>
      </c>
      <c r="E839" t="s">
        <v>2321</v>
      </c>
      <c r="F839" s="11" t="s">
        <v>2322</v>
      </c>
      <c r="G839" s="8">
        <v>107.15</v>
      </c>
      <c r="H839" s="8">
        <v>0</v>
      </c>
      <c r="I839" s="8">
        <f t="shared" si="46"/>
        <v>27465.019999999993</v>
      </c>
      <c r="J839" s="12"/>
    </row>
    <row r="840" spans="3:10" x14ac:dyDescent="0.25">
      <c r="C840" s="9"/>
      <c r="D840" s="10">
        <v>45702</v>
      </c>
      <c r="E840" t="s">
        <v>2323</v>
      </c>
      <c r="F840" s="11" t="s">
        <v>2324</v>
      </c>
      <c r="G840" s="8">
        <v>31.69</v>
      </c>
      <c r="H840" s="8">
        <v>0</v>
      </c>
      <c r="I840" s="8">
        <f t="shared" si="46"/>
        <v>27496.709999999992</v>
      </c>
      <c r="J840" s="12"/>
    </row>
    <row r="841" spans="3:10" x14ac:dyDescent="0.25">
      <c r="C841" s="9"/>
      <c r="D841" s="10">
        <v>45702</v>
      </c>
      <c r="E841" t="s">
        <v>2325</v>
      </c>
      <c r="F841" s="11" t="s">
        <v>2326</v>
      </c>
      <c r="G841" s="8">
        <v>133.1</v>
      </c>
      <c r="H841" s="8">
        <v>0</v>
      </c>
      <c r="I841" s="8">
        <f t="shared" si="46"/>
        <v>27629.80999999999</v>
      </c>
      <c r="J841" s="12"/>
    </row>
    <row r="842" spans="3:10" x14ac:dyDescent="0.25">
      <c r="C842" s="9"/>
      <c r="D842" s="10">
        <v>45702</v>
      </c>
      <c r="E842" t="s">
        <v>2327</v>
      </c>
      <c r="F842" s="11" t="s">
        <v>2328</v>
      </c>
      <c r="G842" s="8">
        <v>18.95</v>
      </c>
      <c r="H842" s="8">
        <v>0</v>
      </c>
      <c r="I842" s="8">
        <f t="shared" si="46"/>
        <v>27648.759999999991</v>
      </c>
      <c r="J842" s="12"/>
    </row>
    <row r="843" spans="3:10" x14ac:dyDescent="0.25">
      <c r="C843" s="9"/>
      <c r="D843" s="10">
        <v>45702</v>
      </c>
      <c r="E843" t="s">
        <v>2329</v>
      </c>
      <c r="F843" s="11" t="s">
        <v>2330</v>
      </c>
      <c r="G843" s="8">
        <v>15.61</v>
      </c>
      <c r="H843" s="8">
        <v>0</v>
      </c>
      <c r="I843" s="8">
        <f t="shared" si="46"/>
        <v>27664.369999999992</v>
      </c>
      <c r="J843" s="12"/>
    </row>
    <row r="844" spans="3:10" x14ac:dyDescent="0.25">
      <c r="C844" s="9"/>
      <c r="D844" s="10">
        <v>45702</v>
      </c>
      <c r="E844" t="s">
        <v>2331</v>
      </c>
      <c r="F844" s="11" t="s">
        <v>2332</v>
      </c>
      <c r="G844" s="8">
        <v>14.52</v>
      </c>
      <c r="H844" s="8">
        <v>0</v>
      </c>
      <c r="I844" s="8">
        <f t="shared" si="46"/>
        <v>27678.889999999992</v>
      </c>
      <c r="J844" s="12"/>
    </row>
    <row r="845" spans="3:10" x14ac:dyDescent="0.25">
      <c r="C845" s="9"/>
      <c r="D845" s="10">
        <v>45702</v>
      </c>
      <c r="E845" t="s">
        <v>2333</v>
      </c>
      <c r="F845" s="11" t="s">
        <v>2334</v>
      </c>
      <c r="G845" s="8">
        <v>14.52</v>
      </c>
      <c r="H845" s="8">
        <v>0</v>
      </c>
      <c r="I845" s="8">
        <f t="shared" si="46"/>
        <v>27693.409999999993</v>
      </c>
      <c r="J845" s="12"/>
    </row>
    <row r="846" spans="3:10" x14ac:dyDescent="0.25">
      <c r="C846" s="9"/>
      <c r="D846" s="10">
        <v>45702</v>
      </c>
      <c r="E846" t="s">
        <v>2335</v>
      </c>
      <c r="F846" s="11" t="s">
        <v>2336</v>
      </c>
      <c r="G846" s="8">
        <v>24.1</v>
      </c>
      <c r="H846" s="8">
        <v>0</v>
      </c>
      <c r="I846" s="8">
        <f t="shared" si="46"/>
        <v>27717.509999999991</v>
      </c>
      <c r="J846" s="12"/>
    </row>
    <row r="847" spans="3:10" x14ac:dyDescent="0.25">
      <c r="C847" s="9"/>
      <c r="D847" s="10">
        <v>45702</v>
      </c>
      <c r="E847" t="s">
        <v>2337</v>
      </c>
      <c r="F847" s="11" t="s">
        <v>2338</v>
      </c>
      <c r="G847" s="8">
        <v>6.1</v>
      </c>
      <c r="H847" s="8">
        <v>0</v>
      </c>
      <c r="I847" s="8">
        <f t="shared" si="46"/>
        <v>27723.60999999999</v>
      </c>
      <c r="J847" s="12"/>
    </row>
    <row r="848" spans="3:10" x14ac:dyDescent="0.25">
      <c r="C848" s="9"/>
      <c r="D848" s="10">
        <v>45716</v>
      </c>
      <c r="E848" t="s">
        <v>2339</v>
      </c>
      <c r="F848" s="11" t="s">
        <v>2340</v>
      </c>
      <c r="G848" s="8">
        <v>75.2</v>
      </c>
      <c r="H848" s="8">
        <v>0</v>
      </c>
      <c r="I848" s="8">
        <f t="shared" si="46"/>
        <v>27798.80999999999</v>
      </c>
      <c r="J848" s="12"/>
    </row>
    <row r="849" spans="3:10" x14ac:dyDescent="0.25">
      <c r="C849" s="9"/>
      <c r="D849" s="10">
        <v>45716</v>
      </c>
      <c r="E849" t="s">
        <v>2341</v>
      </c>
      <c r="F849" s="11" t="s">
        <v>2342</v>
      </c>
      <c r="G849" s="8">
        <v>561.44000000000005</v>
      </c>
      <c r="H849" s="8">
        <v>0</v>
      </c>
      <c r="I849" s="8">
        <f t="shared" si="46"/>
        <v>28360.249999999989</v>
      </c>
      <c r="J849" s="12"/>
    </row>
    <row r="850" spans="3:10" x14ac:dyDescent="0.25">
      <c r="C850" s="9"/>
      <c r="D850" s="10">
        <v>45716</v>
      </c>
      <c r="E850" t="s">
        <v>2343</v>
      </c>
      <c r="F850" s="11" t="s">
        <v>2344</v>
      </c>
      <c r="G850" s="8">
        <v>1573</v>
      </c>
      <c r="H850" s="8">
        <v>0</v>
      </c>
      <c r="I850" s="8">
        <f t="shared" si="46"/>
        <v>29933.249999999989</v>
      </c>
      <c r="J850" s="12"/>
    </row>
    <row r="851" spans="3:10" x14ac:dyDescent="0.25">
      <c r="C851" s="9"/>
      <c r="D851" s="10">
        <v>45716</v>
      </c>
      <c r="E851" t="s">
        <v>2345</v>
      </c>
      <c r="F851" s="11" t="s">
        <v>2346</v>
      </c>
      <c r="G851" s="8">
        <v>55.3</v>
      </c>
      <c r="H851" s="8">
        <v>0</v>
      </c>
      <c r="I851" s="8">
        <f t="shared" si="46"/>
        <v>29988.549999999988</v>
      </c>
      <c r="J851" s="12"/>
    </row>
    <row r="852" spans="3:10" x14ac:dyDescent="0.25">
      <c r="C852" s="9"/>
      <c r="D852" s="10">
        <v>45716</v>
      </c>
      <c r="E852" t="s">
        <v>2347</v>
      </c>
      <c r="F852" s="11" t="s">
        <v>2348</v>
      </c>
      <c r="G852" s="8">
        <v>38.619999999999997</v>
      </c>
      <c r="H852" s="8">
        <v>0</v>
      </c>
      <c r="I852" s="8">
        <f t="shared" si="46"/>
        <v>30027.169999999987</v>
      </c>
      <c r="J852" s="12"/>
    </row>
    <row r="853" spans="3:10" x14ac:dyDescent="0.25">
      <c r="C853" s="9"/>
      <c r="D853" s="10">
        <v>45716</v>
      </c>
      <c r="E853" t="s">
        <v>2349</v>
      </c>
      <c r="F853" s="11" t="s">
        <v>2350</v>
      </c>
      <c r="G853" s="8">
        <v>39.630000000000003</v>
      </c>
      <c r="H853" s="8">
        <v>0</v>
      </c>
      <c r="I853" s="8">
        <f t="shared" si="46"/>
        <v>30066.799999999988</v>
      </c>
      <c r="J853" s="12"/>
    </row>
    <row r="854" spans="3:10" x14ac:dyDescent="0.25">
      <c r="C854" s="9"/>
      <c r="D854" s="10">
        <v>45716</v>
      </c>
      <c r="E854" t="s">
        <v>2351</v>
      </c>
      <c r="F854" s="11" t="s">
        <v>2352</v>
      </c>
      <c r="G854" s="8">
        <v>59.62</v>
      </c>
      <c r="H854" s="8">
        <v>0</v>
      </c>
      <c r="I854" s="8">
        <f t="shared" si="46"/>
        <v>30126.419999999987</v>
      </c>
      <c r="J854" s="12"/>
    </row>
    <row r="855" spans="3:10" x14ac:dyDescent="0.25">
      <c r="C855" s="9"/>
      <c r="D855" s="10">
        <v>45716</v>
      </c>
      <c r="E855" t="s">
        <v>2353</v>
      </c>
      <c r="F855" s="11" t="s">
        <v>2354</v>
      </c>
      <c r="G855" s="8">
        <v>63.62</v>
      </c>
      <c r="H855" s="8">
        <v>0</v>
      </c>
      <c r="I855" s="8">
        <f t="shared" si="46"/>
        <v>30190.039999999986</v>
      </c>
      <c r="J855" s="12"/>
    </row>
    <row r="856" spans="3:10" x14ac:dyDescent="0.25">
      <c r="C856" s="9"/>
      <c r="D856" s="10">
        <v>45716</v>
      </c>
      <c r="E856" t="s">
        <v>2355</v>
      </c>
      <c r="F856" s="11" t="s">
        <v>2356</v>
      </c>
      <c r="G856" s="8">
        <v>431.27</v>
      </c>
      <c r="H856" s="8">
        <v>0</v>
      </c>
      <c r="I856" s="8">
        <f t="shared" si="46"/>
        <v>30621.309999999987</v>
      </c>
      <c r="J856" s="12"/>
    </row>
    <row r="857" spans="3:10" x14ac:dyDescent="0.25">
      <c r="C857" s="9"/>
      <c r="D857" s="10">
        <v>45716</v>
      </c>
      <c r="E857" t="s">
        <v>2357</v>
      </c>
      <c r="F857" s="11" t="s">
        <v>2358</v>
      </c>
      <c r="G857" s="8">
        <v>46.73</v>
      </c>
      <c r="H857" s="8">
        <v>0</v>
      </c>
      <c r="I857" s="8">
        <f t="shared" si="46"/>
        <v>30668.039999999986</v>
      </c>
      <c r="J857" s="12"/>
    </row>
    <row r="858" spans="3:10" x14ac:dyDescent="0.25">
      <c r="C858" s="9"/>
      <c r="D858" s="10">
        <v>45716</v>
      </c>
      <c r="E858" t="s">
        <v>2359</v>
      </c>
      <c r="F858" s="11" t="s">
        <v>2360</v>
      </c>
      <c r="G858" s="8">
        <v>166.38</v>
      </c>
      <c r="H858" s="8">
        <v>0</v>
      </c>
      <c r="I858" s="8">
        <f t="shared" si="46"/>
        <v>30834.419999999987</v>
      </c>
      <c r="J858" s="12"/>
    </row>
    <row r="859" spans="3:10" x14ac:dyDescent="0.25">
      <c r="C859" s="9"/>
      <c r="D859" s="10">
        <v>45716</v>
      </c>
      <c r="E859" t="s">
        <v>2361</v>
      </c>
      <c r="F859" s="11" t="s">
        <v>2362</v>
      </c>
      <c r="G859" s="8">
        <v>727.94</v>
      </c>
      <c r="H859" s="8">
        <v>0</v>
      </c>
      <c r="I859" s="8">
        <f t="shared" si="46"/>
        <v>31562.359999999986</v>
      </c>
      <c r="J859" s="12"/>
    </row>
    <row r="860" spans="3:10" x14ac:dyDescent="0.25">
      <c r="C860" s="9"/>
      <c r="D860" s="10">
        <v>45716</v>
      </c>
      <c r="E860" t="s">
        <v>2363</v>
      </c>
      <c r="F860" s="11" t="s">
        <v>2364</v>
      </c>
      <c r="G860" s="8">
        <v>92.11</v>
      </c>
      <c r="H860" s="8">
        <v>0</v>
      </c>
      <c r="I860" s="8">
        <f t="shared" si="46"/>
        <v>31654.469999999987</v>
      </c>
      <c r="J860" s="12"/>
    </row>
    <row r="861" spans="3:10" x14ac:dyDescent="0.25">
      <c r="C861" s="9"/>
      <c r="D861" s="10">
        <v>45716</v>
      </c>
      <c r="E861" t="s">
        <v>2365</v>
      </c>
      <c r="F861" s="11" t="s">
        <v>2366</v>
      </c>
      <c r="G861" s="8">
        <v>32.67</v>
      </c>
      <c r="H861" s="8">
        <v>0</v>
      </c>
      <c r="I861" s="8">
        <f t="shared" si="46"/>
        <v>31687.139999999985</v>
      </c>
      <c r="J861" s="12"/>
    </row>
    <row r="862" spans="3:10" x14ac:dyDescent="0.25">
      <c r="C862" s="9"/>
      <c r="D862" s="10">
        <v>45716</v>
      </c>
      <c r="E862" t="s">
        <v>2367</v>
      </c>
      <c r="F862" s="11" t="s">
        <v>2368</v>
      </c>
      <c r="G862" s="8">
        <v>48.71</v>
      </c>
      <c r="H862" s="8">
        <v>0</v>
      </c>
      <c r="I862" s="8">
        <f t="shared" si="46"/>
        <v>31735.849999999984</v>
      </c>
      <c r="J862" s="12"/>
    </row>
    <row r="863" spans="3:10" x14ac:dyDescent="0.25">
      <c r="C863" s="9"/>
      <c r="D863" s="10">
        <v>45716</v>
      </c>
      <c r="E863" t="s">
        <v>2369</v>
      </c>
      <c r="F863" s="11" t="s">
        <v>2370</v>
      </c>
      <c r="G863" s="8">
        <v>572.26</v>
      </c>
      <c r="H863" s="8">
        <v>0</v>
      </c>
      <c r="I863" s="8">
        <f t="shared" si="46"/>
        <v>32308.109999999982</v>
      </c>
      <c r="J863" s="12"/>
    </row>
    <row r="864" spans="3:10" x14ac:dyDescent="0.25">
      <c r="C864" s="9"/>
      <c r="D864" s="10">
        <v>45716</v>
      </c>
      <c r="E864" t="s">
        <v>2371</v>
      </c>
      <c r="F864" s="11" t="s">
        <v>2372</v>
      </c>
      <c r="G864" s="8">
        <v>45.86</v>
      </c>
      <c r="H864" s="8">
        <v>0</v>
      </c>
      <c r="I864" s="8">
        <f t="shared" si="46"/>
        <v>32353.969999999983</v>
      </c>
      <c r="J864" s="12"/>
    </row>
    <row r="865" spans="3:10" x14ac:dyDescent="0.25">
      <c r="C865" s="9"/>
      <c r="D865" s="10">
        <v>45716</v>
      </c>
      <c r="E865" t="s">
        <v>2373</v>
      </c>
      <c r="F865" s="11" t="s">
        <v>2374</v>
      </c>
      <c r="G865" s="8">
        <v>77.44</v>
      </c>
      <c r="H865" s="8">
        <v>0</v>
      </c>
      <c r="I865" s="8">
        <f t="shared" si="46"/>
        <v>32431.409999999982</v>
      </c>
      <c r="J865" s="12"/>
    </row>
    <row r="866" spans="3:10" x14ac:dyDescent="0.25">
      <c r="C866" s="9"/>
      <c r="D866" s="10">
        <v>45716</v>
      </c>
      <c r="E866" t="s">
        <v>2375</v>
      </c>
      <c r="F866" s="11" t="s">
        <v>2376</v>
      </c>
      <c r="G866" s="8">
        <v>49.01</v>
      </c>
      <c r="H866" s="8">
        <v>0</v>
      </c>
      <c r="I866" s="8">
        <f t="shared" si="46"/>
        <v>32480.41999999998</v>
      </c>
      <c r="J866" s="12"/>
    </row>
    <row r="867" spans="3:10" x14ac:dyDescent="0.25">
      <c r="C867" s="9"/>
      <c r="D867" s="10">
        <v>45716</v>
      </c>
      <c r="E867" t="s">
        <v>2377</v>
      </c>
      <c r="F867" s="11" t="s">
        <v>2378</v>
      </c>
      <c r="G867" s="8">
        <v>94.53</v>
      </c>
      <c r="H867" s="8">
        <v>0</v>
      </c>
      <c r="I867" s="8">
        <f t="shared" si="46"/>
        <v>32574.949999999979</v>
      </c>
      <c r="J867" s="12"/>
    </row>
    <row r="868" spans="3:10" x14ac:dyDescent="0.25">
      <c r="C868" s="9"/>
      <c r="D868" s="10">
        <v>45716</v>
      </c>
      <c r="E868" t="s">
        <v>2379</v>
      </c>
      <c r="F868" s="11" t="s">
        <v>2380</v>
      </c>
      <c r="G868" s="8">
        <v>1088.76</v>
      </c>
      <c r="H868" s="8">
        <v>0</v>
      </c>
      <c r="I868" s="8">
        <f t="shared" si="46"/>
        <v>33663.709999999977</v>
      </c>
      <c r="J868" s="12"/>
    </row>
    <row r="869" spans="3:10" x14ac:dyDescent="0.25">
      <c r="C869" s="9"/>
      <c r="D869" s="10">
        <v>45716</v>
      </c>
      <c r="E869" t="s">
        <v>2381</v>
      </c>
      <c r="F869" s="11" t="s">
        <v>2382</v>
      </c>
      <c r="G869" s="8">
        <v>400.51</v>
      </c>
      <c r="H869" s="8">
        <v>0</v>
      </c>
      <c r="I869" s="8">
        <f t="shared" ref="I869:I900" si="47">G869-H869+I868</f>
        <v>34064.219999999979</v>
      </c>
      <c r="J869" s="12"/>
    </row>
    <row r="870" spans="3:10" x14ac:dyDescent="0.25">
      <c r="C870" s="9"/>
      <c r="D870" s="10">
        <v>45716</v>
      </c>
      <c r="E870" t="s">
        <v>2383</v>
      </c>
      <c r="F870" s="11" t="s">
        <v>2384</v>
      </c>
      <c r="G870" s="8">
        <v>81.13</v>
      </c>
      <c r="H870" s="8">
        <v>0</v>
      </c>
      <c r="I870" s="8">
        <f t="shared" si="47"/>
        <v>34145.349999999977</v>
      </c>
      <c r="J870" s="12"/>
    </row>
    <row r="871" spans="3:10" x14ac:dyDescent="0.25">
      <c r="C871" s="9"/>
      <c r="D871" s="10">
        <v>45716</v>
      </c>
      <c r="E871" t="s">
        <v>2385</v>
      </c>
      <c r="F871" s="11" t="s">
        <v>2386</v>
      </c>
      <c r="G871" s="8">
        <v>68.400000000000006</v>
      </c>
      <c r="H871" s="8">
        <v>0</v>
      </c>
      <c r="I871" s="8">
        <f t="shared" si="47"/>
        <v>34213.749999999978</v>
      </c>
      <c r="J871" s="12"/>
    </row>
    <row r="872" spans="3:10" x14ac:dyDescent="0.25">
      <c r="C872" s="9"/>
      <c r="D872" s="10">
        <v>45716</v>
      </c>
      <c r="E872" t="s">
        <v>2387</v>
      </c>
      <c r="F872" s="11" t="s">
        <v>2388</v>
      </c>
      <c r="G872" s="8">
        <v>54.45</v>
      </c>
      <c r="H872" s="8">
        <v>0</v>
      </c>
      <c r="I872" s="8">
        <f t="shared" si="47"/>
        <v>34268.199999999975</v>
      </c>
      <c r="J872" s="12"/>
    </row>
    <row r="873" spans="3:10" x14ac:dyDescent="0.25">
      <c r="C873" s="9"/>
      <c r="D873" s="10">
        <v>45716</v>
      </c>
      <c r="E873" t="s">
        <v>2389</v>
      </c>
      <c r="F873" s="11" t="s">
        <v>2390</v>
      </c>
      <c r="G873" s="8">
        <v>43.2</v>
      </c>
      <c r="H873" s="8">
        <v>0</v>
      </c>
      <c r="I873" s="8">
        <f t="shared" si="47"/>
        <v>34311.399999999972</v>
      </c>
      <c r="J873" s="12"/>
    </row>
    <row r="874" spans="3:10" x14ac:dyDescent="0.25">
      <c r="C874" s="9"/>
      <c r="D874" s="10">
        <v>45716</v>
      </c>
      <c r="E874" t="s">
        <v>2391</v>
      </c>
      <c r="F874" s="11" t="s">
        <v>2392</v>
      </c>
      <c r="G874" s="8">
        <v>14.28</v>
      </c>
      <c r="H874" s="8">
        <v>0</v>
      </c>
      <c r="I874" s="8">
        <f t="shared" si="47"/>
        <v>34325.679999999971</v>
      </c>
      <c r="J874" s="12"/>
    </row>
    <row r="875" spans="3:10" x14ac:dyDescent="0.25">
      <c r="C875" s="9"/>
      <c r="D875" s="10">
        <v>45716</v>
      </c>
      <c r="E875" t="s">
        <v>2393</v>
      </c>
      <c r="F875" s="11" t="s">
        <v>2394</v>
      </c>
      <c r="G875" s="8">
        <v>17.48</v>
      </c>
      <c r="H875" s="8">
        <v>0</v>
      </c>
      <c r="I875" s="8">
        <f t="shared" si="47"/>
        <v>34343.159999999974</v>
      </c>
      <c r="J875" s="12"/>
    </row>
    <row r="876" spans="3:10" x14ac:dyDescent="0.25">
      <c r="C876" s="9"/>
      <c r="D876" s="10">
        <v>45716</v>
      </c>
      <c r="E876" t="s">
        <v>2395</v>
      </c>
      <c r="F876" s="11" t="s">
        <v>2396</v>
      </c>
      <c r="G876" s="8">
        <v>13.31</v>
      </c>
      <c r="H876" s="8">
        <v>0</v>
      </c>
      <c r="I876" s="8">
        <f t="shared" si="47"/>
        <v>34356.469999999972</v>
      </c>
      <c r="J876" s="12"/>
    </row>
    <row r="877" spans="3:10" x14ac:dyDescent="0.25">
      <c r="C877" s="9"/>
      <c r="D877" s="10">
        <v>45716</v>
      </c>
      <c r="E877" t="s">
        <v>2397</v>
      </c>
      <c r="F877" s="11" t="s">
        <v>2398</v>
      </c>
      <c r="G877" s="8">
        <v>5.08</v>
      </c>
      <c r="H877" s="8">
        <v>0</v>
      </c>
      <c r="I877" s="8">
        <f t="shared" si="47"/>
        <v>34361.549999999974</v>
      </c>
      <c r="J877" s="12"/>
    </row>
    <row r="878" spans="3:10" x14ac:dyDescent="0.25">
      <c r="C878" s="9"/>
      <c r="D878" s="10">
        <v>45719</v>
      </c>
      <c r="E878" t="s">
        <v>2399</v>
      </c>
      <c r="F878" s="11" t="s">
        <v>2193</v>
      </c>
      <c r="G878" s="8">
        <v>0</v>
      </c>
      <c r="H878" s="8">
        <v>9749.66</v>
      </c>
      <c r="I878" s="8">
        <f t="shared" si="47"/>
        <v>24611.889999999974</v>
      </c>
      <c r="J878" s="12"/>
    </row>
    <row r="879" spans="3:10" x14ac:dyDescent="0.25">
      <c r="C879" s="9"/>
      <c r="D879" s="10">
        <v>45730</v>
      </c>
      <c r="E879" t="s">
        <v>2400</v>
      </c>
      <c r="F879" s="11" t="s">
        <v>2401</v>
      </c>
      <c r="G879" s="8">
        <v>246.45</v>
      </c>
      <c r="H879" s="8">
        <v>0</v>
      </c>
      <c r="I879" s="8">
        <f t="shared" si="47"/>
        <v>24858.339999999975</v>
      </c>
      <c r="J879" s="12"/>
    </row>
    <row r="880" spans="3:10" x14ac:dyDescent="0.25">
      <c r="C880" s="9"/>
      <c r="D880" s="10">
        <v>45730</v>
      </c>
      <c r="E880" t="s">
        <v>2402</v>
      </c>
      <c r="F880" s="11" t="s">
        <v>2403</v>
      </c>
      <c r="G880" s="8">
        <v>984.27</v>
      </c>
      <c r="H880" s="8">
        <v>0</v>
      </c>
      <c r="I880" s="8">
        <f t="shared" si="47"/>
        <v>25842.609999999975</v>
      </c>
      <c r="J880" s="12"/>
    </row>
    <row r="881" spans="3:10" x14ac:dyDescent="0.25">
      <c r="C881" s="9"/>
      <c r="D881" s="10">
        <v>45730</v>
      </c>
      <c r="E881" t="s">
        <v>2404</v>
      </c>
      <c r="F881" s="11" t="s">
        <v>2405</v>
      </c>
      <c r="G881" s="8">
        <v>72.12</v>
      </c>
      <c r="H881" s="8">
        <v>0</v>
      </c>
      <c r="I881" s="8">
        <f t="shared" si="47"/>
        <v>25914.729999999974</v>
      </c>
      <c r="J881" s="12"/>
    </row>
    <row r="882" spans="3:10" x14ac:dyDescent="0.25">
      <c r="C882" s="9"/>
      <c r="D882" s="10">
        <v>45730</v>
      </c>
      <c r="E882" t="s">
        <v>2406</v>
      </c>
      <c r="F882" s="11" t="s">
        <v>2407</v>
      </c>
      <c r="G882" s="8">
        <v>45.98</v>
      </c>
      <c r="H882" s="8">
        <v>0</v>
      </c>
      <c r="I882" s="8">
        <f t="shared" si="47"/>
        <v>25960.709999999974</v>
      </c>
      <c r="J882" s="12"/>
    </row>
    <row r="883" spans="3:10" x14ac:dyDescent="0.25">
      <c r="C883" s="9"/>
      <c r="D883" s="10">
        <v>45730</v>
      </c>
      <c r="E883" t="s">
        <v>2408</v>
      </c>
      <c r="F883" s="11" t="s">
        <v>2409</v>
      </c>
      <c r="G883" s="8">
        <v>267.41000000000003</v>
      </c>
      <c r="H883" s="8">
        <v>0</v>
      </c>
      <c r="I883" s="8">
        <f t="shared" si="47"/>
        <v>26228.119999999974</v>
      </c>
      <c r="J883" s="12"/>
    </row>
    <row r="884" spans="3:10" x14ac:dyDescent="0.25">
      <c r="C884" s="9"/>
      <c r="D884" s="10">
        <v>45730</v>
      </c>
      <c r="E884" t="s">
        <v>2410</v>
      </c>
      <c r="F884" s="11" t="s">
        <v>2411</v>
      </c>
      <c r="G884" s="8">
        <v>295.72000000000003</v>
      </c>
      <c r="H884" s="8">
        <v>0</v>
      </c>
      <c r="I884" s="8">
        <f t="shared" si="47"/>
        <v>26523.839999999975</v>
      </c>
      <c r="J884" s="12"/>
    </row>
    <row r="885" spans="3:10" x14ac:dyDescent="0.25">
      <c r="C885" s="9"/>
      <c r="D885" s="10">
        <v>45730</v>
      </c>
      <c r="E885" t="s">
        <v>2412</v>
      </c>
      <c r="F885" s="11" t="s">
        <v>2413</v>
      </c>
      <c r="G885" s="8">
        <v>78.77</v>
      </c>
      <c r="H885" s="8">
        <v>0</v>
      </c>
      <c r="I885" s="8">
        <f t="shared" si="47"/>
        <v>26602.609999999975</v>
      </c>
      <c r="J885" s="12"/>
    </row>
    <row r="886" spans="3:10" x14ac:dyDescent="0.25">
      <c r="C886" s="9"/>
      <c r="D886" s="10">
        <v>45730</v>
      </c>
      <c r="E886" t="s">
        <v>2414</v>
      </c>
      <c r="F886" s="11" t="s">
        <v>2415</v>
      </c>
      <c r="G886" s="8">
        <v>253.52</v>
      </c>
      <c r="H886" s="8">
        <v>0</v>
      </c>
      <c r="I886" s="8">
        <f t="shared" si="47"/>
        <v>26856.129999999976</v>
      </c>
      <c r="J886" s="12"/>
    </row>
    <row r="887" spans="3:10" x14ac:dyDescent="0.25">
      <c r="C887" s="9"/>
      <c r="D887" s="10">
        <v>45730</v>
      </c>
      <c r="E887" t="s">
        <v>2416</v>
      </c>
      <c r="F887" s="11" t="s">
        <v>2417</v>
      </c>
      <c r="G887" s="8">
        <v>347.83</v>
      </c>
      <c r="H887" s="8">
        <v>0</v>
      </c>
      <c r="I887" s="8">
        <f t="shared" si="47"/>
        <v>27203.959999999977</v>
      </c>
      <c r="J887" s="12"/>
    </row>
    <row r="888" spans="3:10" x14ac:dyDescent="0.25">
      <c r="C888" s="9"/>
      <c r="D888" s="10">
        <v>45730</v>
      </c>
      <c r="E888" t="s">
        <v>2418</v>
      </c>
      <c r="F888" s="11" t="s">
        <v>2419</v>
      </c>
      <c r="G888" s="8">
        <v>913.6</v>
      </c>
      <c r="H888" s="8">
        <v>0</v>
      </c>
      <c r="I888" s="8">
        <f t="shared" si="47"/>
        <v>28117.559999999976</v>
      </c>
      <c r="J888" s="12"/>
    </row>
    <row r="889" spans="3:10" x14ac:dyDescent="0.25">
      <c r="C889" s="9"/>
      <c r="D889" s="10">
        <v>45730</v>
      </c>
      <c r="E889" t="s">
        <v>2420</v>
      </c>
      <c r="F889" s="11" t="s">
        <v>2421</v>
      </c>
      <c r="G889" s="8">
        <v>68.099999999999994</v>
      </c>
      <c r="H889" s="8">
        <v>0</v>
      </c>
      <c r="I889" s="8">
        <f t="shared" si="47"/>
        <v>28185.659999999974</v>
      </c>
      <c r="J889" s="12"/>
    </row>
    <row r="890" spans="3:10" x14ac:dyDescent="0.25">
      <c r="C890" s="9"/>
      <c r="D890" s="10">
        <v>45730</v>
      </c>
      <c r="E890" t="s">
        <v>2422</v>
      </c>
      <c r="F890" s="11" t="s">
        <v>2423</v>
      </c>
      <c r="G890" s="8">
        <v>24.58</v>
      </c>
      <c r="H890" s="8">
        <v>0</v>
      </c>
      <c r="I890" s="8">
        <f t="shared" si="47"/>
        <v>28210.239999999976</v>
      </c>
      <c r="J890" s="12"/>
    </row>
    <row r="891" spans="3:10" x14ac:dyDescent="0.25">
      <c r="C891" s="9"/>
      <c r="D891" s="10">
        <v>45730</v>
      </c>
      <c r="E891" t="s">
        <v>2424</v>
      </c>
      <c r="F891" s="11" t="s">
        <v>2425</v>
      </c>
      <c r="G891" s="8">
        <v>27.77</v>
      </c>
      <c r="H891" s="8">
        <v>0</v>
      </c>
      <c r="I891" s="8">
        <f t="shared" si="47"/>
        <v>28238.009999999977</v>
      </c>
      <c r="J891" s="12"/>
    </row>
    <row r="892" spans="3:10" x14ac:dyDescent="0.25">
      <c r="C892" s="9"/>
      <c r="D892" s="10">
        <v>45730</v>
      </c>
      <c r="E892" t="s">
        <v>2426</v>
      </c>
      <c r="F892" s="11" t="s">
        <v>2427</v>
      </c>
      <c r="G892" s="8">
        <v>20.16</v>
      </c>
      <c r="H892" s="8">
        <v>0</v>
      </c>
      <c r="I892" s="8">
        <f t="shared" si="47"/>
        <v>28258.169999999976</v>
      </c>
      <c r="J892" s="12"/>
    </row>
    <row r="893" spans="3:10" x14ac:dyDescent="0.25">
      <c r="C893" s="9"/>
      <c r="D893" s="10">
        <v>45730</v>
      </c>
      <c r="E893" t="s">
        <v>2428</v>
      </c>
      <c r="F893" s="11" t="s">
        <v>2429</v>
      </c>
      <c r="G893" s="8">
        <v>21.21</v>
      </c>
      <c r="H893" s="8">
        <v>0</v>
      </c>
      <c r="I893" s="8">
        <f t="shared" si="47"/>
        <v>28279.379999999976</v>
      </c>
      <c r="J893" s="12"/>
    </row>
    <row r="894" spans="3:10" x14ac:dyDescent="0.25">
      <c r="C894" s="9"/>
      <c r="D894" s="10">
        <v>45730</v>
      </c>
      <c r="E894" t="s">
        <v>2430</v>
      </c>
      <c r="F894" s="11" t="s">
        <v>2431</v>
      </c>
      <c r="G894" s="8">
        <v>8.4700000000000006</v>
      </c>
      <c r="H894" s="8">
        <v>0</v>
      </c>
      <c r="I894" s="8">
        <f t="shared" si="47"/>
        <v>28287.849999999977</v>
      </c>
      <c r="J894" s="12"/>
    </row>
    <row r="895" spans="3:10" x14ac:dyDescent="0.25">
      <c r="C895" s="9"/>
      <c r="D895" s="10">
        <v>45730</v>
      </c>
      <c r="E895" t="s">
        <v>2432</v>
      </c>
      <c r="F895" s="11" t="s">
        <v>2433</v>
      </c>
      <c r="G895" s="8">
        <v>8.4700000000000006</v>
      </c>
      <c r="H895" s="8">
        <v>0</v>
      </c>
      <c r="I895" s="8">
        <f t="shared" si="47"/>
        <v>28296.319999999978</v>
      </c>
      <c r="J895" s="12"/>
    </row>
    <row r="896" spans="3:10" x14ac:dyDescent="0.25">
      <c r="C896" s="9"/>
      <c r="D896" s="10">
        <v>45730</v>
      </c>
      <c r="E896" t="s">
        <v>2434</v>
      </c>
      <c r="F896" s="11" t="s">
        <v>2435</v>
      </c>
      <c r="G896" s="8">
        <v>8.5500000000000007</v>
      </c>
      <c r="H896" s="8">
        <v>0</v>
      </c>
      <c r="I896" s="8">
        <f t="shared" si="47"/>
        <v>28304.869999999977</v>
      </c>
      <c r="J896" s="12"/>
    </row>
    <row r="897" spans="3:10" x14ac:dyDescent="0.25">
      <c r="C897" s="9"/>
      <c r="D897" s="10">
        <v>45730</v>
      </c>
      <c r="E897" t="s">
        <v>2436</v>
      </c>
      <c r="F897" s="11" t="s">
        <v>2437</v>
      </c>
      <c r="G897" s="8">
        <v>12.71</v>
      </c>
      <c r="H897" s="8">
        <v>0</v>
      </c>
      <c r="I897" s="8">
        <f t="shared" si="47"/>
        <v>28317.579999999976</v>
      </c>
      <c r="J897" s="12"/>
    </row>
    <row r="898" spans="3:10" x14ac:dyDescent="0.25">
      <c r="C898" s="9"/>
      <c r="D898" s="10">
        <v>45730</v>
      </c>
      <c r="E898" t="s">
        <v>2438</v>
      </c>
      <c r="F898" s="11" t="s">
        <v>2439</v>
      </c>
      <c r="G898" s="8">
        <v>6.52</v>
      </c>
      <c r="H898" s="8">
        <v>0</v>
      </c>
      <c r="I898" s="8">
        <f t="shared" si="47"/>
        <v>28324.099999999977</v>
      </c>
      <c r="J898" s="12"/>
    </row>
    <row r="899" spans="3:10" x14ac:dyDescent="0.25">
      <c r="C899" s="9"/>
      <c r="D899" s="10">
        <v>45744</v>
      </c>
      <c r="E899" t="s">
        <v>2440</v>
      </c>
      <c r="F899" s="11" t="s">
        <v>2441</v>
      </c>
      <c r="G899" s="8">
        <v>-155.16999999999999</v>
      </c>
      <c r="H899" s="8">
        <v>0</v>
      </c>
      <c r="I899" s="8">
        <f t="shared" si="47"/>
        <v>28168.929999999978</v>
      </c>
      <c r="J899" s="12"/>
    </row>
    <row r="900" spans="3:10" x14ac:dyDescent="0.25">
      <c r="C900" s="9"/>
      <c r="D900" s="10">
        <v>45747</v>
      </c>
      <c r="E900" t="s">
        <v>2442</v>
      </c>
      <c r="F900" s="11" t="s">
        <v>2443</v>
      </c>
      <c r="G900" s="8">
        <v>46.17</v>
      </c>
      <c r="H900" s="8">
        <v>0</v>
      </c>
      <c r="I900" s="8">
        <f t="shared" si="47"/>
        <v>28215.099999999977</v>
      </c>
      <c r="J900" s="12"/>
    </row>
    <row r="901" spans="3:10" x14ac:dyDescent="0.25">
      <c r="C901" s="9"/>
      <c r="D901" s="10">
        <v>45747</v>
      </c>
      <c r="E901" t="s">
        <v>2444</v>
      </c>
      <c r="F901" s="11" t="s">
        <v>2445</v>
      </c>
      <c r="G901" s="8">
        <v>184.65</v>
      </c>
      <c r="H901" s="8">
        <v>0</v>
      </c>
      <c r="I901" s="8">
        <f t="shared" ref="I901:I931" si="48">G901-H901+I900</f>
        <v>28399.749999999978</v>
      </c>
      <c r="J901" s="12"/>
    </row>
    <row r="902" spans="3:10" x14ac:dyDescent="0.25">
      <c r="C902" s="9"/>
      <c r="D902" s="10">
        <v>45747</v>
      </c>
      <c r="E902" t="s">
        <v>2446</v>
      </c>
      <c r="F902" s="11" t="s">
        <v>2447</v>
      </c>
      <c r="G902" s="8">
        <v>92.76</v>
      </c>
      <c r="H902" s="8">
        <v>0</v>
      </c>
      <c r="I902" s="8">
        <f t="shared" si="48"/>
        <v>28492.509999999977</v>
      </c>
      <c r="J902" s="12"/>
    </row>
    <row r="903" spans="3:10" x14ac:dyDescent="0.25">
      <c r="C903" s="9"/>
      <c r="D903" s="10">
        <v>45747</v>
      </c>
      <c r="E903" t="s">
        <v>2448</v>
      </c>
      <c r="F903" s="11" t="s">
        <v>2449</v>
      </c>
      <c r="G903" s="8">
        <v>116.16</v>
      </c>
      <c r="H903" s="8">
        <v>0</v>
      </c>
      <c r="I903" s="8">
        <f t="shared" si="48"/>
        <v>28608.669999999976</v>
      </c>
      <c r="J903" s="12"/>
    </row>
    <row r="904" spans="3:10" x14ac:dyDescent="0.25">
      <c r="C904" s="9"/>
      <c r="D904" s="10">
        <v>45747</v>
      </c>
      <c r="E904" t="s">
        <v>2450</v>
      </c>
      <c r="F904" s="11" t="s">
        <v>2451</v>
      </c>
      <c r="G904" s="8">
        <v>163.35</v>
      </c>
      <c r="H904" s="8">
        <v>0</v>
      </c>
      <c r="I904" s="8">
        <f t="shared" si="48"/>
        <v>28772.019999999975</v>
      </c>
      <c r="J904" s="12"/>
    </row>
    <row r="905" spans="3:10" x14ac:dyDescent="0.25">
      <c r="C905" s="9"/>
      <c r="D905" s="10">
        <v>45747</v>
      </c>
      <c r="E905" t="s">
        <v>2452</v>
      </c>
      <c r="F905" s="11" t="s">
        <v>2453</v>
      </c>
      <c r="G905" s="8">
        <v>109.84</v>
      </c>
      <c r="H905" s="8">
        <v>0</v>
      </c>
      <c r="I905" s="8">
        <f t="shared" si="48"/>
        <v>28881.859999999975</v>
      </c>
      <c r="J905" s="12"/>
    </row>
    <row r="906" spans="3:10" x14ac:dyDescent="0.25">
      <c r="C906" s="9"/>
      <c r="D906" s="10">
        <v>45747</v>
      </c>
      <c r="E906" t="s">
        <v>2454</v>
      </c>
      <c r="F906" s="11" t="s">
        <v>2455</v>
      </c>
      <c r="G906" s="8">
        <v>82.28</v>
      </c>
      <c r="H906" s="8">
        <v>0</v>
      </c>
      <c r="I906" s="8">
        <f t="shared" si="48"/>
        <v>28964.139999999974</v>
      </c>
      <c r="J906" s="12"/>
    </row>
    <row r="907" spans="3:10" x14ac:dyDescent="0.25">
      <c r="C907" s="9"/>
      <c r="D907" s="10">
        <v>45747</v>
      </c>
      <c r="E907" t="s">
        <v>2456</v>
      </c>
      <c r="F907" s="11" t="s">
        <v>2457</v>
      </c>
      <c r="G907" s="8">
        <v>392.74</v>
      </c>
      <c r="H907" s="8">
        <v>0</v>
      </c>
      <c r="I907" s="8">
        <f t="shared" si="48"/>
        <v>29356.879999999976</v>
      </c>
      <c r="J907" s="12"/>
    </row>
    <row r="908" spans="3:10" x14ac:dyDescent="0.25">
      <c r="C908" s="9"/>
      <c r="D908" s="10">
        <v>45747</v>
      </c>
      <c r="E908" t="s">
        <v>2458</v>
      </c>
      <c r="F908" s="11" t="s">
        <v>2459</v>
      </c>
      <c r="G908" s="8">
        <v>98.74</v>
      </c>
      <c r="H908" s="8">
        <v>0</v>
      </c>
      <c r="I908" s="8">
        <f t="shared" si="48"/>
        <v>29455.619999999977</v>
      </c>
      <c r="J908" s="12"/>
    </row>
    <row r="909" spans="3:10" x14ac:dyDescent="0.25">
      <c r="C909" s="9"/>
      <c r="D909" s="10">
        <v>45747</v>
      </c>
      <c r="E909" t="s">
        <v>2460</v>
      </c>
      <c r="F909" s="11" t="s">
        <v>2461</v>
      </c>
      <c r="G909" s="8">
        <v>105.12</v>
      </c>
      <c r="H909" s="8">
        <v>0</v>
      </c>
      <c r="I909" s="8">
        <f t="shared" si="48"/>
        <v>29560.739999999976</v>
      </c>
      <c r="J909" s="12"/>
    </row>
    <row r="910" spans="3:10" x14ac:dyDescent="0.25">
      <c r="C910" s="9"/>
      <c r="D910" s="10">
        <v>45747</v>
      </c>
      <c r="E910" t="s">
        <v>2462</v>
      </c>
      <c r="F910" s="11" t="s">
        <v>2463</v>
      </c>
      <c r="G910" s="8">
        <v>36.4</v>
      </c>
      <c r="H910" s="8">
        <v>0</v>
      </c>
      <c r="I910" s="8">
        <f t="shared" si="48"/>
        <v>29597.139999999978</v>
      </c>
      <c r="J910" s="12"/>
    </row>
    <row r="911" spans="3:10" x14ac:dyDescent="0.25">
      <c r="C911" s="9"/>
      <c r="D911" s="10">
        <v>45747</v>
      </c>
      <c r="E911" t="s">
        <v>2464</v>
      </c>
      <c r="F911" s="11" t="s">
        <v>2465</v>
      </c>
      <c r="G911" s="8">
        <v>133.5</v>
      </c>
      <c r="H911" s="8">
        <v>0</v>
      </c>
      <c r="I911" s="8">
        <f t="shared" si="48"/>
        <v>29730.639999999978</v>
      </c>
      <c r="J911" s="12"/>
    </row>
    <row r="912" spans="3:10" x14ac:dyDescent="0.25">
      <c r="C912" s="9"/>
      <c r="D912" s="10">
        <v>45747</v>
      </c>
      <c r="E912" t="s">
        <v>2466</v>
      </c>
      <c r="F912" s="11" t="s">
        <v>2467</v>
      </c>
      <c r="G912" s="8">
        <v>194.54</v>
      </c>
      <c r="H912" s="8">
        <v>0</v>
      </c>
      <c r="I912" s="8">
        <f t="shared" si="48"/>
        <v>29925.179999999978</v>
      </c>
      <c r="J912" s="12"/>
    </row>
    <row r="913" spans="3:10" x14ac:dyDescent="0.25">
      <c r="C913" s="9"/>
      <c r="D913" s="10">
        <v>45747</v>
      </c>
      <c r="E913" t="s">
        <v>2468</v>
      </c>
      <c r="F913" s="11" t="s">
        <v>2469</v>
      </c>
      <c r="G913" s="8">
        <v>81.680000000000007</v>
      </c>
      <c r="H913" s="8">
        <v>0</v>
      </c>
      <c r="I913" s="8">
        <f t="shared" si="48"/>
        <v>30006.859999999979</v>
      </c>
      <c r="J913" s="12"/>
    </row>
    <row r="914" spans="3:10" x14ac:dyDescent="0.25">
      <c r="C914" s="9"/>
      <c r="D914" s="10">
        <v>45747</v>
      </c>
      <c r="E914" t="s">
        <v>2470</v>
      </c>
      <c r="F914" s="11" t="s">
        <v>2471</v>
      </c>
      <c r="G914" s="8">
        <v>154.88</v>
      </c>
      <c r="H914" s="8">
        <v>0</v>
      </c>
      <c r="I914" s="8">
        <f t="shared" si="48"/>
        <v>30161.73999999998</v>
      </c>
      <c r="J914" s="12"/>
    </row>
    <row r="915" spans="3:10" x14ac:dyDescent="0.25">
      <c r="C915" s="9"/>
      <c r="D915" s="10">
        <v>45747</v>
      </c>
      <c r="E915" t="s">
        <v>2472</v>
      </c>
      <c r="F915" s="11" t="s">
        <v>2473</v>
      </c>
      <c r="G915" s="8">
        <v>69.760000000000005</v>
      </c>
      <c r="H915" s="8">
        <v>0</v>
      </c>
      <c r="I915" s="8">
        <f t="shared" si="48"/>
        <v>30231.499999999978</v>
      </c>
      <c r="J915" s="12"/>
    </row>
    <row r="916" spans="3:10" x14ac:dyDescent="0.25">
      <c r="C916" s="9"/>
      <c r="D916" s="10">
        <v>45747</v>
      </c>
      <c r="E916" t="s">
        <v>2474</v>
      </c>
      <c r="F916" s="11" t="s">
        <v>2475</v>
      </c>
      <c r="G916" s="8">
        <v>275.88</v>
      </c>
      <c r="H916" s="8">
        <v>0</v>
      </c>
      <c r="I916" s="8">
        <f t="shared" si="48"/>
        <v>30507.379999999979</v>
      </c>
      <c r="J916" s="12"/>
    </row>
    <row r="917" spans="3:10" x14ac:dyDescent="0.25">
      <c r="C917" s="9"/>
      <c r="D917" s="10">
        <v>45747</v>
      </c>
      <c r="E917" t="s">
        <v>2476</v>
      </c>
      <c r="F917" s="11" t="s">
        <v>2477</v>
      </c>
      <c r="G917" s="8">
        <v>55.1</v>
      </c>
      <c r="H917" s="8">
        <v>0</v>
      </c>
      <c r="I917" s="8">
        <f t="shared" si="48"/>
        <v>30562.479999999978</v>
      </c>
      <c r="J917" s="12"/>
    </row>
    <row r="918" spans="3:10" x14ac:dyDescent="0.25">
      <c r="C918" s="9"/>
      <c r="D918" s="10">
        <v>45747</v>
      </c>
      <c r="E918" t="s">
        <v>2478</v>
      </c>
      <c r="F918" s="11" t="s">
        <v>2479</v>
      </c>
      <c r="G918" s="8">
        <v>118.54</v>
      </c>
      <c r="H918" s="8">
        <v>0</v>
      </c>
      <c r="I918" s="8">
        <f t="shared" si="48"/>
        <v>30681.019999999979</v>
      </c>
      <c r="J918" s="12"/>
    </row>
    <row r="919" spans="3:10" x14ac:dyDescent="0.25">
      <c r="C919" s="9"/>
      <c r="D919" s="10">
        <v>45747</v>
      </c>
      <c r="E919" t="s">
        <v>2480</v>
      </c>
      <c r="F919" s="11" t="s">
        <v>2481</v>
      </c>
      <c r="G919" s="8">
        <v>214.9</v>
      </c>
      <c r="H919" s="8">
        <v>0</v>
      </c>
      <c r="I919" s="8">
        <f t="shared" si="48"/>
        <v>30895.91999999998</v>
      </c>
      <c r="J919" s="12"/>
    </row>
    <row r="920" spans="3:10" x14ac:dyDescent="0.25">
      <c r="C920" s="9"/>
      <c r="D920" s="10">
        <v>45747</v>
      </c>
      <c r="E920" t="s">
        <v>2482</v>
      </c>
      <c r="F920" s="11" t="s">
        <v>2483</v>
      </c>
      <c r="G920" s="8">
        <v>89.84</v>
      </c>
      <c r="H920" s="8">
        <v>0</v>
      </c>
      <c r="I920" s="8">
        <f t="shared" si="48"/>
        <v>30985.75999999998</v>
      </c>
      <c r="J920" s="12"/>
    </row>
    <row r="921" spans="3:10" x14ac:dyDescent="0.25">
      <c r="C921" s="9"/>
      <c r="D921" s="10">
        <v>45747</v>
      </c>
      <c r="E921" t="s">
        <v>2484</v>
      </c>
      <c r="F921" s="11" t="s">
        <v>2485</v>
      </c>
      <c r="G921" s="8">
        <v>32.69</v>
      </c>
      <c r="H921" s="8">
        <v>0</v>
      </c>
      <c r="I921" s="8">
        <f t="shared" si="48"/>
        <v>31018.449999999979</v>
      </c>
      <c r="J921" s="12"/>
    </row>
    <row r="922" spans="3:10" x14ac:dyDescent="0.25">
      <c r="C922" s="9"/>
      <c r="D922" s="10">
        <v>45747</v>
      </c>
      <c r="E922" t="s">
        <v>2486</v>
      </c>
      <c r="F922" s="11" t="s">
        <v>2487</v>
      </c>
      <c r="G922" s="8">
        <v>41.07</v>
      </c>
      <c r="H922" s="8">
        <v>0</v>
      </c>
      <c r="I922" s="8">
        <f t="shared" si="48"/>
        <v>31059.519999999979</v>
      </c>
      <c r="J922" s="12"/>
    </row>
    <row r="923" spans="3:10" x14ac:dyDescent="0.25">
      <c r="C923" s="9"/>
      <c r="D923" s="10">
        <v>45747</v>
      </c>
      <c r="E923" t="s">
        <v>2488</v>
      </c>
      <c r="F923" s="11" t="s">
        <v>2489</v>
      </c>
      <c r="G923" s="8">
        <v>74.91</v>
      </c>
      <c r="H923" s="8">
        <v>0</v>
      </c>
      <c r="I923" s="8">
        <f t="shared" si="48"/>
        <v>31134.429999999978</v>
      </c>
      <c r="J923" s="12"/>
    </row>
    <row r="924" spans="3:10" x14ac:dyDescent="0.25">
      <c r="C924" s="9"/>
      <c r="D924" s="10">
        <v>45747</v>
      </c>
      <c r="E924" t="s">
        <v>2490</v>
      </c>
      <c r="F924" s="11" t="s">
        <v>2491</v>
      </c>
      <c r="G924" s="8">
        <v>9.2799999999999994</v>
      </c>
      <c r="H924" s="8">
        <v>0</v>
      </c>
      <c r="I924" s="8">
        <f t="shared" si="48"/>
        <v>31143.709999999977</v>
      </c>
      <c r="J924" s="12"/>
    </row>
    <row r="925" spans="3:10" x14ac:dyDescent="0.25">
      <c r="C925" s="9"/>
      <c r="D925" s="10">
        <v>45747</v>
      </c>
      <c r="E925" t="s">
        <v>2492</v>
      </c>
      <c r="F925" s="11" t="s">
        <v>2493</v>
      </c>
      <c r="G925" s="8">
        <v>3.75</v>
      </c>
      <c r="H925" s="8">
        <v>0</v>
      </c>
      <c r="I925" s="8">
        <f t="shared" si="48"/>
        <v>31147.459999999977</v>
      </c>
      <c r="J925" s="12"/>
    </row>
    <row r="926" spans="3:10" x14ac:dyDescent="0.25">
      <c r="C926" s="9"/>
      <c r="D926" s="10">
        <v>45747</v>
      </c>
      <c r="E926" t="s">
        <v>2494</v>
      </c>
      <c r="F926" s="11" t="s">
        <v>2495</v>
      </c>
      <c r="G926" s="8">
        <v>7.3</v>
      </c>
      <c r="H926" s="8">
        <v>0</v>
      </c>
      <c r="I926" s="8">
        <f t="shared" si="48"/>
        <v>31154.759999999977</v>
      </c>
      <c r="J926" s="12"/>
    </row>
    <row r="927" spans="3:10" x14ac:dyDescent="0.25">
      <c r="C927" s="9"/>
      <c r="D927" s="10">
        <v>45747</v>
      </c>
      <c r="E927" t="s">
        <v>2496</v>
      </c>
      <c r="F927" s="11" t="s">
        <v>2497</v>
      </c>
      <c r="G927" s="8">
        <v>11.89</v>
      </c>
      <c r="H927" s="8">
        <v>0</v>
      </c>
      <c r="I927" s="8">
        <f t="shared" si="48"/>
        <v>31166.649999999976</v>
      </c>
      <c r="J927" s="12"/>
    </row>
    <row r="928" spans="3:10" x14ac:dyDescent="0.25">
      <c r="C928" s="9"/>
      <c r="D928" s="10">
        <v>45747</v>
      </c>
      <c r="E928" t="s">
        <v>2498</v>
      </c>
      <c r="F928" s="11" t="s">
        <v>2499</v>
      </c>
      <c r="G928" s="8">
        <v>3.22</v>
      </c>
      <c r="H928" s="8">
        <v>0</v>
      </c>
      <c r="I928" s="8">
        <f t="shared" si="48"/>
        <v>31169.869999999977</v>
      </c>
      <c r="J928" s="12"/>
    </row>
    <row r="929" spans="1:10" x14ac:dyDescent="0.25">
      <c r="C929" s="9"/>
      <c r="D929" s="10">
        <v>45747</v>
      </c>
      <c r="E929" t="s">
        <v>2500</v>
      </c>
      <c r="F929" s="11" t="s">
        <v>2501</v>
      </c>
      <c r="G929" s="8">
        <v>4.54</v>
      </c>
      <c r="H929" s="8">
        <v>0</v>
      </c>
      <c r="I929" s="8">
        <f t="shared" si="48"/>
        <v>31174.409999999978</v>
      </c>
      <c r="J929" s="12"/>
    </row>
    <row r="930" spans="1:10" x14ac:dyDescent="0.25">
      <c r="C930" s="9"/>
      <c r="D930" s="10">
        <v>45747</v>
      </c>
      <c r="E930" t="s">
        <v>2502</v>
      </c>
      <c r="F930" s="11" t="s">
        <v>2503</v>
      </c>
      <c r="G930" s="8">
        <v>6.78</v>
      </c>
      <c r="H930" s="8">
        <v>0</v>
      </c>
      <c r="I930" s="8">
        <f t="shared" si="48"/>
        <v>31181.189999999977</v>
      </c>
      <c r="J930" s="12"/>
    </row>
    <row r="931" spans="1:10" x14ac:dyDescent="0.25">
      <c r="C931" s="9"/>
      <c r="D931" s="10">
        <v>45747</v>
      </c>
      <c r="E931" t="s">
        <v>2504</v>
      </c>
      <c r="F931" s="11" t="s">
        <v>42</v>
      </c>
      <c r="G931" s="8">
        <v>0</v>
      </c>
      <c r="H931" s="8">
        <v>3607.92</v>
      </c>
      <c r="I931" s="8">
        <f t="shared" si="48"/>
        <v>27573.269999999975</v>
      </c>
      <c r="J931" s="12"/>
    </row>
    <row r="932" spans="1:10" x14ac:dyDescent="0.25">
      <c r="E932" s="4" t="s">
        <v>20</v>
      </c>
      <c r="G932" s="8">
        <f>SUM(G772:G931)</f>
        <v>49585.61</v>
      </c>
      <c r="H932" s="8">
        <f>SUM(H772:H931)</f>
        <v>22012.339999999997</v>
      </c>
      <c r="I932" s="8">
        <f>G932-H932</f>
        <v>27573.270000000004</v>
      </c>
    </row>
    <row r="934" spans="1:10" x14ac:dyDescent="0.25">
      <c r="A934" s="5">
        <v>4300405</v>
      </c>
      <c r="B934" s="6" t="s">
        <v>2505</v>
      </c>
      <c r="C934" s="7"/>
      <c r="D934" s="7"/>
      <c r="E934" s="7"/>
      <c r="F934" s="7"/>
      <c r="G934" s="7"/>
      <c r="H934" s="7"/>
      <c r="I934" s="7"/>
      <c r="J934" s="7"/>
    </row>
    <row r="935" spans="1:10" x14ac:dyDescent="0.25">
      <c r="E935" s="4" t="s">
        <v>10</v>
      </c>
      <c r="G935" s="8">
        <v>355.3</v>
      </c>
      <c r="H935" s="8">
        <v>0</v>
      </c>
      <c r="I935" s="8">
        <f>G935-H935</f>
        <v>355.3</v>
      </c>
    </row>
    <row r="936" spans="1:10" x14ac:dyDescent="0.25">
      <c r="C936" s="9"/>
      <c r="D936" s="10">
        <v>45660</v>
      </c>
      <c r="E936" t="s">
        <v>1524</v>
      </c>
      <c r="F936" s="11" t="s">
        <v>2506</v>
      </c>
      <c r="G936" s="8">
        <v>0</v>
      </c>
      <c r="H936" s="8">
        <v>585.14</v>
      </c>
      <c r="I936" s="8">
        <f t="shared" ref="I936:I949" si="49">G936-H936+I935</f>
        <v>-229.83999999999997</v>
      </c>
      <c r="J936" s="12"/>
    </row>
    <row r="937" spans="1:10" x14ac:dyDescent="0.25">
      <c r="C937" s="9"/>
      <c r="D937" s="10">
        <v>45671</v>
      </c>
      <c r="E937" t="s">
        <v>2507</v>
      </c>
      <c r="F937" s="11" t="s">
        <v>2508</v>
      </c>
      <c r="G937" s="8">
        <v>507.24</v>
      </c>
      <c r="H937" s="8">
        <v>0</v>
      </c>
      <c r="I937" s="8">
        <f t="shared" si="49"/>
        <v>277.40000000000003</v>
      </c>
      <c r="J937" s="12"/>
    </row>
    <row r="938" spans="1:10" x14ac:dyDescent="0.25">
      <c r="C938" s="9"/>
      <c r="D938" s="10">
        <v>45672</v>
      </c>
      <c r="E938" t="s">
        <v>1524</v>
      </c>
      <c r="F938" s="11" t="s">
        <v>2508</v>
      </c>
      <c r="G938" s="8">
        <v>0</v>
      </c>
      <c r="H938" s="8">
        <v>507.24</v>
      </c>
      <c r="I938" s="8">
        <f t="shared" si="49"/>
        <v>-229.83999999999997</v>
      </c>
      <c r="J938" s="12"/>
    </row>
    <row r="939" spans="1:10" x14ac:dyDescent="0.25">
      <c r="C939" s="9"/>
      <c r="D939" s="10">
        <v>45688</v>
      </c>
      <c r="E939" t="s">
        <v>2509</v>
      </c>
      <c r="F939" s="11" t="s">
        <v>2510</v>
      </c>
      <c r="G939" s="8">
        <v>888.73</v>
      </c>
      <c r="H939" s="8">
        <v>0</v>
      </c>
      <c r="I939" s="8">
        <f t="shared" si="49"/>
        <v>658.8900000000001</v>
      </c>
      <c r="J939" s="12"/>
    </row>
    <row r="940" spans="1:10" x14ac:dyDescent="0.25">
      <c r="C940" s="9"/>
      <c r="D940" s="10">
        <v>45702</v>
      </c>
      <c r="E940" t="s">
        <v>2511</v>
      </c>
      <c r="F940" s="11" t="s">
        <v>2512</v>
      </c>
      <c r="G940" s="8">
        <v>531.75</v>
      </c>
      <c r="H940" s="8">
        <v>0</v>
      </c>
      <c r="I940" s="8">
        <f t="shared" si="49"/>
        <v>1190.6400000000001</v>
      </c>
      <c r="J940" s="12"/>
    </row>
    <row r="941" spans="1:10" x14ac:dyDescent="0.25">
      <c r="C941" s="9"/>
      <c r="D941" s="10">
        <v>45705</v>
      </c>
      <c r="E941" t="s">
        <v>1524</v>
      </c>
      <c r="F941" s="11" t="s">
        <v>2510</v>
      </c>
      <c r="G941" s="8">
        <v>0</v>
      </c>
      <c r="H941" s="8">
        <v>888.73</v>
      </c>
      <c r="I941" s="8">
        <f t="shared" si="49"/>
        <v>301.91000000000008</v>
      </c>
      <c r="J941" s="12"/>
    </row>
    <row r="942" spans="1:10" x14ac:dyDescent="0.25">
      <c r="C942" s="9"/>
      <c r="D942" s="10">
        <v>45705</v>
      </c>
      <c r="E942" t="s">
        <v>1524</v>
      </c>
      <c r="F942" s="11" t="s">
        <v>2512</v>
      </c>
      <c r="G942" s="8">
        <v>0</v>
      </c>
      <c r="H942" s="8">
        <v>531.75</v>
      </c>
      <c r="I942" s="8">
        <f t="shared" si="49"/>
        <v>-229.83999999999992</v>
      </c>
      <c r="J942" s="12"/>
    </row>
    <row r="943" spans="1:10" x14ac:dyDescent="0.25">
      <c r="C943" s="9"/>
      <c r="D943" s="10">
        <v>45716</v>
      </c>
      <c r="E943" t="s">
        <v>2513</v>
      </c>
      <c r="F943" s="11" t="s">
        <v>2514</v>
      </c>
      <c r="G943" s="8">
        <v>166.79</v>
      </c>
      <c r="H943" s="8">
        <v>0</v>
      </c>
      <c r="I943" s="8">
        <f t="shared" si="49"/>
        <v>-63.049999999999926</v>
      </c>
      <c r="J943" s="12"/>
    </row>
    <row r="944" spans="1:10" x14ac:dyDescent="0.25">
      <c r="C944" s="9"/>
      <c r="D944" s="10">
        <v>45730</v>
      </c>
      <c r="E944" t="s">
        <v>2515</v>
      </c>
      <c r="F944" s="11" t="s">
        <v>2516</v>
      </c>
      <c r="G944" s="8">
        <v>518.16999999999996</v>
      </c>
      <c r="H944" s="8">
        <v>0</v>
      </c>
      <c r="I944" s="8">
        <f t="shared" si="49"/>
        <v>455.12</v>
      </c>
      <c r="J944" s="12"/>
    </row>
    <row r="945" spans="1:10" x14ac:dyDescent="0.25">
      <c r="C945" s="9"/>
      <c r="D945" s="10">
        <v>45733</v>
      </c>
      <c r="E945" t="s">
        <v>1524</v>
      </c>
      <c r="F945" s="11" t="s">
        <v>2514</v>
      </c>
      <c r="G945" s="8">
        <v>0</v>
      </c>
      <c r="H945" s="8">
        <v>166.79</v>
      </c>
      <c r="I945" s="8">
        <f t="shared" si="49"/>
        <v>288.33000000000004</v>
      </c>
      <c r="J945" s="12"/>
    </row>
    <row r="946" spans="1:10" x14ac:dyDescent="0.25">
      <c r="C946" s="9"/>
      <c r="D946" s="10">
        <v>45733</v>
      </c>
      <c r="E946" t="s">
        <v>1524</v>
      </c>
      <c r="F946" s="11" t="s">
        <v>2516</v>
      </c>
      <c r="G946" s="8">
        <v>0</v>
      </c>
      <c r="H946" s="8">
        <v>518.16999999999996</v>
      </c>
      <c r="I946" s="8">
        <f t="shared" si="49"/>
        <v>-229.83999999999992</v>
      </c>
      <c r="J946" s="12"/>
    </row>
    <row r="947" spans="1:10" x14ac:dyDescent="0.25">
      <c r="C947" s="9"/>
      <c r="D947" s="10">
        <v>45747</v>
      </c>
      <c r="E947" t="s">
        <v>2517</v>
      </c>
      <c r="F947" s="11" t="s">
        <v>2518</v>
      </c>
      <c r="G947" s="8">
        <v>124.33</v>
      </c>
      <c r="H947" s="8">
        <v>0</v>
      </c>
      <c r="I947" s="8">
        <f t="shared" si="49"/>
        <v>-105.50999999999992</v>
      </c>
      <c r="J947" s="12"/>
    </row>
    <row r="948" spans="1:10" x14ac:dyDescent="0.25">
      <c r="C948" s="9"/>
      <c r="D948" s="10">
        <v>45762</v>
      </c>
      <c r="E948" t="s">
        <v>1524</v>
      </c>
      <c r="F948" s="11" t="s">
        <v>2518</v>
      </c>
      <c r="G948" s="8">
        <v>0</v>
      </c>
      <c r="H948" s="8">
        <v>124.33</v>
      </c>
      <c r="I948" s="8">
        <f t="shared" si="49"/>
        <v>-229.83999999999992</v>
      </c>
      <c r="J948" s="12"/>
    </row>
    <row r="949" spans="1:10" x14ac:dyDescent="0.25">
      <c r="C949" s="9"/>
      <c r="D949" s="10">
        <v>45762</v>
      </c>
      <c r="E949" t="s">
        <v>2519</v>
      </c>
      <c r="F949" s="11" t="s">
        <v>42</v>
      </c>
      <c r="G949" s="8">
        <v>0</v>
      </c>
      <c r="H949" s="8">
        <v>367.02</v>
      </c>
      <c r="I949" s="8">
        <f t="shared" si="49"/>
        <v>-596.8599999999999</v>
      </c>
      <c r="J949" s="12"/>
    </row>
    <row r="950" spans="1:10" x14ac:dyDescent="0.25">
      <c r="E950" s="4" t="s">
        <v>20</v>
      </c>
      <c r="G950" s="8">
        <f>SUM(G935:G949)</f>
        <v>3092.31</v>
      </c>
      <c r="H950" s="8">
        <f>SUM(H935:H949)</f>
        <v>3689.17</v>
      </c>
      <c r="I950" s="8">
        <f>G950-H950</f>
        <v>-596.86000000000013</v>
      </c>
    </row>
    <row r="952" spans="1:10" x14ac:dyDescent="0.25">
      <c r="A952" s="5">
        <v>4300455</v>
      </c>
      <c r="B952" s="6" t="s">
        <v>2520</v>
      </c>
      <c r="C952" s="7"/>
      <c r="D952" s="7"/>
      <c r="E952" s="7"/>
      <c r="F952" s="7"/>
      <c r="G952" s="7"/>
      <c r="H952" s="7"/>
      <c r="I952" s="7"/>
      <c r="J952" s="7"/>
    </row>
    <row r="953" spans="1:10" x14ac:dyDescent="0.25">
      <c r="E953" s="4" t="s">
        <v>10</v>
      </c>
      <c r="G953" s="8">
        <v>3321.66</v>
      </c>
      <c r="H953" s="8">
        <v>0</v>
      </c>
      <c r="I953" s="8">
        <f>G953-H953</f>
        <v>3321.66</v>
      </c>
    </row>
    <row r="954" spans="1:10" x14ac:dyDescent="0.25">
      <c r="C954" s="9"/>
      <c r="D954" s="10">
        <v>45671</v>
      </c>
      <c r="E954" t="s">
        <v>2521</v>
      </c>
      <c r="F954" s="11" t="s">
        <v>2522</v>
      </c>
      <c r="G954" s="8">
        <v>604.16999999999996</v>
      </c>
      <c r="H954" s="8">
        <v>0</v>
      </c>
      <c r="I954" s="8">
        <f t="shared" ref="I954:I963" si="50">G954-H954+I953</f>
        <v>3925.83</v>
      </c>
      <c r="J954" s="12"/>
    </row>
    <row r="955" spans="1:10" x14ac:dyDescent="0.25">
      <c r="C955" s="9"/>
      <c r="D955" s="10">
        <v>45672</v>
      </c>
      <c r="E955" t="s">
        <v>2523</v>
      </c>
      <c r="F955" s="11" t="s">
        <v>42</v>
      </c>
      <c r="G955" s="8">
        <v>0</v>
      </c>
      <c r="H955" s="8">
        <v>1792.29</v>
      </c>
      <c r="I955" s="8">
        <f t="shared" si="50"/>
        <v>2133.54</v>
      </c>
      <c r="J955" s="12"/>
    </row>
    <row r="956" spans="1:10" x14ac:dyDescent="0.25">
      <c r="C956" s="9"/>
      <c r="D956" s="10">
        <v>45688</v>
      </c>
      <c r="E956" t="s">
        <v>2524</v>
      </c>
      <c r="F956" s="11" t="s">
        <v>2525</v>
      </c>
      <c r="G956" s="8">
        <v>246.39</v>
      </c>
      <c r="H956" s="8">
        <v>0</v>
      </c>
      <c r="I956" s="8">
        <f t="shared" si="50"/>
        <v>2379.9299999999998</v>
      </c>
      <c r="J956" s="12"/>
    </row>
    <row r="957" spans="1:10" x14ac:dyDescent="0.25">
      <c r="C957" s="9"/>
      <c r="D957" s="10">
        <v>45702</v>
      </c>
      <c r="E957" t="s">
        <v>2526</v>
      </c>
      <c r="F957" s="11" t="s">
        <v>2527</v>
      </c>
      <c r="G957" s="8">
        <v>971.87</v>
      </c>
      <c r="H957" s="8">
        <v>0</v>
      </c>
      <c r="I957" s="8">
        <f t="shared" si="50"/>
        <v>3351.7999999999997</v>
      </c>
      <c r="J957" s="12"/>
    </row>
    <row r="958" spans="1:10" x14ac:dyDescent="0.25">
      <c r="C958" s="9"/>
      <c r="D958" s="10">
        <v>45705</v>
      </c>
      <c r="E958" t="s">
        <v>2528</v>
      </c>
      <c r="F958" s="11" t="s">
        <v>42</v>
      </c>
      <c r="G958" s="8">
        <v>0</v>
      </c>
      <c r="H958" s="8">
        <v>1248.29</v>
      </c>
      <c r="I958" s="8">
        <f t="shared" si="50"/>
        <v>2103.5099999999998</v>
      </c>
      <c r="J958" s="12"/>
    </row>
    <row r="959" spans="1:10" x14ac:dyDescent="0.25">
      <c r="C959" s="9"/>
      <c r="D959" s="10">
        <v>45716</v>
      </c>
      <c r="E959" t="s">
        <v>2529</v>
      </c>
      <c r="F959" s="11" t="s">
        <v>2530</v>
      </c>
      <c r="G959" s="8">
        <v>1291.3399999999999</v>
      </c>
      <c r="H959" s="8">
        <v>0</v>
      </c>
      <c r="I959" s="8">
        <f t="shared" si="50"/>
        <v>3394.8499999999995</v>
      </c>
      <c r="J959" s="12"/>
    </row>
    <row r="960" spans="1:10" x14ac:dyDescent="0.25">
      <c r="C960" s="9"/>
      <c r="D960" s="10">
        <v>45730</v>
      </c>
      <c r="E960" t="s">
        <v>2531</v>
      </c>
      <c r="F960" s="11" t="s">
        <v>2532</v>
      </c>
      <c r="G960" s="8">
        <v>334.31</v>
      </c>
      <c r="H960" s="8">
        <v>0</v>
      </c>
      <c r="I960" s="8">
        <f t="shared" si="50"/>
        <v>3729.1599999999994</v>
      </c>
      <c r="J960" s="12"/>
    </row>
    <row r="961" spans="1:10" x14ac:dyDescent="0.25">
      <c r="C961" s="9"/>
      <c r="D961" s="10">
        <v>45733</v>
      </c>
      <c r="E961" t="s">
        <v>2533</v>
      </c>
      <c r="F961" s="11" t="s">
        <v>42</v>
      </c>
      <c r="G961" s="8">
        <v>0</v>
      </c>
      <c r="H961" s="8">
        <v>885.25</v>
      </c>
      <c r="I961" s="8">
        <f t="shared" si="50"/>
        <v>2843.9099999999994</v>
      </c>
      <c r="J961" s="12"/>
    </row>
    <row r="962" spans="1:10" x14ac:dyDescent="0.25">
      <c r="C962" s="9"/>
      <c r="D962" s="10">
        <v>45747</v>
      </c>
      <c r="E962" t="s">
        <v>2534</v>
      </c>
      <c r="F962" s="11" t="s">
        <v>2535</v>
      </c>
      <c r="G962" s="8">
        <v>974.1</v>
      </c>
      <c r="H962" s="8">
        <v>0</v>
      </c>
      <c r="I962" s="8">
        <f t="shared" si="50"/>
        <v>3818.0099999999993</v>
      </c>
      <c r="J962" s="12"/>
    </row>
    <row r="963" spans="1:10" x14ac:dyDescent="0.25">
      <c r="C963" s="9"/>
      <c r="D963" s="10">
        <v>45762</v>
      </c>
      <c r="E963" t="s">
        <v>2536</v>
      </c>
      <c r="F963" s="11" t="s">
        <v>42</v>
      </c>
      <c r="G963" s="8">
        <v>0</v>
      </c>
      <c r="H963" s="8">
        <v>1218.26</v>
      </c>
      <c r="I963" s="8">
        <f t="shared" si="50"/>
        <v>2599.7499999999991</v>
      </c>
      <c r="J963" s="12"/>
    </row>
    <row r="964" spans="1:10" x14ac:dyDescent="0.25">
      <c r="E964" s="4" t="s">
        <v>20</v>
      </c>
      <c r="G964" s="8">
        <f>SUM(G953:G963)</f>
        <v>7743.8400000000011</v>
      </c>
      <c r="H964" s="8">
        <f>SUM(H953:H963)</f>
        <v>5144.09</v>
      </c>
      <c r="I964" s="8">
        <f>G964-H964</f>
        <v>2599.7500000000009</v>
      </c>
    </row>
    <row r="966" spans="1:10" x14ac:dyDescent="0.25">
      <c r="A966" s="5">
        <v>4300480</v>
      </c>
      <c r="B966" s="6" t="s">
        <v>2537</v>
      </c>
      <c r="C966" s="7"/>
      <c r="D966" s="7"/>
      <c r="E966" s="7"/>
      <c r="F966" s="7"/>
      <c r="G966" s="7"/>
      <c r="H966" s="7"/>
      <c r="I966" s="7"/>
      <c r="J966" s="7"/>
    </row>
    <row r="967" spans="1:10" x14ac:dyDescent="0.25">
      <c r="E967" s="4" t="s">
        <v>10</v>
      </c>
      <c r="G967" s="8">
        <v>10055.66</v>
      </c>
      <c r="H967" s="8">
        <v>0</v>
      </c>
      <c r="I967" s="8">
        <f>G967-H967</f>
        <v>10055.66</v>
      </c>
    </row>
    <row r="968" spans="1:10" x14ac:dyDescent="0.25">
      <c r="C968" s="9"/>
      <c r="D968" s="10">
        <v>45671</v>
      </c>
      <c r="E968" t="s">
        <v>2538</v>
      </c>
      <c r="F968" s="11" t="s">
        <v>2539</v>
      </c>
      <c r="G968" s="8">
        <v>374.29</v>
      </c>
      <c r="H968" s="8">
        <v>0</v>
      </c>
      <c r="I968" s="8">
        <f t="shared" ref="I968:I976" si="51">G968-H968+I967</f>
        <v>10429.950000000001</v>
      </c>
      <c r="J968" s="12"/>
    </row>
    <row r="969" spans="1:10" x14ac:dyDescent="0.25">
      <c r="C969" s="9"/>
      <c r="D969" s="10">
        <v>45685</v>
      </c>
      <c r="E969" t="s">
        <v>2540</v>
      </c>
      <c r="F969" s="11" t="s">
        <v>42</v>
      </c>
      <c r="G969" s="8">
        <v>0</v>
      </c>
      <c r="H969" s="8">
        <v>4829.99</v>
      </c>
      <c r="I969" s="8">
        <f t="shared" si="51"/>
        <v>5599.9600000000009</v>
      </c>
      <c r="J969" s="12"/>
    </row>
    <row r="970" spans="1:10" x14ac:dyDescent="0.25">
      <c r="C970" s="9"/>
      <c r="D970" s="10">
        <v>45688</v>
      </c>
      <c r="E970" t="s">
        <v>2541</v>
      </c>
      <c r="F970" s="11" t="s">
        <v>2542</v>
      </c>
      <c r="G970" s="8">
        <v>3871.32</v>
      </c>
      <c r="H970" s="8">
        <v>0</v>
      </c>
      <c r="I970" s="8">
        <f t="shared" si="51"/>
        <v>9471.2800000000007</v>
      </c>
      <c r="J970" s="12"/>
    </row>
    <row r="971" spans="1:10" x14ac:dyDescent="0.25">
      <c r="C971" s="9"/>
      <c r="D971" s="10">
        <v>45702</v>
      </c>
      <c r="E971" t="s">
        <v>2543</v>
      </c>
      <c r="F971" s="11" t="s">
        <v>2544</v>
      </c>
      <c r="G971" s="8">
        <v>2392.02</v>
      </c>
      <c r="H971" s="8">
        <v>0</v>
      </c>
      <c r="I971" s="8">
        <f t="shared" si="51"/>
        <v>11863.300000000001</v>
      </c>
      <c r="J971" s="12"/>
    </row>
    <row r="972" spans="1:10" x14ac:dyDescent="0.25">
      <c r="C972" s="9"/>
      <c r="D972" s="10">
        <v>45714</v>
      </c>
      <c r="E972" t="s">
        <v>2545</v>
      </c>
      <c r="F972" s="11" t="s">
        <v>42</v>
      </c>
      <c r="G972" s="8">
        <v>0</v>
      </c>
      <c r="H972" s="8">
        <v>4473.8</v>
      </c>
      <c r="I972" s="8">
        <f t="shared" si="51"/>
        <v>7389.5000000000009</v>
      </c>
      <c r="J972" s="12"/>
    </row>
    <row r="973" spans="1:10" x14ac:dyDescent="0.25">
      <c r="C973" s="9"/>
      <c r="D973" s="10">
        <v>45716</v>
      </c>
      <c r="E973" t="s">
        <v>2546</v>
      </c>
      <c r="F973" s="11" t="s">
        <v>2547</v>
      </c>
      <c r="G973" s="8">
        <v>991.16</v>
      </c>
      <c r="H973" s="8">
        <v>0</v>
      </c>
      <c r="I973" s="8">
        <f t="shared" si="51"/>
        <v>8380.6600000000017</v>
      </c>
      <c r="J973" s="12"/>
    </row>
    <row r="974" spans="1:10" x14ac:dyDescent="0.25">
      <c r="C974" s="9"/>
      <c r="D974" s="10">
        <v>45730</v>
      </c>
      <c r="E974" t="s">
        <v>2548</v>
      </c>
      <c r="F974" s="11" t="s">
        <v>2549</v>
      </c>
      <c r="G974" s="8">
        <v>3157.51</v>
      </c>
      <c r="H974" s="8">
        <v>0</v>
      </c>
      <c r="I974" s="8">
        <f t="shared" si="51"/>
        <v>11538.170000000002</v>
      </c>
      <c r="J974" s="12"/>
    </row>
    <row r="975" spans="1:10" x14ac:dyDescent="0.25">
      <c r="C975" s="9"/>
      <c r="D975" s="10">
        <v>45743</v>
      </c>
      <c r="E975" t="s">
        <v>2550</v>
      </c>
      <c r="F975" s="11" t="s">
        <v>42</v>
      </c>
      <c r="G975" s="8">
        <v>0</v>
      </c>
      <c r="H975" s="8">
        <v>1126.22</v>
      </c>
      <c r="I975" s="8">
        <f t="shared" si="51"/>
        <v>10411.950000000003</v>
      </c>
      <c r="J975" s="12"/>
    </row>
    <row r="976" spans="1:10" x14ac:dyDescent="0.25">
      <c r="C976" s="9"/>
      <c r="D976" s="10">
        <v>45747</v>
      </c>
      <c r="E976" t="s">
        <v>2551</v>
      </c>
      <c r="F976" s="11" t="s">
        <v>2552</v>
      </c>
      <c r="G976" s="8">
        <v>3544.2</v>
      </c>
      <c r="H976" s="8">
        <v>0</v>
      </c>
      <c r="I976" s="8">
        <f t="shared" si="51"/>
        <v>13956.150000000001</v>
      </c>
      <c r="J976" s="12"/>
    </row>
    <row r="977" spans="1:10" x14ac:dyDescent="0.25">
      <c r="E977" s="4" t="s">
        <v>20</v>
      </c>
      <c r="G977" s="8">
        <f>SUM(G967:G976)</f>
        <v>24386.16</v>
      </c>
      <c r="H977" s="8">
        <f>SUM(H967:H976)</f>
        <v>10430.01</v>
      </c>
      <c r="I977" s="8">
        <f>G977-H977</f>
        <v>13956.15</v>
      </c>
    </row>
    <row r="979" spans="1:10" x14ac:dyDescent="0.25">
      <c r="A979" s="5">
        <v>4300490</v>
      </c>
      <c r="B979" s="6" t="s">
        <v>2553</v>
      </c>
      <c r="C979" s="7"/>
      <c r="D979" s="7"/>
      <c r="E979" s="7"/>
      <c r="F979" s="7"/>
      <c r="G979" s="7"/>
      <c r="H979" s="7"/>
      <c r="I979" s="7"/>
      <c r="J979" s="7"/>
    </row>
    <row r="980" spans="1:10" x14ac:dyDescent="0.25">
      <c r="E980" s="4" t="s">
        <v>10</v>
      </c>
      <c r="G980" s="8">
        <v>527.21</v>
      </c>
      <c r="H980" s="8">
        <v>0</v>
      </c>
      <c r="I980" s="8">
        <f>G980-H980</f>
        <v>527.21</v>
      </c>
    </row>
    <row r="981" spans="1:10" x14ac:dyDescent="0.25">
      <c r="C981" s="9"/>
      <c r="D981" s="10">
        <v>45671</v>
      </c>
      <c r="E981" t="s">
        <v>2554</v>
      </c>
      <c r="F981" s="11" t="s">
        <v>2555</v>
      </c>
      <c r="G981" s="8">
        <v>55.18</v>
      </c>
      <c r="H981" s="8">
        <v>0</v>
      </c>
      <c r="I981" s="8">
        <f t="shared" ref="I981:I991" si="52">G981-H981+I980</f>
        <v>582.39</v>
      </c>
      <c r="J981" s="12"/>
    </row>
    <row r="982" spans="1:10" x14ac:dyDescent="0.25">
      <c r="C982" s="9"/>
      <c r="D982" s="10">
        <v>45688</v>
      </c>
      <c r="E982" t="s">
        <v>2556</v>
      </c>
      <c r="F982" s="11" t="s">
        <v>2557</v>
      </c>
      <c r="G982" s="8">
        <v>131.19</v>
      </c>
      <c r="H982" s="8">
        <v>0</v>
      </c>
      <c r="I982" s="8">
        <f t="shared" si="52"/>
        <v>713.57999999999993</v>
      </c>
      <c r="J982" s="12"/>
    </row>
    <row r="983" spans="1:10" x14ac:dyDescent="0.25">
      <c r="C983" s="9"/>
      <c r="D983" s="10">
        <v>45698</v>
      </c>
      <c r="E983" t="s">
        <v>1524</v>
      </c>
      <c r="F983" s="11" t="s">
        <v>2558</v>
      </c>
      <c r="G983" s="8">
        <v>0</v>
      </c>
      <c r="H983" s="8">
        <v>78.760000000000005</v>
      </c>
      <c r="I983" s="8">
        <f t="shared" si="52"/>
        <v>634.81999999999994</v>
      </c>
      <c r="J983" s="12"/>
    </row>
    <row r="984" spans="1:10" x14ac:dyDescent="0.25">
      <c r="C984" s="9"/>
      <c r="D984" s="10">
        <v>45698</v>
      </c>
      <c r="E984" t="s">
        <v>1524</v>
      </c>
      <c r="F984" s="11" t="s">
        <v>2559</v>
      </c>
      <c r="G984" s="8">
        <v>0</v>
      </c>
      <c r="H984" s="8">
        <v>69.7</v>
      </c>
      <c r="I984" s="8">
        <f t="shared" si="52"/>
        <v>565.11999999999989</v>
      </c>
      <c r="J984" s="12"/>
    </row>
    <row r="985" spans="1:10" x14ac:dyDescent="0.25">
      <c r="C985" s="9"/>
      <c r="D985" s="10">
        <v>45702</v>
      </c>
      <c r="E985" t="s">
        <v>1524</v>
      </c>
      <c r="F985" s="11" t="s">
        <v>2560</v>
      </c>
      <c r="G985" s="8">
        <v>0</v>
      </c>
      <c r="H985" s="8">
        <v>42.86</v>
      </c>
      <c r="I985" s="8">
        <f t="shared" si="52"/>
        <v>522.25999999999988</v>
      </c>
      <c r="J985" s="12"/>
    </row>
    <row r="986" spans="1:10" x14ac:dyDescent="0.25">
      <c r="C986" s="9"/>
      <c r="D986" s="10">
        <v>45714</v>
      </c>
      <c r="E986" t="s">
        <v>1524</v>
      </c>
      <c r="F986" s="11" t="s">
        <v>2561</v>
      </c>
      <c r="G986" s="8">
        <v>0</v>
      </c>
      <c r="H986" s="8">
        <v>54.91</v>
      </c>
      <c r="I986" s="8">
        <f t="shared" si="52"/>
        <v>467.34999999999991</v>
      </c>
      <c r="J986" s="12"/>
    </row>
    <row r="987" spans="1:10" x14ac:dyDescent="0.25">
      <c r="C987" s="9"/>
      <c r="D987" s="10">
        <v>45716</v>
      </c>
      <c r="E987" t="s">
        <v>2562</v>
      </c>
      <c r="F987" s="11" t="s">
        <v>2563</v>
      </c>
      <c r="G987" s="8">
        <v>264.75</v>
      </c>
      <c r="H987" s="8">
        <v>0</v>
      </c>
      <c r="I987" s="8">
        <f t="shared" si="52"/>
        <v>732.09999999999991</v>
      </c>
      <c r="J987" s="12"/>
    </row>
    <row r="988" spans="1:10" x14ac:dyDescent="0.25">
      <c r="C988" s="9"/>
      <c r="D988" s="10">
        <v>45727</v>
      </c>
      <c r="E988" t="s">
        <v>1524</v>
      </c>
      <c r="F988" s="11" t="s">
        <v>2564</v>
      </c>
      <c r="G988" s="8">
        <v>0</v>
      </c>
      <c r="H988" s="8">
        <v>337.92</v>
      </c>
      <c r="I988" s="8">
        <f t="shared" si="52"/>
        <v>394.17999999999989</v>
      </c>
      <c r="J988" s="12"/>
    </row>
    <row r="989" spans="1:10" x14ac:dyDescent="0.25">
      <c r="C989" s="9"/>
      <c r="D989" s="10">
        <v>45730</v>
      </c>
      <c r="E989" t="s">
        <v>2565</v>
      </c>
      <c r="F989" s="11" t="s">
        <v>2566</v>
      </c>
      <c r="G989" s="8">
        <v>179.59</v>
      </c>
      <c r="H989" s="8">
        <v>0</v>
      </c>
      <c r="I989" s="8">
        <f t="shared" si="52"/>
        <v>573.76999999999987</v>
      </c>
      <c r="J989" s="12"/>
    </row>
    <row r="990" spans="1:10" x14ac:dyDescent="0.25">
      <c r="C990" s="9"/>
      <c r="D990" s="10">
        <v>45742</v>
      </c>
      <c r="E990" t="s">
        <v>1524</v>
      </c>
      <c r="F990" s="11" t="s">
        <v>2555</v>
      </c>
      <c r="G990" s="8">
        <v>0</v>
      </c>
      <c r="H990" s="8">
        <v>55.18</v>
      </c>
      <c r="I990" s="8">
        <f t="shared" si="52"/>
        <v>518.58999999999992</v>
      </c>
      <c r="J990" s="12"/>
    </row>
    <row r="991" spans="1:10" x14ac:dyDescent="0.25">
      <c r="C991" s="9"/>
      <c r="D991" s="10">
        <v>45758</v>
      </c>
      <c r="E991" t="s">
        <v>1524</v>
      </c>
      <c r="F991" s="11" t="s">
        <v>2557</v>
      </c>
      <c r="G991" s="8">
        <v>0</v>
      </c>
      <c r="H991" s="8">
        <v>131.19</v>
      </c>
      <c r="I991" s="8">
        <f t="shared" si="52"/>
        <v>387.39999999999992</v>
      </c>
      <c r="J991" s="12"/>
    </row>
    <row r="992" spans="1:10" x14ac:dyDescent="0.25">
      <c r="E992" s="4" t="s">
        <v>20</v>
      </c>
      <c r="G992" s="8">
        <f>SUM(G980:G991)</f>
        <v>1157.9199999999998</v>
      </c>
      <c r="H992" s="8">
        <f>SUM(H980:H991)</f>
        <v>770.52</v>
      </c>
      <c r="I992" s="8">
        <f>G992-H992</f>
        <v>387.39999999999986</v>
      </c>
    </row>
    <row r="994" spans="1:10" x14ac:dyDescent="0.25">
      <c r="A994" s="5">
        <v>4300500</v>
      </c>
      <c r="B994" s="6" t="s">
        <v>2567</v>
      </c>
      <c r="C994" s="7"/>
      <c r="D994" s="7"/>
      <c r="E994" s="7"/>
      <c r="F994" s="7"/>
      <c r="G994" s="7"/>
      <c r="H994" s="7"/>
      <c r="I994" s="7"/>
      <c r="J994" s="7"/>
    </row>
    <row r="995" spans="1:10" x14ac:dyDescent="0.25">
      <c r="C995" s="9"/>
      <c r="D995" s="10">
        <v>45670</v>
      </c>
      <c r="E995" t="s">
        <v>2568</v>
      </c>
      <c r="F995" s="11" t="s">
        <v>42</v>
      </c>
      <c r="G995" s="8">
        <v>0</v>
      </c>
      <c r="H995" s="8">
        <v>1605.21</v>
      </c>
      <c r="I995" s="8">
        <f>G995-H995</f>
        <v>-1605.21</v>
      </c>
      <c r="J995" s="12"/>
    </row>
    <row r="996" spans="1:10" x14ac:dyDescent="0.25">
      <c r="E996" s="4" t="s">
        <v>20</v>
      </c>
      <c r="G996" s="8">
        <f>G995</f>
        <v>0</v>
      </c>
      <c r="H996" s="8">
        <f>H995</f>
        <v>1605.21</v>
      </c>
      <c r="I996" s="8">
        <f>G996-H996</f>
        <v>-1605.21</v>
      </c>
    </row>
    <row r="998" spans="1:10" x14ac:dyDescent="0.25">
      <c r="A998" s="5">
        <v>4300555</v>
      </c>
      <c r="B998" s="6" t="s">
        <v>2569</v>
      </c>
      <c r="C998" s="7"/>
      <c r="D998" s="7"/>
      <c r="E998" s="7"/>
      <c r="F998" s="7"/>
      <c r="G998" s="7"/>
      <c r="H998" s="7"/>
      <c r="I998" s="7"/>
      <c r="J998" s="7"/>
    </row>
    <row r="999" spans="1:10" x14ac:dyDescent="0.25">
      <c r="E999" s="4" t="s">
        <v>10</v>
      </c>
      <c r="G999" s="8">
        <v>6.69</v>
      </c>
      <c r="H999" s="8">
        <v>0</v>
      </c>
      <c r="I999" s="8">
        <f>G999-H999</f>
        <v>6.69</v>
      </c>
    </row>
    <row r="1000" spans="1:10" x14ac:dyDescent="0.25">
      <c r="E1000" s="4" t="s">
        <v>20</v>
      </c>
      <c r="G1000" s="8">
        <f>G999</f>
        <v>6.69</v>
      </c>
      <c r="H1000" s="8">
        <f>H999</f>
        <v>0</v>
      </c>
      <c r="I1000" s="8">
        <f>G1000-H1000</f>
        <v>6.69</v>
      </c>
    </row>
    <row r="1002" spans="1:10" x14ac:dyDescent="0.25">
      <c r="A1002" s="5">
        <v>4300570</v>
      </c>
      <c r="B1002" s="6" t="s">
        <v>2570</v>
      </c>
      <c r="C1002" s="7"/>
      <c r="D1002" s="7"/>
      <c r="E1002" s="7"/>
      <c r="F1002" s="7"/>
      <c r="G1002" s="7"/>
      <c r="H1002" s="7"/>
      <c r="I1002" s="7"/>
      <c r="J1002" s="7"/>
    </row>
    <row r="1003" spans="1:10" x14ac:dyDescent="0.25">
      <c r="E1003" s="4" t="s">
        <v>10</v>
      </c>
      <c r="G1003" s="8">
        <v>3.46</v>
      </c>
      <c r="H1003" s="8">
        <v>0</v>
      </c>
      <c r="I1003" s="8">
        <f>G1003-H1003</f>
        <v>3.46</v>
      </c>
    </row>
    <row r="1004" spans="1:10" x14ac:dyDescent="0.25">
      <c r="E1004" s="4" t="s">
        <v>20</v>
      </c>
      <c r="G1004" s="8">
        <f>G1003</f>
        <v>3.46</v>
      </c>
      <c r="H1004" s="8">
        <f>H1003</f>
        <v>0</v>
      </c>
      <c r="I1004" s="8">
        <f>G1004-H1004</f>
        <v>3.46</v>
      </c>
    </row>
    <row r="1006" spans="1:10" x14ac:dyDescent="0.25">
      <c r="A1006" s="5">
        <v>4300580</v>
      </c>
      <c r="B1006" s="6" t="s">
        <v>204</v>
      </c>
      <c r="C1006" s="7"/>
      <c r="D1006" s="7"/>
      <c r="E1006" s="7"/>
      <c r="F1006" s="7"/>
      <c r="G1006" s="7"/>
      <c r="H1006" s="7"/>
      <c r="I1006" s="7"/>
      <c r="J1006" s="7"/>
    </row>
    <row r="1007" spans="1:10" x14ac:dyDescent="0.25">
      <c r="C1007" s="9"/>
      <c r="D1007" s="10">
        <v>45678</v>
      </c>
      <c r="E1007" t="s">
        <v>2571</v>
      </c>
      <c r="F1007" s="11" t="s">
        <v>42</v>
      </c>
      <c r="G1007" s="8">
        <v>3279.38</v>
      </c>
      <c r="H1007" s="8">
        <v>0</v>
      </c>
      <c r="I1007" s="8">
        <f>G1007-H1007</f>
        <v>3279.38</v>
      </c>
      <c r="J1007" s="12"/>
    </row>
    <row r="1008" spans="1:10" x14ac:dyDescent="0.25">
      <c r="E1008" s="4" t="s">
        <v>20</v>
      </c>
      <c r="G1008" s="8">
        <f>G1007</f>
        <v>3279.38</v>
      </c>
      <c r="H1008" s="8">
        <f>H1007</f>
        <v>0</v>
      </c>
      <c r="I1008" s="8">
        <f>G1008-H1008</f>
        <v>3279.38</v>
      </c>
    </row>
    <row r="1010" spans="1:10" x14ac:dyDescent="0.25">
      <c r="A1010" s="5">
        <v>4300597</v>
      </c>
      <c r="B1010" s="6" t="s">
        <v>2572</v>
      </c>
      <c r="C1010" s="7"/>
      <c r="D1010" s="7"/>
      <c r="E1010" s="7"/>
      <c r="F1010" s="7"/>
      <c r="G1010" s="7"/>
      <c r="H1010" s="7"/>
      <c r="I1010" s="7"/>
      <c r="J1010" s="7"/>
    </row>
    <row r="1011" spans="1:10" x14ac:dyDescent="0.25">
      <c r="E1011" s="4" t="s">
        <v>10</v>
      </c>
      <c r="G1011" s="8">
        <v>88.09</v>
      </c>
      <c r="H1011" s="8">
        <v>0</v>
      </c>
      <c r="I1011" s="8">
        <f>G1011-H1011</f>
        <v>88.09</v>
      </c>
    </row>
    <row r="1012" spans="1:10" x14ac:dyDescent="0.25">
      <c r="C1012" s="9"/>
      <c r="D1012" s="10">
        <v>45666</v>
      </c>
      <c r="E1012" t="s">
        <v>1817</v>
      </c>
      <c r="F1012" s="11" t="s">
        <v>42</v>
      </c>
      <c r="G1012" s="8">
        <v>0</v>
      </c>
      <c r="H1012" s="8">
        <v>35.97</v>
      </c>
      <c r="I1012" s="8">
        <f>G1012-H1012+I1011</f>
        <v>52.120000000000005</v>
      </c>
      <c r="J1012" s="12"/>
    </row>
    <row r="1013" spans="1:10" x14ac:dyDescent="0.25">
      <c r="E1013" s="4" t="s">
        <v>20</v>
      </c>
      <c r="G1013" s="8">
        <f>SUM(G1011:G1012)</f>
        <v>88.09</v>
      </c>
      <c r="H1013" s="8">
        <f>SUM(H1011:H1012)</f>
        <v>35.97</v>
      </c>
      <c r="I1013" s="8">
        <f>G1013-H1013</f>
        <v>52.120000000000005</v>
      </c>
    </row>
    <row r="1015" spans="1:10" x14ac:dyDescent="0.25">
      <c r="A1015" s="5">
        <v>4300605</v>
      </c>
      <c r="B1015" s="6" t="s">
        <v>2573</v>
      </c>
      <c r="C1015" s="7"/>
      <c r="D1015" s="7"/>
      <c r="E1015" s="7"/>
      <c r="F1015" s="7"/>
      <c r="G1015" s="7"/>
      <c r="H1015" s="7"/>
      <c r="I1015" s="7"/>
      <c r="J1015" s="7"/>
    </row>
    <row r="1016" spans="1:10" x14ac:dyDescent="0.25">
      <c r="E1016" s="4" t="s">
        <v>10</v>
      </c>
      <c r="G1016" s="8">
        <v>17.989999999999998</v>
      </c>
      <c r="H1016" s="8">
        <v>0</v>
      </c>
      <c r="I1016" s="8">
        <f>G1016-H1016</f>
        <v>17.989999999999998</v>
      </c>
    </row>
    <row r="1017" spans="1:10" x14ac:dyDescent="0.25">
      <c r="E1017" s="4" t="s">
        <v>20</v>
      </c>
      <c r="G1017" s="8">
        <f>G1016</f>
        <v>17.989999999999998</v>
      </c>
      <c r="H1017" s="8">
        <f>H1016</f>
        <v>0</v>
      </c>
      <c r="I1017" s="8">
        <f>G1017-H1017</f>
        <v>17.989999999999998</v>
      </c>
    </row>
    <row r="1019" spans="1:10" x14ac:dyDescent="0.25">
      <c r="A1019" s="5">
        <v>4300620</v>
      </c>
      <c r="B1019" s="6" t="s">
        <v>2574</v>
      </c>
      <c r="C1019" s="7"/>
      <c r="D1019" s="7"/>
      <c r="E1019" s="7"/>
      <c r="F1019" s="7"/>
      <c r="G1019" s="7"/>
      <c r="H1019" s="7"/>
      <c r="I1019" s="7"/>
      <c r="J1019" s="7"/>
    </row>
    <row r="1020" spans="1:10" x14ac:dyDescent="0.25">
      <c r="E1020" s="4" t="s">
        <v>10</v>
      </c>
      <c r="G1020" s="8">
        <v>3419.97</v>
      </c>
      <c r="H1020" s="8">
        <v>0</v>
      </c>
      <c r="I1020" s="8">
        <f>G1020-H1020</f>
        <v>3419.97</v>
      </c>
    </row>
    <row r="1021" spans="1:10" x14ac:dyDescent="0.25">
      <c r="C1021" s="9"/>
      <c r="D1021" s="10">
        <v>45701</v>
      </c>
      <c r="E1021" t="s">
        <v>2575</v>
      </c>
      <c r="F1021" s="11" t="s">
        <v>2576</v>
      </c>
      <c r="G1021" s="8">
        <v>-2017.68</v>
      </c>
      <c r="H1021" s="8">
        <v>0</v>
      </c>
      <c r="I1021" s="8">
        <f>G1021-H1021+I1020</f>
        <v>1402.2899999999997</v>
      </c>
      <c r="J1021" s="12"/>
    </row>
    <row r="1022" spans="1:10" x14ac:dyDescent="0.25">
      <c r="E1022" s="4" t="s">
        <v>20</v>
      </c>
      <c r="G1022" s="8">
        <f>SUM(G1020:G1021)</f>
        <v>1402.2899999999997</v>
      </c>
      <c r="H1022" s="8">
        <f>SUM(H1020:H1021)</f>
        <v>0</v>
      </c>
      <c r="I1022" s="8">
        <f>G1022-H1022</f>
        <v>1402.2899999999997</v>
      </c>
    </row>
    <row r="1024" spans="1:10" x14ac:dyDescent="0.25">
      <c r="A1024" s="5">
        <v>4300625</v>
      </c>
      <c r="B1024" s="6" t="s">
        <v>2577</v>
      </c>
      <c r="C1024" s="7"/>
      <c r="D1024" s="7"/>
      <c r="E1024" s="7"/>
      <c r="F1024" s="7"/>
      <c r="G1024" s="7"/>
      <c r="H1024" s="7"/>
      <c r="I1024" s="7"/>
      <c r="J1024" s="7"/>
    </row>
    <row r="1025" spans="1:10" x14ac:dyDescent="0.25">
      <c r="E1025" s="4" t="s">
        <v>10</v>
      </c>
      <c r="G1025" s="8">
        <v>18</v>
      </c>
      <c r="H1025" s="8">
        <v>0</v>
      </c>
      <c r="I1025" s="8">
        <f>G1025-H1025</f>
        <v>18</v>
      </c>
    </row>
    <row r="1026" spans="1:10" x14ac:dyDescent="0.25">
      <c r="C1026" s="9"/>
      <c r="D1026" s="10">
        <v>45671</v>
      </c>
      <c r="E1026" t="s">
        <v>2578</v>
      </c>
      <c r="F1026" s="11" t="s">
        <v>2579</v>
      </c>
      <c r="G1026" s="8">
        <v>237.38</v>
      </c>
      <c r="H1026" s="8">
        <v>0</v>
      </c>
      <c r="I1026" s="8">
        <f t="shared" ref="I1026:I1034" si="53">G1026-H1026+I1025</f>
        <v>255.38</v>
      </c>
      <c r="J1026" s="12"/>
    </row>
    <row r="1027" spans="1:10" x14ac:dyDescent="0.25">
      <c r="C1027" s="9"/>
      <c r="D1027" s="10">
        <v>45672</v>
      </c>
      <c r="E1027" t="s">
        <v>2580</v>
      </c>
      <c r="F1027" s="11" t="s">
        <v>42</v>
      </c>
      <c r="G1027" s="8">
        <v>0</v>
      </c>
      <c r="H1027" s="8">
        <v>255.38</v>
      </c>
      <c r="I1027" s="8">
        <f t="shared" si="53"/>
        <v>0</v>
      </c>
      <c r="J1027" s="12"/>
    </row>
    <row r="1028" spans="1:10" x14ac:dyDescent="0.25">
      <c r="C1028" s="9"/>
      <c r="D1028" s="10">
        <v>45702</v>
      </c>
      <c r="E1028" t="s">
        <v>2581</v>
      </c>
      <c r="F1028" s="11" t="s">
        <v>2582</v>
      </c>
      <c r="G1028" s="8">
        <v>50.35</v>
      </c>
      <c r="H1028" s="8">
        <v>0</v>
      </c>
      <c r="I1028" s="8">
        <f t="shared" si="53"/>
        <v>50.35</v>
      </c>
      <c r="J1028" s="12"/>
    </row>
    <row r="1029" spans="1:10" x14ac:dyDescent="0.25">
      <c r="C1029" s="9"/>
      <c r="D1029" s="10">
        <v>45705</v>
      </c>
      <c r="E1029" t="s">
        <v>1524</v>
      </c>
      <c r="F1029" s="11" t="s">
        <v>2582</v>
      </c>
      <c r="G1029" s="8">
        <v>0</v>
      </c>
      <c r="H1029" s="8">
        <v>50.35</v>
      </c>
      <c r="I1029" s="8">
        <f t="shared" si="53"/>
        <v>0</v>
      </c>
      <c r="J1029" s="12"/>
    </row>
    <row r="1030" spans="1:10" x14ac:dyDescent="0.25">
      <c r="C1030" s="9"/>
      <c r="D1030" s="10">
        <v>45730</v>
      </c>
      <c r="E1030" t="s">
        <v>2583</v>
      </c>
      <c r="F1030" s="11" t="s">
        <v>2584</v>
      </c>
      <c r="G1030" s="8">
        <v>42.8</v>
      </c>
      <c r="H1030" s="8">
        <v>0</v>
      </c>
      <c r="I1030" s="8">
        <f t="shared" si="53"/>
        <v>42.8</v>
      </c>
      <c r="J1030" s="12"/>
    </row>
    <row r="1031" spans="1:10" x14ac:dyDescent="0.25">
      <c r="C1031" s="9"/>
      <c r="D1031" s="10">
        <v>45733</v>
      </c>
      <c r="E1031" t="s">
        <v>1524</v>
      </c>
      <c r="F1031" s="11" t="s">
        <v>2584</v>
      </c>
      <c r="G1031" s="8">
        <v>0</v>
      </c>
      <c r="H1031" s="8">
        <v>42.8</v>
      </c>
      <c r="I1031" s="8">
        <f t="shared" si="53"/>
        <v>0</v>
      </c>
      <c r="J1031" s="12"/>
    </row>
    <row r="1032" spans="1:10" x14ac:dyDescent="0.25">
      <c r="C1032" s="9"/>
      <c r="D1032" s="10">
        <v>45747</v>
      </c>
      <c r="E1032" t="s">
        <v>2585</v>
      </c>
      <c r="F1032" s="11" t="s">
        <v>2586</v>
      </c>
      <c r="G1032" s="8">
        <v>75.75</v>
      </c>
      <c r="H1032" s="8">
        <v>0</v>
      </c>
      <c r="I1032" s="8">
        <f t="shared" si="53"/>
        <v>75.75</v>
      </c>
      <c r="J1032" s="12"/>
    </row>
    <row r="1033" spans="1:10" x14ac:dyDescent="0.25">
      <c r="C1033" s="9" t="s">
        <v>124</v>
      </c>
      <c r="D1033" s="10">
        <v>45748</v>
      </c>
      <c r="E1033" t="s">
        <v>2580</v>
      </c>
      <c r="F1033" s="11" t="s">
        <v>42</v>
      </c>
      <c r="G1033" s="8">
        <v>0</v>
      </c>
      <c r="H1033" s="8">
        <v>75.75</v>
      </c>
      <c r="I1033" s="8">
        <f t="shared" si="53"/>
        <v>0</v>
      </c>
      <c r="J1033" s="12"/>
    </row>
    <row r="1034" spans="1:10" x14ac:dyDescent="0.25">
      <c r="C1034" s="9"/>
      <c r="D1034" s="10">
        <v>45762</v>
      </c>
      <c r="E1034" t="s">
        <v>2580</v>
      </c>
      <c r="F1034" s="11" t="s">
        <v>42</v>
      </c>
      <c r="G1034" s="8">
        <v>0</v>
      </c>
      <c r="H1034" s="8">
        <v>348.36</v>
      </c>
      <c r="I1034" s="8">
        <f t="shared" si="53"/>
        <v>-348.36</v>
      </c>
      <c r="J1034" s="12"/>
    </row>
    <row r="1035" spans="1:10" x14ac:dyDescent="0.25">
      <c r="E1035" s="4" t="s">
        <v>20</v>
      </c>
      <c r="G1035" s="8">
        <f>SUM(G1025:G1034)</f>
        <v>424.28000000000003</v>
      </c>
      <c r="H1035" s="8">
        <f>SUM(H1025:H1034)</f>
        <v>772.6400000000001</v>
      </c>
      <c r="I1035" s="8">
        <f>G1035-H1035</f>
        <v>-348.36000000000007</v>
      </c>
    </row>
    <row r="1037" spans="1:10" x14ac:dyDescent="0.25">
      <c r="A1037" s="5">
        <v>4300645</v>
      </c>
      <c r="B1037" s="6" t="s">
        <v>2587</v>
      </c>
      <c r="C1037" s="7"/>
      <c r="D1037" s="7"/>
      <c r="E1037" s="7"/>
      <c r="F1037" s="7"/>
      <c r="G1037" s="7"/>
      <c r="H1037" s="7"/>
      <c r="I1037" s="7"/>
      <c r="J1037" s="7"/>
    </row>
    <row r="1038" spans="1:10" x14ac:dyDescent="0.25">
      <c r="C1038" s="9"/>
      <c r="D1038" s="10">
        <v>45702</v>
      </c>
      <c r="E1038" t="s">
        <v>2588</v>
      </c>
      <c r="F1038" s="11" t="s">
        <v>2589</v>
      </c>
      <c r="G1038" s="8">
        <v>85.69</v>
      </c>
      <c r="H1038" s="8">
        <v>0</v>
      </c>
      <c r="I1038" s="8">
        <f>G1038-H1038</f>
        <v>85.69</v>
      </c>
      <c r="J1038" s="12"/>
    </row>
    <row r="1039" spans="1:10" x14ac:dyDescent="0.25">
      <c r="C1039" s="9"/>
      <c r="D1039" s="10">
        <v>45705</v>
      </c>
      <c r="E1039" t="s">
        <v>1524</v>
      </c>
      <c r="F1039" s="11" t="s">
        <v>2589</v>
      </c>
      <c r="G1039" s="8">
        <v>0</v>
      </c>
      <c r="H1039" s="8">
        <v>85.69</v>
      </c>
      <c r="I1039" s="8">
        <f>G1039-H1039+I1038</f>
        <v>0</v>
      </c>
      <c r="J1039" s="12"/>
    </row>
    <row r="1040" spans="1:10" x14ac:dyDescent="0.25">
      <c r="C1040" s="9"/>
      <c r="D1040" s="10">
        <v>45762</v>
      </c>
      <c r="E1040" t="s">
        <v>2590</v>
      </c>
      <c r="F1040" s="11" t="s">
        <v>42</v>
      </c>
      <c r="G1040" s="8">
        <v>0</v>
      </c>
      <c r="H1040" s="8">
        <v>188.49</v>
      </c>
      <c r="I1040" s="8">
        <f>G1040-H1040+I1039</f>
        <v>-188.49</v>
      </c>
      <c r="J1040" s="12"/>
    </row>
    <row r="1041" spans="1:10" x14ac:dyDescent="0.25">
      <c r="E1041" s="4" t="s">
        <v>20</v>
      </c>
      <c r="G1041" s="8">
        <f>SUM(G1038:G1040)</f>
        <v>85.69</v>
      </c>
      <c r="H1041" s="8">
        <f>SUM(H1038:H1040)</f>
        <v>274.18</v>
      </c>
      <c r="I1041" s="8">
        <f>G1041-H1041</f>
        <v>-188.49</v>
      </c>
    </row>
    <row r="1043" spans="1:10" x14ac:dyDescent="0.25">
      <c r="A1043" s="5">
        <v>4300691</v>
      </c>
      <c r="B1043" s="6" t="s">
        <v>2591</v>
      </c>
      <c r="C1043" s="7"/>
      <c r="D1043" s="7"/>
      <c r="E1043" s="7"/>
      <c r="F1043" s="7"/>
      <c r="G1043" s="7"/>
      <c r="H1043" s="7"/>
      <c r="I1043" s="7"/>
      <c r="J1043" s="7"/>
    </row>
    <row r="1044" spans="1:10" x14ac:dyDescent="0.25">
      <c r="E1044" s="4" t="s">
        <v>10</v>
      </c>
      <c r="G1044" s="8">
        <v>213.41</v>
      </c>
      <c r="H1044" s="8">
        <v>0</v>
      </c>
      <c r="I1044" s="8">
        <f>G1044-H1044</f>
        <v>213.41</v>
      </c>
    </row>
    <row r="1045" spans="1:10" x14ac:dyDescent="0.25">
      <c r="C1045" s="9"/>
      <c r="D1045" s="10">
        <v>45659</v>
      </c>
      <c r="E1045" t="s">
        <v>1524</v>
      </c>
      <c r="F1045" s="11" t="s">
        <v>2592</v>
      </c>
      <c r="G1045" s="8">
        <v>0</v>
      </c>
      <c r="H1045" s="8">
        <v>213.41</v>
      </c>
      <c r="I1045" s="8">
        <f t="shared" ref="I1045:I1058" si="54">G1045-H1045+I1044</f>
        <v>0</v>
      </c>
      <c r="J1045" s="12"/>
    </row>
    <row r="1046" spans="1:10" x14ac:dyDescent="0.25">
      <c r="C1046" s="9"/>
      <c r="D1046" s="10">
        <v>45671</v>
      </c>
      <c r="E1046" t="s">
        <v>2593</v>
      </c>
      <c r="F1046" s="11" t="s">
        <v>2594</v>
      </c>
      <c r="G1046" s="8">
        <v>276.52</v>
      </c>
      <c r="H1046" s="8">
        <v>0</v>
      </c>
      <c r="I1046" s="8">
        <f t="shared" si="54"/>
        <v>276.52</v>
      </c>
      <c r="J1046" s="12"/>
    </row>
    <row r="1047" spans="1:10" x14ac:dyDescent="0.25">
      <c r="C1047" s="9"/>
      <c r="D1047" s="10">
        <v>45672</v>
      </c>
      <c r="E1047" t="s">
        <v>1524</v>
      </c>
      <c r="F1047" s="11" t="s">
        <v>2594</v>
      </c>
      <c r="G1047" s="8">
        <v>0</v>
      </c>
      <c r="H1047" s="8">
        <v>276.52</v>
      </c>
      <c r="I1047" s="8">
        <f t="shared" si="54"/>
        <v>0</v>
      </c>
      <c r="J1047" s="12"/>
    </row>
    <row r="1048" spans="1:10" x14ac:dyDescent="0.25">
      <c r="C1048" s="9"/>
      <c r="D1048" s="10">
        <v>45688</v>
      </c>
      <c r="E1048" t="s">
        <v>2595</v>
      </c>
      <c r="F1048" s="11" t="s">
        <v>2596</v>
      </c>
      <c r="G1048" s="8">
        <v>317.43</v>
      </c>
      <c r="H1048" s="8">
        <v>0</v>
      </c>
      <c r="I1048" s="8">
        <f t="shared" si="54"/>
        <v>317.43</v>
      </c>
      <c r="J1048" s="12"/>
    </row>
    <row r="1049" spans="1:10" x14ac:dyDescent="0.25">
      <c r="C1049" s="9"/>
      <c r="D1049" s="10">
        <v>45691</v>
      </c>
      <c r="E1049" t="s">
        <v>1524</v>
      </c>
      <c r="F1049" s="11" t="s">
        <v>2596</v>
      </c>
      <c r="G1049" s="8">
        <v>0</v>
      </c>
      <c r="H1049" s="8">
        <v>317.43</v>
      </c>
      <c r="I1049" s="8">
        <f t="shared" si="54"/>
        <v>0</v>
      </c>
      <c r="J1049" s="12"/>
    </row>
    <row r="1050" spans="1:10" x14ac:dyDescent="0.25">
      <c r="C1050" s="9"/>
      <c r="D1050" s="10">
        <v>45702</v>
      </c>
      <c r="E1050" t="s">
        <v>2597</v>
      </c>
      <c r="F1050" s="11" t="s">
        <v>2598</v>
      </c>
      <c r="G1050" s="8">
        <v>276.63</v>
      </c>
      <c r="H1050" s="8">
        <v>0</v>
      </c>
      <c r="I1050" s="8">
        <f t="shared" si="54"/>
        <v>276.63</v>
      </c>
      <c r="J1050" s="12"/>
    </row>
    <row r="1051" spans="1:10" x14ac:dyDescent="0.25">
      <c r="C1051" s="9"/>
      <c r="D1051" s="10">
        <v>45705</v>
      </c>
      <c r="E1051" t="s">
        <v>1524</v>
      </c>
      <c r="F1051" s="11" t="s">
        <v>2598</v>
      </c>
      <c r="G1051" s="8">
        <v>0</v>
      </c>
      <c r="H1051" s="8">
        <v>276.63</v>
      </c>
      <c r="I1051" s="8">
        <f t="shared" si="54"/>
        <v>0</v>
      </c>
      <c r="J1051" s="12"/>
    </row>
    <row r="1052" spans="1:10" x14ac:dyDescent="0.25">
      <c r="C1052" s="9"/>
      <c r="D1052" s="10">
        <v>45716</v>
      </c>
      <c r="E1052" t="s">
        <v>2599</v>
      </c>
      <c r="F1052" s="11" t="s">
        <v>2600</v>
      </c>
      <c r="G1052" s="8">
        <v>155.05000000000001</v>
      </c>
      <c r="H1052" s="8">
        <v>0</v>
      </c>
      <c r="I1052" s="8">
        <f t="shared" si="54"/>
        <v>155.05000000000001</v>
      </c>
      <c r="J1052" s="12"/>
    </row>
    <row r="1053" spans="1:10" x14ac:dyDescent="0.25">
      <c r="C1053" s="9" t="s">
        <v>124</v>
      </c>
      <c r="D1053" s="10">
        <v>45719</v>
      </c>
      <c r="E1053" t="s">
        <v>2601</v>
      </c>
      <c r="F1053" s="11" t="s">
        <v>2600</v>
      </c>
      <c r="G1053" s="8">
        <v>0</v>
      </c>
      <c r="H1053" s="8">
        <v>155.05000000000001</v>
      </c>
      <c r="I1053" s="8">
        <f t="shared" si="54"/>
        <v>0</v>
      </c>
      <c r="J1053" s="12"/>
    </row>
    <row r="1054" spans="1:10" x14ac:dyDescent="0.25">
      <c r="C1054" s="9"/>
      <c r="D1054" s="10">
        <v>45730</v>
      </c>
      <c r="E1054" t="s">
        <v>2602</v>
      </c>
      <c r="F1054" s="11" t="s">
        <v>2603</v>
      </c>
      <c r="G1054" s="8">
        <v>232.62</v>
      </c>
      <c r="H1054" s="8">
        <v>0</v>
      </c>
      <c r="I1054" s="8">
        <f t="shared" si="54"/>
        <v>232.62</v>
      </c>
      <c r="J1054" s="12"/>
    </row>
    <row r="1055" spans="1:10" x14ac:dyDescent="0.25">
      <c r="C1055" s="9"/>
      <c r="D1055" s="10">
        <v>45733</v>
      </c>
      <c r="E1055" t="s">
        <v>1524</v>
      </c>
      <c r="F1055" s="11" t="s">
        <v>2603</v>
      </c>
      <c r="G1055" s="8">
        <v>0</v>
      </c>
      <c r="H1055" s="8">
        <v>232.62</v>
      </c>
      <c r="I1055" s="8">
        <f t="shared" si="54"/>
        <v>0</v>
      </c>
      <c r="J1055" s="12"/>
    </row>
    <row r="1056" spans="1:10" x14ac:dyDescent="0.25">
      <c r="C1056" s="9"/>
      <c r="D1056" s="10">
        <v>45747</v>
      </c>
      <c r="E1056" t="s">
        <v>2604</v>
      </c>
      <c r="F1056" s="11" t="s">
        <v>2605</v>
      </c>
      <c r="G1056" s="8">
        <v>122.43</v>
      </c>
      <c r="H1056" s="8">
        <v>0</v>
      </c>
      <c r="I1056" s="8">
        <f t="shared" si="54"/>
        <v>122.43</v>
      </c>
      <c r="J1056" s="12"/>
    </row>
    <row r="1057" spans="1:10" x14ac:dyDescent="0.25">
      <c r="C1057" s="9" t="s">
        <v>124</v>
      </c>
      <c r="D1057" s="10">
        <v>45748</v>
      </c>
      <c r="E1057" t="s">
        <v>2606</v>
      </c>
      <c r="F1057" s="11" t="s">
        <v>2605</v>
      </c>
      <c r="G1057" s="8">
        <v>0</v>
      </c>
      <c r="H1057" s="8">
        <v>122.43</v>
      </c>
      <c r="I1057" s="8">
        <f t="shared" si="54"/>
        <v>0</v>
      </c>
      <c r="J1057" s="12"/>
    </row>
    <row r="1058" spans="1:10" x14ac:dyDescent="0.25">
      <c r="C1058" s="9"/>
      <c r="D1058" s="10">
        <v>45762</v>
      </c>
      <c r="E1058" t="s">
        <v>2607</v>
      </c>
      <c r="F1058" s="11" t="s">
        <v>42</v>
      </c>
      <c r="G1058" s="8">
        <v>0</v>
      </c>
      <c r="H1058" s="8">
        <v>230.35</v>
      </c>
      <c r="I1058" s="8">
        <f t="shared" si="54"/>
        <v>-230.35</v>
      </c>
      <c r="J1058" s="12"/>
    </row>
    <row r="1059" spans="1:10" x14ac:dyDescent="0.25">
      <c r="E1059" s="4" t="s">
        <v>20</v>
      </c>
      <c r="G1059" s="8">
        <f>SUM(G1044:G1058)</f>
        <v>1594.09</v>
      </c>
      <c r="H1059" s="8">
        <f>SUM(H1044:H1058)</f>
        <v>1824.4399999999998</v>
      </c>
      <c r="I1059" s="8">
        <f>G1059-H1059</f>
        <v>-230.34999999999991</v>
      </c>
    </row>
    <row r="1061" spans="1:10" x14ac:dyDescent="0.25">
      <c r="A1061" s="5">
        <v>4300740</v>
      </c>
      <c r="B1061" s="6" t="s">
        <v>2608</v>
      </c>
      <c r="C1061" s="7"/>
      <c r="D1061" s="7"/>
      <c r="E1061" s="7"/>
      <c r="F1061" s="7"/>
      <c r="G1061" s="7"/>
      <c r="H1061" s="7"/>
      <c r="I1061" s="7"/>
      <c r="J1061" s="7"/>
    </row>
    <row r="1062" spans="1:10" x14ac:dyDescent="0.25">
      <c r="E1062" s="4" t="s">
        <v>10</v>
      </c>
      <c r="G1062" s="8">
        <v>47.43</v>
      </c>
      <c r="H1062" s="8">
        <v>0</v>
      </c>
      <c r="I1062" s="8">
        <f>G1062-H1062</f>
        <v>47.43</v>
      </c>
    </row>
    <row r="1063" spans="1:10" x14ac:dyDescent="0.25">
      <c r="C1063" s="9"/>
      <c r="D1063" s="10">
        <v>45659</v>
      </c>
      <c r="E1063" t="s">
        <v>1524</v>
      </c>
      <c r="F1063" s="11" t="s">
        <v>2609</v>
      </c>
      <c r="G1063" s="8">
        <v>0</v>
      </c>
      <c r="H1063" s="8">
        <v>47.43</v>
      </c>
      <c r="I1063" s="8">
        <f t="shared" ref="I1063:I1074" si="55">G1063-H1063+I1062</f>
        <v>0</v>
      </c>
      <c r="J1063" s="12"/>
    </row>
    <row r="1064" spans="1:10" x14ac:dyDescent="0.25">
      <c r="C1064" s="9"/>
      <c r="D1064" s="10">
        <v>45671</v>
      </c>
      <c r="E1064" t="s">
        <v>2610</v>
      </c>
      <c r="F1064" s="11" t="s">
        <v>2611</v>
      </c>
      <c r="G1064" s="8">
        <v>786.55</v>
      </c>
      <c r="H1064" s="8">
        <v>0</v>
      </c>
      <c r="I1064" s="8">
        <f t="shared" si="55"/>
        <v>786.55</v>
      </c>
      <c r="J1064" s="12"/>
    </row>
    <row r="1065" spans="1:10" x14ac:dyDescent="0.25">
      <c r="C1065" s="9"/>
      <c r="D1065" s="10">
        <v>45672</v>
      </c>
      <c r="E1065" t="s">
        <v>1524</v>
      </c>
      <c r="F1065" s="11" t="s">
        <v>2611</v>
      </c>
      <c r="G1065" s="8">
        <v>0</v>
      </c>
      <c r="H1065" s="8">
        <v>786.55</v>
      </c>
      <c r="I1065" s="8">
        <f t="shared" si="55"/>
        <v>0</v>
      </c>
      <c r="J1065" s="12"/>
    </row>
    <row r="1066" spans="1:10" x14ac:dyDescent="0.25">
      <c r="C1066" s="9"/>
      <c r="D1066" s="10">
        <v>45688</v>
      </c>
      <c r="E1066" t="s">
        <v>2612</v>
      </c>
      <c r="F1066" s="11" t="s">
        <v>2613</v>
      </c>
      <c r="G1066" s="8">
        <v>257.05</v>
      </c>
      <c r="H1066" s="8">
        <v>0</v>
      </c>
      <c r="I1066" s="8">
        <f t="shared" si="55"/>
        <v>257.05</v>
      </c>
      <c r="J1066" s="12"/>
    </row>
    <row r="1067" spans="1:10" x14ac:dyDescent="0.25">
      <c r="C1067" s="9"/>
      <c r="D1067" s="10">
        <v>45691</v>
      </c>
      <c r="E1067" t="s">
        <v>1524</v>
      </c>
      <c r="F1067" s="11" t="s">
        <v>2613</v>
      </c>
      <c r="G1067" s="8">
        <v>0</v>
      </c>
      <c r="H1067" s="8">
        <v>257.05</v>
      </c>
      <c r="I1067" s="8">
        <f t="shared" si="55"/>
        <v>0</v>
      </c>
      <c r="J1067" s="12"/>
    </row>
    <row r="1068" spans="1:10" x14ac:dyDescent="0.25">
      <c r="C1068" s="9"/>
      <c r="D1068" s="10">
        <v>45702</v>
      </c>
      <c r="E1068" t="s">
        <v>2614</v>
      </c>
      <c r="F1068" s="11" t="s">
        <v>2615</v>
      </c>
      <c r="G1068" s="8">
        <v>265.58</v>
      </c>
      <c r="H1068" s="8">
        <v>0</v>
      </c>
      <c r="I1068" s="8">
        <f t="shared" si="55"/>
        <v>265.58</v>
      </c>
      <c r="J1068" s="12"/>
    </row>
    <row r="1069" spans="1:10" x14ac:dyDescent="0.25">
      <c r="C1069" s="9"/>
      <c r="D1069" s="10">
        <v>45705</v>
      </c>
      <c r="E1069" t="s">
        <v>1524</v>
      </c>
      <c r="F1069" s="11" t="s">
        <v>2615</v>
      </c>
      <c r="G1069" s="8">
        <v>0</v>
      </c>
      <c r="H1069" s="8">
        <v>265.58</v>
      </c>
      <c r="I1069" s="8">
        <f t="shared" si="55"/>
        <v>0</v>
      </c>
      <c r="J1069" s="12"/>
    </row>
    <row r="1070" spans="1:10" x14ac:dyDescent="0.25">
      <c r="C1070" s="9"/>
      <c r="D1070" s="10">
        <v>45716</v>
      </c>
      <c r="E1070" t="s">
        <v>2616</v>
      </c>
      <c r="F1070" s="11" t="s">
        <v>2617</v>
      </c>
      <c r="G1070" s="8">
        <v>467.23</v>
      </c>
      <c r="H1070" s="8">
        <v>0</v>
      </c>
      <c r="I1070" s="8">
        <f t="shared" si="55"/>
        <v>467.23</v>
      </c>
      <c r="J1070" s="12"/>
    </row>
    <row r="1071" spans="1:10" x14ac:dyDescent="0.25">
      <c r="C1071" s="9" t="s">
        <v>124</v>
      </c>
      <c r="D1071" s="10">
        <v>45719</v>
      </c>
      <c r="E1071" t="s">
        <v>2618</v>
      </c>
      <c r="F1071" s="11" t="s">
        <v>2617</v>
      </c>
      <c r="G1071" s="8">
        <v>0</v>
      </c>
      <c r="H1071" s="8">
        <v>467.23</v>
      </c>
      <c r="I1071" s="8">
        <f t="shared" si="55"/>
        <v>0</v>
      </c>
      <c r="J1071" s="12"/>
    </row>
    <row r="1072" spans="1:10" x14ac:dyDescent="0.25">
      <c r="C1072" s="9"/>
      <c r="D1072" s="10">
        <v>45730</v>
      </c>
      <c r="E1072" t="s">
        <v>2619</v>
      </c>
      <c r="F1072" s="11" t="s">
        <v>2620</v>
      </c>
      <c r="G1072" s="8">
        <v>185.37</v>
      </c>
      <c r="H1072" s="8">
        <v>0</v>
      </c>
      <c r="I1072" s="8">
        <f t="shared" si="55"/>
        <v>185.37</v>
      </c>
      <c r="J1072" s="12"/>
    </row>
    <row r="1073" spans="1:10" x14ac:dyDescent="0.25">
      <c r="C1073" s="9"/>
      <c r="D1073" s="10">
        <v>45733</v>
      </c>
      <c r="E1073" t="s">
        <v>2621</v>
      </c>
      <c r="F1073" s="11" t="s">
        <v>42</v>
      </c>
      <c r="G1073" s="8">
        <v>0</v>
      </c>
      <c r="H1073" s="8">
        <v>185.37</v>
      </c>
      <c r="I1073" s="8">
        <f t="shared" si="55"/>
        <v>0</v>
      </c>
      <c r="J1073" s="12"/>
    </row>
    <row r="1074" spans="1:10" x14ac:dyDescent="0.25">
      <c r="C1074" s="9"/>
      <c r="D1074" s="10">
        <v>45762</v>
      </c>
      <c r="E1074" t="s">
        <v>2622</v>
      </c>
      <c r="F1074" s="11" t="s">
        <v>42</v>
      </c>
      <c r="G1074" s="8">
        <v>0</v>
      </c>
      <c r="H1074" s="8">
        <v>311.14999999999998</v>
      </c>
      <c r="I1074" s="8">
        <f t="shared" si="55"/>
        <v>-311.14999999999998</v>
      </c>
      <c r="J1074" s="12"/>
    </row>
    <row r="1075" spans="1:10" x14ac:dyDescent="0.25">
      <c r="E1075" s="4" t="s">
        <v>20</v>
      </c>
      <c r="G1075" s="8">
        <f>SUM(G1062:G1074)</f>
        <v>2009.21</v>
      </c>
      <c r="H1075" s="8">
        <f>SUM(H1062:H1074)</f>
        <v>2320.36</v>
      </c>
      <c r="I1075" s="8">
        <f>G1075-H1075</f>
        <v>-311.15000000000009</v>
      </c>
    </row>
    <row r="1077" spans="1:10" x14ac:dyDescent="0.25">
      <c r="A1077" s="5">
        <v>4300790</v>
      </c>
      <c r="B1077" s="6" t="s">
        <v>2623</v>
      </c>
      <c r="C1077" s="7"/>
      <c r="D1077" s="7"/>
      <c r="E1077" s="7"/>
      <c r="F1077" s="7"/>
      <c r="G1077" s="7"/>
      <c r="H1077" s="7"/>
      <c r="I1077" s="7"/>
      <c r="J1077" s="7"/>
    </row>
    <row r="1078" spans="1:10" x14ac:dyDescent="0.25">
      <c r="E1078" s="4" t="s">
        <v>10</v>
      </c>
      <c r="G1078" s="8">
        <v>27.45</v>
      </c>
      <c r="H1078" s="8">
        <v>0</v>
      </c>
      <c r="I1078" s="8">
        <f>G1078-H1078</f>
        <v>27.45</v>
      </c>
    </row>
    <row r="1079" spans="1:10" x14ac:dyDescent="0.25">
      <c r="E1079" s="4" t="s">
        <v>20</v>
      </c>
      <c r="G1079" s="8">
        <f>G1078</f>
        <v>27.45</v>
      </c>
      <c r="H1079" s="8">
        <f>H1078</f>
        <v>0</v>
      </c>
      <c r="I1079" s="8">
        <f>G1079-H1079</f>
        <v>27.45</v>
      </c>
    </row>
    <row r="1081" spans="1:10" x14ac:dyDescent="0.25">
      <c r="A1081" s="5">
        <v>4300800</v>
      </c>
      <c r="B1081" s="6" t="s">
        <v>2624</v>
      </c>
      <c r="C1081" s="7"/>
      <c r="D1081" s="7"/>
      <c r="E1081" s="7"/>
      <c r="F1081" s="7"/>
      <c r="G1081" s="7"/>
      <c r="H1081" s="7"/>
      <c r="I1081" s="7"/>
      <c r="J1081" s="7"/>
    </row>
    <row r="1082" spans="1:10" x14ac:dyDescent="0.25">
      <c r="E1082" s="4" t="s">
        <v>10</v>
      </c>
      <c r="G1082" s="8">
        <v>265.02</v>
      </c>
      <c r="H1082" s="8">
        <v>0</v>
      </c>
      <c r="I1082" s="8">
        <f>G1082-H1082</f>
        <v>265.02</v>
      </c>
    </row>
    <row r="1083" spans="1:10" x14ac:dyDescent="0.25">
      <c r="C1083" s="9"/>
      <c r="D1083" s="10">
        <v>45671</v>
      </c>
      <c r="E1083" t="s">
        <v>2625</v>
      </c>
      <c r="F1083" s="11" t="s">
        <v>2626</v>
      </c>
      <c r="G1083" s="8">
        <v>75.12</v>
      </c>
      <c r="H1083" s="8">
        <v>0</v>
      </c>
      <c r="I1083" s="8">
        <f>G1083-H1083+I1082</f>
        <v>340.14</v>
      </c>
      <c r="J1083" s="12"/>
    </row>
    <row r="1084" spans="1:10" x14ac:dyDescent="0.25">
      <c r="C1084" s="9"/>
      <c r="D1084" s="10">
        <v>45716</v>
      </c>
      <c r="E1084" t="s">
        <v>2627</v>
      </c>
      <c r="F1084" s="11" t="s">
        <v>2628</v>
      </c>
      <c r="G1084" s="8">
        <v>120.6</v>
      </c>
      <c r="H1084" s="8">
        <v>0</v>
      </c>
      <c r="I1084" s="8">
        <f>G1084-H1084+I1083</f>
        <v>460.74</v>
      </c>
      <c r="J1084" s="12"/>
    </row>
    <row r="1085" spans="1:10" x14ac:dyDescent="0.25">
      <c r="E1085" s="4" t="s">
        <v>20</v>
      </c>
      <c r="G1085" s="8">
        <f>SUM(G1082:G1084)</f>
        <v>460.74</v>
      </c>
      <c r="H1085" s="8">
        <f>SUM(H1082:H1084)</f>
        <v>0</v>
      </c>
      <c r="I1085" s="8">
        <f>G1085-H1085</f>
        <v>460.74</v>
      </c>
    </row>
    <row r="1087" spans="1:10" x14ac:dyDescent="0.25">
      <c r="A1087" s="5">
        <v>4300801</v>
      </c>
      <c r="B1087" s="6" t="s">
        <v>2629</v>
      </c>
      <c r="C1087" s="7"/>
      <c r="D1087" s="7"/>
      <c r="E1087" s="7"/>
      <c r="F1087" s="7"/>
      <c r="G1087" s="7"/>
      <c r="H1087" s="7"/>
      <c r="I1087" s="7"/>
      <c r="J1087" s="7"/>
    </row>
    <row r="1088" spans="1:10" x14ac:dyDescent="0.25">
      <c r="E1088" s="4" t="s">
        <v>10</v>
      </c>
      <c r="G1088" s="8">
        <v>0</v>
      </c>
      <c r="H1088" s="8">
        <v>265.02</v>
      </c>
      <c r="I1088" s="8">
        <f>G1088-H1088</f>
        <v>-265.02</v>
      </c>
    </row>
    <row r="1089" spans="1:10" x14ac:dyDescent="0.25">
      <c r="C1089" s="9"/>
      <c r="D1089" s="10">
        <v>45672</v>
      </c>
      <c r="E1089" t="s">
        <v>1524</v>
      </c>
      <c r="F1089" s="11" t="s">
        <v>2626</v>
      </c>
      <c r="G1089" s="8">
        <v>0</v>
      </c>
      <c r="H1089" s="8">
        <v>75.12</v>
      </c>
      <c r="I1089" s="8">
        <f>G1089-H1089+I1088</f>
        <v>-340.14</v>
      </c>
      <c r="J1089" s="12"/>
    </row>
    <row r="1090" spans="1:10" x14ac:dyDescent="0.25">
      <c r="C1090" s="9"/>
      <c r="D1090" s="10">
        <v>45702</v>
      </c>
      <c r="E1090" t="s">
        <v>2630</v>
      </c>
      <c r="F1090" s="11" t="s">
        <v>2631</v>
      </c>
      <c r="G1090" s="8">
        <v>260.63</v>
      </c>
      <c r="H1090" s="8">
        <v>0</v>
      </c>
      <c r="I1090" s="8">
        <f>G1090-H1090+I1089</f>
        <v>-79.509999999999991</v>
      </c>
      <c r="J1090" s="12"/>
    </row>
    <row r="1091" spans="1:10" x14ac:dyDescent="0.25">
      <c r="C1091" s="9"/>
      <c r="D1091" s="10">
        <v>45705</v>
      </c>
      <c r="E1091" t="s">
        <v>2632</v>
      </c>
      <c r="F1091" s="11" t="s">
        <v>42</v>
      </c>
      <c r="G1091" s="8">
        <v>0</v>
      </c>
      <c r="H1091" s="8">
        <v>260.63</v>
      </c>
      <c r="I1091" s="8">
        <f>G1091-H1091+I1090</f>
        <v>-340.14</v>
      </c>
      <c r="J1091" s="12"/>
    </row>
    <row r="1092" spans="1:10" x14ac:dyDescent="0.25">
      <c r="C1092" s="9"/>
      <c r="D1092" s="10">
        <v>45720</v>
      </c>
      <c r="E1092" t="s">
        <v>2633</v>
      </c>
      <c r="F1092" s="11" t="s">
        <v>42</v>
      </c>
      <c r="G1092" s="8">
        <v>0</v>
      </c>
      <c r="H1092" s="8">
        <v>120.6</v>
      </c>
      <c r="I1092" s="8">
        <f>G1092-H1092+I1091</f>
        <v>-460.74</v>
      </c>
      <c r="J1092" s="12"/>
    </row>
    <row r="1093" spans="1:10" x14ac:dyDescent="0.25">
      <c r="E1093" s="4" t="s">
        <v>20</v>
      </c>
      <c r="G1093" s="8">
        <f>SUM(G1088:G1092)</f>
        <v>260.63</v>
      </c>
      <c r="H1093" s="8">
        <f>SUM(H1088:H1092)</f>
        <v>721.37</v>
      </c>
      <c r="I1093" s="8">
        <f>G1093-H1093</f>
        <v>-460.74</v>
      </c>
    </row>
    <row r="1095" spans="1:10" x14ac:dyDescent="0.25">
      <c r="A1095" s="5">
        <v>4300835</v>
      </c>
      <c r="B1095" s="6" t="s">
        <v>2634</v>
      </c>
      <c r="C1095" s="7"/>
      <c r="D1095" s="7"/>
      <c r="E1095" s="7"/>
      <c r="F1095" s="7"/>
      <c r="G1095" s="7"/>
      <c r="H1095" s="7"/>
      <c r="I1095" s="7"/>
      <c r="J1095" s="7"/>
    </row>
    <row r="1096" spans="1:10" x14ac:dyDescent="0.25">
      <c r="C1096" s="9"/>
      <c r="D1096" s="10">
        <v>45688</v>
      </c>
      <c r="E1096" t="s">
        <v>2635</v>
      </c>
      <c r="F1096" s="11" t="s">
        <v>2636</v>
      </c>
      <c r="G1096" s="8">
        <v>160.19</v>
      </c>
      <c r="H1096" s="8">
        <v>0</v>
      </c>
      <c r="I1096" s="8">
        <f>G1096-H1096</f>
        <v>160.19</v>
      </c>
      <c r="J1096" s="12"/>
    </row>
    <row r="1097" spans="1:10" x14ac:dyDescent="0.25">
      <c r="C1097" s="9" t="s">
        <v>124</v>
      </c>
      <c r="D1097" s="10">
        <v>45691</v>
      </c>
      <c r="E1097" t="s">
        <v>2637</v>
      </c>
      <c r="F1097" s="11" t="s">
        <v>2636</v>
      </c>
      <c r="G1097" s="8">
        <v>0</v>
      </c>
      <c r="H1097" s="8">
        <v>160.19</v>
      </c>
      <c r="I1097" s="8">
        <f>G1097-H1097+I1096</f>
        <v>0</v>
      </c>
      <c r="J1097" s="12"/>
    </row>
    <row r="1098" spans="1:10" x14ac:dyDescent="0.25">
      <c r="C1098" s="9"/>
      <c r="D1098" s="10">
        <v>45702</v>
      </c>
      <c r="E1098" t="s">
        <v>2638</v>
      </c>
      <c r="F1098" s="11" t="s">
        <v>2639</v>
      </c>
      <c r="G1098" s="8">
        <v>52.65</v>
      </c>
      <c r="H1098" s="8">
        <v>0</v>
      </c>
      <c r="I1098" s="8">
        <f>G1098-H1098+I1097</f>
        <v>52.65</v>
      </c>
      <c r="J1098" s="12"/>
    </row>
    <row r="1099" spans="1:10" x14ac:dyDescent="0.25">
      <c r="C1099" s="9"/>
      <c r="D1099" s="10">
        <v>45705</v>
      </c>
      <c r="E1099" t="s">
        <v>1524</v>
      </c>
      <c r="F1099" s="11" t="s">
        <v>2639</v>
      </c>
      <c r="G1099" s="8">
        <v>0</v>
      </c>
      <c r="H1099" s="8">
        <v>52.65</v>
      </c>
      <c r="I1099" s="8">
        <f>G1099-H1099+I1098</f>
        <v>0</v>
      </c>
      <c r="J1099" s="12"/>
    </row>
    <row r="1100" spans="1:10" x14ac:dyDescent="0.25">
      <c r="C1100" s="9"/>
      <c r="D1100" s="10">
        <v>45762</v>
      </c>
      <c r="E1100" t="s">
        <v>2640</v>
      </c>
      <c r="F1100" s="11" t="s">
        <v>42</v>
      </c>
      <c r="G1100" s="8">
        <v>0</v>
      </c>
      <c r="H1100" s="8">
        <v>47.55</v>
      </c>
      <c r="I1100" s="8">
        <f>G1100-H1100+I1099</f>
        <v>-47.55</v>
      </c>
      <c r="J1100" s="12"/>
    </row>
    <row r="1101" spans="1:10" x14ac:dyDescent="0.25">
      <c r="E1101" s="4" t="s">
        <v>20</v>
      </c>
      <c r="G1101" s="8">
        <f>SUM(G1096:G1100)</f>
        <v>212.84</v>
      </c>
      <c r="H1101" s="8">
        <f>SUM(H1096:H1100)</f>
        <v>260.39</v>
      </c>
      <c r="I1101" s="8">
        <f>G1101-H1101</f>
        <v>-47.549999999999983</v>
      </c>
    </row>
    <row r="1103" spans="1:10" x14ac:dyDescent="0.25">
      <c r="A1103" s="5">
        <v>4300885</v>
      </c>
      <c r="B1103" s="6" t="s">
        <v>2641</v>
      </c>
      <c r="C1103" s="7"/>
      <c r="D1103" s="7"/>
      <c r="E1103" s="7"/>
      <c r="F1103" s="7"/>
      <c r="G1103" s="7"/>
      <c r="H1103" s="7"/>
      <c r="I1103" s="7"/>
      <c r="J1103" s="7"/>
    </row>
    <row r="1104" spans="1:10" x14ac:dyDescent="0.25">
      <c r="E1104" s="4" t="s">
        <v>10</v>
      </c>
      <c r="G1104" s="8">
        <v>97.94</v>
      </c>
      <c r="H1104" s="8">
        <v>0</v>
      </c>
      <c r="I1104" s="8">
        <f>G1104-H1104</f>
        <v>97.94</v>
      </c>
    </row>
    <row r="1105" spans="1:10" x14ac:dyDescent="0.25">
      <c r="C1105" s="9"/>
      <c r="D1105" s="10">
        <v>45699</v>
      </c>
      <c r="E1105" t="s">
        <v>2642</v>
      </c>
      <c r="F1105" s="11" t="s">
        <v>2643</v>
      </c>
      <c r="G1105" s="8">
        <v>0</v>
      </c>
      <c r="H1105" s="8">
        <v>97.94</v>
      </c>
      <c r="I1105" s="8">
        <f>G1105-H1105+I1104</f>
        <v>0</v>
      </c>
      <c r="J1105" s="12"/>
    </row>
    <row r="1106" spans="1:10" x14ac:dyDescent="0.25">
      <c r="C1106" s="9"/>
      <c r="D1106" s="10">
        <v>45730</v>
      </c>
      <c r="E1106" t="s">
        <v>2644</v>
      </c>
      <c r="F1106" s="11" t="s">
        <v>2645</v>
      </c>
      <c r="G1106" s="8">
        <v>45.68</v>
      </c>
      <c r="H1106" s="8">
        <v>0</v>
      </c>
      <c r="I1106" s="8">
        <f>G1106-H1106+I1105</f>
        <v>45.68</v>
      </c>
      <c r="J1106" s="12"/>
    </row>
    <row r="1107" spans="1:10" x14ac:dyDescent="0.25">
      <c r="C1107" s="9"/>
      <c r="D1107" s="10">
        <v>45747</v>
      </c>
      <c r="E1107" t="s">
        <v>2646</v>
      </c>
      <c r="F1107" s="11" t="s">
        <v>2647</v>
      </c>
      <c r="G1107" s="8">
        <v>47.86</v>
      </c>
      <c r="H1107" s="8">
        <v>0</v>
      </c>
      <c r="I1107" s="8">
        <f>G1107-H1107+I1106</f>
        <v>93.539999999999992</v>
      </c>
      <c r="J1107" s="12"/>
    </row>
    <row r="1108" spans="1:10" x14ac:dyDescent="0.25">
      <c r="E1108" s="4" t="s">
        <v>20</v>
      </c>
      <c r="G1108" s="8">
        <f>SUM(G1104:G1107)</f>
        <v>191.48000000000002</v>
      </c>
      <c r="H1108" s="8">
        <f>SUM(H1104:H1107)</f>
        <v>97.94</v>
      </c>
      <c r="I1108" s="8">
        <f>G1108-H1108</f>
        <v>93.54000000000002</v>
      </c>
    </row>
    <row r="1110" spans="1:10" x14ac:dyDescent="0.25">
      <c r="A1110" s="5">
        <v>4300895</v>
      </c>
      <c r="B1110" s="6" t="s">
        <v>2648</v>
      </c>
      <c r="C1110" s="7"/>
      <c r="D1110" s="7"/>
      <c r="E1110" s="7"/>
      <c r="F1110" s="7"/>
      <c r="G1110" s="7"/>
      <c r="H1110" s="7"/>
      <c r="I1110" s="7"/>
      <c r="J1110" s="7"/>
    </row>
    <row r="1111" spans="1:10" x14ac:dyDescent="0.25">
      <c r="E1111" s="4" t="s">
        <v>10</v>
      </c>
      <c r="G1111" s="8">
        <v>195.52</v>
      </c>
      <c r="H1111" s="8">
        <v>0</v>
      </c>
      <c r="I1111" s="8">
        <f>G1111-H1111</f>
        <v>195.52</v>
      </c>
    </row>
    <row r="1112" spans="1:10" x14ac:dyDescent="0.25">
      <c r="C1112" s="9"/>
      <c r="D1112" s="10">
        <v>45671</v>
      </c>
      <c r="E1112" t="s">
        <v>2649</v>
      </c>
      <c r="F1112" s="11" t="s">
        <v>2650</v>
      </c>
      <c r="G1112" s="8">
        <v>55.53</v>
      </c>
      <c r="H1112" s="8">
        <v>0</v>
      </c>
      <c r="I1112" s="8">
        <f t="shared" ref="I1112:I1117" si="56">G1112-H1112+I1111</f>
        <v>251.05</v>
      </c>
      <c r="J1112" s="12"/>
    </row>
    <row r="1113" spans="1:10" x14ac:dyDescent="0.25">
      <c r="C1113" s="9"/>
      <c r="D1113" s="10">
        <v>45702</v>
      </c>
      <c r="E1113" t="s">
        <v>2651</v>
      </c>
      <c r="F1113" s="11" t="s">
        <v>2652</v>
      </c>
      <c r="G1113" s="8">
        <v>60.8</v>
      </c>
      <c r="H1113" s="8">
        <v>0</v>
      </c>
      <c r="I1113" s="8">
        <f t="shared" si="56"/>
        <v>311.85000000000002</v>
      </c>
      <c r="J1113" s="12"/>
    </row>
    <row r="1114" spans="1:10" x14ac:dyDescent="0.25">
      <c r="C1114" s="9"/>
      <c r="D1114" s="10">
        <v>45719</v>
      </c>
      <c r="E1114" t="s">
        <v>2653</v>
      </c>
      <c r="F1114" s="11" t="s">
        <v>42</v>
      </c>
      <c r="G1114" s="8">
        <v>0</v>
      </c>
      <c r="H1114" s="8">
        <v>251.16</v>
      </c>
      <c r="I1114" s="8">
        <f t="shared" si="56"/>
        <v>60.690000000000026</v>
      </c>
      <c r="J1114" s="12"/>
    </row>
    <row r="1115" spans="1:10" x14ac:dyDescent="0.25">
      <c r="C1115" s="9"/>
      <c r="D1115" s="10">
        <v>45730</v>
      </c>
      <c r="E1115" t="s">
        <v>2654</v>
      </c>
      <c r="F1115" s="11" t="s">
        <v>2655</v>
      </c>
      <c r="G1115" s="8">
        <v>150.25</v>
      </c>
      <c r="H1115" s="8">
        <v>0</v>
      </c>
      <c r="I1115" s="8">
        <f t="shared" si="56"/>
        <v>210.94000000000003</v>
      </c>
      <c r="J1115" s="12"/>
    </row>
    <row r="1116" spans="1:10" x14ac:dyDescent="0.25">
      <c r="C1116" s="9"/>
      <c r="D1116" s="10">
        <v>45747</v>
      </c>
      <c r="E1116" t="s">
        <v>2656</v>
      </c>
      <c r="F1116" s="11" t="s">
        <v>2657</v>
      </c>
      <c r="G1116" s="8">
        <v>581.53</v>
      </c>
      <c r="H1116" s="8">
        <v>0</v>
      </c>
      <c r="I1116" s="8">
        <f t="shared" si="56"/>
        <v>792.47</v>
      </c>
      <c r="J1116" s="12"/>
    </row>
    <row r="1117" spans="1:10" x14ac:dyDescent="0.25">
      <c r="C1117" s="9"/>
      <c r="D1117" s="10">
        <v>45754</v>
      </c>
      <c r="E1117" t="s">
        <v>1524</v>
      </c>
      <c r="F1117" s="11" t="s">
        <v>2652</v>
      </c>
      <c r="G1117" s="8">
        <v>0</v>
      </c>
      <c r="H1117" s="8">
        <v>60.8</v>
      </c>
      <c r="I1117" s="8">
        <f t="shared" si="56"/>
        <v>731.67000000000007</v>
      </c>
      <c r="J1117" s="12"/>
    </row>
    <row r="1118" spans="1:10" x14ac:dyDescent="0.25">
      <c r="E1118" s="4" t="s">
        <v>20</v>
      </c>
      <c r="G1118" s="8">
        <f>SUM(G1111:G1117)</f>
        <v>1043.6300000000001</v>
      </c>
      <c r="H1118" s="8">
        <f>SUM(H1111:H1117)</f>
        <v>311.95999999999998</v>
      </c>
      <c r="I1118" s="8">
        <f>G1118-H1118</f>
        <v>731.67000000000007</v>
      </c>
    </row>
    <row r="1120" spans="1:10" x14ac:dyDescent="0.25">
      <c r="A1120" s="5">
        <v>4300900</v>
      </c>
      <c r="B1120" s="6" t="s">
        <v>2658</v>
      </c>
      <c r="C1120" s="7"/>
      <c r="D1120" s="7"/>
      <c r="E1120" s="7"/>
      <c r="F1120" s="7"/>
      <c r="G1120" s="7"/>
      <c r="H1120" s="7"/>
      <c r="I1120" s="7"/>
      <c r="J1120" s="7"/>
    </row>
    <row r="1121" spans="3:10" x14ac:dyDescent="0.25">
      <c r="E1121" s="4" t="s">
        <v>10</v>
      </c>
      <c r="G1121" s="8">
        <v>91.48</v>
      </c>
      <c r="H1121" s="8">
        <v>0</v>
      </c>
      <c r="I1121" s="8">
        <f>G1121-H1121</f>
        <v>91.48</v>
      </c>
    </row>
    <row r="1122" spans="3:10" x14ac:dyDescent="0.25">
      <c r="C1122" s="9"/>
      <c r="D1122" s="10">
        <v>45660</v>
      </c>
      <c r="E1122" t="s">
        <v>1524</v>
      </c>
      <c r="F1122" s="11" t="s">
        <v>2659</v>
      </c>
      <c r="G1122" s="8">
        <v>0</v>
      </c>
      <c r="H1122" s="8">
        <v>91.48</v>
      </c>
      <c r="I1122" s="8">
        <f t="shared" ref="I1122:I1135" si="57">G1122-H1122+I1121</f>
        <v>0</v>
      </c>
      <c r="J1122" s="12"/>
    </row>
    <row r="1123" spans="3:10" x14ac:dyDescent="0.25">
      <c r="C1123" s="9"/>
      <c r="D1123" s="10">
        <v>45671</v>
      </c>
      <c r="E1123" t="s">
        <v>2660</v>
      </c>
      <c r="F1123" s="11" t="s">
        <v>2661</v>
      </c>
      <c r="G1123" s="8">
        <v>77.319999999999993</v>
      </c>
      <c r="H1123" s="8">
        <v>0</v>
      </c>
      <c r="I1123" s="8">
        <f t="shared" si="57"/>
        <v>77.319999999999993</v>
      </c>
      <c r="J1123" s="12"/>
    </row>
    <row r="1124" spans="3:10" x14ac:dyDescent="0.25">
      <c r="C1124" s="9"/>
      <c r="D1124" s="10">
        <v>45672</v>
      </c>
      <c r="E1124" t="s">
        <v>1524</v>
      </c>
      <c r="F1124" s="11" t="s">
        <v>2661</v>
      </c>
      <c r="G1124" s="8">
        <v>0</v>
      </c>
      <c r="H1124" s="8">
        <v>77.319999999999993</v>
      </c>
      <c r="I1124" s="8">
        <f t="shared" si="57"/>
        <v>0</v>
      </c>
      <c r="J1124" s="12"/>
    </row>
    <row r="1125" spans="3:10" x14ac:dyDescent="0.25">
      <c r="C1125" s="9"/>
      <c r="D1125" s="10">
        <v>45688</v>
      </c>
      <c r="E1125" t="s">
        <v>2662</v>
      </c>
      <c r="F1125" s="11" t="s">
        <v>2663</v>
      </c>
      <c r="G1125" s="8">
        <v>208.18</v>
      </c>
      <c r="H1125" s="8">
        <v>0</v>
      </c>
      <c r="I1125" s="8">
        <f t="shared" si="57"/>
        <v>208.18</v>
      </c>
      <c r="J1125" s="12"/>
    </row>
    <row r="1126" spans="3:10" x14ac:dyDescent="0.25">
      <c r="C1126" s="9" t="s">
        <v>124</v>
      </c>
      <c r="D1126" s="10">
        <v>45691</v>
      </c>
      <c r="E1126" t="s">
        <v>2664</v>
      </c>
      <c r="F1126" s="11" t="s">
        <v>2663</v>
      </c>
      <c r="G1126" s="8">
        <v>0</v>
      </c>
      <c r="H1126" s="8">
        <v>208.18</v>
      </c>
      <c r="I1126" s="8">
        <f t="shared" si="57"/>
        <v>0</v>
      </c>
      <c r="J1126" s="12"/>
    </row>
    <row r="1127" spans="3:10" x14ac:dyDescent="0.25">
      <c r="C1127" s="9"/>
      <c r="D1127" s="10">
        <v>45702</v>
      </c>
      <c r="E1127" t="s">
        <v>2665</v>
      </c>
      <c r="F1127" s="11" t="s">
        <v>2666</v>
      </c>
      <c r="G1127" s="8">
        <v>340.49</v>
      </c>
      <c r="H1127" s="8">
        <v>0</v>
      </c>
      <c r="I1127" s="8">
        <f t="shared" si="57"/>
        <v>340.49</v>
      </c>
      <c r="J1127" s="12"/>
    </row>
    <row r="1128" spans="3:10" x14ac:dyDescent="0.25">
      <c r="C1128" s="9"/>
      <c r="D1128" s="10">
        <v>45705</v>
      </c>
      <c r="E1128" t="s">
        <v>1524</v>
      </c>
      <c r="F1128" s="11" t="s">
        <v>2666</v>
      </c>
      <c r="G1128" s="8">
        <v>0</v>
      </c>
      <c r="H1128" s="8">
        <v>340.49</v>
      </c>
      <c r="I1128" s="8">
        <f t="shared" si="57"/>
        <v>0</v>
      </c>
      <c r="J1128" s="12"/>
    </row>
    <row r="1129" spans="3:10" x14ac:dyDescent="0.25">
      <c r="C1129" s="9"/>
      <c r="D1129" s="10">
        <v>45716</v>
      </c>
      <c r="E1129" t="s">
        <v>2667</v>
      </c>
      <c r="F1129" s="11" t="s">
        <v>2668</v>
      </c>
      <c r="G1129" s="8">
        <v>240.16</v>
      </c>
      <c r="H1129" s="8">
        <v>0</v>
      </c>
      <c r="I1129" s="8">
        <f t="shared" si="57"/>
        <v>240.16</v>
      </c>
      <c r="J1129" s="12"/>
    </row>
    <row r="1130" spans="3:10" x14ac:dyDescent="0.25">
      <c r="C1130" s="9"/>
      <c r="D1130" s="10">
        <v>45720</v>
      </c>
      <c r="E1130" t="s">
        <v>1524</v>
      </c>
      <c r="F1130" s="11" t="s">
        <v>2668</v>
      </c>
      <c r="G1130" s="8">
        <v>0</v>
      </c>
      <c r="H1130" s="8">
        <v>240.16</v>
      </c>
      <c r="I1130" s="8">
        <f t="shared" si="57"/>
        <v>0</v>
      </c>
      <c r="J1130" s="12"/>
    </row>
    <row r="1131" spans="3:10" x14ac:dyDescent="0.25">
      <c r="C1131" s="9"/>
      <c r="D1131" s="10">
        <v>45730</v>
      </c>
      <c r="E1131" t="s">
        <v>2669</v>
      </c>
      <c r="F1131" s="11" t="s">
        <v>2670</v>
      </c>
      <c r="G1131" s="8">
        <v>103.1</v>
      </c>
      <c r="H1131" s="8">
        <v>0</v>
      </c>
      <c r="I1131" s="8">
        <f t="shared" si="57"/>
        <v>103.1</v>
      </c>
      <c r="J1131" s="12"/>
    </row>
    <row r="1132" spans="3:10" x14ac:dyDescent="0.25">
      <c r="C1132" s="9"/>
      <c r="D1132" s="10">
        <v>45733</v>
      </c>
      <c r="E1132" t="s">
        <v>1524</v>
      </c>
      <c r="F1132" s="11" t="s">
        <v>2670</v>
      </c>
      <c r="G1132" s="8">
        <v>0</v>
      </c>
      <c r="H1132" s="8">
        <v>103.1</v>
      </c>
      <c r="I1132" s="8">
        <f t="shared" si="57"/>
        <v>0</v>
      </c>
      <c r="J1132" s="12"/>
    </row>
    <row r="1133" spans="3:10" x14ac:dyDescent="0.25">
      <c r="C1133" s="9"/>
      <c r="D1133" s="10">
        <v>45747</v>
      </c>
      <c r="E1133" t="s">
        <v>2671</v>
      </c>
      <c r="F1133" s="11" t="s">
        <v>2672</v>
      </c>
      <c r="G1133" s="8">
        <v>236.3</v>
      </c>
      <c r="H1133" s="8">
        <v>0</v>
      </c>
      <c r="I1133" s="8">
        <f t="shared" si="57"/>
        <v>236.3</v>
      </c>
      <c r="J1133" s="12"/>
    </row>
    <row r="1134" spans="3:10" x14ac:dyDescent="0.25">
      <c r="C1134" s="9"/>
      <c r="D1134" s="10">
        <v>45748</v>
      </c>
      <c r="E1134" t="s">
        <v>1524</v>
      </c>
      <c r="F1134" s="11" t="s">
        <v>2672</v>
      </c>
      <c r="G1134" s="8">
        <v>0</v>
      </c>
      <c r="H1134" s="8">
        <v>236.3</v>
      </c>
      <c r="I1134" s="8">
        <f t="shared" si="57"/>
        <v>0</v>
      </c>
      <c r="J1134" s="12"/>
    </row>
    <row r="1135" spans="3:10" x14ac:dyDescent="0.25">
      <c r="C1135" s="9"/>
      <c r="D1135" s="10">
        <v>45762</v>
      </c>
      <c r="E1135" t="s">
        <v>2673</v>
      </c>
      <c r="F1135" s="11" t="s">
        <v>42</v>
      </c>
      <c r="G1135" s="8">
        <v>0</v>
      </c>
      <c r="H1135" s="8">
        <v>199.65</v>
      </c>
      <c r="I1135" s="8">
        <f t="shared" si="57"/>
        <v>-199.65</v>
      </c>
      <c r="J1135" s="12"/>
    </row>
    <row r="1136" spans="3:10" x14ac:dyDescent="0.25">
      <c r="E1136" s="4" t="s">
        <v>20</v>
      </c>
      <c r="G1136" s="8">
        <f>SUM(G1121:G1135)</f>
        <v>1297.03</v>
      </c>
      <c r="H1136" s="8">
        <f>SUM(H1121:H1135)</f>
        <v>1496.68</v>
      </c>
      <c r="I1136" s="8">
        <f>G1136-H1136</f>
        <v>-199.65000000000009</v>
      </c>
    </row>
    <row r="1138" spans="1:10" x14ac:dyDescent="0.25">
      <c r="A1138" s="5">
        <v>4300930</v>
      </c>
      <c r="B1138" s="6" t="s">
        <v>808</v>
      </c>
      <c r="C1138" s="7"/>
      <c r="D1138" s="7"/>
      <c r="E1138" s="7"/>
      <c r="F1138" s="7"/>
      <c r="G1138" s="7"/>
      <c r="H1138" s="7"/>
      <c r="I1138" s="7"/>
      <c r="J1138" s="7"/>
    </row>
    <row r="1139" spans="1:10" x14ac:dyDescent="0.25">
      <c r="E1139" s="4" t="s">
        <v>10</v>
      </c>
      <c r="G1139" s="8">
        <v>49.31</v>
      </c>
      <c r="H1139" s="8">
        <v>0</v>
      </c>
      <c r="I1139" s="8">
        <f>G1139-H1139</f>
        <v>49.31</v>
      </c>
    </row>
    <row r="1140" spans="1:10" x14ac:dyDescent="0.25">
      <c r="C1140" s="9"/>
      <c r="D1140" s="10">
        <v>45660</v>
      </c>
      <c r="E1140" t="s">
        <v>1524</v>
      </c>
      <c r="F1140" s="11" t="s">
        <v>2674</v>
      </c>
      <c r="G1140" s="8">
        <v>0</v>
      </c>
      <c r="H1140" s="8">
        <v>49.31</v>
      </c>
      <c r="I1140" s="8">
        <f t="shared" ref="I1140:I1153" si="58">G1140-H1140+I1139</f>
        <v>0</v>
      </c>
      <c r="J1140" s="12"/>
    </row>
    <row r="1141" spans="1:10" x14ac:dyDescent="0.25">
      <c r="C1141" s="9"/>
      <c r="D1141" s="10">
        <v>45671</v>
      </c>
      <c r="E1141" t="s">
        <v>2675</v>
      </c>
      <c r="F1141" s="11" t="s">
        <v>2676</v>
      </c>
      <c r="G1141" s="8">
        <v>158.97</v>
      </c>
      <c r="H1141" s="8">
        <v>0</v>
      </c>
      <c r="I1141" s="8">
        <f t="shared" si="58"/>
        <v>158.97</v>
      </c>
      <c r="J1141" s="12"/>
    </row>
    <row r="1142" spans="1:10" x14ac:dyDescent="0.25">
      <c r="C1142" s="9"/>
      <c r="D1142" s="10">
        <v>45672</v>
      </c>
      <c r="E1142" t="s">
        <v>1524</v>
      </c>
      <c r="F1142" s="11" t="s">
        <v>2676</v>
      </c>
      <c r="G1142" s="8">
        <v>0</v>
      </c>
      <c r="H1142" s="8">
        <v>158.97</v>
      </c>
      <c r="I1142" s="8">
        <f t="shared" si="58"/>
        <v>0</v>
      </c>
      <c r="J1142" s="12"/>
    </row>
    <row r="1143" spans="1:10" x14ac:dyDescent="0.25">
      <c r="C1143" s="9"/>
      <c r="D1143" s="10">
        <v>45688</v>
      </c>
      <c r="E1143" t="s">
        <v>2677</v>
      </c>
      <c r="F1143" s="11" t="s">
        <v>2678</v>
      </c>
      <c r="G1143" s="8">
        <v>148.15</v>
      </c>
      <c r="H1143" s="8">
        <v>0</v>
      </c>
      <c r="I1143" s="8">
        <f t="shared" si="58"/>
        <v>148.15</v>
      </c>
      <c r="J1143" s="12"/>
    </row>
    <row r="1144" spans="1:10" x14ac:dyDescent="0.25">
      <c r="C1144" s="9" t="s">
        <v>124</v>
      </c>
      <c r="D1144" s="10">
        <v>45691</v>
      </c>
      <c r="E1144" t="s">
        <v>2679</v>
      </c>
      <c r="F1144" s="11" t="s">
        <v>2678</v>
      </c>
      <c r="G1144" s="8">
        <v>0</v>
      </c>
      <c r="H1144" s="8">
        <v>148.15</v>
      </c>
      <c r="I1144" s="8">
        <f t="shared" si="58"/>
        <v>0</v>
      </c>
      <c r="J1144" s="12"/>
    </row>
    <row r="1145" spans="1:10" x14ac:dyDescent="0.25">
      <c r="C1145" s="9"/>
      <c r="D1145" s="10">
        <v>45702</v>
      </c>
      <c r="E1145" t="s">
        <v>2680</v>
      </c>
      <c r="F1145" s="11" t="s">
        <v>2681</v>
      </c>
      <c r="G1145" s="8">
        <v>79.87</v>
      </c>
      <c r="H1145" s="8">
        <v>0</v>
      </c>
      <c r="I1145" s="8">
        <f t="shared" si="58"/>
        <v>79.87</v>
      </c>
      <c r="J1145" s="12"/>
    </row>
    <row r="1146" spans="1:10" x14ac:dyDescent="0.25">
      <c r="C1146" s="9"/>
      <c r="D1146" s="10">
        <v>45705</v>
      </c>
      <c r="E1146" t="s">
        <v>1524</v>
      </c>
      <c r="F1146" s="11" t="s">
        <v>2681</v>
      </c>
      <c r="G1146" s="8">
        <v>0</v>
      </c>
      <c r="H1146" s="8">
        <v>79.87</v>
      </c>
      <c r="I1146" s="8">
        <f t="shared" si="58"/>
        <v>0</v>
      </c>
      <c r="J1146" s="12"/>
    </row>
    <row r="1147" spans="1:10" x14ac:dyDescent="0.25">
      <c r="C1147" s="9"/>
      <c r="D1147" s="10">
        <v>45716</v>
      </c>
      <c r="E1147" t="s">
        <v>2682</v>
      </c>
      <c r="F1147" s="11" t="s">
        <v>2683</v>
      </c>
      <c r="G1147" s="8">
        <v>71.33</v>
      </c>
      <c r="H1147" s="8">
        <v>0</v>
      </c>
      <c r="I1147" s="8">
        <f t="shared" si="58"/>
        <v>71.33</v>
      </c>
      <c r="J1147" s="12"/>
    </row>
    <row r="1148" spans="1:10" x14ac:dyDescent="0.25">
      <c r="C1148" s="9"/>
      <c r="D1148" s="10">
        <v>45720</v>
      </c>
      <c r="E1148" t="s">
        <v>1524</v>
      </c>
      <c r="F1148" s="11" t="s">
        <v>2683</v>
      </c>
      <c r="G1148" s="8">
        <v>0</v>
      </c>
      <c r="H1148" s="8">
        <v>71.33</v>
      </c>
      <c r="I1148" s="8">
        <f t="shared" si="58"/>
        <v>0</v>
      </c>
      <c r="J1148" s="12"/>
    </row>
    <row r="1149" spans="1:10" x14ac:dyDescent="0.25">
      <c r="C1149" s="9"/>
      <c r="D1149" s="10">
        <v>45730</v>
      </c>
      <c r="E1149" t="s">
        <v>2684</v>
      </c>
      <c r="F1149" s="11" t="s">
        <v>2685</v>
      </c>
      <c r="G1149" s="8">
        <v>131.33000000000001</v>
      </c>
      <c r="H1149" s="8">
        <v>0</v>
      </c>
      <c r="I1149" s="8">
        <f t="shared" si="58"/>
        <v>131.33000000000001</v>
      </c>
      <c r="J1149" s="12"/>
    </row>
    <row r="1150" spans="1:10" x14ac:dyDescent="0.25">
      <c r="C1150" s="9"/>
      <c r="D1150" s="10">
        <v>45733</v>
      </c>
      <c r="E1150" t="s">
        <v>1524</v>
      </c>
      <c r="F1150" s="11" t="s">
        <v>2685</v>
      </c>
      <c r="G1150" s="8">
        <v>0</v>
      </c>
      <c r="H1150" s="8">
        <v>131.33000000000001</v>
      </c>
      <c r="I1150" s="8">
        <f t="shared" si="58"/>
        <v>0</v>
      </c>
      <c r="J1150" s="12"/>
    </row>
    <row r="1151" spans="1:10" x14ac:dyDescent="0.25">
      <c r="C1151" s="9"/>
      <c r="D1151" s="10">
        <v>45747</v>
      </c>
      <c r="E1151" t="s">
        <v>2686</v>
      </c>
      <c r="F1151" s="11" t="s">
        <v>2687</v>
      </c>
      <c r="G1151" s="8">
        <v>114.24</v>
      </c>
      <c r="H1151" s="8">
        <v>0</v>
      </c>
      <c r="I1151" s="8">
        <f t="shared" si="58"/>
        <v>114.24</v>
      </c>
      <c r="J1151" s="12"/>
    </row>
    <row r="1152" spans="1:10" x14ac:dyDescent="0.25">
      <c r="C1152" s="9"/>
      <c r="D1152" s="10">
        <v>45748</v>
      </c>
      <c r="E1152" t="s">
        <v>1524</v>
      </c>
      <c r="F1152" s="11" t="s">
        <v>2687</v>
      </c>
      <c r="G1152" s="8">
        <v>0</v>
      </c>
      <c r="H1152" s="8">
        <v>114.24</v>
      </c>
      <c r="I1152" s="8">
        <f t="shared" si="58"/>
        <v>0</v>
      </c>
      <c r="J1152" s="12"/>
    </row>
    <row r="1153" spans="1:10" x14ac:dyDescent="0.25">
      <c r="C1153" s="9"/>
      <c r="D1153" s="10">
        <v>45762</v>
      </c>
      <c r="E1153" t="s">
        <v>2688</v>
      </c>
      <c r="F1153" s="11" t="s">
        <v>42</v>
      </c>
      <c r="G1153" s="8">
        <v>0</v>
      </c>
      <c r="H1153" s="8">
        <v>94.2</v>
      </c>
      <c r="I1153" s="8">
        <f t="shared" si="58"/>
        <v>-94.2</v>
      </c>
      <c r="J1153" s="12"/>
    </row>
    <row r="1154" spans="1:10" x14ac:dyDescent="0.25">
      <c r="E1154" s="4" t="s">
        <v>20</v>
      </c>
      <c r="G1154" s="8">
        <f>SUM(G1139:G1153)</f>
        <v>753.2</v>
      </c>
      <c r="H1154" s="8">
        <f>SUM(H1139:H1153)</f>
        <v>847.40000000000009</v>
      </c>
      <c r="I1154" s="8">
        <f>G1154-H1154</f>
        <v>-94.200000000000045</v>
      </c>
    </row>
    <row r="1156" spans="1:10" x14ac:dyDescent="0.25">
      <c r="A1156" s="5">
        <v>4300955</v>
      </c>
      <c r="B1156" s="6" t="s">
        <v>2689</v>
      </c>
      <c r="C1156" s="7"/>
      <c r="D1156" s="7"/>
      <c r="E1156" s="7"/>
      <c r="F1156" s="7"/>
      <c r="G1156" s="7"/>
      <c r="H1156" s="7"/>
      <c r="I1156" s="7"/>
      <c r="J1156" s="7"/>
    </row>
    <row r="1157" spans="1:10" x14ac:dyDescent="0.25">
      <c r="E1157" s="4" t="s">
        <v>10</v>
      </c>
      <c r="G1157" s="8">
        <v>0</v>
      </c>
      <c r="H1157" s="8">
        <v>36.22</v>
      </c>
      <c r="I1157" s="8">
        <f>G1157-H1157</f>
        <v>-36.22</v>
      </c>
    </row>
    <row r="1158" spans="1:10" x14ac:dyDescent="0.25">
      <c r="E1158" s="4" t="s">
        <v>20</v>
      </c>
      <c r="G1158" s="8">
        <f>G1157</f>
        <v>0</v>
      </c>
      <c r="H1158" s="8">
        <f>H1157</f>
        <v>36.22</v>
      </c>
      <c r="I1158" s="8">
        <f>G1158-H1158</f>
        <v>-36.22</v>
      </c>
    </row>
    <row r="1160" spans="1:10" x14ac:dyDescent="0.25">
      <c r="A1160" s="5">
        <v>4300970</v>
      </c>
      <c r="B1160" s="6" t="s">
        <v>2690</v>
      </c>
      <c r="C1160" s="7"/>
      <c r="D1160" s="7"/>
      <c r="E1160" s="7"/>
      <c r="F1160" s="7"/>
      <c r="G1160" s="7"/>
      <c r="H1160" s="7"/>
      <c r="I1160" s="7"/>
      <c r="J1160" s="7"/>
    </row>
    <row r="1161" spans="1:10" x14ac:dyDescent="0.25">
      <c r="E1161" s="4" t="s">
        <v>10</v>
      </c>
      <c r="G1161" s="8">
        <v>2519.25</v>
      </c>
      <c r="H1161" s="8">
        <v>0</v>
      </c>
      <c r="I1161" s="8">
        <f>G1161-H1161</f>
        <v>2519.25</v>
      </c>
    </row>
    <row r="1162" spans="1:10" x14ac:dyDescent="0.25">
      <c r="C1162" s="9"/>
      <c r="D1162" s="10">
        <v>45671</v>
      </c>
      <c r="E1162" t="s">
        <v>2691</v>
      </c>
      <c r="F1162" s="11" t="s">
        <v>2692</v>
      </c>
      <c r="G1162" s="8">
        <v>274.97000000000003</v>
      </c>
      <c r="H1162" s="8">
        <v>0</v>
      </c>
      <c r="I1162" s="8">
        <f t="shared" ref="I1162:I1173" si="59">G1162-H1162+I1161</f>
        <v>2794.2200000000003</v>
      </c>
      <c r="J1162" s="12"/>
    </row>
    <row r="1163" spans="1:10" x14ac:dyDescent="0.25">
      <c r="C1163" s="9"/>
      <c r="D1163" s="10">
        <v>45674</v>
      </c>
      <c r="E1163" t="s">
        <v>1817</v>
      </c>
      <c r="F1163" s="11" t="s">
        <v>42</v>
      </c>
      <c r="G1163" s="8">
        <v>0</v>
      </c>
      <c r="H1163" s="8">
        <v>1127.71</v>
      </c>
      <c r="I1163" s="8">
        <f t="shared" si="59"/>
        <v>1666.5100000000002</v>
      </c>
      <c r="J1163" s="12"/>
    </row>
    <row r="1164" spans="1:10" x14ac:dyDescent="0.25">
      <c r="C1164" s="9"/>
      <c r="D1164" s="10">
        <v>45674</v>
      </c>
      <c r="E1164" t="s">
        <v>1817</v>
      </c>
      <c r="F1164" s="11" t="s">
        <v>42</v>
      </c>
      <c r="G1164" s="8">
        <v>0</v>
      </c>
      <c r="H1164" s="8">
        <v>1302.8499999999999</v>
      </c>
      <c r="I1164" s="8">
        <f t="shared" si="59"/>
        <v>363.66000000000031</v>
      </c>
      <c r="J1164" s="12"/>
    </row>
    <row r="1165" spans="1:10" x14ac:dyDescent="0.25">
      <c r="C1165" s="9"/>
      <c r="D1165" s="10">
        <v>45688</v>
      </c>
      <c r="E1165" t="s">
        <v>2693</v>
      </c>
      <c r="F1165" s="11" t="s">
        <v>2694</v>
      </c>
      <c r="G1165" s="8">
        <v>1034.3599999999999</v>
      </c>
      <c r="H1165" s="8">
        <v>0</v>
      </c>
      <c r="I1165" s="8">
        <f t="shared" si="59"/>
        <v>1398.0200000000002</v>
      </c>
      <c r="J1165" s="12"/>
    </row>
    <row r="1166" spans="1:10" x14ac:dyDescent="0.25">
      <c r="C1166" s="9"/>
      <c r="D1166" s="10">
        <v>45700</v>
      </c>
      <c r="E1166" t="s">
        <v>1817</v>
      </c>
      <c r="F1166" s="11" t="s">
        <v>42</v>
      </c>
      <c r="G1166" s="8">
        <v>0</v>
      </c>
      <c r="H1166" s="8">
        <v>252.01</v>
      </c>
      <c r="I1166" s="8">
        <f t="shared" si="59"/>
        <v>1146.0100000000002</v>
      </c>
      <c r="J1166" s="12"/>
    </row>
    <row r="1167" spans="1:10" x14ac:dyDescent="0.25">
      <c r="C1167" s="9"/>
      <c r="D1167" s="10">
        <v>45702</v>
      </c>
      <c r="E1167" t="s">
        <v>2695</v>
      </c>
      <c r="F1167" s="11" t="s">
        <v>2696</v>
      </c>
      <c r="G1167" s="8">
        <v>1902.39</v>
      </c>
      <c r="H1167" s="8">
        <v>0</v>
      </c>
      <c r="I1167" s="8">
        <f t="shared" si="59"/>
        <v>3048.4000000000005</v>
      </c>
      <c r="J1167" s="12"/>
    </row>
    <row r="1168" spans="1:10" x14ac:dyDescent="0.25">
      <c r="C1168" s="9"/>
      <c r="D1168" s="10">
        <v>45716</v>
      </c>
      <c r="E1168" t="s">
        <v>2697</v>
      </c>
      <c r="F1168" s="11" t="s">
        <v>2698</v>
      </c>
      <c r="G1168" s="8">
        <v>807.11</v>
      </c>
      <c r="H1168" s="8">
        <v>0</v>
      </c>
      <c r="I1168" s="8">
        <f t="shared" si="59"/>
        <v>3855.5100000000007</v>
      </c>
      <c r="J1168" s="12"/>
    </row>
    <row r="1169" spans="1:10" x14ac:dyDescent="0.25">
      <c r="C1169" s="9"/>
      <c r="D1169" s="10">
        <v>45730</v>
      </c>
      <c r="E1169" t="s">
        <v>2699</v>
      </c>
      <c r="F1169" s="11" t="s">
        <v>2700</v>
      </c>
      <c r="G1169" s="8">
        <v>298.70999999999998</v>
      </c>
      <c r="H1169" s="8">
        <v>0</v>
      </c>
      <c r="I1169" s="8">
        <f t="shared" si="59"/>
        <v>4154.22</v>
      </c>
      <c r="J1169" s="12"/>
    </row>
    <row r="1170" spans="1:10" x14ac:dyDescent="0.25">
      <c r="C1170" s="9"/>
      <c r="D1170" s="10">
        <v>45733</v>
      </c>
      <c r="E1170" t="s">
        <v>1817</v>
      </c>
      <c r="F1170" s="11" t="s">
        <v>42</v>
      </c>
      <c r="G1170" s="8">
        <v>0</v>
      </c>
      <c r="H1170" s="8">
        <v>1892.61</v>
      </c>
      <c r="I1170" s="8">
        <f t="shared" si="59"/>
        <v>2261.6100000000006</v>
      </c>
      <c r="J1170" s="12"/>
    </row>
    <row r="1171" spans="1:10" x14ac:dyDescent="0.25">
      <c r="C1171" s="9"/>
      <c r="D1171" s="10">
        <v>45733</v>
      </c>
      <c r="E1171" t="s">
        <v>1817</v>
      </c>
      <c r="F1171" s="11" t="s">
        <v>42</v>
      </c>
      <c r="G1171" s="8">
        <v>0</v>
      </c>
      <c r="H1171" s="8">
        <v>1030.82</v>
      </c>
      <c r="I1171" s="8">
        <f t="shared" si="59"/>
        <v>1230.7900000000006</v>
      </c>
      <c r="J1171" s="12"/>
    </row>
    <row r="1172" spans="1:10" x14ac:dyDescent="0.25">
      <c r="C1172" s="9"/>
      <c r="D1172" s="10">
        <v>45747</v>
      </c>
      <c r="E1172" t="s">
        <v>2701</v>
      </c>
      <c r="F1172" s="11" t="s">
        <v>2702</v>
      </c>
      <c r="G1172" s="8">
        <v>615.05999999999995</v>
      </c>
      <c r="H1172" s="8">
        <v>0</v>
      </c>
      <c r="I1172" s="8">
        <f t="shared" si="59"/>
        <v>1845.8500000000006</v>
      </c>
      <c r="J1172" s="12"/>
    </row>
    <row r="1173" spans="1:10" x14ac:dyDescent="0.25">
      <c r="C1173" s="9"/>
      <c r="D1173" s="10">
        <v>45756</v>
      </c>
      <c r="E1173" t="s">
        <v>1817</v>
      </c>
      <c r="F1173" s="11" t="s">
        <v>42</v>
      </c>
      <c r="G1173" s="8">
        <v>0</v>
      </c>
      <c r="H1173" s="8">
        <v>803.73</v>
      </c>
      <c r="I1173" s="8">
        <f t="shared" si="59"/>
        <v>1042.1200000000006</v>
      </c>
      <c r="J1173" s="12"/>
    </row>
    <row r="1174" spans="1:10" x14ac:dyDescent="0.25">
      <c r="E1174" s="4" t="s">
        <v>20</v>
      </c>
      <c r="G1174" s="8">
        <f>SUM(G1161:G1173)</f>
        <v>7451.85</v>
      </c>
      <c r="H1174" s="8">
        <f>SUM(H1161:H1173)</f>
        <v>6409.73</v>
      </c>
      <c r="I1174" s="8">
        <f>G1174-H1174</f>
        <v>1042.1200000000008</v>
      </c>
    </row>
    <row r="1176" spans="1:10" x14ac:dyDescent="0.25">
      <c r="A1176" s="5">
        <v>4300975</v>
      </c>
      <c r="B1176" s="6" t="s">
        <v>2703</v>
      </c>
      <c r="C1176" s="7"/>
      <c r="D1176" s="7"/>
      <c r="E1176" s="7"/>
      <c r="F1176" s="7"/>
      <c r="G1176" s="7"/>
      <c r="H1176" s="7"/>
      <c r="I1176" s="7"/>
      <c r="J1176" s="7"/>
    </row>
    <row r="1177" spans="1:10" x14ac:dyDescent="0.25">
      <c r="E1177" s="4" t="s">
        <v>10</v>
      </c>
      <c r="G1177" s="8">
        <v>952.46</v>
      </c>
      <c r="H1177" s="8">
        <v>0</v>
      </c>
      <c r="I1177" s="8">
        <f>G1177-H1177</f>
        <v>952.46</v>
      </c>
    </row>
    <row r="1178" spans="1:10" x14ac:dyDescent="0.25">
      <c r="C1178" s="9"/>
      <c r="D1178" s="10">
        <v>45665</v>
      </c>
      <c r="E1178" t="s">
        <v>1524</v>
      </c>
      <c r="F1178" s="11" t="s">
        <v>2704</v>
      </c>
      <c r="G1178" s="8">
        <v>0</v>
      </c>
      <c r="H1178" s="8">
        <v>495.8</v>
      </c>
      <c r="I1178" s="8">
        <f t="shared" ref="I1178:I1186" si="60">G1178-H1178+I1177</f>
        <v>456.66</v>
      </c>
      <c r="J1178" s="12"/>
    </row>
    <row r="1179" spans="1:10" x14ac:dyDescent="0.25">
      <c r="C1179" s="9"/>
      <c r="D1179" s="10">
        <v>45671</v>
      </c>
      <c r="E1179" t="s">
        <v>2705</v>
      </c>
      <c r="F1179" s="11" t="s">
        <v>2706</v>
      </c>
      <c r="G1179" s="8">
        <v>244.03</v>
      </c>
      <c r="H1179" s="8">
        <v>0</v>
      </c>
      <c r="I1179" s="8">
        <f t="shared" si="60"/>
        <v>700.69</v>
      </c>
      <c r="J1179" s="12"/>
    </row>
    <row r="1180" spans="1:10" x14ac:dyDescent="0.25">
      <c r="C1180" s="9"/>
      <c r="D1180" s="10">
        <v>45688</v>
      </c>
      <c r="E1180" t="s">
        <v>2707</v>
      </c>
      <c r="F1180" s="11" t="s">
        <v>2708</v>
      </c>
      <c r="G1180" s="8">
        <v>85.76</v>
      </c>
      <c r="H1180" s="8">
        <v>0</v>
      </c>
      <c r="I1180" s="8">
        <f t="shared" si="60"/>
        <v>786.45</v>
      </c>
      <c r="J1180" s="12"/>
    </row>
    <row r="1181" spans="1:10" x14ac:dyDescent="0.25">
      <c r="C1181" s="9"/>
      <c r="D1181" s="10">
        <v>45693</v>
      </c>
      <c r="E1181" t="s">
        <v>1524</v>
      </c>
      <c r="F1181" s="11" t="s">
        <v>2709</v>
      </c>
      <c r="G1181" s="8">
        <v>0</v>
      </c>
      <c r="H1181" s="8">
        <v>184.33</v>
      </c>
      <c r="I1181" s="8">
        <f t="shared" si="60"/>
        <v>602.12</v>
      </c>
      <c r="J1181" s="12"/>
    </row>
    <row r="1182" spans="1:10" x14ac:dyDescent="0.25">
      <c r="C1182" s="9"/>
      <c r="D1182" s="10">
        <v>45702</v>
      </c>
      <c r="E1182" t="s">
        <v>2710</v>
      </c>
      <c r="F1182" s="11" t="s">
        <v>2711</v>
      </c>
      <c r="G1182" s="8">
        <v>46.08</v>
      </c>
      <c r="H1182" s="8">
        <v>0</v>
      </c>
      <c r="I1182" s="8">
        <f t="shared" si="60"/>
        <v>648.20000000000005</v>
      </c>
      <c r="J1182" s="12"/>
    </row>
    <row r="1183" spans="1:10" x14ac:dyDescent="0.25">
      <c r="C1183" s="9"/>
      <c r="D1183" s="10">
        <v>45716</v>
      </c>
      <c r="E1183" t="s">
        <v>2712</v>
      </c>
      <c r="F1183" s="11" t="s">
        <v>2713</v>
      </c>
      <c r="G1183" s="8">
        <v>385.43</v>
      </c>
      <c r="H1183" s="8">
        <v>0</v>
      </c>
      <c r="I1183" s="8">
        <f t="shared" si="60"/>
        <v>1033.6300000000001</v>
      </c>
      <c r="J1183" s="12"/>
    </row>
    <row r="1184" spans="1:10" x14ac:dyDescent="0.25">
      <c r="C1184" s="9"/>
      <c r="D1184" s="10">
        <v>45723</v>
      </c>
      <c r="E1184" t="s">
        <v>2714</v>
      </c>
      <c r="F1184" s="11" t="s">
        <v>42</v>
      </c>
      <c r="G1184" s="8">
        <v>0</v>
      </c>
      <c r="H1184" s="8">
        <v>272.33</v>
      </c>
      <c r="I1184" s="8">
        <f t="shared" si="60"/>
        <v>761.30000000000018</v>
      </c>
      <c r="J1184" s="12"/>
    </row>
    <row r="1185" spans="1:10" x14ac:dyDescent="0.25">
      <c r="C1185" s="9"/>
      <c r="D1185" s="10">
        <v>45730</v>
      </c>
      <c r="E1185" t="s">
        <v>2715</v>
      </c>
      <c r="F1185" s="11" t="s">
        <v>2716</v>
      </c>
      <c r="G1185" s="8">
        <v>208.04</v>
      </c>
      <c r="H1185" s="8">
        <v>0</v>
      </c>
      <c r="I1185" s="8">
        <f t="shared" si="60"/>
        <v>969.34000000000015</v>
      </c>
      <c r="J1185" s="12"/>
    </row>
    <row r="1186" spans="1:10" x14ac:dyDescent="0.25">
      <c r="C1186" s="9"/>
      <c r="D1186" s="10">
        <v>45747</v>
      </c>
      <c r="E1186" t="s">
        <v>2717</v>
      </c>
      <c r="F1186" s="11" t="s">
        <v>2718</v>
      </c>
      <c r="G1186" s="8">
        <v>84.45</v>
      </c>
      <c r="H1186" s="8">
        <v>0</v>
      </c>
      <c r="I1186" s="8">
        <f t="shared" si="60"/>
        <v>1053.7900000000002</v>
      </c>
      <c r="J1186" s="12"/>
    </row>
    <row r="1187" spans="1:10" x14ac:dyDescent="0.25">
      <c r="E1187" s="4" t="s">
        <v>20</v>
      </c>
      <c r="G1187" s="8">
        <f>SUM(G1177:G1186)</f>
        <v>2006.25</v>
      </c>
      <c r="H1187" s="8">
        <f>SUM(H1177:H1186)</f>
        <v>952.46</v>
      </c>
      <c r="I1187" s="8">
        <f>G1187-H1187</f>
        <v>1053.79</v>
      </c>
    </row>
    <row r="1189" spans="1:10" x14ac:dyDescent="0.25">
      <c r="A1189" s="5">
        <v>4300980</v>
      </c>
      <c r="B1189" s="6" t="s">
        <v>2719</v>
      </c>
      <c r="C1189" s="7"/>
      <c r="D1189" s="7"/>
      <c r="E1189" s="7"/>
      <c r="F1189" s="7"/>
      <c r="G1189" s="7"/>
      <c r="H1189" s="7"/>
      <c r="I1189" s="7"/>
      <c r="J1189" s="7"/>
    </row>
    <row r="1190" spans="1:10" x14ac:dyDescent="0.25">
      <c r="E1190" s="4" t="s">
        <v>10</v>
      </c>
      <c r="G1190" s="8">
        <v>0</v>
      </c>
      <c r="H1190" s="8">
        <v>166.13</v>
      </c>
      <c r="I1190" s="8">
        <f>G1190-H1190</f>
        <v>-166.13</v>
      </c>
    </row>
    <row r="1191" spans="1:10" x14ac:dyDescent="0.25">
      <c r="C1191" s="9"/>
      <c r="D1191" s="10">
        <v>45762</v>
      </c>
      <c r="E1191" t="s">
        <v>2720</v>
      </c>
      <c r="F1191" s="11" t="s">
        <v>42</v>
      </c>
      <c r="G1191" s="8">
        <v>0</v>
      </c>
      <c r="H1191" s="8">
        <v>32.07</v>
      </c>
      <c r="I1191" s="8">
        <f>G1191-H1191+I1190</f>
        <v>-198.2</v>
      </c>
      <c r="J1191" s="12"/>
    </row>
    <row r="1192" spans="1:10" x14ac:dyDescent="0.25">
      <c r="E1192" s="4" t="s">
        <v>20</v>
      </c>
      <c r="G1192" s="8">
        <f>SUM(G1190:G1191)</f>
        <v>0</v>
      </c>
      <c r="H1192" s="8">
        <f>SUM(H1190:H1191)</f>
        <v>198.2</v>
      </c>
      <c r="I1192" s="8">
        <f>G1192-H1192</f>
        <v>-198.2</v>
      </c>
    </row>
    <row r="1194" spans="1:10" x14ac:dyDescent="0.25">
      <c r="A1194" s="5">
        <v>4301040</v>
      </c>
      <c r="B1194" s="6" t="s">
        <v>2721</v>
      </c>
      <c r="C1194" s="7"/>
      <c r="D1194" s="7"/>
      <c r="E1194" s="7"/>
      <c r="F1194" s="7"/>
      <c r="G1194" s="7"/>
      <c r="H1194" s="7"/>
      <c r="I1194" s="7"/>
      <c r="J1194" s="7"/>
    </row>
    <row r="1195" spans="1:10" x14ac:dyDescent="0.25">
      <c r="E1195" s="4" t="s">
        <v>10</v>
      </c>
      <c r="G1195" s="8">
        <v>3962.2</v>
      </c>
      <c r="H1195" s="8">
        <v>0</v>
      </c>
      <c r="I1195" s="8">
        <f>G1195-H1195</f>
        <v>3962.2</v>
      </c>
    </row>
    <row r="1196" spans="1:10" x14ac:dyDescent="0.25">
      <c r="C1196" s="9"/>
      <c r="D1196" s="10">
        <v>45671</v>
      </c>
      <c r="E1196" t="s">
        <v>2722</v>
      </c>
      <c r="F1196" s="11" t="s">
        <v>2723</v>
      </c>
      <c r="G1196" s="8">
        <v>748.6</v>
      </c>
      <c r="H1196" s="8">
        <v>0</v>
      </c>
      <c r="I1196" s="8">
        <f t="shared" ref="I1196:I1204" si="61">G1196-H1196+I1195</f>
        <v>4710.8</v>
      </c>
      <c r="J1196" s="12"/>
    </row>
    <row r="1197" spans="1:10" x14ac:dyDescent="0.25">
      <c r="C1197" s="9"/>
      <c r="D1197" s="10">
        <v>45674</v>
      </c>
      <c r="E1197" t="s">
        <v>2724</v>
      </c>
      <c r="F1197" s="11" t="s">
        <v>42</v>
      </c>
      <c r="G1197" s="8">
        <v>0</v>
      </c>
      <c r="H1197" s="8">
        <v>585.32000000000005</v>
      </c>
      <c r="I1197" s="8">
        <f t="shared" si="61"/>
        <v>4125.4800000000005</v>
      </c>
      <c r="J1197" s="12"/>
    </row>
    <row r="1198" spans="1:10" x14ac:dyDescent="0.25">
      <c r="C1198" s="9"/>
      <c r="D1198" s="10">
        <v>45688</v>
      </c>
      <c r="E1198" t="s">
        <v>2725</v>
      </c>
      <c r="F1198" s="11" t="s">
        <v>2726</v>
      </c>
      <c r="G1198" s="8">
        <v>756.23</v>
      </c>
      <c r="H1198" s="8">
        <v>0</v>
      </c>
      <c r="I1198" s="8">
        <f t="shared" si="61"/>
        <v>4881.7100000000009</v>
      </c>
      <c r="J1198" s="12"/>
    </row>
    <row r="1199" spans="1:10" x14ac:dyDescent="0.25">
      <c r="C1199" s="9"/>
      <c r="D1199" s="10">
        <v>45702</v>
      </c>
      <c r="E1199" t="s">
        <v>2727</v>
      </c>
      <c r="F1199" s="11" t="s">
        <v>2728</v>
      </c>
      <c r="G1199" s="8">
        <v>775.51</v>
      </c>
      <c r="H1199" s="8">
        <v>0</v>
      </c>
      <c r="I1199" s="8">
        <f t="shared" si="61"/>
        <v>5657.2200000000012</v>
      </c>
      <c r="J1199" s="12"/>
    </row>
    <row r="1200" spans="1:10" x14ac:dyDescent="0.25">
      <c r="C1200" s="9"/>
      <c r="D1200" s="10">
        <v>45707</v>
      </c>
      <c r="E1200" t="s">
        <v>2724</v>
      </c>
      <c r="F1200" s="11" t="s">
        <v>42</v>
      </c>
      <c r="G1200" s="8">
        <v>0</v>
      </c>
      <c r="H1200" s="8">
        <v>1043.97</v>
      </c>
      <c r="I1200" s="8">
        <f t="shared" si="61"/>
        <v>4613.2500000000009</v>
      </c>
      <c r="J1200" s="12"/>
    </row>
    <row r="1201" spans="1:10" x14ac:dyDescent="0.25">
      <c r="C1201" s="9"/>
      <c r="D1201" s="10">
        <v>45716</v>
      </c>
      <c r="E1201" t="s">
        <v>2729</v>
      </c>
      <c r="F1201" s="11" t="s">
        <v>2730</v>
      </c>
      <c r="G1201" s="8">
        <v>785.65</v>
      </c>
      <c r="H1201" s="8">
        <v>0</v>
      </c>
      <c r="I1201" s="8">
        <f t="shared" si="61"/>
        <v>5398.9000000000005</v>
      </c>
      <c r="J1201" s="12"/>
    </row>
    <row r="1202" spans="1:10" x14ac:dyDescent="0.25">
      <c r="C1202" s="9"/>
      <c r="D1202" s="10">
        <v>45730</v>
      </c>
      <c r="E1202" t="s">
        <v>2731</v>
      </c>
      <c r="F1202" s="11" t="s">
        <v>2732</v>
      </c>
      <c r="G1202" s="8">
        <v>1230.01</v>
      </c>
      <c r="H1202" s="8">
        <v>0</v>
      </c>
      <c r="I1202" s="8">
        <f t="shared" si="61"/>
        <v>6628.9100000000008</v>
      </c>
      <c r="J1202" s="12"/>
    </row>
    <row r="1203" spans="1:10" x14ac:dyDescent="0.25">
      <c r="C1203" s="9"/>
      <c r="D1203" s="10">
        <v>45736</v>
      </c>
      <c r="E1203" t="s">
        <v>2724</v>
      </c>
      <c r="F1203" s="11" t="s">
        <v>42</v>
      </c>
      <c r="G1203" s="8">
        <v>0</v>
      </c>
      <c r="H1203" s="8">
        <v>707.84</v>
      </c>
      <c r="I1203" s="8">
        <f t="shared" si="61"/>
        <v>5921.0700000000006</v>
      </c>
      <c r="J1203" s="12"/>
    </row>
    <row r="1204" spans="1:10" x14ac:dyDescent="0.25">
      <c r="C1204" s="9"/>
      <c r="D1204" s="10">
        <v>45747</v>
      </c>
      <c r="E1204" t="s">
        <v>2733</v>
      </c>
      <c r="F1204" s="11" t="s">
        <v>2734</v>
      </c>
      <c r="G1204" s="8">
        <v>550.79</v>
      </c>
      <c r="H1204" s="8">
        <v>0</v>
      </c>
      <c r="I1204" s="8">
        <f t="shared" si="61"/>
        <v>6471.8600000000006</v>
      </c>
      <c r="J1204" s="12"/>
    </row>
    <row r="1205" spans="1:10" x14ac:dyDescent="0.25">
      <c r="E1205" s="4" t="s">
        <v>20</v>
      </c>
      <c r="G1205" s="8">
        <f>SUM(G1195:G1204)</f>
        <v>8808.9900000000016</v>
      </c>
      <c r="H1205" s="8">
        <f>SUM(H1195:H1204)</f>
        <v>2337.13</v>
      </c>
      <c r="I1205" s="8">
        <f>G1205-H1205</f>
        <v>6471.8600000000015</v>
      </c>
    </row>
    <row r="1207" spans="1:10" x14ac:dyDescent="0.25">
      <c r="A1207" s="5">
        <v>4301060</v>
      </c>
      <c r="B1207" s="6" t="s">
        <v>2735</v>
      </c>
      <c r="C1207" s="7"/>
      <c r="D1207" s="7"/>
      <c r="E1207" s="7"/>
      <c r="F1207" s="7"/>
      <c r="G1207" s="7"/>
      <c r="H1207" s="7"/>
      <c r="I1207" s="7"/>
      <c r="J1207" s="7"/>
    </row>
    <row r="1208" spans="1:10" x14ac:dyDescent="0.25">
      <c r="E1208" s="4" t="s">
        <v>10</v>
      </c>
      <c r="G1208" s="8">
        <v>36.590000000000003</v>
      </c>
      <c r="H1208" s="8">
        <v>0</v>
      </c>
      <c r="I1208" s="8">
        <f>G1208-H1208</f>
        <v>36.590000000000003</v>
      </c>
    </row>
    <row r="1209" spans="1:10" x14ac:dyDescent="0.25">
      <c r="C1209" s="9"/>
      <c r="D1209" s="10">
        <v>45659</v>
      </c>
      <c r="E1209" t="s">
        <v>2736</v>
      </c>
      <c r="F1209" s="11" t="s">
        <v>42</v>
      </c>
      <c r="G1209" s="8">
        <v>0</v>
      </c>
      <c r="H1209" s="8">
        <v>36.590000000000003</v>
      </c>
      <c r="I1209" s="8">
        <f t="shared" ref="I1209:I1216" si="62">G1209-H1209+I1208</f>
        <v>0</v>
      </c>
      <c r="J1209" s="12"/>
    </row>
    <row r="1210" spans="1:10" x14ac:dyDescent="0.25">
      <c r="C1210" s="9"/>
      <c r="D1210" s="10">
        <v>45671</v>
      </c>
      <c r="E1210" t="s">
        <v>2737</v>
      </c>
      <c r="F1210" s="11" t="s">
        <v>2738</v>
      </c>
      <c r="G1210" s="8">
        <v>55.49</v>
      </c>
      <c r="H1210" s="8">
        <v>0</v>
      </c>
      <c r="I1210" s="8">
        <f t="shared" si="62"/>
        <v>55.49</v>
      </c>
      <c r="J1210" s="12"/>
    </row>
    <row r="1211" spans="1:10" x14ac:dyDescent="0.25">
      <c r="C1211" s="9"/>
      <c r="D1211" s="10">
        <v>45672</v>
      </c>
      <c r="E1211" t="s">
        <v>1524</v>
      </c>
      <c r="F1211" s="11" t="s">
        <v>2738</v>
      </c>
      <c r="G1211" s="8">
        <v>0</v>
      </c>
      <c r="H1211" s="8">
        <v>55.49</v>
      </c>
      <c r="I1211" s="8">
        <f t="shared" si="62"/>
        <v>0</v>
      </c>
      <c r="J1211" s="12"/>
    </row>
    <row r="1212" spans="1:10" x14ac:dyDescent="0.25">
      <c r="C1212" s="9"/>
      <c r="D1212" s="10">
        <v>45716</v>
      </c>
      <c r="E1212" t="s">
        <v>2739</v>
      </c>
      <c r="F1212" s="11" t="s">
        <v>2740</v>
      </c>
      <c r="G1212" s="8">
        <v>30.82</v>
      </c>
      <c r="H1212" s="8">
        <v>0</v>
      </c>
      <c r="I1212" s="8">
        <f t="shared" si="62"/>
        <v>30.82</v>
      </c>
      <c r="J1212" s="12"/>
    </row>
    <row r="1213" spans="1:10" x14ac:dyDescent="0.25">
      <c r="C1213" s="9"/>
      <c r="D1213" s="10">
        <v>45720</v>
      </c>
      <c r="E1213" t="s">
        <v>2741</v>
      </c>
      <c r="F1213" s="11" t="s">
        <v>42</v>
      </c>
      <c r="G1213" s="8">
        <v>0</v>
      </c>
      <c r="H1213" s="8">
        <v>30.82</v>
      </c>
      <c r="I1213" s="8">
        <f t="shared" si="62"/>
        <v>0</v>
      </c>
      <c r="J1213" s="12"/>
    </row>
    <row r="1214" spans="1:10" x14ac:dyDescent="0.25">
      <c r="C1214" s="9"/>
      <c r="D1214" s="10">
        <v>45747</v>
      </c>
      <c r="E1214" t="s">
        <v>2742</v>
      </c>
      <c r="F1214" s="11" t="s">
        <v>2743</v>
      </c>
      <c r="G1214" s="8">
        <v>35.22</v>
      </c>
      <c r="H1214" s="8">
        <v>0</v>
      </c>
      <c r="I1214" s="8">
        <f t="shared" si="62"/>
        <v>35.22</v>
      </c>
      <c r="J1214" s="12"/>
    </row>
    <row r="1215" spans="1:10" x14ac:dyDescent="0.25">
      <c r="C1215" s="9"/>
      <c r="D1215" s="10">
        <v>45748</v>
      </c>
      <c r="E1215" t="s">
        <v>2741</v>
      </c>
      <c r="F1215" s="11" t="s">
        <v>42</v>
      </c>
      <c r="G1215" s="8">
        <v>0</v>
      </c>
      <c r="H1215" s="8">
        <v>35.22</v>
      </c>
      <c r="I1215" s="8">
        <f t="shared" si="62"/>
        <v>0</v>
      </c>
      <c r="J1215" s="12"/>
    </row>
    <row r="1216" spans="1:10" x14ac:dyDescent="0.25">
      <c r="C1216" s="9"/>
      <c r="D1216" s="10">
        <v>45762</v>
      </c>
      <c r="E1216" t="s">
        <v>2744</v>
      </c>
      <c r="F1216" s="11" t="s">
        <v>42</v>
      </c>
      <c r="G1216" s="8">
        <v>0</v>
      </c>
      <c r="H1216" s="8">
        <v>54.26</v>
      </c>
      <c r="I1216" s="8">
        <f t="shared" si="62"/>
        <v>-54.26</v>
      </c>
      <c r="J1216" s="12"/>
    </row>
    <row r="1217" spans="1:10" x14ac:dyDescent="0.25">
      <c r="E1217" s="4" t="s">
        <v>20</v>
      </c>
      <c r="G1217" s="8">
        <f>SUM(G1208:G1216)</f>
        <v>158.12</v>
      </c>
      <c r="H1217" s="8">
        <f>SUM(H1208:H1216)</f>
        <v>212.38</v>
      </c>
      <c r="I1217" s="8">
        <f>G1217-H1217</f>
        <v>-54.259999999999991</v>
      </c>
    </row>
    <row r="1219" spans="1:10" x14ac:dyDescent="0.25">
      <c r="A1219" s="5">
        <v>4301075</v>
      </c>
      <c r="B1219" s="6" t="s">
        <v>2745</v>
      </c>
      <c r="C1219" s="7"/>
      <c r="D1219" s="7"/>
      <c r="E1219" s="7"/>
      <c r="F1219" s="7"/>
      <c r="G1219" s="7"/>
      <c r="H1219" s="7"/>
      <c r="I1219" s="7"/>
      <c r="J1219" s="7"/>
    </row>
    <row r="1220" spans="1:10" x14ac:dyDescent="0.25">
      <c r="E1220" s="4" t="s">
        <v>10</v>
      </c>
      <c r="G1220" s="8">
        <v>777.45</v>
      </c>
      <c r="H1220" s="8">
        <v>0</v>
      </c>
      <c r="I1220" s="8">
        <f>G1220-H1220</f>
        <v>777.45</v>
      </c>
    </row>
    <row r="1221" spans="1:10" x14ac:dyDescent="0.25">
      <c r="C1221" s="9"/>
      <c r="D1221" s="10">
        <v>45671</v>
      </c>
      <c r="E1221" t="s">
        <v>2746</v>
      </c>
      <c r="F1221" s="11" t="s">
        <v>2747</v>
      </c>
      <c r="G1221" s="8">
        <v>394.57</v>
      </c>
      <c r="H1221" s="8">
        <v>0</v>
      </c>
      <c r="I1221" s="8">
        <f t="shared" ref="I1221:I1233" si="63">G1221-H1221+I1220</f>
        <v>1172.02</v>
      </c>
      <c r="J1221" s="12"/>
    </row>
    <row r="1222" spans="1:10" x14ac:dyDescent="0.25">
      <c r="C1222" s="9"/>
      <c r="D1222" s="10">
        <v>45678</v>
      </c>
      <c r="E1222" t="s">
        <v>2748</v>
      </c>
      <c r="F1222" s="11" t="s">
        <v>42</v>
      </c>
      <c r="G1222" s="8">
        <v>0</v>
      </c>
      <c r="H1222" s="8">
        <v>337.98</v>
      </c>
      <c r="I1222" s="8">
        <f t="shared" si="63"/>
        <v>834.04</v>
      </c>
      <c r="J1222" s="12"/>
    </row>
    <row r="1223" spans="1:10" x14ac:dyDescent="0.25">
      <c r="C1223" s="9"/>
      <c r="D1223" s="10">
        <v>45688</v>
      </c>
      <c r="E1223" t="s">
        <v>2749</v>
      </c>
      <c r="F1223" s="11" t="s">
        <v>2750</v>
      </c>
      <c r="G1223" s="8">
        <v>287.3</v>
      </c>
      <c r="H1223" s="8">
        <v>0</v>
      </c>
      <c r="I1223" s="8">
        <f t="shared" si="63"/>
        <v>1121.3399999999999</v>
      </c>
      <c r="J1223" s="12"/>
    </row>
    <row r="1224" spans="1:10" x14ac:dyDescent="0.25">
      <c r="C1224" s="9"/>
      <c r="D1224" s="10">
        <v>45688</v>
      </c>
      <c r="E1224" t="s">
        <v>1524</v>
      </c>
      <c r="F1224" s="11" t="s">
        <v>2751</v>
      </c>
      <c r="G1224" s="8">
        <v>0</v>
      </c>
      <c r="H1224" s="8">
        <v>214.42</v>
      </c>
      <c r="I1224" s="8">
        <f t="shared" si="63"/>
        <v>906.92</v>
      </c>
      <c r="J1224" s="12"/>
    </row>
    <row r="1225" spans="1:10" x14ac:dyDescent="0.25">
      <c r="C1225" s="9"/>
      <c r="D1225" s="10">
        <v>45702</v>
      </c>
      <c r="E1225" t="s">
        <v>2752</v>
      </c>
      <c r="F1225" s="11" t="s">
        <v>2753</v>
      </c>
      <c r="G1225" s="8">
        <v>795.76</v>
      </c>
      <c r="H1225" s="8">
        <v>0</v>
      </c>
      <c r="I1225" s="8">
        <f t="shared" si="63"/>
        <v>1702.6799999999998</v>
      </c>
      <c r="J1225" s="12"/>
    </row>
    <row r="1226" spans="1:10" x14ac:dyDescent="0.25">
      <c r="C1226" s="9"/>
      <c r="D1226" s="10">
        <v>45709</v>
      </c>
      <c r="E1226" t="s">
        <v>1524</v>
      </c>
      <c r="F1226" s="11" t="s">
        <v>2754</v>
      </c>
      <c r="G1226" s="8">
        <v>0</v>
      </c>
      <c r="H1226" s="8">
        <v>218.01</v>
      </c>
      <c r="I1226" s="8">
        <f t="shared" si="63"/>
        <v>1484.6699999999998</v>
      </c>
      <c r="J1226" s="12"/>
    </row>
    <row r="1227" spans="1:10" x14ac:dyDescent="0.25">
      <c r="C1227" s="9"/>
      <c r="D1227" s="10">
        <v>45716</v>
      </c>
      <c r="E1227" t="s">
        <v>2755</v>
      </c>
      <c r="F1227" s="11" t="s">
        <v>2756</v>
      </c>
      <c r="G1227" s="8">
        <v>446.24</v>
      </c>
      <c r="H1227" s="8">
        <v>0</v>
      </c>
      <c r="I1227" s="8">
        <f t="shared" si="63"/>
        <v>1930.9099999999999</v>
      </c>
      <c r="J1227" s="12"/>
    </row>
    <row r="1228" spans="1:10" x14ac:dyDescent="0.25">
      <c r="C1228" s="9"/>
      <c r="D1228" s="10">
        <v>45716</v>
      </c>
      <c r="E1228" t="s">
        <v>1524</v>
      </c>
      <c r="F1228" s="11" t="s">
        <v>2757</v>
      </c>
      <c r="G1228" s="8">
        <v>0</v>
      </c>
      <c r="H1228" s="8">
        <v>7.04</v>
      </c>
      <c r="I1228" s="8">
        <f t="shared" si="63"/>
        <v>1923.87</v>
      </c>
      <c r="J1228" s="12"/>
    </row>
    <row r="1229" spans="1:10" x14ac:dyDescent="0.25">
      <c r="C1229" s="9"/>
      <c r="D1229" s="10">
        <v>45726</v>
      </c>
      <c r="E1229" t="s">
        <v>2758</v>
      </c>
      <c r="F1229" s="11" t="s">
        <v>2759</v>
      </c>
      <c r="G1229" s="8">
        <v>-43.2</v>
      </c>
      <c r="H1229" s="8">
        <v>0</v>
      </c>
      <c r="I1229" s="8">
        <f t="shared" si="63"/>
        <v>1880.6699999999998</v>
      </c>
      <c r="J1229" s="12"/>
    </row>
    <row r="1230" spans="1:10" x14ac:dyDescent="0.25">
      <c r="C1230" s="9"/>
      <c r="D1230" s="10">
        <v>45730</v>
      </c>
      <c r="E1230" t="s">
        <v>2760</v>
      </c>
      <c r="F1230" s="11" t="s">
        <v>2761</v>
      </c>
      <c r="G1230" s="8">
        <v>94.56</v>
      </c>
      <c r="H1230" s="8">
        <v>0</v>
      </c>
      <c r="I1230" s="8">
        <f t="shared" si="63"/>
        <v>1975.2299999999998</v>
      </c>
      <c r="J1230" s="12"/>
    </row>
    <row r="1231" spans="1:10" x14ac:dyDescent="0.25">
      <c r="C1231" s="9"/>
      <c r="D1231" s="10">
        <v>45737</v>
      </c>
      <c r="E1231" t="s">
        <v>1524</v>
      </c>
      <c r="F1231" s="11" t="s">
        <v>2747</v>
      </c>
      <c r="G1231" s="8">
        <v>0</v>
      </c>
      <c r="H1231" s="8">
        <v>394.57</v>
      </c>
      <c r="I1231" s="8">
        <f t="shared" si="63"/>
        <v>1580.6599999999999</v>
      </c>
      <c r="J1231" s="12"/>
    </row>
    <row r="1232" spans="1:10" x14ac:dyDescent="0.25">
      <c r="C1232" s="9"/>
      <c r="D1232" s="10">
        <v>45747</v>
      </c>
      <c r="E1232" t="s">
        <v>2762</v>
      </c>
      <c r="F1232" s="11" t="s">
        <v>2763</v>
      </c>
      <c r="G1232" s="8">
        <v>161.22</v>
      </c>
      <c r="H1232" s="8">
        <v>0</v>
      </c>
      <c r="I1232" s="8">
        <f t="shared" si="63"/>
        <v>1741.8799999999999</v>
      </c>
      <c r="J1232" s="12"/>
    </row>
    <row r="1233" spans="1:10" x14ac:dyDescent="0.25">
      <c r="C1233" s="9"/>
      <c r="D1233" s="10">
        <v>45748</v>
      </c>
      <c r="E1233" t="s">
        <v>2764</v>
      </c>
      <c r="F1233" s="11" t="s">
        <v>42</v>
      </c>
      <c r="G1233" s="8">
        <v>0</v>
      </c>
      <c r="H1233" s="8">
        <v>287.3</v>
      </c>
      <c r="I1233" s="8">
        <f t="shared" si="63"/>
        <v>1454.58</v>
      </c>
      <c r="J1233" s="12"/>
    </row>
    <row r="1234" spans="1:10" x14ac:dyDescent="0.25">
      <c r="E1234" s="4" t="s">
        <v>20</v>
      </c>
      <c r="G1234" s="8">
        <f>SUM(G1220:G1233)</f>
        <v>2913.8999999999996</v>
      </c>
      <c r="H1234" s="8">
        <f>SUM(H1220:H1233)</f>
        <v>1459.32</v>
      </c>
      <c r="I1234" s="8">
        <f>G1234-H1234</f>
        <v>1454.5799999999997</v>
      </c>
    </row>
    <row r="1236" spans="1:10" x14ac:dyDescent="0.25">
      <c r="A1236" s="5">
        <v>4301150</v>
      </c>
      <c r="B1236" s="6" t="s">
        <v>2765</v>
      </c>
      <c r="C1236" s="7"/>
      <c r="D1236" s="7"/>
      <c r="E1236" s="7"/>
      <c r="F1236" s="7"/>
      <c r="G1236" s="7"/>
      <c r="H1236" s="7"/>
      <c r="I1236" s="7"/>
      <c r="J1236" s="7"/>
    </row>
    <row r="1237" spans="1:10" x14ac:dyDescent="0.25">
      <c r="E1237" s="4" t="s">
        <v>10</v>
      </c>
      <c r="G1237" s="8">
        <v>55.41</v>
      </c>
      <c r="H1237" s="8">
        <v>0</v>
      </c>
      <c r="I1237" s="8">
        <f>G1237-H1237</f>
        <v>55.41</v>
      </c>
    </row>
    <row r="1238" spans="1:10" x14ac:dyDescent="0.25">
      <c r="C1238" s="9"/>
      <c r="D1238" s="10">
        <v>45660</v>
      </c>
      <c r="E1238" t="s">
        <v>1524</v>
      </c>
      <c r="F1238" s="11" t="s">
        <v>2766</v>
      </c>
      <c r="G1238" s="8">
        <v>0</v>
      </c>
      <c r="H1238" s="8">
        <v>55.41</v>
      </c>
      <c r="I1238" s="8">
        <f t="shared" ref="I1238:I1250" si="64">G1238-H1238+I1237</f>
        <v>0</v>
      </c>
      <c r="J1238" s="12"/>
    </row>
    <row r="1239" spans="1:10" x14ac:dyDescent="0.25">
      <c r="C1239" s="9"/>
      <c r="D1239" s="10">
        <v>45671</v>
      </c>
      <c r="E1239" t="s">
        <v>2767</v>
      </c>
      <c r="F1239" s="11" t="s">
        <v>2768</v>
      </c>
      <c r="G1239" s="8">
        <v>158.72</v>
      </c>
      <c r="H1239" s="8">
        <v>0</v>
      </c>
      <c r="I1239" s="8">
        <f t="shared" si="64"/>
        <v>158.72</v>
      </c>
      <c r="J1239" s="12"/>
    </row>
    <row r="1240" spans="1:10" x14ac:dyDescent="0.25">
      <c r="C1240" s="9"/>
      <c r="D1240" s="10">
        <v>45672</v>
      </c>
      <c r="E1240" t="s">
        <v>1524</v>
      </c>
      <c r="F1240" s="11" t="s">
        <v>2768</v>
      </c>
      <c r="G1240" s="8">
        <v>0</v>
      </c>
      <c r="H1240" s="8">
        <v>158.72</v>
      </c>
      <c r="I1240" s="8">
        <f t="shared" si="64"/>
        <v>0</v>
      </c>
      <c r="J1240" s="12"/>
    </row>
    <row r="1241" spans="1:10" x14ac:dyDescent="0.25">
      <c r="C1241" s="9"/>
      <c r="D1241" s="10">
        <v>45688</v>
      </c>
      <c r="E1241" t="s">
        <v>2769</v>
      </c>
      <c r="F1241" s="11" t="s">
        <v>2770</v>
      </c>
      <c r="G1241" s="8">
        <v>59.29</v>
      </c>
      <c r="H1241" s="8">
        <v>0</v>
      </c>
      <c r="I1241" s="8">
        <f t="shared" si="64"/>
        <v>59.29</v>
      </c>
      <c r="J1241" s="12"/>
    </row>
    <row r="1242" spans="1:10" x14ac:dyDescent="0.25">
      <c r="C1242" s="9" t="s">
        <v>124</v>
      </c>
      <c r="D1242" s="10">
        <v>45691</v>
      </c>
      <c r="E1242" t="s">
        <v>2771</v>
      </c>
      <c r="F1242" s="11" t="s">
        <v>42</v>
      </c>
      <c r="G1242" s="8">
        <v>0</v>
      </c>
      <c r="H1242" s="8">
        <v>59.29</v>
      </c>
      <c r="I1242" s="8">
        <f t="shared" si="64"/>
        <v>0</v>
      </c>
      <c r="J1242" s="12"/>
    </row>
    <row r="1243" spans="1:10" x14ac:dyDescent="0.25">
      <c r="C1243" s="9"/>
      <c r="D1243" s="10">
        <v>45702</v>
      </c>
      <c r="E1243" t="s">
        <v>2772</v>
      </c>
      <c r="F1243" s="11" t="s">
        <v>2773</v>
      </c>
      <c r="G1243" s="8">
        <v>548.58000000000004</v>
      </c>
      <c r="H1243" s="8">
        <v>0</v>
      </c>
      <c r="I1243" s="8">
        <f t="shared" si="64"/>
        <v>548.58000000000004</v>
      </c>
      <c r="J1243" s="12"/>
    </row>
    <row r="1244" spans="1:10" x14ac:dyDescent="0.25">
      <c r="C1244" s="9"/>
      <c r="D1244" s="10">
        <v>45705</v>
      </c>
      <c r="E1244" t="s">
        <v>1524</v>
      </c>
      <c r="F1244" s="11" t="s">
        <v>2773</v>
      </c>
      <c r="G1244" s="8">
        <v>0</v>
      </c>
      <c r="H1244" s="8">
        <v>548.58000000000004</v>
      </c>
      <c r="I1244" s="8">
        <f t="shared" si="64"/>
        <v>0</v>
      </c>
      <c r="J1244" s="12"/>
    </row>
    <row r="1245" spans="1:10" x14ac:dyDescent="0.25">
      <c r="C1245" s="9"/>
      <c r="D1245" s="10">
        <v>45716</v>
      </c>
      <c r="E1245" t="s">
        <v>2774</v>
      </c>
      <c r="F1245" s="11" t="s">
        <v>2775</v>
      </c>
      <c r="G1245" s="8">
        <v>174.53</v>
      </c>
      <c r="H1245" s="8">
        <v>0</v>
      </c>
      <c r="I1245" s="8">
        <f t="shared" si="64"/>
        <v>174.53</v>
      </c>
      <c r="J1245" s="12"/>
    </row>
    <row r="1246" spans="1:10" x14ac:dyDescent="0.25">
      <c r="C1246" s="9"/>
      <c r="D1246" s="10">
        <v>45733</v>
      </c>
      <c r="E1246" t="s">
        <v>1524</v>
      </c>
      <c r="F1246" s="11" t="s">
        <v>2775</v>
      </c>
      <c r="G1246" s="8">
        <v>0</v>
      </c>
      <c r="H1246" s="8">
        <v>174.53</v>
      </c>
      <c r="I1246" s="8">
        <f t="shared" si="64"/>
        <v>0</v>
      </c>
      <c r="J1246" s="12"/>
    </row>
    <row r="1247" spans="1:10" x14ac:dyDescent="0.25">
      <c r="C1247" s="9"/>
      <c r="D1247" s="10">
        <v>45744</v>
      </c>
      <c r="E1247" t="s">
        <v>1524</v>
      </c>
      <c r="F1247" s="11" t="s">
        <v>2776</v>
      </c>
      <c r="G1247" s="8">
        <v>0</v>
      </c>
      <c r="H1247" s="8">
        <v>329.79</v>
      </c>
      <c r="I1247" s="8">
        <f t="shared" si="64"/>
        <v>-329.79</v>
      </c>
      <c r="J1247" s="12"/>
    </row>
    <row r="1248" spans="1:10" x14ac:dyDescent="0.25">
      <c r="C1248" s="9"/>
      <c r="D1248" s="10">
        <v>45747</v>
      </c>
      <c r="E1248" t="s">
        <v>2777</v>
      </c>
      <c r="F1248" s="11" t="s">
        <v>2778</v>
      </c>
      <c r="G1248" s="8">
        <v>176.76</v>
      </c>
      <c r="H1248" s="8">
        <v>0</v>
      </c>
      <c r="I1248" s="8">
        <f t="shared" si="64"/>
        <v>-153.03000000000003</v>
      </c>
      <c r="J1248" s="12"/>
    </row>
    <row r="1249" spans="1:10" x14ac:dyDescent="0.25">
      <c r="C1249" s="9"/>
      <c r="D1249" s="10">
        <v>45748</v>
      </c>
      <c r="E1249" t="s">
        <v>1524</v>
      </c>
      <c r="F1249" s="11" t="s">
        <v>2778</v>
      </c>
      <c r="G1249" s="8">
        <v>0</v>
      </c>
      <c r="H1249" s="8">
        <v>176.76</v>
      </c>
      <c r="I1249" s="8">
        <f t="shared" si="64"/>
        <v>-329.79</v>
      </c>
      <c r="J1249" s="12"/>
    </row>
    <row r="1250" spans="1:10" x14ac:dyDescent="0.25">
      <c r="C1250" s="9"/>
      <c r="D1250" s="10">
        <v>45762</v>
      </c>
      <c r="E1250" t="s">
        <v>2771</v>
      </c>
      <c r="F1250" s="11" t="s">
        <v>42</v>
      </c>
      <c r="G1250" s="8">
        <v>0</v>
      </c>
      <c r="H1250" s="8">
        <v>315.88</v>
      </c>
      <c r="I1250" s="8">
        <f t="shared" si="64"/>
        <v>-645.67000000000007</v>
      </c>
      <c r="J1250" s="12"/>
    </row>
    <row r="1251" spans="1:10" x14ac:dyDescent="0.25">
      <c r="E1251" s="4" t="s">
        <v>20</v>
      </c>
      <c r="G1251" s="8">
        <f>SUM(G1237:G1250)</f>
        <v>1173.29</v>
      </c>
      <c r="H1251" s="8">
        <f>SUM(H1237:H1250)</f>
        <v>1818.96</v>
      </c>
      <c r="I1251" s="8">
        <f>G1251-H1251</f>
        <v>-645.67000000000007</v>
      </c>
    </row>
    <row r="1253" spans="1:10" x14ac:dyDescent="0.25">
      <c r="A1253" s="5">
        <v>4301160</v>
      </c>
      <c r="B1253" s="6" t="s">
        <v>2779</v>
      </c>
      <c r="C1253" s="7"/>
      <c r="D1253" s="7"/>
      <c r="E1253" s="7"/>
      <c r="F1253" s="7"/>
      <c r="G1253" s="7"/>
      <c r="H1253" s="7"/>
      <c r="I1253" s="7"/>
      <c r="J1253" s="7"/>
    </row>
    <row r="1254" spans="1:10" x14ac:dyDescent="0.25">
      <c r="E1254" s="4" t="s">
        <v>10</v>
      </c>
      <c r="G1254" s="8">
        <v>213.12</v>
      </c>
      <c r="H1254" s="8">
        <v>0</v>
      </c>
      <c r="I1254" s="8">
        <f>G1254-H1254</f>
        <v>213.12</v>
      </c>
    </row>
    <row r="1255" spans="1:10" x14ac:dyDescent="0.25">
      <c r="C1255" s="9"/>
      <c r="D1255" s="10">
        <v>45659</v>
      </c>
      <c r="E1255" t="s">
        <v>1524</v>
      </c>
      <c r="F1255" s="11" t="s">
        <v>2780</v>
      </c>
      <c r="G1255" s="8">
        <v>0</v>
      </c>
      <c r="H1255" s="8">
        <v>213.12</v>
      </c>
      <c r="I1255" s="8">
        <f t="shared" ref="I1255:I1268" si="65">G1255-H1255+I1254</f>
        <v>0</v>
      </c>
      <c r="J1255" s="12"/>
    </row>
    <row r="1256" spans="1:10" x14ac:dyDescent="0.25">
      <c r="C1256" s="9"/>
      <c r="D1256" s="10">
        <v>45671</v>
      </c>
      <c r="E1256" t="s">
        <v>2781</v>
      </c>
      <c r="F1256" s="11" t="s">
        <v>2782</v>
      </c>
      <c r="G1256" s="8">
        <v>309.37</v>
      </c>
      <c r="H1256" s="8">
        <v>0</v>
      </c>
      <c r="I1256" s="8">
        <f t="shared" si="65"/>
        <v>309.37</v>
      </c>
      <c r="J1256" s="12"/>
    </row>
    <row r="1257" spans="1:10" x14ac:dyDescent="0.25">
      <c r="C1257" s="9"/>
      <c r="D1257" s="10">
        <v>45672</v>
      </c>
      <c r="E1257" t="s">
        <v>1524</v>
      </c>
      <c r="F1257" s="11" t="s">
        <v>2782</v>
      </c>
      <c r="G1257" s="8">
        <v>0</v>
      </c>
      <c r="H1257" s="8">
        <v>309.37</v>
      </c>
      <c r="I1257" s="8">
        <f t="shared" si="65"/>
        <v>0</v>
      </c>
      <c r="J1257" s="12"/>
    </row>
    <row r="1258" spans="1:10" x14ac:dyDescent="0.25">
      <c r="C1258" s="9"/>
      <c r="D1258" s="10">
        <v>45688</v>
      </c>
      <c r="E1258" t="s">
        <v>2783</v>
      </c>
      <c r="F1258" s="11" t="s">
        <v>2784</v>
      </c>
      <c r="G1258" s="8">
        <v>491.96</v>
      </c>
      <c r="H1258" s="8">
        <v>0</v>
      </c>
      <c r="I1258" s="8">
        <f t="shared" si="65"/>
        <v>491.96</v>
      </c>
      <c r="J1258" s="12"/>
    </row>
    <row r="1259" spans="1:10" x14ac:dyDescent="0.25">
      <c r="C1259" s="9"/>
      <c r="D1259" s="10">
        <v>45691</v>
      </c>
      <c r="E1259" t="s">
        <v>1524</v>
      </c>
      <c r="F1259" s="11" t="s">
        <v>2784</v>
      </c>
      <c r="G1259" s="8">
        <v>0</v>
      </c>
      <c r="H1259" s="8">
        <v>491.96</v>
      </c>
      <c r="I1259" s="8">
        <f t="shared" si="65"/>
        <v>0</v>
      </c>
      <c r="J1259" s="12"/>
    </row>
    <row r="1260" spans="1:10" x14ac:dyDescent="0.25">
      <c r="C1260" s="9"/>
      <c r="D1260" s="10">
        <v>45702</v>
      </c>
      <c r="E1260" t="s">
        <v>2785</v>
      </c>
      <c r="F1260" s="11" t="s">
        <v>2786</v>
      </c>
      <c r="G1260" s="8">
        <v>205.86</v>
      </c>
      <c r="H1260" s="8">
        <v>0</v>
      </c>
      <c r="I1260" s="8">
        <f t="shared" si="65"/>
        <v>205.86</v>
      </c>
      <c r="J1260" s="12"/>
    </row>
    <row r="1261" spans="1:10" x14ac:dyDescent="0.25">
      <c r="C1261" s="9"/>
      <c r="D1261" s="10">
        <v>45705</v>
      </c>
      <c r="E1261" t="s">
        <v>1524</v>
      </c>
      <c r="F1261" s="11" t="s">
        <v>2786</v>
      </c>
      <c r="G1261" s="8">
        <v>0</v>
      </c>
      <c r="H1261" s="8">
        <v>205.86</v>
      </c>
      <c r="I1261" s="8">
        <f t="shared" si="65"/>
        <v>0</v>
      </c>
      <c r="J1261" s="12"/>
    </row>
    <row r="1262" spans="1:10" x14ac:dyDescent="0.25">
      <c r="C1262" s="9"/>
      <c r="D1262" s="10">
        <v>45716</v>
      </c>
      <c r="E1262" t="s">
        <v>2787</v>
      </c>
      <c r="F1262" s="11" t="s">
        <v>2788</v>
      </c>
      <c r="G1262" s="8">
        <v>69.430000000000007</v>
      </c>
      <c r="H1262" s="8">
        <v>0</v>
      </c>
      <c r="I1262" s="8">
        <f t="shared" si="65"/>
        <v>69.430000000000007</v>
      </c>
      <c r="J1262" s="12"/>
    </row>
    <row r="1263" spans="1:10" x14ac:dyDescent="0.25">
      <c r="C1263" s="9" t="s">
        <v>124</v>
      </c>
      <c r="D1263" s="10">
        <v>45719</v>
      </c>
      <c r="E1263" t="s">
        <v>2789</v>
      </c>
      <c r="F1263" s="11" t="s">
        <v>2788</v>
      </c>
      <c r="G1263" s="8">
        <v>0</v>
      </c>
      <c r="H1263" s="8">
        <v>69.430000000000007</v>
      </c>
      <c r="I1263" s="8">
        <f t="shared" si="65"/>
        <v>0</v>
      </c>
      <c r="J1263" s="12"/>
    </row>
    <row r="1264" spans="1:10" x14ac:dyDescent="0.25">
      <c r="C1264" s="9"/>
      <c r="D1264" s="10">
        <v>45730</v>
      </c>
      <c r="E1264" t="s">
        <v>2790</v>
      </c>
      <c r="F1264" s="11" t="s">
        <v>2791</v>
      </c>
      <c r="G1264" s="8">
        <v>328.19</v>
      </c>
      <c r="H1264" s="8">
        <v>0</v>
      </c>
      <c r="I1264" s="8">
        <f t="shared" si="65"/>
        <v>328.19</v>
      </c>
      <c r="J1264" s="12"/>
    </row>
    <row r="1265" spans="1:10" x14ac:dyDescent="0.25">
      <c r="C1265" s="9"/>
      <c r="D1265" s="10">
        <v>45733</v>
      </c>
      <c r="E1265" t="s">
        <v>1524</v>
      </c>
      <c r="F1265" s="11" t="s">
        <v>2791</v>
      </c>
      <c r="G1265" s="8">
        <v>0</v>
      </c>
      <c r="H1265" s="8">
        <v>328.19</v>
      </c>
      <c r="I1265" s="8">
        <f t="shared" si="65"/>
        <v>0</v>
      </c>
      <c r="J1265" s="12"/>
    </row>
    <row r="1266" spans="1:10" x14ac:dyDescent="0.25">
      <c r="C1266" s="9"/>
      <c r="D1266" s="10">
        <v>45747</v>
      </c>
      <c r="E1266" t="s">
        <v>2792</v>
      </c>
      <c r="F1266" s="11" t="s">
        <v>2793</v>
      </c>
      <c r="G1266" s="8">
        <v>225.65</v>
      </c>
      <c r="H1266" s="8">
        <v>0</v>
      </c>
      <c r="I1266" s="8">
        <f t="shared" si="65"/>
        <v>225.65</v>
      </c>
      <c r="J1266" s="12"/>
    </row>
    <row r="1267" spans="1:10" x14ac:dyDescent="0.25">
      <c r="C1267" s="9"/>
      <c r="D1267" s="10">
        <v>45748</v>
      </c>
      <c r="E1267" t="s">
        <v>2794</v>
      </c>
      <c r="F1267" s="11" t="s">
        <v>42</v>
      </c>
      <c r="G1267" s="8">
        <v>0</v>
      </c>
      <c r="H1267" s="8">
        <v>225.65</v>
      </c>
      <c r="I1267" s="8">
        <f t="shared" si="65"/>
        <v>0</v>
      </c>
      <c r="J1267" s="12"/>
    </row>
    <row r="1268" spans="1:10" x14ac:dyDescent="0.25">
      <c r="C1268" s="9"/>
      <c r="D1268" s="10">
        <v>45762</v>
      </c>
      <c r="E1268" t="s">
        <v>2794</v>
      </c>
      <c r="F1268" s="11" t="s">
        <v>42</v>
      </c>
      <c r="G1268" s="8">
        <v>0</v>
      </c>
      <c r="H1268" s="8">
        <v>274.04000000000002</v>
      </c>
      <c r="I1268" s="8">
        <f t="shared" si="65"/>
        <v>-274.04000000000002</v>
      </c>
      <c r="J1268" s="12"/>
    </row>
    <row r="1269" spans="1:10" x14ac:dyDescent="0.25">
      <c r="E1269" s="4" t="s">
        <v>20</v>
      </c>
      <c r="G1269" s="8">
        <f>SUM(G1254:G1268)</f>
        <v>1843.5800000000002</v>
      </c>
      <c r="H1269" s="8">
        <f>SUM(H1254:H1268)</f>
        <v>2117.6200000000003</v>
      </c>
      <c r="I1269" s="8">
        <f>G1269-H1269</f>
        <v>-274.04000000000019</v>
      </c>
    </row>
    <row r="1271" spans="1:10" x14ac:dyDescent="0.25">
      <c r="A1271" s="5">
        <v>4301165</v>
      </c>
      <c r="B1271" s="6" t="s">
        <v>2795</v>
      </c>
      <c r="C1271" s="7"/>
      <c r="D1271" s="7"/>
      <c r="E1271" s="7"/>
      <c r="F1271" s="7"/>
      <c r="G1271" s="7"/>
      <c r="H1271" s="7"/>
      <c r="I1271" s="7"/>
      <c r="J1271" s="7"/>
    </row>
    <row r="1272" spans="1:10" x14ac:dyDescent="0.25">
      <c r="E1272" s="4" t="s">
        <v>10</v>
      </c>
      <c r="G1272" s="8">
        <v>12804.57</v>
      </c>
      <c r="H1272" s="8">
        <v>0</v>
      </c>
      <c r="I1272" s="8">
        <f>G1272-H1272</f>
        <v>12804.57</v>
      </c>
    </row>
    <row r="1273" spans="1:10" x14ac:dyDescent="0.25">
      <c r="C1273" s="9"/>
      <c r="D1273" s="10">
        <v>45671</v>
      </c>
      <c r="E1273" t="s">
        <v>2796</v>
      </c>
      <c r="F1273" s="11" t="s">
        <v>2797</v>
      </c>
      <c r="G1273" s="8">
        <v>2250.7600000000002</v>
      </c>
      <c r="H1273" s="8">
        <v>0</v>
      </c>
      <c r="I1273" s="8">
        <f t="shared" ref="I1273:I1284" si="66">G1273-H1273+I1272</f>
        <v>15055.33</v>
      </c>
      <c r="J1273" s="12"/>
    </row>
    <row r="1274" spans="1:10" x14ac:dyDescent="0.25">
      <c r="C1274" s="9"/>
      <c r="D1274" s="10">
        <v>45671</v>
      </c>
      <c r="E1274" t="s">
        <v>2798</v>
      </c>
      <c r="F1274" s="11" t="s">
        <v>42</v>
      </c>
      <c r="G1274" s="8">
        <v>0</v>
      </c>
      <c r="H1274" s="8">
        <v>3316.31</v>
      </c>
      <c r="I1274" s="8">
        <f t="shared" si="66"/>
        <v>11739.02</v>
      </c>
      <c r="J1274" s="12"/>
    </row>
    <row r="1275" spans="1:10" x14ac:dyDescent="0.25">
      <c r="C1275" s="9"/>
      <c r="D1275" s="10">
        <v>45688</v>
      </c>
      <c r="E1275" t="s">
        <v>2799</v>
      </c>
      <c r="F1275" s="11" t="s">
        <v>2800</v>
      </c>
      <c r="G1275" s="8">
        <v>4572.05</v>
      </c>
      <c r="H1275" s="8">
        <v>0</v>
      </c>
      <c r="I1275" s="8">
        <f t="shared" si="66"/>
        <v>16311.07</v>
      </c>
      <c r="J1275" s="12"/>
    </row>
    <row r="1276" spans="1:10" x14ac:dyDescent="0.25">
      <c r="C1276" s="9"/>
      <c r="D1276" s="10">
        <v>45700</v>
      </c>
      <c r="E1276" t="s">
        <v>1524</v>
      </c>
      <c r="F1276" s="11" t="s">
        <v>2801</v>
      </c>
      <c r="G1276" s="8">
        <v>0</v>
      </c>
      <c r="H1276" s="8">
        <v>6051.16</v>
      </c>
      <c r="I1276" s="8">
        <f t="shared" si="66"/>
        <v>10259.91</v>
      </c>
      <c r="J1276" s="12"/>
    </row>
    <row r="1277" spans="1:10" x14ac:dyDescent="0.25">
      <c r="C1277" s="9"/>
      <c r="D1277" s="10">
        <v>45702</v>
      </c>
      <c r="E1277" t="s">
        <v>2802</v>
      </c>
      <c r="F1277" s="11" t="s">
        <v>2803</v>
      </c>
      <c r="G1277" s="8">
        <v>1510.53</v>
      </c>
      <c r="H1277" s="8">
        <v>0</v>
      </c>
      <c r="I1277" s="8">
        <f t="shared" si="66"/>
        <v>11770.44</v>
      </c>
      <c r="J1277" s="12"/>
    </row>
    <row r="1278" spans="1:10" x14ac:dyDescent="0.25">
      <c r="C1278" s="9"/>
      <c r="D1278" s="10">
        <v>45716</v>
      </c>
      <c r="E1278" t="s">
        <v>2804</v>
      </c>
      <c r="F1278" s="11" t="s">
        <v>2805</v>
      </c>
      <c r="G1278" s="8">
        <v>1353.59</v>
      </c>
      <c r="H1278" s="8">
        <v>0</v>
      </c>
      <c r="I1278" s="8">
        <f t="shared" si="66"/>
        <v>13124.03</v>
      </c>
      <c r="J1278" s="12"/>
    </row>
    <row r="1279" spans="1:10" x14ac:dyDescent="0.25">
      <c r="C1279" s="9"/>
      <c r="D1279" s="10">
        <v>45716</v>
      </c>
      <c r="E1279" t="s">
        <v>1524</v>
      </c>
      <c r="F1279" s="11" t="s">
        <v>2806</v>
      </c>
      <c r="G1279" s="8">
        <v>0</v>
      </c>
      <c r="H1279" s="8">
        <v>3277.65</v>
      </c>
      <c r="I1279" s="8">
        <f t="shared" si="66"/>
        <v>9846.380000000001</v>
      </c>
      <c r="J1279" s="12"/>
    </row>
    <row r="1280" spans="1:10" x14ac:dyDescent="0.25">
      <c r="C1280" s="9"/>
      <c r="D1280" s="10">
        <v>45720</v>
      </c>
      <c r="E1280" t="s">
        <v>1524</v>
      </c>
      <c r="F1280" s="11" t="s">
        <v>2807</v>
      </c>
      <c r="G1280" s="8">
        <v>0</v>
      </c>
      <c r="H1280" s="8">
        <v>159.44999999999999</v>
      </c>
      <c r="I1280" s="8">
        <f t="shared" si="66"/>
        <v>9686.93</v>
      </c>
      <c r="J1280" s="12"/>
    </row>
    <row r="1281" spans="1:10" x14ac:dyDescent="0.25">
      <c r="C1281" s="9"/>
      <c r="D1281" s="10">
        <v>45730</v>
      </c>
      <c r="E1281" t="s">
        <v>2808</v>
      </c>
      <c r="F1281" s="11" t="s">
        <v>2809</v>
      </c>
      <c r="G1281" s="8">
        <v>1113.03</v>
      </c>
      <c r="H1281" s="8">
        <v>0</v>
      </c>
      <c r="I1281" s="8">
        <f t="shared" si="66"/>
        <v>10799.960000000001</v>
      </c>
      <c r="J1281" s="12"/>
    </row>
    <row r="1282" spans="1:10" x14ac:dyDescent="0.25">
      <c r="C1282" s="9"/>
      <c r="D1282" s="10">
        <v>45734</v>
      </c>
      <c r="E1282" t="s">
        <v>2797</v>
      </c>
      <c r="F1282" s="11" t="s">
        <v>42</v>
      </c>
      <c r="G1282" s="8">
        <v>0</v>
      </c>
      <c r="H1282" s="8">
        <v>2250.7600000000002</v>
      </c>
      <c r="I1282" s="8">
        <f t="shared" si="66"/>
        <v>8549.2000000000007</v>
      </c>
      <c r="J1282" s="12"/>
    </row>
    <row r="1283" spans="1:10" x14ac:dyDescent="0.25">
      <c r="C1283" s="9"/>
      <c r="D1283" s="10">
        <v>45747</v>
      </c>
      <c r="E1283" t="s">
        <v>2810</v>
      </c>
      <c r="F1283" s="11" t="s">
        <v>2811</v>
      </c>
      <c r="G1283" s="8">
        <v>712.88</v>
      </c>
      <c r="H1283" s="8">
        <v>0</v>
      </c>
      <c r="I1283" s="8">
        <f t="shared" si="66"/>
        <v>9262.08</v>
      </c>
      <c r="J1283" s="12"/>
    </row>
    <row r="1284" spans="1:10" x14ac:dyDescent="0.25">
      <c r="C1284" s="9"/>
      <c r="D1284" s="10">
        <v>45749</v>
      </c>
      <c r="E1284" t="s">
        <v>2812</v>
      </c>
      <c r="F1284" s="11" t="s">
        <v>42</v>
      </c>
      <c r="G1284" s="8">
        <v>0</v>
      </c>
      <c r="H1284" s="8">
        <v>4572.05</v>
      </c>
      <c r="I1284" s="8">
        <f t="shared" si="66"/>
        <v>4690.03</v>
      </c>
      <c r="J1284" s="12"/>
    </row>
    <row r="1285" spans="1:10" x14ac:dyDescent="0.25">
      <c r="E1285" s="4" t="s">
        <v>20</v>
      </c>
      <c r="G1285" s="8">
        <f>SUM(G1272:G1284)</f>
        <v>24317.41</v>
      </c>
      <c r="H1285" s="8">
        <f>SUM(H1272:H1284)</f>
        <v>19627.38</v>
      </c>
      <c r="I1285" s="8">
        <f>G1285-H1285</f>
        <v>4690.0299999999988</v>
      </c>
    </row>
    <row r="1287" spans="1:10" x14ac:dyDescent="0.25">
      <c r="A1287" s="5">
        <v>4301170</v>
      </c>
      <c r="B1287" s="6" t="s">
        <v>2813</v>
      </c>
      <c r="C1287" s="7"/>
      <c r="D1287" s="7"/>
      <c r="E1287" s="7"/>
      <c r="F1287" s="7"/>
      <c r="G1287" s="7"/>
      <c r="H1287" s="7"/>
      <c r="I1287" s="7"/>
      <c r="J1287" s="7"/>
    </row>
    <row r="1288" spans="1:10" x14ac:dyDescent="0.25">
      <c r="E1288" s="4" t="s">
        <v>10</v>
      </c>
      <c r="G1288" s="8">
        <v>5179</v>
      </c>
      <c r="H1288" s="8">
        <v>0</v>
      </c>
      <c r="I1288" s="8">
        <f>G1288-H1288</f>
        <v>5179</v>
      </c>
    </row>
    <row r="1289" spans="1:10" x14ac:dyDescent="0.25">
      <c r="C1289" s="9"/>
      <c r="D1289" s="10">
        <v>45677</v>
      </c>
      <c r="E1289" t="s">
        <v>2814</v>
      </c>
      <c r="F1289" s="11" t="s">
        <v>2815</v>
      </c>
      <c r="G1289" s="8">
        <v>0</v>
      </c>
      <c r="H1289" s="8">
        <v>1746.04</v>
      </c>
      <c r="I1289" s="8">
        <f t="shared" ref="I1289:I1294" si="67">G1289-H1289+I1288</f>
        <v>3432.96</v>
      </c>
      <c r="J1289" s="12"/>
    </row>
    <row r="1290" spans="1:10" x14ac:dyDescent="0.25">
      <c r="C1290" s="9"/>
      <c r="D1290" s="10">
        <v>45688</v>
      </c>
      <c r="E1290" t="s">
        <v>2816</v>
      </c>
      <c r="F1290" s="11" t="s">
        <v>2817</v>
      </c>
      <c r="G1290" s="8">
        <v>854.43</v>
      </c>
      <c r="H1290" s="8">
        <v>0</v>
      </c>
      <c r="I1290" s="8">
        <f t="shared" si="67"/>
        <v>4287.3900000000003</v>
      </c>
      <c r="J1290" s="12"/>
    </row>
    <row r="1291" spans="1:10" x14ac:dyDescent="0.25">
      <c r="C1291" s="9"/>
      <c r="D1291" s="10">
        <v>45705</v>
      </c>
      <c r="E1291" t="s">
        <v>1524</v>
      </c>
      <c r="F1291" s="11" t="s">
        <v>2818</v>
      </c>
      <c r="G1291" s="8">
        <v>0</v>
      </c>
      <c r="H1291" s="8">
        <v>1382.21</v>
      </c>
      <c r="I1291" s="8">
        <f t="shared" si="67"/>
        <v>2905.1800000000003</v>
      </c>
      <c r="J1291" s="12"/>
    </row>
    <row r="1292" spans="1:10" x14ac:dyDescent="0.25">
      <c r="C1292" s="9"/>
      <c r="D1292" s="10">
        <v>45716</v>
      </c>
      <c r="E1292" t="s">
        <v>2819</v>
      </c>
      <c r="F1292" s="11" t="s">
        <v>2820</v>
      </c>
      <c r="G1292" s="8">
        <v>1436.8</v>
      </c>
      <c r="H1292" s="8">
        <v>0</v>
      </c>
      <c r="I1292" s="8">
        <f t="shared" si="67"/>
        <v>4341.9800000000005</v>
      </c>
      <c r="J1292" s="12"/>
    </row>
    <row r="1293" spans="1:10" x14ac:dyDescent="0.25">
      <c r="C1293" s="9"/>
      <c r="D1293" s="10">
        <v>45733</v>
      </c>
      <c r="E1293" t="s">
        <v>1524</v>
      </c>
      <c r="F1293" s="11" t="s">
        <v>2821</v>
      </c>
      <c r="G1293" s="8">
        <v>0</v>
      </c>
      <c r="H1293" s="8">
        <v>1259.77</v>
      </c>
      <c r="I1293" s="8">
        <f t="shared" si="67"/>
        <v>3082.2100000000005</v>
      </c>
      <c r="J1293" s="12"/>
    </row>
    <row r="1294" spans="1:10" x14ac:dyDescent="0.25">
      <c r="C1294" s="9"/>
      <c r="D1294" s="10">
        <v>45747</v>
      </c>
      <c r="E1294" t="s">
        <v>2822</v>
      </c>
      <c r="F1294" s="11" t="s">
        <v>2823</v>
      </c>
      <c r="G1294" s="8">
        <v>1057.77</v>
      </c>
      <c r="H1294" s="8">
        <v>0</v>
      </c>
      <c r="I1294" s="8">
        <f t="shared" si="67"/>
        <v>4139.9800000000005</v>
      </c>
      <c r="J1294" s="12"/>
    </row>
    <row r="1295" spans="1:10" x14ac:dyDescent="0.25">
      <c r="E1295" s="4" t="s">
        <v>20</v>
      </c>
      <c r="G1295" s="8">
        <f>SUM(G1288:G1294)</f>
        <v>8528</v>
      </c>
      <c r="H1295" s="8">
        <f>SUM(H1288:H1294)</f>
        <v>4388.0200000000004</v>
      </c>
      <c r="I1295" s="8">
        <f>G1295-H1295</f>
        <v>4139.9799999999996</v>
      </c>
    </row>
    <row r="1297" spans="1:10" x14ac:dyDescent="0.25">
      <c r="A1297" s="5">
        <v>4301200</v>
      </c>
      <c r="B1297" s="6" t="s">
        <v>2824</v>
      </c>
      <c r="C1297" s="7"/>
      <c r="D1297" s="7"/>
      <c r="E1297" s="7"/>
      <c r="F1297" s="7"/>
      <c r="G1297" s="7"/>
      <c r="H1297" s="7"/>
      <c r="I1297" s="7"/>
      <c r="J1297" s="7"/>
    </row>
    <row r="1298" spans="1:10" x14ac:dyDescent="0.25">
      <c r="E1298" s="4" t="s">
        <v>10</v>
      </c>
      <c r="G1298" s="8">
        <v>4.2699999999999996</v>
      </c>
      <c r="H1298" s="8">
        <v>0</v>
      </c>
      <c r="I1298" s="8">
        <f>G1298-H1298</f>
        <v>4.2699999999999996</v>
      </c>
    </row>
    <row r="1299" spans="1:10" x14ac:dyDescent="0.25">
      <c r="E1299" s="4" t="s">
        <v>20</v>
      </c>
      <c r="G1299" s="8">
        <f>G1298</f>
        <v>4.2699999999999996</v>
      </c>
      <c r="H1299" s="8">
        <f>H1298</f>
        <v>0</v>
      </c>
      <c r="I1299" s="8">
        <f>G1299-H1299</f>
        <v>4.2699999999999996</v>
      </c>
    </row>
    <row r="1301" spans="1:10" x14ac:dyDescent="0.25">
      <c r="A1301" s="5">
        <v>4301250</v>
      </c>
      <c r="B1301" s="6" t="s">
        <v>2825</v>
      </c>
      <c r="C1301" s="7"/>
      <c r="D1301" s="7"/>
      <c r="E1301" s="7"/>
      <c r="F1301" s="7"/>
      <c r="G1301" s="7"/>
      <c r="H1301" s="7"/>
      <c r="I1301" s="7"/>
      <c r="J1301" s="7"/>
    </row>
    <row r="1302" spans="1:10" x14ac:dyDescent="0.25">
      <c r="E1302" s="4" t="s">
        <v>10</v>
      </c>
      <c r="G1302" s="8">
        <v>11.13</v>
      </c>
      <c r="H1302" s="8">
        <v>0</v>
      </c>
      <c r="I1302" s="8">
        <f>G1302-H1302</f>
        <v>11.13</v>
      </c>
    </row>
    <row r="1303" spans="1:10" x14ac:dyDescent="0.25">
      <c r="C1303" s="9"/>
      <c r="D1303" s="10">
        <v>45671</v>
      </c>
      <c r="E1303" t="s">
        <v>2826</v>
      </c>
      <c r="F1303" s="11" t="s">
        <v>2827</v>
      </c>
      <c r="G1303" s="8">
        <v>156.77000000000001</v>
      </c>
      <c r="H1303" s="8">
        <v>0</v>
      </c>
      <c r="I1303" s="8">
        <f t="shared" ref="I1303:I1315" si="68">G1303-H1303+I1302</f>
        <v>167.9</v>
      </c>
      <c r="J1303" s="12"/>
    </row>
    <row r="1304" spans="1:10" x14ac:dyDescent="0.25">
      <c r="C1304" s="9"/>
      <c r="D1304" s="10">
        <v>45672</v>
      </c>
      <c r="E1304" t="s">
        <v>1524</v>
      </c>
      <c r="F1304" s="11" t="s">
        <v>2828</v>
      </c>
      <c r="G1304" s="8">
        <v>0</v>
      </c>
      <c r="H1304" s="8">
        <v>167.24</v>
      </c>
      <c r="I1304" s="8">
        <f t="shared" si="68"/>
        <v>0.65999999999999659</v>
      </c>
      <c r="J1304" s="12"/>
    </row>
    <row r="1305" spans="1:10" x14ac:dyDescent="0.25">
      <c r="C1305" s="9"/>
      <c r="D1305" s="10">
        <v>45688</v>
      </c>
      <c r="E1305" t="s">
        <v>2829</v>
      </c>
      <c r="F1305" s="11" t="s">
        <v>2830</v>
      </c>
      <c r="G1305" s="8">
        <v>735.04</v>
      </c>
      <c r="H1305" s="8">
        <v>0</v>
      </c>
      <c r="I1305" s="8">
        <f t="shared" si="68"/>
        <v>735.69999999999993</v>
      </c>
      <c r="J1305" s="12"/>
    </row>
    <row r="1306" spans="1:10" x14ac:dyDescent="0.25">
      <c r="C1306" s="9"/>
      <c r="D1306" s="10">
        <v>45691</v>
      </c>
      <c r="E1306" t="s">
        <v>1524</v>
      </c>
      <c r="F1306" s="11" t="s">
        <v>2830</v>
      </c>
      <c r="G1306" s="8">
        <v>0</v>
      </c>
      <c r="H1306" s="8">
        <v>735.04</v>
      </c>
      <c r="I1306" s="8">
        <f t="shared" si="68"/>
        <v>0.65999999999996817</v>
      </c>
      <c r="J1306" s="12"/>
    </row>
    <row r="1307" spans="1:10" x14ac:dyDescent="0.25">
      <c r="C1307" s="9"/>
      <c r="D1307" s="10">
        <v>45702</v>
      </c>
      <c r="E1307" t="s">
        <v>2831</v>
      </c>
      <c r="F1307" s="11" t="s">
        <v>2832</v>
      </c>
      <c r="G1307" s="8">
        <v>133</v>
      </c>
      <c r="H1307" s="8">
        <v>0</v>
      </c>
      <c r="I1307" s="8">
        <f t="shared" si="68"/>
        <v>133.65999999999997</v>
      </c>
      <c r="J1307" s="12"/>
    </row>
    <row r="1308" spans="1:10" x14ac:dyDescent="0.25">
      <c r="C1308" s="9"/>
      <c r="D1308" s="10">
        <v>45705</v>
      </c>
      <c r="E1308" t="s">
        <v>1524</v>
      </c>
      <c r="F1308" s="11" t="s">
        <v>2832</v>
      </c>
      <c r="G1308" s="8">
        <v>0</v>
      </c>
      <c r="H1308" s="8">
        <v>133</v>
      </c>
      <c r="I1308" s="8">
        <f t="shared" si="68"/>
        <v>0.65999999999996817</v>
      </c>
      <c r="J1308" s="12"/>
    </row>
    <row r="1309" spans="1:10" x14ac:dyDescent="0.25">
      <c r="C1309" s="9"/>
      <c r="D1309" s="10">
        <v>45716</v>
      </c>
      <c r="E1309" t="s">
        <v>2833</v>
      </c>
      <c r="F1309" s="11" t="s">
        <v>2834</v>
      </c>
      <c r="G1309" s="8">
        <v>2363.38</v>
      </c>
      <c r="H1309" s="8">
        <v>0</v>
      </c>
      <c r="I1309" s="8">
        <f t="shared" si="68"/>
        <v>2364.04</v>
      </c>
      <c r="J1309" s="12"/>
    </row>
    <row r="1310" spans="1:10" x14ac:dyDescent="0.25">
      <c r="C1310" s="9" t="s">
        <v>124</v>
      </c>
      <c r="D1310" s="10">
        <v>45719</v>
      </c>
      <c r="E1310" t="s">
        <v>2835</v>
      </c>
      <c r="F1310" s="11" t="s">
        <v>2834</v>
      </c>
      <c r="G1310" s="8">
        <v>0</v>
      </c>
      <c r="H1310" s="8">
        <v>2363.38</v>
      </c>
      <c r="I1310" s="8">
        <f t="shared" si="68"/>
        <v>0.65999999999985448</v>
      </c>
      <c r="J1310" s="12"/>
    </row>
    <row r="1311" spans="1:10" x14ac:dyDescent="0.25">
      <c r="C1311" s="9"/>
      <c r="D1311" s="10">
        <v>45730</v>
      </c>
      <c r="E1311" t="s">
        <v>2836</v>
      </c>
      <c r="F1311" s="11" t="s">
        <v>2837</v>
      </c>
      <c r="G1311" s="8">
        <v>598.59</v>
      </c>
      <c r="H1311" s="8">
        <v>0</v>
      </c>
      <c r="I1311" s="8">
        <f t="shared" si="68"/>
        <v>599.24999999999989</v>
      </c>
      <c r="J1311" s="12"/>
    </row>
    <row r="1312" spans="1:10" x14ac:dyDescent="0.25">
      <c r="C1312" s="9"/>
      <c r="D1312" s="10">
        <v>45733</v>
      </c>
      <c r="E1312" t="s">
        <v>1524</v>
      </c>
      <c r="F1312" s="11" t="s">
        <v>2837</v>
      </c>
      <c r="G1312" s="8">
        <v>0</v>
      </c>
      <c r="H1312" s="8">
        <v>598.59</v>
      </c>
      <c r="I1312" s="8">
        <f t="shared" si="68"/>
        <v>0.65999999999985448</v>
      </c>
      <c r="J1312" s="12"/>
    </row>
    <row r="1313" spans="1:10" x14ac:dyDescent="0.25">
      <c r="C1313" s="9"/>
      <c r="D1313" s="10">
        <v>45747</v>
      </c>
      <c r="E1313" t="s">
        <v>2838</v>
      </c>
      <c r="F1313" s="11" t="s">
        <v>2839</v>
      </c>
      <c r="G1313" s="8">
        <v>67.569999999999993</v>
      </c>
      <c r="H1313" s="8">
        <v>0</v>
      </c>
      <c r="I1313" s="8">
        <f t="shared" si="68"/>
        <v>68.229999999999848</v>
      </c>
      <c r="J1313" s="12"/>
    </row>
    <row r="1314" spans="1:10" x14ac:dyDescent="0.25">
      <c r="C1314" s="9" t="s">
        <v>124</v>
      </c>
      <c r="D1314" s="10">
        <v>45748</v>
      </c>
      <c r="E1314" t="s">
        <v>2840</v>
      </c>
      <c r="F1314" s="11" t="s">
        <v>2839</v>
      </c>
      <c r="G1314" s="8">
        <v>0</v>
      </c>
      <c r="H1314" s="8">
        <v>67.569999999999993</v>
      </c>
      <c r="I1314" s="8">
        <f t="shared" si="68"/>
        <v>0.65999999999985448</v>
      </c>
      <c r="J1314" s="12"/>
    </row>
    <row r="1315" spans="1:10" x14ac:dyDescent="0.25">
      <c r="C1315" s="9"/>
      <c r="D1315" s="10">
        <v>45762</v>
      </c>
      <c r="E1315" t="s">
        <v>1524</v>
      </c>
      <c r="F1315" s="11" t="s">
        <v>2841</v>
      </c>
      <c r="G1315" s="8">
        <v>0</v>
      </c>
      <c r="H1315" s="8">
        <v>190.47</v>
      </c>
      <c r="I1315" s="8">
        <f t="shared" si="68"/>
        <v>-189.81000000000014</v>
      </c>
      <c r="J1315" s="12"/>
    </row>
    <row r="1316" spans="1:10" x14ac:dyDescent="0.25">
      <c r="E1316" s="4" t="s">
        <v>20</v>
      </c>
      <c r="G1316" s="8">
        <f>SUM(G1302:G1315)</f>
        <v>4065.4800000000005</v>
      </c>
      <c r="H1316" s="8">
        <f>SUM(H1302:H1315)</f>
        <v>4255.29</v>
      </c>
      <c r="I1316" s="8">
        <f>G1316-H1316</f>
        <v>-189.80999999999949</v>
      </c>
    </row>
    <row r="1318" spans="1:10" x14ac:dyDescent="0.25">
      <c r="A1318" s="5">
        <v>4301275</v>
      </c>
      <c r="B1318" s="6" t="s">
        <v>2842</v>
      </c>
      <c r="C1318" s="7"/>
      <c r="D1318" s="7"/>
      <c r="E1318" s="7"/>
      <c r="F1318" s="7"/>
      <c r="G1318" s="7"/>
      <c r="H1318" s="7"/>
      <c r="I1318" s="7"/>
      <c r="J1318" s="7"/>
    </row>
    <row r="1319" spans="1:10" x14ac:dyDescent="0.25">
      <c r="E1319" s="4" t="s">
        <v>10</v>
      </c>
      <c r="G1319" s="8">
        <v>43.87</v>
      </c>
      <c r="H1319" s="8">
        <v>0</v>
      </c>
      <c r="I1319" s="8">
        <f>G1319-H1319</f>
        <v>43.87</v>
      </c>
    </row>
    <row r="1320" spans="1:10" x14ac:dyDescent="0.25">
      <c r="C1320" s="9"/>
      <c r="D1320" s="10">
        <v>45671</v>
      </c>
      <c r="E1320" t="s">
        <v>2843</v>
      </c>
      <c r="F1320" s="11" t="s">
        <v>2844</v>
      </c>
      <c r="G1320" s="8">
        <v>84.7</v>
      </c>
      <c r="H1320" s="8">
        <v>0</v>
      </c>
      <c r="I1320" s="8">
        <f>G1320-H1320+I1319</f>
        <v>128.57</v>
      </c>
      <c r="J1320" s="12"/>
    </row>
    <row r="1321" spans="1:10" x14ac:dyDescent="0.25">
      <c r="C1321" s="9"/>
      <c r="D1321" s="10">
        <v>45672</v>
      </c>
      <c r="E1321" t="s">
        <v>1524</v>
      </c>
      <c r="F1321" s="11" t="s">
        <v>2626</v>
      </c>
      <c r="G1321" s="8">
        <v>0</v>
      </c>
      <c r="H1321" s="8">
        <v>75.12</v>
      </c>
      <c r="I1321" s="8">
        <f>G1321-H1321+I1320</f>
        <v>53.449999999999989</v>
      </c>
      <c r="J1321" s="12"/>
    </row>
    <row r="1322" spans="1:10" x14ac:dyDescent="0.25">
      <c r="C1322" s="9"/>
      <c r="D1322" s="10">
        <v>45716</v>
      </c>
      <c r="E1322" t="s">
        <v>2845</v>
      </c>
      <c r="F1322" s="11" t="s">
        <v>2846</v>
      </c>
      <c r="G1322" s="8">
        <v>74.77</v>
      </c>
      <c r="H1322" s="8">
        <v>0</v>
      </c>
      <c r="I1322" s="8">
        <f>G1322-H1322+I1321</f>
        <v>128.21999999999997</v>
      </c>
      <c r="J1322" s="12"/>
    </row>
    <row r="1323" spans="1:10" x14ac:dyDescent="0.25">
      <c r="C1323" s="9"/>
      <c r="D1323" s="10">
        <v>45720</v>
      </c>
      <c r="E1323" t="s">
        <v>1524</v>
      </c>
      <c r="F1323" s="11" t="s">
        <v>2846</v>
      </c>
      <c r="G1323" s="8">
        <v>0</v>
      </c>
      <c r="H1323" s="8">
        <v>74.77</v>
      </c>
      <c r="I1323" s="8">
        <f>G1323-H1323+I1322</f>
        <v>53.449999999999974</v>
      </c>
      <c r="J1323" s="12"/>
    </row>
    <row r="1324" spans="1:10" x14ac:dyDescent="0.25">
      <c r="C1324" s="9"/>
      <c r="D1324" s="10">
        <v>45762</v>
      </c>
      <c r="E1324" t="s">
        <v>2847</v>
      </c>
      <c r="F1324" s="11" t="s">
        <v>42</v>
      </c>
      <c r="G1324" s="8">
        <v>0</v>
      </c>
      <c r="H1324" s="8">
        <v>116.96</v>
      </c>
      <c r="I1324" s="8">
        <f>G1324-H1324+I1323</f>
        <v>-63.510000000000019</v>
      </c>
      <c r="J1324" s="12"/>
    </row>
    <row r="1325" spans="1:10" x14ac:dyDescent="0.25">
      <c r="E1325" s="4" t="s">
        <v>20</v>
      </c>
      <c r="G1325" s="8">
        <f>SUM(G1319:G1324)</f>
        <v>203.33999999999997</v>
      </c>
      <c r="H1325" s="8">
        <f>SUM(H1319:H1324)</f>
        <v>266.84999999999997</v>
      </c>
      <c r="I1325" s="8">
        <f>G1325-H1325</f>
        <v>-63.509999999999991</v>
      </c>
    </row>
    <row r="1327" spans="1:10" x14ac:dyDescent="0.25">
      <c r="A1327" s="5">
        <v>4301280</v>
      </c>
      <c r="B1327" s="6" t="s">
        <v>2848</v>
      </c>
      <c r="C1327" s="7"/>
      <c r="D1327" s="7"/>
      <c r="E1327" s="7"/>
      <c r="F1327" s="7"/>
      <c r="G1327" s="7"/>
      <c r="H1327" s="7"/>
      <c r="I1327" s="7"/>
      <c r="J1327" s="7"/>
    </row>
    <row r="1328" spans="1:10" x14ac:dyDescent="0.25">
      <c r="E1328" s="4" t="s">
        <v>10</v>
      </c>
      <c r="G1328" s="8">
        <v>14.93</v>
      </c>
      <c r="H1328" s="8">
        <v>0</v>
      </c>
      <c r="I1328" s="8">
        <f>G1328-H1328</f>
        <v>14.93</v>
      </c>
    </row>
    <row r="1329" spans="1:10" x14ac:dyDescent="0.25">
      <c r="E1329" s="4" t="s">
        <v>20</v>
      </c>
      <c r="G1329" s="8">
        <f>G1328</f>
        <v>14.93</v>
      </c>
      <c r="H1329" s="8">
        <f>H1328</f>
        <v>0</v>
      </c>
      <c r="I1329" s="8">
        <f>G1329-H1329</f>
        <v>14.93</v>
      </c>
    </row>
    <row r="1331" spans="1:10" x14ac:dyDescent="0.25">
      <c r="A1331" s="5">
        <v>4301345</v>
      </c>
      <c r="B1331" s="6" t="s">
        <v>2849</v>
      </c>
      <c r="C1331" s="7"/>
      <c r="D1331" s="7"/>
      <c r="E1331" s="7"/>
      <c r="F1331" s="7"/>
      <c r="G1331" s="7"/>
      <c r="H1331" s="7"/>
      <c r="I1331" s="7"/>
      <c r="J1331" s="7"/>
    </row>
    <row r="1332" spans="1:10" x14ac:dyDescent="0.25">
      <c r="C1332" s="9"/>
      <c r="D1332" s="10">
        <v>45671</v>
      </c>
      <c r="E1332" t="s">
        <v>2850</v>
      </c>
      <c r="F1332" s="11" t="s">
        <v>2851</v>
      </c>
      <c r="G1332" s="8">
        <v>105.89</v>
      </c>
      <c r="H1332" s="8">
        <v>0</v>
      </c>
      <c r="I1332" s="8">
        <f>G1332-H1332</f>
        <v>105.89</v>
      </c>
      <c r="J1332" s="12"/>
    </row>
    <row r="1333" spans="1:10" x14ac:dyDescent="0.25">
      <c r="C1333" s="9"/>
      <c r="D1333" s="10">
        <v>45672</v>
      </c>
      <c r="E1333" t="s">
        <v>1524</v>
      </c>
      <c r="F1333" s="11" t="s">
        <v>2851</v>
      </c>
      <c r="G1333" s="8">
        <v>0</v>
      </c>
      <c r="H1333" s="8">
        <v>105.89</v>
      </c>
      <c r="I1333" s="8">
        <f t="shared" ref="I1333:I1344" si="69">G1333-H1333+I1332</f>
        <v>0</v>
      </c>
      <c r="J1333" s="12"/>
    </row>
    <row r="1334" spans="1:10" x14ac:dyDescent="0.25">
      <c r="C1334" s="9"/>
      <c r="D1334" s="10">
        <v>45688</v>
      </c>
      <c r="E1334" t="s">
        <v>2852</v>
      </c>
      <c r="F1334" s="11" t="s">
        <v>2853</v>
      </c>
      <c r="G1334" s="8">
        <v>174.06</v>
      </c>
      <c r="H1334" s="8">
        <v>0</v>
      </c>
      <c r="I1334" s="8">
        <f t="shared" si="69"/>
        <v>174.06</v>
      </c>
      <c r="J1334" s="12"/>
    </row>
    <row r="1335" spans="1:10" x14ac:dyDescent="0.25">
      <c r="C1335" s="9"/>
      <c r="D1335" s="10">
        <v>45691</v>
      </c>
      <c r="E1335" t="s">
        <v>1524</v>
      </c>
      <c r="F1335" s="11" t="s">
        <v>2853</v>
      </c>
      <c r="G1335" s="8">
        <v>0</v>
      </c>
      <c r="H1335" s="8">
        <v>174.06</v>
      </c>
      <c r="I1335" s="8">
        <f t="shared" si="69"/>
        <v>0</v>
      </c>
      <c r="J1335" s="12"/>
    </row>
    <row r="1336" spans="1:10" x14ac:dyDescent="0.25">
      <c r="C1336" s="9"/>
      <c r="D1336" s="10">
        <v>45702</v>
      </c>
      <c r="E1336" t="s">
        <v>2854</v>
      </c>
      <c r="F1336" s="11" t="s">
        <v>2855</v>
      </c>
      <c r="G1336" s="8">
        <v>158.22999999999999</v>
      </c>
      <c r="H1336" s="8">
        <v>0</v>
      </c>
      <c r="I1336" s="8">
        <f t="shared" si="69"/>
        <v>158.22999999999999</v>
      </c>
      <c r="J1336" s="12"/>
    </row>
    <row r="1337" spans="1:10" x14ac:dyDescent="0.25">
      <c r="C1337" s="9"/>
      <c r="D1337" s="10">
        <v>45705</v>
      </c>
      <c r="E1337" t="s">
        <v>1524</v>
      </c>
      <c r="F1337" s="11" t="s">
        <v>2855</v>
      </c>
      <c r="G1337" s="8">
        <v>0</v>
      </c>
      <c r="H1337" s="8">
        <v>158.22999999999999</v>
      </c>
      <c r="I1337" s="8">
        <f t="shared" si="69"/>
        <v>0</v>
      </c>
      <c r="J1337" s="12"/>
    </row>
    <row r="1338" spans="1:10" x14ac:dyDescent="0.25">
      <c r="C1338" s="9"/>
      <c r="D1338" s="10">
        <v>45716</v>
      </c>
      <c r="E1338" t="s">
        <v>2856</v>
      </c>
      <c r="F1338" s="11" t="s">
        <v>2857</v>
      </c>
      <c r="G1338" s="8">
        <v>163.37</v>
      </c>
      <c r="H1338" s="8">
        <v>0</v>
      </c>
      <c r="I1338" s="8">
        <f t="shared" si="69"/>
        <v>163.37</v>
      </c>
      <c r="J1338" s="12"/>
    </row>
    <row r="1339" spans="1:10" x14ac:dyDescent="0.25">
      <c r="C1339" s="9" t="s">
        <v>124</v>
      </c>
      <c r="D1339" s="10">
        <v>45719</v>
      </c>
      <c r="E1339" t="s">
        <v>2858</v>
      </c>
      <c r="F1339" s="11" t="s">
        <v>2857</v>
      </c>
      <c r="G1339" s="8">
        <v>0</v>
      </c>
      <c r="H1339" s="8">
        <v>163.37</v>
      </c>
      <c r="I1339" s="8">
        <f t="shared" si="69"/>
        <v>0</v>
      </c>
      <c r="J1339" s="12"/>
    </row>
    <row r="1340" spans="1:10" x14ac:dyDescent="0.25">
      <c r="C1340" s="9"/>
      <c r="D1340" s="10">
        <v>45730</v>
      </c>
      <c r="E1340" t="s">
        <v>2859</v>
      </c>
      <c r="F1340" s="11" t="s">
        <v>2860</v>
      </c>
      <c r="G1340" s="8">
        <v>105.68</v>
      </c>
      <c r="H1340" s="8">
        <v>0</v>
      </c>
      <c r="I1340" s="8">
        <f t="shared" si="69"/>
        <v>105.68</v>
      </c>
      <c r="J1340" s="12"/>
    </row>
    <row r="1341" spans="1:10" x14ac:dyDescent="0.25">
      <c r="C1341" s="9"/>
      <c r="D1341" s="10">
        <v>45733</v>
      </c>
      <c r="E1341" t="s">
        <v>1524</v>
      </c>
      <c r="F1341" s="11" t="s">
        <v>2860</v>
      </c>
      <c r="G1341" s="8">
        <v>0</v>
      </c>
      <c r="H1341" s="8">
        <v>105.68</v>
      </c>
      <c r="I1341" s="8">
        <f t="shared" si="69"/>
        <v>0</v>
      </c>
      <c r="J1341" s="12"/>
    </row>
    <row r="1342" spans="1:10" x14ac:dyDescent="0.25">
      <c r="C1342" s="9"/>
      <c r="D1342" s="10">
        <v>45747</v>
      </c>
      <c r="E1342" t="s">
        <v>2861</v>
      </c>
      <c r="F1342" s="11" t="s">
        <v>2862</v>
      </c>
      <c r="G1342" s="8">
        <v>175.57</v>
      </c>
      <c r="H1342" s="8">
        <v>0</v>
      </c>
      <c r="I1342" s="8">
        <f t="shared" si="69"/>
        <v>175.57</v>
      </c>
      <c r="J1342" s="12"/>
    </row>
    <row r="1343" spans="1:10" x14ac:dyDescent="0.25">
      <c r="C1343" s="9" t="s">
        <v>124</v>
      </c>
      <c r="D1343" s="10">
        <v>45748</v>
      </c>
      <c r="E1343" t="s">
        <v>2863</v>
      </c>
      <c r="F1343" s="11" t="s">
        <v>2862</v>
      </c>
      <c r="G1343" s="8">
        <v>0</v>
      </c>
      <c r="H1343" s="8">
        <v>175.57</v>
      </c>
      <c r="I1343" s="8">
        <f t="shared" si="69"/>
        <v>0</v>
      </c>
      <c r="J1343" s="12"/>
    </row>
    <row r="1344" spans="1:10" x14ac:dyDescent="0.25">
      <c r="C1344" s="9"/>
      <c r="D1344" s="10">
        <v>45762</v>
      </c>
      <c r="E1344" t="s">
        <v>2864</v>
      </c>
      <c r="F1344" s="11" t="s">
        <v>42</v>
      </c>
      <c r="G1344" s="8">
        <v>0</v>
      </c>
      <c r="H1344" s="8">
        <v>177.28</v>
      </c>
      <c r="I1344" s="8">
        <f t="shared" si="69"/>
        <v>-177.28</v>
      </c>
      <c r="J1344" s="12"/>
    </row>
    <row r="1345" spans="1:10" x14ac:dyDescent="0.25">
      <c r="E1345" s="4" t="s">
        <v>20</v>
      </c>
      <c r="G1345" s="8">
        <f>SUM(G1332:G1344)</f>
        <v>882.8</v>
      </c>
      <c r="H1345" s="8">
        <f>SUM(H1332:H1344)</f>
        <v>1060.08</v>
      </c>
      <c r="I1345" s="8">
        <f>G1345-H1345</f>
        <v>-177.27999999999997</v>
      </c>
    </row>
    <row r="1347" spans="1:10" x14ac:dyDescent="0.25">
      <c r="A1347" s="5">
        <v>4301375</v>
      </c>
      <c r="B1347" s="6" t="s">
        <v>2865</v>
      </c>
      <c r="C1347" s="7"/>
      <c r="D1347" s="7"/>
      <c r="E1347" s="7"/>
      <c r="F1347" s="7"/>
      <c r="G1347" s="7"/>
      <c r="H1347" s="7"/>
      <c r="I1347" s="7"/>
      <c r="J1347" s="7"/>
    </row>
    <row r="1348" spans="1:10" x14ac:dyDescent="0.25">
      <c r="E1348" s="4" t="s">
        <v>10</v>
      </c>
      <c r="G1348" s="8">
        <v>15.8</v>
      </c>
      <c r="H1348" s="8">
        <v>0</v>
      </c>
      <c r="I1348" s="8">
        <f>G1348-H1348</f>
        <v>15.8</v>
      </c>
    </row>
    <row r="1349" spans="1:10" x14ac:dyDescent="0.25">
      <c r="C1349" s="9"/>
      <c r="D1349" s="10">
        <v>45671</v>
      </c>
      <c r="E1349" t="s">
        <v>2866</v>
      </c>
      <c r="F1349" s="11" t="s">
        <v>2867</v>
      </c>
      <c r="G1349" s="8">
        <v>208.07</v>
      </c>
      <c r="H1349" s="8">
        <v>0</v>
      </c>
      <c r="I1349" s="8">
        <f t="shared" ref="I1349:I1361" si="70">G1349-H1349+I1348</f>
        <v>223.87</v>
      </c>
      <c r="J1349" s="12"/>
    </row>
    <row r="1350" spans="1:10" x14ac:dyDescent="0.25">
      <c r="C1350" s="9"/>
      <c r="D1350" s="10">
        <v>45672</v>
      </c>
      <c r="E1350" t="s">
        <v>2868</v>
      </c>
      <c r="F1350" s="11" t="s">
        <v>42</v>
      </c>
      <c r="G1350" s="8">
        <v>0</v>
      </c>
      <c r="H1350" s="8">
        <v>223.87</v>
      </c>
      <c r="I1350" s="8">
        <f t="shared" si="70"/>
        <v>0</v>
      </c>
      <c r="J1350" s="12"/>
    </row>
    <row r="1351" spans="1:10" x14ac:dyDescent="0.25">
      <c r="C1351" s="9"/>
      <c r="D1351" s="10">
        <v>45688</v>
      </c>
      <c r="E1351" t="s">
        <v>2869</v>
      </c>
      <c r="F1351" s="11" t="s">
        <v>2870</v>
      </c>
      <c r="G1351" s="8">
        <v>265.33</v>
      </c>
      <c r="H1351" s="8">
        <v>0</v>
      </c>
      <c r="I1351" s="8">
        <f t="shared" si="70"/>
        <v>265.33</v>
      </c>
      <c r="J1351" s="12"/>
    </row>
    <row r="1352" spans="1:10" x14ac:dyDescent="0.25">
      <c r="C1352" s="9"/>
      <c r="D1352" s="10">
        <v>45691</v>
      </c>
      <c r="E1352" t="s">
        <v>1524</v>
      </c>
      <c r="F1352" s="11" t="s">
        <v>2870</v>
      </c>
      <c r="G1352" s="8">
        <v>0</v>
      </c>
      <c r="H1352" s="8">
        <v>265.33</v>
      </c>
      <c r="I1352" s="8">
        <f t="shared" si="70"/>
        <v>0</v>
      </c>
      <c r="J1352" s="12"/>
    </row>
    <row r="1353" spans="1:10" x14ac:dyDescent="0.25">
      <c r="C1353" s="9"/>
      <c r="D1353" s="10">
        <v>45702</v>
      </c>
      <c r="E1353" t="s">
        <v>2871</v>
      </c>
      <c r="F1353" s="11" t="s">
        <v>2872</v>
      </c>
      <c r="G1353" s="8">
        <v>166.25</v>
      </c>
      <c r="H1353" s="8">
        <v>0</v>
      </c>
      <c r="I1353" s="8">
        <f t="shared" si="70"/>
        <v>166.25</v>
      </c>
      <c r="J1353" s="12"/>
    </row>
    <row r="1354" spans="1:10" x14ac:dyDescent="0.25">
      <c r="C1354" s="9"/>
      <c r="D1354" s="10">
        <v>45705</v>
      </c>
      <c r="E1354" t="s">
        <v>1524</v>
      </c>
      <c r="F1354" s="11" t="s">
        <v>2872</v>
      </c>
      <c r="G1354" s="8">
        <v>0</v>
      </c>
      <c r="H1354" s="8">
        <v>166.25</v>
      </c>
      <c r="I1354" s="8">
        <f t="shared" si="70"/>
        <v>0</v>
      </c>
      <c r="J1354" s="12"/>
    </row>
    <row r="1355" spans="1:10" x14ac:dyDescent="0.25">
      <c r="C1355" s="9"/>
      <c r="D1355" s="10">
        <v>45716</v>
      </c>
      <c r="E1355" t="s">
        <v>2873</v>
      </c>
      <c r="F1355" s="11" t="s">
        <v>2874</v>
      </c>
      <c r="G1355" s="8">
        <v>124.18</v>
      </c>
      <c r="H1355" s="8">
        <v>0</v>
      </c>
      <c r="I1355" s="8">
        <f t="shared" si="70"/>
        <v>124.18</v>
      </c>
      <c r="J1355" s="12"/>
    </row>
    <row r="1356" spans="1:10" x14ac:dyDescent="0.25">
      <c r="C1356" s="9" t="s">
        <v>124</v>
      </c>
      <c r="D1356" s="10">
        <v>45719</v>
      </c>
      <c r="E1356" t="s">
        <v>2875</v>
      </c>
      <c r="F1356" s="11" t="s">
        <v>2874</v>
      </c>
      <c r="G1356" s="8">
        <v>0</v>
      </c>
      <c r="H1356" s="8">
        <v>124.18</v>
      </c>
      <c r="I1356" s="8">
        <f t="shared" si="70"/>
        <v>0</v>
      </c>
      <c r="J1356" s="12"/>
    </row>
    <row r="1357" spans="1:10" x14ac:dyDescent="0.25">
      <c r="C1357" s="9"/>
      <c r="D1357" s="10">
        <v>45730</v>
      </c>
      <c r="E1357" t="s">
        <v>2876</v>
      </c>
      <c r="F1357" s="11" t="s">
        <v>2877</v>
      </c>
      <c r="G1357" s="8">
        <v>203.03</v>
      </c>
      <c r="H1357" s="8">
        <v>0</v>
      </c>
      <c r="I1357" s="8">
        <f t="shared" si="70"/>
        <v>203.03</v>
      </c>
      <c r="J1357" s="12"/>
    </row>
    <row r="1358" spans="1:10" x14ac:dyDescent="0.25">
      <c r="C1358" s="9"/>
      <c r="D1358" s="10">
        <v>45733</v>
      </c>
      <c r="E1358" t="s">
        <v>1524</v>
      </c>
      <c r="F1358" s="11" t="s">
        <v>2877</v>
      </c>
      <c r="G1358" s="8">
        <v>0</v>
      </c>
      <c r="H1358" s="8">
        <v>203.03</v>
      </c>
      <c r="I1358" s="8">
        <f t="shared" si="70"/>
        <v>0</v>
      </c>
      <c r="J1358" s="12"/>
    </row>
    <row r="1359" spans="1:10" x14ac:dyDescent="0.25">
      <c r="C1359" s="9"/>
      <c r="D1359" s="10">
        <v>45747</v>
      </c>
      <c r="E1359" t="s">
        <v>2878</v>
      </c>
      <c r="F1359" s="11" t="s">
        <v>2879</v>
      </c>
      <c r="G1359" s="8">
        <v>684.05</v>
      </c>
      <c r="H1359" s="8">
        <v>0</v>
      </c>
      <c r="I1359" s="8">
        <f t="shared" si="70"/>
        <v>684.05</v>
      </c>
      <c r="J1359" s="12"/>
    </row>
    <row r="1360" spans="1:10" x14ac:dyDescent="0.25">
      <c r="C1360" s="9" t="s">
        <v>124</v>
      </c>
      <c r="D1360" s="10">
        <v>45748</v>
      </c>
      <c r="E1360" t="s">
        <v>2880</v>
      </c>
      <c r="F1360" s="11" t="s">
        <v>2879</v>
      </c>
      <c r="G1360" s="8">
        <v>0</v>
      </c>
      <c r="H1360" s="8">
        <v>684.05</v>
      </c>
      <c r="I1360" s="8">
        <f t="shared" si="70"/>
        <v>0</v>
      </c>
      <c r="J1360" s="12"/>
    </row>
    <row r="1361" spans="1:10" x14ac:dyDescent="0.25">
      <c r="C1361" s="9"/>
      <c r="D1361" s="10">
        <v>45762</v>
      </c>
      <c r="E1361" t="s">
        <v>2868</v>
      </c>
      <c r="F1361" s="11" t="s">
        <v>42</v>
      </c>
      <c r="G1361" s="8">
        <v>0</v>
      </c>
      <c r="H1361" s="8">
        <v>583.20000000000005</v>
      </c>
      <c r="I1361" s="8">
        <f t="shared" si="70"/>
        <v>-583.20000000000005</v>
      </c>
      <c r="J1361" s="12"/>
    </row>
    <row r="1362" spans="1:10" x14ac:dyDescent="0.25">
      <c r="E1362" s="4" t="s">
        <v>20</v>
      </c>
      <c r="G1362" s="8">
        <f>SUM(G1348:G1361)</f>
        <v>1666.71</v>
      </c>
      <c r="H1362" s="8">
        <f>SUM(H1348:H1361)</f>
        <v>2249.91</v>
      </c>
      <c r="I1362" s="8">
        <f>G1362-H1362</f>
        <v>-583.19999999999982</v>
      </c>
    </row>
    <row r="1364" spans="1:10" x14ac:dyDescent="0.25">
      <c r="A1364" s="5">
        <v>4301380</v>
      </c>
      <c r="B1364" s="6" t="s">
        <v>2881</v>
      </c>
      <c r="C1364" s="7"/>
      <c r="D1364" s="7"/>
      <c r="E1364" s="7"/>
      <c r="F1364" s="7"/>
      <c r="G1364" s="7"/>
      <c r="H1364" s="7"/>
      <c r="I1364" s="7"/>
      <c r="J1364" s="7"/>
    </row>
    <row r="1365" spans="1:10" x14ac:dyDescent="0.25">
      <c r="E1365" s="4" t="s">
        <v>10</v>
      </c>
      <c r="G1365" s="8">
        <v>54.03</v>
      </c>
      <c r="H1365" s="8">
        <v>0</v>
      </c>
      <c r="I1365" s="8">
        <f>G1365-H1365</f>
        <v>54.03</v>
      </c>
    </row>
    <row r="1366" spans="1:10" x14ac:dyDescent="0.25">
      <c r="C1366" s="9"/>
      <c r="D1366" s="10">
        <v>45660</v>
      </c>
      <c r="E1366" t="s">
        <v>1524</v>
      </c>
      <c r="F1366" s="11" t="s">
        <v>2882</v>
      </c>
      <c r="G1366" s="8">
        <v>0</v>
      </c>
      <c r="H1366" s="8">
        <v>54.03</v>
      </c>
      <c r="I1366" s="8">
        <f t="shared" ref="I1366:I1375" si="71">G1366-H1366+I1365</f>
        <v>0</v>
      </c>
      <c r="J1366" s="12"/>
    </row>
    <row r="1367" spans="1:10" x14ac:dyDescent="0.25">
      <c r="C1367" s="9"/>
      <c r="D1367" s="10">
        <v>45671</v>
      </c>
      <c r="E1367" t="s">
        <v>2883</v>
      </c>
      <c r="F1367" s="11" t="s">
        <v>2884</v>
      </c>
      <c r="G1367" s="8">
        <v>44</v>
      </c>
      <c r="H1367" s="8">
        <v>0</v>
      </c>
      <c r="I1367" s="8">
        <f t="shared" si="71"/>
        <v>44</v>
      </c>
      <c r="J1367" s="12"/>
    </row>
    <row r="1368" spans="1:10" x14ac:dyDescent="0.25">
      <c r="C1368" s="9"/>
      <c r="D1368" s="10">
        <v>45672</v>
      </c>
      <c r="E1368" t="s">
        <v>1524</v>
      </c>
      <c r="F1368" s="11" t="s">
        <v>2884</v>
      </c>
      <c r="G1368" s="8">
        <v>0</v>
      </c>
      <c r="H1368" s="8">
        <v>44</v>
      </c>
      <c r="I1368" s="8">
        <f t="shared" si="71"/>
        <v>0</v>
      </c>
      <c r="J1368" s="12"/>
    </row>
    <row r="1369" spans="1:10" x14ac:dyDescent="0.25">
      <c r="C1369" s="9"/>
      <c r="D1369" s="10">
        <v>45688</v>
      </c>
      <c r="E1369" t="s">
        <v>2885</v>
      </c>
      <c r="F1369" s="11" t="s">
        <v>2886</v>
      </c>
      <c r="G1369" s="8">
        <v>416.4</v>
      </c>
      <c r="H1369" s="8">
        <v>0</v>
      </c>
      <c r="I1369" s="8">
        <f t="shared" si="71"/>
        <v>416.4</v>
      </c>
      <c r="J1369" s="12"/>
    </row>
    <row r="1370" spans="1:10" x14ac:dyDescent="0.25">
      <c r="C1370" s="9" t="s">
        <v>124</v>
      </c>
      <c r="D1370" s="10">
        <v>45691</v>
      </c>
      <c r="E1370" t="s">
        <v>2887</v>
      </c>
      <c r="F1370" s="11" t="s">
        <v>2886</v>
      </c>
      <c r="G1370" s="8">
        <v>0</v>
      </c>
      <c r="H1370" s="8">
        <v>416.4</v>
      </c>
      <c r="I1370" s="8">
        <f t="shared" si="71"/>
        <v>0</v>
      </c>
      <c r="J1370" s="12"/>
    </row>
    <row r="1371" spans="1:10" x14ac:dyDescent="0.25">
      <c r="C1371" s="9"/>
      <c r="D1371" s="10">
        <v>45702</v>
      </c>
      <c r="E1371" t="s">
        <v>2888</v>
      </c>
      <c r="F1371" s="11" t="s">
        <v>2889</v>
      </c>
      <c r="G1371" s="8">
        <v>120.62</v>
      </c>
      <c r="H1371" s="8">
        <v>0</v>
      </c>
      <c r="I1371" s="8">
        <f t="shared" si="71"/>
        <v>120.62</v>
      </c>
      <c r="J1371" s="12"/>
    </row>
    <row r="1372" spans="1:10" x14ac:dyDescent="0.25">
      <c r="C1372" s="9"/>
      <c r="D1372" s="10">
        <v>45705</v>
      </c>
      <c r="E1372" t="s">
        <v>1524</v>
      </c>
      <c r="F1372" s="11" t="s">
        <v>2889</v>
      </c>
      <c r="G1372" s="8">
        <v>0</v>
      </c>
      <c r="H1372" s="8">
        <v>120.62</v>
      </c>
      <c r="I1372" s="8">
        <f t="shared" si="71"/>
        <v>0</v>
      </c>
      <c r="J1372" s="12"/>
    </row>
    <row r="1373" spans="1:10" x14ac:dyDescent="0.25">
      <c r="C1373" s="9"/>
      <c r="D1373" s="10">
        <v>45747</v>
      </c>
      <c r="E1373" t="s">
        <v>2890</v>
      </c>
      <c r="F1373" s="11" t="s">
        <v>2891</v>
      </c>
      <c r="G1373" s="8">
        <v>150.91999999999999</v>
      </c>
      <c r="H1373" s="8">
        <v>0</v>
      </c>
      <c r="I1373" s="8">
        <f t="shared" si="71"/>
        <v>150.91999999999999</v>
      </c>
      <c r="J1373" s="12"/>
    </row>
    <row r="1374" spans="1:10" x14ac:dyDescent="0.25">
      <c r="C1374" s="9"/>
      <c r="D1374" s="10">
        <v>45748</v>
      </c>
      <c r="E1374" t="s">
        <v>2892</v>
      </c>
      <c r="F1374" s="11" t="s">
        <v>42</v>
      </c>
      <c r="G1374" s="8">
        <v>0</v>
      </c>
      <c r="H1374" s="8">
        <v>150.91999999999999</v>
      </c>
      <c r="I1374" s="8">
        <f t="shared" si="71"/>
        <v>0</v>
      </c>
      <c r="J1374" s="12"/>
    </row>
    <row r="1375" spans="1:10" x14ac:dyDescent="0.25">
      <c r="C1375" s="9"/>
      <c r="D1375" s="10">
        <v>45762</v>
      </c>
      <c r="E1375" t="s">
        <v>1524</v>
      </c>
      <c r="F1375" s="11" t="s">
        <v>2893</v>
      </c>
      <c r="G1375" s="8">
        <v>0</v>
      </c>
      <c r="H1375" s="8">
        <v>598.87</v>
      </c>
      <c r="I1375" s="8">
        <f t="shared" si="71"/>
        <v>-598.87</v>
      </c>
      <c r="J1375" s="12"/>
    </row>
    <row r="1376" spans="1:10" x14ac:dyDescent="0.25">
      <c r="E1376" s="4" t="s">
        <v>20</v>
      </c>
      <c r="G1376" s="8">
        <f>SUM(G1365:G1375)</f>
        <v>785.96999999999991</v>
      </c>
      <c r="H1376" s="8">
        <f>SUM(H1365:H1375)</f>
        <v>1384.84</v>
      </c>
      <c r="I1376" s="8">
        <f>G1376-H1376</f>
        <v>-598.87</v>
      </c>
    </row>
    <row r="1378" spans="1:10" x14ac:dyDescent="0.25">
      <c r="A1378" s="5">
        <v>4301385</v>
      </c>
      <c r="B1378" s="6" t="s">
        <v>993</v>
      </c>
      <c r="C1378" s="7"/>
      <c r="D1378" s="7"/>
      <c r="E1378" s="7"/>
      <c r="F1378" s="7"/>
      <c r="G1378" s="7"/>
      <c r="H1378" s="7"/>
      <c r="I1378" s="7"/>
      <c r="J1378" s="7"/>
    </row>
    <row r="1379" spans="1:10" x14ac:dyDescent="0.25">
      <c r="E1379" s="4" t="s">
        <v>10</v>
      </c>
      <c r="G1379" s="8">
        <v>875.18</v>
      </c>
      <c r="H1379" s="8">
        <v>0</v>
      </c>
      <c r="I1379" s="8">
        <f>G1379-H1379</f>
        <v>875.18</v>
      </c>
    </row>
    <row r="1380" spans="1:10" x14ac:dyDescent="0.25">
      <c r="C1380" s="9"/>
      <c r="D1380" s="10">
        <v>45671</v>
      </c>
      <c r="E1380" t="s">
        <v>2894</v>
      </c>
      <c r="F1380" s="11" t="s">
        <v>2895</v>
      </c>
      <c r="G1380" s="8">
        <v>208.7</v>
      </c>
      <c r="H1380" s="8">
        <v>0</v>
      </c>
      <c r="I1380" s="8">
        <f t="shared" ref="I1380:I1389" si="72">G1380-H1380+I1379</f>
        <v>1083.8799999999999</v>
      </c>
      <c r="J1380" s="12"/>
    </row>
    <row r="1381" spans="1:10" x14ac:dyDescent="0.25">
      <c r="C1381" s="9"/>
      <c r="D1381" s="10">
        <v>45688</v>
      </c>
      <c r="E1381" t="s">
        <v>1524</v>
      </c>
      <c r="F1381" s="11" t="s">
        <v>2896</v>
      </c>
      <c r="G1381" s="8">
        <v>0</v>
      </c>
      <c r="H1381" s="8">
        <v>302.64999999999998</v>
      </c>
      <c r="I1381" s="8">
        <f t="shared" si="72"/>
        <v>781.2299999999999</v>
      </c>
      <c r="J1381" s="12"/>
    </row>
    <row r="1382" spans="1:10" x14ac:dyDescent="0.25">
      <c r="C1382" s="9"/>
      <c r="D1382" s="10">
        <v>45688</v>
      </c>
      <c r="E1382" t="s">
        <v>1524</v>
      </c>
      <c r="F1382" s="11" t="s">
        <v>2897</v>
      </c>
      <c r="G1382" s="8">
        <v>0</v>
      </c>
      <c r="H1382" s="8">
        <v>188</v>
      </c>
      <c r="I1382" s="8">
        <f t="shared" si="72"/>
        <v>593.2299999999999</v>
      </c>
      <c r="J1382" s="12"/>
    </row>
    <row r="1383" spans="1:10" x14ac:dyDescent="0.25">
      <c r="C1383" s="9"/>
      <c r="D1383" s="10">
        <v>45702</v>
      </c>
      <c r="E1383" t="s">
        <v>2898</v>
      </c>
      <c r="F1383" s="11" t="s">
        <v>2899</v>
      </c>
      <c r="G1383" s="8">
        <v>540.91</v>
      </c>
      <c r="H1383" s="8">
        <v>0</v>
      </c>
      <c r="I1383" s="8">
        <f t="shared" si="72"/>
        <v>1134.1399999999999</v>
      </c>
      <c r="J1383" s="12"/>
    </row>
    <row r="1384" spans="1:10" x14ac:dyDescent="0.25">
      <c r="C1384" s="9"/>
      <c r="D1384" s="10">
        <v>45713</v>
      </c>
      <c r="E1384" t="s">
        <v>1524</v>
      </c>
      <c r="F1384" s="11" t="s">
        <v>2900</v>
      </c>
      <c r="G1384" s="8">
        <v>0</v>
      </c>
      <c r="H1384" s="8">
        <v>33.21</v>
      </c>
      <c r="I1384" s="8">
        <f t="shared" si="72"/>
        <v>1100.9299999999998</v>
      </c>
      <c r="J1384" s="12"/>
    </row>
    <row r="1385" spans="1:10" x14ac:dyDescent="0.25">
      <c r="C1385" s="9"/>
      <c r="D1385" s="10">
        <v>45713</v>
      </c>
      <c r="E1385" t="s">
        <v>1524</v>
      </c>
      <c r="F1385" s="11" t="s">
        <v>2901</v>
      </c>
      <c r="G1385" s="8">
        <v>0</v>
      </c>
      <c r="H1385" s="8">
        <v>285.39</v>
      </c>
      <c r="I1385" s="8">
        <f t="shared" si="72"/>
        <v>815.53999999999985</v>
      </c>
      <c r="J1385" s="12"/>
    </row>
    <row r="1386" spans="1:10" x14ac:dyDescent="0.25">
      <c r="C1386" s="9"/>
      <c r="D1386" s="10">
        <v>45730</v>
      </c>
      <c r="E1386" t="s">
        <v>2902</v>
      </c>
      <c r="F1386" s="11" t="s">
        <v>2903</v>
      </c>
      <c r="G1386" s="8">
        <v>269.18</v>
      </c>
      <c r="H1386" s="8">
        <v>0</v>
      </c>
      <c r="I1386" s="8">
        <f t="shared" si="72"/>
        <v>1084.7199999999998</v>
      </c>
      <c r="J1386" s="12"/>
    </row>
    <row r="1387" spans="1:10" x14ac:dyDescent="0.25">
      <c r="C1387" s="9"/>
      <c r="D1387" s="10">
        <v>45741</v>
      </c>
      <c r="E1387" t="s">
        <v>1524</v>
      </c>
      <c r="F1387" s="11" t="s">
        <v>2904</v>
      </c>
      <c r="G1387" s="8">
        <v>0</v>
      </c>
      <c r="H1387" s="8">
        <v>65.930000000000007</v>
      </c>
      <c r="I1387" s="8">
        <f t="shared" si="72"/>
        <v>1018.7899999999997</v>
      </c>
      <c r="J1387" s="12"/>
    </row>
    <row r="1388" spans="1:10" x14ac:dyDescent="0.25">
      <c r="C1388" s="9"/>
      <c r="D1388" s="10">
        <v>45741</v>
      </c>
      <c r="E1388" t="s">
        <v>1524</v>
      </c>
      <c r="F1388" s="11" t="s">
        <v>2895</v>
      </c>
      <c r="G1388" s="8">
        <v>0</v>
      </c>
      <c r="H1388" s="8">
        <v>208.7</v>
      </c>
      <c r="I1388" s="8">
        <f t="shared" si="72"/>
        <v>810.08999999999969</v>
      </c>
      <c r="J1388" s="12"/>
    </row>
    <row r="1389" spans="1:10" x14ac:dyDescent="0.25">
      <c r="C1389" s="9"/>
      <c r="D1389" s="10">
        <v>45747</v>
      </c>
      <c r="E1389" t="s">
        <v>2905</v>
      </c>
      <c r="F1389" s="11" t="s">
        <v>2906</v>
      </c>
      <c r="G1389" s="8">
        <v>797.95</v>
      </c>
      <c r="H1389" s="8">
        <v>0</v>
      </c>
      <c r="I1389" s="8">
        <f t="shared" si="72"/>
        <v>1608.0399999999997</v>
      </c>
      <c r="J1389" s="12"/>
    </row>
    <row r="1390" spans="1:10" x14ac:dyDescent="0.25">
      <c r="E1390" s="4" t="s">
        <v>20</v>
      </c>
      <c r="G1390" s="8">
        <f>SUM(G1379:G1389)</f>
        <v>2691.92</v>
      </c>
      <c r="H1390" s="8">
        <f>SUM(H1379:H1389)</f>
        <v>1083.8800000000001</v>
      </c>
      <c r="I1390" s="8">
        <f>G1390-H1390</f>
        <v>1608.04</v>
      </c>
    </row>
    <row r="1392" spans="1:10" x14ac:dyDescent="0.25">
      <c r="A1392" s="5">
        <v>4301455</v>
      </c>
      <c r="B1392" s="6" t="s">
        <v>2907</v>
      </c>
      <c r="C1392" s="7"/>
      <c r="D1392" s="7"/>
      <c r="E1392" s="7"/>
      <c r="F1392" s="7"/>
      <c r="G1392" s="7"/>
      <c r="H1392" s="7"/>
      <c r="I1392" s="7"/>
      <c r="J1392" s="7"/>
    </row>
    <row r="1393" spans="1:10" x14ac:dyDescent="0.25">
      <c r="E1393" s="4" t="s">
        <v>10</v>
      </c>
      <c r="G1393" s="8">
        <v>44.45</v>
      </c>
      <c r="H1393" s="8">
        <v>0</v>
      </c>
      <c r="I1393" s="8">
        <f>G1393-H1393</f>
        <v>44.45</v>
      </c>
    </row>
    <row r="1394" spans="1:10" x14ac:dyDescent="0.25">
      <c r="C1394" s="9"/>
      <c r="D1394" s="10">
        <v>45715</v>
      </c>
      <c r="E1394" t="s">
        <v>1524</v>
      </c>
      <c r="F1394" s="11" t="s">
        <v>2908</v>
      </c>
      <c r="G1394" s="8">
        <v>0</v>
      </c>
      <c r="H1394" s="8">
        <v>28.46</v>
      </c>
      <c r="I1394" s="8">
        <f>G1394-H1394+I1393</f>
        <v>15.990000000000002</v>
      </c>
      <c r="J1394" s="12"/>
    </row>
    <row r="1395" spans="1:10" x14ac:dyDescent="0.25">
      <c r="C1395" s="9"/>
      <c r="D1395" s="10">
        <v>45730</v>
      </c>
      <c r="E1395" t="s">
        <v>2909</v>
      </c>
      <c r="F1395" s="11" t="s">
        <v>2910</v>
      </c>
      <c r="G1395" s="8">
        <v>488.85</v>
      </c>
      <c r="H1395" s="8">
        <v>0</v>
      </c>
      <c r="I1395" s="8">
        <f>G1395-H1395+I1394</f>
        <v>504.84000000000003</v>
      </c>
      <c r="J1395" s="12"/>
    </row>
    <row r="1396" spans="1:10" x14ac:dyDescent="0.25">
      <c r="E1396" s="4" t="s">
        <v>20</v>
      </c>
      <c r="G1396" s="8">
        <f>SUM(G1393:G1395)</f>
        <v>533.30000000000007</v>
      </c>
      <c r="H1396" s="8">
        <f>SUM(H1393:H1395)</f>
        <v>28.46</v>
      </c>
      <c r="I1396" s="8">
        <f>G1396-H1396</f>
        <v>504.84000000000009</v>
      </c>
    </row>
    <row r="1398" spans="1:10" x14ac:dyDescent="0.25">
      <c r="A1398" s="5">
        <v>4301480</v>
      </c>
      <c r="B1398" s="6" t="s">
        <v>2911</v>
      </c>
      <c r="C1398" s="7"/>
      <c r="D1398" s="7"/>
      <c r="E1398" s="7"/>
      <c r="F1398" s="7"/>
      <c r="G1398" s="7"/>
      <c r="H1398" s="7"/>
      <c r="I1398" s="7"/>
      <c r="J1398" s="7"/>
    </row>
    <row r="1399" spans="1:10" x14ac:dyDescent="0.25">
      <c r="E1399" s="4" t="s">
        <v>10</v>
      </c>
      <c r="G1399" s="8">
        <v>441.37</v>
      </c>
      <c r="H1399" s="8">
        <v>0</v>
      </c>
      <c r="I1399" s="8">
        <f>G1399-H1399</f>
        <v>441.37</v>
      </c>
    </row>
    <row r="1400" spans="1:10" x14ac:dyDescent="0.25">
      <c r="C1400" s="9"/>
      <c r="D1400" s="10">
        <v>45688</v>
      </c>
      <c r="E1400" t="s">
        <v>2912</v>
      </c>
      <c r="F1400" s="11" t="s">
        <v>2913</v>
      </c>
      <c r="G1400" s="8">
        <v>91.54</v>
      </c>
      <c r="H1400" s="8">
        <v>0</v>
      </c>
      <c r="I1400" s="8">
        <f t="shared" ref="I1400:I1409" si="73">G1400-H1400+I1399</f>
        <v>532.91</v>
      </c>
      <c r="J1400" s="12"/>
    </row>
    <row r="1401" spans="1:10" x14ac:dyDescent="0.25">
      <c r="C1401" s="9"/>
      <c r="D1401" s="10">
        <v>45688</v>
      </c>
      <c r="E1401" t="s">
        <v>1524</v>
      </c>
      <c r="F1401" s="11" t="s">
        <v>2914</v>
      </c>
      <c r="G1401" s="8">
        <v>0</v>
      </c>
      <c r="H1401" s="8">
        <v>110.3</v>
      </c>
      <c r="I1401" s="8">
        <f t="shared" si="73"/>
        <v>422.60999999999996</v>
      </c>
      <c r="J1401" s="12"/>
    </row>
    <row r="1402" spans="1:10" x14ac:dyDescent="0.25">
      <c r="C1402" s="9"/>
      <c r="D1402" s="10">
        <v>45702</v>
      </c>
      <c r="E1402" t="s">
        <v>2915</v>
      </c>
      <c r="F1402" s="11" t="s">
        <v>2916</v>
      </c>
      <c r="G1402" s="8">
        <v>156.66999999999999</v>
      </c>
      <c r="H1402" s="8">
        <v>0</v>
      </c>
      <c r="I1402" s="8">
        <f t="shared" si="73"/>
        <v>579.28</v>
      </c>
      <c r="J1402" s="12"/>
    </row>
    <row r="1403" spans="1:10" x14ac:dyDescent="0.25">
      <c r="C1403" s="9"/>
      <c r="D1403" s="10">
        <v>45716</v>
      </c>
      <c r="E1403" t="s">
        <v>2917</v>
      </c>
      <c r="F1403" s="11" t="s">
        <v>2918</v>
      </c>
      <c r="G1403" s="8">
        <v>146.71</v>
      </c>
      <c r="H1403" s="8">
        <v>0</v>
      </c>
      <c r="I1403" s="8">
        <f t="shared" si="73"/>
        <v>725.99</v>
      </c>
      <c r="J1403" s="12"/>
    </row>
    <row r="1404" spans="1:10" x14ac:dyDescent="0.25">
      <c r="C1404" s="9"/>
      <c r="D1404" s="10">
        <v>45716</v>
      </c>
      <c r="E1404" t="s">
        <v>1524</v>
      </c>
      <c r="F1404" s="11" t="s">
        <v>2919</v>
      </c>
      <c r="G1404" s="8">
        <v>0</v>
      </c>
      <c r="H1404" s="8">
        <v>61.35</v>
      </c>
      <c r="I1404" s="8">
        <f t="shared" si="73"/>
        <v>664.64</v>
      </c>
      <c r="J1404" s="12"/>
    </row>
    <row r="1405" spans="1:10" x14ac:dyDescent="0.25">
      <c r="C1405" s="9"/>
      <c r="D1405" s="10">
        <v>45716</v>
      </c>
      <c r="E1405" t="s">
        <v>2920</v>
      </c>
      <c r="F1405" s="11" t="s">
        <v>42</v>
      </c>
      <c r="G1405" s="8">
        <v>0</v>
      </c>
      <c r="H1405" s="8">
        <v>46.68</v>
      </c>
      <c r="I1405" s="8">
        <f t="shared" si="73"/>
        <v>617.96</v>
      </c>
      <c r="J1405" s="12"/>
    </row>
    <row r="1406" spans="1:10" x14ac:dyDescent="0.25">
      <c r="C1406" s="9"/>
      <c r="D1406" s="10">
        <v>45730</v>
      </c>
      <c r="E1406" t="s">
        <v>2921</v>
      </c>
      <c r="F1406" s="11" t="s">
        <v>2922</v>
      </c>
      <c r="G1406" s="8">
        <v>36.369999999999997</v>
      </c>
      <c r="H1406" s="8">
        <v>0</v>
      </c>
      <c r="I1406" s="8">
        <f t="shared" si="73"/>
        <v>654.33000000000004</v>
      </c>
      <c r="J1406" s="12"/>
    </row>
    <row r="1407" spans="1:10" x14ac:dyDescent="0.25">
      <c r="C1407" s="9"/>
      <c r="D1407" s="10">
        <v>45747</v>
      </c>
      <c r="E1407" t="s">
        <v>2923</v>
      </c>
      <c r="F1407" s="11" t="s">
        <v>2924</v>
      </c>
      <c r="G1407" s="8">
        <v>100.14</v>
      </c>
      <c r="H1407" s="8">
        <v>0</v>
      </c>
      <c r="I1407" s="8">
        <f t="shared" si="73"/>
        <v>754.47</v>
      </c>
      <c r="J1407" s="12"/>
    </row>
    <row r="1408" spans="1:10" x14ac:dyDescent="0.25">
      <c r="C1408" s="9"/>
      <c r="D1408" s="10">
        <v>45747</v>
      </c>
      <c r="E1408" t="s">
        <v>1524</v>
      </c>
      <c r="F1408" s="11" t="s">
        <v>2925</v>
      </c>
      <c r="G1408" s="8">
        <v>0</v>
      </c>
      <c r="H1408" s="8">
        <v>115.86</v>
      </c>
      <c r="I1408" s="8">
        <f t="shared" si="73"/>
        <v>638.61</v>
      </c>
      <c r="J1408" s="12"/>
    </row>
    <row r="1409" spans="1:10" x14ac:dyDescent="0.25">
      <c r="C1409" s="9"/>
      <c r="D1409" s="10">
        <v>45747</v>
      </c>
      <c r="E1409" t="s">
        <v>2926</v>
      </c>
      <c r="F1409" s="11" t="s">
        <v>42</v>
      </c>
      <c r="G1409" s="8">
        <v>0</v>
      </c>
      <c r="H1409" s="8">
        <v>107.18</v>
      </c>
      <c r="I1409" s="8">
        <f t="shared" si="73"/>
        <v>531.43000000000006</v>
      </c>
      <c r="J1409" s="12"/>
    </row>
    <row r="1410" spans="1:10" x14ac:dyDescent="0.25">
      <c r="E1410" s="4" t="s">
        <v>20</v>
      </c>
      <c r="G1410" s="8">
        <f>SUM(G1399:G1409)</f>
        <v>972.8</v>
      </c>
      <c r="H1410" s="8">
        <f>SUM(H1399:H1409)</f>
        <v>441.37</v>
      </c>
      <c r="I1410" s="8">
        <f>G1410-H1410</f>
        <v>531.42999999999995</v>
      </c>
    </row>
    <row r="1412" spans="1:10" x14ac:dyDescent="0.25">
      <c r="A1412" s="5">
        <v>4301520</v>
      </c>
      <c r="B1412" s="6" t="s">
        <v>2927</v>
      </c>
      <c r="C1412" s="7"/>
      <c r="D1412" s="7"/>
      <c r="E1412" s="7"/>
      <c r="F1412" s="7"/>
      <c r="G1412" s="7"/>
      <c r="H1412" s="7"/>
      <c r="I1412" s="7"/>
      <c r="J1412" s="7"/>
    </row>
    <row r="1413" spans="1:10" x14ac:dyDescent="0.25">
      <c r="E1413" s="4" t="s">
        <v>10</v>
      </c>
      <c r="G1413" s="8">
        <v>29.83</v>
      </c>
      <c r="H1413" s="8">
        <v>0</v>
      </c>
      <c r="I1413" s="8">
        <f>G1413-H1413</f>
        <v>29.83</v>
      </c>
    </row>
    <row r="1414" spans="1:10" x14ac:dyDescent="0.25">
      <c r="C1414" s="9"/>
      <c r="D1414" s="10">
        <v>45730</v>
      </c>
      <c r="E1414" t="s">
        <v>2928</v>
      </c>
      <c r="F1414" s="11" t="s">
        <v>2929</v>
      </c>
      <c r="G1414" s="8">
        <v>52.25</v>
      </c>
      <c r="H1414" s="8">
        <v>0</v>
      </c>
      <c r="I1414" s="8">
        <f>G1414-H1414+I1413</f>
        <v>82.08</v>
      </c>
      <c r="J1414" s="12"/>
    </row>
    <row r="1415" spans="1:10" x14ac:dyDescent="0.25">
      <c r="E1415" s="4" t="s">
        <v>20</v>
      </c>
      <c r="G1415" s="8">
        <f>SUM(G1413:G1414)</f>
        <v>82.08</v>
      </c>
      <c r="H1415" s="8">
        <f>SUM(H1413:H1414)</f>
        <v>0</v>
      </c>
      <c r="I1415" s="8">
        <f>G1415-H1415</f>
        <v>82.08</v>
      </c>
    </row>
    <row r="1417" spans="1:10" x14ac:dyDescent="0.25">
      <c r="A1417" s="5">
        <v>4301585</v>
      </c>
      <c r="B1417" s="6" t="s">
        <v>2930</v>
      </c>
      <c r="C1417" s="7"/>
      <c r="D1417" s="7"/>
      <c r="E1417" s="7"/>
      <c r="F1417" s="7"/>
      <c r="G1417" s="7"/>
      <c r="H1417" s="7"/>
      <c r="I1417" s="7"/>
      <c r="J1417" s="7"/>
    </row>
    <row r="1418" spans="1:10" x14ac:dyDescent="0.25">
      <c r="E1418" s="4" t="s">
        <v>10</v>
      </c>
      <c r="G1418" s="8">
        <v>16.73</v>
      </c>
      <c r="H1418" s="8">
        <v>0</v>
      </c>
      <c r="I1418" s="8">
        <f>G1418-H1418</f>
        <v>16.73</v>
      </c>
    </row>
    <row r="1419" spans="1:10" x14ac:dyDescent="0.25">
      <c r="C1419" s="9"/>
      <c r="D1419" s="10">
        <v>45671</v>
      </c>
      <c r="E1419" t="s">
        <v>2931</v>
      </c>
      <c r="F1419" s="11" t="s">
        <v>2932</v>
      </c>
      <c r="G1419" s="8">
        <v>78.14</v>
      </c>
      <c r="H1419" s="8">
        <v>0</v>
      </c>
      <c r="I1419" s="8">
        <f t="shared" ref="I1419:I1431" si="74">G1419-H1419+I1418</f>
        <v>94.87</v>
      </c>
      <c r="J1419" s="12"/>
    </row>
    <row r="1420" spans="1:10" x14ac:dyDescent="0.25">
      <c r="C1420" s="9"/>
      <c r="D1420" s="10">
        <v>45672</v>
      </c>
      <c r="E1420" t="s">
        <v>2933</v>
      </c>
      <c r="F1420" s="11" t="s">
        <v>42</v>
      </c>
      <c r="G1420" s="8">
        <v>0</v>
      </c>
      <c r="H1420" s="8">
        <v>94.87</v>
      </c>
      <c r="I1420" s="8">
        <f t="shared" si="74"/>
        <v>0</v>
      </c>
      <c r="J1420" s="12"/>
    </row>
    <row r="1421" spans="1:10" x14ac:dyDescent="0.25">
      <c r="C1421" s="9"/>
      <c r="D1421" s="10">
        <v>45688</v>
      </c>
      <c r="E1421" t="s">
        <v>2934</v>
      </c>
      <c r="F1421" s="11" t="s">
        <v>2935</v>
      </c>
      <c r="G1421" s="8">
        <v>263.95999999999998</v>
      </c>
      <c r="H1421" s="8">
        <v>0</v>
      </c>
      <c r="I1421" s="8">
        <f t="shared" si="74"/>
        <v>263.95999999999998</v>
      </c>
      <c r="J1421" s="12"/>
    </row>
    <row r="1422" spans="1:10" x14ac:dyDescent="0.25">
      <c r="C1422" s="9" t="s">
        <v>124</v>
      </c>
      <c r="D1422" s="10">
        <v>45691</v>
      </c>
      <c r="E1422" t="s">
        <v>2936</v>
      </c>
      <c r="F1422" s="11" t="s">
        <v>2935</v>
      </c>
      <c r="G1422" s="8">
        <v>0</v>
      </c>
      <c r="H1422" s="8">
        <v>263.95999999999998</v>
      </c>
      <c r="I1422" s="8">
        <f t="shared" si="74"/>
        <v>0</v>
      </c>
      <c r="J1422" s="12"/>
    </row>
    <row r="1423" spans="1:10" x14ac:dyDescent="0.25">
      <c r="C1423" s="9"/>
      <c r="D1423" s="10">
        <v>45702</v>
      </c>
      <c r="E1423" t="s">
        <v>2937</v>
      </c>
      <c r="F1423" s="11" t="s">
        <v>2938</v>
      </c>
      <c r="G1423" s="8">
        <v>129.47999999999999</v>
      </c>
      <c r="H1423" s="8">
        <v>0</v>
      </c>
      <c r="I1423" s="8">
        <f t="shared" si="74"/>
        <v>129.47999999999999</v>
      </c>
      <c r="J1423" s="12"/>
    </row>
    <row r="1424" spans="1:10" x14ac:dyDescent="0.25">
      <c r="C1424" s="9"/>
      <c r="D1424" s="10">
        <v>45705</v>
      </c>
      <c r="E1424" t="s">
        <v>1524</v>
      </c>
      <c r="F1424" s="11" t="s">
        <v>2938</v>
      </c>
      <c r="G1424" s="8">
        <v>0</v>
      </c>
      <c r="H1424" s="8">
        <v>129.47999999999999</v>
      </c>
      <c r="I1424" s="8">
        <f t="shared" si="74"/>
        <v>0</v>
      </c>
      <c r="J1424" s="12"/>
    </row>
    <row r="1425" spans="1:10" x14ac:dyDescent="0.25">
      <c r="C1425" s="9"/>
      <c r="D1425" s="10">
        <v>45716</v>
      </c>
      <c r="E1425" t="s">
        <v>2939</v>
      </c>
      <c r="F1425" s="11" t="s">
        <v>2940</v>
      </c>
      <c r="G1425" s="8">
        <v>186.69</v>
      </c>
      <c r="H1425" s="8">
        <v>0</v>
      </c>
      <c r="I1425" s="8">
        <f t="shared" si="74"/>
        <v>186.69</v>
      </c>
      <c r="J1425" s="12"/>
    </row>
    <row r="1426" spans="1:10" x14ac:dyDescent="0.25">
      <c r="C1426" s="9"/>
      <c r="D1426" s="10">
        <v>45730</v>
      </c>
      <c r="E1426" t="s">
        <v>2941</v>
      </c>
      <c r="F1426" s="11" t="s">
        <v>2942</v>
      </c>
      <c r="G1426" s="8">
        <v>54.32</v>
      </c>
      <c r="H1426" s="8">
        <v>0</v>
      </c>
      <c r="I1426" s="8">
        <f t="shared" si="74"/>
        <v>241.01</v>
      </c>
      <c r="J1426" s="12"/>
    </row>
    <row r="1427" spans="1:10" x14ac:dyDescent="0.25">
      <c r="C1427" s="9"/>
      <c r="D1427" s="10">
        <v>45733</v>
      </c>
      <c r="E1427" t="s">
        <v>1524</v>
      </c>
      <c r="F1427" s="11" t="s">
        <v>2940</v>
      </c>
      <c r="G1427" s="8">
        <v>0</v>
      </c>
      <c r="H1427" s="8">
        <v>186.69</v>
      </c>
      <c r="I1427" s="8">
        <f t="shared" si="74"/>
        <v>54.319999999999993</v>
      </c>
      <c r="J1427" s="12"/>
    </row>
    <row r="1428" spans="1:10" x14ac:dyDescent="0.25">
      <c r="C1428" s="9"/>
      <c r="D1428" s="10">
        <v>45733</v>
      </c>
      <c r="E1428" t="s">
        <v>1524</v>
      </c>
      <c r="F1428" s="11" t="s">
        <v>2942</v>
      </c>
      <c r="G1428" s="8">
        <v>0</v>
      </c>
      <c r="H1428" s="8">
        <v>54.32</v>
      </c>
      <c r="I1428" s="8">
        <f t="shared" si="74"/>
        <v>0</v>
      </c>
      <c r="J1428" s="12"/>
    </row>
    <row r="1429" spans="1:10" x14ac:dyDescent="0.25">
      <c r="C1429" s="9"/>
      <c r="D1429" s="10">
        <v>45747</v>
      </c>
      <c r="E1429" t="s">
        <v>2943</v>
      </c>
      <c r="F1429" s="11" t="s">
        <v>2944</v>
      </c>
      <c r="G1429" s="8">
        <v>148.41999999999999</v>
      </c>
      <c r="H1429" s="8">
        <v>0</v>
      </c>
      <c r="I1429" s="8">
        <f t="shared" si="74"/>
        <v>148.41999999999999</v>
      </c>
      <c r="J1429" s="12"/>
    </row>
    <row r="1430" spans="1:10" x14ac:dyDescent="0.25">
      <c r="C1430" s="9"/>
      <c r="D1430" s="10">
        <v>45748</v>
      </c>
      <c r="E1430" t="s">
        <v>1524</v>
      </c>
      <c r="F1430" s="11" t="s">
        <v>2944</v>
      </c>
      <c r="G1430" s="8">
        <v>0</v>
      </c>
      <c r="H1430" s="8">
        <v>148.41999999999999</v>
      </c>
      <c r="I1430" s="8">
        <f t="shared" si="74"/>
        <v>0</v>
      </c>
      <c r="J1430" s="12"/>
    </row>
    <row r="1431" spans="1:10" x14ac:dyDescent="0.25">
      <c r="C1431" s="9"/>
      <c r="D1431" s="10">
        <v>45762</v>
      </c>
      <c r="E1431" t="s">
        <v>2933</v>
      </c>
      <c r="F1431" s="11" t="s">
        <v>42</v>
      </c>
      <c r="G1431" s="8">
        <v>0</v>
      </c>
      <c r="H1431" s="8">
        <v>73.05</v>
      </c>
      <c r="I1431" s="8">
        <f t="shared" si="74"/>
        <v>-73.05</v>
      </c>
      <c r="J1431" s="12"/>
    </row>
    <row r="1432" spans="1:10" x14ac:dyDescent="0.25">
      <c r="E1432" s="4" t="s">
        <v>20</v>
      </c>
      <c r="G1432" s="8">
        <f>SUM(G1418:G1431)</f>
        <v>877.74</v>
      </c>
      <c r="H1432" s="8">
        <f>SUM(H1418:H1431)</f>
        <v>950.79</v>
      </c>
      <c r="I1432" s="8">
        <f>G1432-H1432</f>
        <v>-73.049999999999955</v>
      </c>
    </row>
    <row r="1434" spans="1:10" x14ac:dyDescent="0.25">
      <c r="A1434" s="5">
        <v>4301595</v>
      </c>
      <c r="B1434" s="6" t="s">
        <v>2945</v>
      </c>
      <c r="C1434" s="7"/>
      <c r="D1434" s="7"/>
      <c r="E1434" s="7"/>
      <c r="F1434" s="7"/>
      <c r="G1434" s="7"/>
      <c r="H1434" s="7"/>
      <c r="I1434" s="7"/>
      <c r="J1434" s="7"/>
    </row>
    <row r="1435" spans="1:10" x14ac:dyDescent="0.25">
      <c r="E1435" s="4" t="s">
        <v>10</v>
      </c>
      <c r="G1435" s="8">
        <v>2193.12</v>
      </c>
      <c r="H1435" s="8">
        <v>0</v>
      </c>
      <c r="I1435" s="8">
        <f>G1435-H1435</f>
        <v>2193.12</v>
      </c>
    </row>
    <row r="1436" spans="1:10" x14ac:dyDescent="0.25">
      <c r="C1436" s="9"/>
      <c r="D1436" s="10">
        <v>45671</v>
      </c>
      <c r="E1436" t="s">
        <v>2946</v>
      </c>
      <c r="F1436" s="11" t="s">
        <v>2947</v>
      </c>
      <c r="G1436" s="8">
        <v>56.25</v>
      </c>
      <c r="H1436" s="8">
        <v>0</v>
      </c>
      <c r="I1436" s="8">
        <f t="shared" ref="I1436:I1444" si="75">G1436-H1436+I1435</f>
        <v>2249.37</v>
      </c>
      <c r="J1436" s="12"/>
    </row>
    <row r="1437" spans="1:10" x14ac:dyDescent="0.25">
      <c r="C1437" s="9"/>
      <c r="D1437" s="10">
        <v>45674</v>
      </c>
      <c r="E1437" t="s">
        <v>1524</v>
      </c>
      <c r="F1437" s="11" t="s">
        <v>2948</v>
      </c>
      <c r="G1437" s="8">
        <v>0</v>
      </c>
      <c r="H1437" s="8">
        <v>948.34</v>
      </c>
      <c r="I1437" s="8">
        <f t="shared" si="75"/>
        <v>1301.0299999999997</v>
      </c>
      <c r="J1437" s="12"/>
    </row>
    <row r="1438" spans="1:10" x14ac:dyDescent="0.25">
      <c r="C1438" s="9"/>
      <c r="D1438" s="10">
        <v>45688</v>
      </c>
      <c r="E1438" t="s">
        <v>2949</v>
      </c>
      <c r="F1438" s="11" t="s">
        <v>2950</v>
      </c>
      <c r="G1438" s="8">
        <v>342.15</v>
      </c>
      <c r="H1438" s="8">
        <v>0</v>
      </c>
      <c r="I1438" s="8">
        <f t="shared" si="75"/>
        <v>1643.1799999999998</v>
      </c>
      <c r="J1438" s="12"/>
    </row>
    <row r="1439" spans="1:10" x14ac:dyDescent="0.25">
      <c r="C1439" s="9"/>
      <c r="D1439" s="10">
        <v>45702</v>
      </c>
      <c r="E1439" t="s">
        <v>2951</v>
      </c>
      <c r="F1439" s="11" t="s">
        <v>2952</v>
      </c>
      <c r="G1439" s="8">
        <v>359.36</v>
      </c>
      <c r="H1439" s="8">
        <v>0</v>
      </c>
      <c r="I1439" s="8">
        <f t="shared" si="75"/>
        <v>2002.54</v>
      </c>
      <c r="J1439" s="12"/>
    </row>
    <row r="1440" spans="1:10" x14ac:dyDescent="0.25">
      <c r="C1440" s="9"/>
      <c r="D1440" s="10">
        <v>45712</v>
      </c>
      <c r="E1440" t="s">
        <v>2953</v>
      </c>
      <c r="F1440" s="11" t="s">
        <v>42</v>
      </c>
      <c r="G1440" s="8">
        <v>0</v>
      </c>
      <c r="H1440" s="8">
        <v>421.46</v>
      </c>
      <c r="I1440" s="8">
        <f t="shared" si="75"/>
        <v>1581.08</v>
      </c>
      <c r="J1440" s="12"/>
    </row>
    <row r="1441" spans="1:10" x14ac:dyDescent="0.25">
      <c r="C1441" s="9"/>
      <c r="D1441" s="10">
        <v>45716</v>
      </c>
      <c r="E1441" t="s">
        <v>2954</v>
      </c>
      <c r="F1441" s="11" t="s">
        <v>2955</v>
      </c>
      <c r="G1441" s="8">
        <v>105.03</v>
      </c>
      <c r="H1441" s="8">
        <v>0</v>
      </c>
      <c r="I1441" s="8">
        <f t="shared" si="75"/>
        <v>1686.11</v>
      </c>
      <c r="J1441" s="12"/>
    </row>
    <row r="1442" spans="1:10" x14ac:dyDescent="0.25">
      <c r="C1442" s="9"/>
      <c r="D1442" s="10">
        <v>45730</v>
      </c>
      <c r="E1442" t="s">
        <v>2956</v>
      </c>
      <c r="F1442" s="11" t="s">
        <v>2957</v>
      </c>
      <c r="G1442" s="8">
        <v>986.13</v>
      </c>
      <c r="H1442" s="8">
        <v>0</v>
      </c>
      <c r="I1442" s="8">
        <f t="shared" si="75"/>
        <v>2672.24</v>
      </c>
      <c r="J1442" s="12"/>
    </row>
    <row r="1443" spans="1:10" x14ac:dyDescent="0.25">
      <c r="C1443" s="9"/>
      <c r="D1443" s="10">
        <v>45733</v>
      </c>
      <c r="E1443" t="s">
        <v>2953</v>
      </c>
      <c r="F1443" s="11" t="s">
        <v>42</v>
      </c>
      <c r="G1443" s="8">
        <v>0</v>
      </c>
      <c r="H1443" s="8">
        <v>879.57</v>
      </c>
      <c r="I1443" s="8">
        <f t="shared" si="75"/>
        <v>1792.6699999999996</v>
      </c>
      <c r="J1443" s="12"/>
    </row>
    <row r="1444" spans="1:10" x14ac:dyDescent="0.25">
      <c r="C1444" s="9"/>
      <c r="D1444" s="10">
        <v>45747</v>
      </c>
      <c r="E1444" t="s">
        <v>2958</v>
      </c>
      <c r="F1444" s="11" t="s">
        <v>2959</v>
      </c>
      <c r="G1444" s="8">
        <v>1846.94</v>
      </c>
      <c r="H1444" s="8">
        <v>0</v>
      </c>
      <c r="I1444" s="8">
        <f t="shared" si="75"/>
        <v>3639.6099999999997</v>
      </c>
      <c r="J1444" s="12"/>
    </row>
    <row r="1445" spans="1:10" x14ac:dyDescent="0.25">
      <c r="E1445" s="4" t="s">
        <v>20</v>
      </c>
      <c r="G1445" s="8">
        <f>SUM(G1435:G1444)</f>
        <v>5888.9800000000005</v>
      </c>
      <c r="H1445" s="8">
        <f>SUM(H1435:H1444)</f>
        <v>2249.37</v>
      </c>
      <c r="I1445" s="8">
        <f>G1445-H1445</f>
        <v>3639.6100000000006</v>
      </c>
    </row>
    <row r="1447" spans="1:10" x14ac:dyDescent="0.25">
      <c r="A1447" s="5">
        <v>4301620</v>
      </c>
      <c r="B1447" s="6" t="s">
        <v>2960</v>
      </c>
      <c r="C1447" s="7"/>
      <c r="D1447" s="7"/>
      <c r="E1447" s="7"/>
      <c r="F1447" s="7"/>
      <c r="G1447" s="7"/>
      <c r="H1447" s="7"/>
      <c r="I1447" s="7"/>
      <c r="J1447" s="7"/>
    </row>
    <row r="1448" spans="1:10" x14ac:dyDescent="0.25">
      <c r="E1448" s="4" t="s">
        <v>10</v>
      </c>
      <c r="G1448" s="8">
        <v>0</v>
      </c>
      <c r="H1448" s="8">
        <v>118.08</v>
      </c>
      <c r="I1448" s="8">
        <f>G1448-H1448</f>
        <v>-118.08</v>
      </c>
    </row>
    <row r="1449" spans="1:10" x14ac:dyDescent="0.25">
      <c r="C1449" s="9"/>
      <c r="D1449" s="10">
        <v>45702</v>
      </c>
      <c r="E1449" t="s">
        <v>2961</v>
      </c>
      <c r="F1449" s="11" t="s">
        <v>2962</v>
      </c>
      <c r="G1449" s="8">
        <v>79.41</v>
      </c>
      <c r="H1449" s="8">
        <v>0</v>
      </c>
      <c r="I1449" s="8">
        <f>G1449-H1449+I1448</f>
        <v>-38.67</v>
      </c>
      <c r="J1449" s="12"/>
    </row>
    <row r="1450" spans="1:10" x14ac:dyDescent="0.25">
      <c r="C1450" s="9"/>
      <c r="D1450" s="10">
        <v>45705</v>
      </c>
      <c r="E1450" t="s">
        <v>2963</v>
      </c>
      <c r="F1450" s="11" t="s">
        <v>42</v>
      </c>
      <c r="G1450" s="8">
        <v>0</v>
      </c>
      <c r="H1450" s="8">
        <v>79.41</v>
      </c>
      <c r="I1450" s="8">
        <f>G1450-H1450+I1449</f>
        <v>-118.08</v>
      </c>
      <c r="J1450" s="12"/>
    </row>
    <row r="1451" spans="1:10" x14ac:dyDescent="0.25">
      <c r="C1451" s="9"/>
      <c r="D1451" s="10">
        <v>45747</v>
      </c>
      <c r="E1451" t="s">
        <v>2964</v>
      </c>
      <c r="F1451" s="11" t="s">
        <v>2965</v>
      </c>
      <c r="G1451" s="8">
        <v>30.13</v>
      </c>
      <c r="H1451" s="8">
        <v>0</v>
      </c>
      <c r="I1451" s="8">
        <f>G1451-H1451+I1450</f>
        <v>-87.95</v>
      </c>
      <c r="J1451" s="12"/>
    </row>
    <row r="1452" spans="1:10" x14ac:dyDescent="0.25">
      <c r="C1452" s="9"/>
      <c r="D1452" s="10">
        <v>45762</v>
      </c>
      <c r="E1452" t="s">
        <v>1524</v>
      </c>
      <c r="F1452" s="11" t="s">
        <v>2965</v>
      </c>
      <c r="G1452" s="8">
        <v>0</v>
      </c>
      <c r="H1452" s="8">
        <v>30.13</v>
      </c>
      <c r="I1452" s="8">
        <f>G1452-H1452+I1451</f>
        <v>-118.08</v>
      </c>
      <c r="J1452" s="12"/>
    </row>
    <row r="1453" spans="1:10" x14ac:dyDescent="0.25">
      <c r="C1453" s="9"/>
      <c r="D1453" s="10">
        <v>45762</v>
      </c>
      <c r="E1453" t="s">
        <v>1524</v>
      </c>
      <c r="F1453" s="11" t="s">
        <v>2966</v>
      </c>
      <c r="G1453" s="8">
        <v>0</v>
      </c>
      <c r="H1453" s="8">
        <v>67.7</v>
      </c>
      <c r="I1453" s="8">
        <f>G1453-H1453+I1452</f>
        <v>-185.78</v>
      </c>
      <c r="J1453" s="12"/>
    </row>
    <row r="1454" spans="1:10" x14ac:dyDescent="0.25">
      <c r="E1454" s="4" t="s">
        <v>20</v>
      </c>
      <c r="G1454" s="8">
        <f>SUM(G1448:G1453)</f>
        <v>109.53999999999999</v>
      </c>
      <c r="H1454" s="8">
        <f>SUM(H1448:H1453)</f>
        <v>295.32</v>
      </c>
      <c r="I1454" s="8">
        <f>G1454-H1454</f>
        <v>-185.78</v>
      </c>
    </row>
    <row r="1456" spans="1:10" x14ac:dyDescent="0.25">
      <c r="A1456" s="5">
        <v>4301665</v>
      </c>
      <c r="B1456" s="6" t="s">
        <v>2967</v>
      </c>
      <c r="C1456" s="7"/>
      <c r="D1456" s="7"/>
      <c r="E1456" s="7"/>
      <c r="F1456" s="7"/>
      <c r="G1456" s="7"/>
      <c r="H1456" s="7"/>
      <c r="I1456" s="7"/>
      <c r="J1456" s="7"/>
    </row>
    <row r="1457" spans="1:10" x14ac:dyDescent="0.25">
      <c r="E1457" s="4" t="s">
        <v>10</v>
      </c>
      <c r="G1457" s="8">
        <v>27.76</v>
      </c>
      <c r="H1457" s="8">
        <v>0</v>
      </c>
      <c r="I1457" s="8">
        <f>G1457-H1457</f>
        <v>27.76</v>
      </c>
    </row>
    <row r="1458" spans="1:10" x14ac:dyDescent="0.25">
      <c r="E1458" s="4" t="s">
        <v>20</v>
      </c>
      <c r="G1458" s="8">
        <f>G1457</f>
        <v>27.76</v>
      </c>
      <c r="H1458" s="8">
        <f>H1457</f>
        <v>0</v>
      </c>
      <c r="I1458" s="8">
        <f>G1458-H1458</f>
        <v>27.76</v>
      </c>
    </row>
    <row r="1460" spans="1:10" x14ac:dyDescent="0.25">
      <c r="A1460" s="5">
        <v>4301725</v>
      </c>
      <c r="B1460" s="6" t="s">
        <v>2968</v>
      </c>
      <c r="C1460" s="7"/>
      <c r="D1460" s="7"/>
      <c r="E1460" s="7"/>
      <c r="F1460" s="7"/>
      <c r="G1460" s="7"/>
      <c r="H1460" s="7"/>
      <c r="I1460" s="7"/>
      <c r="J1460" s="7"/>
    </row>
    <row r="1461" spans="1:10" x14ac:dyDescent="0.25">
      <c r="E1461" s="4" t="s">
        <v>10</v>
      </c>
      <c r="G1461" s="8">
        <v>188.12</v>
      </c>
      <c r="H1461" s="8">
        <v>0</v>
      </c>
      <c r="I1461" s="8">
        <f>G1461-H1461</f>
        <v>188.12</v>
      </c>
    </row>
    <row r="1462" spans="1:10" x14ac:dyDescent="0.25">
      <c r="C1462" s="9"/>
      <c r="D1462" s="10">
        <v>45660</v>
      </c>
      <c r="E1462" t="s">
        <v>1524</v>
      </c>
      <c r="F1462" s="11" t="s">
        <v>2969</v>
      </c>
      <c r="G1462" s="8">
        <v>0</v>
      </c>
      <c r="H1462" s="8">
        <v>188.12</v>
      </c>
      <c r="I1462" s="8">
        <f t="shared" ref="I1462:I1473" si="76">G1462-H1462+I1461</f>
        <v>0</v>
      </c>
      <c r="J1462" s="12"/>
    </row>
    <row r="1463" spans="1:10" x14ac:dyDescent="0.25">
      <c r="C1463" s="9"/>
      <c r="D1463" s="10">
        <v>45671</v>
      </c>
      <c r="E1463" t="s">
        <v>2970</v>
      </c>
      <c r="F1463" s="11" t="s">
        <v>2971</v>
      </c>
      <c r="G1463" s="8">
        <v>154.38</v>
      </c>
      <c r="H1463" s="8">
        <v>0</v>
      </c>
      <c r="I1463" s="8">
        <f t="shared" si="76"/>
        <v>154.38</v>
      </c>
      <c r="J1463" s="12"/>
    </row>
    <row r="1464" spans="1:10" x14ac:dyDescent="0.25">
      <c r="C1464" s="9"/>
      <c r="D1464" s="10">
        <v>45672</v>
      </c>
      <c r="E1464" t="s">
        <v>1524</v>
      </c>
      <c r="F1464" s="11" t="s">
        <v>2971</v>
      </c>
      <c r="G1464" s="8">
        <v>0</v>
      </c>
      <c r="H1464" s="8">
        <v>154.38</v>
      </c>
      <c r="I1464" s="8">
        <f t="shared" si="76"/>
        <v>0</v>
      </c>
      <c r="J1464" s="12"/>
    </row>
    <row r="1465" spans="1:10" x14ac:dyDescent="0.25">
      <c r="C1465" s="9"/>
      <c r="D1465" s="10">
        <v>45688</v>
      </c>
      <c r="E1465" t="s">
        <v>2972</v>
      </c>
      <c r="F1465" s="11" t="s">
        <v>2973</v>
      </c>
      <c r="G1465" s="8">
        <v>123.36</v>
      </c>
      <c r="H1465" s="8">
        <v>0</v>
      </c>
      <c r="I1465" s="8">
        <f t="shared" si="76"/>
        <v>123.36</v>
      </c>
      <c r="J1465" s="12"/>
    </row>
    <row r="1466" spans="1:10" x14ac:dyDescent="0.25">
      <c r="C1466" s="9" t="s">
        <v>124</v>
      </c>
      <c r="D1466" s="10">
        <v>45691</v>
      </c>
      <c r="E1466" t="s">
        <v>2974</v>
      </c>
      <c r="F1466" s="11" t="s">
        <v>42</v>
      </c>
      <c r="G1466" s="8">
        <v>0</v>
      </c>
      <c r="H1466" s="8">
        <v>123.36</v>
      </c>
      <c r="I1466" s="8">
        <f t="shared" si="76"/>
        <v>0</v>
      </c>
      <c r="J1466" s="12"/>
    </row>
    <row r="1467" spans="1:10" x14ac:dyDescent="0.25">
      <c r="C1467" s="9"/>
      <c r="D1467" s="10">
        <v>45716</v>
      </c>
      <c r="E1467" t="s">
        <v>2975</v>
      </c>
      <c r="F1467" s="11" t="s">
        <v>2976</v>
      </c>
      <c r="G1467" s="8">
        <v>33.69</v>
      </c>
      <c r="H1467" s="8">
        <v>0</v>
      </c>
      <c r="I1467" s="8">
        <f t="shared" si="76"/>
        <v>33.69</v>
      </c>
      <c r="J1467" s="12"/>
    </row>
    <row r="1468" spans="1:10" x14ac:dyDescent="0.25">
      <c r="C1468" s="9"/>
      <c r="D1468" s="10">
        <v>45720</v>
      </c>
      <c r="E1468" t="s">
        <v>1524</v>
      </c>
      <c r="F1468" s="11" t="s">
        <v>2976</v>
      </c>
      <c r="G1468" s="8">
        <v>0</v>
      </c>
      <c r="H1468" s="8">
        <v>33.69</v>
      </c>
      <c r="I1468" s="8">
        <f t="shared" si="76"/>
        <v>0</v>
      </c>
      <c r="J1468" s="12"/>
    </row>
    <row r="1469" spans="1:10" x14ac:dyDescent="0.25">
      <c r="C1469" s="9"/>
      <c r="D1469" s="10">
        <v>45730</v>
      </c>
      <c r="E1469" t="s">
        <v>2977</v>
      </c>
      <c r="F1469" s="11" t="s">
        <v>2978</v>
      </c>
      <c r="G1469" s="8">
        <v>39.17</v>
      </c>
      <c r="H1469" s="8">
        <v>0</v>
      </c>
      <c r="I1469" s="8">
        <f t="shared" si="76"/>
        <v>39.17</v>
      </c>
      <c r="J1469" s="12"/>
    </row>
    <row r="1470" spans="1:10" x14ac:dyDescent="0.25">
      <c r="C1470" s="9"/>
      <c r="D1470" s="10">
        <v>45733</v>
      </c>
      <c r="E1470" t="s">
        <v>1524</v>
      </c>
      <c r="F1470" s="11" t="s">
        <v>2978</v>
      </c>
      <c r="G1470" s="8">
        <v>0</v>
      </c>
      <c r="H1470" s="8">
        <v>39.17</v>
      </c>
      <c r="I1470" s="8">
        <f t="shared" si="76"/>
        <v>0</v>
      </c>
      <c r="J1470" s="12"/>
    </row>
    <row r="1471" spans="1:10" x14ac:dyDescent="0.25">
      <c r="C1471" s="9"/>
      <c r="D1471" s="10">
        <v>45747</v>
      </c>
      <c r="E1471" t="s">
        <v>2979</v>
      </c>
      <c r="F1471" s="11" t="s">
        <v>2980</v>
      </c>
      <c r="G1471" s="8">
        <v>200.16</v>
      </c>
      <c r="H1471" s="8">
        <v>0</v>
      </c>
      <c r="I1471" s="8">
        <f t="shared" si="76"/>
        <v>200.16</v>
      </c>
      <c r="J1471" s="12"/>
    </row>
    <row r="1472" spans="1:10" x14ac:dyDescent="0.25">
      <c r="C1472" s="9"/>
      <c r="D1472" s="10">
        <v>45748</v>
      </c>
      <c r="E1472" t="s">
        <v>1524</v>
      </c>
      <c r="F1472" s="11" t="s">
        <v>2980</v>
      </c>
      <c r="G1472" s="8">
        <v>0</v>
      </c>
      <c r="H1472" s="8">
        <v>200.16</v>
      </c>
      <c r="I1472" s="8">
        <f t="shared" si="76"/>
        <v>0</v>
      </c>
      <c r="J1472" s="12"/>
    </row>
    <row r="1473" spans="1:10" x14ac:dyDescent="0.25">
      <c r="C1473" s="9"/>
      <c r="D1473" s="10">
        <v>45762</v>
      </c>
      <c r="E1473" t="s">
        <v>2974</v>
      </c>
      <c r="F1473" s="11" t="s">
        <v>42</v>
      </c>
      <c r="G1473" s="8">
        <v>0</v>
      </c>
      <c r="H1473" s="8">
        <v>189.74</v>
      </c>
      <c r="I1473" s="8">
        <f t="shared" si="76"/>
        <v>-189.74</v>
      </c>
      <c r="J1473" s="12"/>
    </row>
    <row r="1474" spans="1:10" x14ac:dyDescent="0.25">
      <c r="E1474" s="4" t="s">
        <v>20</v>
      </c>
      <c r="G1474" s="8">
        <f>SUM(G1461:G1473)</f>
        <v>738.88</v>
      </c>
      <c r="H1474" s="8">
        <f>SUM(H1461:H1473)</f>
        <v>928.62</v>
      </c>
      <c r="I1474" s="8">
        <f>G1474-H1474</f>
        <v>-189.74</v>
      </c>
    </row>
    <row r="1476" spans="1:10" x14ac:dyDescent="0.25">
      <c r="A1476" s="5">
        <v>4301745</v>
      </c>
      <c r="B1476" s="6" t="s">
        <v>2981</v>
      </c>
      <c r="C1476" s="7"/>
      <c r="D1476" s="7"/>
      <c r="E1476" s="7"/>
      <c r="F1476" s="7"/>
      <c r="G1476" s="7"/>
      <c r="H1476" s="7"/>
      <c r="I1476" s="7"/>
      <c r="J1476" s="7"/>
    </row>
    <row r="1477" spans="1:10" x14ac:dyDescent="0.25">
      <c r="E1477" s="4" t="s">
        <v>10</v>
      </c>
      <c r="G1477" s="8">
        <v>0</v>
      </c>
      <c r="H1477" s="8">
        <v>100.91</v>
      </c>
      <c r="I1477" s="8">
        <f>G1477-H1477</f>
        <v>-100.91</v>
      </c>
    </row>
    <row r="1478" spans="1:10" x14ac:dyDescent="0.25">
      <c r="E1478" s="4" t="s">
        <v>20</v>
      </c>
      <c r="G1478" s="8">
        <f>G1477</f>
        <v>0</v>
      </c>
      <c r="H1478" s="8">
        <f>H1477</f>
        <v>100.91</v>
      </c>
      <c r="I1478" s="8">
        <f>G1478-H1478</f>
        <v>-100.91</v>
      </c>
    </row>
    <row r="1480" spans="1:10" x14ac:dyDescent="0.25">
      <c r="A1480" s="5">
        <v>4301810</v>
      </c>
      <c r="B1480" s="6" t="s">
        <v>2982</v>
      </c>
      <c r="C1480" s="7"/>
      <c r="D1480" s="7"/>
      <c r="E1480" s="7"/>
      <c r="F1480" s="7"/>
      <c r="G1480" s="7"/>
      <c r="H1480" s="7"/>
      <c r="I1480" s="7"/>
      <c r="J1480" s="7"/>
    </row>
    <row r="1481" spans="1:10" x14ac:dyDescent="0.25">
      <c r="E1481" s="4" t="s">
        <v>10</v>
      </c>
      <c r="G1481" s="8">
        <v>0</v>
      </c>
      <c r="H1481" s="8">
        <v>188.51</v>
      </c>
      <c r="I1481" s="8">
        <f>G1481-H1481</f>
        <v>-188.51</v>
      </c>
    </row>
    <row r="1482" spans="1:10" x14ac:dyDescent="0.25">
      <c r="C1482" s="9"/>
      <c r="D1482" s="10">
        <v>45726</v>
      </c>
      <c r="E1482" t="s">
        <v>2983</v>
      </c>
      <c r="F1482" s="11" t="s">
        <v>42</v>
      </c>
      <c r="G1482" s="8">
        <v>0</v>
      </c>
      <c r="H1482" s="8">
        <v>42.95</v>
      </c>
      <c r="I1482" s="8">
        <f>G1482-H1482+I1481</f>
        <v>-231.45999999999998</v>
      </c>
      <c r="J1482" s="12"/>
    </row>
    <row r="1483" spans="1:10" x14ac:dyDescent="0.25">
      <c r="E1483" s="4" t="s">
        <v>20</v>
      </c>
      <c r="G1483" s="8">
        <f>SUM(G1481:G1482)</f>
        <v>0</v>
      </c>
      <c r="H1483" s="8">
        <f>SUM(H1481:H1482)</f>
        <v>231.45999999999998</v>
      </c>
      <c r="I1483" s="8">
        <f>G1483-H1483</f>
        <v>-231.45999999999998</v>
      </c>
    </row>
    <row r="1485" spans="1:10" x14ac:dyDescent="0.25">
      <c r="A1485" s="5">
        <v>4301830</v>
      </c>
      <c r="B1485" s="6" t="s">
        <v>2984</v>
      </c>
      <c r="C1485" s="7"/>
      <c r="D1485" s="7"/>
      <c r="E1485" s="7"/>
      <c r="F1485" s="7"/>
      <c r="G1485" s="7"/>
      <c r="H1485" s="7"/>
      <c r="I1485" s="7"/>
      <c r="J1485" s="7"/>
    </row>
    <row r="1486" spans="1:10" x14ac:dyDescent="0.25">
      <c r="E1486" s="4" t="s">
        <v>10</v>
      </c>
      <c r="G1486" s="8">
        <v>1752.86</v>
      </c>
      <c r="H1486" s="8">
        <v>0</v>
      </c>
      <c r="I1486" s="8">
        <f>G1486-H1486</f>
        <v>1752.86</v>
      </c>
    </row>
    <row r="1487" spans="1:10" x14ac:dyDescent="0.25">
      <c r="C1487" s="9"/>
      <c r="D1487" s="10">
        <v>45660</v>
      </c>
      <c r="E1487" t="s">
        <v>2985</v>
      </c>
      <c r="F1487" s="11" t="s">
        <v>2986</v>
      </c>
      <c r="G1487" s="8">
        <v>0</v>
      </c>
      <c r="H1487" s="8">
        <v>312.27</v>
      </c>
      <c r="I1487" s="8">
        <f t="shared" ref="I1487:I1497" si="77">G1487-H1487+I1486</f>
        <v>1440.59</v>
      </c>
      <c r="J1487" s="12"/>
    </row>
    <row r="1488" spans="1:10" x14ac:dyDescent="0.25">
      <c r="C1488" s="9"/>
      <c r="D1488" s="10">
        <v>45671</v>
      </c>
      <c r="E1488" t="s">
        <v>2987</v>
      </c>
      <c r="F1488" s="11" t="s">
        <v>2988</v>
      </c>
      <c r="G1488" s="8">
        <v>332.37</v>
      </c>
      <c r="H1488" s="8">
        <v>0</v>
      </c>
      <c r="I1488" s="8">
        <f t="shared" si="77"/>
        <v>1772.96</v>
      </c>
      <c r="J1488" s="12"/>
    </row>
    <row r="1489" spans="1:10" x14ac:dyDescent="0.25">
      <c r="C1489" s="9"/>
      <c r="D1489" s="10">
        <v>45681</v>
      </c>
      <c r="E1489" t="s">
        <v>2989</v>
      </c>
      <c r="F1489" s="11" t="s">
        <v>42</v>
      </c>
      <c r="G1489" s="8">
        <v>0</v>
      </c>
      <c r="H1489" s="8">
        <v>140.94</v>
      </c>
      <c r="I1489" s="8">
        <f t="shared" si="77"/>
        <v>1632.02</v>
      </c>
      <c r="J1489" s="12"/>
    </row>
    <row r="1490" spans="1:10" x14ac:dyDescent="0.25">
      <c r="C1490" s="9"/>
      <c r="D1490" s="10">
        <v>45681</v>
      </c>
      <c r="E1490" t="s">
        <v>2989</v>
      </c>
      <c r="F1490" s="11" t="s">
        <v>42</v>
      </c>
      <c r="G1490" s="8">
        <v>0</v>
      </c>
      <c r="H1490" s="8">
        <v>391.53</v>
      </c>
      <c r="I1490" s="8">
        <f t="shared" si="77"/>
        <v>1240.49</v>
      </c>
      <c r="J1490" s="12"/>
    </row>
    <row r="1491" spans="1:10" x14ac:dyDescent="0.25">
      <c r="C1491" s="9"/>
      <c r="D1491" s="10">
        <v>45688</v>
      </c>
      <c r="E1491" t="s">
        <v>2990</v>
      </c>
      <c r="F1491" s="11" t="s">
        <v>2991</v>
      </c>
      <c r="G1491" s="8">
        <v>487.88</v>
      </c>
      <c r="H1491" s="8">
        <v>0</v>
      </c>
      <c r="I1491" s="8">
        <f t="shared" si="77"/>
        <v>1728.37</v>
      </c>
      <c r="J1491" s="12"/>
    </row>
    <row r="1492" spans="1:10" x14ac:dyDescent="0.25">
      <c r="C1492" s="9"/>
      <c r="D1492" s="10">
        <v>45702</v>
      </c>
      <c r="E1492" t="s">
        <v>2992</v>
      </c>
      <c r="F1492" s="11" t="s">
        <v>2993</v>
      </c>
      <c r="G1492" s="8">
        <v>59.86</v>
      </c>
      <c r="H1492" s="8">
        <v>0</v>
      </c>
      <c r="I1492" s="8">
        <f t="shared" si="77"/>
        <v>1788.2299999999998</v>
      </c>
      <c r="J1492" s="12"/>
    </row>
    <row r="1493" spans="1:10" x14ac:dyDescent="0.25">
      <c r="C1493" s="9"/>
      <c r="D1493" s="10">
        <v>45716</v>
      </c>
      <c r="E1493" t="s">
        <v>2994</v>
      </c>
      <c r="F1493" s="11" t="s">
        <v>2995</v>
      </c>
      <c r="G1493" s="8">
        <v>748.26</v>
      </c>
      <c r="H1493" s="8">
        <v>0</v>
      </c>
      <c r="I1493" s="8">
        <f t="shared" si="77"/>
        <v>2536.4899999999998</v>
      </c>
      <c r="J1493" s="12"/>
    </row>
    <row r="1494" spans="1:10" x14ac:dyDescent="0.25">
      <c r="C1494" s="9"/>
      <c r="D1494" s="10">
        <v>45723</v>
      </c>
      <c r="E1494" t="s">
        <v>2996</v>
      </c>
      <c r="F1494" s="11" t="s">
        <v>2988</v>
      </c>
      <c r="G1494" s="8">
        <v>0</v>
      </c>
      <c r="H1494" s="8">
        <v>1240.49</v>
      </c>
      <c r="I1494" s="8">
        <f t="shared" si="77"/>
        <v>1295.9999999999998</v>
      </c>
      <c r="J1494" s="12"/>
    </row>
    <row r="1495" spans="1:10" x14ac:dyDescent="0.25">
      <c r="C1495" s="9"/>
      <c r="D1495" s="10">
        <v>45730</v>
      </c>
      <c r="E1495" t="s">
        <v>2997</v>
      </c>
      <c r="F1495" s="11" t="s">
        <v>2998</v>
      </c>
      <c r="G1495" s="8">
        <v>174.31</v>
      </c>
      <c r="H1495" s="8">
        <v>0</v>
      </c>
      <c r="I1495" s="8">
        <f t="shared" si="77"/>
        <v>1470.3099999999997</v>
      </c>
      <c r="J1495" s="12"/>
    </row>
    <row r="1496" spans="1:10" x14ac:dyDescent="0.25">
      <c r="C1496" s="9"/>
      <c r="D1496" s="10">
        <v>45747</v>
      </c>
      <c r="E1496" t="s">
        <v>2999</v>
      </c>
      <c r="F1496" s="11" t="s">
        <v>3000</v>
      </c>
      <c r="G1496" s="8">
        <v>586.63</v>
      </c>
      <c r="H1496" s="8">
        <v>0</v>
      </c>
      <c r="I1496" s="8">
        <f t="shared" si="77"/>
        <v>2056.9399999999996</v>
      </c>
      <c r="J1496" s="12"/>
    </row>
    <row r="1497" spans="1:10" x14ac:dyDescent="0.25">
      <c r="C1497" s="9"/>
      <c r="D1497" s="10">
        <v>45755</v>
      </c>
      <c r="E1497" t="s">
        <v>3001</v>
      </c>
      <c r="F1497" s="11" t="s">
        <v>42</v>
      </c>
      <c r="G1497" s="8">
        <v>0</v>
      </c>
      <c r="H1497" s="8">
        <v>547.74</v>
      </c>
      <c r="I1497" s="8">
        <f t="shared" si="77"/>
        <v>1509.1999999999996</v>
      </c>
      <c r="J1497" s="12"/>
    </row>
    <row r="1498" spans="1:10" x14ac:dyDescent="0.25">
      <c r="E1498" s="4" t="s">
        <v>20</v>
      </c>
      <c r="G1498" s="8">
        <f>SUM(G1486:G1497)</f>
        <v>4142.17</v>
      </c>
      <c r="H1498" s="8">
        <f>SUM(H1486:H1497)</f>
        <v>2632.9700000000003</v>
      </c>
      <c r="I1498" s="8">
        <f>G1498-H1498</f>
        <v>1509.1999999999998</v>
      </c>
    </row>
    <row r="1500" spans="1:10" x14ac:dyDescent="0.25">
      <c r="A1500" s="5">
        <v>4301880</v>
      </c>
      <c r="B1500" s="6" t="s">
        <v>3002</v>
      </c>
      <c r="C1500" s="7"/>
      <c r="D1500" s="7"/>
      <c r="E1500" s="7"/>
      <c r="F1500" s="7"/>
      <c r="G1500" s="7"/>
      <c r="H1500" s="7"/>
      <c r="I1500" s="7"/>
      <c r="J1500" s="7"/>
    </row>
    <row r="1501" spans="1:10" x14ac:dyDescent="0.25">
      <c r="E1501" s="4" t="s">
        <v>10</v>
      </c>
      <c r="G1501" s="8">
        <v>2200.14</v>
      </c>
      <c r="H1501" s="8">
        <v>0</v>
      </c>
      <c r="I1501" s="8">
        <f>G1501-H1501</f>
        <v>2200.14</v>
      </c>
    </row>
    <row r="1502" spans="1:10" x14ac:dyDescent="0.25">
      <c r="C1502" s="9"/>
      <c r="D1502" s="10">
        <v>45688</v>
      </c>
      <c r="E1502" t="s">
        <v>3003</v>
      </c>
      <c r="F1502" s="11" t="s">
        <v>3004</v>
      </c>
      <c r="G1502" s="8">
        <v>76.709999999999994</v>
      </c>
      <c r="H1502" s="8">
        <v>0</v>
      </c>
      <c r="I1502" s="8">
        <f>G1502-H1502+I1501</f>
        <v>2276.85</v>
      </c>
      <c r="J1502" s="12"/>
    </row>
    <row r="1503" spans="1:10" x14ac:dyDescent="0.25">
      <c r="C1503" s="9"/>
      <c r="D1503" s="10">
        <v>45702</v>
      </c>
      <c r="E1503" t="s">
        <v>3005</v>
      </c>
      <c r="F1503" s="11" t="s">
        <v>3006</v>
      </c>
      <c r="G1503" s="8">
        <v>135.93</v>
      </c>
      <c r="H1503" s="8">
        <v>0</v>
      </c>
      <c r="I1503" s="8">
        <f>G1503-H1503+I1502</f>
        <v>2412.7799999999997</v>
      </c>
      <c r="J1503" s="12"/>
    </row>
    <row r="1504" spans="1:10" x14ac:dyDescent="0.25">
      <c r="C1504" s="9"/>
      <c r="D1504" s="10">
        <v>45730</v>
      </c>
      <c r="E1504" t="s">
        <v>3007</v>
      </c>
      <c r="F1504" s="11" t="s">
        <v>3008</v>
      </c>
      <c r="G1504" s="8">
        <v>112.41</v>
      </c>
      <c r="H1504" s="8">
        <v>0</v>
      </c>
      <c r="I1504" s="8">
        <f>G1504-H1504+I1503</f>
        <v>2525.1899999999996</v>
      </c>
      <c r="J1504" s="12"/>
    </row>
    <row r="1505" spans="1:10" x14ac:dyDescent="0.25">
      <c r="E1505" s="4" t="s">
        <v>20</v>
      </c>
      <c r="G1505" s="8">
        <f>SUM(G1501:G1504)</f>
        <v>2525.1899999999996</v>
      </c>
      <c r="H1505" s="8">
        <f>SUM(H1501:H1504)</f>
        <v>0</v>
      </c>
      <c r="I1505" s="8">
        <f>G1505-H1505</f>
        <v>2525.1899999999996</v>
      </c>
    </row>
    <row r="1507" spans="1:10" x14ac:dyDescent="0.25">
      <c r="A1507" s="5">
        <v>4301985</v>
      </c>
      <c r="B1507" s="6" t="s">
        <v>3009</v>
      </c>
      <c r="C1507" s="7"/>
      <c r="D1507" s="7"/>
      <c r="E1507" s="7"/>
      <c r="F1507" s="7"/>
      <c r="G1507" s="7"/>
      <c r="H1507" s="7"/>
      <c r="I1507" s="7"/>
      <c r="J1507" s="7"/>
    </row>
    <row r="1508" spans="1:10" x14ac:dyDescent="0.25">
      <c r="E1508" s="4" t="s">
        <v>10</v>
      </c>
      <c r="G1508" s="8">
        <v>12.25</v>
      </c>
      <c r="H1508" s="8">
        <v>0</v>
      </c>
      <c r="I1508" s="8">
        <f>G1508-H1508</f>
        <v>12.25</v>
      </c>
    </row>
    <row r="1509" spans="1:10" x14ac:dyDescent="0.25">
      <c r="E1509" s="4" t="s">
        <v>20</v>
      </c>
      <c r="G1509" s="8">
        <f>G1508</f>
        <v>12.25</v>
      </c>
      <c r="H1509" s="8">
        <f>H1508</f>
        <v>0</v>
      </c>
      <c r="I1509" s="8">
        <f>G1509-H1509</f>
        <v>12.25</v>
      </c>
    </row>
    <row r="1511" spans="1:10" x14ac:dyDescent="0.25">
      <c r="A1511" s="5">
        <v>4302050</v>
      </c>
      <c r="B1511" s="6" t="s">
        <v>3010</v>
      </c>
      <c r="C1511" s="7"/>
      <c r="D1511" s="7"/>
      <c r="E1511" s="7"/>
      <c r="F1511" s="7"/>
      <c r="G1511" s="7"/>
      <c r="H1511" s="7"/>
      <c r="I1511" s="7"/>
      <c r="J1511" s="7"/>
    </row>
    <row r="1512" spans="1:10" x14ac:dyDescent="0.25">
      <c r="E1512" s="4" t="s">
        <v>10</v>
      </c>
      <c r="G1512" s="8">
        <v>126.97</v>
      </c>
      <c r="H1512" s="8">
        <v>0</v>
      </c>
      <c r="I1512" s="8">
        <f>G1512-H1512</f>
        <v>126.97</v>
      </c>
    </row>
    <row r="1513" spans="1:10" x14ac:dyDescent="0.25">
      <c r="C1513" s="9"/>
      <c r="D1513" s="10">
        <v>45685</v>
      </c>
      <c r="E1513" t="s">
        <v>1524</v>
      </c>
      <c r="F1513" s="11" t="s">
        <v>3011</v>
      </c>
      <c r="G1513" s="8">
        <v>0</v>
      </c>
      <c r="H1513" s="8">
        <v>126.97</v>
      </c>
      <c r="I1513" s="8">
        <f>G1513-H1513+I1512</f>
        <v>0</v>
      </c>
      <c r="J1513" s="12"/>
    </row>
    <row r="1514" spans="1:10" x14ac:dyDescent="0.25">
      <c r="C1514" s="9"/>
      <c r="D1514" s="10">
        <v>45730</v>
      </c>
      <c r="E1514" t="s">
        <v>3012</v>
      </c>
      <c r="F1514" s="11" t="s">
        <v>3013</v>
      </c>
      <c r="G1514" s="8">
        <v>163.47</v>
      </c>
      <c r="H1514" s="8">
        <v>0</v>
      </c>
      <c r="I1514" s="8">
        <f>G1514-H1514+I1513</f>
        <v>163.47</v>
      </c>
      <c r="J1514" s="12"/>
    </row>
    <row r="1515" spans="1:10" x14ac:dyDescent="0.25">
      <c r="C1515" s="9"/>
      <c r="D1515" s="10">
        <v>45747</v>
      </c>
      <c r="E1515" t="s">
        <v>3014</v>
      </c>
      <c r="F1515" s="11" t="s">
        <v>3015</v>
      </c>
      <c r="G1515" s="8">
        <v>69.209999999999994</v>
      </c>
      <c r="H1515" s="8">
        <v>0</v>
      </c>
      <c r="I1515" s="8">
        <f>G1515-H1515+I1514</f>
        <v>232.68</v>
      </c>
      <c r="J1515" s="12"/>
    </row>
    <row r="1516" spans="1:10" x14ac:dyDescent="0.25">
      <c r="E1516" s="4" t="s">
        <v>20</v>
      </c>
      <c r="G1516" s="8">
        <f>SUM(G1512:G1515)</f>
        <v>359.65</v>
      </c>
      <c r="H1516" s="8">
        <f>SUM(H1512:H1515)</f>
        <v>126.97</v>
      </c>
      <c r="I1516" s="8">
        <f>G1516-H1516</f>
        <v>232.67999999999998</v>
      </c>
    </row>
    <row r="1518" spans="1:10" x14ac:dyDescent="0.25">
      <c r="A1518" s="5">
        <v>4302085</v>
      </c>
      <c r="B1518" s="6" t="s">
        <v>3016</v>
      </c>
      <c r="C1518" s="7"/>
      <c r="D1518" s="7"/>
      <c r="E1518" s="7"/>
      <c r="F1518" s="7"/>
      <c r="G1518" s="7"/>
      <c r="H1518" s="7"/>
      <c r="I1518" s="7"/>
      <c r="J1518" s="7"/>
    </row>
    <row r="1519" spans="1:10" x14ac:dyDescent="0.25">
      <c r="E1519" s="4" t="s">
        <v>10</v>
      </c>
      <c r="G1519" s="8">
        <v>246.61</v>
      </c>
      <c r="H1519" s="8">
        <v>0</v>
      </c>
      <c r="I1519" s="8">
        <f>G1519-H1519</f>
        <v>246.61</v>
      </c>
    </row>
    <row r="1520" spans="1:10" x14ac:dyDescent="0.25">
      <c r="E1520" s="4" t="s">
        <v>20</v>
      </c>
      <c r="G1520" s="8">
        <f>G1519</f>
        <v>246.61</v>
      </c>
      <c r="H1520" s="8">
        <f>H1519</f>
        <v>0</v>
      </c>
      <c r="I1520" s="8">
        <f>G1520-H1520</f>
        <v>246.61</v>
      </c>
    </row>
    <row r="1522" spans="1:10" x14ac:dyDescent="0.25">
      <c r="A1522" s="5">
        <v>4302140</v>
      </c>
      <c r="B1522" s="6" t="s">
        <v>3017</v>
      </c>
      <c r="C1522" s="7"/>
      <c r="D1522" s="7"/>
      <c r="E1522" s="7"/>
      <c r="F1522" s="7"/>
      <c r="G1522" s="7"/>
      <c r="H1522" s="7"/>
      <c r="I1522" s="7"/>
      <c r="J1522" s="7"/>
    </row>
    <row r="1523" spans="1:10" x14ac:dyDescent="0.25">
      <c r="E1523" s="4" t="s">
        <v>10</v>
      </c>
      <c r="G1523" s="8">
        <v>0</v>
      </c>
      <c r="H1523" s="8">
        <v>35.6</v>
      </c>
      <c r="I1523" s="8">
        <f>G1523-H1523</f>
        <v>-35.6</v>
      </c>
    </row>
    <row r="1524" spans="1:10" x14ac:dyDescent="0.25">
      <c r="C1524" s="9"/>
      <c r="D1524" s="10">
        <v>45688</v>
      </c>
      <c r="E1524" t="s">
        <v>3018</v>
      </c>
      <c r="F1524" s="11" t="s">
        <v>3019</v>
      </c>
      <c r="G1524" s="8">
        <v>137.16999999999999</v>
      </c>
      <c r="H1524" s="8">
        <v>0</v>
      </c>
      <c r="I1524" s="8">
        <f>G1524-H1524+I1523</f>
        <v>101.57</v>
      </c>
      <c r="J1524" s="12"/>
    </row>
    <row r="1525" spans="1:10" x14ac:dyDescent="0.25">
      <c r="C1525" s="9" t="s">
        <v>124</v>
      </c>
      <c r="D1525" s="10">
        <v>45691</v>
      </c>
      <c r="E1525" t="s">
        <v>3020</v>
      </c>
      <c r="F1525" s="11" t="s">
        <v>42</v>
      </c>
      <c r="G1525" s="8">
        <v>0</v>
      </c>
      <c r="H1525" s="8">
        <v>139.71</v>
      </c>
      <c r="I1525" s="8">
        <f>G1525-H1525+I1524</f>
        <v>-38.140000000000015</v>
      </c>
      <c r="J1525" s="12"/>
    </row>
    <row r="1526" spans="1:10" x14ac:dyDescent="0.25">
      <c r="C1526" s="9"/>
      <c r="D1526" s="10">
        <v>45747</v>
      </c>
      <c r="E1526" t="s">
        <v>3021</v>
      </c>
      <c r="F1526" s="11" t="s">
        <v>3022</v>
      </c>
      <c r="G1526" s="8">
        <v>390.61</v>
      </c>
      <c r="H1526" s="8">
        <v>0</v>
      </c>
      <c r="I1526" s="8">
        <f>G1526-H1526+I1525</f>
        <v>352.47</v>
      </c>
      <c r="J1526" s="12"/>
    </row>
    <row r="1527" spans="1:10" x14ac:dyDescent="0.25">
      <c r="C1527" s="9"/>
      <c r="D1527" s="10">
        <v>45748</v>
      </c>
      <c r="E1527" t="s">
        <v>1524</v>
      </c>
      <c r="F1527" s="11" t="s">
        <v>3022</v>
      </c>
      <c r="G1527" s="8">
        <v>0</v>
      </c>
      <c r="H1527" s="8">
        <v>390.61</v>
      </c>
      <c r="I1527" s="8">
        <f>G1527-H1527+I1526</f>
        <v>-38.139999999999986</v>
      </c>
      <c r="J1527" s="12"/>
    </row>
    <row r="1528" spans="1:10" x14ac:dyDescent="0.25">
      <c r="C1528" s="9"/>
      <c r="D1528" s="10">
        <v>45762</v>
      </c>
      <c r="E1528" t="s">
        <v>1524</v>
      </c>
      <c r="F1528" s="11" t="s">
        <v>3023</v>
      </c>
      <c r="G1528" s="8">
        <v>0</v>
      </c>
      <c r="H1528" s="8">
        <v>106.38</v>
      </c>
      <c r="I1528" s="8">
        <f>G1528-H1528+I1527</f>
        <v>-144.51999999999998</v>
      </c>
      <c r="J1528" s="12"/>
    </row>
    <row r="1529" spans="1:10" x14ac:dyDescent="0.25">
      <c r="E1529" s="4" t="s">
        <v>20</v>
      </c>
      <c r="G1529" s="8">
        <f>SUM(G1523:G1528)</f>
        <v>527.78</v>
      </c>
      <c r="H1529" s="8">
        <f>SUM(H1523:H1528)</f>
        <v>672.30000000000007</v>
      </c>
      <c r="I1529" s="8">
        <f>G1529-H1529</f>
        <v>-144.5200000000001</v>
      </c>
    </row>
    <row r="1531" spans="1:10" x14ac:dyDescent="0.25">
      <c r="A1531" s="5">
        <v>4302245</v>
      </c>
      <c r="B1531" s="6" t="s">
        <v>3024</v>
      </c>
      <c r="C1531" s="7"/>
      <c r="D1531" s="7"/>
      <c r="E1531" s="7"/>
      <c r="F1531" s="7"/>
      <c r="G1531" s="7"/>
      <c r="H1531" s="7"/>
      <c r="I1531" s="7"/>
      <c r="J1531" s="7"/>
    </row>
    <row r="1532" spans="1:10" x14ac:dyDescent="0.25">
      <c r="E1532" s="4" t="s">
        <v>10</v>
      </c>
      <c r="G1532" s="8">
        <v>11.35</v>
      </c>
      <c r="H1532" s="8">
        <v>0</v>
      </c>
      <c r="I1532" s="8">
        <f>G1532-H1532</f>
        <v>11.35</v>
      </c>
    </row>
    <row r="1533" spans="1:10" x14ac:dyDescent="0.25">
      <c r="C1533" s="9"/>
      <c r="D1533" s="10">
        <v>45688</v>
      </c>
      <c r="E1533" t="s">
        <v>3025</v>
      </c>
      <c r="F1533" s="11" t="s">
        <v>3026</v>
      </c>
      <c r="G1533" s="8">
        <v>51.59</v>
      </c>
      <c r="H1533" s="8">
        <v>0</v>
      </c>
      <c r="I1533" s="8">
        <f t="shared" ref="I1533:I1539" si="78">G1533-H1533+I1532</f>
        <v>62.940000000000005</v>
      </c>
      <c r="J1533" s="12"/>
    </row>
    <row r="1534" spans="1:10" x14ac:dyDescent="0.25">
      <c r="C1534" s="9"/>
      <c r="D1534" s="10">
        <v>45691</v>
      </c>
      <c r="E1534" t="s">
        <v>3027</v>
      </c>
      <c r="F1534" s="11" t="s">
        <v>42</v>
      </c>
      <c r="G1534" s="8">
        <v>0</v>
      </c>
      <c r="H1534" s="8">
        <v>62.94</v>
      </c>
      <c r="I1534" s="8">
        <f t="shared" si="78"/>
        <v>0</v>
      </c>
      <c r="J1534" s="12"/>
    </row>
    <row r="1535" spans="1:10" x14ac:dyDescent="0.25">
      <c r="C1535" s="9"/>
      <c r="D1535" s="10">
        <v>45716</v>
      </c>
      <c r="E1535" t="s">
        <v>3028</v>
      </c>
      <c r="F1535" s="11" t="s">
        <v>3029</v>
      </c>
      <c r="G1535" s="8">
        <v>102.85</v>
      </c>
      <c r="H1535" s="8">
        <v>0</v>
      </c>
      <c r="I1535" s="8">
        <f t="shared" si="78"/>
        <v>102.85</v>
      </c>
      <c r="J1535" s="12"/>
    </row>
    <row r="1536" spans="1:10" x14ac:dyDescent="0.25">
      <c r="C1536" s="9" t="s">
        <v>124</v>
      </c>
      <c r="D1536" s="10">
        <v>45719</v>
      </c>
      <c r="E1536" t="s">
        <v>3027</v>
      </c>
      <c r="F1536" s="11" t="s">
        <v>42</v>
      </c>
      <c r="G1536" s="8">
        <v>0</v>
      </c>
      <c r="H1536" s="8">
        <v>102.85</v>
      </c>
      <c r="I1536" s="8">
        <f t="shared" si="78"/>
        <v>0</v>
      </c>
      <c r="J1536" s="12"/>
    </row>
    <row r="1537" spans="1:10" x14ac:dyDescent="0.25">
      <c r="C1537" s="9"/>
      <c r="D1537" s="10">
        <v>45747</v>
      </c>
      <c r="E1537" t="s">
        <v>3030</v>
      </c>
      <c r="F1537" s="11" t="s">
        <v>3031</v>
      </c>
      <c r="G1537" s="8">
        <v>53.86</v>
      </c>
      <c r="H1537" s="8">
        <v>0</v>
      </c>
      <c r="I1537" s="8">
        <f t="shared" si="78"/>
        <v>53.86</v>
      </c>
      <c r="J1537" s="12"/>
    </row>
    <row r="1538" spans="1:10" x14ac:dyDescent="0.25">
      <c r="C1538" s="9" t="s">
        <v>124</v>
      </c>
      <c r="D1538" s="10">
        <v>45748</v>
      </c>
      <c r="E1538" t="s">
        <v>3032</v>
      </c>
      <c r="F1538" s="11" t="s">
        <v>3031</v>
      </c>
      <c r="G1538" s="8">
        <v>0</v>
      </c>
      <c r="H1538" s="8">
        <v>53.86</v>
      </c>
      <c r="I1538" s="8">
        <f t="shared" si="78"/>
        <v>0</v>
      </c>
      <c r="J1538" s="12"/>
    </row>
    <row r="1539" spans="1:10" x14ac:dyDescent="0.25">
      <c r="C1539" s="9"/>
      <c r="D1539" s="10">
        <v>45762</v>
      </c>
      <c r="E1539" t="s">
        <v>1524</v>
      </c>
      <c r="F1539" s="11" t="s">
        <v>3033</v>
      </c>
      <c r="G1539" s="8">
        <v>0</v>
      </c>
      <c r="H1539" s="8">
        <v>32.82</v>
      </c>
      <c r="I1539" s="8">
        <f t="shared" si="78"/>
        <v>-32.82</v>
      </c>
      <c r="J1539" s="12"/>
    </row>
    <row r="1540" spans="1:10" x14ac:dyDescent="0.25">
      <c r="E1540" s="4" t="s">
        <v>20</v>
      </c>
      <c r="G1540" s="8">
        <f>SUM(G1532:G1539)</f>
        <v>219.64999999999998</v>
      </c>
      <c r="H1540" s="8">
        <f>SUM(H1532:H1539)</f>
        <v>252.46999999999997</v>
      </c>
      <c r="I1540" s="8">
        <f>G1540-H1540</f>
        <v>-32.819999999999993</v>
      </c>
    </row>
    <row r="1542" spans="1:10" x14ac:dyDescent="0.25">
      <c r="A1542" s="5">
        <v>4302290</v>
      </c>
      <c r="B1542" s="6" t="s">
        <v>3034</v>
      </c>
      <c r="C1542" s="7"/>
      <c r="D1542" s="7"/>
      <c r="E1542" s="7"/>
      <c r="F1542" s="7"/>
      <c r="G1542" s="7"/>
      <c r="H1542" s="7"/>
      <c r="I1542" s="7"/>
      <c r="J1542" s="7"/>
    </row>
    <row r="1543" spans="1:10" x14ac:dyDescent="0.25">
      <c r="E1543" s="4" t="s">
        <v>10</v>
      </c>
      <c r="G1543" s="8">
        <v>33.69</v>
      </c>
      <c r="H1543" s="8">
        <v>0</v>
      </c>
      <c r="I1543" s="8">
        <f>G1543-H1543</f>
        <v>33.69</v>
      </c>
    </row>
    <row r="1544" spans="1:10" x14ac:dyDescent="0.25">
      <c r="E1544" s="4" t="s">
        <v>20</v>
      </c>
      <c r="G1544" s="8">
        <f>G1543</f>
        <v>33.69</v>
      </c>
      <c r="H1544" s="8">
        <f>H1543</f>
        <v>0</v>
      </c>
      <c r="I1544" s="8">
        <f>G1544-H1544</f>
        <v>33.69</v>
      </c>
    </row>
    <row r="1546" spans="1:10" x14ac:dyDescent="0.25">
      <c r="A1546" s="5">
        <v>4302295</v>
      </c>
      <c r="B1546" s="6" t="s">
        <v>3035</v>
      </c>
      <c r="C1546" s="7"/>
      <c r="D1546" s="7"/>
      <c r="E1546" s="7"/>
      <c r="F1546" s="7"/>
      <c r="G1546" s="7"/>
      <c r="H1546" s="7"/>
      <c r="I1546" s="7"/>
      <c r="J1546" s="7"/>
    </row>
    <row r="1547" spans="1:10" x14ac:dyDescent="0.25">
      <c r="E1547" s="4" t="s">
        <v>10</v>
      </c>
      <c r="G1547" s="8">
        <v>19.149999999999999</v>
      </c>
      <c r="H1547" s="8">
        <v>0</v>
      </c>
      <c r="I1547" s="8">
        <f>G1547-H1547</f>
        <v>19.149999999999999</v>
      </c>
    </row>
    <row r="1548" spans="1:10" x14ac:dyDescent="0.25">
      <c r="C1548" s="9"/>
      <c r="D1548" s="10">
        <v>45688</v>
      </c>
      <c r="E1548" t="s">
        <v>3036</v>
      </c>
      <c r="F1548" s="11" t="s">
        <v>3037</v>
      </c>
      <c r="G1548" s="8">
        <v>77.75</v>
      </c>
      <c r="H1548" s="8">
        <v>0</v>
      </c>
      <c r="I1548" s="8">
        <f>G1548-H1548+I1547</f>
        <v>96.9</v>
      </c>
      <c r="J1548" s="12"/>
    </row>
    <row r="1549" spans="1:10" x14ac:dyDescent="0.25">
      <c r="C1549" s="9"/>
      <c r="D1549" s="10">
        <v>45714</v>
      </c>
      <c r="E1549" t="s">
        <v>1524</v>
      </c>
      <c r="F1549" s="11" t="s">
        <v>3038</v>
      </c>
      <c r="G1549" s="8">
        <v>0</v>
      </c>
      <c r="H1549" s="8">
        <v>19.149999999999999</v>
      </c>
      <c r="I1549" s="8">
        <f>G1549-H1549+I1548</f>
        <v>77.75</v>
      </c>
      <c r="J1549" s="12"/>
    </row>
    <row r="1550" spans="1:10" x14ac:dyDescent="0.25">
      <c r="C1550" s="9"/>
      <c r="D1550" s="10">
        <v>45741</v>
      </c>
      <c r="E1550" t="s">
        <v>1524</v>
      </c>
      <c r="F1550" s="11" t="s">
        <v>3037</v>
      </c>
      <c r="G1550" s="8">
        <v>0</v>
      </c>
      <c r="H1550" s="8">
        <v>77.75</v>
      </c>
      <c r="I1550" s="8">
        <f>G1550-H1550+I1549</f>
        <v>0</v>
      </c>
      <c r="J1550" s="12"/>
    </row>
    <row r="1551" spans="1:10" x14ac:dyDescent="0.25">
      <c r="C1551" s="9"/>
      <c r="D1551" s="10">
        <v>45747</v>
      </c>
      <c r="E1551" t="s">
        <v>3039</v>
      </c>
      <c r="F1551" s="11" t="s">
        <v>3040</v>
      </c>
      <c r="G1551" s="8">
        <v>50.24</v>
      </c>
      <c r="H1551" s="8">
        <v>0</v>
      </c>
      <c r="I1551" s="8">
        <f>G1551-H1551+I1550</f>
        <v>50.24</v>
      </c>
      <c r="J1551" s="12"/>
    </row>
    <row r="1552" spans="1:10" x14ac:dyDescent="0.25">
      <c r="E1552" s="4" t="s">
        <v>20</v>
      </c>
      <c r="G1552" s="8">
        <f>SUM(G1547:G1551)</f>
        <v>147.14000000000001</v>
      </c>
      <c r="H1552" s="8">
        <f>SUM(H1547:H1551)</f>
        <v>96.9</v>
      </c>
      <c r="I1552" s="8">
        <f>G1552-H1552</f>
        <v>50.240000000000009</v>
      </c>
    </row>
    <row r="1554" spans="1:10" x14ac:dyDescent="0.25">
      <c r="A1554" s="5">
        <v>4302300</v>
      </c>
      <c r="B1554" s="6" t="s">
        <v>3041</v>
      </c>
      <c r="C1554" s="7"/>
      <c r="D1554" s="7"/>
      <c r="E1554" s="7"/>
      <c r="F1554" s="7"/>
      <c r="G1554" s="7"/>
      <c r="H1554" s="7"/>
      <c r="I1554" s="7"/>
      <c r="J1554" s="7"/>
    </row>
    <row r="1555" spans="1:10" x14ac:dyDescent="0.25">
      <c r="E1555" s="4" t="s">
        <v>10</v>
      </c>
      <c r="G1555" s="8">
        <v>972.92</v>
      </c>
      <c r="H1555" s="8">
        <v>0</v>
      </c>
      <c r="I1555" s="8">
        <f>G1555-H1555</f>
        <v>972.92</v>
      </c>
    </row>
    <row r="1556" spans="1:10" x14ac:dyDescent="0.25">
      <c r="C1556" s="9"/>
      <c r="D1556" s="10">
        <v>45671</v>
      </c>
      <c r="E1556" t="s">
        <v>3042</v>
      </c>
      <c r="F1556" s="11" t="s">
        <v>3043</v>
      </c>
      <c r="G1556" s="8">
        <v>50.47</v>
      </c>
      <c r="H1556" s="8">
        <v>0</v>
      </c>
      <c r="I1556" s="8">
        <f t="shared" ref="I1556:I1563" si="79">G1556-H1556+I1555</f>
        <v>1023.39</v>
      </c>
      <c r="J1556" s="12"/>
    </row>
    <row r="1557" spans="1:10" x14ac:dyDescent="0.25">
      <c r="C1557" s="9"/>
      <c r="D1557" s="10">
        <v>45684</v>
      </c>
      <c r="E1557">
        <v>157008.15754700001</v>
      </c>
      <c r="F1557" s="11" t="s">
        <v>42</v>
      </c>
      <c r="G1557" s="8">
        <v>0</v>
      </c>
      <c r="H1557" s="8">
        <v>227.28</v>
      </c>
      <c r="I1557" s="8">
        <f t="shared" si="79"/>
        <v>796.11</v>
      </c>
      <c r="J1557" s="12"/>
    </row>
    <row r="1558" spans="1:10" x14ac:dyDescent="0.25">
      <c r="C1558" s="9"/>
      <c r="D1558" s="10">
        <v>45688</v>
      </c>
      <c r="E1558" t="s">
        <v>3044</v>
      </c>
      <c r="F1558" s="11" t="s">
        <v>3045</v>
      </c>
      <c r="G1558" s="8">
        <v>265.63</v>
      </c>
      <c r="H1558" s="8">
        <v>0</v>
      </c>
      <c r="I1558" s="8">
        <f t="shared" si="79"/>
        <v>1061.74</v>
      </c>
      <c r="J1558" s="12"/>
    </row>
    <row r="1559" spans="1:10" x14ac:dyDescent="0.25">
      <c r="C1559" s="9"/>
      <c r="D1559" s="10">
        <v>45712</v>
      </c>
      <c r="E1559" t="s">
        <v>3046</v>
      </c>
      <c r="F1559" s="11" t="s">
        <v>42</v>
      </c>
      <c r="G1559" s="8">
        <v>0</v>
      </c>
      <c r="H1559" s="8">
        <v>304.97000000000003</v>
      </c>
      <c r="I1559" s="8">
        <f t="shared" si="79"/>
        <v>756.77</v>
      </c>
      <c r="J1559" s="12"/>
    </row>
    <row r="1560" spans="1:10" x14ac:dyDescent="0.25">
      <c r="C1560" s="9"/>
      <c r="D1560" s="10">
        <v>45716</v>
      </c>
      <c r="E1560" t="s">
        <v>3047</v>
      </c>
      <c r="F1560" s="11" t="s">
        <v>3048</v>
      </c>
      <c r="G1560" s="8">
        <v>103.35</v>
      </c>
      <c r="H1560" s="8">
        <v>0</v>
      </c>
      <c r="I1560" s="8">
        <f t="shared" si="79"/>
        <v>860.12</v>
      </c>
      <c r="J1560" s="12"/>
    </row>
    <row r="1561" spans="1:10" x14ac:dyDescent="0.25">
      <c r="C1561" s="9"/>
      <c r="D1561" s="10">
        <v>45730</v>
      </c>
      <c r="E1561" t="s">
        <v>3049</v>
      </c>
      <c r="F1561" s="11" t="s">
        <v>3050</v>
      </c>
      <c r="G1561" s="8">
        <v>322.97000000000003</v>
      </c>
      <c r="H1561" s="8">
        <v>0</v>
      </c>
      <c r="I1561" s="8">
        <f t="shared" si="79"/>
        <v>1183.0900000000001</v>
      </c>
      <c r="J1561" s="12"/>
    </row>
    <row r="1562" spans="1:10" x14ac:dyDescent="0.25">
      <c r="C1562" s="9"/>
      <c r="D1562" s="10">
        <v>45740</v>
      </c>
      <c r="E1562">
        <v>159041.15954299999</v>
      </c>
      <c r="F1562" s="11" t="s">
        <v>42</v>
      </c>
      <c r="G1562" s="8">
        <v>0</v>
      </c>
      <c r="H1562" s="8">
        <v>432.08</v>
      </c>
      <c r="I1562" s="8">
        <f t="shared" si="79"/>
        <v>751.01000000000022</v>
      </c>
      <c r="J1562" s="12"/>
    </row>
    <row r="1563" spans="1:10" x14ac:dyDescent="0.25">
      <c r="C1563" s="9"/>
      <c r="D1563" s="10">
        <v>45747</v>
      </c>
      <c r="E1563" t="s">
        <v>3051</v>
      </c>
      <c r="F1563" s="11" t="s">
        <v>3052</v>
      </c>
      <c r="G1563" s="8">
        <v>212.62</v>
      </c>
      <c r="H1563" s="8">
        <v>0</v>
      </c>
      <c r="I1563" s="8">
        <f t="shared" si="79"/>
        <v>963.63000000000022</v>
      </c>
      <c r="J1563" s="12"/>
    </row>
    <row r="1564" spans="1:10" x14ac:dyDescent="0.25">
      <c r="E1564" s="4" t="s">
        <v>20</v>
      </c>
      <c r="G1564" s="8">
        <f>SUM(G1555:G1563)</f>
        <v>1927.96</v>
      </c>
      <c r="H1564" s="8">
        <f>SUM(H1555:H1563)</f>
        <v>964.32999999999993</v>
      </c>
      <c r="I1564" s="8">
        <f>G1564-H1564</f>
        <v>963.63000000000011</v>
      </c>
    </row>
    <row r="1566" spans="1:10" x14ac:dyDescent="0.25">
      <c r="A1566" s="5">
        <v>4302315</v>
      </c>
      <c r="B1566" s="6" t="s">
        <v>3053</v>
      </c>
      <c r="C1566" s="7"/>
      <c r="D1566" s="7"/>
      <c r="E1566" s="7"/>
      <c r="F1566" s="7"/>
      <c r="G1566" s="7"/>
      <c r="H1566" s="7"/>
      <c r="I1566" s="7"/>
      <c r="J1566" s="7"/>
    </row>
    <row r="1567" spans="1:10" x14ac:dyDescent="0.25">
      <c r="E1567" s="4" t="s">
        <v>10</v>
      </c>
      <c r="G1567" s="8">
        <v>30.9</v>
      </c>
      <c r="H1567" s="8">
        <v>0</v>
      </c>
      <c r="I1567" s="8">
        <f>G1567-H1567</f>
        <v>30.9</v>
      </c>
    </row>
    <row r="1568" spans="1:10" x14ac:dyDescent="0.25">
      <c r="C1568" s="9"/>
      <c r="D1568" s="10">
        <v>45659</v>
      </c>
      <c r="E1568" t="s">
        <v>1524</v>
      </c>
      <c r="F1568" s="11" t="s">
        <v>3054</v>
      </c>
      <c r="G1568" s="8">
        <v>0</v>
      </c>
      <c r="H1568" s="8">
        <v>30.9</v>
      </c>
      <c r="I1568" s="8">
        <f t="shared" ref="I1568:I1575" si="80">G1568-H1568+I1567</f>
        <v>0</v>
      </c>
      <c r="J1568" s="12"/>
    </row>
    <row r="1569" spans="1:10" x14ac:dyDescent="0.25">
      <c r="C1569" s="9"/>
      <c r="D1569" s="10">
        <v>45716</v>
      </c>
      <c r="E1569" t="s">
        <v>3055</v>
      </c>
      <c r="F1569" s="11" t="s">
        <v>3056</v>
      </c>
      <c r="G1569" s="8">
        <v>65.069999999999993</v>
      </c>
      <c r="H1569" s="8">
        <v>0</v>
      </c>
      <c r="I1569" s="8">
        <f t="shared" si="80"/>
        <v>65.069999999999993</v>
      </c>
      <c r="J1569" s="12"/>
    </row>
    <row r="1570" spans="1:10" x14ac:dyDescent="0.25">
      <c r="C1570" s="9" t="s">
        <v>124</v>
      </c>
      <c r="D1570" s="10">
        <v>45719</v>
      </c>
      <c r="E1570" t="s">
        <v>3057</v>
      </c>
      <c r="F1570" s="11" t="s">
        <v>3056</v>
      </c>
      <c r="G1570" s="8">
        <v>0</v>
      </c>
      <c r="H1570" s="8">
        <v>65.069999999999993</v>
      </c>
      <c r="I1570" s="8">
        <f t="shared" si="80"/>
        <v>0</v>
      </c>
      <c r="J1570" s="12"/>
    </row>
    <row r="1571" spans="1:10" x14ac:dyDescent="0.25">
      <c r="C1571" s="9"/>
      <c r="D1571" s="10">
        <v>45730</v>
      </c>
      <c r="E1571" t="s">
        <v>3058</v>
      </c>
      <c r="F1571" s="11" t="s">
        <v>3059</v>
      </c>
      <c r="G1571" s="8">
        <v>127.44</v>
      </c>
      <c r="H1571" s="8">
        <v>0</v>
      </c>
      <c r="I1571" s="8">
        <f t="shared" si="80"/>
        <v>127.44</v>
      </c>
      <c r="J1571" s="12"/>
    </row>
    <row r="1572" spans="1:10" x14ac:dyDescent="0.25">
      <c r="C1572" s="9"/>
      <c r="D1572" s="10">
        <v>45733</v>
      </c>
      <c r="E1572" t="s">
        <v>1524</v>
      </c>
      <c r="F1572" s="11" t="s">
        <v>3059</v>
      </c>
      <c r="G1572" s="8">
        <v>0</v>
      </c>
      <c r="H1572" s="8">
        <v>127.44</v>
      </c>
      <c r="I1572" s="8">
        <f t="shared" si="80"/>
        <v>0</v>
      </c>
      <c r="J1572" s="12"/>
    </row>
    <row r="1573" spans="1:10" x14ac:dyDescent="0.25">
      <c r="C1573" s="9"/>
      <c r="D1573" s="10">
        <v>45747</v>
      </c>
      <c r="E1573" t="s">
        <v>3060</v>
      </c>
      <c r="F1573" s="11" t="s">
        <v>3061</v>
      </c>
      <c r="G1573" s="8">
        <v>59.52</v>
      </c>
      <c r="H1573" s="8">
        <v>0</v>
      </c>
      <c r="I1573" s="8">
        <f t="shared" si="80"/>
        <v>59.52</v>
      </c>
      <c r="J1573" s="12"/>
    </row>
    <row r="1574" spans="1:10" x14ac:dyDescent="0.25">
      <c r="C1574" s="9"/>
      <c r="D1574" s="10">
        <v>45748</v>
      </c>
      <c r="E1574" t="s">
        <v>1524</v>
      </c>
      <c r="F1574" s="11" t="s">
        <v>3061</v>
      </c>
      <c r="G1574" s="8">
        <v>0</v>
      </c>
      <c r="H1574" s="8">
        <v>59.52</v>
      </c>
      <c r="I1574" s="8">
        <f t="shared" si="80"/>
        <v>0</v>
      </c>
      <c r="J1574" s="12"/>
    </row>
    <row r="1575" spans="1:10" x14ac:dyDescent="0.25">
      <c r="C1575" s="9"/>
      <c r="D1575" s="10">
        <v>45762</v>
      </c>
      <c r="E1575" t="s">
        <v>3062</v>
      </c>
      <c r="F1575" s="11" t="s">
        <v>3061</v>
      </c>
      <c r="G1575" s="8">
        <v>0</v>
      </c>
      <c r="H1575" s="8">
        <v>48.74</v>
      </c>
      <c r="I1575" s="8">
        <f t="shared" si="80"/>
        <v>-48.74</v>
      </c>
      <c r="J1575" s="12"/>
    </row>
    <row r="1576" spans="1:10" x14ac:dyDescent="0.25">
      <c r="E1576" s="4" t="s">
        <v>20</v>
      </c>
      <c r="G1576" s="8">
        <f>SUM(G1567:G1575)</f>
        <v>282.93</v>
      </c>
      <c r="H1576" s="8">
        <f>SUM(H1567:H1575)</f>
        <v>331.67</v>
      </c>
      <c r="I1576" s="8">
        <f>G1576-H1576</f>
        <v>-48.740000000000009</v>
      </c>
    </row>
    <row r="1578" spans="1:10" x14ac:dyDescent="0.25">
      <c r="A1578" s="5">
        <v>4302340</v>
      </c>
      <c r="B1578" s="6" t="s">
        <v>3063</v>
      </c>
      <c r="C1578" s="7"/>
      <c r="D1578" s="7"/>
      <c r="E1578" s="7"/>
      <c r="F1578" s="7"/>
      <c r="G1578" s="7"/>
      <c r="H1578" s="7"/>
      <c r="I1578" s="7"/>
      <c r="J1578" s="7"/>
    </row>
    <row r="1579" spans="1:10" x14ac:dyDescent="0.25">
      <c r="C1579" s="9"/>
      <c r="D1579" s="10">
        <v>45671</v>
      </c>
      <c r="E1579" t="s">
        <v>3064</v>
      </c>
      <c r="F1579" s="11" t="s">
        <v>3065</v>
      </c>
      <c r="G1579" s="8">
        <v>178.34</v>
      </c>
      <c r="H1579" s="8">
        <v>0</v>
      </c>
      <c r="I1579" s="8">
        <f>G1579-H1579</f>
        <v>178.34</v>
      </c>
      <c r="J1579" s="12"/>
    </row>
    <row r="1580" spans="1:10" x14ac:dyDescent="0.25">
      <c r="C1580" s="9"/>
      <c r="D1580" s="10">
        <v>45672</v>
      </c>
      <c r="E1580" t="s">
        <v>1524</v>
      </c>
      <c r="F1580" s="11" t="s">
        <v>3065</v>
      </c>
      <c r="G1580" s="8">
        <v>0</v>
      </c>
      <c r="H1580" s="8">
        <v>178.34</v>
      </c>
      <c r="I1580" s="8">
        <f t="shared" ref="I1580:I1591" si="81">G1580-H1580+I1579</f>
        <v>0</v>
      </c>
      <c r="J1580" s="12"/>
    </row>
    <row r="1581" spans="1:10" x14ac:dyDescent="0.25">
      <c r="C1581" s="9"/>
      <c r="D1581" s="10">
        <v>45688</v>
      </c>
      <c r="E1581" t="s">
        <v>3066</v>
      </c>
      <c r="F1581" s="11" t="s">
        <v>3067</v>
      </c>
      <c r="G1581" s="8">
        <v>44.94</v>
      </c>
      <c r="H1581" s="8">
        <v>0</v>
      </c>
      <c r="I1581" s="8">
        <f t="shared" si="81"/>
        <v>44.94</v>
      </c>
      <c r="J1581" s="12"/>
    </row>
    <row r="1582" spans="1:10" x14ac:dyDescent="0.25">
      <c r="C1582" s="9"/>
      <c r="D1582" s="10">
        <v>45691</v>
      </c>
      <c r="E1582" t="s">
        <v>1524</v>
      </c>
      <c r="F1582" s="11" t="s">
        <v>3067</v>
      </c>
      <c r="G1582" s="8">
        <v>0</v>
      </c>
      <c r="H1582" s="8">
        <v>44.94</v>
      </c>
      <c r="I1582" s="8">
        <f t="shared" si="81"/>
        <v>0</v>
      </c>
      <c r="J1582" s="12"/>
    </row>
    <row r="1583" spans="1:10" x14ac:dyDescent="0.25">
      <c r="C1583" s="9"/>
      <c r="D1583" s="10">
        <v>45702</v>
      </c>
      <c r="E1583" t="s">
        <v>3068</v>
      </c>
      <c r="F1583" s="11" t="s">
        <v>3069</v>
      </c>
      <c r="G1583" s="8">
        <v>368.28</v>
      </c>
      <c r="H1583" s="8">
        <v>0</v>
      </c>
      <c r="I1583" s="8">
        <f t="shared" si="81"/>
        <v>368.28</v>
      </c>
      <c r="J1583" s="12"/>
    </row>
    <row r="1584" spans="1:10" x14ac:dyDescent="0.25">
      <c r="C1584" s="9"/>
      <c r="D1584" s="10">
        <v>45705</v>
      </c>
      <c r="E1584" t="s">
        <v>1524</v>
      </c>
      <c r="F1584" s="11" t="s">
        <v>3069</v>
      </c>
      <c r="G1584" s="8">
        <v>0</v>
      </c>
      <c r="H1584" s="8">
        <v>368.28</v>
      </c>
      <c r="I1584" s="8">
        <f t="shared" si="81"/>
        <v>0</v>
      </c>
      <c r="J1584" s="12"/>
    </row>
    <row r="1585" spans="1:10" x14ac:dyDescent="0.25">
      <c r="C1585" s="9"/>
      <c r="D1585" s="10">
        <v>45716</v>
      </c>
      <c r="E1585" t="s">
        <v>3070</v>
      </c>
      <c r="F1585" s="11" t="s">
        <v>3071</v>
      </c>
      <c r="G1585" s="8">
        <v>589.73</v>
      </c>
      <c r="H1585" s="8">
        <v>0</v>
      </c>
      <c r="I1585" s="8">
        <f t="shared" si="81"/>
        <v>589.73</v>
      </c>
      <c r="J1585" s="12"/>
    </row>
    <row r="1586" spans="1:10" x14ac:dyDescent="0.25">
      <c r="C1586" s="9" t="s">
        <v>124</v>
      </c>
      <c r="D1586" s="10">
        <v>45719</v>
      </c>
      <c r="E1586" t="s">
        <v>3072</v>
      </c>
      <c r="F1586" s="11" t="s">
        <v>3071</v>
      </c>
      <c r="G1586" s="8">
        <v>0</v>
      </c>
      <c r="H1586" s="8">
        <v>589.73</v>
      </c>
      <c r="I1586" s="8">
        <f t="shared" si="81"/>
        <v>0</v>
      </c>
      <c r="J1586" s="12"/>
    </row>
    <row r="1587" spans="1:10" x14ac:dyDescent="0.25">
      <c r="C1587" s="9"/>
      <c r="D1587" s="10">
        <v>45730</v>
      </c>
      <c r="E1587" t="s">
        <v>3073</v>
      </c>
      <c r="F1587" s="11" t="s">
        <v>3074</v>
      </c>
      <c r="G1587" s="8">
        <v>73.11</v>
      </c>
      <c r="H1587" s="8">
        <v>0</v>
      </c>
      <c r="I1587" s="8">
        <f t="shared" si="81"/>
        <v>73.11</v>
      </c>
      <c r="J1587" s="12"/>
    </row>
    <row r="1588" spans="1:10" x14ac:dyDescent="0.25">
      <c r="C1588" s="9"/>
      <c r="D1588" s="10">
        <v>45733</v>
      </c>
      <c r="E1588" t="s">
        <v>1524</v>
      </c>
      <c r="F1588" s="11" t="s">
        <v>3074</v>
      </c>
      <c r="G1588" s="8">
        <v>0</v>
      </c>
      <c r="H1588" s="8">
        <v>73.11</v>
      </c>
      <c r="I1588" s="8">
        <f t="shared" si="81"/>
        <v>0</v>
      </c>
      <c r="J1588" s="12"/>
    </row>
    <row r="1589" spans="1:10" x14ac:dyDescent="0.25">
      <c r="C1589" s="9"/>
      <c r="D1589" s="10">
        <v>45747</v>
      </c>
      <c r="E1589" t="s">
        <v>3075</v>
      </c>
      <c r="F1589" s="11" t="s">
        <v>3076</v>
      </c>
      <c r="G1589" s="8">
        <v>207.26</v>
      </c>
      <c r="H1589" s="8">
        <v>0</v>
      </c>
      <c r="I1589" s="8">
        <f t="shared" si="81"/>
        <v>207.26</v>
      </c>
      <c r="J1589" s="12"/>
    </row>
    <row r="1590" spans="1:10" x14ac:dyDescent="0.25">
      <c r="C1590" s="9" t="s">
        <v>124</v>
      </c>
      <c r="D1590" s="10">
        <v>45748</v>
      </c>
      <c r="E1590" t="s">
        <v>3077</v>
      </c>
      <c r="F1590" s="11" t="s">
        <v>3076</v>
      </c>
      <c r="G1590" s="8">
        <v>0</v>
      </c>
      <c r="H1590" s="8">
        <v>207.26</v>
      </c>
      <c r="I1590" s="8">
        <f t="shared" si="81"/>
        <v>0</v>
      </c>
      <c r="J1590" s="12"/>
    </row>
    <row r="1591" spans="1:10" x14ac:dyDescent="0.25">
      <c r="C1591" s="9"/>
      <c r="D1591" s="10">
        <v>45762</v>
      </c>
      <c r="E1591" t="s">
        <v>3078</v>
      </c>
      <c r="F1591" s="11" t="s">
        <v>42</v>
      </c>
      <c r="G1591" s="8">
        <v>0</v>
      </c>
      <c r="H1591" s="8">
        <v>67.28</v>
      </c>
      <c r="I1591" s="8">
        <f t="shared" si="81"/>
        <v>-67.28</v>
      </c>
      <c r="J1591" s="12"/>
    </row>
    <row r="1592" spans="1:10" x14ac:dyDescent="0.25">
      <c r="E1592" s="4" t="s">
        <v>20</v>
      </c>
      <c r="G1592" s="8">
        <f>SUM(G1579:G1591)</f>
        <v>1461.6599999999999</v>
      </c>
      <c r="H1592" s="8">
        <f>SUM(H1579:H1591)</f>
        <v>1528.9399999999998</v>
      </c>
      <c r="I1592" s="8">
        <f>G1592-H1592</f>
        <v>-67.279999999999973</v>
      </c>
    </row>
    <row r="1594" spans="1:10" x14ac:dyDescent="0.25">
      <c r="A1594" s="5">
        <v>4302360</v>
      </c>
      <c r="B1594" s="6" t="s">
        <v>3079</v>
      </c>
      <c r="C1594" s="7"/>
      <c r="D1594" s="7"/>
      <c r="E1594" s="7"/>
      <c r="F1594" s="7"/>
      <c r="G1594" s="7"/>
      <c r="H1594" s="7"/>
      <c r="I1594" s="7"/>
      <c r="J1594" s="7"/>
    </row>
    <row r="1595" spans="1:10" x14ac:dyDescent="0.25">
      <c r="E1595" s="4" t="s">
        <v>10</v>
      </c>
      <c r="G1595" s="8">
        <v>157.78</v>
      </c>
      <c r="H1595" s="8">
        <v>0</v>
      </c>
      <c r="I1595" s="8">
        <f>G1595-H1595</f>
        <v>157.78</v>
      </c>
    </row>
    <row r="1596" spans="1:10" x14ac:dyDescent="0.25">
      <c r="C1596" s="9"/>
      <c r="D1596" s="10">
        <v>45660</v>
      </c>
      <c r="E1596" t="s">
        <v>1524</v>
      </c>
      <c r="F1596" s="11" t="s">
        <v>3080</v>
      </c>
      <c r="G1596" s="8">
        <v>0</v>
      </c>
      <c r="H1596" s="8">
        <v>157.78</v>
      </c>
      <c r="I1596" s="8">
        <f t="shared" ref="I1596:I1609" si="82">G1596-H1596+I1595</f>
        <v>0</v>
      </c>
      <c r="J1596" s="12"/>
    </row>
    <row r="1597" spans="1:10" x14ac:dyDescent="0.25">
      <c r="C1597" s="9"/>
      <c r="D1597" s="10">
        <v>45671</v>
      </c>
      <c r="E1597" t="s">
        <v>3081</v>
      </c>
      <c r="F1597" s="11" t="s">
        <v>3082</v>
      </c>
      <c r="G1597" s="8">
        <v>145.68</v>
      </c>
      <c r="H1597" s="8">
        <v>0</v>
      </c>
      <c r="I1597" s="8">
        <f t="shared" si="82"/>
        <v>145.68</v>
      </c>
      <c r="J1597" s="12"/>
    </row>
    <row r="1598" spans="1:10" x14ac:dyDescent="0.25">
      <c r="C1598" s="9"/>
      <c r="D1598" s="10">
        <v>45672</v>
      </c>
      <c r="E1598" t="s">
        <v>1524</v>
      </c>
      <c r="F1598" s="11" t="s">
        <v>3082</v>
      </c>
      <c r="G1598" s="8">
        <v>0</v>
      </c>
      <c r="H1598" s="8">
        <v>145.68</v>
      </c>
      <c r="I1598" s="8">
        <f t="shared" si="82"/>
        <v>0</v>
      </c>
      <c r="J1598" s="12"/>
    </row>
    <row r="1599" spans="1:10" x14ac:dyDescent="0.25">
      <c r="C1599" s="9"/>
      <c r="D1599" s="10">
        <v>45688</v>
      </c>
      <c r="E1599" t="s">
        <v>3083</v>
      </c>
      <c r="F1599" s="11" t="s">
        <v>3084</v>
      </c>
      <c r="G1599" s="8">
        <v>112.28</v>
      </c>
      <c r="H1599" s="8">
        <v>0</v>
      </c>
      <c r="I1599" s="8">
        <f t="shared" si="82"/>
        <v>112.28</v>
      </c>
      <c r="J1599" s="12"/>
    </row>
    <row r="1600" spans="1:10" x14ac:dyDescent="0.25">
      <c r="C1600" s="9" t="s">
        <v>124</v>
      </c>
      <c r="D1600" s="10">
        <v>45691</v>
      </c>
      <c r="E1600" t="s">
        <v>3085</v>
      </c>
      <c r="F1600" s="11" t="s">
        <v>42</v>
      </c>
      <c r="G1600" s="8">
        <v>0</v>
      </c>
      <c r="H1600" s="8">
        <v>112.28</v>
      </c>
      <c r="I1600" s="8">
        <f t="shared" si="82"/>
        <v>0</v>
      </c>
      <c r="J1600" s="12"/>
    </row>
    <row r="1601" spans="1:10" x14ac:dyDescent="0.25">
      <c r="C1601" s="9"/>
      <c r="D1601" s="10">
        <v>45702</v>
      </c>
      <c r="E1601" t="s">
        <v>3086</v>
      </c>
      <c r="F1601" s="11" t="s">
        <v>3087</v>
      </c>
      <c r="G1601" s="8">
        <v>204.66</v>
      </c>
      <c r="H1601" s="8">
        <v>0</v>
      </c>
      <c r="I1601" s="8">
        <f t="shared" si="82"/>
        <v>204.66</v>
      </c>
      <c r="J1601" s="12"/>
    </row>
    <row r="1602" spans="1:10" x14ac:dyDescent="0.25">
      <c r="C1602" s="9"/>
      <c r="D1602" s="10">
        <v>45705</v>
      </c>
      <c r="E1602" t="s">
        <v>1524</v>
      </c>
      <c r="F1602" s="11" t="s">
        <v>3087</v>
      </c>
      <c r="G1602" s="8">
        <v>0</v>
      </c>
      <c r="H1602" s="8">
        <v>204.66</v>
      </c>
      <c r="I1602" s="8">
        <f t="shared" si="82"/>
        <v>0</v>
      </c>
      <c r="J1602" s="12"/>
    </row>
    <row r="1603" spans="1:10" x14ac:dyDescent="0.25">
      <c r="C1603" s="9"/>
      <c r="D1603" s="10">
        <v>45716</v>
      </c>
      <c r="E1603" t="s">
        <v>3088</v>
      </c>
      <c r="F1603" s="11" t="s">
        <v>3089</v>
      </c>
      <c r="G1603" s="8">
        <v>206</v>
      </c>
      <c r="H1603" s="8">
        <v>0</v>
      </c>
      <c r="I1603" s="8">
        <f t="shared" si="82"/>
        <v>206</v>
      </c>
      <c r="J1603" s="12"/>
    </row>
    <row r="1604" spans="1:10" x14ac:dyDescent="0.25">
      <c r="C1604" s="9"/>
      <c r="D1604" s="10">
        <v>45720</v>
      </c>
      <c r="E1604" t="s">
        <v>1524</v>
      </c>
      <c r="F1604" s="11" t="s">
        <v>3089</v>
      </c>
      <c r="G1604" s="8">
        <v>0</v>
      </c>
      <c r="H1604" s="8">
        <v>206</v>
      </c>
      <c r="I1604" s="8">
        <f t="shared" si="82"/>
        <v>0</v>
      </c>
      <c r="J1604" s="12"/>
    </row>
    <row r="1605" spans="1:10" x14ac:dyDescent="0.25">
      <c r="C1605" s="9"/>
      <c r="D1605" s="10">
        <v>45730</v>
      </c>
      <c r="E1605" t="s">
        <v>3090</v>
      </c>
      <c r="F1605" s="11" t="s">
        <v>3091</v>
      </c>
      <c r="G1605" s="8">
        <v>109.73</v>
      </c>
      <c r="H1605" s="8">
        <v>0</v>
      </c>
      <c r="I1605" s="8">
        <f t="shared" si="82"/>
        <v>109.73</v>
      </c>
      <c r="J1605" s="12"/>
    </row>
    <row r="1606" spans="1:10" x14ac:dyDescent="0.25">
      <c r="C1606" s="9"/>
      <c r="D1606" s="10">
        <v>45733</v>
      </c>
      <c r="E1606" t="s">
        <v>1524</v>
      </c>
      <c r="F1606" s="11" t="s">
        <v>3091</v>
      </c>
      <c r="G1606" s="8">
        <v>0</v>
      </c>
      <c r="H1606" s="8">
        <v>109.73</v>
      </c>
      <c r="I1606" s="8">
        <f t="shared" si="82"/>
        <v>0</v>
      </c>
      <c r="J1606" s="12"/>
    </row>
    <row r="1607" spans="1:10" x14ac:dyDescent="0.25">
      <c r="C1607" s="9"/>
      <c r="D1607" s="10">
        <v>45747</v>
      </c>
      <c r="E1607" t="s">
        <v>3092</v>
      </c>
      <c r="F1607" s="11" t="s">
        <v>3093</v>
      </c>
      <c r="G1607" s="8">
        <v>78.72</v>
      </c>
      <c r="H1607" s="8">
        <v>0</v>
      </c>
      <c r="I1607" s="8">
        <f t="shared" si="82"/>
        <v>78.72</v>
      </c>
      <c r="J1607" s="12"/>
    </row>
    <row r="1608" spans="1:10" x14ac:dyDescent="0.25">
      <c r="C1608" s="9"/>
      <c r="D1608" s="10">
        <v>45748</v>
      </c>
      <c r="E1608" t="s">
        <v>1524</v>
      </c>
      <c r="F1608" s="11" t="s">
        <v>3093</v>
      </c>
      <c r="G1608" s="8">
        <v>0</v>
      </c>
      <c r="H1608" s="8">
        <v>78.72</v>
      </c>
      <c r="I1608" s="8">
        <f t="shared" si="82"/>
        <v>0</v>
      </c>
      <c r="J1608" s="12"/>
    </row>
    <row r="1609" spans="1:10" x14ac:dyDescent="0.25">
      <c r="C1609" s="9"/>
      <c r="D1609" s="10">
        <v>45762</v>
      </c>
      <c r="E1609" t="s">
        <v>3085</v>
      </c>
      <c r="F1609" s="11" t="s">
        <v>42</v>
      </c>
      <c r="G1609" s="8">
        <v>0</v>
      </c>
      <c r="H1609" s="8">
        <v>30.63</v>
      </c>
      <c r="I1609" s="8">
        <f t="shared" si="82"/>
        <v>-30.63</v>
      </c>
      <c r="J1609" s="12"/>
    </row>
    <row r="1610" spans="1:10" x14ac:dyDescent="0.25">
      <c r="E1610" s="4" t="s">
        <v>20</v>
      </c>
      <c r="G1610" s="8">
        <f>SUM(G1595:G1609)</f>
        <v>1014.85</v>
      </c>
      <c r="H1610" s="8">
        <f>SUM(H1595:H1609)</f>
        <v>1045.48</v>
      </c>
      <c r="I1610" s="8">
        <f>G1610-H1610</f>
        <v>-30.629999999999995</v>
      </c>
    </row>
    <row r="1612" spans="1:10" x14ac:dyDescent="0.25">
      <c r="A1612" s="5">
        <v>4302365</v>
      </c>
      <c r="B1612" s="6" t="s">
        <v>3094</v>
      </c>
      <c r="C1612" s="7"/>
      <c r="D1612" s="7"/>
      <c r="E1612" s="7"/>
      <c r="F1612" s="7"/>
      <c r="G1612" s="7"/>
      <c r="H1612" s="7"/>
      <c r="I1612" s="7"/>
      <c r="J1612" s="7"/>
    </row>
    <row r="1613" spans="1:10" x14ac:dyDescent="0.25">
      <c r="E1613" s="4" t="s">
        <v>10</v>
      </c>
      <c r="G1613" s="8">
        <v>1704.49</v>
      </c>
      <c r="H1613" s="8">
        <v>0</v>
      </c>
      <c r="I1613" s="8">
        <f>G1613-H1613</f>
        <v>1704.49</v>
      </c>
    </row>
    <row r="1614" spans="1:10" x14ac:dyDescent="0.25">
      <c r="C1614" s="9"/>
      <c r="D1614" s="10">
        <v>45688</v>
      </c>
      <c r="E1614" t="s">
        <v>3095</v>
      </c>
      <c r="F1614" s="11" t="s">
        <v>3096</v>
      </c>
      <c r="G1614" s="8">
        <v>153.36000000000001</v>
      </c>
      <c r="H1614" s="8">
        <v>0</v>
      </c>
      <c r="I1614" s="8">
        <f t="shared" ref="I1614:I1623" si="83">G1614-H1614+I1613</f>
        <v>1857.85</v>
      </c>
      <c r="J1614" s="12"/>
    </row>
    <row r="1615" spans="1:10" x14ac:dyDescent="0.25">
      <c r="C1615" s="9"/>
      <c r="D1615" s="10">
        <v>45688</v>
      </c>
      <c r="E1615" t="s">
        <v>1524</v>
      </c>
      <c r="F1615" s="11" t="s">
        <v>3097</v>
      </c>
      <c r="G1615" s="8">
        <v>0</v>
      </c>
      <c r="H1615" s="8">
        <v>431.01</v>
      </c>
      <c r="I1615" s="8">
        <f t="shared" si="83"/>
        <v>1426.84</v>
      </c>
      <c r="J1615" s="12"/>
    </row>
    <row r="1616" spans="1:10" x14ac:dyDescent="0.25">
      <c r="C1616" s="9"/>
      <c r="D1616" s="10">
        <v>45702</v>
      </c>
      <c r="E1616" t="s">
        <v>3098</v>
      </c>
      <c r="F1616" s="11" t="s">
        <v>3099</v>
      </c>
      <c r="G1616" s="8">
        <v>200.07</v>
      </c>
      <c r="H1616" s="8">
        <v>0</v>
      </c>
      <c r="I1616" s="8">
        <f t="shared" si="83"/>
        <v>1626.9099999999999</v>
      </c>
      <c r="J1616" s="12"/>
    </row>
    <row r="1617" spans="1:10" x14ac:dyDescent="0.25">
      <c r="C1617" s="9"/>
      <c r="D1617" s="10">
        <v>45705</v>
      </c>
      <c r="E1617" t="s">
        <v>1524</v>
      </c>
      <c r="F1617" s="11" t="s">
        <v>3100</v>
      </c>
      <c r="G1617" s="8">
        <v>0</v>
      </c>
      <c r="H1617" s="8">
        <v>43.02</v>
      </c>
      <c r="I1617" s="8">
        <f t="shared" si="83"/>
        <v>1583.8899999999999</v>
      </c>
      <c r="J1617" s="12"/>
    </row>
    <row r="1618" spans="1:10" x14ac:dyDescent="0.25">
      <c r="C1618" s="9"/>
      <c r="D1618" s="10">
        <v>45716</v>
      </c>
      <c r="E1618" t="s">
        <v>3101</v>
      </c>
      <c r="F1618" s="11" t="s">
        <v>3102</v>
      </c>
      <c r="G1618" s="8">
        <v>982.74</v>
      </c>
      <c r="H1618" s="8">
        <v>0</v>
      </c>
      <c r="I1618" s="8">
        <f t="shared" si="83"/>
        <v>2566.63</v>
      </c>
      <c r="J1618" s="12"/>
    </row>
    <row r="1619" spans="1:10" x14ac:dyDescent="0.25">
      <c r="C1619" s="9"/>
      <c r="D1619" s="10">
        <v>45719</v>
      </c>
      <c r="E1619" t="s">
        <v>1524</v>
      </c>
      <c r="F1619" s="11" t="s">
        <v>3103</v>
      </c>
      <c r="G1619" s="8">
        <v>0</v>
      </c>
      <c r="H1619" s="8">
        <v>366.4</v>
      </c>
      <c r="I1619" s="8">
        <f t="shared" si="83"/>
        <v>2200.23</v>
      </c>
      <c r="J1619" s="12"/>
    </row>
    <row r="1620" spans="1:10" x14ac:dyDescent="0.25">
      <c r="C1620" s="9"/>
      <c r="D1620" s="10">
        <v>45719</v>
      </c>
      <c r="E1620" t="s">
        <v>1524</v>
      </c>
      <c r="F1620" s="11" t="s">
        <v>3104</v>
      </c>
      <c r="G1620" s="8">
        <v>0</v>
      </c>
      <c r="H1620" s="8">
        <v>354.66</v>
      </c>
      <c r="I1620" s="8">
        <f t="shared" si="83"/>
        <v>1845.57</v>
      </c>
      <c r="J1620" s="12"/>
    </row>
    <row r="1621" spans="1:10" x14ac:dyDescent="0.25">
      <c r="C1621" s="9"/>
      <c r="D1621" s="10">
        <v>45730</v>
      </c>
      <c r="E1621" t="s">
        <v>3105</v>
      </c>
      <c r="F1621" s="11" t="s">
        <v>3106</v>
      </c>
      <c r="G1621" s="8">
        <v>602.75</v>
      </c>
      <c r="H1621" s="8">
        <v>0</v>
      </c>
      <c r="I1621" s="8">
        <f t="shared" si="83"/>
        <v>2448.3199999999997</v>
      </c>
      <c r="J1621" s="12"/>
    </row>
    <row r="1622" spans="1:10" x14ac:dyDescent="0.25">
      <c r="C1622" s="9"/>
      <c r="D1622" s="10">
        <v>45747</v>
      </c>
      <c r="E1622" t="s">
        <v>3107</v>
      </c>
      <c r="F1622" s="11" t="s">
        <v>3108</v>
      </c>
      <c r="G1622" s="8">
        <v>607.61</v>
      </c>
      <c r="H1622" s="8">
        <v>0</v>
      </c>
      <c r="I1622" s="8">
        <f t="shared" si="83"/>
        <v>3055.93</v>
      </c>
      <c r="J1622" s="12"/>
    </row>
    <row r="1623" spans="1:10" x14ac:dyDescent="0.25">
      <c r="C1623" s="9"/>
      <c r="D1623" s="10">
        <v>45748</v>
      </c>
      <c r="E1623" t="s">
        <v>3109</v>
      </c>
      <c r="F1623" s="11" t="s">
        <v>42</v>
      </c>
      <c r="G1623" s="8">
        <v>0</v>
      </c>
      <c r="H1623" s="8">
        <v>148.97999999999999</v>
      </c>
      <c r="I1623" s="8">
        <f t="shared" si="83"/>
        <v>2906.95</v>
      </c>
      <c r="J1623" s="12"/>
    </row>
    <row r="1624" spans="1:10" x14ac:dyDescent="0.25">
      <c r="E1624" s="4" t="s">
        <v>20</v>
      </c>
      <c r="G1624" s="8">
        <f>SUM(G1613:G1623)</f>
        <v>4251.0199999999995</v>
      </c>
      <c r="H1624" s="8">
        <f>SUM(H1613:H1623)</f>
        <v>1344.07</v>
      </c>
      <c r="I1624" s="8">
        <f>G1624-H1624</f>
        <v>2906.95</v>
      </c>
    </row>
    <row r="1626" spans="1:10" x14ac:dyDescent="0.25">
      <c r="A1626" s="5">
        <v>4302370</v>
      </c>
      <c r="B1626" s="6" t="s">
        <v>3110</v>
      </c>
      <c r="C1626" s="7"/>
      <c r="D1626" s="7"/>
      <c r="E1626" s="7"/>
      <c r="F1626" s="7"/>
      <c r="G1626" s="7"/>
      <c r="H1626" s="7"/>
      <c r="I1626" s="7"/>
      <c r="J1626" s="7"/>
    </row>
    <row r="1627" spans="1:10" x14ac:dyDescent="0.25">
      <c r="E1627" s="4" t="s">
        <v>10</v>
      </c>
      <c r="G1627" s="8">
        <v>3.78</v>
      </c>
      <c r="H1627" s="8">
        <v>0</v>
      </c>
      <c r="I1627" s="8">
        <f>G1627-H1627</f>
        <v>3.78</v>
      </c>
    </row>
    <row r="1628" spans="1:10" x14ac:dyDescent="0.25">
      <c r="E1628" s="4" t="s">
        <v>20</v>
      </c>
      <c r="G1628" s="8">
        <f>G1627</f>
        <v>3.78</v>
      </c>
      <c r="H1628" s="8">
        <f>H1627</f>
        <v>0</v>
      </c>
      <c r="I1628" s="8">
        <f>G1628-H1628</f>
        <v>3.78</v>
      </c>
    </row>
    <row r="1630" spans="1:10" x14ac:dyDescent="0.25">
      <c r="A1630" s="5">
        <v>4302375</v>
      </c>
      <c r="B1630" s="6" t="s">
        <v>3111</v>
      </c>
      <c r="C1630" s="7"/>
      <c r="D1630" s="7"/>
      <c r="E1630" s="7"/>
      <c r="F1630" s="7"/>
      <c r="G1630" s="7"/>
      <c r="H1630" s="7"/>
      <c r="I1630" s="7"/>
      <c r="J1630" s="7"/>
    </row>
    <row r="1631" spans="1:10" x14ac:dyDescent="0.25">
      <c r="E1631" s="4" t="s">
        <v>10</v>
      </c>
      <c r="G1631" s="8">
        <v>225.65</v>
      </c>
      <c r="H1631" s="8">
        <v>0</v>
      </c>
      <c r="I1631" s="8">
        <f>G1631-H1631</f>
        <v>225.65</v>
      </c>
    </row>
    <row r="1632" spans="1:10" x14ac:dyDescent="0.25">
      <c r="C1632" s="9"/>
      <c r="D1632" s="10">
        <v>45659</v>
      </c>
      <c r="E1632" t="s">
        <v>1524</v>
      </c>
      <c r="F1632" s="11" t="s">
        <v>3112</v>
      </c>
      <c r="G1632" s="8">
        <v>0</v>
      </c>
      <c r="H1632" s="8">
        <v>225.65</v>
      </c>
      <c r="I1632" s="8">
        <f t="shared" ref="I1632:I1645" si="84">G1632-H1632+I1631</f>
        <v>0</v>
      </c>
      <c r="J1632" s="12"/>
    </row>
    <row r="1633" spans="1:10" x14ac:dyDescent="0.25">
      <c r="C1633" s="9"/>
      <c r="D1633" s="10">
        <v>45671</v>
      </c>
      <c r="E1633" t="s">
        <v>3113</v>
      </c>
      <c r="F1633" s="11" t="s">
        <v>3114</v>
      </c>
      <c r="G1633" s="8">
        <v>142.44</v>
      </c>
      <c r="H1633" s="8">
        <v>0</v>
      </c>
      <c r="I1633" s="8">
        <f t="shared" si="84"/>
        <v>142.44</v>
      </c>
      <c r="J1633" s="12"/>
    </row>
    <row r="1634" spans="1:10" x14ac:dyDescent="0.25">
      <c r="C1634" s="9"/>
      <c r="D1634" s="10">
        <v>45672</v>
      </c>
      <c r="E1634" t="s">
        <v>1524</v>
      </c>
      <c r="F1634" s="11" t="s">
        <v>3114</v>
      </c>
      <c r="G1634" s="8">
        <v>0</v>
      </c>
      <c r="H1634" s="8">
        <v>142.44</v>
      </c>
      <c r="I1634" s="8">
        <f t="shared" si="84"/>
        <v>0</v>
      </c>
      <c r="J1634" s="12"/>
    </row>
    <row r="1635" spans="1:10" x14ac:dyDescent="0.25">
      <c r="C1635" s="9"/>
      <c r="D1635" s="10">
        <v>45688</v>
      </c>
      <c r="E1635" t="s">
        <v>3115</v>
      </c>
      <c r="F1635" s="11" t="s">
        <v>3116</v>
      </c>
      <c r="G1635" s="8">
        <v>87.74</v>
      </c>
      <c r="H1635" s="8">
        <v>0</v>
      </c>
      <c r="I1635" s="8">
        <f t="shared" si="84"/>
        <v>87.74</v>
      </c>
      <c r="J1635" s="12"/>
    </row>
    <row r="1636" spans="1:10" x14ac:dyDescent="0.25">
      <c r="C1636" s="9"/>
      <c r="D1636" s="10">
        <v>45691</v>
      </c>
      <c r="E1636" t="s">
        <v>1524</v>
      </c>
      <c r="F1636" s="11" t="s">
        <v>3116</v>
      </c>
      <c r="G1636" s="8">
        <v>0</v>
      </c>
      <c r="H1636" s="8">
        <v>87.74</v>
      </c>
      <c r="I1636" s="8">
        <f t="shared" si="84"/>
        <v>0</v>
      </c>
      <c r="J1636" s="12"/>
    </row>
    <row r="1637" spans="1:10" x14ac:dyDescent="0.25">
      <c r="C1637" s="9"/>
      <c r="D1637" s="10">
        <v>45702</v>
      </c>
      <c r="E1637" t="s">
        <v>3117</v>
      </c>
      <c r="F1637" s="11" t="s">
        <v>3118</v>
      </c>
      <c r="G1637" s="8">
        <v>155.36000000000001</v>
      </c>
      <c r="H1637" s="8">
        <v>0</v>
      </c>
      <c r="I1637" s="8">
        <f t="shared" si="84"/>
        <v>155.36000000000001</v>
      </c>
      <c r="J1637" s="12"/>
    </row>
    <row r="1638" spans="1:10" x14ac:dyDescent="0.25">
      <c r="C1638" s="9"/>
      <c r="D1638" s="10">
        <v>45705</v>
      </c>
      <c r="E1638" t="s">
        <v>1524</v>
      </c>
      <c r="F1638" s="11" t="s">
        <v>3118</v>
      </c>
      <c r="G1638" s="8">
        <v>0</v>
      </c>
      <c r="H1638" s="8">
        <v>155.36000000000001</v>
      </c>
      <c r="I1638" s="8">
        <f t="shared" si="84"/>
        <v>0</v>
      </c>
      <c r="J1638" s="12"/>
    </row>
    <row r="1639" spans="1:10" x14ac:dyDescent="0.25">
      <c r="C1639" s="9"/>
      <c r="D1639" s="10">
        <v>45716</v>
      </c>
      <c r="E1639" t="s">
        <v>3119</v>
      </c>
      <c r="F1639" s="11" t="s">
        <v>3120</v>
      </c>
      <c r="G1639" s="8">
        <v>119.75</v>
      </c>
      <c r="H1639" s="8">
        <v>0</v>
      </c>
      <c r="I1639" s="8">
        <f t="shared" si="84"/>
        <v>119.75</v>
      </c>
      <c r="J1639" s="12"/>
    </row>
    <row r="1640" spans="1:10" x14ac:dyDescent="0.25">
      <c r="C1640" s="9" t="s">
        <v>124</v>
      </c>
      <c r="D1640" s="10">
        <v>45719</v>
      </c>
      <c r="E1640" t="s">
        <v>3121</v>
      </c>
      <c r="F1640" s="11" t="s">
        <v>3120</v>
      </c>
      <c r="G1640" s="8">
        <v>0</v>
      </c>
      <c r="H1640" s="8">
        <v>119.75</v>
      </c>
      <c r="I1640" s="8">
        <f t="shared" si="84"/>
        <v>0</v>
      </c>
      <c r="J1640" s="12"/>
    </row>
    <row r="1641" spans="1:10" x14ac:dyDescent="0.25">
      <c r="C1641" s="9"/>
      <c r="D1641" s="10">
        <v>45730</v>
      </c>
      <c r="E1641" t="s">
        <v>3122</v>
      </c>
      <c r="F1641" s="11" t="s">
        <v>3123</v>
      </c>
      <c r="G1641" s="8">
        <v>622.64</v>
      </c>
      <c r="H1641" s="8">
        <v>0</v>
      </c>
      <c r="I1641" s="8">
        <f t="shared" si="84"/>
        <v>622.64</v>
      </c>
      <c r="J1641" s="12"/>
    </row>
    <row r="1642" spans="1:10" x14ac:dyDescent="0.25">
      <c r="C1642" s="9"/>
      <c r="D1642" s="10">
        <v>45733</v>
      </c>
      <c r="E1642" t="s">
        <v>1524</v>
      </c>
      <c r="F1642" s="11" t="s">
        <v>3123</v>
      </c>
      <c r="G1642" s="8">
        <v>0</v>
      </c>
      <c r="H1642" s="8">
        <v>622.64</v>
      </c>
      <c r="I1642" s="8">
        <f t="shared" si="84"/>
        <v>0</v>
      </c>
      <c r="J1642" s="12"/>
    </row>
    <row r="1643" spans="1:10" x14ac:dyDescent="0.25">
      <c r="C1643" s="9"/>
      <c r="D1643" s="10">
        <v>45747</v>
      </c>
      <c r="E1643" t="s">
        <v>3124</v>
      </c>
      <c r="F1643" s="11" t="s">
        <v>3125</v>
      </c>
      <c r="G1643" s="8">
        <v>274.14</v>
      </c>
      <c r="H1643" s="8">
        <v>0</v>
      </c>
      <c r="I1643" s="8">
        <f t="shared" si="84"/>
        <v>274.14</v>
      </c>
      <c r="J1643" s="12"/>
    </row>
    <row r="1644" spans="1:10" x14ac:dyDescent="0.25">
      <c r="C1644" s="9" t="s">
        <v>124</v>
      </c>
      <c r="D1644" s="10">
        <v>45748</v>
      </c>
      <c r="E1644" t="s">
        <v>3126</v>
      </c>
      <c r="F1644" s="11" t="s">
        <v>3125</v>
      </c>
      <c r="G1644" s="8">
        <v>0</v>
      </c>
      <c r="H1644" s="8">
        <v>274.14</v>
      </c>
      <c r="I1644" s="8">
        <f t="shared" si="84"/>
        <v>0</v>
      </c>
      <c r="J1644" s="12"/>
    </row>
    <row r="1645" spans="1:10" x14ac:dyDescent="0.25">
      <c r="C1645" s="9"/>
      <c r="D1645" s="10">
        <v>45762</v>
      </c>
      <c r="E1645" t="s">
        <v>3127</v>
      </c>
      <c r="F1645" s="11" t="s">
        <v>42</v>
      </c>
      <c r="G1645" s="8">
        <v>0</v>
      </c>
      <c r="H1645" s="8">
        <v>237.32</v>
      </c>
      <c r="I1645" s="8">
        <f t="shared" si="84"/>
        <v>-237.32</v>
      </c>
      <c r="J1645" s="12"/>
    </row>
    <row r="1646" spans="1:10" x14ac:dyDescent="0.25">
      <c r="E1646" s="4" t="s">
        <v>20</v>
      </c>
      <c r="G1646" s="8">
        <f>SUM(G1631:G1645)</f>
        <v>1627.7199999999998</v>
      </c>
      <c r="H1646" s="8">
        <f>SUM(H1631:H1645)</f>
        <v>1865.0399999999997</v>
      </c>
      <c r="I1646" s="8">
        <f>G1646-H1646</f>
        <v>-237.31999999999994</v>
      </c>
    </row>
    <row r="1648" spans="1:10" x14ac:dyDescent="0.25">
      <c r="A1648" s="5">
        <v>4302390</v>
      </c>
      <c r="B1648" s="6" t="s">
        <v>3128</v>
      </c>
      <c r="C1648" s="7"/>
      <c r="D1648" s="7"/>
      <c r="E1648" s="7"/>
      <c r="F1648" s="7"/>
      <c r="G1648" s="7"/>
      <c r="H1648" s="7"/>
      <c r="I1648" s="7"/>
      <c r="J1648" s="7"/>
    </row>
    <row r="1649" spans="3:10" x14ac:dyDescent="0.25">
      <c r="E1649" s="4" t="s">
        <v>10</v>
      </c>
      <c r="G1649" s="8">
        <v>98.57</v>
      </c>
      <c r="H1649" s="8">
        <v>0</v>
      </c>
      <c r="I1649" s="8">
        <f>G1649-H1649</f>
        <v>98.57</v>
      </c>
    </row>
    <row r="1650" spans="3:10" x14ac:dyDescent="0.25">
      <c r="C1650" s="9"/>
      <c r="D1650" s="10">
        <v>45671</v>
      </c>
      <c r="E1650" t="s">
        <v>3129</v>
      </c>
      <c r="F1650" s="11" t="s">
        <v>3130</v>
      </c>
      <c r="G1650" s="8">
        <v>81.93</v>
      </c>
      <c r="H1650" s="8">
        <v>0</v>
      </c>
      <c r="I1650" s="8">
        <f t="shared" ref="I1650:I1663" si="85">G1650-H1650+I1649</f>
        <v>180.5</v>
      </c>
      <c r="J1650" s="12"/>
    </row>
    <row r="1651" spans="3:10" x14ac:dyDescent="0.25">
      <c r="C1651" s="9"/>
      <c r="D1651" s="10">
        <v>45672</v>
      </c>
      <c r="E1651" t="s">
        <v>1524</v>
      </c>
      <c r="F1651" s="11" t="s">
        <v>3131</v>
      </c>
      <c r="G1651" s="8">
        <v>0</v>
      </c>
      <c r="H1651" s="8">
        <v>167.27</v>
      </c>
      <c r="I1651" s="8">
        <f t="shared" si="85"/>
        <v>13.22999999999999</v>
      </c>
      <c r="J1651" s="12"/>
    </row>
    <row r="1652" spans="3:10" x14ac:dyDescent="0.25">
      <c r="C1652" s="9"/>
      <c r="D1652" s="10">
        <v>45672</v>
      </c>
      <c r="E1652" t="s">
        <v>1524</v>
      </c>
      <c r="F1652" s="11" t="s">
        <v>3130</v>
      </c>
      <c r="G1652" s="8">
        <v>0</v>
      </c>
      <c r="H1652" s="8">
        <v>81.93</v>
      </c>
      <c r="I1652" s="8">
        <f t="shared" si="85"/>
        <v>-68.700000000000017</v>
      </c>
      <c r="J1652" s="12"/>
    </row>
    <row r="1653" spans="3:10" x14ac:dyDescent="0.25">
      <c r="C1653" s="9"/>
      <c r="D1653" s="10">
        <v>45688</v>
      </c>
      <c r="E1653" t="s">
        <v>3132</v>
      </c>
      <c r="F1653" s="11" t="s">
        <v>3133</v>
      </c>
      <c r="G1653" s="8">
        <v>411.1</v>
      </c>
      <c r="H1653" s="8">
        <v>0</v>
      </c>
      <c r="I1653" s="8">
        <f t="shared" si="85"/>
        <v>342.4</v>
      </c>
      <c r="J1653" s="12"/>
    </row>
    <row r="1654" spans="3:10" x14ac:dyDescent="0.25">
      <c r="C1654" s="9"/>
      <c r="D1654" s="10">
        <v>45702</v>
      </c>
      <c r="E1654" t="s">
        <v>3134</v>
      </c>
      <c r="F1654" s="11" t="s">
        <v>3135</v>
      </c>
      <c r="G1654" s="8">
        <v>267.12</v>
      </c>
      <c r="H1654" s="8">
        <v>0</v>
      </c>
      <c r="I1654" s="8">
        <f t="shared" si="85"/>
        <v>609.52</v>
      </c>
      <c r="J1654" s="12"/>
    </row>
    <row r="1655" spans="3:10" x14ac:dyDescent="0.25">
      <c r="C1655" s="9"/>
      <c r="D1655" s="10">
        <v>45705</v>
      </c>
      <c r="E1655" t="s">
        <v>1524</v>
      </c>
      <c r="F1655" s="11" t="s">
        <v>3133</v>
      </c>
      <c r="G1655" s="8">
        <v>0</v>
      </c>
      <c r="H1655" s="8">
        <v>411.1</v>
      </c>
      <c r="I1655" s="8">
        <f t="shared" si="85"/>
        <v>198.41999999999996</v>
      </c>
      <c r="J1655" s="12"/>
    </row>
    <row r="1656" spans="3:10" x14ac:dyDescent="0.25">
      <c r="C1656" s="9"/>
      <c r="D1656" s="10">
        <v>45705</v>
      </c>
      <c r="E1656" t="s">
        <v>1524</v>
      </c>
      <c r="F1656" s="11" t="s">
        <v>3135</v>
      </c>
      <c r="G1656" s="8">
        <v>0</v>
      </c>
      <c r="H1656" s="8">
        <v>267.12</v>
      </c>
      <c r="I1656" s="8">
        <f t="shared" si="85"/>
        <v>-68.700000000000045</v>
      </c>
      <c r="J1656" s="12"/>
    </row>
    <row r="1657" spans="3:10" x14ac:dyDescent="0.25">
      <c r="C1657" s="9"/>
      <c r="D1657" s="10">
        <v>45716</v>
      </c>
      <c r="E1657" t="s">
        <v>3136</v>
      </c>
      <c r="F1657" s="11" t="s">
        <v>3137</v>
      </c>
      <c r="G1657" s="8">
        <v>303.41000000000003</v>
      </c>
      <c r="H1657" s="8">
        <v>0</v>
      </c>
      <c r="I1657" s="8">
        <f t="shared" si="85"/>
        <v>234.70999999999998</v>
      </c>
      <c r="J1657" s="12"/>
    </row>
    <row r="1658" spans="3:10" x14ac:dyDescent="0.25">
      <c r="C1658" s="9"/>
      <c r="D1658" s="10">
        <v>45730</v>
      </c>
      <c r="E1658" t="s">
        <v>3138</v>
      </c>
      <c r="F1658" s="11" t="s">
        <v>3139</v>
      </c>
      <c r="G1658" s="8">
        <v>92.36</v>
      </c>
      <c r="H1658" s="8">
        <v>0</v>
      </c>
      <c r="I1658" s="8">
        <f t="shared" si="85"/>
        <v>327.07</v>
      </c>
      <c r="J1658" s="12"/>
    </row>
    <row r="1659" spans="3:10" x14ac:dyDescent="0.25">
      <c r="C1659" s="9"/>
      <c r="D1659" s="10">
        <v>45733</v>
      </c>
      <c r="E1659" t="s">
        <v>1524</v>
      </c>
      <c r="F1659" s="11" t="s">
        <v>3137</v>
      </c>
      <c r="G1659" s="8">
        <v>0</v>
      </c>
      <c r="H1659" s="8">
        <v>303.41000000000003</v>
      </c>
      <c r="I1659" s="8">
        <f t="shared" si="85"/>
        <v>23.659999999999968</v>
      </c>
      <c r="J1659" s="12"/>
    </row>
    <row r="1660" spans="3:10" x14ac:dyDescent="0.25">
      <c r="C1660" s="9"/>
      <c r="D1660" s="10">
        <v>45733</v>
      </c>
      <c r="E1660" t="s">
        <v>1524</v>
      </c>
      <c r="F1660" s="11" t="s">
        <v>3139</v>
      </c>
      <c r="G1660" s="8">
        <v>0</v>
      </c>
      <c r="H1660" s="8">
        <v>92.36</v>
      </c>
      <c r="I1660" s="8">
        <f t="shared" si="85"/>
        <v>-68.700000000000031</v>
      </c>
      <c r="J1660" s="12"/>
    </row>
    <row r="1661" spans="3:10" x14ac:dyDescent="0.25">
      <c r="C1661" s="9"/>
      <c r="D1661" s="10">
        <v>45747</v>
      </c>
      <c r="E1661" t="s">
        <v>3140</v>
      </c>
      <c r="F1661" s="11" t="s">
        <v>3141</v>
      </c>
      <c r="G1661" s="8">
        <v>310.44</v>
      </c>
      <c r="H1661" s="8">
        <v>0</v>
      </c>
      <c r="I1661" s="8">
        <f t="shared" si="85"/>
        <v>241.73999999999995</v>
      </c>
      <c r="J1661" s="12"/>
    </row>
    <row r="1662" spans="3:10" x14ac:dyDescent="0.25">
      <c r="C1662" s="9"/>
      <c r="D1662" s="10">
        <v>45762</v>
      </c>
      <c r="E1662" t="s">
        <v>1524</v>
      </c>
      <c r="F1662" s="11" t="s">
        <v>3141</v>
      </c>
      <c r="G1662" s="8">
        <v>0</v>
      </c>
      <c r="H1662" s="8">
        <v>310.44</v>
      </c>
      <c r="I1662" s="8">
        <f t="shared" si="85"/>
        <v>-68.700000000000045</v>
      </c>
      <c r="J1662" s="12"/>
    </row>
    <row r="1663" spans="3:10" x14ac:dyDescent="0.25">
      <c r="C1663" s="9"/>
      <c r="D1663" s="10">
        <v>45762</v>
      </c>
      <c r="E1663" t="s">
        <v>3142</v>
      </c>
      <c r="F1663" s="11" t="s">
        <v>42</v>
      </c>
      <c r="G1663" s="8">
        <v>0</v>
      </c>
      <c r="H1663" s="8">
        <v>90.75</v>
      </c>
      <c r="I1663" s="8">
        <f t="shared" si="85"/>
        <v>-159.45000000000005</v>
      </c>
      <c r="J1663" s="12"/>
    </row>
    <row r="1664" spans="3:10" x14ac:dyDescent="0.25">
      <c r="E1664" s="4" t="s">
        <v>20</v>
      </c>
      <c r="G1664" s="8">
        <f>SUM(G1649:G1663)</f>
        <v>1564.93</v>
      </c>
      <c r="H1664" s="8">
        <f>SUM(H1649:H1663)</f>
        <v>1724.38</v>
      </c>
      <c r="I1664" s="8">
        <f>G1664-H1664</f>
        <v>-159.45000000000005</v>
      </c>
    </row>
    <row r="1666" spans="1:10" x14ac:dyDescent="0.25">
      <c r="A1666" s="5">
        <v>4302445</v>
      </c>
      <c r="B1666" s="6" t="s">
        <v>3143</v>
      </c>
      <c r="C1666" s="7"/>
      <c r="D1666" s="7"/>
      <c r="E1666" s="7"/>
      <c r="F1666" s="7"/>
      <c r="G1666" s="7"/>
      <c r="H1666" s="7"/>
      <c r="I1666" s="7"/>
      <c r="J1666" s="7"/>
    </row>
    <row r="1667" spans="1:10" x14ac:dyDescent="0.25">
      <c r="E1667" s="4" t="s">
        <v>10</v>
      </c>
      <c r="G1667" s="8">
        <v>12.45</v>
      </c>
      <c r="H1667" s="8">
        <v>0</v>
      </c>
      <c r="I1667" s="8">
        <f>G1667-H1667</f>
        <v>12.45</v>
      </c>
    </row>
    <row r="1668" spans="1:10" x14ac:dyDescent="0.25">
      <c r="C1668" s="9"/>
      <c r="D1668" s="10">
        <v>45671</v>
      </c>
      <c r="E1668" t="s">
        <v>3144</v>
      </c>
      <c r="F1668" s="11" t="s">
        <v>3145</v>
      </c>
      <c r="G1668" s="8">
        <v>59.24</v>
      </c>
      <c r="H1668" s="8">
        <v>0</v>
      </c>
      <c r="I1668" s="8">
        <f>G1668-H1668+I1667</f>
        <v>71.69</v>
      </c>
      <c r="J1668" s="12"/>
    </row>
    <row r="1669" spans="1:10" x14ac:dyDescent="0.25">
      <c r="C1669" s="9"/>
      <c r="D1669" s="10">
        <v>45672</v>
      </c>
      <c r="E1669" t="s">
        <v>3146</v>
      </c>
      <c r="F1669" s="11" t="s">
        <v>42</v>
      </c>
      <c r="G1669" s="8">
        <v>0</v>
      </c>
      <c r="H1669" s="8">
        <v>71.69</v>
      </c>
      <c r="I1669" s="8">
        <f>G1669-H1669+I1668</f>
        <v>0</v>
      </c>
      <c r="J1669" s="12"/>
    </row>
    <row r="1670" spans="1:10" x14ac:dyDescent="0.25">
      <c r="C1670" s="9"/>
      <c r="D1670" s="10">
        <v>45688</v>
      </c>
      <c r="E1670" t="s">
        <v>3147</v>
      </c>
      <c r="F1670" s="11" t="s">
        <v>3148</v>
      </c>
      <c r="G1670" s="8">
        <v>201.01</v>
      </c>
      <c r="H1670" s="8">
        <v>0</v>
      </c>
      <c r="I1670" s="8">
        <f>G1670-H1670+I1669</f>
        <v>201.01</v>
      </c>
      <c r="J1670" s="12"/>
    </row>
    <row r="1671" spans="1:10" x14ac:dyDescent="0.25">
      <c r="C1671" s="9" t="s">
        <v>124</v>
      </c>
      <c r="D1671" s="10">
        <v>45691</v>
      </c>
      <c r="E1671" t="s">
        <v>3149</v>
      </c>
      <c r="F1671" s="11" t="s">
        <v>3148</v>
      </c>
      <c r="G1671" s="8">
        <v>0</v>
      </c>
      <c r="H1671" s="8">
        <v>201.01</v>
      </c>
      <c r="I1671" s="8">
        <f>G1671-H1671+I1670</f>
        <v>0</v>
      </c>
      <c r="J1671" s="12"/>
    </row>
    <row r="1672" spans="1:10" x14ac:dyDescent="0.25">
      <c r="C1672" s="9"/>
      <c r="D1672" s="10">
        <v>45762</v>
      </c>
      <c r="E1672" t="s">
        <v>3146</v>
      </c>
      <c r="F1672" s="11" t="s">
        <v>42</v>
      </c>
      <c r="G1672" s="8">
        <v>0</v>
      </c>
      <c r="H1672" s="8">
        <v>98.13</v>
      </c>
      <c r="I1672" s="8">
        <f>G1672-H1672+I1671</f>
        <v>-98.13</v>
      </c>
      <c r="J1672" s="12"/>
    </row>
    <row r="1673" spans="1:10" x14ac:dyDescent="0.25">
      <c r="E1673" s="4" t="s">
        <v>20</v>
      </c>
      <c r="G1673" s="8">
        <f>SUM(G1667:G1672)</f>
        <v>272.7</v>
      </c>
      <c r="H1673" s="8">
        <f>SUM(H1667:H1672)</f>
        <v>370.83</v>
      </c>
      <c r="I1673" s="8">
        <f>G1673-H1673</f>
        <v>-98.13</v>
      </c>
    </row>
    <row r="1675" spans="1:10" x14ac:dyDescent="0.25">
      <c r="A1675" s="5">
        <v>4302465</v>
      </c>
      <c r="B1675" s="6" t="s">
        <v>3150</v>
      </c>
      <c r="C1675" s="7"/>
      <c r="D1675" s="7"/>
      <c r="E1675" s="7"/>
      <c r="F1675" s="7"/>
      <c r="G1675" s="7"/>
      <c r="H1675" s="7"/>
      <c r="I1675" s="7"/>
      <c r="J1675" s="7"/>
    </row>
    <row r="1676" spans="1:10" x14ac:dyDescent="0.25">
      <c r="E1676" s="4" t="s">
        <v>10</v>
      </c>
      <c r="G1676" s="8">
        <v>40.909999999999997</v>
      </c>
      <c r="H1676" s="8">
        <v>0</v>
      </c>
      <c r="I1676" s="8">
        <f>G1676-H1676</f>
        <v>40.909999999999997</v>
      </c>
    </row>
    <row r="1677" spans="1:10" x14ac:dyDescent="0.25">
      <c r="C1677" s="9"/>
      <c r="D1677" s="10">
        <v>45659</v>
      </c>
      <c r="E1677" t="s">
        <v>1524</v>
      </c>
      <c r="F1677" s="11" t="s">
        <v>3151</v>
      </c>
      <c r="G1677" s="8">
        <v>0</v>
      </c>
      <c r="H1677" s="8">
        <v>40.909999999999997</v>
      </c>
      <c r="I1677" s="8">
        <f t="shared" ref="I1677:I1690" si="86">G1677-H1677+I1676</f>
        <v>0</v>
      </c>
      <c r="J1677" s="12"/>
    </row>
    <row r="1678" spans="1:10" x14ac:dyDescent="0.25">
      <c r="C1678" s="9"/>
      <c r="D1678" s="10">
        <v>45671</v>
      </c>
      <c r="E1678" t="s">
        <v>3152</v>
      </c>
      <c r="F1678" s="11" t="s">
        <v>3153</v>
      </c>
      <c r="G1678" s="8">
        <v>98.91</v>
      </c>
      <c r="H1678" s="8">
        <v>0</v>
      </c>
      <c r="I1678" s="8">
        <f t="shared" si="86"/>
        <v>98.91</v>
      </c>
      <c r="J1678" s="12"/>
    </row>
    <row r="1679" spans="1:10" x14ac:dyDescent="0.25">
      <c r="C1679" s="9"/>
      <c r="D1679" s="10">
        <v>45672</v>
      </c>
      <c r="E1679" t="s">
        <v>3154</v>
      </c>
      <c r="F1679" s="11" t="s">
        <v>42</v>
      </c>
      <c r="G1679" s="8">
        <v>0</v>
      </c>
      <c r="H1679" s="8">
        <v>98.91</v>
      </c>
      <c r="I1679" s="8">
        <f t="shared" si="86"/>
        <v>0</v>
      </c>
      <c r="J1679" s="12"/>
    </row>
    <row r="1680" spans="1:10" x14ac:dyDescent="0.25">
      <c r="C1680" s="9"/>
      <c r="D1680" s="10">
        <v>45688</v>
      </c>
      <c r="E1680" t="s">
        <v>3155</v>
      </c>
      <c r="F1680" s="11" t="s">
        <v>3156</v>
      </c>
      <c r="G1680" s="8">
        <v>48.21</v>
      </c>
      <c r="H1680" s="8">
        <v>0</v>
      </c>
      <c r="I1680" s="8">
        <f t="shared" si="86"/>
        <v>48.21</v>
      </c>
      <c r="J1680" s="12"/>
    </row>
    <row r="1681" spans="1:10" x14ac:dyDescent="0.25">
      <c r="C1681" s="9"/>
      <c r="D1681" s="10">
        <v>45691</v>
      </c>
      <c r="E1681" t="s">
        <v>1524</v>
      </c>
      <c r="F1681" s="11" t="s">
        <v>3156</v>
      </c>
      <c r="G1681" s="8">
        <v>0</v>
      </c>
      <c r="H1681" s="8">
        <v>48.21</v>
      </c>
      <c r="I1681" s="8">
        <f t="shared" si="86"/>
        <v>0</v>
      </c>
      <c r="J1681" s="12"/>
    </row>
    <row r="1682" spans="1:10" x14ac:dyDescent="0.25">
      <c r="C1682" s="9"/>
      <c r="D1682" s="10">
        <v>45702</v>
      </c>
      <c r="E1682" t="s">
        <v>3157</v>
      </c>
      <c r="F1682" s="11" t="s">
        <v>3158</v>
      </c>
      <c r="G1682" s="8">
        <v>93.55</v>
      </c>
      <c r="H1682" s="8">
        <v>0</v>
      </c>
      <c r="I1682" s="8">
        <f t="shared" si="86"/>
        <v>93.55</v>
      </c>
      <c r="J1682" s="12"/>
    </row>
    <row r="1683" spans="1:10" x14ac:dyDescent="0.25">
      <c r="C1683" s="9"/>
      <c r="D1683" s="10">
        <v>45705</v>
      </c>
      <c r="E1683" t="s">
        <v>1524</v>
      </c>
      <c r="F1683" s="11" t="s">
        <v>3158</v>
      </c>
      <c r="G1683" s="8">
        <v>0</v>
      </c>
      <c r="H1683" s="8">
        <v>93.55</v>
      </c>
      <c r="I1683" s="8">
        <f t="shared" si="86"/>
        <v>0</v>
      </c>
      <c r="J1683" s="12"/>
    </row>
    <row r="1684" spans="1:10" x14ac:dyDescent="0.25">
      <c r="C1684" s="9"/>
      <c r="D1684" s="10">
        <v>45716</v>
      </c>
      <c r="E1684" t="s">
        <v>3159</v>
      </c>
      <c r="F1684" s="11" t="s">
        <v>3160</v>
      </c>
      <c r="G1684" s="8">
        <v>56.48</v>
      </c>
      <c r="H1684" s="8">
        <v>0</v>
      </c>
      <c r="I1684" s="8">
        <f t="shared" si="86"/>
        <v>56.48</v>
      </c>
      <c r="J1684" s="12"/>
    </row>
    <row r="1685" spans="1:10" x14ac:dyDescent="0.25">
      <c r="C1685" s="9" t="s">
        <v>124</v>
      </c>
      <c r="D1685" s="10">
        <v>45719</v>
      </c>
      <c r="E1685" t="s">
        <v>3161</v>
      </c>
      <c r="F1685" s="11" t="s">
        <v>3160</v>
      </c>
      <c r="G1685" s="8">
        <v>0</v>
      </c>
      <c r="H1685" s="8">
        <v>56.48</v>
      </c>
      <c r="I1685" s="8">
        <f t="shared" si="86"/>
        <v>0</v>
      </c>
      <c r="J1685" s="12"/>
    </row>
    <row r="1686" spans="1:10" x14ac:dyDescent="0.25">
      <c r="C1686" s="9"/>
      <c r="D1686" s="10">
        <v>45730</v>
      </c>
      <c r="E1686" t="s">
        <v>3162</v>
      </c>
      <c r="F1686" s="11" t="s">
        <v>3163</v>
      </c>
      <c r="G1686" s="8">
        <v>329.71</v>
      </c>
      <c r="H1686" s="8">
        <v>0</v>
      </c>
      <c r="I1686" s="8">
        <f t="shared" si="86"/>
        <v>329.71</v>
      </c>
      <c r="J1686" s="12"/>
    </row>
    <row r="1687" spans="1:10" x14ac:dyDescent="0.25">
      <c r="C1687" s="9"/>
      <c r="D1687" s="10">
        <v>45733</v>
      </c>
      <c r="E1687" t="s">
        <v>1524</v>
      </c>
      <c r="F1687" s="11" t="s">
        <v>3163</v>
      </c>
      <c r="G1687" s="8">
        <v>0</v>
      </c>
      <c r="H1687" s="8">
        <v>329.71</v>
      </c>
      <c r="I1687" s="8">
        <f t="shared" si="86"/>
        <v>0</v>
      </c>
      <c r="J1687" s="12"/>
    </row>
    <row r="1688" spans="1:10" x14ac:dyDescent="0.25">
      <c r="C1688" s="9"/>
      <c r="D1688" s="10">
        <v>45747</v>
      </c>
      <c r="E1688" t="s">
        <v>3164</v>
      </c>
      <c r="F1688" s="11" t="s">
        <v>3165</v>
      </c>
      <c r="G1688" s="8">
        <v>216.12</v>
      </c>
      <c r="H1688" s="8">
        <v>0</v>
      </c>
      <c r="I1688" s="8">
        <f t="shared" si="86"/>
        <v>216.12</v>
      </c>
      <c r="J1688" s="12"/>
    </row>
    <row r="1689" spans="1:10" x14ac:dyDescent="0.25">
      <c r="C1689" s="9" t="s">
        <v>124</v>
      </c>
      <c r="D1689" s="10">
        <v>45748</v>
      </c>
      <c r="E1689" t="s">
        <v>3166</v>
      </c>
      <c r="F1689" s="11" t="s">
        <v>3165</v>
      </c>
      <c r="G1689" s="8">
        <v>0</v>
      </c>
      <c r="H1689" s="8">
        <v>216.12</v>
      </c>
      <c r="I1689" s="8">
        <f t="shared" si="86"/>
        <v>0</v>
      </c>
      <c r="J1689" s="12"/>
    </row>
    <row r="1690" spans="1:10" x14ac:dyDescent="0.25">
      <c r="C1690" s="9"/>
      <c r="D1690" s="10">
        <v>45762</v>
      </c>
      <c r="E1690" t="s">
        <v>3154</v>
      </c>
      <c r="F1690" s="11" t="s">
        <v>42</v>
      </c>
      <c r="G1690" s="8">
        <v>0</v>
      </c>
      <c r="H1690" s="8">
        <v>135.88</v>
      </c>
      <c r="I1690" s="8">
        <f t="shared" si="86"/>
        <v>-135.88</v>
      </c>
      <c r="J1690" s="12"/>
    </row>
    <row r="1691" spans="1:10" x14ac:dyDescent="0.25">
      <c r="E1691" s="4" t="s">
        <v>20</v>
      </c>
      <c r="G1691" s="8">
        <f>SUM(G1676:G1690)</f>
        <v>883.89</v>
      </c>
      <c r="H1691" s="8">
        <f>SUM(H1676:H1690)</f>
        <v>1019.77</v>
      </c>
      <c r="I1691" s="8">
        <f>G1691-H1691</f>
        <v>-135.88</v>
      </c>
    </row>
    <row r="1693" spans="1:10" x14ac:dyDescent="0.25">
      <c r="A1693" s="5">
        <v>4302480</v>
      </c>
      <c r="B1693" s="6" t="s">
        <v>3167</v>
      </c>
      <c r="C1693" s="7"/>
      <c r="D1693" s="7"/>
      <c r="E1693" s="7"/>
      <c r="F1693" s="7"/>
      <c r="G1693" s="7"/>
      <c r="H1693" s="7"/>
      <c r="I1693" s="7"/>
      <c r="J1693" s="7"/>
    </row>
    <row r="1694" spans="1:10" x14ac:dyDescent="0.25">
      <c r="E1694" s="4" t="s">
        <v>10</v>
      </c>
      <c r="G1694" s="8">
        <v>8.57</v>
      </c>
      <c r="H1694" s="8">
        <v>0</v>
      </c>
      <c r="I1694" s="8">
        <f>G1694-H1694</f>
        <v>8.57</v>
      </c>
    </row>
    <row r="1695" spans="1:10" x14ac:dyDescent="0.25">
      <c r="C1695" s="9"/>
      <c r="D1695" s="10">
        <v>45716</v>
      </c>
      <c r="E1695" t="s">
        <v>3168</v>
      </c>
      <c r="F1695" s="11" t="s">
        <v>3169</v>
      </c>
      <c r="G1695" s="8">
        <v>170.27</v>
      </c>
      <c r="H1695" s="8">
        <v>0</v>
      </c>
      <c r="I1695" s="8">
        <f>G1695-H1695+I1694</f>
        <v>178.84</v>
      </c>
      <c r="J1695" s="12"/>
    </row>
    <row r="1696" spans="1:10" x14ac:dyDescent="0.25">
      <c r="C1696" s="9" t="s">
        <v>124</v>
      </c>
      <c r="D1696" s="10">
        <v>45719</v>
      </c>
      <c r="E1696" t="s">
        <v>3170</v>
      </c>
      <c r="F1696" s="11" t="s">
        <v>42</v>
      </c>
      <c r="G1696" s="8">
        <v>0</v>
      </c>
      <c r="H1696" s="8">
        <v>178.84</v>
      </c>
      <c r="I1696" s="8">
        <f>G1696-H1696+I1695</f>
        <v>0</v>
      </c>
      <c r="J1696" s="12"/>
    </row>
    <row r="1697" spans="1:10" x14ac:dyDescent="0.25">
      <c r="C1697" s="9"/>
      <c r="D1697" s="10">
        <v>45730</v>
      </c>
      <c r="E1697" t="s">
        <v>3171</v>
      </c>
      <c r="F1697" s="11" t="s">
        <v>3172</v>
      </c>
      <c r="G1697" s="8">
        <v>264.99</v>
      </c>
      <c r="H1697" s="8">
        <v>0</v>
      </c>
      <c r="I1697" s="8">
        <f>G1697-H1697+I1696</f>
        <v>264.99</v>
      </c>
      <c r="J1697" s="12"/>
    </row>
    <row r="1698" spans="1:10" x14ac:dyDescent="0.25">
      <c r="C1698" s="9"/>
      <c r="D1698" s="10">
        <v>45733</v>
      </c>
      <c r="E1698" t="s">
        <v>1524</v>
      </c>
      <c r="F1698" s="11" t="s">
        <v>3172</v>
      </c>
      <c r="G1698" s="8">
        <v>0</v>
      </c>
      <c r="H1698" s="8">
        <v>264.99</v>
      </c>
      <c r="I1698" s="8">
        <f>G1698-H1698+I1697</f>
        <v>0</v>
      </c>
      <c r="J1698" s="12"/>
    </row>
    <row r="1699" spans="1:10" x14ac:dyDescent="0.25">
      <c r="C1699" s="9"/>
      <c r="D1699" s="10">
        <v>45762</v>
      </c>
      <c r="E1699" t="s">
        <v>1524</v>
      </c>
      <c r="F1699" s="11" t="s">
        <v>3173</v>
      </c>
      <c r="G1699" s="8">
        <v>0</v>
      </c>
      <c r="H1699" s="8">
        <v>184.6</v>
      </c>
      <c r="I1699" s="8">
        <f>G1699-H1699+I1698</f>
        <v>-184.6</v>
      </c>
      <c r="J1699" s="12"/>
    </row>
    <row r="1700" spans="1:10" x14ac:dyDescent="0.25">
      <c r="E1700" s="4" t="s">
        <v>20</v>
      </c>
      <c r="G1700" s="8">
        <f>SUM(G1694:G1699)</f>
        <v>443.83000000000004</v>
      </c>
      <c r="H1700" s="8">
        <f>SUM(H1694:H1699)</f>
        <v>628.43000000000006</v>
      </c>
      <c r="I1700" s="8">
        <f>G1700-H1700</f>
        <v>-184.60000000000002</v>
      </c>
    </row>
    <row r="1702" spans="1:10" x14ac:dyDescent="0.25">
      <c r="A1702" s="5">
        <v>4302505</v>
      </c>
      <c r="B1702" s="6" t="s">
        <v>3174</v>
      </c>
      <c r="C1702" s="7"/>
      <c r="D1702" s="7"/>
      <c r="E1702" s="7"/>
      <c r="F1702" s="7"/>
      <c r="G1702" s="7"/>
      <c r="H1702" s="7"/>
      <c r="I1702" s="7"/>
      <c r="J1702" s="7"/>
    </row>
    <row r="1703" spans="1:10" x14ac:dyDescent="0.25">
      <c r="C1703" s="9"/>
      <c r="D1703" s="10">
        <v>45671</v>
      </c>
      <c r="E1703" t="s">
        <v>3175</v>
      </c>
      <c r="F1703" s="11" t="s">
        <v>3176</v>
      </c>
      <c r="G1703" s="8">
        <v>55.19</v>
      </c>
      <c r="H1703" s="8">
        <v>0</v>
      </c>
      <c r="I1703" s="8">
        <f>G1703-H1703</f>
        <v>55.19</v>
      </c>
      <c r="J1703" s="12"/>
    </row>
    <row r="1704" spans="1:10" x14ac:dyDescent="0.25">
      <c r="C1704" s="9"/>
      <c r="D1704" s="10">
        <v>45672</v>
      </c>
      <c r="E1704" t="s">
        <v>1524</v>
      </c>
      <c r="F1704" s="11" t="s">
        <v>3176</v>
      </c>
      <c r="G1704" s="8">
        <v>0</v>
      </c>
      <c r="H1704" s="8">
        <v>55.19</v>
      </c>
      <c r="I1704" s="8">
        <f t="shared" ref="I1704:I1711" si="87">G1704-H1704+I1703</f>
        <v>0</v>
      </c>
      <c r="J1704" s="12"/>
    </row>
    <row r="1705" spans="1:10" x14ac:dyDescent="0.25">
      <c r="C1705" s="9"/>
      <c r="D1705" s="10">
        <v>45702</v>
      </c>
      <c r="E1705" t="s">
        <v>3177</v>
      </c>
      <c r="F1705" s="11" t="s">
        <v>3178</v>
      </c>
      <c r="G1705" s="8">
        <v>44.84</v>
      </c>
      <c r="H1705" s="8">
        <v>0</v>
      </c>
      <c r="I1705" s="8">
        <f t="shared" si="87"/>
        <v>44.84</v>
      </c>
      <c r="J1705" s="12"/>
    </row>
    <row r="1706" spans="1:10" x14ac:dyDescent="0.25">
      <c r="C1706" s="9"/>
      <c r="D1706" s="10">
        <v>45705</v>
      </c>
      <c r="E1706" t="s">
        <v>1524</v>
      </c>
      <c r="F1706" s="11" t="s">
        <v>3178</v>
      </c>
      <c r="G1706" s="8">
        <v>0</v>
      </c>
      <c r="H1706" s="8">
        <v>44.84</v>
      </c>
      <c r="I1706" s="8">
        <f t="shared" si="87"/>
        <v>0</v>
      </c>
      <c r="J1706" s="12"/>
    </row>
    <row r="1707" spans="1:10" x14ac:dyDescent="0.25">
      <c r="C1707" s="9"/>
      <c r="D1707" s="10">
        <v>45716</v>
      </c>
      <c r="E1707" t="s">
        <v>3179</v>
      </c>
      <c r="F1707" s="11" t="s">
        <v>3180</v>
      </c>
      <c r="G1707" s="8">
        <v>75.349999999999994</v>
      </c>
      <c r="H1707" s="8">
        <v>0</v>
      </c>
      <c r="I1707" s="8">
        <f t="shared" si="87"/>
        <v>75.349999999999994</v>
      </c>
      <c r="J1707" s="12"/>
    </row>
    <row r="1708" spans="1:10" x14ac:dyDescent="0.25">
      <c r="C1708" s="9" t="s">
        <v>124</v>
      </c>
      <c r="D1708" s="10">
        <v>45719</v>
      </c>
      <c r="E1708" t="s">
        <v>3181</v>
      </c>
      <c r="F1708" s="11" t="s">
        <v>3180</v>
      </c>
      <c r="G1708" s="8">
        <v>0</v>
      </c>
      <c r="H1708" s="8">
        <v>75.349999999999994</v>
      </c>
      <c r="I1708" s="8">
        <f t="shared" si="87"/>
        <v>0</v>
      </c>
      <c r="J1708" s="12"/>
    </row>
    <row r="1709" spans="1:10" x14ac:dyDescent="0.25">
      <c r="C1709" s="9"/>
      <c r="D1709" s="10">
        <v>45730</v>
      </c>
      <c r="E1709" t="s">
        <v>3182</v>
      </c>
      <c r="F1709" s="11" t="s">
        <v>3183</v>
      </c>
      <c r="G1709" s="8">
        <v>270.69</v>
      </c>
      <c r="H1709" s="8">
        <v>0</v>
      </c>
      <c r="I1709" s="8">
        <f t="shared" si="87"/>
        <v>270.69</v>
      </c>
      <c r="J1709" s="12"/>
    </row>
    <row r="1710" spans="1:10" x14ac:dyDescent="0.25">
      <c r="C1710" s="9"/>
      <c r="D1710" s="10">
        <v>45733</v>
      </c>
      <c r="E1710" t="s">
        <v>1524</v>
      </c>
      <c r="F1710" s="11" t="s">
        <v>3183</v>
      </c>
      <c r="G1710" s="8">
        <v>0</v>
      </c>
      <c r="H1710" s="8">
        <v>270.69</v>
      </c>
      <c r="I1710" s="8">
        <f t="shared" si="87"/>
        <v>0</v>
      </c>
      <c r="J1710" s="12"/>
    </row>
    <row r="1711" spans="1:10" x14ac:dyDescent="0.25">
      <c r="C1711" s="9"/>
      <c r="D1711" s="10">
        <v>45762</v>
      </c>
      <c r="E1711" t="s">
        <v>3184</v>
      </c>
      <c r="F1711" s="11" t="s">
        <v>42</v>
      </c>
      <c r="G1711" s="8">
        <v>0</v>
      </c>
      <c r="H1711" s="8">
        <v>357.2</v>
      </c>
      <c r="I1711" s="8">
        <f t="shared" si="87"/>
        <v>-357.2</v>
      </c>
      <c r="J1711" s="12"/>
    </row>
    <row r="1712" spans="1:10" x14ac:dyDescent="0.25">
      <c r="E1712" s="4" t="s">
        <v>20</v>
      </c>
      <c r="G1712" s="8">
        <f>SUM(G1703:G1711)</f>
        <v>446.07</v>
      </c>
      <c r="H1712" s="8">
        <f>SUM(H1703:H1711)</f>
        <v>803.27</v>
      </c>
      <c r="I1712" s="8">
        <f>G1712-H1712</f>
        <v>-357.2</v>
      </c>
    </row>
    <row r="1714" spans="1:10" x14ac:dyDescent="0.25">
      <c r="A1714" s="5">
        <v>4302525</v>
      </c>
      <c r="B1714" s="6" t="s">
        <v>3185</v>
      </c>
      <c r="C1714" s="7"/>
      <c r="D1714" s="7"/>
      <c r="E1714" s="7"/>
      <c r="F1714" s="7"/>
      <c r="G1714" s="7"/>
      <c r="H1714" s="7"/>
      <c r="I1714" s="7"/>
      <c r="J1714" s="7"/>
    </row>
    <row r="1715" spans="1:10" x14ac:dyDescent="0.25">
      <c r="E1715" s="4" t="s">
        <v>10</v>
      </c>
      <c r="G1715" s="8">
        <v>7.61</v>
      </c>
      <c r="H1715" s="8">
        <v>0</v>
      </c>
      <c r="I1715" s="8">
        <f>G1715-H1715</f>
        <v>7.61</v>
      </c>
    </row>
    <row r="1716" spans="1:10" x14ac:dyDescent="0.25">
      <c r="E1716" s="4" t="s">
        <v>20</v>
      </c>
      <c r="G1716" s="8">
        <f>G1715</f>
        <v>7.61</v>
      </c>
      <c r="H1716" s="8">
        <f>H1715</f>
        <v>0</v>
      </c>
      <c r="I1716" s="8">
        <f>G1716-H1716</f>
        <v>7.61</v>
      </c>
    </row>
    <row r="1718" spans="1:10" x14ac:dyDescent="0.25">
      <c r="A1718" s="5">
        <v>4302530</v>
      </c>
      <c r="B1718" s="6" t="s">
        <v>3186</v>
      </c>
      <c r="C1718" s="7"/>
      <c r="D1718" s="7"/>
      <c r="E1718" s="7"/>
      <c r="F1718" s="7"/>
      <c r="G1718" s="7"/>
      <c r="H1718" s="7"/>
      <c r="I1718" s="7"/>
      <c r="J1718" s="7"/>
    </row>
    <row r="1719" spans="1:10" x14ac:dyDescent="0.25">
      <c r="E1719" s="4" t="s">
        <v>10</v>
      </c>
      <c r="G1719" s="8">
        <v>277.19</v>
      </c>
      <c r="H1719" s="8">
        <v>0</v>
      </c>
      <c r="I1719" s="8">
        <f>G1719-H1719</f>
        <v>277.19</v>
      </c>
    </row>
    <row r="1720" spans="1:10" x14ac:dyDescent="0.25">
      <c r="C1720" s="9"/>
      <c r="D1720" s="10">
        <v>45664</v>
      </c>
      <c r="E1720" t="s">
        <v>3187</v>
      </c>
      <c r="F1720" s="11" t="s">
        <v>3188</v>
      </c>
      <c r="G1720" s="8">
        <v>0</v>
      </c>
      <c r="H1720" s="8">
        <v>48.57</v>
      </c>
      <c r="I1720" s="8">
        <f>G1720-H1720+I1719</f>
        <v>228.62</v>
      </c>
      <c r="J1720" s="12"/>
    </row>
    <row r="1721" spans="1:10" x14ac:dyDescent="0.25">
      <c r="C1721" s="9"/>
      <c r="D1721" s="10">
        <v>45730</v>
      </c>
      <c r="E1721" t="s">
        <v>3189</v>
      </c>
      <c r="F1721" s="11" t="s">
        <v>3190</v>
      </c>
      <c r="G1721" s="8">
        <v>349.17</v>
      </c>
      <c r="H1721" s="8">
        <v>0</v>
      </c>
      <c r="I1721" s="8">
        <f>G1721-H1721+I1720</f>
        <v>577.79</v>
      </c>
      <c r="J1721" s="12"/>
    </row>
    <row r="1722" spans="1:10" x14ac:dyDescent="0.25">
      <c r="E1722" s="4" t="s">
        <v>20</v>
      </c>
      <c r="G1722" s="8">
        <f>SUM(G1719:G1721)</f>
        <v>626.36</v>
      </c>
      <c r="H1722" s="8">
        <f>SUM(H1719:H1721)</f>
        <v>48.57</v>
      </c>
      <c r="I1722" s="8">
        <f>G1722-H1722</f>
        <v>577.79</v>
      </c>
    </row>
    <row r="1724" spans="1:10" x14ac:dyDescent="0.25">
      <c r="A1724" s="5">
        <v>4302535</v>
      </c>
      <c r="B1724" s="6" t="s">
        <v>3191</v>
      </c>
      <c r="C1724" s="7"/>
      <c r="D1724" s="7"/>
      <c r="E1724" s="7"/>
      <c r="F1724" s="7"/>
      <c r="G1724" s="7"/>
      <c r="H1724" s="7"/>
      <c r="I1724" s="7"/>
      <c r="J1724" s="7"/>
    </row>
    <row r="1725" spans="1:10" x14ac:dyDescent="0.25">
      <c r="E1725" s="4" t="s">
        <v>10</v>
      </c>
      <c r="G1725" s="8">
        <v>15.17</v>
      </c>
      <c r="H1725" s="8">
        <v>0</v>
      </c>
      <c r="I1725" s="8">
        <f>G1725-H1725</f>
        <v>15.17</v>
      </c>
    </row>
    <row r="1726" spans="1:10" x14ac:dyDescent="0.25">
      <c r="C1726" s="9"/>
      <c r="D1726" s="10">
        <v>45716</v>
      </c>
      <c r="E1726" t="s">
        <v>1524</v>
      </c>
      <c r="F1726" s="11" t="s">
        <v>3192</v>
      </c>
      <c r="G1726" s="8">
        <v>0</v>
      </c>
      <c r="H1726" s="8">
        <v>15.17</v>
      </c>
      <c r="I1726" s="8">
        <f>G1726-H1726+I1725</f>
        <v>0</v>
      </c>
      <c r="J1726" s="12"/>
    </row>
    <row r="1727" spans="1:10" x14ac:dyDescent="0.25">
      <c r="C1727" s="9"/>
      <c r="D1727" s="10">
        <v>45730</v>
      </c>
      <c r="E1727" t="s">
        <v>3193</v>
      </c>
      <c r="F1727" s="11" t="s">
        <v>3194</v>
      </c>
      <c r="G1727" s="8">
        <v>57.61</v>
      </c>
      <c r="H1727" s="8">
        <v>0</v>
      </c>
      <c r="I1727" s="8">
        <f>G1727-H1727+I1726</f>
        <v>57.61</v>
      </c>
      <c r="J1727" s="12"/>
    </row>
    <row r="1728" spans="1:10" x14ac:dyDescent="0.25">
      <c r="E1728" s="4" t="s">
        <v>20</v>
      </c>
      <c r="G1728" s="8">
        <f>SUM(G1725:G1727)</f>
        <v>72.78</v>
      </c>
      <c r="H1728" s="8">
        <f>SUM(H1725:H1727)</f>
        <v>15.17</v>
      </c>
      <c r="I1728" s="8">
        <f>G1728-H1728</f>
        <v>57.61</v>
      </c>
    </row>
    <row r="1730" spans="1:10" x14ac:dyDescent="0.25">
      <c r="A1730" s="5">
        <v>4302585</v>
      </c>
      <c r="B1730" s="6" t="s">
        <v>3195</v>
      </c>
      <c r="C1730" s="7"/>
      <c r="D1730" s="7"/>
      <c r="E1730" s="7"/>
      <c r="F1730" s="7"/>
      <c r="G1730" s="7"/>
      <c r="H1730" s="7"/>
      <c r="I1730" s="7"/>
      <c r="J1730" s="7"/>
    </row>
    <row r="1731" spans="1:10" x14ac:dyDescent="0.25">
      <c r="E1731" s="4" t="s">
        <v>10</v>
      </c>
      <c r="G1731" s="8">
        <v>3114.95</v>
      </c>
      <c r="H1731" s="8">
        <v>0</v>
      </c>
      <c r="I1731" s="8">
        <f>G1731-H1731</f>
        <v>3114.95</v>
      </c>
    </row>
    <row r="1732" spans="1:10" x14ac:dyDescent="0.25">
      <c r="C1732" s="9"/>
      <c r="D1732" s="10">
        <v>45671</v>
      </c>
      <c r="E1732" t="s">
        <v>3196</v>
      </c>
      <c r="F1732" s="11" t="s">
        <v>3197</v>
      </c>
      <c r="G1732" s="8">
        <v>165.23</v>
      </c>
      <c r="H1732" s="8">
        <v>0</v>
      </c>
      <c r="I1732" s="8">
        <f t="shared" ref="I1732:I1738" si="88">G1732-H1732+I1731</f>
        <v>3280.18</v>
      </c>
      <c r="J1732" s="12"/>
    </row>
    <row r="1733" spans="1:10" x14ac:dyDescent="0.25">
      <c r="C1733" s="9"/>
      <c r="D1733" s="10">
        <v>45680</v>
      </c>
      <c r="E1733" t="s">
        <v>3198</v>
      </c>
      <c r="F1733" s="11" t="s">
        <v>42</v>
      </c>
      <c r="G1733" s="8">
        <v>0</v>
      </c>
      <c r="H1733" s="8">
        <v>487.71</v>
      </c>
      <c r="I1733" s="8">
        <f t="shared" si="88"/>
        <v>2792.47</v>
      </c>
      <c r="J1733" s="12"/>
    </row>
    <row r="1734" spans="1:10" x14ac:dyDescent="0.25">
      <c r="C1734" s="9"/>
      <c r="D1734" s="10">
        <v>45688</v>
      </c>
      <c r="E1734" t="s">
        <v>3199</v>
      </c>
      <c r="F1734" s="11" t="s">
        <v>3200</v>
      </c>
      <c r="G1734" s="8">
        <v>178.14</v>
      </c>
      <c r="H1734" s="8">
        <v>0</v>
      </c>
      <c r="I1734" s="8">
        <f t="shared" si="88"/>
        <v>2970.6099999999997</v>
      </c>
      <c r="J1734" s="12"/>
    </row>
    <row r="1735" spans="1:10" x14ac:dyDescent="0.25">
      <c r="C1735" s="9"/>
      <c r="D1735" s="10">
        <v>45702</v>
      </c>
      <c r="E1735" t="s">
        <v>3201</v>
      </c>
      <c r="F1735" s="11" t="s">
        <v>3202</v>
      </c>
      <c r="G1735" s="8">
        <v>317.18</v>
      </c>
      <c r="H1735" s="8">
        <v>0</v>
      </c>
      <c r="I1735" s="8">
        <f t="shared" si="88"/>
        <v>3287.7899999999995</v>
      </c>
      <c r="J1735" s="12"/>
    </row>
    <row r="1736" spans="1:10" x14ac:dyDescent="0.25">
      <c r="C1736" s="9"/>
      <c r="D1736" s="10">
        <v>45706</v>
      </c>
      <c r="E1736" t="s">
        <v>3203</v>
      </c>
      <c r="F1736" s="11" t="s">
        <v>42</v>
      </c>
      <c r="G1736" s="8">
        <v>0</v>
      </c>
      <c r="H1736" s="8">
        <v>860.85</v>
      </c>
      <c r="I1736" s="8">
        <f t="shared" si="88"/>
        <v>2426.9399999999996</v>
      </c>
      <c r="J1736" s="12"/>
    </row>
    <row r="1737" spans="1:10" x14ac:dyDescent="0.25">
      <c r="C1737" s="9"/>
      <c r="D1737" s="10">
        <v>45716</v>
      </c>
      <c r="E1737" t="s">
        <v>3204</v>
      </c>
      <c r="F1737" s="11" t="s">
        <v>3205</v>
      </c>
      <c r="G1737" s="8">
        <v>32.67</v>
      </c>
      <c r="H1737" s="8">
        <v>0</v>
      </c>
      <c r="I1737" s="8">
        <f t="shared" si="88"/>
        <v>2459.6099999999997</v>
      </c>
      <c r="J1737" s="12"/>
    </row>
    <row r="1738" spans="1:10" x14ac:dyDescent="0.25">
      <c r="C1738" s="9"/>
      <c r="D1738" s="10">
        <v>45747</v>
      </c>
      <c r="E1738" t="s">
        <v>3206</v>
      </c>
      <c r="F1738" s="11" t="s">
        <v>3207</v>
      </c>
      <c r="G1738" s="8">
        <v>312.77</v>
      </c>
      <c r="H1738" s="8">
        <v>0</v>
      </c>
      <c r="I1738" s="8">
        <f t="shared" si="88"/>
        <v>2772.3799999999997</v>
      </c>
      <c r="J1738" s="12"/>
    </row>
    <row r="1739" spans="1:10" x14ac:dyDescent="0.25">
      <c r="E1739" s="4" t="s">
        <v>20</v>
      </c>
      <c r="G1739" s="8">
        <f>SUM(G1731:G1738)</f>
        <v>4120.9399999999996</v>
      </c>
      <c r="H1739" s="8">
        <f>SUM(H1731:H1738)</f>
        <v>1348.56</v>
      </c>
      <c r="I1739" s="8">
        <f>G1739-H1739</f>
        <v>2772.3799999999997</v>
      </c>
    </row>
    <row r="1741" spans="1:10" x14ac:dyDescent="0.25">
      <c r="A1741" s="5">
        <v>4302640</v>
      </c>
      <c r="B1741" s="6" t="s">
        <v>3208</v>
      </c>
      <c r="C1741" s="7"/>
      <c r="D1741" s="7"/>
      <c r="E1741" s="7"/>
      <c r="F1741" s="7"/>
      <c r="G1741" s="7"/>
      <c r="H1741" s="7"/>
      <c r="I1741" s="7"/>
      <c r="J1741" s="7"/>
    </row>
    <row r="1742" spans="1:10" x14ac:dyDescent="0.25">
      <c r="E1742" s="4" t="s">
        <v>10</v>
      </c>
      <c r="G1742" s="8">
        <v>32.67</v>
      </c>
      <c r="H1742" s="8">
        <v>0</v>
      </c>
      <c r="I1742" s="8">
        <f>G1742-H1742</f>
        <v>32.67</v>
      </c>
    </row>
    <row r="1743" spans="1:10" x14ac:dyDescent="0.25">
      <c r="E1743" s="4" t="s">
        <v>20</v>
      </c>
      <c r="G1743" s="8">
        <f>G1742</f>
        <v>32.67</v>
      </c>
      <c r="H1743" s="8">
        <f>H1742</f>
        <v>0</v>
      </c>
      <c r="I1743" s="8">
        <f>G1743-H1743</f>
        <v>32.67</v>
      </c>
    </row>
    <row r="1745" spans="1:10" x14ac:dyDescent="0.25">
      <c r="A1745" s="5">
        <v>4302665</v>
      </c>
      <c r="B1745" s="6" t="s">
        <v>3209</v>
      </c>
      <c r="C1745" s="7"/>
      <c r="D1745" s="7"/>
      <c r="E1745" s="7"/>
      <c r="F1745" s="7"/>
      <c r="G1745" s="7"/>
      <c r="H1745" s="7"/>
      <c r="I1745" s="7"/>
      <c r="J1745" s="7"/>
    </row>
    <row r="1746" spans="1:10" x14ac:dyDescent="0.25">
      <c r="E1746" s="4" t="s">
        <v>10</v>
      </c>
      <c r="G1746" s="8">
        <v>4320.22</v>
      </c>
      <c r="H1746" s="8">
        <v>0</v>
      </c>
      <c r="I1746" s="8">
        <f>G1746-H1746</f>
        <v>4320.22</v>
      </c>
    </row>
    <row r="1747" spans="1:10" x14ac:dyDescent="0.25">
      <c r="E1747" s="4" t="s">
        <v>20</v>
      </c>
      <c r="G1747" s="8">
        <f>G1746</f>
        <v>4320.22</v>
      </c>
      <c r="H1747" s="8">
        <f>H1746</f>
        <v>0</v>
      </c>
      <c r="I1747" s="8">
        <f>G1747-H1747</f>
        <v>4320.22</v>
      </c>
    </row>
    <row r="1749" spans="1:10" x14ac:dyDescent="0.25">
      <c r="A1749" s="5">
        <v>4302666</v>
      </c>
      <c r="B1749" s="6" t="s">
        <v>3210</v>
      </c>
      <c r="C1749" s="7"/>
      <c r="D1749" s="7"/>
      <c r="E1749" s="7"/>
      <c r="F1749" s="7"/>
      <c r="G1749" s="7"/>
      <c r="H1749" s="7"/>
      <c r="I1749" s="7"/>
      <c r="J1749" s="7"/>
    </row>
    <row r="1750" spans="1:10" x14ac:dyDescent="0.25">
      <c r="E1750" s="4" t="s">
        <v>10</v>
      </c>
      <c r="G1750" s="8">
        <v>938.79</v>
      </c>
      <c r="H1750" s="8">
        <v>0</v>
      </c>
      <c r="I1750" s="8">
        <f>G1750-H1750</f>
        <v>938.79</v>
      </c>
    </row>
    <row r="1751" spans="1:10" x14ac:dyDescent="0.25">
      <c r="C1751" s="9"/>
      <c r="D1751" s="10">
        <v>45671</v>
      </c>
      <c r="E1751" t="s">
        <v>3211</v>
      </c>
      <c r="F1751" s="11" t="s">
        <v>3212</v>
      </c>
      <c r="G1751" s="8">
        <v>573.13</v>
      </c>
      <c r="H1751" s="8">
        <v>0</v>
      </c>
      <c r="I1751" s="8">
        <f t="shared" ref="I1751:I1761" si="89">G1751-H1751+I1750</f>
        <v>1511.92</v>
      </c>
      <c r="J1751" s="12"/>
    </row>
    <row r="1752" spans="1:10" x14ac:dyDescent="0.25">
      <c r="C1752" s="9"/>
      <c r="D1752" s="10">
        <v>45687</v>
      </c>
      <c r="E1752" t="s">
        <v>1524</v>
      </c>
      <c r="F1752" s="11" t="s">
        <v>3213</v>
      </c>
      <c r="G1752" s="8">
        <v>0</v>
      </c>
      <c r="H1752" s="8">
        <v>388.51</v>
      </c>
      <c r="I1752" s="8">
        <f t="shared" si="89"/>
        <v>1123.4100000000001</v>
      </c>
      <c r="J1752" s="12"/>
    </row>
    <row r="1753" spans="1:10" x14ac:dyDescent="0.25">
      <c r="C1753" s="9"/>
      <c r="D1753" s="10">
        <v>45687</v>
      </c>
      <c r="E1753" t="s">
        <v>1524</v>
      </c>
      <c r="F1753" s="11" t="s">
        <v>3214</v>
      </c>
      <c r="G1753" s="8">
        <v>0</v>
      </c>
      <c r="H1753" s="8">
        <v>391.65</v>
      </c>
      <c r="I1753" s="8">
        <f t="shared" si="89"/>
        <v>731.7600000000001</v>
      </c>
      <c r="J1753" s="12"/>
    </row>
    <row r="1754" spans="1:10" x14ac:dyDescent="0.25">
      <c r="C1754" s="9"/>
      <c r="D1754" s="10">
        <v>45688</v>
      </c>
      <c r="E1754" t="s">
        <v>3215</v>
      </c>
      <c r="F1754" s="11" t="s">
        <v>3216</v>
      </c>
      <c r="G1754" s="8">
        <v>1608.99</v>
      </c>
      <c r="H1754" s="8">
        <v>0</v>
      </c>
      <c r="I1754" s="8">
        <f t="shared" si="89"/>
        <v>2340.75</v>
      </c>
      <c r="J1754" s="12"/>
    </row>
    <row r="1755" spans="1:10" x14ac:dyDescent="0.25">
      <c r="C1755" s="9"/>
      <c r="D1755" s="10">
        <v>45702</v>
      </c>
      <c r="E1755" t="s">
        <v>3217</v>
      </c>
      <c r="F1755" s="11" t="s">
        <v>3218</v>
      </c>
      <c r="G1755" s="8">
        <v>585.41</v>
      </c>
      <c r="H1755" s="8">
        <v>0</v>
      </c>
      <c r="I1755" s="8">
        <f t="shared" si="89"/>
        <v>2926.16</v>
      </c>
      <c r="J1755" s="12"/>
    </row>
    <row r="1756" spans="1:10" x14ac:dyDescent="0.25">
      <c r="C1756" s="9"/>
      <c r="D1756" s="10">
        <v>45716</v>
      </c>
      <c r="E1756" t="s">
        <v>3219</v>
      </c>
      <c r="F1756" s="11" t="s">
        <v>3220</v>
      </c>
      <c r="G1756" s="8">
        <v>528.49</v>
      </c>
      <c r="H1756" s="8">
        <v>0</v>
      </c>
      <c r="I1756" s="8">
        <f t="shared" si="89"/>
        <v>3454.6499999999996</v>
      </c>
      <c r="J1756" s="12"/>
    </row>
    <row r="1757" spans="1:10" x14ac:dyDescent="0.25">
      <c r="C1757" s="9"/>
      <c r="D1757" s="10">
        <v>45716</v>
      </c>
      <c r="E1757" t="s">
        <v>3221</v>
      </c>
      <c r="F1757" s="11" t="s">
        <v>3212</v>
      </c>
      <c r="G1757" s="8">
        <v>0</v>
      </c>
      <c r="H1757" s="8">
        <v>2182.12</v>
      </c>
      <c r="I1757" s="8">
        <f t="shared" si="89"/>
        <v>1272.5299999999997</v>
      </c>
      <c r="J1757" s="12"/>
    </row>
    <row r="1758" spans="1:10" x14ac:dyDescent="0.25">
      <c r="C1758" s="9"/>
      <c r="D1758" s="10">
        <v>45730</v>
      </c>
      <c r="E1758" t="s">
        <v>3222</v>
      </c>
      <c r="F1758" s="11" t="s">
        <v>3223</v>
      </c>
      <c r="G1758" s="8">
        <v>348.01</v>
      </c>
      <c r="H1758" s="8">
        <v>0</v>
      </c>
      <c r="I1758" s="8">
        <f t="shared" si="89"/>
        <v>1620.5399999999997</v>
      </c>
      <c r="J1758" s="12"/>
    </row>
    <row r="1759" spans="1:10" x14ac:dyDescent="0.25">
      <c r="C1759" s="9"/>
      <c r="D1759" s="10">
        <v>45747</v>
      </c>
      <c r="E1759" t="s">
        <v>3224</v>
      </c>
      <c r="F1759" s="11" t="s">
        <v>3225</v>
      </c>
      <c r="G1759" s="8">
        <v>1576.92</v>
      </c>
      <c r="H1759" s="8">
        <v>0</v>
      </c>
      <c r="I1759" s="8">
        <f t="shared" si="89"/>
        <v>3197.46</v>
      </c>
      <c r="J1759" s="12"/>
    </row>
    <row r="1760" spans="1:10" x14ac:dyDescent="0.25">
      <c r="C1760" s="9"/>
      <c r="D1760" s="10">
        <v>45747</v>
      </c>
      <c r="E1760" t="s">
        <v>1524</v>
      </c>
      <c r="F1760" s="11" t="s">
        <v>3218</v>
      </c>
      <c r="G1760" s="8">
        <v>0</v>
      </c>
      <c r="H1760" s="8">
        <v>585.41</v>
      </c>
      <c r="I1760" s="8">
        <f t="shared" si="89"/>
        <v>2612.0500000000002</v>
      </c>
      <c r="J1760" s="12"/>
    </row>
    <row r="1761" spans="1:10" x14ac:dyDescent="0.25">
      <c r="C1761" s="9"/>
      <c r="D1761" s="10">
        <v>45747</v>
      </c>
      <c r="E1761" t="s">
        <v>1524</v>
      </c>
      <c r="F1761" s="11" t="s">
        <v>3220</v>
      </c>
      <c r="G1761" s="8">
        <v>0</v>
      </c>
      <c r="H1761" s="8">
        <v>528.49</v>
      </c>
      <c r="I1761" s="8">
        <f t="shared" si="89"/>
        <v>2083.5600000000004</v>
      </c>
      <c r="J1761" s="12"/>
    </row>
    <row r="1762" spans="1:10" x14ac:dyDescent="0.25">
      <c r="E1762" s="4" t="s">
        <v>20</v>
      </c>
      <c r="G1762" s="8">
        <f>SUM(G1750:G1761)</f>
        <v>6159.74</v>
      </c>
      <c r="H1762" s="8">
        <f>SUM(H1750:H1761)</f>
        <v>4076.1799999999994</v>
      </c>
      <c r="I1762" s="8">
        <f>G1762-H1762</f>
        <v>2083.5600000000004</v>
      </c>
    </row>
    <row r="1764" spans="1:10" x14ac:dyDescent="0.25">
      <c r="A1764" s="5">
        <v>4302670</v>
      </c>
      <c r="B1764" s="6" t="s">
        <v>3226</v>
      </c>
      <c r="C1764" s="7"/>
      <c r="D1764" s="7"/>
      <c r="E1764" s="7"/>
      <c r="F1764" s="7"/>
      <c r="G1764" s="7"/>
      <c r="H1764" s="7"/>
      <c r="I1764" s="7"/>
      <c r="J1764" s="7"/>
    </row>
    <row r="1765" spans="1:10" x14ac:dyDescent="0.25">
      <c r="E1765" s="4" t="s">
        <v>10</v>
      </c>
      <c r="G1765" s="8">
        <v>1067.56</v>
      </c>
      <c r="H1765" s="8">
        <v>0</v>
      </c>
      <c r="I1765" s="8">
        <f>G1765-H1765</f>
        <v>1067.56</v>
      </c>
    </row>
    <row r="1766" spans="1:10" x14ac:dyDescent="0.25">
      <c r="C1766" s="9"/>
      <c r="D1766" s="10">
        <v>45671</v>
      </c>
      <c r="E1766" t="s">
        <v>3227</v>
      </c>
      <c r="F1766" s="11" t="s">
        <v>3228</v>
      </c>
      <c r="G1766" s="8">
        <v>94.55</v>
      </c>
      <c r="H1766" s="8">
        <v>0</v>
      </c>
      <c r="I1766" s="8">
        <f t="shared" ref="I1766:I1779" si="90">G1766-H1766+I1765</f>
        <v>1162.1099999999999</v>
      </c>
      <c r="J1766" s="12"/>
    </row>
    <row r="1767" spans="1:10" x14ac:dyDescent="0.25">
      <c r="C1767" s="9"/>
      <c r="D1767" s="10">
        <v>45678</v>
      </c>
      <c r="E1767" t="s">
        <v>3226</v>
      </c>
      <c r="F1767" s="11" t="s">
        <v>3229</v>
      </c>
      <c r="G1767" s="8">
        <v>0</v>
      </c>
      <c r="H1767" s="8">
        <v>124.67</v>
      </c>
      <c r="I1767" s="8">
        <f t="shared" si="90"/>
        <v>1037.4399999999998</v>
      </c>
      <c r="J1767" s="12"/>
    </row>
    <row r="1768" spans="1:10" x14ac:dyDescent="0.25">
      <c r="C1768" s="9"/>
      <c r="D1768" s="10">
        <v>45678</v>
      </c>
      <c r="E1768" t="s">
        <v>3226</v>
      </c>
      <c r="F1768" s="11" t="s">
        <v>3230</v>
      </c>
      <c r="G1768" s="8">
        <v>0</v>
      </c>
      <c r="H1768" s="8">
        <v>69.53</v>
      </c>
      <c r="I1768" s="8">
        <f t="shared" si="90"/>
        <v>967.90999999999985</v>
      </c>
      <c r="J1768" s="12"/>
    </row>
    <row r="1769" spans="1:10" x14ac:dyDescent="0.25">
      <c r="C1769" s="9"/>
      <c r="D1769" s="10">
        <v>45688</v>
      </c>
      <c r="E1769" t="s">
        <v>3231</v>
      </c>
      <c r="F1769" s="11" t="s">
        <v>3232</v>
      </c>
      <c r="G1769" s="8">
        <v>49.77</v>
      </c>
      <c r="H1769" s="8">
        <v>0</v>
      </c>
      <c r="I1769" s="8">
        <f t="shared" si="90"/>
        <v>1017.6799999999998</v>
      </c>
      <c r="J1769" s="12"/>
    </row>
    <row r="1770" spans="1:10" x14ac:dyDescent="0.25">
      <c r="C1770" s="9"/>
      <c r="D1770" s="10">
        <v>45702</v>
      </c>
      <c r="E1770" t="s">
        <v>3233</v>
      </c>
      <c r="F1770" s="11" t="s">
        <v>3234</v>
      </c>
      <c r="G1770" s="8">
        <v>59.73</v>
      </c>
      <c r="H1770" s="8">
        <v>0</v>
      </c>
      <c r="I1770" s="8">
        <f t="shared" si="90"/>
        <v>1077.4099999999999</v>
      </c>
      <c r="J1770" s="12"/>
    </row>
    <row r="1771" spans="1:10" x14ac:dyDescent="0.25">
      <c r="C1771" s="9"/>
      <c r="D1771" s="10">
        <v>45709</v>
      </c>
      <c r="E1771" t="s">
        <v>1524</v>
      </c>
      <c r="F1771" s="11" t="s">
        <v>3235</v>
      </c>
      <c r="G1771" s="8">
        <v>0</v>
      </c>
      <c r="H1771" s="8">
        <v>49.16</v>
      </c>
      <c r="I1771" s="8">
        <f t="shared" si="90"/>
        <v>1028.2499999999998</v>
      </c>
      <c r="J1771" s="12"/>
    </row>
    <row r="1772" spans="1:10" x14ac:dyDescent="0.25">
      <c r="C1772" s="9"/>
      <c r="D1772" s="10">
        <v>45709</v>
      </c>
      <c r="E1772" t="s">
        <v>1524</v>
      </c>
      <c r="F1772" s="11" t="s">
        <v>3236</v>
      </c>
      <c r="G1772" s="8">
        <v>0</v>
      </c>
      <c r="H1772" s="8">
        <v>720.12</v>
      </c>
      <c r="I1772" s="8">
        <f t="shared" si="90"/>
        <v>308.12999999999977</v>
      </c>
      <c r="J1772" s="12"/>
    </row>
    <row r="1773" spans="1:10" x14ac:dyDescent="0.25">
      <c r="C1773" s="9"/>
      <c r="D1773" s="10">
        <v>45716</v>
      </c>
      <c r="E1773" t="s">
        <v>3237</v>
      </c>
      <c r="F1773" s="11" t="s">
        <v>3238</v>
      </c>
      <c r="G1773" s="8">
        <v>110.13</v>
      </c>
      <c r="H1773" s="8">
        <v>0</v>
      </c>
      <c r="I1773" s="8">
        <f t="shared" si="90"/>
        <v>418.25999999999976</v>
      </c>
      <c r="J1773" s="12"/>
    </row>
    <row r="1774" spans="1:10" x14ac:dyDescent="0.25">
      <c r="C1774" s="9"/>
      <c r="D1774" s="10">
        <v>45730</v>
      </c>
      <c r="E1774" t="s">
        <v>3239</v>
      </c>
      <c r="F1774" s="11" t="s">
        <v>3240</v>
      </c>
      <c r="G1774" s="8">
        <v>220.39</v>
      </c>
      <c r="H1774" s="8">
        <v>0</v>
      </c>
      <c r="I1774" s="8">
        <f t="shared" si="90"/>
        <v>638.64999999999975</v>
      </c>
      <c r="J1774" s="12"/>
    </row>
    <row r="1775" spans="1:10" x14ac:dyDescent="0.25">
      <c r="C1775" s="9"/>
      <c r="D1775" s="10">
        <v>45737</v>
      </c>
      <c r="E1775" t="s">
        <v>1524</v>
      </c>
      <c r="F1775" s="11" t="s">
        <v>3241</v>
      </c>
      <c r="G1775" s="8">
        <v>0</v>
      </c>
      <c r="H1775" s="8">
        <v>51.56</v>
      </c>
      <c r="I1775" s="8">
        <f t="shared" si="90"/>
        <v>587.08999999999969</v>
      </c>
      <c r="J1775" s="12"/>
    </row>
    <row r="1776" spans="1:10" x14ac:dyDescent="0.25">
      <c r="C1776" s="9"/>
      <c r="D1776" s="10">
        <v>45737</v>
      </c>
      <c r="E1776" t="s">
        <v>1524</v>
      </c>
      <c r="F1776" s="11" t="s">
        <v>3242</v>
      </c>
      <c r="G1776" s="8">
        <v>0</v>
      </c>
      <c r="H1776" s="8">
        <v>21.02</v>
      </c>
      <c r="I1776" s="8">
        <f t="shared" si="90"/>
        <v>566.06999999999971</v>
      </c>
      <c r="J1776" s="12"/>
    </row>
    <row r="1777" spans="1:10" x14ac:dyDescent="0.25">
      <c r="C1777" s="9"/>
      <c r="D1777" s="10">
        <v>45737</v>
      </c>
      <c r="E1777" t="s">
        <v>1524</v>
      </c>
      <c r="F1777" s="11" t="s">
        <v>3228</v>
      </c>
      <c r="G1777" s="8">
        <v>0</v>
      </c>
      <c r="H1777" s="8">
        <v>94.55</v>
      </c>
      <c r="I1777" s="8">
        <f t="shared" si="90"/>
        <v>471.5199999999997</v>
      </c>
      <c r="J1777" s="12"/>
    </row>
    <row r="1778" spans="1:10" x14ac:dyDescent="0.25">
      <c r="C1778" s="9"/>
      <c r="D1778" s="10">
        <v>45737</v>
      </c>
      <c r="E1778" t="s">
        <v>1524</v>
      </c>
      <c r="F1778" s="11" t="s">
        <v>3232</v>
      </c>
      <c r="G1778" s="8">
        <v>0</v>
      </c>
      <c r="H1778" s="8">
        <v>49.77</v>
      </c>
      <c r="I1778" s="8">
        <f t="shared" si="90"/>
        <v>421.74999999999972</v>
      </c>
      <c r="J1778" s="12"/>
    </row>
    <row r="1779" spans="1:10" x14ac:dyDescent="0.25">
      <c r="C1779" s="9"/>
      <c r="D1779" s="10">
        <v>45747</v>
      </c>
      <c r="E1779" t="s">
        <v>3243</v>
      </c>
      <c r="F1779" s="11" t="s">
        <v>3244</v>
      </c>
      <c r="G1779" s="8">
        <v>165.43</v>
      </c>
      <c r="H1779" s="8">
        <v>0</v>
      </c>
      <c r="I1779" s="8">
        <f t="shared" si="90"/>
        <v>587.17999999999972</v>
      </c>
      <c r="J1779" s="12"/>
    </row>
    <row r="1780" spans="1:10" x14ac:dyDescent="0.25">
      <c r="E1780" s="4" t="s">
        <v>20</v>
      </c>
      <c r="G1780" s="8">
        <f>SUM(G1765:G1779)</f>
        <v>1767.5599999999997</v>
      </c>
      <c r="H1780" s="8">
        <f>SUM(H1765:H1779)</f>
        <v>1180.3799999999999</v>
      </c>
      <c r="I1780" s="8">
        <f>G1780-H1780</f>
        <v>587.17999999999984</v>
      </c>
    </row>
    <row r="1782" spans="1:10" x14ac:dyDescent="0.25">
      <c r="A1782" s="5">
        <v>4302755</v>
      </c>
      <c r="B1782" s="6" t="s">
        <v>812</v>
      </c>
      <c r="C1782" s="7"/>
      <c r="D1782" s="7"/>
      <c r="E1782" s="7"/>
      <c r="F1782" s="7"/>
      <c r="G1782" s="7"/>
      <c r="H1782" s="7"/>
      <c r="I1782" s="7"/>
      <c r="J1782" s="7"/>
    </row>
    <row r="1783" spans="1:10" x14ac:dyDescent="0.25">
      <c r="E1783" s="4" t="s">
        <v>10</v>
      </c>
      <c r="G1783" s="8">
        <v>23.81</v>
      </c>
      <c r="H1783" s="8">
        <v>0</v>
      </c>
      <c r="I1783" s="8">
        <f>G1783-H1783</f>
        <v>23.81</v>
      </c>
    </row>
    <row r="1784" spans="1:10" x14ac:dyDescent="0.25">
      <c r="E1784" s="4" t="s">
        <v>20</v>
      </c>
      <c r="G1784" s="8">
        <f>G1783</f>
        <v>23.81</v>
      </c>
      <c r="H1784" s="8">
        <f>H1783</f>
        <v>0</v>
      </c>
      <c r="I1784" s="8">
        <f>G1784-H1784</f>
        <v>23.81</v>
      </c>
    </row>
    <row r="1786" spans="1:10" x14ac:dyDescent="0.25">
      <c r="A1786" s="5">
        <v>4302795</v>
      </c>
      <c r="B1786" s="6" t="s">
        <v>3245</v>
      </c>
      <c r="C1786" s="7"/>
      <c r="D1786" s="7"/>
      <c r="E1786" s="7"/>
      <c r="F1786" s="7"/>
      <c r="G1786" s="7"/>
      <c r="H1786" s="7"/>
      <c r="I1786" s="7"/>
      <c r="J1786" s="7"/>
    </row>
    <row r="1787" spans="1:10" x14ac:dyDescent="0.25">
      <c r="E1787" s="4" t="s">
        <v>10</v>
      </c>
      <c r="G1787" s="8">
        <v>7.31</v>
      </c>
      <c r="H1787" s="8">
        <v>0</v>
      </c>
      <c r="I1787" s="8">
        <f>G1787-H1787</f>
        <v>7.31</v>
      </c>
    </row>
    <row r="1788" spans="1:10" x14ac:dyDescent="0.25">
      <c r="E1788" s="4" t="s">
        <v>20</v>
      </c>
      <c r="G1788" s="8">
        <f>G1787</f>
        <v>7.31</v>
      </c>
      <c r="H1788" s="8">
        <f>H1787</f>
        <v>0</v>
      </c>
      <c r="I1788" s="8">
        <f>G1788-H1788</f>
        <v>7.31</v>
      </c>
    </row>
    <row r="1790" spans="1:10" x14ac:dyDescent="0.25">
      <c r="A1790" s="5">
        <v>4302840</v>
      </c>
      <c r="B1790" s="6" t="s">
        <v>3246</v>
      </c>
      <c r="C1790" s="7"/>
      <c r="D1790" s="7"/>
      <c r="E1790" s="7"/>
      <c r="F1790" s="7"/>
      <c r="G1790" s="7"/>
      <c r="H1790" s="7"/>
      <c r="I1790" s="7"/>
      <c r="J1790" s="7"/>
    </row>
    <row r="1791" spans="1:10" x14ac:dyDescent="0.25">
      <c r="E1791" s="4" t="s">
        <v>10</v>
      </c>
      <c r="G1791" s="8">
        <v>75.38</v>
      </c>
      <c r="H1791" s="8">
        <v>0</v>
      </c>
      <c r="I1791" s="8">
        <f>G1791-H1791</f>
        <v>75.38</v>
      </c>
    </row>
    <row r="1792" spans="1:10" x14ac:dyDescent="0.25">
      <c r="C1792" s="9"/>
      <c r="D1792" s="10">
        <v>45660</v>
      </c>
      <c r="E1792" t="s">
        <v>1524</v>
      </c>
      <c r="F1792" s="11" t="s">
        <v>3247</v>
      </c>
      <c r="G1792" s="8">
        <v>0</v>
      </c>
      <c r="H1792" s="8">
        <v>75.38</v>
      </c>
      <c r="I1792" s="8">
        <f t="shared" ref="I1792:I1801" si="91">G1792-H1792+I1791</f>
        <v>0</v>
      </c>
      <c r="J1792" s="12"/>
    </row>
    <row r="1793" spans="1:10" x14ac:dyDescent="0.25">
      <c r="C1793" s="9"/>
      <c r="D1793" s="10">
        <v>45671</v>
      </c>
      <c r="E1793" t="s">
        <v>3248</v>
      </c>
      <c r="F1793" s="11" t="s">
        <v>3249</v>
      </c>
      <c r="G1793" s="8">
        <v>114.51</v>
      </c>
      <c r="H1793" s="8">
        <v>0</v>
      </c>
      <c r="I1793" s="8">
        <f t="shared" si="91"/>
        <v>114.51</v>
      </c>
      <c r="J1793" s="12"/>
    </row>
    <row r="1794" spans="1:10" x14ac:dyDescent="0.25">
      <c r="C1794" s="9"/>
      <c r="D1794" s="10">
        <v>45672</v>
      </c>
      <c r="E1794" t="s">
        <v>1524</v>
      </c>
      <c r="F1794" s="11" t="s">
        <v>3249</v>
      </c>
      <c r="G1794" s="8">
        <v>0</v>
      </c>
      <c r="H1794" s="8">
        <v>114.51</v>
      </c>
      <c r="I1794" s="8">
        <f t="shared" si="91"/>
        <v>0</v>
      </c>
      <c r="J1794" s="12"/>
    </row>
    <row r="1795" spans="1:10" x14ac:dyDescent="0.25">
      <c r="C1795" s="9"/>
      <c r="D1795" s="10">
        <v>45716</v>
      </c>
      <c r="E1795" t="s">
        <v>3250</v>
      </c>
      <c r="F1795" s="11" t="s">
        <v>3251</v>
      </c>
      <c r="G1795" s="8">
        <v>150.26</v>
      </c>
      <c r="H1795" s="8">
        <v>0</v>
      </c>
      <c r="I1795" s="8">
        <f t="shared" si="91"/>
        <v>150.26</v>
      </c>
      <c r="J1795" s="12"/>
    </row>
    <row r="1796" spans="1:10" x14ac:dyDescent="0.25">
      <c r="C1796" s="9"/>
      <c r="D1796" s="10">
        <v>45720</v>
      </c>
      <c r="E1796" t="s">
        <v>1524</v>
      </c>
      <c r="F1796" s="11" t="s">
        <v>3251</v>
      </c>
      <c r="G1796" s="8">
        <v>0</v>
      </c>
      <c r="H1796" s="8">
        <v>150.26</v>
      </c>
      <c r="I1796" s="8">
        <f t="shared" si="91"/>
        <v>0</v>
      </c>
      <c r="J1796" s="12"/>
    </row>
    <row r="1797" spans="1:10" x14ac:dyDescent="0.25">
      <c r="C1797" s="9"/>
      <c r="D1797" s="10">
        <v>45730</v>
      </c>
      <c r="E1797" t="s">
        <v>3252</v>
      </c>
      <c r="F1797" s="11" t="s">
        <v>3253</v>
      </c>
      <c r="G1797" s="8">
        <v>84.34</v>
      </c>
      <c r="H1797" s="8">
        <v>0</v>
      </c>
      <c r="I1797" s="8">
        <f t="shared" si="91"/>
        <v>84.34</v>
      </c>
      <c r="J1797" s="12"/>
    </row>
    <row r="1798" spans="1:10" x14ac:dyDescent="0.25">
      <c r="C1798" s="9"/>
      <c r="D1798" s="10">
        <v>45733</v>
      </c>
      <c r="E1798" t="s">
        <v>1524</v>
      </c>
      <c r="F1798" s="11" t="s">
        <v>3253</v>
      </c>
      <c r="G1798" s="8">
        <v>0</v>
      </c>
      <c r="H1798" s="8">
        <v>84.34</v>
      </c>
      <c r="I1798" s="8">
        <f t="shared" si="91"/>
        <v>0</v>
      </c>
      <c r="J1798" s="12"/>
    </row>
    <row r="1799" spans="1:10" x14ac:dyDescent="0.25">
      <c r="C1799" s="9"/>
      <c r="D1799" s="10">
        <v>45747</v>
      </c>
      <c r="E1799" t="s">
        <v>3254</v>
      </c>
      <c r="F1799" s="11" t="s">
        <v>3255</v>
      </c>
      <c r="G1799" s="8">
        <v>400.46</v>
      </c>
      <c r="H1799" s="8">
        <v>0</v>
      </c>
      <c r="I1799" s="8">
        <f t="shared" si="91"/>
        <v>400.46</v>
      </c>
      <c r="J1799" s="12"/>
    </row>
    <row r="1800" spans="1:10" x14ac:dyDescent="0.25">
      <c r="C1800" s="9"/>
      <c r="D1800" s="10">
        <v>45748</v>
      </c>
      <c r="E1800" t="s">
        <v>1524</v>
      </c>
      <c r="F1800" s="11" t="s">
        <v>3255</v>
      </c>
      <c r="G1800" s="8">
        <v>0</v>
      </c>
      <c r="H1800" s="8">
        <v>400.46</v>
      </c>
      <c r="I1800" s="8">
        <f t="shared" si="91"/>
        <v>0</v>
      </c>
      <c r="J1800" s="12"/>
    </row>
    <row r="1801" spans="1:10" x14ac:dyDescent="0.25">
      <c r="C1801" s="9"/>
      <c r="D1801" s="10">
        <v>45762</v>
      </c>
      <c r="E1801" t="s">
        <v>3256</v>
      </c>
      <c r="F1801" s="11" t="s">
        <v>42</v>
      </c>
      <c r="G1801" s="8">
        <v>0</v>
      </c>
      <c r="H1801" s="8">
        <v>322.32</v>
      </c>
      <c r="I1801" s="8">
        <f t="shared" si="91"/>
        <v>-322.32</v>
      </c>
      <c r="J1801" s="12"/>
    </row>
    <row r="1802" spans="1:10" x14ac:dyDescent="0.25">
      <c r="E1802" s="4" t="s">
        <v>20</v>
      </c>
      <c r="G1802" s="8">
        <f>SUM(G1791:G1801)</f>
        <v>824.95</v>
      </c>
      <c r="H1802" s="8">
        <f>SUM(H1791:H1801)</f>
        <v>1147.27</v>
      </c>
      <c r="I1802" s="8">
        <f>G1802-H1802</f>
        <v>-322.31999999999994</v>
      </c>
    </row>
    <row r="1804" spans="1:10" x14ac:dyDescent="0.25">
      <c r="A1804" s="5">
        <v>4302855</v>
      </c>
      <c r="B1804" s="6" t="s">
        <v>3257</v>
      </c>
      <c r="C1804" s="7"/>
      <c r="D1804" s="7"/>
      <c r="E1804" s="7"/>
      <c r="F1804" s="7"/>
      <c r="G1804" s="7"/>
      <c r="H1804" s="7"/>
      <c r="I1804" s="7"/>
      <c r="J1804" s="7"/>
    </row>
    <row r="1805" spans="1:10" x14ac:dyDescent="0.25">
      <c r="C1805" s="9"/>
      <c r="D1805" s="10">
        <v>45671</v>
      </c>
      <c r="E1805" t="s">
        <v>3258</v>
      </c>
      <c r="F1805" s="11" t="s">
        <v>3259</v>
      </c>
      <c r="G1805" s="8">
        <v>43.56</v>
      </c>
      <c r="H1805" s="8">
        <v>0</v>
      </c>
      <c r="I1805" s="8">
        <f>G1805-H1805</f>
        <v>43.56</v>
      </c>
      <c r="J1805" s="12"/>
    </row>
    <row r="1806" spans="1:10" x14ac:dyDescent="0.25">
      <c r="C1806" s="9"/>
      <c r="D1806" s="10">
        <v>45672</v>
      </c>
      <c r="E1806" t="s">
        <v>1524</v>
      </c>
      <c r="F1806" s="11" t="s">
        <v>3259</v>
      </c>
      <c r="G1806" s="8">
        <v>0</v>
      </c>
      <c r="H1806" s="8">
        <v>43.56</v>
      </c>
      <c r="I1806" s="8">
        <f>G1806-H1806+I1805</f>
        <v>0</v>
      </c>
      <c r="J1806" s="12"/>
    </row>
    <row r="1807" spans="1:10" x14ac:dyDescent="0.25">
      <c r="C1807" s="9"/>
      <c r="D1807" s="10">
        <v>45727</v>
      </c>
      <c r="E1807" t="s">
        <v>3260</v>
      </c>
      <c r="F1807" s="11" t="s">
        <v>42</v>
      </c>
      <c r="G1807" s="8">
        <v>92.15</v>
      </c>
      <c r="H1807" s="8">
        <v>0</v>
      </c>
      <c r="I1807" s="8">
        <f>G1807-H1807+I1806</f>
        <v>92.15</v>
      </c>
      <c r="J1807" s="12"/>
    </row>
    <row r="1808" spans="1:10" x14ac:dyDescent="0.25">
      <c r="E1808" s="4" t="s">
        <v>20</v>
      </c>
      <c r="G1808" s="8">
        <f>SUM(G1805:G1807)</f>
        <v>135.71</v>
      </c>
      <c r="H1808" s="8">
        <f>SUM(H1805:H1807)</f>
        <v>43.56</v>
      </c>
      <c r="I1808" s="8">
        <f>G1808-H1808</f>
        <v>92.15</v>
      </c>
    </row>
    <row r="1810" spans="1:10" x14ac:dyDescent="0.25">
      <c r="A1810" s="5">
        <v>4302860</v>
      </c>
      <c r="B1810" s="6" t="s">
        <v>3261</v>
      </c>
      <c r="C1810" s="7"/>
      <c r="D1810" s="7"/>
      <c r="E1810" s="7"/>
      <c r="F1810" s="7"/>
      <c r="G1810" s="7"/>
      <c r="H1810" s="7"/>
      <c r="I1810" s="7"/>
      <c r="J1810" s="7"/>
    </row>
    <row r="1811" spans="1:10" x14ac:dyDescent="0.25">
      <c r="E1811" s="4" t="s">
        <v>10</v>
      </c>
      <c r="G1811" s="8">
        <v>12.13</v>
      </c>
      <c r="H1811" s="8">
        <v>0</v>
      </c>
      <c r="I1811" s="8">
        <f>G1811-H1811</f>
        <v>12.13</v>
      </c>
    </row>
    <row r="1812" spans="1:10" x14ac:dyDescent="0.25">
      <c r="C1812" s="9"/>
      <c r="D1812" s="10">
        <v>45688</v>
      </c>
      <c r="E1812" t="s">
        <v>3262</v>
      </c>
      <c r="F1812" s="11" t="s">
        <v>3263</v>
      </c>
      <c r="G1812" s="8">
        <v>387.64</v>
      </c>
      <c r="H1812" s="8">
        <v>0</v>
      </c>
      <c r="I1812" s="8">
        <f>G1812-H1812+I1811</f>
        <v>399.77</v>
      </c>
      <c r="J1812" s="12"/>
    </row>
    <row r="1813" spans="1:10" x14ac:dyDescent="0.25">
      <c r="C1813" s="9"/>
      <c r="D1813" s="10">
        <v>45695</v>
      </c>
      <c r="E1813" t="s">
        <v>1817</v>
      </c>
      <c r="F1813" s="11" t="s">
        <v>42</v>
      </c>
      <c r="G1813" s="8">
        <v>0</v>
      </c>
      <c r="H1813" s="8">
        <v>380.07</v>
      </c>
      <c r="I1813" s="8">
        <f>G1813-H1813+I1812</f>
        <v>19.699999999999989</v>
      </c>
      <c r="J1813" s="12"/>
    </row>
    <row r="1814" spans="1:10" x14ac:dyDescent="0.25">
      <c r="C1814" s="9"/>
      <c r="D1814" s="10">
        <v>45730</v>
      </c>
      <c r="E1814" t="s">
        <v>3264</v>
      </c>
      <c r="F1814" s="11" t="s">
        <v>3265</v>
      </c>
      <c r="G1814" s="8">
        <v>385.39</v>
      </c>
      <c r="H1814" s="8">
        <v>0</v>
      </c>
      <c r="I1814" s="8">
        <f>G1814-H1814+I1813</f>
        <v>405.09</v>
      </c>
      <c r="J1814" s="12"/>
    </row>
    <row r="1815" spans="1:10" x14ac:dyDescent="0.25">
      <c r="C1815" s="9"/>
      <c r="D1815" s="10">
        <v>45762</v>
      </c>
      <c r="E1815" t="s">
        <v>1817</v>
      </c>
      <c r="F1815" s="11" t="s">
        <v>42</v>
      </c>
      <c r="G1815" s="8">
        <v>0</v>
      </c>
      <c r="H1815" s="8">
        <v>380.13</v>
      </c>
      <c r="I1815" s="8">
        <f>G1815-H1815+I1814</f>
        <v>24.95999999999998</v>
      </c>
      <c r="J1815" s="12"/>
    </row>
    <row r="1816" spans="1:10" x14ac:dyDescent="0.25">
      <c r="E1816" s="4" t="s">
        <v>20</v>
      </c>
      <c r="G1816" s="8">
        <f>SUM(G1811:G1815)</f>
        <v>785.16</v>
      </c>
      <c r="H1816" s="8">
        <f>SUM(H1811:H1815)</f>
        <v>760.2</v>
      </c>
      <c r="I1816" s="8">
        <f>G1816-H1816</f>
        <v>24.959999999999923</v>
      </c>
    </row>
    <row r="1818" spans="1:10" x14ac:dyDescent="0.25">
      <c r="A1818" s="5">
        <v>4302865</v>
      </c>
      <c r="B1818" s="6" t="s">
        <v>3266</v>
      </c>
      <c r="C1818" s="7"/>
      <c r="D1818" s="7"/>
      <c r="E1818" s="7"/>
      <c r="F1818" s="7"/>
      <c r="G1818" s="7"/>
      <c r="H1818" s="7"/>
      <c r="I1818" s="7"/>
      <c r="J1818" s="7"/>
    </row>
    <row r="1819" spans="1:10" x14ac:dyDescent="0.25">
      <c r="C1819" s="9"/>
      <c r="D1819" s="10">
        <v>45688</v>
      </c>
      <c r="E1819" t="s">
        <v>3267</v>
      </c>
      <c r="F1819" s="11" t="s">
        <v>3268</v>
      </c>
      <c r="G1819" s="8">
        <v>36.29</v>
      </c>
      <c r="H1819" s="8">
        <v>0</v>
      </c>
      <c r="I1819" s="8">
        <f>G1819-H1819</f>
        <v>36.29</v>
      </c>
      <c r="J1819" s="12"/>
    </row>
    <row r="1820" spans="1:10" x14ac:dyDescent="0.25">
      <c r="C1820" s="9"/>
      <c r="D1820" s="10">
        <v>45716</v>
      </c>
      <c r="E1820" t="s">
        <v>3269</v>
      </c>
      <c r="F1820" s="11" t="s">
        <v>3270</v>
      </c>
      <c r="G1820" s="8">
        <v>152.16</v>
      </c>
      <c r="H1820" s="8">
        <v>0</v>
      </c>
      <c r="I1820" s="8">
        <f>G1820-H1820+I1819</f>
        <v>188.45</v>
      </c>
      <c r="J1820" s="12"/>
    </row>
    <row r="1821" spans="1:10" x14ac:dyDescent="0.25">
      <c r="C1821" s="9"/>
      <c r="D1821" s="10">
        <v>45742</v>
      </c>
      <c r="E1821" t="s">
        <v>1524</v>
      </c>
      <c r="F1821" s="11" t="s">
        <v>3268</v>
      </c>
      <c r="G1821" s="8">
        <v>0</v>
      </c>
      <c r="H1821" s="8">
        <v>36.29</v>
      </c>
      <c r="I1821" s="8">
        <f>G1821-H1821+I1820</f>
        <v>152.16</v>
      </c>
      <c r="J1821" s="12"/>
    </row>
    <row r="1822" spans="1:10" x14ac:dyDescent="0.25">
      <c r="E1822" s="4" t="s">
        <v>20</v>
      </c>
      <c r="G1822" s="8">
        <f>SUM(G1819:G1821)</f>
        <v>188.45</v>
      </c>
      <c r="H1822" s="8">
        <f>SUM(H1819:H1821)</f>
        <v>36.29</v>
      </c>
      <c r="I1822" s="8">
        <f>G1822-H1822</f>
        <v>152.16</v>
      </c>
    </row>
    <row r="1824" spans="1:10" x14ac:dyDescent="0.25">
      <c r="A1824" s="5">
        <v>4302940</v>
      </c>
      <c r="B1824" s="6" t="s">
        <v>3271</v>
      </c>
      <c r="C1824" s="7"/>
      <c r="D1824" s="7"/>
      <c r="E1824" s="7"/>
      <c r="F1824" s="7"/>
      <c r="G1824" s="7"/>
      <c r="H1824" s="7"/>
      <c r="I1824" s="7"/>
      <c r="J1824" s="7"/>
    </row>
    <row r="1825" spans="1:10" x14ac:dyDescent="0.25">
      <c r="E1825" s="4" t="s">
        <v>10</v>
      </c>
      <c r="G1825" s="8">
        <v>472.6</v>
      </c>
      <c r="H1825" s="8">
        <v>0</v>
      </c>
      <c r="I1825" s="8">
        <f>G1825-H1825</f>
        <v>472.6</v>
      </c>
    </row>
    <row r="1826" spans="1:10" x14ac:dyDescent="0.25">
      <c r="C1826" s="9"/>
      <c r="D1826" s="10">
        <v>45688</v>
      </c>
      <c r="E1826" t="s">
        <v>3272</v>
      </c>
      <c r="F1826" s="11" t="s">
        <v>3273</v>
      </c>
      <c r="G1826" s="8">
        <v>55.99</v>
      </c>
      <c r="H1826" s="8">
        <v>0</v>
      </c>
      <c r="I1826" s="8">
        <f t="shared" ref="I1826:I1832" si="92">G1826-H1826+I1825</f>
        <v>528.59</v>
      </c>
      <c r="J1826" s="12"/>
    </row>
    <row r="1827" spans="1:10" x14ac:dyDescent="0.25">
      <c r="C1827" s="9"/>
      <c r="D1827" s="10">
        <v>45699</v>
      </c>
      <c r="E1827" t="s">
        <v>3274</v>
      </c>
      <c r="F1827" s="11" t="s">
        <v>42</v>
      </c>
      <c r="G1827" s="8">
        <v>0</v>
      </c>
      <c r="H1827" s="8">
        <v>241.78</v>
      </c>
      <c r="I1827" s="8">
        <f t="shared" si="92"/>
        <v>286.81000000000006</v>
      </c>
      <c r="J1827" s="12"/>
    </row>
    <row r="1828" spans="1:10" x14ac:dyDescent="0.25">
      <c r="C1828" s="9"/>
      <c r="D1828" s="10">
        <v>45702</v>
      </c>
      <c r="E1828" t="s">
        <v>3275</v>
      </c>
      <c r="F1828" s="11" t="s">
        <v>3276</v>
      </c>
      <c r="G1828" s="8">
        <v>93.34</v>
      </c>
      <c r="H1828" s="8">
        <v>0</v>
      </c>
      <c r="I1828" s="8">
        <f t="shared" si="92"/>
        <v>380.15000000000009</v>
      </c>
      <c r="J1828" s="12"/>
    </row>
    <row r="1829" spans="1:10" x14ac:dyDescent="0.25">
      <c r="C1829" s="9"/>
      <c r="D1829" s="10">
        <v>45716</v>
      </c>
      <c r="E1829" t="s">
        <v>3277</v>
      </c>
      <c r="F1829" s="11" t="s">
        <v>3278</v>
      </c>
      <c r="G1829" s="8">
        <v>77.25</v>
      </c>
      <c r="H1829" s="8">
        <v>0</v>
      </c>
      <c r="I1829" s="8">
        <f t="shared" si="92"/>
        <v>457.40000000000009</v>
      </c>
      <c r="J1829" s="12"/>
    </row>
    <row r="1830" spans="1:10" x14ac:dyDescent="0.25">
      <c r="C1830" s="9"/>
      <c r="D1830" s="10">
        <v>45736</v>
      </c>
      <c r="E1830" t="s">
        <v>1524</v>
      </c>
      <c r="F1830" s="11" t="s">
        <v>3279</v>
      </c>
      <c r="G1830" s="8">
        <v>0</v>
      </c>
      <c r="H1830" s="8">
        <v>149.33000000000001</v>
      </c>
      <c r="I1830" s="8">
        <f t="shared" si="92"/>
        <v>308.07000000000005</v>
      </c>
      <c r="J1830" s="12"/>
    </row>
    <row r="1831" spans="1:10" x14ac:dyDescent="0.25">
      <c r="C1831" s="9"/>
      <c r="D1831" s="10">
        <v>45740</v>
      </c>
      <c r="E1831" t="s">
        <v>3274</v>
      </c>
      <c r="F1831" s="11" t="s">
        <v>42</v>
      </c>
      <c r="G1831" s="8">
        <v>0</v>
      </c>
      <c r="H1831" s="8">
        <v>308.07</v>
      </c>
      <c r="I1831" s="8">
        <f t="shared" si="92"/>
        <v>0</v>
      </c>
      <c r="J1831" s="12"/>
    </row>
    <row r="1832" spans="1:10" x14ac:dyDescent="0.25">
      <c r="C1832" s="9"/>
      <c r="D1832" s="10">
        <v>45747</v>
      </c>
      <c r="E1832" t="s">
        <v>3280</v>
      </c>
      <c r="F1832" s="11" t="s">
        <v>3281</v>
      </c>
      <c r="G1832" s="8">
        <v>52.94</v>
      </c>
      <c r="H1832" s="8">
        <v>0</v>
      </c>
      <c r="I1832" s="8">
        <f t="shared" si="92"/>
        <v>52.94</v>
      </c>
      <c r="J1832" s="12"/>
    </row>
    <row r="1833" spans="1:10" x14ac:dyDescent="0.25">
      <c r="E1833" s="4" t="s">
        <v>20</v>
      </c>
      <c r="G1833" s="8">
        <f>SUM(G1825:G1832)</f>
        <v>752.12000000000012</v>
      </c>
      <c r="H1833" s="8">
        <f>SUM(H1825:H1832)</f>
        <v>699.18000000000006</v>
      </c>
      <c r="I1833" s="8">
        <f>G1833-H1833</f>
        <v>52.940000000000055</v>
      </c>
    </row>
    <row r="1835" spans="1:10" x14ac:dyDescent="0.25">
      <c r="A1835" s="5">
        <v>4302955</v>
      </c>
      <c r="B1835" s="6" t="s">
        <v>3282</v>
      </c>
      <c r="C1835" s="7"/>
      <c r="D1835" s="7"/>
      <c r="E1835" s="7"/>
      <c r="F1835" s="7"/>
      <c r="G1835" s="7"/>
      <c r="H1835" s="7"/>
      <c r="I1835" s="7"/>
      <c r="J1835" s="7"/>
    </row>
    <row r="1836" spans="1:10" x14ac:dyDescent="0.25">
      <c r="E1836" s="4" t="s">
        <v>10</v>
      </c>
      <c r="G1836" s="8">
        <v>28.08</v>
      </c>
      <c r="H1836" s="8">
        <v>0</v>
      </c>
      <c r="I1836" s="8">
        <f>G1836-H1836</f>
        <v>28.08</v>
      </c>
    </row>
    <row r="1837" spans="1:10" x14ac:dyDescent="0.25">
      <c r="C1837" s="9"/>
      <c r="D1837" s="10">
        <v>45716</v>
      </c>
      <c r="E1837" t="s">
        <v>3283</v>
      </c>
      <c r="F1837" s="11" t="s">
        <v>3284</v>
      </c>
      <c r="G1837" s="8">
        <v>60.34</v>
      </c>
      <c r="H1837" s="8">
        <v>0</v>
      </c>
      <c r="I1837" s="8">
        <f>G1837-H1837+I1836</f>
        <v>88.42</v>
      </c>
      <c r="J1837" s="12"/>
    </row>
    <row r="1838" spans="1:10" x14ac:dyDescent="0.25">
      <c r="C1838" s="9"/>
      <c r="D1838" s="10">
        <v>45720</v>
      </c>
      <c r="E1838" t="s">
        <v>1524</v>
      </c>
      <c r="F1838" s="11" t="s">
        <v>3284</v>
      </c>
      <c r="G1838" s="8">
        <v>0</v>
      </c>
      <c r="H1838" s="8">
        <v>60.34</v>
      </c>
      <c r="I1838" s="8">
        <f>G1838-H1838+I1837</f>
        <v>28.08</v>
      </c>
      <c r="J1838" s="12"/>
    </row>
    <row r="1839" spans="1:10" x14ac:dyDescent="0.25">
      <c r="E1839" s="4" t="s">
        <v>20</v>
      </c>
      <c r="G1839" s="8">
        <f>SUM(G1836:G1838)</f>
        <v>88.42</v>
      </c>
      <c r="H1839" s="8">
        <f>SUM(H1836:H1838)</f>
        <v>60.34</v>
      </c>
      <c r="I1839" s="8">
        <f>G1839-H1839</f>
        <v>28.08</v>
      </c>
    </row>
    <row r="1841" spans="1:10" x14ac:dyDescent="0.25">
      <c r="A1841" s="5">
        <v>4302980</v>
      </c>
      <c r="B1841" s="6" t="s">
        <v>3285</v>
      </c>
      <c r="C1841" s="7"/>
      <c r="D1841" s="7"/>
      <c r="E1841" s="7"/>
      <c r="F1841" s="7"/>
      <c r="G1841" s="7"/>
      <c r="H1841" s="7"/>
      <c r="I1841" s="7"/>
      <c r="J1841" s="7"/>
    </row>
    <row r="1842" spans="1:10" x14ac:dyDescent="0.25">
      <c r="E1842" s="4" t="s">
        <v>10</v>
      </c>
      <c r="G1842" s="8">
        <v>6.45</v>
      </c>
      <c r="H1842" s="8">
        <v>0</v>
      </c>
      <c r="I1842" s="8">
        <f>G1842-H1842</f>
        <v>6.45</v>
      </c>
    </row>
    <row r="1843" spans="1:10" x14ac:dyDescent="0.25">
      <c r="C1843" s="9"/>
      <c r="D1843" s="10">
        <v>45702</v>
      </c>
      <c r="E1843" t="s">
        <v>3286</v>
      </c>
      <c r="F1843" s="11" t="s">
        <v>3287</v>
      </c>
      <c r="G1843" s="8">
        <v>125.21</v>
      </c>
      <c r="H1843" s="8">
        <v>0</v>
      </c>
      <c r="I1843" s="8">
        <f t="shared" ref="I1843:I1849" si="93">G1843-H1843+I1842</f>
        <v>131.66</v>
      </c>
      <c r="J1843" s="12"/>
    </row>
    <row r="1844" spans="1:10" x14ac:dyDescent="0.25">
      <c r="C1844" s="9"/>
      <c r="D1844" s="10">
        <v>45705</v>
      </c>
      <c r="E1844" t="s">
        <v>3288</v>
      </c>
      <c r="F1844" s="11" t="s">
        <v>42</v>
      </c>
      <c r="G1844" s="8">
        <v>0</v>
      </c>
      <c r="H1844" s="8">
        <v>125.21</v>
      </c>
      <c r="I1844" s="8">
        <f t="shared" si="93"/>
        <v>6.4500000000000028</v>
      </c>
      <c r="J1844" s="12"/>
    </row>
    <row r="1845" spans="1:10" x14ac:dyDescent="0.25">
      <c r="C1845" s="9"/>
      <c r="D1845" s="10">
        <v>45716</v>
      </c>
      <c r="E1845" t="s">
        <v>3289</v>
      </c>
      <c r="F1845" s="11" t="s">
        <v>3290</v>
      </c>
      <c r="G1845" s="8">
        <v>79.069999999999993</v>
      </c>
      <c r="H1845" s="8">
        <v>0</v>
      </c>
      <c r="I1845" s="8">
        <f t="shared" si="93"/>
        <v>85.52</v>
      </c>
      <c r="J1845" s="12"/>
    </row>
    <row r="1846" spans="1:10" x14ac:dyDescent="0.25">
      <c r="C1846" s="9" t="s">
        <v>124</v>
      </c>
      <c r="D1846" s="10">
        <v>45719</v>
      </c>
      <c r="E1846" t="s">
        <v>3291</v>
      </c>
      <c r="F1846" s="11" t="s">
        <v>42</v>
      </c>
      <c r="G1846" s="8">
        <v>0</v>
      </c>
      <c r="H1846" s="8">
        <v>85.52</v>
      </c>
      <c r="I1846" s="8">
        <f t="shared" si="93"/>
        <v>0</v>
      </c>
      <c r="J1846" s="12"/>
    </row>
    <row r="1847" spans="1:10" x14ac:dyDescent="0.25">
      <c r="C1847" s="9"/>
      <c r="D1847" s="10">
        <v>45747</v>
      </c>
      <c r="E1847" t="s">
        <v>3292</v>
      </c>
      <c r="F1847" s="11" t="s">
        <v>3293</v>
      </c>
      <c r="G1847" s="8">
        <v>54.4</v>
      </c>
      <c r="H1847" s="8">
        <v>0</v>
      </c>
      <c r="I1847" s="8">
        <f t="shared" si="93"/>
        <v>54.4</v>
      </c>
      <c r="J1847" s="12"/>
    </row>
    <row r="1848" spans="1:10" x14ac:dyDescent="0.25">
      <c r="C1848" s="9" t="s">
        <v>124</v>
      </c>
      <c r="D1848" s="10">
        <v>45748</v>
      </c>
      <c r="E1848" t="s">
        <v>3288</v>
      </c>
      <c r="F1848" s="11" t="s">
        <v>42</v>
      </c>
      <c r="G1848" s="8">
        <v>0</v>
      </c>
      <c r="H1848" s="8">
        <v>54.4</v>
      </c>
      <c r="I1848" s="8">
        <f t="shared" si="93"/>
        <v>0</v>
      </c>
      <c r="J1848" s="12"/>
    </row>
    <row r="1849" spans="1:10" x14ac:dyDescent="0.25">
      <c r="C1849" s="9"/>
      <c r="D1849" s="10">
        <v>45762</v>
      </c>
      <c r="E1849" t="s">
        <v>3288</v>
      </c>
      <c r="F1849" s="11" t="s">
        <v>42</v>
      </c>
      <c r="G1849" s="8">
        <v>0</v>
      </c>
      <c r="H1849" s="8">
        <v>94.36</v>
      </c>
      <c r="I1849" s="8">
        <f t="shared" si="93"/>
        <v>-94.36</v>
      </c>
      <c r="J1849" s="12"/>
    </row>
    <row r="1850" spans="1:10" x14ac:dyDescent="0.25">
      <c r="E1850" s="4" t="s">
        <v>20</v>
      </c>
      <c r="G1850" s="8">
        <f>SUM(G1842:G1849)</f>
        <v>265.13</v>
      </c>
      <c r="H1850" s="8">
        <f>SUM(H1842:H1849)</f>
        <v>359.49</v>
      </c>
      <c r="I1850" s="8">
        <f>G1850-H1850</f>
        <v>-94.360000000000014</v>
      </c>
    </row>
    <row r="1852" spans="1:10" x14ac:dyDescent="0.25">
      <c r="A1852" s="5">
        <v>4303025</v>
      </c>
      <c r="B1852" s="6" t="s">
        <v>3294</v>
      </c>
      <c r="C1852" s="7"/>
      <c r="D1852" s="7"/>
      <c r="E1852" s="7"/>
      <c r="F1852" s="7"/>
      <c r="G1852" s="7"/>
      <c r="H1852" s="7"/>
      <c r="I1852" s="7"/>
      <c r="J1852" s="7"/>
    </row>
    <row r="1853" spans="1:10" x14ac:dyDescent="0.25">
      <c r="E1853" s="4" t="s">
        <v>10</v>
      </c>
      <c r="G1853" s="8">
        <v>44.77</v>
      </c>
      <c r="H1853" s="8">
        <v>0</v>
      </c>
      <c r="I1853" s="8">
        <f>G1853-H1853</f>
        <v>44.77</v>
      </c>
    </row>
    <row r="1854" spans="1:10" x14ac:dyDescent="0.25">
      <c r="C1854" s="9"/>
      <c r="D1854" s="10">
        <v>45659</v>
      </c>
      <c r="E1854" t="s">
        <v>3295</v>
      </c>
      <c r="F1854" s="11" t="s">
        <v>42</v>
      </c>
      <c r="G1854" s="8">
        <v>0</v>
      </c>
      <c r="H1854" s="8">
        <v>44.77</v>
      </c>
      <c r="I1854" s="8">
        <f t="shared" ref="I1854:I1859" si="94">G1854-H1854+I1853</f>
        <v>0</v>
      </c>
      <c r="J1854" s="12"/>
    </row>
    <row r="1855" spans="1:10" x14ac:dyDescent="0.25">
      <c r="C1855" s="9"/>
      <c r="D1855" s="10">
        <v>45730</v>
      </c>
      <c r="E1855" t="s">
        <v>3296</v>
      </c>
      <c r="F1855" s="11" t="s">
        <v>3297</v>
      </c>
      <c r="G1855" s="8">
        <v>60.06</v>
      </c>
      <c r="H1855" s="8">
        <v>0</v>
      </c>
      <c r="I1855" s="8">
        <f t="shared" si="94"/>
        <v>60.06</v>
      </c>
      <c r="J1855" s="12"/>
    </row>
    <row r="1856" spans="1:10" x14ac:dyDescent="0.25">
      <c r="C1856" s="9"/>
      <c r="D1856" s="10">
        <v>45733</v>
      </c>
      <c r="E1856" t="s">
        <v>3295</v>
      </c>
      <c r="F1856" s="11" t="s">
        <v>42</v>
      </c>
      <c r="G1856" s="8">
        <v>0</v>
      </c>
      <c r="H1856" s="8">
        <v>60.06</v>
      </c>
      <c r="I1856" s="8">
        <f t="shared" si="94"/>
        <v>0</v>
      </c>
      <c r="J1856" s="12"/>
    </row>
    <row r="1857" spans="1:10" x14ac:dyDescent="0.25">
      <c r="C1857" s="9"/>
      <c r="D1857" s="10">
        <v>45747</v>
      </c>
      <c r="E1857" t="s">
        <v>3298</v>
      </c>
      <c r="F1857" s="11" t="s">
        <v>3299</v>
      </c>
      <c r="G1857" s="8">
        <v>118.13</v>
      </c>
      <c r="H1857" s="8">
        <v>0</v>
      </c>
      <c r="I1857" s="8">
        <f t="shared" si="94"/>
        <v>118.13</v>
      </c>
      <c r="J1857" s="12"/>
    </row>
    <row r="1858" spans="1:10" x14ac:dyDescent="0.25">
      <c r="C1858" s="9"/>
      <c r="D1858" s="10">
        <v>45748</v>
      </c>
      <c r="E1858" t="s">
        <v>3295</v>
      </c>
      <c r="F1858" s="11" t="s">
        <v>42</v>
      </c>
      <c r="G1858" s="8">
        <v>0</v>
      </c>
      <c r="H1858" s="8">
        <v>118.13</v>
      </c>
      <c r="I1858" s="8">
        <f t="shared" si="94"/>
        <v>0</v>
      </c>
      <c r="J1858" s="12"/>
    </row>
    <row r="1859" spans="1:10" x14ac:dyDescent="0.25">
      <c r="C1859" s="9"/>
      <c r="D1859" s="10">
        <v>45762</v>
      </c>
      <c r="E1859" t="s">
        <v>3295</v>
      </c>
      <c r="F1859" s="11" t="s">
        <v>42</v>
      </c>
      <c r="G1859" s="8">
        <v>0</v>
      </c>
      <c r="H1859" s="8">
        <v>45.41</v>
      </c>
      <c r="I1859" s="8">
        <f t="shared" si="94"/>
        <v>-45.41</v>
      </c>
      <c r="J1859" s="12"/>
    </row>
    <row r="1860" spans="1:10" x14ac:dyDescent="0.25">
      <c r="E1860" s="4" t="s">
        <v>20</v>
      </c>
      <c r="G1860" s="8">
        <f>SUM(G1853:G1859)</f>
        <v>222.96</v>
      </c>
      <c r="H1860" s="8">
        <f>SUM(H1853:H1859)</f>
        <v>268.37</v>
      </c>
      <c r="I1860" s="8">
        <f>G1860-H1860</f>
        <v>-45.41</v>
      </c>
    </row>
    <row r="1862" spans="1:10" x14ac:dyDescent="0.25">
      <c r="A1862" s="5">
        <v>4303035</v>
      </c>
      <c r="B1862" s="6" t="s">
        <v>3300</v>
      </c>
      <c r="C1862" s="7"/>
      <c r="D1862" s="7"/>
      <c r="E1862" s="7"/>
      <c r="F1862" s="7"/>
      <c r="G1862" s="7"/>
      <c r="H1862" s="7"/>
      <c r="I1862" s="7"/>
      <c r="J1862" s="7"/>
    </row>
    <row r="1863" spans="1:10" x14ac:dyDescent="0.25">
      <c r="E1863" s="4" t="s">
        <v>10</v>
      </c>
      <c r="G1863" s="8">
        <v>34.979999999999997</v>
      </c>
      <c r="H1863" s="8">
        <v>0</v>
      </c>
      <c r="I1863" s="8">
        <f>G1863-H1863</f>
        <v>34.979999999999997</v>
      </c>
    </row>
    <row r="1864" spans="1:10" x14ac:dyDescent="0.25">
      <c r="C1864" s="9"/>
      <c r="D1864" s="10">
        <v>45713</v>
      </c>
      <c r="E1864" t="s">
        <v>1672</v>
      </c>
      <c r="F1864" s="11" t="s">
        <v>42</v>
      </c>
      <c r="G1864" s="8">
        <v>0</v>
      </c>
      <c r="H1864" s="8">
        <v>34.979999999999997</v>
      </c>
      <c r="I1864" s="8">
        <f>G1864-H1864+I1863</f>
        <v>0</v>
      </c>
      <c r="J1864" s="12"/>
    </row>
    <row r="1865" spans="1:10" x14ac:dyDescent="0.25">
      <c r="C1865" s="9"/>
      <c r="D1865" s="10">
        <v>45730</v>
      </c>
      <c r="E1865" t="s">
        <v>3301</v>
      </c>
      <c r="F1865" s="11" t="s">
        <v>3302</v>
      </c>
      <c r="G1865" s="8">
        <v>139.61000000000001</v>
      </c>
      <c r="H1865" s="8">
        <v>0</v>
      </c>
      <c r="I1865" s="8">
        <f>G1865-H1865+I1864</f>
        <v>139.61000000000001</v>
      </c>
      <c r="J1865" s="12"/>
    </row>
    <row r="1866" spans="1:10" x14ac:dyDescent="0.25">
      <c r="C1866" s="9"/>
      <c r="D1866" s="10">
        <v>45747</v>
      </c>
      <c r="E1866" t="s">
        <v>3303</v>
      </c>
      <c r="F1866" s="11" t="s">
        <v>3304</v>
      </c>
      <c r="G1866" s="8">
        <v>105.74</v>
      </c>
      <c r="H1866" s="8">
        <v>0</v>
      </c>
      <c r="I1866" s="8">
        <f>G1866-H1866+I1865</f>
        <v>245.35000000000002</v>
      </c>
      <c r="J1866" s="12"/>
    </row>
    <row r="1867" spans="1:10" x14ac:dyDescent="0.25">
      <c r="E1867" s="4" t="s">
        <v>20</v>
      </c>
      <c r="G1867" s="8">
        <f>SUM(G1863:G1866)</f>
        <v>280.33</v>
      </c>
      <c r="H1867" s="8">
        <f>SUM(H1863:H1866)</f>
        <v>34.979999999999997</v>
      </c>
      <c r="I1867" s="8">
        <f>G1867-H1867</f>
        <v>245.35</v>
      </c>
    </row>
    <row r="1869" spans="1:10" x14ac:dyDescent="0.25">
      <c r="A1869" s="5">
        <v>4303095</v>
      </c>
      <c r="B1869" s="6" t="s">
        <v>3305</v>
      </c>
      <c r="C1869" s="7"/>
      <c r="D1869" s="7"/>
      <c r="E1869" s="7"/>
      <c r="F1869" s="7"/>
      <c r="G1869" s="7"/>
      <c r="H1869" s="7"/>
      <c r="I1869" s="7"/>
      <c r="J1869" s="7"/>
    </row>
    <row r="1870" spans="1:10" x14ac:dyDescent="0.25">
      <c r="E1870" s="4" t="s">
        <v>10</v>
      </c>
      <c r="G1870" s="8">
        <v>0</v>
      </c>
      <c r="H1870" s="8">
        <v>157.69</v>
      </c>
      <c r="I1870" s="8">
        <f>G1870-H1870</f>
        <v>-157.69</v>
      </c>
    </row>
    <row r="1871" spans="1:10" x14ac:dyDescent="0.25">
      <c r="E1871" s="4" t="s">
        <v>20</v>
      </c>
      <c r="G1871" s="8">
        <f>G1870</f>
        <v>0</v>
      </c>
      <c r="H1871" s="8">
        <f>H1870</f>
        <v>157.69</v>
      </c>
      <c r="I1871" s="8">
        <f>G1871-H1871</f>
        <v>-157.69</v>
      </c>
    </row>
    <row r="1873" spans="1:10" x14ac:dyDescent="0.25">
      <c r="A1873" s="5">
        <v>4303105</v>
      </c>
      <c r="B1873" s="6" t="s">
        <v>3306</v>
      </c>
      <c r="C1873" s="7"/>
      <c r="D1873" s="7"/>
      <c r="E1873" s="7"/>
      <c r="F1873" s="7"/>
      <c r="G1873" s="7"/>
      <c r="H1873" s="7"/>
      <c r="I1873" s="7"/>
      <c r="J1873" s="7"/>
    </row>
    <row r="1874" spans="1:10" x14ac:dyDescent="0.25">
      <c r="E1874" s="4" t="s">
        <v>10</v>
      </c>
      <c r="G1874" s="8">
        <v>5.93</v>
      </c>
      <c r="H1874" s="8">
        <v>0</v>
      </c>
      <c r="I1874" s="8">
        <f>G1874-H1874</f>
        <v>5.93</v>
      </c>
    </row>
    <row r="1875" spans="1:10" x14ac:dyDescent="0.25">
      <c r="E1875" s="4" t="s">
        <v>20</v>
      </c>
      <c r="G1875" s="8">
        <f>G1874</f>
        <v>5.93</v>
      </c>
      <c r="H1875" s="8">
        <f>H1874</f>
        <v>0</v>
      </c>
      <c r="I1875" s="8">
        <f>G1875-H1875</f>
        <v>5.93</v>
      </c>
    </row>
    <row r="1877" spans="1:10" x14ac:dyDescent="0.25">
      <c r="A1877" s="5">
        <v>4303130</v>
      </c>
      <c r="B1877" s="6" t="s">
        <v>3307</v>
      </c>
      <c r="C1877" s="7"/>
      <c r="D1877" s="7"/>
      <c r="E1877" s="7"/>
      <c r="F1877" s="7"/>
      <c r="G1877" s="7"/>
      <c r="H1877" s="7"/>
      <c r="I1877" s="7"/>
      <c r="J1877" s="7"/>
    </row>
    <row r="1878" spans="1:10" x14ac:dyDescent="0.25">
      <c r="E1878" s="4" t="s">
        <v>10</v>
      </c>
      <c r="G1878" s="8">
        <v>70.709999999999994</v>
      </c>
      <c r="H1878" s="8">
        <v>0</v>
      </c>
      <c r="I1878" s="8">
        <f>G1878-H1878</f>
        <v>70.709999999999994</v>
      </c>
    </row>
    <row r="1879" spans="1:10" x14ac:dyDescent="0.25">
      <c r="C1879" s="9"/>
      <c r="D1879" s="10">
        <v>45688</v>
      </c>
      <c r="E1879" t="s">
        <v>3308</v>
      </c>
      <c r="F1879" s="11" t="s">
        <v>3309</v>
      </c>
      <c r="G1879" s="8">
        <v>30.88</v>
      </c>
      <c r="H1879" s="8">
        <v>0</v>
      </c>
      <c r="I1879" s="8">
        <f>G1879-H1879+I1878</f>
        <v>101.58999999999999</v>
      </c>
      <c r="J1879" s="12"/>
    </row>
    <row r="1880" spans="1:10" x14ac:dyDescent="0.25">
      <c r="C1880" s="9"/>
      <c r="D1880" s="10">
        <v>45730</v>
      </c>
      <c r="E1880" t="s">
        <v>3310</v>
      </c>
      <c r="F1880" s="11" t="s">
        <v>3311</v>
      </c>
      <c r="G1880" s="8">
        <v>264.83999999999997</v>
      </c>
      <c r="H1880" s="8">
        <v>0</v>
      </c>
      <c r="I1880" s="8">
        <f>G1880-H1880+I1879</f>
        <v>366.42999999999995</v>
      </c>
      <c r="J1880" s="12"/>
    </row>
    <row r="1881" spans="1:10" x14ac:dyDescent="0.25">
      <c r="E1881" s="4" t="s">
        <v>20</v>
      </c>
      <c r="G1881" s="8">
        <f>SUM(G1878:G1880)</f>
        <v>366.42999999999995</v>
      </c>
      <c r="H1881" s="8">
        <f>SUM(H1878:H1880)</f>
        <v>0</v>
      </c>
      <c r="I1881" s="8">
        <f>G1881-H1881</f>
        <v>366.42999999999995</v>
      </c>
    </row>
    <row r="1883" spans="1:10" x14ac:dyDescent="0.25">
      <c r="A1883" s="5">
        <v>4303135</v>
      </c>
      <c r="B1883" s="6" t="s">
        <v>3312</v>
      </c>
      <c r="C1883" s="7"/>
      <c r="D1883" s="7"/>
      <c r="E1883" s="7"/>
      <c r="F1883" s="7"/>
      <c r="G1883" s="7"/>
      <c r="H1883" s="7"/>
      <c r="I1883" s="7"/>
      <c r="J1883" s="7"/>
    </row>
    <row r="1884" spans="1:10" x14ac:dyDescent="0.25">
      <c r="E1884" s="4" t="s">
        <v>10</v>
      </c>
      <c r="G1884" s="8">
        <v>41.5</v>
      </c>
      <c r="H1884" s="8">
        <v>0</v>
      </c>
      <c r="I1884" s="8">
        <f>G1884-H1884</f>
        <v>41.5</v>
      </c>
    </row>
    <row r="1885" spans="1:10" x14ac:dyDescent="0.25">
      <c r="C1885" s="9"/>
      <c r="D1885" s="10">
        <v>45660</v>
      </c>
      <c r="E1885" t="s">
        <v>1524</v>
      </c>
      <c r="F1885" s="11" t="s">
        <v>3313</v>
      </c>
      <c r="G1885" s="8">
        <v>0</v>
      </c>
      <c r="H1885" s="8">
        <v>41.5</v>
      </c>
      <c r="I1885" s="8">
        <f t="shared" ref="I1885:I1896" si="95">G1885-H1885+I1884</f>
        <v>0</v>
      </c>
      <c r="J1885" s="12"/>
    </row>
    <row r="1886" spans="1:10" x14ac:dyDescent="0.25">
      <c r="C1886" s="9"/>
      <c r="D1886" s="10">
        <v>45671</v>
      </c>
      <c r="E1886" t="s">
        <v>3314</v>
      </c>
      <c r="F1886" s="11" t="s">
        <v>3315</v>
      </c>
      <c r="G1886" s="8">
        <v>193.06</v>
      </c>
      <c r="H1886" s="8">
        <v>0</v>
      </c>
      <c r="I1886" s="8">
        <f t="shared" si="95"/>
        <v>193.06</v>
      </c>
      <c r="J1886" s="12"/>
    </row>
    <row r="1887" spans="1:10" x14ac:dyDescent="0.25">
      <c r="C1887" s="9"/>
      <c r="D1887" s="10">
        <v>45672</v>
      </c>
      <c r="E1887" t="s">
        <v>1524</v>
      </c>
      <c r="F1887" s="11" t="s">
        <v>3315</v>
      </c>
      <c r="G1887" s="8">
        <v>0</v>
      </c>
      <c r="H1887" s="8">
        <v>193.06</v>
      </c>
      <c r="I1887" s="8">
        <f t="shared" si="95"/>
        <v>0</v>
      </c>
      <c r="J1887" s="12"/>
    </row>
    <row r="1888" spans="1:10" x14ac:dyDescent="0.25">
      <c r="C1888" s="9"/>
      <c r="D1888" s="10">
        <v>45688</v>
      </c>
      <c r="E1888" t="s">
        <v>3316</v>
      </c>
      <c r="F1888" s="11" t="s">
        <v>3317</v>
      </c>
      <c r="G1888" s="8">
        <v>153.66999999999999</v>
      </c>
      <c r="H1888" s="8">
        <v>0</v>
      </c>
      <c r="I1888" s="8">
        <f t="shared" si="95"/>
        <v>153.66999999999999</v>
      </c>
      <c r="J1888" s="12"/>
    </row>
    <row r="1889" spans="1:10" x14ac:dyDescent="0.25">
      <c r="C1889" s="9" t="s">
        <v>124</v>
      </c>
      <c r="D1889" s="10">
        <v>45691</v>
      </c>
      <c r="E1889" t="s">
        <v>3318</v>
      </c>
      <c r="F1889" s="11" t="s">
        <v>3317</v>
      </c>
      <c r="G1889" s="8">
        <v>0</v>
      </c>
      <c r="H1889" s="8">
        <v>153.66999999999999</v>
      </c>
      <c r="I1889" s="8">
        <f t="shared" si="95"/>
        <v>0</v>
      </c>
      <c r="J1889" s="12"/>
    </row>
    <row r="1890" spans="1:10" x14ac:dyDescent="0.25">
      <c r="C1890" s="9"/>
      <c r="D1890" s="10">
        <v>45702</v>
      </c>
      <c r="E1890" t="s">
        <v>3319</v>
      </c>
      <c r="F1890" s="11" t="s">
        <v>3320</v>
      </c>
      <c r="G1890" s="8">
        <v>171.41</v>
      </c>
      <c r="H1890" s="8">
        <v>0</v>
      </c>
      <c r="I1890" s="8">
        <f t="shared" si="95"/>
        <v>171.41</v>
      </c>
      <c r="J1890" s="12"/>
    </row>
    <row r="1891" spans="1:10" x14ac:dyDescent="0.25">
      <c r="C1891" s="9"/>
      <c r="D1891" s="10">
        <v>45705</v>
      </c>
      <c r="E1891" t="s">
        <v>1524</v>
      </c>
      <c r="F1891" s="11" t="s">
        <v>3320</v>
      </c>
      <c r="G1891" s="8">
        <v>0</v>
      </c>
      <c r="H1891" s="8">
        <v>171.41</v>
      </c>
      <c r="I1891" s="8">
        <f t="shared" si="95"/>
        <v>0</v>
      </c>
      <c r="J1891" s="12"/>
    </row>
    <row r="1892" spans="1:10" x14ac:dyDescent="0.25">
      <c r="C1892" s="9"/>
      <c r="D1892" s="10">
        <v>45716</v>
      </c>
      <c r="E1892" t="s">
        <v>3321</v>
      </c>
      <c r="F1892" s="11" t="s">
        <v>3322</v>
      </c>
      <c r="G1892" s="8">
        <v>305.62</v>
      </c>
      <c r="H1892" s="8">
        <v>0</v>
      </c>
      <c r="I1892" s="8">
        <f t="shared" si="95"/>
        <v>305.62</v>
      </c>
      <c r="J1892" s="12"/>
    </row>
    <row r="1893" spans="1:10" x14ac:dyDescent="0.25">
      <c r="C1893" s="9"/>
      <c r="D1893" s="10">
        <v>45720</v>
      </c>
      <c r="E1893" t="s">
        <v>1524</v>
      </c>
      <c r="F1893" s="11" t="s">
        <v>3322</v>
      </c>
      <c r="G1893" s="8">
        <v>0</v>
      </c>
      <c r="H1893" s="8">
        <v>305.62</v>
      </c>
      <c r="I1893" s="8">
        <f t="shared" si="95"/>
        <v>0</v>
      </c>
      <c r="J1893" s="12"/>
    </row>
    <row r="1894" spans="1:10" x14ac:dyDescent="0.25">
      <c r="C1894" s="9"/>
      <c r="D1894" s="10">
        <v>45747</v>
      </c>
      <c r="E1894" t="s">
        <v>3323</v>
      </c>
      <c r="F1894" s="11" t="s">
        <v>3324</v>
      </c>
      <c r="G1894" s="8">
        <v>37.700000000000003</v>
      </c>
      <c r="H1894" s="8">
        <v>0</v>
      </c>
      <c r="I1894" s="8">
        <f t="shared" si="95"/>
        <v>37.700000000000003</v>
      </c>
      <c r="J1894" s="12"/>
    </row>
    <row r="1895" spans="1:10" x14ac:dyDescent="0.25">
      <c r="C1895" s="9"/>
      <c r="D1895" s="10">
        <v>45748</v>
      </c>
      <c r="E1895" t="s">
        <v>1524</v>
      </c>
      <c r="F1895" s="11" t="s">
        <v>3324</v>
      </c>
      <c r="G1895" s="8">
        <v>0</v>
      </c>
      <c r="H1895" s="8">
        <v>37.700000000000003</v>
      </c>
      <c r="I1895" s="8">
        <f t="shared" si="95"/>
        <v>0</v>
      </c>
      <c r="J1895" s="12"/>
    </row>
    <row r="1896" spans="1:10" x14ac:dyDescent="0.25">
      <c r="C1896" s="9"/>
      <c r="D1896" s="10">
        <v>45762</v>
      </c>
      <c r="E1896" t="s">
        <v>3325</v>
      </c>
      <c r="F1896" s="11" t="s">
        <v>42</v>
      </c>
      <c r="G1896" s="8">
        <v>0</v>
      </c>
      <c r="H1896" s="8">
        <v>64.63</v>
      </c>
      <c r="I1896" s="8">
        <f t="shared" si="95"/>
        <v>-64.63</v>
      </c>
      <c r="J1896" s="12"/>
    </row>
    <row r="1897" spans="1:10" x14ac:dyDescent="0.25">
      <c r="E1897" s="4" t="s">
        <v>20</v>
      </c>
      <c r="G1897" s="8">
        <f>SUM(G1884:G1896)</f>
        <v>902.96</v>
      </c>
      <c r="H1897" s="8">
        <f>SUM(H1884:H1896)</f>
        <v>967.59</v>
      </c>
      <c r="I1897" s="8">
        <f>G1897-H1897</f>
        <v>-64.63</v>
      </c>
    </row>
    <row r="1899" spans="1:10" x14ac:dyDescent="0.25">
      <c r="A1899" s="5">
        <v>4303155</v>
      </c>
      <c r="B1899" s="6" t="s">
        <v>3326</v>
      </c>
      <c r="C1899" s="7"/>
      <c r="D1899" s="7"/>
      <c r="E1899" s="7"/>
      <c r="F1899" s="7"/>
      <c r="G1899" s="7"/>
      <c r="H1899" s="7"/>
      <c r="I1899" s="7"/>
      <c r="J1899" s="7"/>
    </row>
    <row r="1900" spans="1:10" x14ac:dyDescent="0.25">
      <c r="E1900" s="4" t="s">
        <v>10</v>
      </c>
      <c r="G1900" s="8">
        <v>2783.21</v>
      </c>
      <c r="H1900" s="8">
        <v>0</v>
      </c>
      <c r="I1900" s="8">
        <f>G1900-H1900</f>
        <v>2783.21</v>
      </c>
    </row>
    <row r="1901" spans="1:10" x14ac:dyDescent="0.25">
      <c r="C1901" s="9"/>
      <c r="D1901" s="10">
        <v>45670</v>
      </c>
      <c r="E1901" t="s">
        <v>3327</v>
      </c>
      <c r="F1901" s="11" t="s">
        <v>3328</v>
      </c>
      <c r="G1901" s="8">
        <v>0</v>
      </c>
      <c r="H1901" s="8">
        <v>1166.43</v>
      </c>
      <c r="I1901" s="8">
        <f t="shared" ref="I1901:I1914" si="96">G1901-H1901+I1900</f>
        <v>1616.78</v>
      </c>
      <c r="J1901" s="12"/>
    </row>
    <row r="1902" spans="1:10" x14ac:dyDescent="0.25">
      <c r="C1902" s="9"/>
      <c r="D1902" s="10">
        <v>45670</v>
      </c>
      <c r="E1902" t="s">
        <v>3327</v>
      </c>
      <c r="F1902" s="11" t="s">
        <v>3329</v>
      </c>
      <c r="G1902" s="8">
        <v>0</v>
      </c>
      <c r="H1902" s="8">
        <v>392.56</v>
      </c>
      <c r="I1902" s="8">
        <f t="shared" si="96"/>
        <v>1224.22</v>
      </c>
      <c r="J1902" s="12"/>
    </row>
    <row r="1903" spans="1:10" x14ac:dyDescent="0.25">
      <c r="C1903" s="9"/>
      <c r="D1903" s="10">
        <v>45671</v>
      </c>
      <c r="E1903" t="s">
        <v>3330</v>
      </c>
      <c r="F1903" s="11" t="s">
        <v>3331</v>
      </c>
      <c r="G1903" s="8">
        <v>216.06</v>
      </c>
      <c r="H1903" s="8">
        <v>0</v>
      </c>
      <c r="I1903" s="8">
        <f t="shared" si="96"/>
        <v>1440.28</v>
      </c>
      <c r="J1903" s="12"/>
    </row>
    <row r="1904" spans="1:10" x14ac:dyDescent="0.25">
      <c r="C1904" s="9"/>
      <c r="D1904" s="10">
        <v>45688</v>
      </c>
      <c r="E1904" t="s">
        <v>3332</v>
      </c>
      <c r="F1904" s="11" t="s">
        <v>3333</v>
      </c>
      <c r="G1904" s="8">
        <v>317.93</v>
      </c>
      <c r="H1904" s="8">
        <v>0</v>
      </c>
      <c r="I1904" s="8">
        <f t="shared" si="96"/>
        <v>1758.21</v>
      </c>
      <c r="J1904" s="12"/>
    </row>
    <row r="1905" spans="1:10" x14ac:dyDescent="0.25">
      <c r="C1905" s="9"/>
      <c r="D1905" s="10">
        <v>45699</v>
      </c>
      <c r="E1905" t="s">
        <v>1524</v>
      </c>
      <c r="F1905" s="11" t="s">
        <v>3334</v>
      </c>
      <c r="G1905" s="8">
        <v>0</v>
      </c>
      <c r="H1905" s="8">
        <v>274.45999999999998</v>
      </c>
      <c r="I1905" s="8">
        <f t="shared" si="96"/>
        <v>1483.75</v>
      </c>
      <c r="J1905" s="12"/>
    </row>
    <row r="1906" spans="1:10" x14ac:dyDescent="0.25">
      <c r="C1906" s="9"/>
      <c r="D1906" s="10">
        <v>45699</v>
      </c>
      <c r="E1906" t="s">
        <v>1524</v>
      </c>
      <c r="F1906" s="11" t="s">
        <v>3335</v>
      </c>
      <c r="G1906" s="8">
        <v>0</v>
      </c>
      <c r="H1906" s="8">
        <v>553.20000000000005</v>
      </c>
      <c r="I1906" s="8">
        <f t="shared" si="96"/>
        <v>930.55</v>
      </c>
      <c r="J1906" s="12"/>
    </row>
    <row r="1907" spans="1:10" x14ac:dyDescent="0.25">
      <c r="C1907" s="9"/>
      <c r="D1907" s="10">
        <v>45702</v>
      </c>
      <c r="E1907" t="s">
        <v>3336</v>
      </c>
      <c r="F1907" s="11" t="s">
        <v>3337</v>
      </c>
      <c r="G1907" s="8">
        <v>467.08</v>
      </c>
      <c r="H1907" s="8">
        <v>0</v>
      </c>
      <c r="I1907" s="8">
        <f t="shared" si="96"/>
        <v>1397.6299999999999</v>
      </c>
      <c r="J1907" s="12"/>
    </row>
    <row r="1908" spans="1:10" x14ac:dyDescent="0.25">
      <c r="C1908" s="9"/>
      <c r="D1908" s="10">
        <v>45716</v>
      </c>
      <c r="E1908" t="s">
        <v>3338</v>
      </c>
      <c r="F1908" s="11" t="s">
        <v>3339</v>
      </c>
      <c r="G1908" s="8">
        <v>312.94</v>
      </c>
      <c r="H1908" s="8">
        <v>0</v>
      </c>
      <c r="I1908" s="8">
        <f t="shared" si="96"/>
        <v>1710.57</v>
      </c>
      <c r="J1908" s="12"/>
    </row>
    <row r="1909" spans="1:10" x14ac:dyDescent="0.25">
      <c r="C1909" s="9"/>
      <c r="D1909" s="10">
        <v>45727</v>
      </c>
      <c r="E1909" t="s">
        <v>1524</v>
      </c>
      <c r="F1909" s="11" t="s">
        <v>3340</v>
      </c>
      <c r="G1909" s="8">
        <v>0</v>
      </c>
      <c r="H1909" s="8">
        <v>53.98</v>
      </c>
      <c r="I1909" s="8">
        <f t="shared" si="96"/>
        <v>1656.59</v>
      </c>
      <c r="J1909" s="12"/>
    </row>
    <row r="1910" spans="1:10" x14ac:dyDescent="0.25">
      <c r="C1910" s="9"/>
      <c r="D1910" s="10">
        <v>45727</v>
      </c>
      <c r="E1910" t="s">
        <v>1524</v>
      </c>
      <c r="F1910" s="11" t="s">
        <v>3341</v>
      </c>
      <c r="G1910" s="8">
        <v>0</v>
      </c>
      <c r="H1910" s="8">
        <v>342.58</v>
      </c>
      <c r="I1910" s="8">
        <f t="shared" si="96"/>
        <v>1314.01</v>
      </c>
      <c r="J1910" s="12"/>
    </row>
    <row r="1911" spans="1:10" x14ac:dyDescent="0.25">
      <c r="C1911" s="9"/>
      <c r="D1911" s="10">
        <v>45730</v>
      </c>
      <c r="E1911" t="s">
        <v>3342</v>
      </c>
      <c r="F1911" s="11" t="s">
        <v>3343</v>
      </c>
      <c r="G1911" s="8">
        <v>126.23</v>
      </c>
      <c r="H1911" s="8">
        <v>0</v>
      </c>
      <c r="I1911" s="8">
        <f t="shared" si="96"/>
        <v>1440.24</v>
      </c>
      <c r="J1911" s="12"/>
    </row>
    <row r="1912" spans="1:10" x14ac:dyDescent="0.25">
      <c r="C1912" s="9"/>
      <c r="D1912" s="10">
        <v>45747</v>
      </c>
      <c r="E1912" t="s">
        <v>3344</v>
      </c>
      <c r="F1912" s="11" t="s">
        <v>3345</v>
      </c>
      <c r="G1912" s="8">
        <v>294.82</v>
      </c>
      <c r="H1912" s="8">
        <v>0</v>
      </c>
      <c r="I1912" s="8">
        <f t="shared" si="96"/>
        <v>1735.06</v>
      </c>
      <c r="J1912" s="12"/>
    </row>
    <row r="1913" spans="1:10" x14ac:dyDescent="0.25">
      <c r="C1913" s="9"/>
      <c r="D1913" s="10">
        <v>45758</v>
      </c>
      <c r="E1913" t="s">
        <v>1524</v>
      </c>
      <c r="F1913" s="11" t="s">
        <v>3333</v>
      </c>
      <c r="G1913" s="8">
        <v>0</v>
      </c>
      <c r="H1913" s="8">
        <v>317.93</v>
      </c>
      <c r="I1913" s="8">
        <f t="shared" si="96"/>
        <v>1417.1299999999999</v>
      </c>
      <c r="J1913" s="12"/>
    </row>
    <row r="1914" spans="1:10" x14ac:dyDescent="0.25">
      <c r="C1914" s="9"/>
      <c r="D1914" s="10">
        <v>45758</v>
      </c>
      <c r="E1914" t="s">
        <v>1524</v>
      </c>
      <c r="F1914" s="11" t="s">
        <v>3331</v>
      </c>
      <c r="G1914" s="8">
        <v>0</v>
      </c>
      <c r="H1914" s="8">
        <v>216.06</v>
      </c>
      <c r="I1914" s="8">
        <f t="shared" si="96"/>
        <v>1201.07</v>
      </c>
      <c r="J1914" s="12"/>
    </row>
    <row r="1915" spans="1:10" x14ac:dyDescent="0.25">
      <c r="E1915" s="4" t="s">
        <v>20</v>
      </c>
      <c r="G1915" s="8">
        <f>SUM(G1900:G1914)</f>
        <v>4518.2699999999986</v>
      </c>
      <c r="H1915" s="8">
        <f>SUM(H1900:H1914)</f>
        <v>3317.2</v>
      </c>
      <c r="I1915" s="8">
        <f>G1915-H1915</f>
        <v>1201.0699999999988</v>
      </c>
    </row>
    <row r="1917" spans="1:10" x14ac:dyDescent="0.25">
      <c r="A1917" s="5">
        <v>4303160</v>
      </c>
      <c r="B1917" s="6" t="s">
        <v>3346</v>
      </c>
      <c r="C1917" s="7"/>
      <c r="D1917" s="7"/>
      <c r="E1917" s="7"/>
      <c r="F1917" s="7"/>
      <c r="G1917" s="7"/>
      <c r="H1917" s="7"/>
      <c r="I1917" s="7"/>
      <c r="J1917" s="7"/>
    </row>
    <row r="1918" spans="1:10" x14ac:dyDescent="0.25">
      <c r="E1918" s="4" t="s">
        <v>10</v>
      </c>
      <c r="G1918" s="8">
        <v>705.01</v>
      </c>
      <c r="H1918" s="8">
        <v>0</v>
      </c>
      <c r="I1918" s="8">
        <f>G1918-H1918</f>
        <v>705.01</v>
      </c>
    </row>
    <row r="1919" spans="1:10" x14ac:dyDescent="0.25">
      <c r="C1919" s="9"/>
      <c r="D1919" s="10">
        <v>45663</v>
      </c>
      <c r="E1919" t="s">
        <v>3347</v>
      </c>
      <c r="F1919" s="11" t="s">
        <v>42</v>
      </c>
      <c r="G1919" s="8">
        <v>0</v>
      </c>
      <c r="H1919" s="8">
        <v>344.08</v>
      </c>
      <c r="I1919" s="8">
        <f t="shared" ref="I1919:I1925" si="97">G1919-H1919+I1918</f>
        <v>360.93</v>
      </c>
      <c r="J1919" s="12"/>
    </row>
    <row r="1920" spans="1:10" x14ac:dyDescent="0.25">
      <c r="C1920" s="9"/>
      <c r="D1920" s="10">
        <v>45688</v>
      </c>
      <c r="E1920" t="s">
        <v>3348</v>
      </c>
      <c r="F1920" s="11" t="s">
        <v>3349</v>
      </c>
      <c r="G1920" s="8">
        <v>295.18</v>
      </c>
      <c r="H1920" s="8">
        <v>0</v>
      </c>
      <c r="I1920" s="8">
        <f t="shared" si="97"/>
        <v>656.11</v>
      </c>
      <c r="J1920" s="12"/>
    </row>
    <row r="1921" spans="1:10" x14ac:dyDescent="0.25">
      <c r="C1921" s="9"/>
      <c r="D1921" s="10">
        <v>45702</v>
      </c>
      <c r="E1921" t="s">
        <v>3350</v>
      </c>
      <c r="F1921" s="11" t="s">
        <v>3351</v>
      </c>
      <c r="G1921" s="8">
        <v>104</v>
      </c>
      <c r="H1921" s="8">
        <v>0</v>
      </c>
      <c r="I1921" s="8">
        <f t="shared" si="97"/>
        <v>760.11</v>
      </c>
      <c r="J1921" s="12"/>
    </row>
    <row r="1922" spans="1:10" x14ac:dyDescent="0.25">
      <c r="C1922" s="9"/>
      <c r="D1922" s="10">
        <v>45714</v>
      </c>
      <c r="E1922" t="s">
        <v>3352</v>
      </c>
      <c r="F1922" s="11" t="s">
        <v>42</v>
      </c>
      <c r="G1922" s="8">
        <v>0</v>
      </c>
      <c r="H1922" s="8">
        <v>361.44</v>
      </c>
      <c r="I1922" s="8">
        <f t="shared" si="97"/>
        <v>398.67</v>
      </c>
      <c r="J1922" s="12"/>
    </row>
    <row r="1923" spans="1:10" x14ac:dyDescent="0.25">
      <c r="C1923" s="9"/>
      <c r="D1923" s="10">
        <v>45716</v>
      </c>
      <c r="E1923" t="s">
        <v>3353</v>
      </c>
      <c r="F1923" s="11" t="s">
        <v>3354</v>
      </c>
      <c r="G1923" s="8">
        <v>36.049999999999997</v>
      </c>
      <c r="H1923" s="8">
        <v>0</v>
      </c>
      <c r="I1923" s="8">
        <f t="shared" si="97"/>
        <v>434.72</v>
      </c>
      <c r="J1923" s="12"/>
    </row>
    <row r="1924" spans="1:10" x14ac:dyDescent="0.25">
      <c r="C1924" s="9"/>
      <c r="D1924" s="10">
        <v>45730</v>
      </c>
      <c r="E1924" t="s">
        <v>3355</v>
      </c>
      <c r="F1924" s="11" t="s">
        <v>3356</v>
      </c>
      <c r="G1924" s="8">
        <v>305.2</v>
      </c>
      <c r="H1924" s="8">
        <v>0</v>
      </c>
      <c r="I1924" s="8">
        <f t="shared" si="97"/>
        <v>739.92000000000007</v>
      </c>
      <c r="J1924" s="12"/>
    </row>
    <row r="1925" spans="1:10" x14ac:dyDescent="0.25">
      <c r="C1925" s="9"/>
      <c r="D1925" s="10">
        <v>45747</v>
      </c>
      <c r="E1925" t="s">
        <v>3357</v>
      </c>
      <c r="F1925" s="11" t="s">
        <v>3358</v>
      </c>
      <c r="G1925" s="8">
        <v>95.13</v>
      </c>
      <c r="H1925" s="8">
        <v>0</v>
      </c>
      <c r="I1925" s="8">
        <f t="shared" si="97"/>
        <v>835.05000000000007</v>
      </c>
      <c r="J1925" s="12"/>
    </row>
    <row r="1926" spans="1:10" x14ac:dyDescent="0.25">
      <c r="E1926" s="4" t="s">
        <v>20</v>
      </c>
      <c r="G1926" s="8">
        <f>SUM(G1918:G1925)</f>
        <v>1540.5700000000002</v>
      </c>
      <c r="H1926" s="8">
        <f>SUM(H1918:H1925)</f>
        <v>705.52</v>
      </c>
      <c r="I1926" s="8">
        <f>G1926-H1926</f>
        <v>835.05000000000018</v>
      </c>
    </row>
    <row r="1928" spans="1:10" x14ac:dyDescent="0.25">
      <c r="A1928" s="5">
        <v>4303165</v>
      </c>
      <c r="B1928" s="6" t="s">
        <v>3359</v>
      </c>
      <c r="C1928" s="7"/>
      <c r="D1928" s="7"/>
      <c r="E1928" s="7"/>
      <c r="F1928" s="7"/>
      <c r="G1928" s="7"/>
      <c r="H1928" s="7"/>
      <c r="I1928" s="7"/>
      <c r="J1928" s="7"/>
    </row>
    <row r="1929" spans="1:10" x14ac:dyDescent="0.25">
      <c r="E1929" s="4" t="s">
        <v>10</v>
      </c>
      <c r="G1929" s="8">
        <v>279.23</v>
      </c>
      <c r="H1929" s="8">
        <v>0</v>
      </c>
      <c r="I1929" s="8">
        <f>G1929-H1929</f>
        <v>279.23</v>
      </c>
    </row>
    <row r="1930" spans="1:10" x14ac:dyDescent="0.25">
      <c r="C1930" s="9"/>
      <c r="D1930" s="10">
        <v>45660</v>
      </c>
      <c r="E1930" t="s">
        <v>1524</v>
      </c>
      <c r="F1930" s="11" t="s">
        <v>3360</v>
      </c>
      <c r="G1930" s="8">
        <v>0</v>
      </c>
      <c r="H1930" s="8">
        <v>279.23</v>
      </c>
      <c r="I1930" s="8">
        <f t="shared" ref="I1930:I1939" si="98">G1930-H1930+I1929</f>
        <v>0</v>
      </c>
      <c r="J1930" s="12"/>
    </row>
    <row r="1931" spans="1:10" x14ac:dyDescent="0.25">
      <c r="C1931" s="9"/>
      <c r="D1931" s="10">
        <v>45671</v>
      </c>
      <c r="E1931" t="s">
        <v>3361</v>
      </c>
      <c r="F1931" s="11" t="s">
        <v>3362</v>
      </c>
      <c r="G1931" s="8">
        <v>174.19</v>
      </c>
      <c r="H1931" s="8">
        <v>0</v>
      </c>
      <c r="I1931" s="8">
        <f t="shared" si="98"/>
        <v>174.19</v>
      </c>
      <c r="J1931" s="12"/>
    </row>
    <row r="1932" spans="1:10" x14ac:dyDescent="0.25">
      <c r="C1932" s="9"/>
      <c r="D1932" s="10">
        <v>45672</v>
      </c>
      <c r="E1932" t="s">
        <v>1524</v>
      </c>
      <c r="F1932" s="11" t="s">
        <v>3362</v>
      </c>
      <c r="G1932" s="8">
        <v>0</v>
      </c>
      <c r="H1932" s="8">
        <v>174.19</v>
      </c>
      <c r="I1932" s="8">
        <f t="shared" si="98"/>
        <v>0</v>
      </c>
      <c r="J1932" s="12"/>
    </row>
    <row r="1933" spans="1:10" x14ac:dyDescent="0.25">
      <c r="C1933" s="9"/>
      <c r="D1933" s="10">
        <v>45716</v>
      </c>
      <c r="E1933" t="s">
        <v>3363</v>
      </c>
      <c r="F1933" s="11" t="s">
        <v>3364</v>
      </c>
      <c r="G1933" s="8">
        <v>264.35000000000002</v>
      </c>
      <c r="H1933" s="8">
        <v>0</v>
      </c>
      <c r="I1933" s="8">
        <f t="shared" si="98"/>
        <v>264.35000000000002</v>
      </c>
      <c r="J1933" s="12"/>
    </row>
    <row r="1934" spans="1:10" x14ac:dyDescent="0.25">
      <c r="C1934" s="9"/>
      <c r="D1934" s="10">
        <v>45720</v>
      </c>
      <c r="E1934" t="s">
        <v>1524</v>
      </c>
      <c r="F1934" s="11" t="s">
        <v>3364</v>
      </c>
      <c r="G1934" s="8">
        <v>0</v>
      </c>
      <c r="H1934" s="8">
        <v>264.35000000000002</v>
      </c>
      <c r="I1934" s="8">
        <f t="shared" si="98"/>
        <v>0</v>
      </c>
      <c r="J1934" s="12"/>
    </row>
    <row r="1935" spans="1:10" x14ac:dyDescent="0.25">
      <c r="C1935" s="9"/>
      <c r="D1935" s="10">
        <v>45730</v>
      </c>
      <c r="E1935" t="s">
        <v>3365</v>
      </c>
      <c r="F1935" s="11" t="s">
        <v>3366</v>
      </c>
      <c r="G1935" s="8">
        <v>98.47</v>
      </c>
      <c r="H1935" s="8">
        <v>0</v>
      </c>
      <c r="I1935" s="8">
        <f t="shared" si="98"/>
        <v>98.47</v>
      </c>
      <c r="J1935" s="12"/>
    </row>
    <row r="1936" spans="1:10" x14ac:dyDescent="0.25">
      <c r="C1936" s="9"/>
      <c r="D1936" s="10">
        <v>45733</v>
      </c>
      <c r="E1936" t="s">
        <v>1524</v>
      </c>
      <c r="F1936" s="11" t="s">
        <v>3366</v>
      </c>
      <c r="G1936" s="8">
        <v>0</v>
      </c>
      <c r="H1936" s="8">
        <v>98.47</v>
      </c>
      <c r="I1936" s="8">
        <f t="shared" si="98"/>
        <v>0</v>
      </c>
      <c r="J1936" s="12"/>
    </row>
    <row r="1937" spans="1:10" x14ac:dyDescent="0.25">
      <c r="C1937" s="9"/>
      <c r="D1937" s="10">
        <v>45747</v>
      </c>
      <c r="E1937" t="s">
        <v>3367</v>
      </c>
      <c r="F1937" s="11" t="s">
        <v>3368</v>
      </c>
      <c r="G1937" s="8">
        <v>45.88</v>
      </c>
      <c r="H1937" s="8">
        <v>0</v>
      </c>
      <c r="I1937" s="8">
        <f t="shared" si="98"/>
        <v>45.88</v>
      </c>
      <c r="J1937" s="12"/>
    </row>
    <row r="1938" spans="1:10" x14ac:dyDescent="0.25">
      <c r="C1938" s="9"/>
      <c r="D1938" s="10">
        <v>45748</v>
      </c>
      <c r="E1938" t="s">
        <v>1524</v>
      </c>
      <c r="F1938" s="11" t="s">
        <v>3368</v>
      </c>
      <c r="G1938" s="8">
        <v>0</v>
      </c>
      <c r="H1938" s="8">
        <v>45.88</v>
      </c>
      <c r="I1938" s="8">
        <f t="shared" si="98"/>
        <v>0</v>
      </c>
      <c r="J1938" s="12"/>
    </row>
    <row r="1939" spans="1:10" x14ac:dyDescent="0.25">
      <c r="C1939" s="9"/>
      <c r="D1939" s="10">
        <v>45762</v>
      </c>
      <c r="E1939" t="s">
        <v>3369</v>
      </c>
      <c r="F1939" s="11" t="s">
        <v>42</v>
      </c>
      <c r="G1939" s="8">
        <v>0</v>
      </c>
      <c r="H1939" s="8">
        <v>98.64</v>
      </c>
      <c r="I1939" s="8">
        <f t="shared" si="98"/>
        <v>-98.64</v>
      </c>
      <c r="J1939" s="12"/>
    </row>
    <row r="1940" spans="1:10" x14ac:dyDescent="0.25">
      <c r="E1940" s="4" t="s">
        <v>20</v>
      </c>
      <c r="G1940" s="8">
        <f>SUM(G1929:G1939)</f>
        <v>862.12</v>
      </c>
      <c r="H1940" s="8">
        <f>SUM(H1929:H1939)</f>
        <v>960.76</v>
      </c>
      <c r="I1940" s="8">
        <f>G1940-H1940</f>
        <v>-98.639999999999986</v>
      </c>
    </row>
    <row r="1942" spans="1:10" x14ac:dyDescent="0.25">
      <c r="A1942" s="5">
        <v>4303170</v>
      </c>
      <c r="B1942" s="6" t="s">
        <v>3370</v>
      </c>
      <c r="C1942" s="7"/>
      <c r="D1942" s="7"/>
      <c r="E1942" s="7"/>
      <c r="F1942" s="7"/>
      <c r="G1942" s="7"/>
      <c r="H1942" s="7"/>
      <c r="I1942" s="7"/>
      <c r="J1942" s="7"/>
    </row>
    <row r="1943" spans="1:10" x14ac:dyDescent="0.25">
      <c r="C1943" s="9"/>
      <c r="D1943" s="10">
        <v>45701</v>
      </c>
      <c r="E1943" t="s">
        <v>3371</v>
      </c>
      <c r="F1943" s="11" t="s">
        <v>42</v>
      </c>
      <c r="G1943" s="8">
        <v>0</v>
      </c>
      <c r="H1943" s="8">
        <v>1555.53</v>
      </c>
      <c r="I1943" s="8">
        <f>G1943-H1943</f>
        <v>-1555.53</v>
      </c>
      <c r="J1943" s="12"/>
    </row>
    <row r="1944" spans="1:10" x14ac:dyDescent="0.25">
      <c r="E1944" s="4" t="s">
        <v>20</v>
      </c>
      <c r="G1944" s="8">
        <f>G1943</f>
        <v>0</v>
      </c>
      <c r="H1944" s="8">
        <f>H1943</f>
        <v>1555.53</v>
      </c>
      <c r="I1944" s="8">
        <f>G1944-H1944</f>
        <v>-1555.53</v>
      </c>
    </row>
    <row r="1946" spans="1:10" x14ac:dyDescent="0.25">
      <c r="A1946" s="5">
        <v>4303182</v>
      </c>
      <c r="B1946" s="6" t="s">
        <v>3372</v>
      </c>
      <c r="C1946" s="7"/>
      <c r="D1946" s="7"/>
      <c r="E1946" s="7"/>
      <c r="F1946" s="7"/>
      <c r="G1946" s="7"/>
      <c r="H1946" s="7"/>
      <c r="I1946" s="7"/>
      <c r="J1946" s="7"/>
    </row>
    <row r="1947" spans="1:10" x14ac:dyDescent="0.25">
      <c r="E1947" s="4" t="s">
        <v>10</v>
      </c>
      <c r="G1947" s="8">
        <v>1128.48</v>
      </c>
      <c r="H1947" s="8">
        <v>0</v>
      </c>
      <c r="I1947" s="8">
        <f>G1947-H1947</f>
        <v>1128.48</v>
      </c>
    </row>
    <row r="1948" spans="1:10" x14ac:dyDescent="0.25">
      <c r="C1948" s="9"/>
      <c r="D1948" s="10">
        <v>45688</v>
      </c>
      <c r="E1948" t="s">
        <v>3373</v>
      </c>
      <c r="F1948" s="11" t="s">
        <v>3374</v>
      </c>
      <c r="G1948" s="8">
        <v>165.92</v>
      </c>
      <c r="H1948" s="8">
        <v>0</v>
      </c>
      <c r="I1948" s="8">
        <f>G1948-H1948+I1947</f>
        <v>1294.4000000000001</v>
      </c>
      <c r="J1948" s="12"/>
    </row>
    <row r="1949" spans="1:10" x14ac:dyDescent="0.25">
      <c r="C1949" s="9"/>
      <c r="D1949" s="10">
        <v>45688</v>
      </c>
      <c r="E1949" t="s">
        <v>1524</v>
      </c>
      <c r="F1949" s="11" t="s">
        <v>3375</v>
      </c>
      <c r="G1949" s="8">
        <v>0</v>
      </c>
      <c r="H1949" s="8">
        <v>438.13</v>
      </c>
      <c r="I1949" s="8">
        <f>G1949-H1949+I1948</f>
        <v>856.2700000000001</v>
      </c>
      <c r="J1949" s="12"/>
    </row>
    <row r="1950" spans="1:10" x14ac:dyDescent="0.25">
      <c r="C1950" s="9"/>
      <c r="D1950" s="10">
        <v>45716</v>
      </c>
      <c r="E1950" t="s">
        <v>3376</v>
      </c>
      <c r="F1950" s="11" t="s">
        <v>3377</v>
      </c>
      <c r="G1950" s="8">
        <v>175.52</v>
      </c>
      <c r="H1950" s="8">
        <v>0</v>
      </c>
      <c r="I1950" s="8">
        <f>G1950-H1950+I1949</f>
        <v>1031.7900000000002</v>
      </c>
      <c r="J1950" s="12"/>
    </row>
    <row r="1951" spans="1:10" x14ac:dyDescent="0.25">
      <c r="C1951" s="9"/>
      <c r="D1951" s="10">
        <v>45719</v>
      </c>
      <c r="E1951" t="s">
        <v>3378</v>
      </c>
      <c r="F1951" s="11" t="s">
        <v>42</v>
      </c>
      <c r="G1951" s="8">
        <v>0</v>
      </c>
      <c r="H1951" s="8">
        <v>690.35</v>
      </c>
      <c r="I1951" s="8">
        <f>G1951-H1951+I1950</f>
        <v>341.44000000000017</v>
      </c>
      <c r="J1951" s="12"/>
    </row>
    <row r="1952" spans="1:10" x14ac:dyDescent="0.25">
      <c r="C1952" s="9"/>
      <c r="D1952" s="10">
        <v>45748</v>
      </c>
      <c r="E1952" t="s">
        <v>3379</v>
      </c>
      <c r="F1952" s="11" t="s">
        <v>42</v>
      </c>
      <c r="G1952" s="8">
        <v>0</v>
      </c>
      <c r="H1952" s="8">
        <v>165.92</v>
      </c>
      <c r="I1952" s="8">
        <f>G1952-H1952+I1951</f>
        <v>175.52000000000018</v>
      </c>
      <c r="J1952" s="12"/>
    </row>
    <row r="1953" spans="1:10" x14ac:dyDescent="0.25">
      <c r="E1953" s="4" t="s">
        <v>20</v>
      </c>
      <c r="G1953" s="8">
        <f>SUM(G1947:G1952)</f>
        <v>1469.92</v>
      </c>
      <c r="H1953" s="8">
        <f>SUM(H1947:H1952)</f>
        <v>1294.4000000000001</v>
      </c>
      <c r="I1953" s="8">
        <f>G1953-H1953</f>
        <v>175.51999999999998</v>
      </c>
    </row>
    <row r="1955" spans="1:10" x14ac:dyDescent="0.25">
      <c r="A1955" s="5">
        <v>4303370</v>
      </c>
      <c r="B1955" s="6" t="s">
        <v>3380</v>
      </c>
      <c r="C1955" s="7"/>
      <c r="D1955" s="7"/>
      <c r="E1955" s="7"/>
      <c r="F1955" s="7"/>
      <c r="G1955" s="7"/>
      <c r="H1955" s="7"/>
      <c r="I1955" s="7"/>
      <c r="J1955" s="7"/>
    </row>
    <row r="1956" spans="1:10" x14ac:dyDescent="0.25">
      <c r="E1956" s="4" t="s">
        <v>10</v>
      </c>
      <c r="G1956" s="8">
        <v>1595.51</v>
      </c>
      <c r="H1956" s="8">
        <v>0</v>
      </c>
      <c r="I1956" s="8">
        <f>G1956-H1956</f>
        <v>1595.51</v>
      </c>
    </row>
    <row r="1957" spans="1:10" x14ac:dyDescent="0.25">
      <c r="C1957" s="9"/>
      <c r="D1957" s="10">
        <v>45660</v>
      </c>
      <c r="E1957" t="s">
        <v>3381</v>
      </c>
      <c r="F1957" s="11" t="s">
        <v>3382</v>
      </c>
      <c r="G1957" s="8">
        <v>0</v>
      </c>
      <c r="H1957" s="8">
        <v>627.57000000000005</v>
      </c>
      <c r="I1957" s="8">
        <f t="shared" ref="I1957:I1962" si="99">G1957-H1957+I1956</f>
        <v>967.93999999999994</v>
      </c>
      <c r="J1957" s="12"/>
    </row>
    <row r="1958" spans="1:10" x14ac:dyDescent="0.25">
      <c r="C1958" s="9"/>
      <c r="D1958" s="10">
        <v>45688</v>
      </c>
      <c r="E1958" t="s">
        <v>3383</v>
      </c>
      <c r="F1958" s="11" t="s">
        <v>3384</v>
      </c>
      <c r="G1958" s="8">
        <v>843.48</v>
      </c>
      <c r="H1958" s="8">
        <v>0</v>
      </c>
      <c r="I1958" s="8">
        <f t="shared" si="99"/>
        <v>1811.42</v>
      </c>
      <c r="J1958" s="12"/>
    </row>
    <row r="1959" spans="1:10" x14ac:dyDescent="0.25">
      <c r="C1959" s="9"/>
      <c r="D1959" s="10">
        <v>45691</v>
      </c>
      <c r="E1959" t="s">
        <v>1524</v>
      </c>
      <c r="F1959" s="11" t="s">
        <v>3385</v>
      </c>
      <c r="G1959" s="8">
        <v>0</v>
      </c>
      <c r="H1959" s="8">
        <v>709.04</v>
      </c>
      <c r="I1959" s="8">
        <f t="shared" si="99"/>
        <v>1102.3800000000001</v>
      </c>
      <c r="J1959" s="12"/>
    </row>
    <row r="1960" spans="1:10" x14ac:dyDescent="0.25">
      <c r="C1960" s="9"/>
      <c r="D1960" s="10">
        <v>45716</v>
      </c>
      <c r="E1960" t="s">
        <v>3386</v>
      </c>
      <c r="F1960" s="11" t="s">
        <v>3387</v>
      </c>
      <c r="G1960" s="8">
        <v>554.64</v>
      </c>
      <c r="H1960" s="8">
        <v>0</v>
      </c>
      <c r="I1960" s="8">
        <f t="shared" si="99"/>
        <v>1657.02</v>
      </c>
      <c r="J1960" s="12"/>
    </row>
    <row r="1961" spans="1:10" x14ac:dyDescent="0.25">
      <c r="C1961" s="9"/>
      <c r="D1961" s="10">
        <v>45743</v>
      </c>
      <c r="E1961" t="s">
        <v>1524</v>
      </c>
      <c r="F1961" s="11" t="s">
        <v>3388</v>
      </c>
      <c r="G1961" s="8">
        <v>0</v>
      </c>
      <c r="H1961" s="8">
        <v>258.92</v>
      </c>
      <c r="I1961" s="8">
        <f t="shared" si="99"/>
        <v>1398.1</v>
      </c>
      <c r="J1961" s="12"/>
    </row>
    <row r="1962" spans="1:10" x14ac:dyDescent="0.25">
      <c r="C1962" s="9"/>
      <c r="D1962" s="10">
        <v>45747</v>
      </c>
      <c r="E1962" t="s">
        <v>3389</v>
      </c>
      <c r="F1962" s="11" t="s">
        <v>3390</v>
      </c>
      <c r="G1962" s="8">
        <v>386.98</v>
      </c>
      <c r="H1962" s="8">
        <v>0</v>
      </c>
      <c r="I1962" s="8">
        <f t="shared" si="99"/>
        <v>1785.08</v>
      </c>
      <c r="J1962" s="12"/>
    </row>
    <row r="1963" spans="1:10" x14ac:dyDescent="0.25">
      <c r="E1963" s="4" t="s">
        <v>20</v>
      </c>
      <c r="G1963" s="8">
        <f>SUM(G1956:G1962)</f>
        <v>3380.6099999999997</v>
      </c>
      <c r="H1963" s="8">
        <f>SUM(H1956:H1962)</f>
        <v>1595.5300000000002</v>
      </c>
      <c r="I1963" s="8">
        <f>G1963-H1963</f>
        <v>1785.0799999999995</v>
      </c>
    </row>
    <row r="1965" spans="1:10" x14ac:dyDescent="0.25">
      <c r="A1965" s="5">
        <v>4303387</v>
      </c>
      <c r="B1965" s="6" t="s">
        <v>3391</v>
      </c>
      <c r="C1965" s="7"/>
      <c r="D1965" s="7"/>
      <c r="E1965" s="7"/>
      <c r="F1965" s="7"/>
      <c r="G1965" s="7"/>
      <c r="H1965" s="7"/>
      <c r="I1965" s="7"/>
      <c r="J1965" s="7"/>
    </row>
    <row r="1966" spans="1:10" x14ac:dyDescent="0.25">
      <c r="E1966" s="4" t="s">
        <v>10</v>
      </c>
      <c r="G1966" s="8">
        <v>863.37</v>
      </c>
      <c r="H1966" s="8">
        <v>0</v>
      </c>
      <c r="I1966" s="8">
        <f>G1966-H1966</f>
        <v>863.37</v>
      </c>
    </row>
    <row r="1967" spans="1:10" x14ac:dyDescent="0.25">
      <c r="C1967" s="9"/>
      <c r="D1967" s="10">
        <v>45660</v>
      </c>
      <c r="E1967" t="s">
        <v>1524</v>
      </c>
      <c r="F1967" s="11" t="s">
        <v>3392</v>
      </c>
      <c r="G1967" s="8">
        <v>0</v>
      </c>
      <c r="H1967" s="8">
        <v>863.37</v>
      </c>
      <c r="I1967" s="8">
        <f t="shared" ref="I1967:I1980" si="100">G1967-H1967+I1966</f>
        <v>0</v>
      </c>
      <c r="J1967" s="12"/>
    </row>
    <row r="1968" spans="1:10" x14ac:dyDescent="0.25">
      <c r="C1968" s="9"/>
      <c r="D1968" s="10">
        <v>45671</v>
      </c>
      <c r="E1968" t="s">
        <v>3393</v>
      </c>
      <c r="F1968" s="11" t="s">
        <v>3394</v>
      </c>
      <c r="G1968" s="8">
        <v>767.58</v>
      </c>
      <c r="H1968" s="8">
        <v>0</v>
      </c>
      <c r="I1968" s="8">
        <f t="shared" si="100"/>
        <v>767.58</v>
      </c>
      <c r="J1968" s="12"/>
    </row>
    <row r="1969" spans="1:10" x14ac:dyDescent="0.25">
      <c r="C1969" s="9"/>
      <c r="D1969" s="10">
        <v>45672</v>
      </c>
      <c r="E1969" t="s">
        <v>1524</v>
      </c>
      <c r="F1969" s="11" t="s">
        <v>3394</v>
      </c>
      <c r="G1969" s="8">
        <v>0</v>
      </c>
      <c r="H1969" s="8">
        <v>767.58</v>
      </c>
      <c r="I1969" s="8">
        <f t="shared" si="100"/>
        <v>0</v>
      </c>
      <c r="J1969" s="12"/>
    </row>
    <row r="1970" spans="1:10" x14ac:dyDescent="0.25">
      <c r="C1970" s="9"/>
      <c r="D1970" s="10">
        <v>45688</v>
      </c>
      <c r="E1970" t="s">
        <v>3395</v>
      </c>
      <c r="F1970" s="11" t="s">
        <v>3396</v>
      </c>
      <c r="G1970" s="8">
        <v>527.51</v>
      </c>
      <c r="H1970" s="8">
        <v>0</v>
      </c>
      <c r="I1970" s="8">
        <f t="shared" si="100"/>
        <v>527.51</v>
      </c>
      <c r="J1970" s="12"/>
    </row>
    <row r="1971" spans="1:10" x14ac:dyDescent="0.25">
      <c r="C1971" s="9" t="s">
        <v>124</v>
      </c>
      <c r="D1971" s="10">
        <v>45691</v>
      </c>
      <c r="E1971" t="s">
        <v>3397</v>
      </c>
      <c r="F1971" s="11" t="s">
        <v>3396</v>
      </c>
      <c r="G1971" s="8">
        <v>0</v>
      </c>
      <c r="H1971" s="8">
        <v>527.51</v>
      </c>
      <c r="I1971" s="8">
        <f t="shared" si="100"/>
        <v>0</v>
      </c>
      <c r="J1971" s="12"/>
    </row>
    <row r="1972" spans="1:10" x14ac:dyDescent="0.25">
      <c r="C1972" s="9"/>
      <c r="D1972" s="10">
        <v>45702</v>
      </c>
      <c r="E1972" t="s">
        <v>3398</v>
      </c>
      <c r="F1972" s="11" t="s">
        <v>3399</v>
      </c>
      <c r="G1972" s="8">
        <v>694.32</v>
      </c>
      <c r="H1972" s="8">
        <v>0</v>
      </c>
      <c r="I1972" s="8">
        <f t="shared" si="100"/>
        <v>694.32</v>
      </c>
      <c r="J1972" s="12"/>
    </row>
    <row r="1973" spans="1:10" x14ac:dyDescent="0.25">
      <c r="C1973" s="9"/>
      <c r="D1973" s="10">
        <v>45705</v>
      </c>
      <c r="E1973" t="s">
        <v>1524</v>
      </c>
      <c r="F1973" s="11" t="s">
        <v>3399</v>
      </c>
      <c r="G1973" s="8">
        <v>0</v>
      </c>
      <c r="H1973" s="8">
        <v>694.32</v>
      </c>
      <c r="I1973" s="8">
        <f t="shared" si="100"/>
        <v>0</v>
      </c>
      <c r="J1973" s="12"/>
    </row>
    <row r="1974" spans="1:10" x14ac:dyDescent="0.25">
      <c r="C1974" s="9"/>
      <c r="D1974" s="10">
        <v>45716</v>
      </c>
      <c r="E1974" t="s">
        <v>3400</v>
      </c>
      <c r="F1974" s="11" t="s">
        <v>3401</v>
      </c>
      <c r="G1974" s="8">
        <v>209.45</v>
      </c>
      <c r="H1974" s="8">
        <v>0</v>
      </c>
      <c r="I1974" s="8">
        <f t="shared" si="100"/>
        <v>209.45</v>
      </c>
      <c r="J1974" s="12"/>
    </row>
    <row r="1975" spans="1:10" x14ac:dyDescent="0.25">
      <c r="C1975" s="9"/>
      <c r="D1975" s="10">
        <v>45720</v>
      </c>
      <c r="E1975" t="s">
        <v>1524</v>
      </c>
      <c r="F1975" s="11" t="s">
        <v>3401</v>
      </c>
      <c r="G1975" s="8">
        <v>0</v>
      </c>
      <c r="H1975" s="8">
        <v>209.45</v>
      </c>
      <c r="I1975" s="8">
        <f t="shared" si="100"/>
        <v>0</v>
      </c>
      <c r="J1975" s="12"/>
    </row>
    <row r="1976" spans="1:10" x14ac:dyDescent="0.25">
      <c r="C1976" s="9"/>
      <c r="D1976" s="10">
        <v>45730</v>
      </c>
      <c r="E1976" t="s">
        <v>3402</v>
      </c>
      <c r="F1976" s="11" t="s">
        <v>3403</v>
      </c>
      <c r="G1976" s="8">
        <v>128.26</v>
      </c>
      <c r="H1976" s="8">
        <v>0</v>
      </c>
      <c r="I1976" s="8">
        <f t="shared" si="100"/>
        <v>128.26</v>
      </c>
      <c r="J1976" s="12"/>
    </row>
    <row r="1977" spans="1:10" x14ac:dyDescent="0.25">
      <c r="C1977" s="9"/>
      <c r="D1977" s="10">
        <v>45733</v>
      </c>
      <c r="E1977" t="s">
        <v>1524</v>
      </c>
      <c r="F1977" s="11" t="s">
        <v>3403</v>
      </c>
      <c r="G1977" s="8">
        <v>0</v>
      </c>
      <c r="H1977" s="8">
        <v>128.26</v>
      </c>
      <c r="I1977" s="8">
        <f t="shared" si="100"/>
        <v>0</v>
      </c>
      <c r="J1977" s="12"/>
    </row>
    <row r="1978" spans="1:10" x14ac:dyDescent="0.25">
      <c r="C1978" s="9"/>
      <c r="D1978" s="10">
        <v>45747</v>
      </c>
      <c r="E1978" t="s">
        <v>3404</v>
      </c>
      <c r="F1978" s="11" t="s">
        <v>3405</v>
      </c>
      <c r="G1978" s="8">
        <v>398.11</v>
      </c>
      <c r="H1978" s="8">
        <v>0</v>
      </c>
      <c r="I1978" s="8">
        <f t="shared" si="100"/>
        <v>398.11</v>
      </c>
      <c r="J1978" s="12"/>
    </row>
    <row r="1979" spans="1:10" x14ac:dyDescent="0.25">
      <c r="C1979" s="9"/>
      <c r="D1979" s="10">
        <v>45748</v>
      </c>
      <c r="E1979" t="s">
        <v>1524</v>
      </c>
      <c r="F1979" s="11" t="s">
        <v>3405</v>
      </c>
      <c r="G1979" s="8">
        <v>0</v>
      </c>
      <c r="H1979" s="8">
        <v>398.11</v>
      </c>
      <c r="I1979" s="8">
        <f t="shared" si="100"/>
        <v>0</v>
      </c>
      <c r="J1979" s="12"/>
    </row>
    <row r="1980" spans="1:10" x14ac:dyDescent="0.25">
      <c r="C1980" s="9"/>
      <c r="D1980" s="10">
        <v>45762</v>
      </c>
      <c r="E1980" t="s">
        <v>3406</v>
      </c>
      <c r="F1980" s="11" t="s">
        <v>42</v>
      </c>
      <c r="G1980" s="8">
        <v>0</v>
      </c>
      <c r="H1980" s="8">
        <v>559.54999999999995</v>
      </c>
      <c r="I1980" s="8">
        <f t="shared" si="100"/>
        <v>-559.54999999999995</v>
      </c>
      <c r="J1980" s="12"/>
    </row>
    <row r="1981" spans="1:10" x14ac:dyDescent="0.25">
      <c r="E1981" s="4" t="s">
        <v>20</v>
      </c>
      <c r="G1981" s="8">
        <f>SUM(G1966:G1980)</f>
        <v>3588.6</v>
      </c>
      <c r="H1981" s="8">
        <f>SUM(H1966:H1980)</f>
        <v>4148.1499999999996</v>
      </c>
      <c r="I1981" s="8">
        <f>G1981-H1981</f>
        <v>-559.54999999999973</v>
      </c>
    </row>
    <row r="1983" spans="1:10" x14ac:dyDescent="0.25">
      <c r="A1983" s="5">
        <v>4303535</v>
      </c>
      <c r="B1983" s="6" t="s">
        <v>3407</v>
      </c>
      <c r="C1983" s="7"/>
      <c r="D1983" s="7"/>
      <c r="E1983" s="7"/>
      <c r="F1983" s="7"/>
      <c r="G1983" s="7"/>
      <c r="H1983" s="7"/>
      <c r="I1983" s="7"/>
      <c r="J1983" s="7"/>
    </row>
    <row r="1984" spans="1:10" x14ac:dyDescent="0.25">
      <c r="C1984" s="9"/>
      <c r="D1984" s="10">
        <v>45688</v>
      </c>
      <c r="E1984" t="s">
        <v>3408</v>
      </c>
      <c r="F1984" s="11" t="s">
        <v>3409</v>
      </c>
      <c r="G1984" s="8">
        <v>95.11</v>
      </c>
      <c r="H1984" s="8">
        <v>0</v>
      </c>
      <c r="I1984" s="8">
        <f>G1984-H1984</f>
        <v>95.11</v>
      </c>
      <c r="J1984" s="12"/>
    </row>
    <row r="1985" spans="1:10" x14ac:dyDescent="0.25">
      <c r="C1985" s="9" t="s">
        <v>124</v>
      </c>
      <c r="D1985" s="10">
        <v>45691</v>
      </c>
      <c r="E1985" t="s">
        <v>3410</v>
      </c>
      <c r="F1985" s="11" t="s">
        <v>3409</v>
      </c>
      <c r="G1985" s="8">
        <v>0</v>
      </c>
      <c r="H1985" s="8">
        <v>95.11</v>
      </c>
      <c r="I1985" s="8">
        <f t="shared" ref="I1985:I1990" si="101">G1985-H1985+I1984</f>
        <v>0</v>
      </c>
      <c r="J1985" s="12"/>
    </row>
    <row r="1986" spans="1:10" x14ac:dyDescent="0.25">
      <c r="C1986" s="9"/>
      <c r="D1986" s="10">
        <v>45716</v>
      </c>
      <c r="E1986" t="s">
        <v>3411</v>
      </c>
      <c r="F1986" s="11" t="s">
        <v>3412</v>
      </c>
      <c r="G1986" s="8">
        <v>459.91</v>
      </c>
      <c r="H1986" s="8">
        <v>0</v>
      </c>
      <c r="I1986" s="8">
        <f t="shared" si="101"/>
        <v>459.91</v>
      </c>
      <c r="J1986" s="12"/>
    </row>
    <row r="1987" spans="1:10" x14ac:dyDescent="0.25">
      <c r="C1987" s="9"/>
      <c r="D1987" s="10">
        <v>45720</v>
      </c>
      <c r="E1987" t="s">
        <v>1524</v>
      </c>
      <c r="F1987" s="11" t="s">
        <v>3412</v>
      </c>
      <c r="G1987" s="8">
        <v>0</v>
      </c>
      <c r="H1987" s="8">
        <v>459.91</v>
      </c>
      <c r="I1987" s="8">
        <f t="shared" si="101"/>
        <v>0</v>
      </c>
      <c r="J1987" s="12"/>
    </row>
    <row r="1988" spans="1:10" x14ac:dyDescent="0.25">
      <c r="C1988" s="9"/>
      <c r="D1988" s="10">
        <v>45747</v>
      </c>
      <c r="E1988" t="s">
        <v>3413</v>
      </c>
      <c r="F1988" s="11" t="s">
        <v>3414</v>
      </c>
      <c r="G1988" s="8">
        <v>96.32</v>
      </c>
      <c r="H1988" s="8">
        <v>0</v>
      </c>
      <c r="I1988" s="8">
        <f t="shared" si="101"/>
        <v>96.32</v>
      </c>
      <c r="J1988" s="12"/>
    </row>
    <row r="1989" spans="1:10" x14ac:dyDescent="0.25">
      <c r="C1989" s="9"/>
      <c r="D1989" s="10">
        <v>45748</v>
      </c>
      <c r="E1989" t="s">
        <v>1524</v>
      </c>
      <c r="F1989" s="11" t="s">
        <v>3414</v>
      </c>
      <c r="G1989" s="8">
        <v>0</v>
      </c>
      <c r="H1989" s="8">
        <v>96.32</v>
      </c>
      <c r="I1989" s="8">
        <f t="shared" si="101"/>
        <v>0</v>
      </c>
      <c r="J1989" s="12"/>
    </row>
    <row r="1990" spans="1:10" x14ac:dyDescent="0.25">
      <c r="C1990" s="9"/>
      <c r="D1990" s="10">
        <v>45762</v>
      </c>
      <c r="E1990" t="s">
        <v>3415</v>
      </c>
      <c r="F1990" s="11" t="s">
        <v>42</v>
      </c>
      <c r="G1990" s="8">
        <v>0</v>
      </c>
      <c r="H1990" s="8">
        <v>33.44</v>
      </c>
      <c r="I1990" s="8">
        <f t="shared" si="101"/>
        <v>-33.44</v>
      </c>
      <c r="J1990" s="12"/>
    </row>
    <row r="1991" spans="1:10" x14ac:dyDescent="0.25">
      <c r="E1991" s="4" t="s">
        <v>20</v>
      </c>
      <c r="G1991" s="8">
        <f>SUM(G1984:G1990)</f>
        <v>651.33999999999992</v>
      </c>
      <c r="H1991" s="8">
        <f>SUM(H1984:H1990)</f>
        <v>684.78</v>
      </c>
      <c r="I1991" s="8">
        <f>G1991-H1991</f>
        <v>-33.440000000000055</v>
      </c>
    </row>
    <row r="1993" spans="1:10" x14ac:dyDescent="0.25">
      <c r="A1993" s="5">
        <v>4303550</v>
      </c>
      <c r="B1993" s="6" t="s">
        <v>3416</v>
      </c>
      <c r="C1993" s="7"/>
      <c r="D1993" s="7"/>
      <c r="E1993" s="7"/>
      <c r="F1993" s="7"/>
      <c r="G1993" s="7"/>
      <c r="H1993" s="7"/>
      <c r="I1993" s="7"/>
      <c r="J1993" s="7"/>
    </row>
    <row r="1994" spans="1:10" x14ac:dyDescent="0.25">
      <c r="E1994" s="4" t="s">
        <v>10</v>
      </c>
      <c r="G1994" s="8">
        <v>6.5</v>
      </c>
      <c r="H1994" s="8">
        <v>0</v>
      </c>
      <c r="I1994" s="8">
        <f>G1994-H1994</f>
        <v>6.5</v>
      </c>
    </row>
    <row r="1995" spans="1:10" x14ac:dyDescent="0.25">
      <c r="E1995" s="4" t="s">
        <v>20</v>
      </c>
      <c r="G1995" s="8">
        <f>G1994</f>
        <v>6.5</v>
      </c>
      <c r="H1995" s="8">
        <f>H1994</f>
        <v>0</v>
      </c>
      <c r="I1995" s="8">
        <f>G1995-H1995</f>
        <v>6.5</v>
      </c>
    </row>
    <row r="1997" spans="1:10" x14ac:dyDescent="0.25">
      <c r="A1997" s="5">
        <v>4303565</v>
      </c>
      <c r="B1997" s="6" t="s">
        <v>3417</v>
      </c>
      <c r="C1997" s="7"/>
      <c r="D1997" s="7"/>
      <c r="E1997" s="7"/>
      <c r="F1997" s="7"/>
      <c r="G1997" s="7"/>
      <c r="H1997" s="7"/>
      <c r="I1997" s="7"/>
      <c r="J1997" s="7"/>
    </row>
    <row r="1998" spans="1:10" x14ac:dyDescent="0.25">
      <c r="E1998" s="4" t="s">
        <v>10</v>
      </c>
      <c r="G1998" s="8">
        <v>82.62</v>
      </c>
      <c r="H1998" s="8">
        <v>0</v>
      </c>
      <c r="I1998" s="8">
        <f>G1998-H1998</f>
        <v>82.62</v>
      </c>
    </row>
    <row r="1999" spans="1:10" x14ac:dyDescent="0.25">
      <c r="C1999" s="9"/>
      <c r="D1999" s="10">
        <v>45699</v>
      </c>
      <c r="E1999" t="s">
        <v>1524</v>
      </c>
      <c r="F1999" s="11" t="s">
        <v>3418</v>
      </c>
      <c r="G1999" s="8">
        <v>0</v>
      </c>
      <c r="H1999" s="8">
        <v>53.12</v>
      </c>
      <c r="I1999" s="8">
        <f>G1999-H1999+I1998</f>
        <v>29.500000000000007</v>
      </c>
      <c r="J1999" s="12"/>
    </row>
    <row r="2000" spans="1:10" x14ac:dyDescent="0.25">
      <c r="C2000" s="9"/>
      <c r="D2000" s="10">
        <v>45716</v>
      </c>
      <c r="E2000" t="s">
        <v>3419</v>
      </c>
      <c r="F2000" s="11" t="s">
        <v>3420</v>
      </c>
      <c r="G2000" s="8">
        <v>66.47</v>
      </c>
      <c r="H2000" s="8">
        <v>0</v>
      </c>
      <c r="I2000" s="8">
        <f>G2000-H2000+I1999</f>
        <v>95.97</v>
      </c>
      <c r="J2000" s="12"/>
    </row>
    <row r="2001" spans="1:10" x14ac:dyDescent="0.25">
      <c r="C2001" s="9"/>
      <c r="D2001" s="10">
        <v>45750</v>
      </c>
      <c r="E2001" t="s">
        <v>3421</v>
      </c>
      <c r="F2001" s="11" t="s">
        <v>42</v>
      </c>
      <c r="G2001" s="8">
        <v>0</v>
      </c>
      <c r="H2001" s="8">
        <v>29.5</v>
      </c>
      <c r="I2001" s="8">
        <f>G2001-H2001+I2000</f>
        <v>66.47</v>
      </c>
      <c r="J2001" s="12"/>
    </row>
    <row r="2002" spans="1:10" x14ac:dyDescent="0.25">
      <c r="E2002" s="4" t="s">
        <v>20</v>
      </c>
      <c r="G2002" s="8">
        <f>SUM(G1998:G2001)</f>
        <v>149.09</v>
      </c>
      <c r="H2002" s="8">
        <f>SUM(H1998:H2001)</f>
        <v>82.62</v>
      </c>
      <c r="I2002" s="8">
        <f>G2002-H2002</f>
        <v>66.47</v>
      </c>
    </row>
    <row r="2004" spans="1:10" x14ac:dyDescent="0.25">
      <c r="A2004" s="5">
        <v>4303585</v>
      </c>
      <c r="B2004" s="6" t="s">
        <v>3422</v>
      </c>
      <c r="C2004" s="7"/>
      <c r="D2004" s="7"/>
      <c r="E2004" s="7"/>
      <c r="F2004" s="7"/>
      <c r="G2004" s="7"/>
      <c r="H2004" s="7"/>
      <c r="I2004" s="7"/>
      <c r="J2004" s="7"/>
    </row>
    <row r="2005" spans="1:10" x14ac:dyDescent="0.25">
      <c r="E2005" s="4" t="s">
        <v>10</v>
      </c>
      <c r="G2005" s="8">
        <v>598.62</v>
      </c>
      <c r="H2005" s="8">
        <v>0</v>
      </c>
      <c r="I2005" s="8">
        <f>G2005-H2005</f>
        <v>598.62</v>
      </c>
    </row>
    <row r="2006" spans="1:10" x14ac:dyDescent="0.25">
      <c r="C2006" s="9"/>
      <c r="D2006" s="10">
        <v>45671</v>
      </c>
      <c r="E2006" t="s">
        <v>3423</v>
      </c>
      <c r="F2006" s="11" t="s">
        <v>3424</v>
      </c>
      <c r="G2006" s="8">
        <v>93.9</v>
      </c>
      <c r="H2006" s="8">
        <v>0</v>
      </c>
      <c r="I2006" s="8">
        <f t="shared" ref="I2006:I2013" si="102">G2006-H2006+I2005</f>
        <v>692.52</v>
      </c>
      <c r="J2006" s="12"/>
    </row>
    <row r="2007" spans="1:10" x14ac:dyDescent="0.25">
      <c r="C2007" s="9"/>
      <c r="D2007" s="10">
        <v>45685</v>
      </c>
      <c r="E2007" t="s">
        <v>1524</v>
      </c>
      <c r="F2007" s="11" t="s">
        <v>3425</v>
      </c>
      <c r="G2007" s="8">
        <v>0</v>
      </c>
      <c r="H2007" s="8">
        <v>93.87</v>
      </c>
      <c r="I2007" s="8">
        <f t="shared" si="102"/>
        <v>598.65</v>
      </c>
      <c r="J2007" s="12"/>
    </row>
    <row r="2008" spans="1:10" x14ac:dyDescent="0.25">
      <c r="C2008" s="9"/>
      <c r="D2008" s="10">
        <v>45688</v>
      </c>
      <c r="E2008" t="s">
        <v>3426</v>
      </c>
      <c r="F2008" s="11" t="s">
        <v>3427</v>
      </c>
      <c r="G2008" s="8">
        <v>113.82</v>
      </c>
      <c r="H2008" s="8">
        <v>0</v>
      </c>
      <c r="I2008" s="8">
        <f t="shared" si="102"/>
        <v>712.47</v>
      </c>
      <c r="J2008" s="12"/>
    </row>
    <row r="2009" spans="1:10" x14ac:dyDescent="0.25">
      <c r="C2009" s="9"/>
      <c r="D2009" s="10">
        <v>45702</v>
      </c>
      <c r="E2009" t="s">
        <v>3428</v>
      </c>
      <c r="F2009" s="11" t="s">
        <v>3429</v>
      </c>
      <c r="G2009" s="8">
        <v>296.93</v>
      </c>
      <c r="H2009" s="8">
        <v>0</v>
      </c>
      <c r="I2009" s="8">
        <f t="shared" si="102"/>
        <v>1009.4000000000001</v>
      </c>
      <c r="J2009" s="12"/>
    </row>
    <row r="2010" spans="1:10" x14ac:dyDescent="0.25">
      <c r="C2010" s="9"/>
      <c r="D2010" s="10">
        <v>45714</v>
      </c>
      <c r="E2010" t="s">
        <v>1524</v>
      </c>
      <c r="F2010" s="11" t="s">
        <v>3430</v>
      </c>
      <c r="G2010" s="8">
        <v>0</v>
      </c>
      <c r="H2010" s="8">
        <v>101.62</v>
      </c>
      <c r="I2010" s="8">
        <f t="shared" si="102"/>
        <v>907.78000000000009</v>
      </c>
      <c r="J2010" s="12"/>
    </row>
    <row r="2011" spans="1:10" x14ac:dyDescent="0.25">
      <c r="C2011" s="9"/>
      <c r="D2011" s="10">
        <v>45730</v>
      </c>
      <c r="E2011" t="s">
        <v>3431</v>
      </c>
      <c r="F2011" s="11" t="s">
        <v>3432</v>
      </c>
      <c r="G2011" s="8">
        <v>250.99</v>
      </c>
      <c r="H2011" s="8">
        <v>0</v>
      </c>
      <c r="I2011" s="8">
        <f t="shared" si="102"/>
        <v>1158.77</v>
      </c>
      <c r="J2011" s="12"/>
    </row>
    <row r="2012" spans="1:10" x14ac:dyDescent="0.25">
      <c r="C2012" s="9"/>
      <c r="D2012" s="10">
        <v>45742</v>
      </c>
      <c r="E2012" t="s">
        <v>1524</v>
      </c>
      <c r="F2012" s="11" t="s">
        <v>3424</v>
      </c>
      <c r="G2012" s="8">
        <v>0</v>
      </c>
      <c r="H2012" s="8">
        <v>93.9</v>
      </c>
      <c r="I2012" s="8">
        <f t="shared" si="102"/>
        <v>1064.8699999999999</v>
      </c>
      <c r="J2012" s="12"/>
    </row>
    <row r="2013" spans="1:10" x14ac:dyDescent="0.25">
      <c r="C2013" s="9"/>
      <c r="D2013" s="10">
        <v>45747</v>
      </c>
      <c r="E2013" t="s">
        <v>3433</v>
      </c>
      <c r="F2013" s="11" t="s">
        <v>3434</v>
      </c>
      <c r="G2013" s="8">
        <v>301.98</v>
      </c>
      <c r="H2013" s="8">
        <v>0</v>
      </c>
      <c r="I2013" s="8">
        <f t="shared" si="102"/>
        <v>1366.85</v>
      </c>
      <c r="J2013" s="12"/>
    </row>
    <row r="2014" spans="1:10" x14ac:dyDescent="0.25">
      <c r="E2014" s="4" t="s">
        <v>20</v>
      </c>
      <c r="G2014" s="8">
        <f>SUM(G2005:G2013)</f>
        <v>1656.24</v>
      </c>
      <c r="H2014" s="8">
        <f>SUM(H2005:H2013)</f>
        <v>289.39</v>
      </c>
      <c r="I2014" s="8">
        <f>G2014-H2014</f>
        <v>1366.85</v>
      </c>
    </row>
    <row r="2016" spans="1:10" x14ac:dyDescent="0.25">
      <c r="A2016" s="5">
        <v>4303598</v>
      </c>
      <c r="B2016" s="6" t="s">
        <v>3435</v>
      </c>
      <c r="C2016" s="7"/>
      <c r="D2016" s="7"/>
      <c r="E2016" s="7"/>
      <c r="F2016" s="7"/>
      <c r="G2016" s="7"/>
      <c r="H2016" s="7"/>
      <c r="I2016" s="7"/>
      <c r="J2016" s="7"/>
    </row>
    <row r="2017" spans="1:10" x14ac:dyDescent="0.25">
      <c r="E2017" s="4" t="s">
        <v>10</v>
      </c>
      <c r="G2017" s="8">
        <v>110.68</v>
      </c>
      <c r="H2017" s="8">
        <v>0</v>
      </c>
      <c r="I2017" s="8">
        <f>G2017-H2017</f>
        <v>110.68</v>
      </c>
    </row>
    <row r="2018" spans="1:10" x14ac:dyDescent="0.25">
      <c r="C2018" s="9"/>
      <c r="D2018" s="10">
        <v>45659</v>
      </c>
      <c r="E2018" t="s">
        <v>3436</v>
      </c>
      <c r="F2018" s="11" t="s">
        <v>42</v>
      </c>
      <c r="G2018" s="8">
        <v>0</v>
      </c>
      <c r="H2018" s="8">
        <v>39.68</v>
      </c>
      <c r="I2018" s="8">
        <f t="shared" ref="I2018:I2023" si="103">G2018-H2018+I2017</f>
        <v>71</v>
      </c>
      <c r="J2018" s="12"/>
    </row>
    <row r="2019" spans="1:10" x14ac:dyDescent="0.25">
      <c r="C2019" s="9"/>
      <c r="D2019" s="10">
        <v>45688</v>
      </c>
      <c r="E2019" t="s">
        <v>3437</v>
      </c>
      <c r="F2019" s="11" t="s">
        <v>3438</v>
      </c>
      <c r="G2019" s="8">
        <v>101.52</v>
      </c>
      <c r="H2019" s="8">
        <v>0</v>
      </c>
      <c r="I2019" s="8">
        <f t="shared" si="103"/>
        <v>172.51999999999998</v>
      </c>
      <c r="J2019" s="12"/>
    </row>
    <row r="2020" spans="1:10" x14ac:dyDescent="0.25">
      <c r="C2020" s="9"/>
      <c r="D2020" s="10">
        <v>45691</v>
      </c>
      <c r="E2020" t="s">
        <v>1524</v>
      </c>
      <c r="F2020" s="11" t="s">
        <v>3438</v>
      </c>
      <c r="G2020" s="8">
        <v>0</v>
      </c>
      <c r="H2020" s="8">
        <v>101.52</v>
      </c>
      <c r="I2020" s="8">
        <f t="shared" si="103"/>
        <v>70.999999999999986</v>
      </c>
      <c r="J2020" s="12"/>
    </row>
    <row r="2021" spans="1:10" x14ac:dyDescent="0.25">
      <c r="C2021" s="9"/>
      <c r="D2021" s="10">
        <v>45716</v>
      </c>
      <c r="E2021" t="s">
        <v>3439</v>
      </c>
      <c r="F2021" s="11" t="s">
        <v>3440</v>
      </c>
      <c r="G2021" s="8">
        <v>54.45</v>
      </c>
      <c r="H2021" s="8">
        <v>0</v>
      </c>
      <c r="I2021" s="8">
        <f t="shared" si="103"/>
        <v>125.44999999999999</v>
      </c>
      <c r="J2021" s="12"/>
    </row>
    <row r="2022" spans="1:10" x14ac:dyDescent="0.25">
      <c r="C2022" s="9" t="s">
        <v>124</v>
      </c>
      <c r="D2022" s="10">
        <v>45719</v>
      </c>
      <c r="E2022" t="s">
        <v>3441</v>
      </c>
      <c r="F2022" s="11" t="s">
        <v>42</v>
      </c>
      <c r="G2022" s="8">
        <v>0</v>
      </c>
      <c r="H2022" s="8">
        <v>54.45</v>
      </c>
      <c r="I2022" s="8">
        <f t="shared" si="103"/>
        <v>70.999999999999986</v>
      </c>
      <c r="J2022" s="12"/>
    </row>
    <row r="2023" spans="1:10" x14ac:dyDescent="0.25">
      <c r="C2023" s="9"/>
      <c r="D2023" s="10">
        <v>45762</v>
      </c>
      <c r="E2023" t="s">
        <v>3441</v>
      </c>
      <c r="F2023" s="11" t="s">
        <v>42</v>
      </c>
      <c r="G2023" s="8">
        <v>0</v>
      </c>
      <c r="H2023" s="8">
        <v>79.75</v>
      </c>
      <c r="I2023" s="8">
        <f t="shared" si="103"/>
        <v>-8.7500000000000142</v>
      </c>
      <c r="J2023" s="12"/>
    </row>
    <row r="2024" spans="1:10" x14ac:dyDescent="0.25">
      <c r="E2024" s="4" t="s">
        <v>20</v>
      </c>
      <c r="G2024" s="8">
        <f>SUM(G2017:G2023)</f>
        <v>266.64999999999998</v>
      </c>
      <c r="H2024" s="8">
        <f>SUM(H2017:H2023)</f>
        <v>275.39999999999998</v>
      </c>
      <c r="I2024" s="8">
        <f>G2024-H2024</f>
        <v>-8.75</v>
      </c>
    </row>
    <row r="2026" spans="1:10" x14ac:dyDescent="0.25">
      <c r="A2026" s="5">
        <v>4303816</v>
      </c>
      <c r="B2026" s="6" t="s">
        <v>955</v>
      </c>
      <c r="C2026" s="7"/>
      <c r="D2026" s="7"/>
      <c r="E2026" s="7"/>
      <c r="F2026" s="7"/>
      <c r="G2026" s="7"/>
      <c r="H2026" s="7"/>
      <c r="I2026" s="7"/>
      <c r="J2026" s="7"/>
    </row>
    <row r="2027" spans="1:10" x14ac:dyDescent="0.25">
      <c r="E2027" s="4" t="s">
        <v>10</v>
      </c>
      <c r="G2027" s="8">
        <v>19.23</v>
      </c>
      <c r="H2027" s="8">
        <v>0</v>
      </c>
      <c r="I2027" s="8">
        <f>G2027-H2027</f>
        <v>19.23</v>
      </c>
    </row>
    <row r="2028" spans="1:10" x14ac:dyDescent="0.25">
      <c r="C2028" s="9"/>
      <c r="D2028" s="10">
        <v>45672</v>
      </c>
      <c r="E2028" t="s">
        <v>3442</v>
      </c>
      <c r="F2028" s="11" t="s">
        <v>42</v>
      </c>
      <c r="G2028" s="8">
        <v>167.71</v>
      </c>
      <c r="H2028" s="8">
        <v>0</v>
      </c>
      <c r="I2028" s="8">
        <f t="shared" ref="I2028:I2034" si="104">G2028-H2028+I2027</f>
        <v>186.94</v>
      </c>
      <c r="J2028" s="12"/>
    </row>
    <row r="2029" spans="1:10" x14ac:dyDescent="0.25">
      <c r="C2029" s="9"/>
      <c r="D2029" s="10">
        <v>45688</v>
      </c>
      <c r="E2029" t="s">
        <v>3443</v>
      </c>
      <c r="F2029" s="11" t="s">
        <v>3444</v>
      </c>
      <c r="G2029" s="8">
        <v>34.22</v>
      </c>
      <c r="H2029" s="8">
        <v>0</v>
      </c>
      <c r="I2029" s="8">
        <f t="shared" si="104"/>
        <v>221.16</v>
      </c>
      <c r="J2029" s="12"/>
    </row>
    <row r="2030" spans="1:10" x14ac:dyDescent="0.25">
      <c r="C2030" s="9" t="s">
        <v>124</v>
      </c>
      <c r="D2030" s="10">
        <v>45691</v>
      </c>
      <c r="E2030" t="s">
        <v>3445</v>
      </c>
      <c r="F2030" s="11" t="s">
        <v>3446</v>
      </c>
      <c r="G2030" s="8">
        <v>0</v>
      </c>
      <c r="H2030" s="8">
        <v>53.45</v>
      </c>
      <c r="I2030" s="8">
        <f t="shared" si="104"/>
        <v>167.70999999999998</v>
      </c>
      <c r="J2030" s="12"/>
    </row>
    <row r="2031" spans="1:10" x14ac:dyDescent="0.25">
      <c r="C2031" s="9"/>
      <c r="D2031" s="10">
        <v>45702</v>
      </c>
      <c r="E2031" t="s">
        <v>3447</v>
      </c>
      <c r="F2031" s="11" t="s">
        <v>3448</v>
      </c>
      <c r="G2031" s="8">
        <v>76.05</v>
      </c>
      <c r="H2031" s="8">
        <v>0</v>
      </c>
      <c r="I2031" s="8">
        <f t="shared" si="104"/>
        <v>243.76</v>
      </c>
      <c r="J2031" s="12"/>
    </row>
    <row r="2032" spans="1:10" x14ac:dyDescent="0.25">
      <c r="C2032" s="9"/>
      <c r="D2032" s="10">
        <v>45705</v>
      </c>
      <c r="E2032" t="s">
        <v>1524</v>
      </c>
      <c r="F2032" s="11" t="s">
        <v>3448</v>
      </c>
      <c r="G2032" s="8">
        <v>0</v>
      </c>
      <c r="H2032" s="8">
        <v>76.05</v>
      </c>
      <c r="I2032" s="8">
        <f t="shared" si="104"/>
        <v>167.70999999999998</v>
      </c>
      <c r="J2032" s="12"/>
    </row>
    <row r="2033" spans="1:10" x14ac:dyDescent="0.25">
      <c r="C2033" s="9"/>
      <c r="D2033" s="10">
        <v>45716</v>
      </c>
      <c r="E2033" t="s">
        <v>3449</v>
      </c>
      <c r="F2033" s="11" t="s">
        <v>3450</v>
      </c>
      <c r="G2033" s="8">
        <v>95.59</v>
      </c>
      <c r="H2033" s="8">
        <v>0</v>
      </c>
      <c r="I2033" s="8">
        <f t="shared" si="104"/>
        <v>263.29999999999995</v>
      </c>
      <c r="J2033" s="12"/>
    </row>
    <row r="2034" spans="1:10" x14ac:dyDescent="0.25">
      <c r="C2034" s="9"/>
      <c r="D2034" s="10">
        <v>45720</v>
      </c>
      <c r="E2034" t="s">
        <v>1524</v>
      </c>
      <c r="F2034" s="11" t="s">
        <v>3450</v>
      </c>
      <c r="G2034" s="8">
        <v>0</v>
      </c>
      <c r="H2034" s="8">
        <v>95.59</v>
      </c>
      <c r="I2034" s="8">
        <f t="shared" si="104"/>
        <v>167.70999999999995</v>
      </c>
      <c r="J2034" s="12"/>
    </row>
    <row r="2035" spans="1:10" x14ac:dyDescent="0.25">
      <c r="E2035" s="4" t="s">
        <v>20</v>
      </c>
      <c r="G2035" s="8">
        <f>SUM(G2027:G2034)</f>
        <v>392.79999999999995</v>
      </c>
      <c r="H2035" s="8">
        <f>SUM(H2027:H2034)</f>
        <v>225.09</v>
      </c>
      <c r="I2035" s="8">
        <f>G2035-H2035</f>
        <v>167.70999999999995</v>
      </c>
    </row>
    <row r="2037" spans="1:10" x14ac:dyDescent="0.25">
      <c r="A2037" s="5">
        <v>4303838</v>
      </c>
      <c r="B2037" s="6" t="s">
        <v>3451</v>
      </c>
      <c r="C2037" s="7"/>
      <c r="D2037" s="7"/>
      <c r="E2037" s="7"/>
      <c r="F2037" s="7"/>
      <c r="G2037" s="7"/>
      <c r="H2037" s="7"/>
      <c r="I2037" s="7"/>
      <c r="J2037" s="7"/>
    </row>
    <row r="2038" spans="1:10" x14ac:dyDescent="0.25">
      <c r="E2038" s="4" t="s">
        <v>10</v>
      </c>
      <c r="G2038" s="8">
        <v>2694.15</v>
      </c>
      <c r="H2038" s="8">
        <v>0</v>
      </c>
      <c r="I2038" s="8">
        <f>G2038-H2038</f>
        <v>2694.15</v>
      </c>
    </row>
    <row r="2039" spans="1:10" x14ac:dyDescent="0.25">
      <c r="C2039" s="9"/>
      <c r="D2039" s="10">
        <v>45671</v>
      </c>
      <c r="E2039" t="s">
        <v>3452</v>
      </c>
      <c r="F2039" s="11" t="s">
        <v>3453</v>
      </c>
      <c r="G2039" s="8">
        <v>373.27</v>
      </c>
      <c r="H2039" s="8">
        <v>0</v>
      </c>
      <c r="I2039" s="8">
        <f t="shared" ref="I2039:I2049" si="105">G2039-H2039+I2038</f>
        <v>3067.42</v>
      </c>
      <c r="J2039" s="12"/>
    </row>
    <row r="2040" spans="1:10" x14ac:dyDescent="0.25">
      <c r="C2040" s="9"/>
      <c r="D2040" s="10">
        <v>45673</v>
      </c>
      <c r="E2040" t="s">
        <v>3454</v>
      </c>
      <c r="F2040" s="11" t="s">
        <v>42</v>
      </c>
      <c r="G2040" s="8">
        <v>0</v>
      </c>
      <c r="H2040" s="8">
        <v>1623.93</v>
      </c>
      <c r="I2040" s="8">
        <f t="shared" si="105"/>
        <v>1443.49</v>
      </c>
      <c r="J2040" s="12"/>
    </row>
    <row r="2041" spans="1:10" x14ac:dyDescent="0.25">
      <c r="C2041" s="9"/>
      <c r="D2041" s="10">
        <v>45688</v>
      </c>
      <c r="E2041" t="s">
        <v>3455</v>
      </c>
      <c r="F2041" s="11" t="s">
        <v>3456</v>
      </c>
      <c r="G2041" s="8">
        <v>80.48</v>
      </c>
      <c r="H2041" s="8">
        <v>0</v>
      </c>
      <c r="I2041" s="8">
        <f t="shared" si="105"/>
        <v>1523.97</v>
      </c>
      <c r="J2041" s="12"/>
    </row>
    <row r="2042" spans="1:10" x14ac:dyDescent="0.25">
      <c r="C2042" s="9"/>
      <c r="D2042" s="10">
        <v>45702</v>
      </c>
      <c r="E2042" t="s">
        <v>3457</v>
      </c>
      <c r="F2042" s="11" t="s">
        <v>3458</v>
      </c>
      <c r="G2042" s="8">
        <v>352.36</v>
      </c>
      <c r="H2042" s="8">
        <v>0</v>
      </c>
      <c r="I2042" s="8">
        <f t="shared" si="105"/>
        <v>1876.33</v>
      </c>
      <c r="J2042" s="12"/>
    </row>
    <row r="2043" spans="1:10" x14ac:dyDescent="0.25">
      <c r="C2043" s="9"/>
      <c r="D2043" s="10">
        <v>45706</v>
      </c>
      <c r="E2043" t="s">
        <v>1524</v>
      </c>
      <c r="F2043" s="11" t="s">
        <v>3459</v>
      </c>
      <c r="G2043" s="8">
        <v>0</v>
      </c>
      <c r="H2043" s="8">
        <v>865.45</v>
      </c>
      <c r="I2043" s="8">
        <f t="shared" si="105"/>
        <v>1010.8799999999999</v>
      </c>
      <c r="J2043" s="12"/>
    </row>
    <row r="2044" spans="1:10" x14ac:dyDescent="0.25">
      <c r="C2044" s="9"/>
      <c r="D2044" s="10">
        <v>45706</v>
      </c>
      <c r="E2044" t="s">
        <v>1524</v>
      </c>
      <c r="F2044" s="11" t="s">
        <v>3460</v>
      </c>
      <c r="G2044" s="8">
        <v>0</v>
      </c>
      <c r="H2044" s="8">
        <v>30.84</v>
      </c>
      <c r="I2044" s="8">
        <f t="shared" si="105"/>
        <v>980.03999999999985</v>
      </c>
      <c r="J2044" s="12"/>
    </row>
    <row r="2045" spans="1:10" x14ac:dyDescent="0.25">
      <c r="C2045" s="9"/>
      <c r="D2045" s="10">
        <v>45716</v>
      </c>
      <c r="E2045" t="s">
        <v>3461</v>
      </c>
      <c r="F2045" s="11" t="s">
        <v>3462</v>
      </c>
      <c r="G2045" s="8">
        <v>876.69</v>
      </c>
      <c r="H2045" s="8">
        <v>0</v>
      </c>
      <c r="I2045" s="8">
        <f t="shared" si="105"/>
        <v>1856.73</v>
      </c>
      <c r="J2045" s="12"/>
    </row>
    <row r="2046" spans="1:10" x14ac:dyDescent="0.25">
      <c r="C2046" s="9"/>
      <c r="D2046" s="10">
        <v>45730</v>
      </c>
      <c r="E2046" t="s">
        <v>3463</v>
      </c>
      <c r="F2046" s="11" t="s">
        <v>3464</v>
      </c>
      <c r="G2046" s="8">
        <v>187.88</v>
      </c>
      <c r="H2046" s="8">
        <v>0</v>
      </c>
      <c r="I2046" s="8">
        <f t="shared" si="105"/>
        <v>2044.6100000000001</v>
      </c>
      <c r="J2046" s="12"/>
    </row>
    <row r="2047" spans="1:10" x14ac:dyDescent="0.25">
      <c r="C2047" s="9"/>
      <c r="D2047" s="10">
        <v>45735</v>
      </c>
      <c r="E2047" t="s">
        <v>1524</v>
      </c>
      <c r="F2047" s="11" t="s">
        <v>3465</v>
      </c>
      <c r="G2047" s="8">
        <v>0</v>
      </c>
      <c r="H2047" s="8">
        <v>173.93</v>
      </c>
      <c r="I2047" s="8">
        <f t="shared" si="105"/>
        <v>1870.68</v>
      </c>
      <c r="J2047" s="12"/>
    </row>
    <row r="2048" spans="1:10" x14ac:dyDescent="0.25">
      <c r="C2048" s="9"/>
      <c r="D2048" s="10">
        <v>45735</v>
      </c>
      <c r="E2048" t="s">
        <v>1524</v>
      </c>
      <c r="F2048" s="11" t="s">
        <v>3453</v>
      </c>
      <c r="G2048" s="8">
        <v>0</v>
      </c>
      <c r="H2048" s="8">
        <v>373.27</v>
      </c>
      <c r="I2048" s="8">
        <f t="shared" si="105"/>
        <v>1497.41</v>
      </c>
      <c r="J2048" s="12"/>
    </row>
    <row r="2049" spans="1:10" x14ac:dyDescent="0.25">
      <c r="C2049" s="9"/>
      <c r="D2049" s="10">
        <v>45747</v>
      </c>
      <c r="E2049" t="s">
        <v>3466</v>
      </c>
      <c r="F2049" s="11" t="s">
        <v>3467</v>
      </c>
      <c r="G2049" s="8">
        <v>254.06</v>
      </c>
      <c r="H2049" s="8">
        <v>0</v>
      </c>
      <c r="I2049" s="8">
        <f t="shared" si="105"/>
        <v>1751.47</v>
      </c>
      <c r="J2049" s="12"/>
    </row>
    <row r="2050" spans="1:10" x14ac:dyDescent="0.25">
      <c r="E2050" s="4" t="s">
        <v>20</v>
      </c>
      <c r="G2050" s="8">
        <f>SUM(G2038:G2049)</f>
        <v>4818.8900000000012</v>
      </c>
      <c r="H2050" s="8">
        <f>SUM(H2038:H2049)</f>
        <v>3067.42</v>
      </c>
      <c r="I2050" s="8">
        <f>G2050-H2050</f>
        <v>1751.4700000000012</v>
      </c>
    </row>
    <row r="2052" spans="1:10" x14ac:dyDescent="0.25">
      <c r="A2052" s="5">
        <v>4303841</v>
      </c>
      <c r="B2052" s="6" t="s">
        <v>3468</v>
      </c>
      <c r="C2052" s="7"/>
      <c r="D2052" s="7"/>
      <c r="E2052" s="7"/>
      <c r="F2052" s="7"/>
      <c r="G2052" s="7"/>
      <c r="H2052" s="7"/>
      <c r="I2052" s="7"/>
      <c r="J2052" s="7"/>
    </row>
    <row r="2053" spans="1:10" x14ac:dyDescent="0.25">
      <c r="E2053" s="4" t="s">
        <v>10</v>
      </c>
      <c r="G2053" s="8">
        <v>0</v>
      </c>
      <c r="H2053" s="8">
        <v>44.83</v>
      </c>
      <c r="I2053" s="8">
        <f>G2053-H2053</f>
        <v>-44.83</v>
      </c>
    </row>
    <row r="2054" spans="1:10" x14ac:dyDescent="0.25">
      <c r="E2054" s="4" t="s">
        <v>20</v>
      </c>
      <c r="G2054" s="8">
        <f>G2053</f>
        <v>0</v>
      </c>
      <c r="H2054" s="8">
        <f>H2053</f>
        <v>44.83</v>
      </c>
      <c r="I2054" s="8">
        <f>G2054-H2054</f>
        <v>-44.83</v>
      </c>
    </row>
    <row r="2056" spans="1:10" x14ac:dyDescent="0.25">
      <c r="A2056" s="5">
        <v>4303842</v>
      </c>
      <c r="B2056" s="6" t="s">
        <v>3469</v>
      </c>
      <c r="C2056" s="7"/>
      <c r="D2056" s="7"/>
      <c r="E2056" s="7"/>
      <c r="F2056" s="7"/>
      <c r="G2056" s="7"/>
      <c r="H2056" s="7"/>
      <c r="I2056" s="7"/>
      <c r="J2056" s="7"/>
    </row>
    <row r="2057" spans="1:10" x14ac:dyDescent="0.25">
      <c r="E2057" s="4" t="s">
        <v>10</v>
      </c>
      <c r="G2057" s="8">
        <v>585.92999999999995</v>
      </c>
      <c r="H2057" s="8">
        <v>0</v>
      </c>
      <c r="I2057" s="8">
        <f>G2057-H2057</f>
        <v>585.92999999999995</v>
      </c>
    </row>
    <row r="2058" spans="1:10" x14ac:dyDescent="0.25">
      <c r="C2058" s="9"/>
      <c r="D2058" s="10">
        <v>45671</v>
      </c>
      <c r="E2058" t="s">
        <v>3470</v>
      </c>
      <c r="F2058" s="11" t="s">
        <v>3471</v>
      </c>
      <c r="G2058" s="8">
        <v>132.05000000000001</v>
      </c>
      <c r="H2058" s="8">
        <v>0</v>
      </c>
      <c r="I2058" s="8">
        <f t="shared" ref="I2058:I2068" si="106">G2058-H2058+I2057</f>
        <v>717.98</v>
      </c>
      <c r="J2058" s="12"/>
    </row>
    <row r="2059" spans="1:10" x14ac:dyDescent="0.25">
      <c r="C2059" s="9"/>
      <c r="D2059" s="10">
        <v>45672</v>
      </c>
      <c r="E2059" t="s">
        <v>3472</v>
      </c>
      <c r="F2059" s="11" t="s">
        <v>42</v>
      </c>
      <c r="G2059" s="8">
        <v>0</v>
      </c>
      <c r="H2059" s="8">
        <v>183.63</v>
      </c>
      <c r="I2059" s="8">
        <f t="shared" si="106"/>
        <v>534.35</v>
      </c>
      <c r="J2059" s="12"/>
    </row>
    <row r="2060" spans="1:10" x14ac:dyDescent="0.25">
      <c r="C2060" s="9"/>
      <c r="D2060" s="10">
        <v>45672</v>
      </c>
      <c r="E2060" t="s">
        <v>3472</v>
      </c>
      <c r="F2060" s="11" t="s">
        <v>42</v>
      </c>
      <c r="G2060" s="8">
        <v>0</v>
      </c>
      <c r="H2060" s="8">
        <v>200.5</v>
      </c>
      <c r="I2060" s="8">
        <f t="shared" si="106"/>
        <v>333.85</v>
      </c>
      <c r="J2060" s="12"/>
    </row>
    <row r="2061" spans="1:10" x14ac:dyDescent="0.25">
      <c r="C2061" s="9"/>
      <c r="D2061" s="10">
        <v>45688</v>
      </c>
      <c r="E2061" t="s">
        <v>3473</v>
      </c>
      <c r="F2061" s="11" t="s">
        <v>3474</v>
      </c>
      <c r="G2061" s="8">
        <v>1278.49</v>
      </c>
      <c r="H2061" s="8">
        <v>0</v>
      </c>
      <c r="I2061" s="8">
        <f t="shared" si="106"/>
        <v>1612.3400000000001</v>
      </c>
      <c r="J2061" s="12"/>
    </row>
    <row r="2062" spans="1:10" x14ac:dyDescent="0.25">
      <c r="C2062" s="9"/>
      <c r="D2062" s="10">
        <v>45702</v>
      </c>
      <c r="E2062" t="s">
        <v>3475</v>
      </c>
      <c r="F2062" s="11" t="s">
        <v>3476</v>
      </c>
      <c r="G2062" s="8">
        <v>669.28</v>
      </c>
      <c r="H2062" s="8">
        <v>0</v>
      </c>
      <c r="I2062" s="8">
        <f t="shared" si="106"/>
        <v>2281.62</v>
      </c>
      <c r="J2062" s="12"/>
    </row>
    <row r="2063" spans="1:10" x14ac:dyDescent="0.25">
      <c r="C2063" s="9"/>
      <c r="D2063" s="10">
        <v>45716</v>
      </c>
      <c r="E2063" t="s">
        <v>3477</v>
      </c>
      <c r="F2063" s="11" t="s">
        <v>3478</v>
      </c>
      <c r="G2063" s="8">
        <v>313.92</v>
      </c>
      <c r="H2063" s="8">
        <v>0</v>
      </c>
      <c r="I2063" s="8">
        <f t="shared" si="106"/>
        <v>2595.54</v>
      </c>
      <c r="J2063" s="12"/>
    </row>
    <row r="2064" spans="1:10" x14ac:dyDescent="0.25">
      <c r="C2064" s="9"/>
      <c r="D2064" s="10">
        <v>45722</v>
      </c>
      <c r="E2064" t="s">
        <v>3479</v>
      </c>
      <c r="F2064" s="11" t="s">
        <v>42</v>
      </c>
      <c r="G2064" s="8">
        <v>0</v>
      </c>
      <c r="H2064" s="8">
        <v>1410.54</v>
      </c>
      <c r="I2064" s="8">
        <f t="shared" si="106"/>
        <v>1185</v>
      </c>
      <c r="J2064" s="12"/>
    </row>
    <row r="2065" spans="1:10" x14ac:dyDescent="0.25">
      <c r="C2065" s="9"/>
      <c r="D2065" s="10">
        <v>45722</v>
      </c>
      <c r="E2065" t="s">
        <v>3472</v>
      </c>
      <c r="F2065" s="11" t="s">
        <v>42</v>
      </c>
      <c r="G2065" s="8">
        <v>0</v>
      </c>
      <c r="H2065" s="8">
        <v>663.96</v>
      </c>
      <c r="I2065" s="8">
        <f t="shared" si="106"/>
        <v>521.04</v>
      </c>
      <c r="J2065" s="12"/>
    </row>
    <row r="2066" spans="1:10" x14ac:dyDescent="0.25">
      <c r="C2066" s="9"/>
      <c r="D2066" s="10">
        <v>45729</v>
      </c>
      <c r="E2066" t="s">
        <v>3472</v>
      </c>
      <c r="F2066" s="11" t="s">
        <v>42</v>
      </c>
      <c r="G2066" s="8">
        <v>0</v>
      </c>
      <c r="H2066" s="8">
        <v>311.69</v>
      </c>
      <c r="I2066" s="8">
        <f t="shared" si="106"/>
        <v>209.34999999999997</v>
      </c>
      <c r="J2066" s="12"/>
    </row>
    <row r="2067" spans="1:10" x14ac:dyDescent="0.25">
      <c r="C2067" s="9"/>
      <c r="D2067" s="10">
        <v>45730</v>
      </c>
      <c r="E2067" t="s">
        <v>3480</v>
      </c>
      <c r="F2067" s="11" t="s">
        <v>3481</v>
      </c>
      <c r="G2067" s="8">
        <v>1052.22</v>
      </c>
      <c r="H2067" s="8">
        <v>0</v>
      </c>
      <c r="I2067" s="8">
        <f t="shared" si="106"/>
        <v>1261.57</v>
      </c>
      <c r="J2067" s="12"/>
    </row>
    <row r="2068" spans="1:10" x14ac:dyDescent="0.25">
      <c r="C2068" s="9"/>
      <c r="D2068" s="10">
        <v>45758</v>
      </c>
      <c r="E2068" t="s">
        <v>3472</v>
      </c>
      <c r="F2068" s="11" t="s">
        <v>42</v>
      </c>
      <c r="G2068" s="8">
        <v>0</v>
      </c>
      <c r="H2068" s="8">
        <v>1045.08</v>
      </c>
      <c r="I2068" s="8">
        <f t="shared" si="106"/>
        <v>216.49</v>
      </c>
      <c r="J2068" s="12"/>
    </row>
    <row r="2069" spans="1:10" x14ac:dyDescent="0.25">
      <c r="E2069" s="4" t="s">
        <v>20</v>
      </c>
      <c r="G2069" s="8">
        <f>SUM(G2057:G2068)</f>
        <v>4031.8900000000003</v>
      </c>
      <c r="H2069" s="8">
        <f>SUM(H2057:H2068)</f>
        <v>3815.4</v>
      </c>
      <c r="I2069" s="8">
        <f>G2069-H2069</f>
        <v>216.49000000000024</v>
      </c>
    </row>
    <row r="2071" spans="1:10" x14ac:dyDescent="0.25">
      <c r="A2071" s="5">
        <v>4303845</v>
      </c>
      <c r="B2071" s="6" t="s">
        <v>3482</v>
      </c>
      <c r="C2071" s="7"/>
      <c r="D2071" s="7"/>
      <c r="E2071" s="7"/>
      <c r="F2071" s="7"/>
      <c r="G2071" s="7"/>
      <c r="H2071" s="7"/>
      <c r="I2071" s="7"/>
      <c r="J2071" s="7"/>
    </row>
    <row r="2072" spans="1:10" x14ac:dyDescent="0.25">
      <c r="E2072" s="4" t="s">
        <v>10</v>
      </c>
      <c r="G2072" s="8">
        <v>338.26</v>
      </c>
      <c r="H2072" s="8">
        <v>0</v>
      </c>
      <c r="I2072" s="8">
        <f>G2072-H2072</f>
        <v>338.26</v>
      </c>
    </row>
    <row r="2073" spans="1:10" x14ac:dyDescent="0.25">
      <c r="C2073" s="9"/>
      <c r="D2073" s="10">
        <v>45660</v>
      </c>
      <c r="E2073" t="s">
        <v>1524</v>
      </c>
      <c r="F2073" s="11" t="s">
        <v>3483</v>
      </c>
      <c r="G2073" s="8">
        <v>0</v>
      </c>
      <c r="H2073" s="8">
        <v>338.26</v>
      </c>
      <c r="I2073" s="8">
        <f t="shared" ref="I2073:I2086" si="107">G2073-H2073+I2072</f>
        <v>0</v>
      </c>
      <c r="J2073" s="12"/>
    </row>
    <row r="2074" spans="1:10" x14ac:dyDescent="0.25">
      <c r="C2074" s="9"/>
      <c r="D2074" s="10">
        <v>45671</v>
      </c>
      <c r="E2074" t="s">
        <v>3484</v>
      </c>
      <c r="F2074" s="11" t="s">
        <v>3485</v>
      </c>
      <c r="G2074" s="8">
        <v>307.41000000000003</v>
      </c>
      <c r="H2074" s="8">
        <v>0</v>
      </c>
      <c r="I2074" s="8">
        <f t="shared" si="107"/>
        <v>307.41000000000003</v>
      </c>
      <c r="J2074" s="12"/>
    </row>
    <row r="2075" spans="1:10" x14ac:dyDescent="0.25">
      <c r="C2075" s="9"/>
      <c r="D2075" s="10">
        <v>45672</v>
      </c>
      <c r="E2075" t="s">
        <v>1524</v>
      </c>
      <c r="F2075" s="11" t="s">
        <v>3485</v>
      </c>
      <c r="G2075" s="8">
        <v>0</v>
      </c>
      <c r="H2075" s="8">
        <v>307.41000000000003</v>
      </c>
      <c r="I2075" s="8">
        <f t="shared" si="107"/>
        <v>0</v>
      </c>
      <c r="J2075" s="12"/>
    </row>
    <row r="2076" spans="1:10" x14ac:dyDescent="0.25">
      <c r="C2076" s="9"/>
      <c r="D2076" s="10">
        <v>45688</v>
      </c>
      <c r="E2076" t="s">
        <v>3486</v>
      </c>
      <c r="F2076" s="11" t="s">
        <v>3487</v>
      </c>
      <c r="G2076" s="8">
        <v>34.409999999999997</v>
      </c>
      <c r="H2076" s="8">
        <v>0</v>
      </c>
      <c r="I2076" s="8">
        <f t="shared" si="107"/>
        <v>34.409999999999997</v>
      </c>
      <c r="J2076" s="12"/>
    </row>
    <row r="2077" spans="1:10" x14ac:dyDescent="0.25">
      <c r="C2077" s="9" t="s">
        <v>124</v>
      </c>
      <c r="D2077" s="10">
        <v>45691</v>
      </c>
      <c r="E2077" t="s">
        <v>3488</v>
      </c>
      <c r="F2077" s="11" t="s">
        <v>3487</v>
      </c>
      <c r="G2077" s="8">
        <v>0</v>
      </c>
      <c r="H2077" s="8">
        <v>34.409999999999997</v>
      </c>
      <c r="I2077" s="8">
        <f t="shared" si="107"/>
        <v>0</v>
      </c>
      <c r="J2077" s="12"/>
    </row>
    <row r="2078" spans="1:10" x14ac:dyDescent="0.25">
      <c r="C2078" s="9"/>
      <c r="D2078" s="10">
        <v>45702</v>
      </c>
      <c r="E2078" t="s">
        <v>3489</v>
      </c>
      <c r="F2078" s="11" t="s">
        <v>3490</v>
      </c>
      <c r="G2078" s="8">
        <v>695.37</v>
      </c>
      <c r="H2078" s="8">
        <v>0</v>
      </c>
      <c r="I2078" s="8">
        <f t="shared" si="107"/>
        <v>695.37</v>
      </c>
      <c r="J2078" s="12"/>
    </row>
    <row r="2079" spans="1:10" x14ac:dyDescent="0.25">
      <c r="C2079" s="9"/>
      <c r="D2079" s="10">
        <v>45705</v>
      </c>
      <c r="E2079" t="s">
        <v>1524</v>
      </c>
      <c r="F2079" s="11" t="s">
        <v>3490</v>
      </c>
      <c r="G2079" s="8">
        <v>0</v>
      </c>
      <c r="H2079" s="8">
        <v>695.37</v>
      </c>
      <c r="I2079" s="8">
        <f t="shared" si="107"/>
        <v>0</v>
      </c>
      <c r="J2079" s="12"/>
    </row>
    <row r="2080" spans="1:10" x14ac:dyDescent="0.25">
      <c r="C2080" s="9"/>
      <c r="D2080" s="10">
        <v>45716</v>
      </c>
      <c r="E2080" t="s">
        <v>3491</v>
      </c>
      <c r="F2080" s="11" t="s">
        <v>3492</v>
      </c>
      <c r="G2080" s="8">
        <v>154.30000000000001</v>
      </c>
      <c r="H2080" s="8">
        <v>0</v>
      </c>
      <c r="I2080" s="8">
        <f t="shared" si="107"/>
        <v>154.30000000000001</v>
      </c>
      <c r="J2080" s="12"/>
    </row>
    <row r="2081" spans="1:10" x14ac:dyDescent="0.25">
      <c r="C2081" s="9"/>
      <c r="D2081" s="10">
        <v>45730</v>
      </c>
      <c r="E2081" t="s">
        <v>3493</v>
      </c>
      <c r="F2081" s="11" t="s">
        <v>3494</v>
      </c>
      <c r="G2081" s="8">
        <v>479.03</v>
      </c>
      <c r="H2081" s="8">
        <v>0</v>
      </c>
      <c r="I2081" s="8">
        <f t="shared" si="107"/>
        <v>633.32999999999993</v>
      </c>
      <c r="J2081" s="12"/>
    </row>
    <row r="2082" spans="1:10" x14ac:dyDescent="0.25">
      <c r="C2082" s="9"/>
      <c r="D2082" s="10">
        <v>45733</v>
      </c>
      <c r="E2082" t="s">
        <v>1524</v>
      </c>
      <c r="F2082" s="11" t="s">
        <v>3492</v>
      </c>
      <c r="G2082" s="8">
        <v>0</v>
      </c>
      <c r="H2082" s="8">
        <v>154.30000000000001</v>
      </c>
      <c r="I2082" s="8">
        <f t="shared" si="107"/>
        <v>479.02999999999992</v>
      </c>
      <c r="J2082" s="12"/>
    </row>
    <row r="2083" spans="1:10" x14ac:dyDescent="0.25">
      <c r="C2083" s="9"/>
      <c r="D2083" s="10">
        <v>45733</v>
      </c>
      <c r="E2083" t="s">
        <v>1524</v>
      </c>
      <c r="F2083" s="11" t="s">
        <v>3494</v>
      </c>
      <c r="G2083" s="8">
        <v>0</v>
      </c>
      <c r="H2083" s="8">
        <v>479.03</v>
      </c>
      <c r="I2083" s="8">
        <f t="shared" si="107"/>
        <v>0</v>
      </c>
      <c r="J2083" s="12"/>
    </row>
    <row r="2084" spans="1:10" x14ac:dyDescent="0.25">
      <c r="C2084" s="9"/>
      <c r="D2084" s="10">
        <v>45747</v>
      </c>
      <c r="E2084" t="s">
        <v>3495</v>
      </c>
      <c r="F2084" s="11" t="s">
        <v>3496</v>
      </c>
      <c r="G2084" s="8">
        <v>260.48</v>
      </c>
      <c r="H2084" s="8">
        <v>0</v>
      </c>
      <c r="I2084" s="8">
        <f t="shared" si="107"/>
        <v>260.48</v>
      </c>
      <c r="J2084" s="12"/>
    </row>
    <row r="2085" spans="1:10" x14ac:dyDescent="0.25">
      <c r="C2085" s="9"/>
      <c r="D2085" s="10">
        <v>45748</v>
      </c>
      <c r="E2085" t="s">
        <v>1524</v>
      </c>
      <c r="F2085" s="11" t="s">
        <v>3496</v>
      </c>
      <c r="G2085" s="8">
        <v>0</v>
      </c>
      <c r="H2085" s="8">
        <v>260.48</v>
      </c>
      <c r="I2085" s="8">
        <f t="shared" si="107"/>
        <v>0</v>
      </c>
      <c r="J2085" s="12"/>
    </row>
    <row r="2086" spans="1:10" x14ac:dyDescent="0.25">
      <c r="C2086" s="9"/>
      <c r="D2086" s="10">
        <v>45762</v>
      </c>
      <c r="E2086" t="s">
        <v>1524</v>
      </c>
      <c r="F2086" s="11" t="s">
        <v>3497</v>
      </c>
      <c r="G2086" s="8">
        <v>0</v>
      </c>
      <c r="H2086" s="8">
        <v>32.130000000000003</v>
      </c>
      <c r="I2086" s="8">
        <f t="shared" si="107"/>
        <v>-32.130000000000003</v>
      </c>
      <c r="J2086" s="12"/>
    </row>
    <row r="2087" spans="1:10" x14ac:dyDescent="0.25">
      <c r="E2087" s="4" t="s">
        <v>20</v>
      </c>
      <c r="G2087" s="8">
        <f>SUM(G2072:G2086)</f>
        <v>2269.2600000000002</v>
      </c>
      <c r="H2087" s="8">
        <f>SUM(H2072:H2086)</f>
        <v>2301.3900000000003</v>
      </c>
      <c r="I2087" s="8">
        <f>G2087-H2087</f>
        <v>-32.130000000000109</v>
      </c>
    </row>
    <row r="2089" spans="1:10" x14ac:dyDescent="0.25">
      <c r="A2089" s="5">
        <v>4303853</v>
      </c>
      <c r="B2089" s="6" t="s">
        <v>3498</v>
      </c>
      <c r="C2089" s="7"/>
      <c r="D2089" s="7"/>
      <c r="E2089" s="7"/>
      <c r="F2089" s="7"/>
      <c r="G2089" s="7"/>
      <c r="H2089" s="7"/>
      <c r="I2089" s="7"/>
      <c r="J2089" s="7"/>
    </row>
    <row r="2090" spans="1:10" x14ac:dyDescent="0.25">
      <c r="E2090" s="4" t="s">
        <v>10</v>
      </c>
      <c r="G2090" s="8">
        <v>126.86</v>
      </c>
      <c r="H2090" s="8">
        <v>0</v>
      </c>
      <c r="I2090" s="8">
        <f>G2090-H2090</f>
        <v>126.86</v>
      </c>
    </row>
    <row r="2091" spans="1:10" x14ac:dyDescent="0.25">
      <c r="C2091" s="9"/>
      <c r="D2091" s="10">
        <v>45692</v>
      </c>
      <c r="E2091" t="s">
        <v>1524</v>
      </c>
      <c r="F2091" s="11" t="s">
        <v>3499</v>
      </c>
      <c r="G2091" s="8">
        <v>0</v>
      </c>
      <c r="H2091" s="8">
        <v>51.7</v>
      </c>
      <c r="I2091" s="8">
        <f>G2091-H2091+I2090</f>
        <v>75.16</v>
      </c>
      <c r="J2091" s="12"/>
    </row>
    <row r="2092" spans="1:10" x14ac:dyDescent="0.25">
      <c r="C2092" s="9"/>
      <c r="D2092" s="10">
        <v>45716</v>
      </c>
      <c r="E2092" t="s">
        <v>3500</v>
      </c>
      <c r="F2092" s="11" t="s">
        <v>3501</v>
      </c>
      <c r="G2092" s="8">
        <v>97.61</v>
      </c>
      <c r="H2092" s="8">
        <v>0</v>
      </c>
      <c r="I2092" s="8">
        <f>G2092-H2092+I2091</f>
        <v>172.76999999999998</v>
      </c>
      <c r="J2092" s="12"/>
    </row>
    <row r="2093" spans="1:10" x14ac:dyDescent="0.25">
      <c r="C2093" s="9"/>
      <c r="D2093" s="10">
        <v>45722</v>
      </c>
      <c r="E2093" t="s">
        <v>1524</v>
      </c>
      <c r="F2093" s="11" t="s">
        <v>3502</v>
      </c>
      <c r="G2093" s="8">
        <v>0</v>
      </c>
      <c r="H2093" s="8">
        <v>38.5</v>
      </c>
      <c r="I2093" s="8">
        <f>G2093-H2093+I2092</f>
        <v>134.26999999999998</v>
      </c>
      <c r="J2093" s="12"/>
    </row>
    <row r="2094" spans="1:10" x14ac:dyDescent="0.25">
      <c r="C2094" s="9"/>
      <c r="D2094" s="10">
        <v>45722</v>
      </c>
      <c r="E2094" t="s">
        <v>1524</v>
      </c>
      <c r="F2094" s="11" t="s">
        <v>3503</v>
      </c>
      <c r="G2094" s="8">
        <v>0</v>
      </c>
      <c r="H2094" s="8">
        <v>36.659999999999997</v>
      </c>
      <c r="I2094" s="8">
        <f>G2094-H2094+I2093</f>
        <v>97.609999999999985</v>
      </c>
      <c r="J2094" s="12"/>
    </row>
    <row r="2095" spans="1:10" x14ac:dyDescent="0.25">
      <c r="E2095" s="4" t="s">
        <v>20</v>
      </c>
      <c r="G2095" s="8">
        <f>SUM(G2090:G2094)</f>
        <v>224.47</v>
      </c>
      <c r="H2095" s="8">
        <f>SUM(H2090:H2094)</f>
        <v>126.86</v>
      </c>
      <c r="I2095" s="8">
        <f>G2095-H2095</f>
        <v>97.61</v>
      </c>
    </row>
    <row r="2097" spans="1:10" x14ac:dyDescent="0.25">
      <c r="A2097" s="5">
        <v>4303855</v>
      </c>
      <c r="B2097" s="6" t="s">
        <v>3504</v>
      </c>
      <c r="C2097" s="7"/>
      <c r="D2097" s="7"/>
      <c r="E2097" s="7"/>
      <c r="F2097" s="7"/>
      <c r="G2097" s="7"/>
      <c r="H2097" s="7"/>
      <c r="I2097" s="7"/>
      <c r="J2097" s="7"/>
    </row>
    <row r="2098" spans="1:10" x14ac:dyDescent="0.25">
      <c r="E2098" s="4" t="s">
        <v>10</v>
      </c>
      <c r="G2098" s="8">
        <v>0</v>
      </c>
      <c r="H2098" s="8">
        <v>23.23</v>
      </c>
      <c r="I2098" s="8">
        <f>G2098-H2098</f>
        <v>-23.23</v>
      </c>
    </row>
    <row r="2099" spans="1:10" x14ac:dyDescent="0.25">
      <c r="C2099" s="9"/>
      <c r="D2099" s="10">
        <v>45671</v>
      </c>
      <c r="E2099" t="s">
        <v>3505</v>
      </c>
      <c r="F2099" s="11" t="s">
        <v>3506</v>
      </c>
      <c r="G2099" s="8">
        <v>51.18</v>
      </c>
      <c r="H2099" s="8">
        <v>0</v>
      </c>
      <c r="I2099" s="8">
        <f>G2099-H2099+I2098</f>
        <v>27.95</v>
      </c>
      <c r="J2099" s="12"/>
    </row>
    <row r="2100" spans="1:10" x14ac:dyDescent="0.25">
      <c r="C2100" s="9"/>
      <c r="D2100" s="10">
        <v>45688</v>
      </c>
      <c r="E2100" t="s">
        <v>3507</v>
      </c>
      <c r="F2100" s="11" t="s">
        <v>3508</v>
      </c>
      <c r="G2100" s="8">
        <v>42.68</v>
      </c>
      <c r="H2100" s="8">
        <v>0</v>
      </c>
      <c r="I2100" s="8">
        <f>G2100-H2100+I2099</f>
        <v>70.63</v>
      </c>
      <c r="J2100" s="12"/>
    </row>
    <row r="2101" spans="1:10" x14ac:dyDescent="0.25">
      <c r="C2101" s="9"/>
      <c r="D2101" s="10">
        <v>45691</v>
      </c>
      <c r="E2101" t="s">
        <v>1524</v>
      </c>
      <c r="F2101" s="11" t="s">
        <v>3508</v>
      </c>
      <c r="G2101" s="8">
        <v>0</v>
      </c>
      <c r="H2101" s="8">
        <v>42.68</v>
      </c>
      <c r="I2101" s="8">
        <f>G2101-H2101+I2100</f>
        <v>27.949999999999996</v>
      </c>
      <c r="J2101" s="12"/>
    </row>
    <row r="2102" spans="1:10" x14ac:dyDescent="0.25">
      <c r="E2102" s="4" t="s">
        <v>20</v>
      </c>
      <c r="G2102" s="8">
        <f>SUM(G2098:G2101)</f>
        <v>93.86</v>
      </c>
      <c r="H2102" s="8">
        <f>SUM(H2098:H2101)</f>
        <v>65.91</v>
      </c>
      <c r="I2102" s="8">
        <f>G2102-H2102</f>
        <v>27.950000000000003</v>
      </c>
    </row>
    <row r="2104" spans="1:10" x14ac:dyDescent="0.25">
      <c r="A2104" s="5">
        <v>4303859</v>
      </c>
      <c r="B2104" s="6" t="s">
        <v>3509</v>
      </c>
      <c r="C2104" s="7"/>
      <c r="D2104" s="7"/>
      <c r="E2104" s="7"/>
      <c r="F2104" s="7"/>
      <c r="G2104" s="7"/>
      <c r="H2104" s="7"/>
      <c r="I2104" s="7"/>
      <c r="J2104" s="7"/>
    </row>
    <row r="2105" spans="1:10" x14ac:dyDescent="0.25">
      <c r="E2105" s="4" t="s">
        <v>10</v>
      </c>
      <c r="G2105" s="8">
        <v>18.8</v>
      </c>
      <c r="H2105" s="8">
        <v>0</v>
      </c>
      <c r="I2105" s="8">
        <f>G2105-H2105</f>
        <v>18.8</v>
      </c>
    </row>
    <row r="2106" spans="1:10" x14ac:dyDescent="0.25">
      <c r="C2106" s="9"/>
      <c r="D2106" s="10">
        <v>45672</v>
      </c>
      <c r="E2106" t="s">
        <v>3510</v>
      </c>
      <c r="F2106" s="11" t="s">
        <v>42</v>
      </c>
      <c r="G2106" s="8">
        <v>0</v>
      </c>
      <c r="H2106" s="8">
        <v>83.47</v>
      </c>
      <c r="I2106" s="8">
        <f t="shared" ref="I2106:I2112" si="108">G2106-H2106+I2105</f>
        <v>-64.67</v>
      </c>
      <c r="J2106" s="12"/>
    </row>
    <row r="2107" spans="1:10" x14ac:dyDescent="0.25">
      <c r="C2107" s="9" t="s">
        <v>124</v>
      </c>
      <c r="D2107" s="10">
        <v>45691</v>
      </c>
      <c r="E2107" t="s">
        <v>3510</v>
      </c>
      <c r="F2107" s="11" t="s">
        <v>42</v>
      </c>
      <c r="G2107" s="8">
        <v>0</v>
      </c>
      <c r="H2107" s="8">
        <v>34.270000000000003</v>
      </c>
      <c r="I2107" s="8">
        <f t="shared" si="108"/>
        <v>-98.94</v>
      </c>
      <c r="J2107" s="12"/>
    </row>
    <row r="2108" spans="1:10" x14ac:dyDescent="0.25">
      <c r="C2108" s="9"/>
      <c r="D2108" s="10">
        <v>45705</v>
      </c>
      <c r="E2108" t="s">
        <v>3510</v>
      </c>
      <c r="F2108" s="11" t="s">
        <v>42</v>
      </c>
      <c r="G2108" s="8">
        <v>0</v>
      </c>
      <c r="H2108" s="8">
        <v>251.22</v>
      </c>
      <c r="I2108" s="8">
        <f t="shared" si="108"/>
        <v>-350.15999999999997</v>
      </c>
      <c r="J2108" s="12"/>
    </row>
    <row r="2109" spans="1:10" x14ac:dyDescent="0.25">
      <c r="C2109" s="9"/>
      <c r="D2109" s="10">
        <v>45720</v>
      </c>
      <c r="E2109" t="s">
        <v>3510</v>
      </c>
      <c r="F2109" s="11" t="s">
        <v>42</v>
      </c>
      <c r="G2109" s="8">
        <v>0</v>
      </c>
      <c r="H2109" s="8">
        <v>42.28</v>
      </c>
      <c r="I2109" s="8">
        <f t="shared" si="108"/>
        <v>-392.43999999999994</v>
      </c>
      <c r="J2109" s="12"/>
    </row>
    <row r="2110" spans="1:10" x14ac:dyDescent="0.25">
      <c r="C2110" s="9"/>
      <c r="D2110" s="10">
        <v>45733</v>
      </c>
      <c r="E2110" t="s">
        <v>3510</v>
      </c>
      <c r="F2110" s="11" t="s">
        <v>42</v>
      </c>
      <c r="G2110" s="8">
        <v>0</v>
      </c>
      <c r="H2110" s="8">
        <v>500.63</v>
      </c>
      <c r="I2110" s="8">
        <f t="shared" si="108"/>
        <v>-893.06999999999994</v>
      </c>
      <c r="J2110" s="12"/>
    </row>
    <row r="2111" spans="1:10" x14ac:dyDescent="0.25">
      <c r="C2111" s="9"/>
      <c r="D2111" s="10">
        <v>45748</v>
      </c>
      <c r="E2111" t="s">
        <v>3510</v>
      </c>
      <c r="F2111" s="11" t="s">
        <v>42</v>
      </c>
      <c r="G2111" s="8">
        <v>0</v>
      </c>
      <c r="H2111" s="8">
        <v>173.25</v>
      </c>
      <c r="I2111" s="8">
        <f t="shared" si="108"/>
        <v>-1066.32</v>
      </c>
      <c r="J2111" s="12"/>
    </row>
    <row r="2112" spans="1:10" x14ac:dyDescent="0.25">
      <c r="C2112" s="9"/>
      <c r="D2112" s="10">
        <v>45762</v>
      </c>
      <c r="E2112" t="s">
        <v>1524</v>
      </c>
      <c r="F2112" s="11" t="s">
        <v>3511</v>
      </c>
      <c r="G2112" s="8">
        <v>0</v>
      </c>
      <c r="H2112" s="8">
        <v>461.16</v>
      </c>
      <c r="I2112" s="8">
        <f t="shared" si="108"/>
        <v>-1527.48</v>
      </c>
      <c r="J2112" s="12"/>
    </row>
    <row r="2113" spans="1:10" x14ac:dyDescent="0.25">
      <c r="E2113" s="4" t="s">
        <v>20</v>
      </c>
      <c r="G2113" s="8">
        <f>SUM(G2105:G2112)</f>
        <v>18.8</v>
      </c>
      <c r="H2113" s="8">
        <f>SUM(H2105:H2112)</f>
        <v>1546.28</v>
      </c>
      <c r="I2113" s="8">
        <f>G2113-H2113</f>
        <v>-1527.48</v>
      </c>
    </row>
    <row r="2115" spans="1:10" x14ac:dyDescent="0.25">
      <c r="A2115" s="5">
        <v>4303864</v>
      </c>
      <c r="B2115" s="6" t="s">
        <v>3512</v>
      </c>
      <c r="C2115" s="7"/>
      <c r="D2115" s="7"/>
      <c r="E2115" s="7"/>
      <c r="F2115" s="7"/>
      <c r="G2115" s="7"/>
      <c r="H2115" s="7"/>
      <c r="I2115" s="7"/>
      <c r="J2115" s="7"/>
    </row>
    <row r="2116" spans="1:10" x14ac:dyDescent="0.25">
      <c r="E2116" s="4" t="s">
        <v>10</v>
      </c>
      <c r="G2116" s="8">
        <v>273.83999999999997</v>
      </c>
      <c r="H2116" s="8">
        <v>0</v>
      </c>
      <c r="I2116" s="8">
        <f>G2116-H2116</f>
        <v>273.83999999999997</v>
      </c>
    </row>
    <row r="2117" spans="1:10" x14ac:dyDescent="0.25">
      <c r="C2117" s="9"/>
      <c r="D2117" s="10">
        <v>45659</v>
      </c>
      <c r="E2117" t="s">
        <v>1524</v>
      </c>
      <c r="F2117" s="11" t="s">
        <v>3513</v>
      </c>
      <c r="G2117" s="8">
        <v>0</v>
      </c>
      <c r="H2117" s="8">
        <v>273.83999999999997</v>
      </c>
      <c r="I2117" s="8">
        <f t="shared" ref="I2117:I2124" si="109">G2117-H2117+I2116</f>
        <v>0</v>
      </c>
      <c r="J2117" s="12"/>
    </row>
    <row r="2118" spans="1:10" x14ac:dyDescent="0.25">
      <c r="C2118" s="9"/>
      <c r="D2118" s="10">
        <v>45688</v>
      </c>
      <c r="E2118" t="s">
        <v>3514</v>
      </c>
      <c r="F2118" s="11" t="s">
        <v>3515</v>
      </c>
      <c r="G2118" s="8">
        <v>604.37</v>
      </c>
      <c r="H2118" s="8">
        <v>0</v>
      </c>
      <c r="I2118" s="8">
        <f t="shared" si="109"/>
        <v>604.37</v>
      </c>
      <c r="J2118" s="12"/>
    </row>
    <row r="2119" spans="1:10" x14ac:dyDescent="0.25">
      <c r="C2119" s="9"/>
      <c r="D2119" s="10">
        <v>45691</v>
      </c>
      <c r="E2119" t="s">
        <v>1524</v>
      </c>
      <c r="F2119" s="11" t="s">
        <v>3515</v>
      </c>
      <c r="G2119" s="8">
        <v>0</v>
      </c>
      <c r="H2119" s="8">
        <v>604.37</v>
      </c>
      <c r="I2119" s="8">
        <f t="shared" si="109"/>
        <v>0</v>
      </c>
      <c r="J2119" s="12"/>
    </row>
    <row r="2120" spans="1:10" x14ac:dyDescent="0.25">
      <c r="C2120" s="9"/>
      <c r="D2120" s="10">
        <v>45730</v>
      </c>
      <c r="E2120" t="s">
        <v>3516</v>
      </c>
      <c r="F2120" s="11" t="s">
        <v>3517</v>
      </c>
      <c r="G2120" s="8">
        <v>35.450000000000003</v>
      </c>
      <c r="H2120" s="8">
        <v>0</v>
      </c>
      <c r="I2120" s="8">
        <f t="shared" si="109"/>
        <v>35.450000000000003</v>
      </c>
      <c r="J2120" s="12"/>
    </row>
    <row r="2121" spans="1:10" x14ac:dyDescent="0.25">
      <c r="C2121" s="9"/>
      <c r="D2121" s="10">
        <v>45733</v>
      </c>
      <c r="E2121" t="s">
        <v>1524</v>
      </c>
      <c r="F2121" s="11" t="s">
        <v>3517</v>
      </c>
      <c r="G2121" s="8">
        <v>0</v>
      </c>
      <c r="H2121" s="8">
        <v>35.450000000000003</v>
      </c>
      <c r="I2121" s="8">
        <f t="shared" si="109"/>
        <v>0</v>
      </c>
      <c r="J2121" s="12"/>
    </row>
    <row r="2122" spans="1:10" x14ac:dyDescent="0.25">
      <c r="C2122" s="9"/>
      <c r="D2122" s="10">
        <v>45747</v>
      </c>
      <c r="E2122" t="s">
        <v>3518</v>
      </c>
      <c r="F2122" s="11" t="s">
        <v>3519</v>
      </c>
      <c r="G2122" s="8">
        <v>127.81</v>
      </c>
      <c r="H2122" s="8">
        <v>0</v>
      </c>
      <c r="I2122" s="8">
        <f t="shared" si="109"/>
        <v>127.81</v>
      </c>
      <c r="J2122" s="12"/>
    </row>
    <row r="2123" spans="1:10" x14ac:dyDescent="0.25">
      <c r="C2123" s="9" t="s">
        <v>124</v>
      </c>
      <c r="D2123" s="10">
        <v>45748</v>
      </c>
      <c r="E2123" t="s">
        <v>3520</v>
      </c>
      <c r="F2123" s="11" t="s">
        <v>3519</v>
      </c>
      <c r="G2123" s="8">
        <v>0</v>
      </c>
      <c r="H2123" s="8">
        <v>127.81</v>
      </c>
      <c r="I2123" s="8">
        <f t="shared" si="109"/>
        <v>0</v>
      </c>
      <c r="J2123" s="12"/>
    </row>
    <row r="2124" spans="1:10" x14ac:dyDescent="0.25">
      <c r="C2124" s="9"/>
      <c r="D2124" s="10">
        <v>45762</v>
      </c>
      <c r="E2124" t="s">
        <v>1524</v>
      </c>
      <c r="F2124" s="11" t="s">
        <v>3448</v>
      </c>
      <c r="G2124" s="8">
        <v>0</v>
      </c>
      <c r="H2124" s="8">
        <v>76.05</v>
      </c>
      <c r="I2124" s="8">
        <f t="shared" si="109"/>
        <v>-76.05</v>
      </c>
      <c r="J2124" s="12"/>
    </row>
    <row r="2125" spans="1:10" x14ac:dyDescent="0.25">
      <c r="E2125" s="4" t="s">
        <v>20</v>
      </c>
      <c r="G2125" s="8">
        <f>SUM(G2116:G2124)</f>
        <v>1041.47</v>
      </c>
      <c r="H2125" s="8">
        <f>SUM(H2116:H2124)</f>
        <v>1117.52</v>
      </c>
      <c r="I2125" s="8">
        <f>G2125-H2125</f>
        <v>-76.049999999999955</v>
      </c>
    </row>
    <row r="2127" spans="1:10" x14ac:dyDescent="0.25">
      <c r="A2127" s="5">
        <v>4303866</v>
      </c>
      <c r="B2127" s="6" t="s">
        <v>3521</v>
      </c>
      <c r="C2127" s="7"/>
      <c r="D2127" s="7"/>
      <c r="E2127" s="7"/>
      <c r="F2127" s="7"/>
      <c r="G2127" s="7"/>
      <c r="H2127" s="7"/>
      <c r="I2127" s="7"/>
      <c r="J2127" s="7"/>
    </row>
    <row r="2128" spans="1:10" x14ac:dyDescent="0.25">
      <c r="E2128" s="4" t="s">
        <v>10</v>
      </c>
      <c r="G2128" s="8">
        <v>0.1</v>
      </c>
      <c r="H2128" s="8">
        <v>0</v>
      </c>
      <c r="I2128" s="8">
        <f>G2128-H2128</f>
        <v>0.1</v>
      </c>
    </row>
    <row r="2129" spans="1:10" x14ac:dyDescent="0.25">
      <c r="E2129" s="4" t="s">
        <v>20</v>
      </c>
      <c r="G2129" s="8">
        <f>G2128</f>
        <v>0.1</v>
      </c>
      <c r="H2129" s="8">
        <f>H2128</f>
        <v>0</v>
      </c>
      <c r="I2129" s="8">
        <f>G2129-H2129</f>
        <v>0.1</v>
      </c>
    </row>
    <row r="2131" spans="1:10" x14ac:dyDescent="0.25">
      <c r="A2131" s="5">
        <v>4303867</v>
      </c>
      <c r="B2131" s="6" t="s">
        <v>3522</v>
      </c>
      <c r="C2131" s="7"/>
      <c r="D2131" s="7"/>
      <c r="E2131" s="7"/>
      <c r="F2131" s="7"/>
      <c r="G2131" s="7"/>
      <c r="H2131" s="7"/>
      <c r="I2131" s="7"/>
      <c r="J2131" s="7"/>
    </row>
    <row r="2132" spans="1:10" x14ac:dyDescent="0.25">
      <c r="E2132" s="4" t="s">
        <v>10</v>
      </c>
      <c r="G2132" s="8">
        <v>1220.26</v>
      </c>
      <c r="H2132" s="8">
        <v>0</v>
      </c>
      <c r="I2132" s="8">
        <f>G2132-H2132</f>
        <v>1220.26</v>
      </c>
    </row>
    <row r="2133" spans="1:10" x14ac:dyDescent="0.25">
      <c r="C2133" s="9"/>
      <c r="D2133" s="10">
        <v>45671</v>
      </c>
      <c r="E2133" t="s">
        <v>3523</v>
      </c>
      <c r="F2133" s="11" t="s">
        <v>3524</v>
      </c>
      <c r="G2133" s="8">
        <v>336.21</v>
      </c>
      <c r="H2133" s="8">
        <v>0</v>
      </c>
      <c r="I2133" s="8">
        <f t="shared" ref="I2133:I2141" si="110">G2133-H2133+I2132</f>
        <v>1556.47</v>
      </c>
      <c r="J2133" s="12"/>
    </row>
    <row r="2134" spans="1:10" x14ac:dyDescent="0.25">
      <c r="C2134" s="9"/>
      <c r="D2134" s="10">
        <v>45692</v>
      </c>
      <c r="E2134" t="s">
        <v>1524</v>
      </c>
      <c r="F2134" s="11" t="s">
        <v>3525</v>
      </c>
      <c r="G2134" s="8">
        <v>0</v>
      </c>
      <c r="H2134" s="8">
        <v>57.09</v>
      </c>
      <c r="I2134" s="8">
        <f t="shared" si="110"/>
        <v>1499.38</v>
      </c>
      <c r="J2134" s="12"/>
    </row>
    <row r="2135" spans="1:10" x14ac:dyDescent="0.25">
      <c r="C2135" s="9"/>
      <c r="D2135" s="10">
        <v>45692</v>
      </c>
      <c r="E2135" t="s">
        <v>1524</v>
      </c>
      <c r="F2135" s="11" t="s">
        <v>3526</v>
      </c>
      <c r="G2135" s="8">
        <v>0</v>
      </c>
      <c r="H2135" s="8">
        <v>624.14</v>
      </c>
      <c r="I2135" s="8">
        <f t="shared" si="110"/>
        <v>875.24000000000012</v>
      </c>
      <c r="J2135" s="12"/>
    </row>
    <row r="2136" spans="1:10" x14ac:dyDescent="0.25">
      <c r="C2136" s="9"/>
      <c r="D2136" s="10">
        <v>45702</v>
      </c>
      <c r="E2136" t="s">
        <v>3527</v>
      </c>
      <c r="F2136" s="11" t="s">
        <v>3528</v>
      </c>
      <c r="G2136" s="8">
        <v>329.5</v>
      </c>
      <c r="H2136" s="8">
        <v>0</v>
      </c>
      <c r="I2136" s="8">
        <f t="shared" si="110"/>
        <v>1204.7400000000002</v>
      </c>
      <c r="J2136" s="12"/>
    </row>
    <row r="2137" spans="1:10" x14ac:dyDescent="0.25">
      <c r="C2137" s="9"/>
      <c r="D2137" s="10">
        <v>45716</v>
      </c>
      <c r="E2137" t="s">
        <v>3529</v>
      </c>
      <c r="F2137" s="11" t="s">
        <v>3530</v>
      </c>
      <c r="G2137" s="8">
        <v>668.33</v>
      </c>
      <c r="H2137" s="8">
        <v>0</v>
      </c>
      <c r="I2137" s="8">
        <f t="shared" si="110"/>
        <v>1873.0700000000002</v>
      </c>
      <c r="J2137" s="12"/>
    </row>
    <row r="2138" spans="1:10" x14ac:dyDescent="0.25">
      <c r="C2138" s="9"/>
      <c r="D2138" s="10">
        <v>45720</v>
      </c>
      <c r="E2138" t="s">
        <v>1524</v>
      </c>
      <c r="F2138" s="11" t="s">
        <v>3531</v>
      </c>
      <c r="G2138" s="8">
        <v>0</v>
      </c>
      <c r="H2138" s="8">
        <v>356.07</v>
      </c>
      <c r="I2138" s="8">
        <f t="shared" si="110"/>
        <v>1517.0000000000002</v>
      </c>
      <c r="J2138" s="12"/>
    </row>
    <row r="2139" spans="1:10" x14ac:dyDescent="0.25">
      <c r="C2139" s="9"/>
      <c r="D2139" s="10">
        <v>45720</v>
      </c>
      <c r="E2139" t="s">
        <v>1524</v>
      </c>
      <c r="F2139" s="11" t="s">
        <v>3532</v>
      </c>
      <c r="G2139" s="8">
        <v>0</v>
      </c>
      <c r="H2139" s="8">
        <v>182.94</v>
      </c>
      <c r="I2139" s="8">
        <f t="shared" si="110"/>
        <v>1334.0600000000002</v>
      </c>
      <c r="J2139" s="12"/>
    </row>
    <row r="2140" spans="1:10" x14ac:dyDescent="0.25">
      <c r="C2140" s="9"/>
      <c r="D2140" s="10">
        <v>45747</v>
      </c>
      <c r="E2140" t="s">
        <v>3533</v>
      </c>
      <c r="F2140" s="11" t="s">
        <v>3534</v>
      </c>
      <c r="G2140" s="8">
        <v>93.39</v>
      </c>
      <c r="H2140" s="8">
        <v>0</v>
      </c>
      <c r="I2140" s="8">
        <f t="shared" si="110"/>
        <v>1427.4500000000003</v>
      </c>
      <c r="J2140" s="12"/>
    </row>
    <row r="2141" spans="1:10" x14ac:dyDescent="0.25">
      <c r="C2141" s="9"/>
      <c r="D2141" s="10">
        <v>45750</v>
      </c>
      <c r="E2141" t="s">
        <v>1524</v>
      </c>
      <c r="F2141" s="11" t="s">
        <v>3524</v>
      </c>
      <c r="G2141" s="8">
        <v>0</v>
      </c>
      <c r="H2141" s="8">
        <v>336.21</v>
      </c>
      <c r="I2141" s="8">
        <f t="shared" si="110"/>
        <v>1091.2400000000002</v>
      </c>
      <c r="J2141" s="12"/>
    </row>
    <row r="2142" spans="1:10" x14ac:dyDescent="0.25">
      <c r="E2142" s="4" t="s">
        <v>20</v>
      </c>
      <c r="G2142" s="8">
        <f>SUM(G2132:G2141)</f>
        <v>2647.69</v>
      </c>
      <c r="H2142" s="8">
        <f>SUM(H2132:H2141)</f>
        <v>1556.45</v>
      </c>
      <c r="I2142" s="8">
        <f>G2142-H2142</f>
        <v>1091.24</v>
      </c>
    </row>
    <row r="2144" spans="1:10" x14ac:dyDescent="0.25">
      <c r="A2144" s="5">
        <v>4303870</v>
      </c>
      <c r="B2144" s="6" t="s">
        <v>3535</v>
      </c>
      <c r="C2144" s="7"/>
      <c r="D2144" s="7"/>
      <c r="E2144" s="7"/>
      <c r="F2144" s="7"/>
      <c r="G2144" s="7"/>
      <c r="H2144" s="7"/>
      <c r="I2144" s="7"/>
      <c r="J2144" s="7"/>
    </row>
    <row r="2145" spans="1:10" x14ac:dyDescent="0.25">
      <c r="E2145" s="4" t="s">
        <v>10</v>
      </c>
      <c r="G2145" s="8">
        <v>151.66</v>
      </c>
      <c r="H2145" s="8">
        <v>0</v>
      </c>
      <c r="I2145" s="8">
        <f>G2145-H2145</f>
        <v>151.66</v>
      </c>
    </row>
    <row r="2146" spans="1:10" x14ac:dyDescent="0.25">
      <c r="C2146" s="9"/>
      <c r="D2146" s="10">
        <v>45659</v>
      </c>
      <c r="E2146" t="s">
        <v>1524</v>
      </c>
      <c r="F2146" s="11" t="s">
        <v>3536</v>
      </c>
      <c r="G2146" s="8">
        <v>0</v>
      </c>
      <c r="H2146" s="8">
        <v>151.66</v>
      </c>
      <c r="I2146" s="8">
        <f>G2146-H2146+I2145</f>
        <v>0</v>
      </c>
      <c r="J2146" s="12"/>
    </row>
    <row r="2147" spans="1:10" x14ac:dyDescent="0.25">
      <c r="C2147" s="9"/>
      <c r="D2147" s="10">
        <v>45716</v>
      </c>
      <c r="E2147" t="s">
        <v>3537</v>
      </c>
      <c r="F2147" s="11" t="s">
        <v>3538</v>
      </c>
      <c r="G2147" s="8">
        <v>54.97</v>
      </c>
      <c r="H2147" s="8">
        <v>0</v>
      </c>
      <c r="I2147" s="8">
        <f>G2147-H2147+I2146</f>
        <v>54.97</v>
      </c>
      <c r="J2147" s="12"/>
    </row>
    <row r="2148" spans="1:10" x14ac:dyDescent="0.25">
      <c r="C2148" s="9" t="s">
        <v>124</v>
      </c>
      <c r="D2148" s="10">
        <v>45719</v>
      </c>
      <c r="E2148" t="s">
        <v>3539</v>
      </c>
      <c r="F2148" s="11" t="s">
        <v>42</v>
      </c>
      <c r="G2148" s="8">
        <v>0</v>
      </c>
      <c r="H2148" s="8">
        <v>54.97</v>
      </c>
      <c r="I2148" s="8">
        <f>G2148-H2148+I2147</f>
        <v>0</v>
      </c>
      <c r="J2148" s="12"/>
    </row>
    <row r="2149" spans="1:10" x14ac:dyDescent="0.25">
      <c r="C2149" s="9"/>
      <c r="D2149" s="10">
        <v>45762</v>
      </c>
      <c r="E2149" t="s">
        <v>3539</v>
      </c>
      <c r="F2149" s="11" t="s">
        <v>42</v>
      </c>
      <c r="G2149" s="8">
        <v>0</v>
      </c>
      <c r="H2149" s="8">
        <v>61.9</v>
      </c>
      <c r="I2149" s="8">
        <f>G2149-H2149+I2148</f>
        <v>-61.9</v>
      </c>
      <c r="J2149" s="12"/>
    </row>
    <row r="2150" spans="1:10" x14ac:dyDescent="0.25">
      <c r="E2150" s="4" t="s">
        <v>20</v>
      </c>
      <c r="G2150" s="8">
        <f>SUM(G2145:G2149)</f>
        <v>206.63</v>
      </c>
      <c r="H2150" s="8">
        <f>SUM(H2145:H2149)</f>
        <v>268.52999999999997</v>
      </c>
      <c r="I2150" s="8">
        <f>G2150-H2150</f>
        <v>-61.899999999999977</v>
      </c>
    </row>
    <row r="2152" spans="1:10" x14ac:dyDescent="0.25">
      <c r="A2152" s="5">
        <v>4303872</v>
      </c>
      <c r="B2152" s="6" t="s">
        <v>3540</v>
      </c>
      <c r="C2152" s="7"/>
      <c r="D2152" s="7"/>
      <c r="E2152" s="7"/>
      <c r="F2152" s="7"/>
      <c r="G2152" s="7"/>
      <c r="H2152" s="7"/>
      <c r="I2152" s="7"/>
      <c r="J2152" s="7"/>
    </row>
    <row r="2153" spans="1:10" x14ac:dyDescent="0.25">
      <c r="E2153" s="4" t="s">
        <v>10</v>
      </c>
      <c r="G2153" s="8">
        <v>117.72</v>
      </c>
      <c r="H2153" s="8">
        <v>0</v>
      </c>
      <c r="I2153" s="8">
        <f>G2153-H2153</f>
        <v>117.72</v>
      </c>
    </row>
    <row r="2154" spans="1:10" x14ac:dyDescent="0.25">
      <c r="C2154" s="9"/>
      <c r="D2154" s="10">
        <v>45667</v>
      </c>
      <c r="E2154" t="s">
        <v>3541</v>
      </c>
      <c r="F2154" s="11" t="s">
        <v>3542</v>
      </c>
      <c r="G2154" s="8">
        <v>0</v>
      </c>
      <c r="H2154" s="8">
        <v>117.72</v>
      </c>
      <c r="I2154" s="8">
        <f t="shared" ref="I2154:I2165" si="111">G2154-H2154+I2153</f>
        <v>0</v>
      </c>
      <c r="J2154" s="12"/>
    </row>
    <row r="2155" spans="1:10" x14ac:dyDescent="0.25">
      <c r="C2155" s="9"/>
      <c r="D2155" s="10">
        <v>45671</v>
      </c>
      <c r="E2155" t="s">
        <v>3543</v>
      </c>
      <c r="F2155" s="11" t="s">
        <v>3544</v>
      </c>
      <c r="G2155" s="8">
        <v>450.88</v>
      </c>
      <c r="H2155" s="8">
        <v>0</v>
      </c>
      <c r="I2155" s="8">
        <f t="shared" si="111"/>
        <v>450.88</v>
      </c>
      <c r="J2155" s="12"/>
    </row>
    <row r="2156" spans="1:10" x14ac:dyDescent="0.25">
      <c r="C2156" s="9"/>
      <c r="D2156" s="10">
        <v>45688</v>
      </c>
      <c r="E2156" t="s">
        <v>3545</v>
      </c>
      <c r="F2156" s="11" t="s">
        <v>3546</v>
      </c>
      <c r="G2156" s="8">
        <v>501.32</v>
      </c>
      <c r="H2156" s="8">
        <v>0</v>
      </c>
      <c r="I2156" s="8">
        <f t="shared" si="111"/>
        <v>952.2</v>
      </c>
      <c r="J2156" s="12"/>
    </row>
    <row r="2157" spans="1:10" x14ac:dyDescent="0.25">
      <c r="C2157" s="9"/>
      <c r="D2157" s="10">
        <v>45701</v>
      </c>
      <c r="E2157" t="s">
        <v>1524</v>
      </c>
      <c r="F2157" s="11" t="s">
        <v>3546</v>
      </c>
      <c r="G2157" s="8">
        <v>0</v>
      </c>
      <c r="H2157" s="8">
        <v>501.32</v>
      </c>
      <c r="I2157" s="8">
        <f t="shared" si="111"/>
        <v>450.88000000000005</v>
      </c>
      <c r="J2157" s="12"/>
    </row>
    <row r="2158" spans="1:10" x14ac:dyDescent="0.25">
      <c r="C2158" s="9"/>
      <c r="D2158" s="10">
        <v>45702</v>
      </c>
      <c r="E2158" t="s">
        <v>3547</v>
      </c>
      <c r="F2158" s="11" t="s">
        <v>3548</v>
      </c>
      <c r="G2158" s="8">
        <v>219.74</v>
      </c>
      <c r="H2158" s="8">
        <v>0</v>
      </c>
      <c r="I2158" s="8">
        <f t="shared" si="111"/>
        <v>670.62000000000012</v>
      </c>
      <c r="J2158" s="12"/>
    </row>
    <row r="2159" spans="1:10" x14ac:dyDescent="0.25">
      <c r="C2159" s="9"/>
      <c r="D2159" s="10">
        <v>45712</v>
      </c>
      <c r="E2159" t="s">
        <v>1524</v>
      </c>
      <c r="F2159" s="11" t="s">
        <v>3548</v>
      </c>
      <c r="G2159" s="8">
        <v>0</v>
      </c>
      <c r="H2159" s="8">
        <v>219.74</v>
      </c>
      <c r="I2159" s="8">
        <f t="shared" si="111"/>
        <v>450.88000000000011</v>
      </c>
      <c r="J2159" s="12"/>
    </row>
    <row r="2160" spans="1:10" x14ac:dyDescent="0.25">
      <c r="C2160" s="9"/>
      <c r="D2160" s="10">
        <v>45716</v>
      </c>
      <c r="E2160" t="s">
        <v>3549</v>
      </c>
      <c r="F2160" s="11" t="s">
        <v>3550</v>
      </c>
      <c r="G2160" s="8">
        <v>1724.53</v>
      </c>
      <c r="H2160" s="8">
        <v>0</v>
      </c>
      <c r="I2160" s="8">
        <f t="shared" si="111"/>
        <v>2175.41</v>
      </c>
      <c r="J2160" s="12"/>
    </row>
    <row r="2161" spans="1:10" x14ac:dyDescent="0.25">
      <c r="C2161" s="9"/>
      <c r="D2161" s="10">
        <v>45719</v>
      </c>
      <c r="E2161" t="s">
        <v>1524</v>
      </c>
      <c r="F2161" s="11" t="s">
        <v>3544</v>
      </c>
      <c r="G2161" s="8">
        <v>0</v>
      </c>
      <c r="H2161" s="8">
        <v>450.88</v>
      </c>
      <c r="I2161" s="8">
        <f t="shared" si="111"/>
        <v>1724.5299999999997</v>
      </c>
      <c r="J2161" s="12"/>
    </row>
    <row r="2162" spans="1:10" x14ac:dyDescent="0.25">
      <c r="C2162" s="9"/>
      <c r="D2162" s="10">
        <v>45726</v>
      </c>
      <c r="E2162" t="s">
        <v>1524</v>
      </c>
      <c r="F2162" s="11" t="s">
        <v>3550</v>
      </c>
      <c r="G2162" s="8">
        <v>0</v>
      </c>
      <c r="H2162" s="8">
        <v>1724.53</v>
      </c>
      <c r="I2162" s="8">
        <f t="shared" si="111"/>
        <v>0</v>
      </c>
      <c r="J2162" s="12"/>
    </row>
    <row r="2163" spans="1:10" x14ac:dyDescent="0.25">
      <c r="C2163" s="9"/>
      <c r="D2163" s="10">
        <v>45730</v>
      </c>
      <c r="E2163" t="s">
        <v>3551</v>
      </c>
      <c r="F2163" s="11" t="s">
        <v>3552</v>
      </c>
      <c r="G2163" s="8">
        <v>680.01</v>
      </c>
      <c r="H2163" s="8">
        <v>0</v>
      </c>
      <c r="I2163" s="8">
        <f t="shared" si="111"/>
        <v>680.01</v>
      </c>
      <c r="J2163" s="12"/>
    </row>
    <row r="2164" spans="1:10" x14ac:dyDescent="0.25">
      <c r="C2164" s="9"/>
      <c r="D2164" s="10">
        <v>45747</v>
      </c>
      <c r="E2164" t="s">
        <v>3553</v>
      </c>
      <c r="F2164" s="11" t="s">
        <v>3554</v>
      </c>
      <c r="G2164" s="8">
        <v>525.72</v>
      </c>
      <c r="H2164" s="8">
        <v>0</v>
      </c>
      <c r="I2164" s="8">
        <f t="shared" si="111"/>
        <v>1205.73</v>
      </c>
      <c r="J2164" s="12"/>
    </row>
    <row r="2165" spans="1:10" x14ac:dyDescent="0.25">
      <c r="C2165" s="9"/>
      <c r="D2165" s="10">
        <v>45751</v>
      </c>
      <c r="E2165" t="s">
        <v>1524</v>
      </c>
      <c r="F2165" s="11" t="s">
        <v>3554</v>
      </c>
      <c r="G2165" s="8">
        <v>0</v>
      </c>
      <c r="H2165" s="8">
        <v>525.72</v>
      </c>
      <c r="I2165" s="8">
        <f t="shared" si="111"/>
        <v>680.01</v>
      </c>
      <c r="J2165" s="12"/>
    </row>
    <row r="2166" spans="1:10" x14ac:dyDescent="0.25">
      <c r="E2166" s="4" t="s">
        <v>20</v>
      </c>
      <c r="G2166" s="8">
        <f>SUM(G2153:G2165)</f>
        <v>4219.92</v>
      </c>
      <c r="H2166" s="8">
        <f>SUM(H2153:H2165)</f>
        <v>3539.91</v>
      </c>
      <c r="I2166" s="8">
        <f>G2166-H2166</f>
        <v>680.01000000000022</v>
      </c>
    </row>
    <row r="2168" spans="1:10" x14ac:dyDescent="0.25">
      <c r="A2168" s="5">
        <v>4303873</v>
      </c>
      <c r="B2168" s="6" t="s">
        <v>3555</v>
      </c>
      <c r="C2168" s="7"/>
      <c r="D2168" s="7"/>
      <c r="E2168" s="7"/>
      <c r="F2168" s="7"/>
      <c r="G2168" s="7"/>
      <c r="H2168" s="7"/>
      <c r="I2168" s="7"/>
      <c r="J2168" s="7"/>
    </row>
    <row r="2169" spans="1:10" x14ac:dyDescent="0.25">
      <c r="C2169" s="9"/>
      <c r="D2169" s="10">
        <v>45671</v>
      </c>
      <c r="E2169" t="s">
        <v>3556</v>
      </c>
      <c r="F2169" s="11" t="s">
        <v>3557</v>
      </c>
      <c r="G2169" s="8">
        <v>82.49</v>
      </c>
      <c r="H2169" s="8">
        <v>0</v>
      </c>
      <c r="I2169" s="8">
        <f>G2169-H2169</f>
        <v>82.49</v>
      </c>
      <c r="J2169" s="12"/>
    </row>
    <row r="2170" spans="1:10" x14ac:dyDescent="0.25">
      <c r="C2170" s="9"/>
      <c r="D2170" s="10">
        <v>45672</v>
      </c>
      <c r="E2170" t="s">
        <v>1524</v>
      </c>
      <c r="F2170" s="11" t="s">
        <v>3557</v>
      </c>
      <c r="G2170" s="8">
        <v>0</v>
      </c>
      <c r="H2170" s="8">
        <v>82.49</v>
      </c>
      <c r="I2170" s="8">
        <f t="shared" ref="I2170:I2179" si="112">G2170-H2170+I2169</f>
        <v>0</v>
      </c>
      <c r="J2170" s="12"/>
    </row>
    <row r="2171" spans="1:10" x14ac:dyDescent="0.25">
      <c r="C2171" s="9"/>
      <c r="D2171" s="10">
        <v>45688</v>
      </c>
      <c r="E2171" t="s">
        <v>3558</v>
      </c>
      <c r="F2171" s="11" t="s">
        <v>3559</v>
      </c>
      <c r="G2171" s="8">
        <v>124.36</v>
      </c>
      <c r="H2171" s="8">
        <v>0</v>
      </c>
      <c r="I2171" s="8">
        <f t="shared" si="112"/>
        <v>124.36</v>
      </c>
      <c r="J2171" s="12"/>
    </row>
    <row r="2172" spans="1:10" x14ac:dyDescent="0.25">
      <c r="C2172" s="9" t="s">
        <v>124</v>
      </c>
      <c r="D2172" s="10">
        <v>45691</v>
      </c>
      <c r="E2172" t="s">
        <v>3560</v>
      </c>
      <c r="F2172" s="11" t="s">
        <v>3559</v>
      </c>
      <c r="G2172" s="8">
        <v>0</v>
      </c>
      <c r="H2172" s="8">
        <v>124.36</v>
      </c>
      <c r="I2172" s="8">
        <f t="shared" si="112"/>
        <v>0</v>
      </c>
      <c r="J2172" s="12"/>
    </row>
    <row r="2173" spans="1:10" x14ac:dyDescent="0.25">
      <c r="C2173" s="9"/>
      <c r="D2173" s="10">
        <v>45702</v>
      </c>
      <c r="E2173" t="s">
        <v>3561</v>
      </c>
      <c r="F2173" s="11" t="s">
        <v>3562</v>
      </c>
      <c r="G2173" s="8">
        <v>41.5</v>
      </c>
      <c r="H2173" s="8">
        <v>0</v>
      </c>
      <c r="I2173" s="8">
        <f t="shared" si="112"/>
        <v>41.5</v>
      </c>
      <c r="J2173" s="12"/>
    </row>
    <row r="2174" spans="1:10" x14ac:dyDescent="0.25">
      <c r="C2174" s="9"/>
      <c r="D2174" s="10">
        <v>45705</v>
      </c>
      <c r="E2174" t="s">
        <v>1524</v>
      </c>
      <c r="F2174" s="11" t="s">
        <v>3562</v>
      </c>
      <c r="G2174" s="8">
        <v>0</v>
      </c>
      <c r="H2174" s="8">
        <v>41.5</v>
      </c>
      <c r="I2174" s="8">
        <f t="shared" si="112"/>
        <v>0</v>
      </c>
      <c r="J2174" s="12"/>
    </row>
    <row r="2175" spans="1:10" x14ac:dyDescent="0.25">
      <c r="C2175" s="9"/>
      <c r="D2175" s="10">
        <v>45716</v>
      </c>
      <c r="E2175" t="s">
        <v>3563</v>
      </c>
      <c r="F2175" s="11" t="s">
        <v>3564</v>
      </c>
      <c r="G2175" s="8">
        <v>112.91</v>
      </c>
      <c r="H2175" s="8">
        <v>0</v>
      </c>
      <c r="I2175" s="8">
        <f t="shared" si="112"/>
        <v>112.91</v>
      </c>
      <c r="J2175" s="12"/>
    </row>
    <row r="2176" spans="1:10" x14ac:dyDescent="0.25">
      <c r="C2176" s="9"/>
      <c r="D2176" s="10">
        <v>45720</v>
      </c>
      <c r="E2176" t="s">
        <v>1524</v>
      </c>
      <c r="F2176" s="11" t="s">
        <v>3564</v>
      </c>
      <c r="G2176" s="8">
        <v>0</v>
      </c>
      <c r="H2176" s="8">
        <v>112.91</v>
      </c>
      <c r="I2176" s="8">
        <f t="shared" si="112"/>
        <v>0</v>
      </c>
      <c r="J2176" s="12"/>
    </row>
    <row r="2177" spans="1:10" x14ac:dyDescent="0.25">
      <c r="C2177" s="9"/>
      <c r="D2177" s="10">
        <v>45747</v>
      </c>
      <c r="E2177" t="s">
        <v>3565</v>
      </c>
      <c r="F2177" s="11" t="s">
        <v>3566</v>
      </c>
      <c r="G2177" s="8">
        <v>614.89</v>
      </c>
      <c r="H2177" s="8">
        <v>0</v>
      </c>
      <c r="I2177" s="8">
        <f t="shared" si="112"/>
        <v>614.89</v>
      </c>
      <c r="J2177" s="12"/>
    </row>
    <row r="2178" spans="1:10" x14ac:dyDescent="0.25">
      <c r="C2178" s="9"/>
      <c r="D2178" s="10">
        <v>45748</v>
      </c>
      <c r="E2178" t="s">
        <v>1524</v>
      </c>
      <c r="F2178" s="11" t="s">
        <v>3566</v>
      </c>
      <c r="G2178" s="8">
        <v>0</v>
      </c>
      <c r="H2178" s="8">
        <v>614.89</v>
      </c>
      <c r="I2178" s="8">
        <f t="shared" si="112"/>
        <v>0</v>
      </c>
      <c r="J2178" s="12"/>
    </row>
    <row r="2179" spans="1:10" x14ac:dyDescent="0.25">
      <c r="C2179" s="9"/>
      <c r="D2179" s="10">
        <v>45762</v>
      </c>
      <c r="E2179" t="s">
        <v>3567</v>
      </c>
      <c r="F2179" s="11" t="s">
        <v>42</v>
      </c>
      <c r="G2179" s="8">
        <v>0</v>
      </c>
      <c r="H2179" s="8">
        <v>190.56</v>
      </c>
      <c r="I2179" s="8">
        <f t="shared" si="112"/>
        <v>-190.56</v>
      </c>
      <c r="J2179" s="12"/>
    </row>
    <row r="2180" spans="1:10" x14ac:dyDescent="0.25">
      <c r="E2180" s="4" t="s">
        <v>20</v>
      </c>
      <c r="G2180" s="8">
        <f>SUM(G2169:G2179)</f>
        <v>976.15</v>
      </c>
      <c r="H2180" s="8">
        <f>SUM(H2169:H2179)</f>
        <v>1166.71</v>
      </c>
      <c r="I2180" s="8">
        <f>G2180-H2180</f>
        <v>-190.56000000000006</v>
      </c>
    </row>
    <row r="2182" spans="1:10" x14ac:dyDescent="0.25">
      <c r="A2182" s="5">
        <v>4303878</v>
      </c>
      <c r="B2182" s="6" t="s">
        <v>3568</v>
      </c>
      <c r="C2182" s="7"/>
      <c r="D2182" s="7"/>
      <c r="E2182" s="7"/>
      <c r="F2182" s="7"/>
      <c r="G2182" s="7"/>
      <c r="H2182" s="7"/>
      <c r="I2182" s="7"/>
      <c r="J2182" s="7"/>
    </row>
    <row r="2183" spans="1:10" x14ac:dyDescent="0.25">
      <c r="E2183" s="4" t="s">
        <v>10</v>
      </c>
      <c r="G2183" s="8">
        <v>956.71</v>
      </c>
      <c r="H2183" s="8">
        <v>0</v>
      </c>
      <c r="I2183" s="8">
        <f>G2183-H2183</f>
        <v>956.71</v>
      </c>
    </row>
    <row r="2184" spans="1:10" x14ac:dyDescent="0.25">
      <c r="E2184" s="4" t="s">
        <v>20</v>
      </c>
      <c r="G2184" s="8">
        <f>G2183</f>
        <v>956.71</v>
      </c>
      <c r="H2184" s="8">
        <f>H2183</f>
        <v>0</v>
      </c>
      <c r="I2184" s="8">
        <f>G2184-H2184</f>
        <v>956.71</v>
      </c>
    </row>
    <row r="2186" spans="1:10" x14ac:dyDescent="0.25">
      <c r="A2186" s="5">
        <v>4303880</v>
      </c>
      <c r="B2186" s="6" t="s">
        <v>3569</v>
      </c>
      <c r="C2186" s="7"/>
      <c r="D2186" s="7"/>
      <c r="E2186" s="7"/>
      <c r="F2186" s="7"/>
      <c r="G2186" s="7"/>
      <c r="H2186" s="7"/>
      <c r="I2186" s="7"/>
      <c r="J2186" s="7"/>
    </row>
    <row r="2187" spans="1:10" x14ac:dyDescent="0.25">
      <c r="E2187" s="4" t="s">
        <v>10</v>
      </c>
      <c r="G2187" s="8">
        <v>3783.13</v>
      </c>
      <c r="H2187" s="8">
        <v>0</v>
      </c>
      <c r="I2187" s="8">
        <f>G2187-H2187</f>
        <v>3783.13</v>
      </c>
    </row>
    <row r="2188" spans="1:10" x14ac:dyDescent="0.25">
      <c r="C2188" s="9"/>
      <c r="D2188" s="10">
        <v>45671</v>
      </c>
      <c r="E2188" t="s">
        <v>3570</v>
      </c>
      <c r="F2188" s="11" t="s">
        <v>3571</v>
      </c>
      <c r="G2188" s="8">
        <v>532.09</v>
      </c>
      <c r="H2188" s="8">
        <v>0</v>
      </c>
      <c r="I2188" s="8">
        <f t="shared" ref="I2188:I2196" si="113">G2188-H2188+I2187</f>
        <v>4315.22</v>
      </c>
      <c r="J2188" s="12"/>
    </row>
    <row r="2189" spans="1:10" x14ac:dyDescent="0.25">
      <c r="C2189" s="9"/>
      <c r="D2189" s="10">
        <v>45688</v>
      </c>
      <c r="E2189" t="s">
        <v>3572</v>
      </c>
      <c r="F2189" s="11" t="s">
        <v>3573</v>
      </c>
      <c r="G2189" s="8">
        <v>1087.03</v>
      </c>
      <c r="H2189" s="8">
        <v>0</v>
      </c>
      <c r="I2189" s="8">
        <f t="shared" si="113"/>
        <v>5402.25</v>
      </c>
      <c r="J2189" s="12"/>
    </row>
    <row r="2190" spans="1:10" x14ac:dyDescent="0.25">
      <c r="C2190" s="9"/>
      <c r="D2190" s="10">
        <v>45694</v>
      </c>
      <c r="E2190" t="s">
        <v>3574</v>
      </c>
      <c r="F2190" s="11" t="s">
        <v>42</v>
      </c>
      <c r="G2190" s="8">
        <v>0</v>
      </c>
      <c r="H2190" s="8">
        <v>1624.23</v>
      </c>
      <c r="I2190" s="8">
        <f t="shared" si="113"/>
        <v>3778.02</v>
      </c>
      <c r="J2190" s="12"/>
    </row>
    <row r="2191" spans="1:10" x14ac:dyDescent="0.25">
      <c r="C2191" s="9"/>
      <c r="D2191" s="10">
        <v>45702</v>
      </c>
      <c r="E2191" t="s">
        <v>3575</v>
      </c>
      <c r="F2191" s="11" t="s">
        <v>3576</v>
      </c>
      <c r="G2191" s="8">
        <v>307.95</v>
      </c>
      <c r="H2191" s="8">
        <v>0</v>
      </c>
      <c r="I2191" s="8">
        <f t="shared" si="113"/>
        <v>4085.97</v>
      </c>
      <c r="J2191" s="12"/>
    </row>
    <row r="2192" spans="1:10" x14ac:dyDescent="0.25">
      <c r="C2192" s="9"/>
      <c r="D2192" s="10">
        <v>45716</v>
      </c>
      <c r="E2192" t="s">
        <v>3577</v>
      </c>
      <c r="F2192" s="11" t="s">
        <v>3578</v>
      </c>
      <c r="G2192" s="8">
        <v>496.32</v>
      </c>
      <c r="H2192" s="8">
        <v>0</v>
      </c>
      <c r="I2192" s="8">
        <f t="shared" si="113"/>
        <v>4582.29</v>
      </c>
      <c r="J2192" s="12"/>
    </row>
    <row r="2193" spans="1:10" x14ac:dyDescent="0.25">
      <c r="C2193" s="9"/>
      <c r="D2193" s="10">
        <v>45729</v>
      </c>
      <c r="E2193" t="s">
        <v>3574</v>
      </c>
      <c r="F2193" s="11" t="s">
        <v>3571</v>
      </c>
      <c r="G2193" s="8">
        <v>0</v>
      </c>
      <c r="H2193" s="8">
        <v>1376.27</v>
      </c>
      <c r="I2193" s="8">
        <f t="shared" si="113"/>
        <v>3206.02</v>
      </c>
      <c r="J2193" s="12"/>
    </row>
    <row r="2194" spans="1:10" x14ac:dyDescent="0.25">
      <c r="C2194" s="9"/>
      <c r="D2194" s="10">
        <v>45730</v>
      </c>
      <c r="E2194" t="s">
        <v>3579</v>
      </c>
      <c r="F2194" s="11" t="s">
        <v>3580</v>
      </c>
      <c r="G2194" s="8">
        <v>1708.75</v>
      </c>
      <c r="H2194" s="8">
        <v>0</v>
      </c>
      <c r="I2194" s="8">
        <f t="shared" si="113"/>
        <v>4914.7700000000004</v>
      </c>
      <c r="J2194" s="12"/>
    </row>
    <row r="2195" spans="1:10" x14ac:dyDescent="0.25">
      <c r="C2195" s="9"/>
      <c r="D2195" s="10">
        <v>45747</v>
      </c>
      <c r="E2195" t="s">
        <v>3581</v>
      </c>
      <c r="F2195" s="11" t="s">
        <v>3582</v>
      </c>
      <c r="G2195" s="8">
        <v>382.75</v>
      </c>
      <c r="H2195" s="8">
        <v>0</v>
      </c>
      <c r="I2195" s="8">
        <f t="shared" si="113"/>
        <v>5297.52</v>
      </c>
      <c r="J2195" s="12"/>
    </row>
    <row r="2196" spans="1:10" x14ac:dyDescent="0.25">
      <c r="C2196" s="9"/>
      <c r="D2196" s="10">
        <v>45758</v>
      </c>
      <c r="E2196" t="s">
        <v>3583</v>
      </c>
      <c r="F2196" s="11" t="s">
        <v>3571</v>
      </c>
      <c r="G2196" s="8">
        <v>0</v>
      </c>
      <c r="H2196" s="8">
        <v>1284.0899999999999</v>
      </c>
      <c r="I2196" s="8">
        <f t="shared" si="113"/>
        <v>4013.4300000000003</v>
      </c>
      <c r="J2196" s="12"/>
    </row>
    <row r="2197" spans="1:10" x14ac:dyDescent="0.25">
      <c r="E2197" s="4" t="s">
        <v>20</v>
      </c>
      <c r="G2197" s="8">
        <f>SUM(G2187:G2196)</f>
        <v>8298.02</v>
      </c>
      <c r="H2197" s="8">
        <f>SUM(H2187:H2196)</f>
        <v>4284.59</v>
      </c>
      <c r="I2197" s="8">
        <f>G2197-H2197</f>
        <v>4013.4300000000003</v>
      </c>
    </row>
    <row r="2199" spans="1:10" x14ac:dyDescent="0.25">
      <c r="A2199" s="5">
        <v>4303883</v>
      </c>
      <c r="B2199" s="6" t="s">
        <v>3584</v>
      </c>
      <c r="C2199" s="7"/>
      <c r="D2199" s="7"/>
      <c r="E2199" s="7"/>
      <c r="F2199" s="7"/>
      <c r="G2199" s="7"/>
      <c r="H2199" s="7"/>
      <c r="I2199" s="7"/>
      <c r="J2199" s="7"/>
    </row>
    <row r="2200" spans="1:10" x14ac:dyDescent="0.25">
      <c r="E2200" s="4" t="s">
        <v>10</v>
      </c>
      <c r="G2200" s="8">
        <v>204.46</v>
      </c>
      <c r="H2200" s="8">
        <v>0</v>
      </c>
      <c r="I2200" s="8">
        <f>G2200-H2200</f>
        <v>204.46</v>
      </c>
    </row>
    <row r="2201" spans="1:10" x14ac:dyDescent="0.25">
      <c r="C2201" s="9"/>
      <c r="D2201" s="10">
        <v>45671</v>
      </c>
      <c r="E2201" t="s">
        <v>3585</v>
      </c>
      <c r="F2201" s="11" t="s">
        <v>3586</v>
      </c>
      <c r="G2201" s="8">
        <v>91.96</v>
      </c>
      <c r="H2201" s="8">
        <v>0</v>
      </c>
      <c r="I2201" s="8">
        <f>G2201-H2201+I2200</f>
        <v>296.42</v>
      </c>
      <c r="J2201" s="12"/>
    </row>
    <row r="2202" spans="1:10" x14ac:dyDescent="0.25">
      <c r="C2202" s="9"/>
      <c r="D2202" s="10">
        <v>45688</v>
      </c>
      <c r="E2202" t="s">
        <v>3587</v>
      </c>
      <c r="F2202" s="11" t="s">
        <v>3588</v>
      </c>
      <c r="G2202" s="8">
        <v>317.07</v>
      </c>
      <c r="H2202" s="8">
        <v>0</v>
      </c>
      <c r="I2202" s="8">
        <f>G2202-H2202+I2201</f>
        <v>613.49</v>
      </c>
      <c r="J2202" s="12"/>
    </row>
    <row r="2203" spans="1:10" x14ac:dyDescent="0.25">
      <c r="C2203" s="9"/>
      <c r="D2203" s="10">
        <v>45702</v>
      </c>
      <c r="E2203" t="s">
        <v>3589</v>
      </c>
      <c r="F2203" s="11" t="s">
        <v>3590</v>
      </c>
      <c r="G2203" s="8">
        <v>44.14</v>
      </c>
      <c r="H2203" s="8">
        <v>0</v>
      </c>
      <c r="I2203" s="8">
        <f>G2203-H2203+I2202</f>
        <v>657.63</v>
      </c>
      <c r="J2203" s="12"/>
    </row>
    <row r="2204" spans="1:10" x14ac:dyDescent="0.25">
      <c r="C2204" s="9"/>
      <c r="D2204" s="10">
        <v>45707</v>
      </c>
      <c r="E2204" t="s">
        <v>1524</v>
      </c>
      <c r="F2204" s="11" t="s">
        <v>3591</v>
      </c>
      <c r="G2204" s="8">
        <v>0</v>
      </c>
      <c r="H2204" s="8">
        <v>46.71</v>
      </c>
      <c r="I2204" s="8">
        <f>G2204-H2204+I2203</f>
        <v>610.91999999999996</v>
      </c>
      <c r="J2204" s="12"/>
    </row>
    <row r="2205" spans="1:10" x14ac:dyDescent="0.25">
      <c r="C2205" s="9"/>
      <c r="D2205" s="10">
        <v>45734</v>
      </c>
      <c r="E2205" t="s">
        <v>3592</v>
      </c>
      <c r="F2205" s="11" t="s">
        <v>42</v>
      </c>
      <c r="G2205" s="8">
        <v>0</v>
      </c>
      <c r="H2205" s="8">
        <v>249.71</v>
      </c>
      <c r="I2205" s="8">
        <f>G2205-H2205+I2204</f>
        <v>361.20999999999992</v>
      </c>
      <c r="J2205" s="12"/>
    </row>
    <row r="2206" spans="1:10" x14ac:dyDescent="0.25">
      <c r="E2206" s="4" t="s">
        <v>20</v>
      </c>
      <c r="G2206" s="8">
        <f>SUM(G2200:G2205)</f>
        <v>657.63</v>
      </c>
      <c r="H2206" s="8">
        <f>SUM(H2200:H2205)</f>
        <v>296.42</v>
      </c>
      <c r="I2206" s="8">
        <f>G2206-H2206</f>
        <v>361.21</v>
      </c>
    </row>
    <row r="2208" spans="1:10" x14ac:dyDescent="0.25">
      <c r="A2208" s="5">
        <v>4303884</v>
      </c>
      <c r="B2208" s="6" t="s">
        <v>3593</v>
      </c>
      <c r="C2208" s="7"/>
      <c r="D2208" s="7"/>
      <c r="E2208" s="7"/>
      <c r="F2208" s="7"/>
      <c r="G2208" s="7"/>
      <c r="H2208" s="7"/>
      <c r="I2208" s="7"/>
      <c r="J2208" s="7"/>
    </row>
    <row r="2209" spans="1:10" x14ac:dyDescent="0.25">
      <c r="E2209" s="4" t="s">
        <v>10</v>
      </c>
      <c r="G2209" s="8">
        <v>173.03</v>
      </c>
      <c r="H2209" s="8">
        <v>0</v>
      </c>
      <c r="I2209" s="8">
        <f>G2209-H2209</f>
        <v>173.03</v>
      </c>
    </row>
    <row r="2210" spans="1:10" x14ac:dyDescent="0.25">
      <c r="C2210" s="9"/>
      <c r="D2210" s="10">
        <v>45691</v>
      </c>
      <c r="E2210" t="s">
        <v>1524</v>
      </c>
      <c r="F2210" s="11" t="s">
        <v>3594</v>
      </c>
      <c r="G2210" s="8">
        <v>0</v>
      </c>
      <c r="H2210" s="8">
        <v>173.03</v>
      </c>
      <c r="I2210" s="8">
        <f>G2210-H2210+I2209</f>
        <v>0</v>
      </c>
      <c r="J2210" s="12"/>
    </row>
    <row r="2211" spans="1:10" x14ac:dyDescent="0.25">
      <c r="C2211" s="9"/>
      <c r="D2211" s="10">
        <v>45716</v>
      </c>
      <c r="E2211" t="s">
        <v>3595</v>
      </c>
      <c r="F2211" s="11" t="s">
        <v>3596</v>
      </c>
      <c r="G2211" s="8">
        <v>173.03</v>
      </c>
      <c r="H2211" s="8">
        <v>0</v>
      </c>
      <c r="I2211" s="8">
        <f>G2211-H2211+I2210</f>
        <v>173.03</v>
      </c>
      <c r="J2211" s="12"/>
    </row>
    <row r="2212" spans="1:10" x14ac:dyDescent="0.25">
      <c r="E2212" s="4" t="s">
        <v>20</v>
      </c>
      <c r="G2212" s="8">
        <f>SUM(G2209:G2211)</f>
        <v>346.06</v>
      </c>
      <c r="H2212" s="8">
        <f>SUM(H2209:H2211)</f>
        <v>173.03</v>
      </c>
      <c r="I2212" s="8">
        <f>G2212-H2212</f>
        <v>173.03</v>
      </c>
    </row>
    <row r="2214" spans="1:10" x14ac:dyDescent="0.25">
      <c r="A2214" s="5">
        <v>4303885</v>
      </c>
      <c r="B2214" s="6" t="s">
        <v>3597</v>
      </c>
      <c r="C2214" s="7"/>
      <c r="D2214" s="7"/>
      <c r="E2214" s="7"/>
      <c r="F2214" s="7"/>
      <c r="G2214" s="7"/>
      <c r="H2214" s="7"/>
      <c r="I2214" s="7"/>
      <c r="J2214" s="7"/>
    </row>
    <row r="2215" spans="1:10" x14ac:dyDescent="0.25">
      <c r="E2215" s="4" t="s">
        <v>10</v>
      </c>
      <c r="G2215" s="8">
        <v>96.07</v>
      </c>
      <c r="H2215" s="8">
        <v>0</v>
      </c>
      <c r="I2215" s="8">
        <f>G2215-H2215</f>
        <v>96.07</v>
      </c>
    </row>
    <row r="2216" spans="1:10" x14ac:dyDescent="0.25">
      <c r="C2216" s="9"/>
      <c r="D2216" s="10">
        <v>45670</v>
      </c>
      <c r="E2216" t="s">
        <v>3598</v>
      </c>
      <c r="F2216" s="11" t="s">
        <v>42</v>
      </c>
      <c r="G2216" s="8">
        <v>0</v>
      </c>
      <c r="H2216" s="8">
        <v>48.34</v>
      </c>
      <c r="I2216" s="8">
        <f t="shared" ref="I2216:I2221" si="114">G2216-H2216+I2215</f>
        <v>47.72999999999999</v>
      </c>
      <c r="J2216" s="12"/>
    </row>
    <row r="2217" spans="1:10" x14ac:dyDescent="0.25">
      <c r="C2217" s="9"/>
      <c r="D2217" s="10">
        <v>45670</v>
      </c>
      <c r="E2217" t="s">
        <v>3598</v>
      </c>
      <c r="F2217" s="11" t="s">
        <v>3599</v>
      </c>
      <c r="G2217" s="8">
        <v>0</v>
      </c>
      <c r="H2217" s="8">
        <v>39.93</v>
      </c>
      <c r="I2217" s="8">
        <f t="shared" si="114"/>
        <v>7.7999999999999901</v>
      </c>
      <c r="J2217" s="12"/>
    </row>
    <row r="2218" spans="1:10" x14ac:dyDescent="0.25">
      <c r="C2218" s="9"/>
      <c r="D2218" s="10">
        <v>45671</v>
      </c>
      <c r="E2218" t="s">
        <v>3600</v>
      </c>
      <c r="F2218" s="11" t="s">
        <v>3601</v>
      </c>
      <c r="G2218" s="8">
        <v>118.52</v>
      </c>
      <c r="H2218" s="8">
        <v>0</v>
      </c>
      <c r="I2218" s="8">
        <f t="shared" si="114"/>
        <v>126.32</v>
      </c>
      <c r="J2218" s="12"/>
    </row>
    <row r="2219" spans="1:10" x14ac:dyDescent="0.25">
      <c r="C2219" s="9"/>
      <c r="D2219" s="10">
        <v>45699</v>
      </c>
      <c r="E2219" t="s">
        <v>1524</v>
      </c>
      <c r="F2219" s="11" t="s">
        <v>3602</v>
      </c>
      <c r="G2219" s="8">
        <v>0</v>
      </c>
      <c r="H2219" s="8">
        <v>7.8</v>
      </c>
      <c r="I2219" s="8">
        <f t="shared" si="114"/>
        <v>118.52</v>
      </c>
      <c r="J2219" s="12"/>
    </row>
    <row r="2220" spans="1:10" x14ac:dyDescent="0.25">
      <c r="C2220" s="9"/>
      <c r="D2220" s="10">
        <v>45727</v>
      </c>
      <c r="E2220" t="s">
        <v>1524</v>
      </c>
      <c r="F2220" s="11" t="s">
        <v>3601</v>
      </c>
      <c r="G2220" s="8">
        <v>0</v>
      </c>
      <c r="H2220" s="8">
        <v>118.52</v>
      </c>
      <c r="I2220" s="8">
        <f t="shared" si="114"/>
        <v>0</v>
      </c>
      <c r="J2220" s="12"/>
    </row>
    <row r="2221" spans="1:10" x14ac:dyDescent="0.25">
      <c r="C2221" s="9"/>
      <c r="D2221" s="10">
        <v>45730</v>
      </c>
      <c r="E2221" t="s">
        <v>3603</v>
      </c>
      <c r="F2221" s="11" t="s">
        <v>3604</v>
      </c>
      <c r="G2221" s="8">
        <v>48.34</v>
      </c>
      <c r="H2221" s="8">
        <v>0</v>
      </c>
      <c r="I2221" s="8">
        <f t="shared" si="114"/>
        <v>48.34</v>
      </c>
      <c r="J2221" s="12"/>
    </row>
    <row r="2222" spans="1:10" x14ac:dyDescent="0.25">
      <c r="E2222" s="4" t="s">
        <v>20</v>
      </c>
      <c r="G2222" s="8">
        <f>SUM(G2215:G2221)</f>
        <v>262.92999999999995</v>
      </c>
      <c r="H2222" s="8">
        <f>SUM(H2215:H2221)</f>
        <v>214.59</v>
      </c>
      <c r="I2222" s="8">
        <f>G2222-H2222</f>
        <v>48.339999999999947</v>
      </c>
    </row>
    <row r="2224" spans="1:10" x14ac:dyDescent="0.25">
      <c r="A2224" s="5">
        <v>4303890</v>
      </c>
      <c r="B2224" s="6" t="s">
        <v>3605</v>
      </c>
      <c r="C2224" s="7"/>
      <c r="D2224" s="7"/>
      <c r="E2224" s="7"/>
      <c r="F2224" s="7"/>
      <c r="G2224" s="7"/>
      <c r="H2224" s="7"/>
      <c r="I2224" s="7"/>
      <c r="J2224" s="7"/>
    </row>
    <row r="2225" spans="1:10" x14ac:dyDescent="0.25">
      <c r="E2225" s="4" t="s">
        <v>10</v>
      </c>
      <c r="G2225" s="8">
        <v>63.19</v>
      </c>
      <c r="H2225" s="8">
        <v>0</v>
      </c>
      <c r="I2225" s="8">
        <f>G2225-H2225</f>
        <v>63.19</v>
      </c>
    </row>
    <row r="2226" spans="1:10" x14ac:dyDescent="0.25">
      <c r="C2226" s="9"/>
      <c r="D2226" s="10">
        <v>45688</v>
      </c>
      <c r="E2226" t="s">
        <v>3606</v>
      </c>
      <c r="F2226" s="11" t="s">
        <v>3607</v>
      </c>
      <c r="G2226" s="8">
        <v>157.37</v>
      </c>
      <c r="H2226" s="8">
        <v>0</v>
      </c>
      <c r="I2226" s="8">
        <f t="shared" ref="I2226:I2232" si="115">G2226-H2226+I2225</f>
        <v>220.56</v>
      </c>
      <c r="J2226" s="12"/>
    </row>
    <row r="2227" spans="1:10" x14ac:dyDescent="0.25">
      <c r="C2227" s="9"/>
      <c r="D2227" s="10">
        <v>45702</v>
      </c>
      <c r="E2227" t="s">
        <v>3608</v>
      </c>
      <c r="F2227" s="11" t="s">
        <v>3609</v>
      </c>
      <c r="G2227" s="8">
        <v>230.64</v>
      </c>
      <c r="H2227" s="8">
        <v>0</v>
      </c>
      <c r="I2227" s="8">
        <f t="shared" si="115"/>
        <v>451.2</v>
      </c>
      <c r="J2227" s="12"/>
    </row>
    <row r="2228" spans="1:10" x14ac:dyDescent="0.25">
      <c r="C2228" s="9"/>
      <c r="D2228" s="10">
        <v>45708</v>
      </c>
      <c r="E2228" t="s">
        <v>1524</v>
      </c>
      <c r="F2228" s="11" t="s">
        <v>3610</v>
      </c>
      <c r="G2228" s="8">
        <v>0</v>
      </c>
      <c r="H2228" s="8">
        <v>56.1</v>
      </c>
      <c r="I2228" s="8">
        <f t="shared" si="115"/>
        <v>395.09999999999997</v>
      </c>
      <c r="J2228" s="12"/>
    </row>
    <row r="2229" spans="1:10" x14ac:dyDescent="0.25">
      <c r="C2229" s="9"/>
      <c r="D2229" s="10">
        <v>45716</v>
      </c>
      <c r="E2229" t="s">
        <v>3611</v>
      </c>
      <c r="F2229" s="11" t="s">
        <v>3612</v>
      </c>
      <c r="G2229" s="8">
        <v>97.42</v>
      </c>
      <c r="H2229" s="8">
        <v>0</v>
      </c>
      <c r="I2229" s="8">
        <f t="shared" si="115"/>
        <v>492.52</v>
      </c>
      <c r="J2229" s="12"/>
    </row>
    <row r="2230" spans="1:10" x14ac:dyDescent="0.25">
      <c r="C2230" s="9"/>
      <c r="D2230" s="10">
        <v>45730</v>
      </c>
      <c r="E2230" t="s">
        <v>3613</v>
      </c>
      <c r="F2230" s="11" t="s">
        <v>3614</v>
      </c>
      <c r="G2230" s="8">
        <v>85.11</v>
      </c>
      <c r="H2230" s="8">
        <v>0</v>
      </c>
      <c r="I2230" s="8">
        <f t="shared" si="115"/>
        <v>577.63</v>
      </c>
      <c r="J2230" s="12"/>
    </row>
    <row r="2231" spans="1:10" x14ac:dyDescent="0.25">
      <c r="C2231" s="9"/>
      <c r="D2231" s="10">
        <v>45736</v>
      </c>
      <c r="E2231" t="s">
        <v>1524</v>
      </c>
      <c r="F2231" s="11" t="s">
        <v>3607</v>
      </c>
      <c r="G2231" s="8">
        <v>0</v>
      </c>
      <c r="H2231" s="8">
        <v>157.37</v>
      </c>
      <c r="I2231" s="8">
        <f t="shared" si="115"/>
        <v>420.26</v>
      </c>
      <c r="J2231" s="12"/>
    </row>
    <row r="2232" spans="1:10" x14ac:dyDescent="0.25">
      <c r="C2232" s="9"/>
      <c r="D2232" s="10">
        <v>45747</v>
      </c>
      <c r="E2232" t="s">
        <v>3615</v>
      </c>
      <c r="F2232" s="11" t="s">
        <v>3616</v>
      </c>
      <c r="G2232" s="8">
        <v>55.95</v>
      </c>
      <c r="H2232" s="8">
        <v>0</v>
      </c>
      <c r="I2232" s="8">
        <f t="shared" si="115"/>
        <v>476.21</v>
      </c>
      <c r="J2232" s="12"/>
    </row>
    <row r="2233" spans="1:10" x14ac:dyDescent="0.25">
      <c r="E2233" s="4" t="s">
        <v>20</v>
      </c>
      <c r="G2233" s="8">
        <f>SUM(G2225:G2232)</f>
        <v>689.68000000000006</v>
      </c>
      <c r="H2233" s="8">
        <f>SUM(H2225:H2232)</f>
        <v>213.47</v>
      </c>
      <c r="I2233" s="8">
        <f>G2233-H2233</f>
        <v>476.21000000000004</v>
      </c>
    </row>
    <row r="2235" spans="1:10" x14ac:dyDescent="0.25">
      <c r="A2235" s="5">
        <v>4303895</v>
      </c>
      <c r="B2235" s="6" t="s">
        <v>3617</v>
      </c>
      <c r="C2235" s="7"/>
      <c r="D2235" s="7"/>
      <c r="E2235" s="7"/>
      <c r="F2235" s="7"/>
      <c r="G2235" s="7"/>
      <c r="H2235" s="7"/>
      <c r="I2235" s="7"/>
      <c r="J2235" s="7"/>
    </row>
    <row r="2236" spans="1:10" x14ac:dyDescent="0.25">
      <c r="E2236" s="4" t="s">
        <v>10</v>
      </c>
      <c r="G2236" s="8">
        <v>16.04</v>
      </c>
      <c r="H2236" s="8">
        <v>0</v>
      </c>
      <c r="I2236" s="8">
        <f>G2236-H2236</f>
        <v>16.04</v>
      </c>
    </row>
    <row r="2237" spans="1:10" x14ac:dyDescent="0.25">
      <c r="C2237" s="9"/>
      <c r="D2237" s="10">
        <v>45747</v>
      </c>
      <c r="E2237" t="s">
        <v>3618</v>
      </c>
      <c r="F2237" s="11" t="s">
        <v>3619</v>
      </c>
      <c r="G2237" s="8">
        <v>119.04</v>
      </c>
      <c r="H2237" s="8">
        <v>0</v>
      </c>
      <c r="I2237" s="8">
        <f>G2237-H2237+I2236</f>
        <v>135.08000000000001</v>
      </c>
      <c r="J2237" s="12"/>
    </row>
    <row r="2238" spans="1:10" x14ac:dyDescent="0.25">
      <c r="C2238" s="9" t="s">
        <v>124</v>
      </c>
      <c r="D2238" s="10">
        <v>45748</v>
      </c>
      <c r="E2238" t="s">
        <v>3620</v>
      </c>
      <c r="F2238" s="11" t="s">
        <v>42</v>
      </c>
      <c r="G2238" s="8">
        <v>0</v>
      </c>
      <c r="H2238" s="8">
        <v>135.08000000000001</v>
      </c>
      <c r="I2238" s="8">
        <f>G2238-H2238+I2237</f>
        <v>0</v>
      </c>
      <c r="J2238" s="12"/>
    </row>
    <row r="2239" spans="1:10" x14ac:dyDescent="0.25">
      <c r="C2239" s="9"/>
      <c r="D2239" s="10">
        <v>45762</v>
      </c>
      <c r="E2239" t="s">
        <v>3620</v>
      </c>
      <c r="F2239" s="11" t="s">
        <v>42</v>
      </c>
      <c r="G2239" s="8">
        <v>0</v>
      </c>
      <c r="H2239" s="8">
        <v>54.57</v>
      </c>
      <c r="I2239" s="8">
        <f>G2239-H2239+I2238</f>
        <v>-54.57</v>
      </c>
      <c r="J2239" s="12"/>
    </row>
    <row r="2240" spans="1:10" x14ac:dyDescent="0.25">
      <c r="E2240" s="4" t="s">
        <v>20</v>
      </c>
      <c r="G2240" s="8">
        <f>SUM(G2236:G2239)</f>
        <v>135.08000000000001</v>
      </c>
      <c r="H2240" s="8">
        <f>SUM(H2236:H2239)</f>
        <v>189.65</v>
      </c>
      <c r="I2240" s="8">
        <f>G2240-H2240</f>
        <v>-54.569999999999993</v>
      </c>
    </row>
    <row r="2242" spans="1:10" x14ac:dyDescent="0.25">
      <c r="A2242" s="5">
        <v>4303896</v>
      </c>
      <c r="B2242" s="6" t="s">
        <v>3621</v>
      </c>
      <c r="C2242" s="7"/>
      <c r="D2242" s="7"/>
      <c r="E2242" s="7"/>
      <c r="F2242" s="7"/>
      <c r="G2242" s="7"/>
      <c r="H2242" s="7"/>
      <c r="I2242" s="7"/>
      <c r="J2242" s="7"/>
    </row>
    <row r="2243" spans="1:10" x14ac:dyDescent="0.25">
      <c r="E2243" s="4" t="s">
        <v>10</v>
      </c>
      <c r="G2243" s="8">
        <v>55.44</v>
      </c>
      <c r="H2243" s="8">
        <v>0</v>
      </c>
      <c r="I2243" s="8">
        <f>G2243-H2243</f>
        <v>55.44</v>
      </c>
    </row>
    <row r="2244" spans="1:10" x14ac:dyDescent="0.25">
      <c r="C2244" s="9"/>
      <c r="D2244" s="10">
        <v>45660</v>
      </c>
      <c r="E2244" t="s">
        <v>1524</v>
      </c>
      <c r="F2244" s="11" t="s">
        <v>3622</v>
      </c>
      <c r="G2244" s="8">
        <v>0</v>
      </c>
      <c r="H2244" s="8">
        <v>55.44</v>
      </c>
      <c r="I2244" s="8">
        <f t="shared" ref="I2244:I2251" si="116">G2244-H2244+I2243</f>
        <v>0</v>
      </c>
      <c r="J2244" s="12"/>
    </row>
    <row r="2245" spans="1:10" x14ac:dyDescent="0.25">
      <c r="C2245" s="9"/>
      <c r="D2245" s="10">
        <v>45716</v>
      </c>
      <c r="E2245" t="s">
        <v>3623</v>
      </c>
      <c r="F2245" s="11" t="s">
        <v>3624</v>
      </c>
      <c r="G2245" s="8">
        <v>335.28</v>
      </c>
      <c r="H2245" s="8">
        <v>0</v>
      </c>
      <c r="I2245" s="8">
        <f t="shared" si="116"/>
        <v>335.28</v>
      </c>
      <c r="J2245" s="12"/>
    </row>
    <row r="2246" spans="1:10" x14ac:dyDescent="0.25">
      <c r="C2246" s="9"/>
      <c r="D2246" s="10">
        <v>45730</v>
      </c>
      <c r="E2246" t="s">
        <v>3625</v>
      </c>
      <c r="F2246" s="11" t="s">
        <v>3626</v>
      </c>
      <c r="G2246" s="8">
        <v>96.75</v>
      </c>
      <c r="H2246" s="8">
        <v>0</v>
      </c>
      <c r="I2246" s="8">
        <f t="shared" si="116"/>
        <v>432.03</v>
      </c>
      <c r="J2246" s="12"/>
    </row>
    <row r="2247" spans="1:10" x14ac:dyDescent="0.25">
      <c r="C2247" s="9"/>
      <c r="D2247" s="10">
        <v>45733</v>
      </c>
      <c r="E2247" t="s">
        <v>1524</v>
      </c>
      <c r="F2247" s="11" t="s">
        <v>3624</v>
      </c>
      <c r="G2247" s="8">
        <v>0</v>
      </c>
      <c r="H2247" s="8">
        <v>335.28</v>
      </c>
      <c r="I2247" s="8">
        <f t="shared" si="116"/>
        <v>96.75</v>
      </c>
      <c r="J2247" s="12"/>
    </row>
    <row r="2248" spans="1:10" x14ac:dyDescent="0.25">
      <c r="C2248" s="9"/>
      <c r="D2248" s="10">
        <v>45733</v>
      </c>
      <c r="E2248" t="s">
        <v>1524</v>
      </c>
      <c r="F2248" s="11" t="s">
        <v>3626</v>
      </c>
      <c r="G2248" s="8">
        <v>0</v>
      </c>
      <c r="H2248" s="8">
        <v>96.75</v>
      </c>
      <c r="I2248" s="8">
        <f t="shared" si="116"/>
        <v>0</v>
      </c>
      <c r="J2248" s="12"/>
    </row>
    <row r="2249" spans="1:10" x14ac:dyDescent="0.25">
      <c r="C2249" s="9"/>
      <c r="D2249" s="10">
        <v>45747</v>
      </c>
      <c r="E2249" t="s">
        <v>3627</v>
      </c>
      <c r="F2249" s="11" t="s">
        <v>3628</v>
      </c>
      <c r="G2249" s="8">
        <v>95.54</v>
      </c>
      <c r="H2249" s="8">
        <v>0</v>
      </c>
      <c r="I2249" s="8">
        <f t="shared" si="116"/>
        <v>95.54</v>
      </c>
      <c r="J2249" s="12"/>
    </row>
    <row r="2250" spans="1:10" x14ac:dyDescent="0.25">
      <c r="C2250" s="9"/>
      <c r="D2250" s="10">
        <v>45748</v>
      </c>
      <c r="E2250" t="s">
        <v>1524</v>
      </c>
      <c r="F2250" s="11" t="s">
        <v>3628</v>
      </c>
      <c r="G2250" s="8">
        <v>0</v>
      </c>
      <c r="H2250" s="8">
        <v>95.54</v>
      </c>
      <c r="I2250" s="8">
        <f t="shared" si="116"/>
        <v>0</v>
      </c>
      <c r="J2250" s="12"/>
    </row>
    <row r="2251" spans="1:10" x14ac:dyDescent="0.25">
      <c r="C2251" s="9"/>
      <c r="D2251" s="10">
        <v>45762</v>
      </c>
      <c r="E2251" t="s">
        <v>3629</v>
      </c>
      <c r="F2251" s="11" t="s">
        <v>42</v>
      </c>
      <c r="G2251" s="8">
        <v>0</v>
      </c>
      <c r="H2251" s="8">
        <v>43.71</v>
      </c>
      <c r="I2251" s="8">
        <f t="shared" si="116"/>
        <v>-43.71</v>
      </c>
      <c r="J2251" s="12"/>
    </row>
    <row r="2252" spans="1:10" x14ac:dyDescent="0.25">
      <c r="E2252" s="4" t="s">
        <v>20</v>
      </c>
      <c r="G2252" s="8">
        <f>SUM(G2243:G2251)</f>
        <v>583.01</v>
      </c>
      <c r="H2252" s="8">
        <f>SUM(H2243:H2251)</f>
        <v>626.72</v>
      </c>
      <c r="I2252" s="8">
        <f>G2252-H2252</f>
        <v>-43.710000000000036</v>
      </c>
    </row>
    <row r="2254" spans="1:10" x14ac:dyDescent="0.25">
      <c r="A2254" s="5">
        <v>4303898</v>
      </c>
      <c r="B2254" s="6" t="s">
        <v>3630</v>
      </c>
      <c r="C2254" s="7"/>
      <c r="D2254" s="7"/>
      <c r="E2254" s="7"/>
      <c r="F2254" s="7"/>
      <c r="G2254" s="7"/>
      <c r="H2254" s="7"/>
      <c r="I2254" s="7"/>
      <c r="J2254" s="7"/>
    </row>
    <row r="2255" spans="1:10" x14ac:dyDescent="0.25">
      <c r="C2255" s="9"/>
      <c r="D2255" s="10">
        <v>45671</v>
      </c>
      <c r="E2255" t="s">
        <v>3631</v>
      </c>
      <c r="F2255" s="11" t="s">
        <v>3632</v>
      </c>
      <c r="G2255" s="8">
        <v>277.17</v>
      </c>
      <c r="H2255" s="8">
        <v>0</v>
      </c>
      <c r="I2255" s="8">
        <f>G2255-H2255</f>
        <v>277.17</v>
      </c>
      <c r="J2255" s="12"/>
    </row>
    <row r="2256" spans="1:10" x14ac:dyDescent="0.25">
      <c r="C2256" s="9"/>
      <c r="D2256" s="10">
        <v>45672</v>
      </c>
      <c r="E2256" t="s">
        <v>1524</v>
      </c>
      <c r="F2256" s="11" t="s">
        <v>3632</v>
      </c>
      <c r="G2256" s="8">
        <v>0</v>
      </c>
      <c r="H2256" s="8">
        <v>277.17</v>
      </c>
      <c r="I2256" s="8">
        <f t="shared" ref="I2256:I2265" si="117">G2256-H2256+I2255</f>
        <v>0</v>
      </c>
      <c r="J2256" s="12"/>
    </row>
    <row r="2257" spans="1:10" x14ac:dyDescent="0.25">
      <c r="C2257" s="9"/>
      <c r="D2257" s="10">
        <v>45688</v>
      </c>
      <c r="E2257" t="s">
        <v>3633</v>
      </c>
      <c r="F2257" s="11" t="s">
        <v>3634</v>
      </c>
      <c r="G2257" s="8">
        <v>271.95</v>
      </c>
      <c r="H2257" s="8">
        <v>0</v>
      </c>
      <c r="I2257" s="8">
        <f t="shared" si="117"/>
        <v>271.95</v>
      </c>
      <c r="J2257" s="12"/>
    </row>
    <row r="2258" spans="1:10" x14ac:dyDescent="0.25">
      <c r="C2258" s="9"/>
      <c r="D2258" s="10">
        <v>45691</v>
      </c>
      <c r="E2258" t="s">
        <v>1524</v>
      </c>
      <c r="F2258" s="11" t="s">
        <v>3634</v>
      </c>
      <c r="G2258" s="8">
        <v>0</v>
      </c>
      <c r="H2258" s="8">
        <v>271.95</v>
      </c>
      <c r="I2258" s="8">
        <f t="shared" si="117"/>
        <v>0</v>
      </c>
      <c r="J2258" s="12"/>
    </row>
    <row r="2259" spans="1:10" x14ac:dyDescent="0.25">
      <c r="C2259" s="9"/>
      <c r="D2259" s="10">
        <v>45716</v>
      </c>
      <c r="E2259" t="s">
        <v>3635</v>
      </c>
      <c r="F2259" s="11" t="s">
        <v>3636</v>
      </c>
      <c r="G2259" s="8">
        <v>124.71</v>
      </c>
      <c r="H2259" s="8">
        <v>0</v>
      </c>
      <c r="I2259" s="8">
        <f t="shared" si="117"/>
        <v>124.71</v>
      </c>
      <c r="J2259" s="12"/>
    </row>
    <row r="2260" spans="1:10" x14ac:dyDescent="0.25">
      <c r="C2260" s="9" t="s">
        <v>124</v>
      </c>
      <c r="D2260" s="10">
        <v>45719</v>
      </c>
      <c r="E2260" t="s">
        <v>3637</v>
      </c>
      <c r="F2260" s="11" t="s">
        <v>3636</v>
      </c>
      <c r="G2260" s="8">
        <v>0</v>
      </c>
      <c r="H2260" s="8">
        <v>124.71</v>
      </c>
      <c r="I2260" s="8">
        <f t="shared" si="117"/>
        <v>0</v>
      </c>
      <c r="J2260" s="12"/>
    </row>
    <row r="2261" spans="1:10" x14ac:dyDescent="0.25">
      <c r="C2261" s="9"/>
      <c r="D2261" s="10">
        <v>45730</v>
      </c>
      <c r="E2261" t="s">
        <v>3638</v>
      </c>
      <c r="F2261" s="11" t="s">
        <v>3639</v>
      </c>
      <c r="G2261" s="8">
        <v>401.49</v>
      </c>
      <c r="H2261" s="8">
        <v>0</v>
      </c>
      <c r="I2261" s="8">
        <f t="shared" si="117"/>
        <v>401.49</v>
      </c>
      <c r="J2261" s="12"/>
    </row>
    <row r="2262" spans="1:10" x14ac:dyDescent="0.25">
      <c r="C2262" s="9"/>
      <c r="D2262" s="10">
        <v>45733</v>
      </c>
      <c r="E2262" t="s">
        <v>1524</v>
      </c>
      <c r="F2262" s="11" t="s">
        <v>3639</v>
      </c>
      <c r="G2262" s="8">
        <v>0</v>
      </c>
      <c r="H2262" s="8">
        <v>401.49</v>
      </c>
      <c r="I2262" s="8">
        <f t="shared" si="117"/>
        <v>0</v>
      </c>
      <c r="J2262" s="12"/>
    </row>
    <row r="2263" spans="1:10" x14ac:dyDescent="0.25">
      <c r="C2263" s="9"/>
      <c r="D2263" s="10">
        <v>45747</v>
      </c>
      <c r="E2263" t="s">
        <v>3640</v>
      </c>
      <c r="F2263" s="11" t="s">
        <v>3641</v>
      </c>
      <c r="G2263" s="8">
        <v>151.94999999999999</v>
      </c>
      <c r="H2263" s="8">
        <v>0</v>
      </c>
      <c r="I2263" s="8">
        <f t="shared" si="117"/>
        <v>151.94999999999999</v>
      </c>
      <c r="J2263" s="12"/>
    </row>
    <row r="2264" spans="1:10" x14ac:dyDescent="0.25">
      <c r="C2264" s="9" t="s">
        <v>124</v>
      </c>
      <c r="D2264" s="10">
        <v>45748</v>
      </c>
      <c r="E2264" t="s">
        <v>3642</v>
      </c>
      <c r="F2264" s="11" t="s">
        <v>3641</v>
      </c>
      <c r="G2264" s="8">
        <v>0</v>
      </c>
      <c r="H2264" s="8">
        <v>151.94999999999999</v>
      </c>
      <c r="I2264" s="8">
        <f t="shared" si="117"/>
        <v>0</v>
      </c>
      <c r="J2264" s="12"/>
    </row>
    <row r="2265" spans="1:10" x14ac:dyDescent="0.25">
      <c r="C2265" s="9"/>
      <c r="D2265" s="10">
        <v>45762</v>
      </c>
      <c r="E2265" t="s">
        <v>3643</v>
      </c>
      <c r="F2265" s="11" t="s">
        <v>42</v>
      </c>
      <c r="G2265" s="8">
        <v>0</v>
      </c>
      <c r="H2265" s="8">
        <v>47.53</v>
      </c>
      <c r="I2265" s="8">
        <f t="shared" si="117"/>
        <v>-47.53</v>
      </c>
      <c r="J2265" s="12"/>
    </row>
    <row r="2266" spans="1:10" x14ac:dyDescent="0.25">
      <c r="E2266" s="4" t="s">
        <v>20</v>
      </c>
      <c r="G2266" s="8">
        <f>SUM(G2255:G2265)</f>
        <v>1227.2700000000002</v>
      </c>
      <c r="H2266" s="8">
        <f>SUM(H2255:H2265)</f>
        <v>1274.8000000000002</v>
      </c>
      <c r="I2266" s="8">
        <f>G2266-H2266</f>
        <v>-47.529999999999973</v>
      </c>
    </row>
    <row r="2268" spans="1:10" x14ac:dyDescent="0.25">
      <c r="A2268" s="5">
        <v>4303900</v>
      </c>
      <c r="B2268" s="6" t="s">
        <v>3644</v>
      </c>
      <c r="C2268" s="7"/>
      <c r="D2268" s="7"/>
      <c r="E2268" s="7"/>
      <c r="F2268" s="7"/>
      <c r="G2268" s="7"/>
      <c r="H2268" s="7"/>
      <c r="I2268" s="7"/>
      <c r="J2268" s="7"/>
    </row>
    <row r="2269" spans="1:10" x14ac:dyDescent="0.25">
      <c r="E2269" s="4" t="s">
        <v>10</v>
      </c>
      <c r="G2269" s="8">
        <v>1784.74</v>
      </c>
      <c r="H2269" s="8">
        <v>0</v>
      </c>
      <c r="I2269" s="8">
        <f>G2269-H2269</f>
        <v>1784.74</v>
      </c>
    </row>
    <row r="2270" spans="1:10" x14ac:dyDescent="0.25">
      <c r="C2270" s="9"/>
      <c r="D2270" s="10">
        <v>45671</v>
      </c>
      <c r="E2270" t="s">
        <v>3645</v>
      </c>
      <c r="F2270" s="11" t="s">
        <v>3646</v>
      </c>
      <c r="G2270" s="8">
        <v>62.3</v>
      </c>
      <c r="H2270" s="8">
        <v>0</v>
      </c>
      <c r="I2270" s="8">
        <f t="shared" ref="I2270:I2291" si="118">G2270-H2270+I2269</f>
        <v>1847.04</v>
      </c>
      <c r="J2270" s="12"/>
    </row>
    <row r="2271" spans="1:10" x14ac:dyDescent="0.25">
      <c r="C2271" s="9"/>
      <c r="D2271" s="10">
        <v>45671</v>
      </c>
      <c r="E2271" t="s">
        <v>3647</v>
      </c>
      <c r="F2271" s="11" t="s">
        <v>3648</v>
      </c>
      <c r="G2271" s="8">
        <v>291.23</v>
      </c>
      <c r="H2271" s="8">
        <v>0</v>
      </c>
      <c r="I2271" s="8">
        <f t="shared" si="118"/>
        <v>2138.27</v>
      </c>
      <c r="J2271" s="12"/>
    </row>
    <row r="2272" spans="1:10" x14ac:dyDescent="0.25">
      <c r="C2272" s="9"/>
      <c r="D2272" s="10">
        <v>45677</v>
      </c>
      <c r="E2272" t="s">
        <v>3644</v>
      </c>
      <c r="F2272" s="11" t="s">
        <v>42</v>
      </c>
      <c r="G2272" s="8">
        <v>0</v>
      </c>
      <c r="H2272" s="8">
        <v>653.91</v>
      </c>
      <c r="I2272" s="8">
        <f t="shared" si="118"/>
        <v>1484.3600000000001</v>
      </c>
      <c r="J2272" s="12"/>
    </row>
    <row r="2273" spans="3:10" x14ac:dyDescent="0.25">
      <c r="C2273" s="9"/>
      <c r="D2273" s="10">
        <v>45688</v>
      </c>
      <c r="E2273" t="s">
        <v>3649</v>
      </c>
      <c r="F2273" s="11" t="s">
        <v>3650</v>
      </c>
      <c r="G2273" s="8">
        <v>171.06</v>
      </c>
      <c r="H2273" s="8">
        <v>0</v>
      </c>
      <c r="I2273" s="8">
        <f t="shared" si="118"/>
        <v>1655.42</v>
      </c>
      <c r="J2273" s="12"/>
    </row>
    <row r="2274" spans="3:10" x14ac:dyDescent="0.25">
      <c r="C2274" s="9"/>
      <c r="D2274" s="10">
        <v>45688</v>
      </c>
      <c r="E2274" t="s">
        <v>3651</v>
      </c>
      <c r="F2274" s="11" t="s">
        <v>3652</v>
      </c>
      <c r="G2274" s="8">
        <v>516.30999999999995</v>
      </c>
      <c r="H2274" s="8">
        <v>0</v>
      </c>
      <c r="I2274" s="8">
        <f t="shared" si="118"/>
        <v>2171.73</v>
      </c>
      <c r="J2274" s="12"/>
    </row>
    <row r="2275" spans="3:10" x14ac:dyDescent="0.25">
      <c r="C2275" s="9"/>
      <c r="D2275" s="10">
        <v>45688</v>
      </c>
      <c r="E2275" t="s">
        <v>3653</v>
      </c>
      <c r="F2275" s="11" t="s">
        <v>3654</v>
      </c>
      <c r="G2275" s="8">
        <v>206.91</v>
      </c>
      <c r="H2275" s="8">
        <v>0</v>
      </c>
      <c r="I2275" s="8">
        <f t="shared" si="118"/>
        <v>2378.64</v>
      </c>
      <c r="J2275" s="12"/>
    </row>
    <row r="2276" spans="3:10" x14ac:dyDescent="0.25">
      <c r="C2276" s="9"/>
      <c r="D2276" s="10">
        <v>45688</v>
      </c>
      <c r="E2276" t="s">
        <v>3655</v>
      </c>
      <c r="F2276" s="11" t="s">
        <v>3656</v>
      </c>
      <c r="G2276" s="8">
        <v>233.08</v>
      </c>
      <c r="H2276" s="8">
        <v>0</v>
      </c>
      <c r="I2276" s="8">
        <f t="shared" si="118"/>
        <v>2611.7199999999998</v>
      </c>
      <c r="J2276" s="12"/>
    </row>
    <row r="2277" spans="3:10" x14ac:dyDescent="0.25">
      <c r="C2277" s="9"/>
      <c r="D2277" s="10">
        <v>45688</v>
      </c>
      <c r="E2277" t="s">
        <v>3657</v>
      </c>
      <c r="F2277" s="11" t="s">
        <v>3658</v>
      </c>
      <c r="G2277" s="8">
        <v>340.55</v>
      </c>
      <c r="H2277" s="8">
        <v>0</v>
      </c>
      <c r="I2277" s="8">
        <f t="shared" si="118"/>
        <v>2952.27</v>
      </c>
      <c r="J2277" s="12"/>
    </row>
    <row r="2278" spans="3:10" x14ac:dyDescent="0.25">
      <c r="C2278" s="9"/>
      <c r="D2278" s="10">
        <v>45702</v>
      </c>
      <c r="E2278" t="s">
        <v>3659</v>
      </c>
      <c r="F2278" s="11" t="s">
        <v>3660</v>
      </c>
      <c r="G2278" s="8">
        <v>264.99</v>
      </c>
      <c r="H2278" s="8">
        <v>0</v>
      </c>
      <c r="I2278" s="8">
        <f t="shared" si="118"/>
        <v>3217.26</v>
      </c>
      <c r="J2278" s="12"/>
    </row>
    <row r="2279" spans="3:10" x14ac:dyDescent="0.25">
      <c r="C2279" s="9"/>
      <c r="D2279" s="10">
        <v>45702</v>
      </c>
      <c r="E2279" t="s">
        <v>3661</v>
      </c>
      <c r="F2279" s="11" t="s">
        <v>3662</v>
      </c>
      <c r="G2279" s="8">
        <v>687.28</v>
      </c>
      <c r="H2279" s="8">
        <v>0</v>
      </c>
      <c r="I2279" s="8">
        <f t="shared" si="118"/>
        <v>3904.54</v>
      </c>
      <c r="J2279" s="12"/>
    </row>
    <row r="2280" spans="3:10" x14ac:dyDescent="0.25">
      <c r="C2280" s="9"/>
      <c r="D2280" s="10">
        <v>45702</v>
      </c>
      <c r="E2280" t="s">
        <v>3663</v>
      </c>
      <c r="F2280" s="11" t="s">
        <v>3664</v>
      </c>
      <c r="G2280" s="8">
        <v>432.55</v>
      </c>
      <c r="H2280" s="8">
        <v>0</v>
      </c>
      <c r="I2280" s="8">
        <f t="shared" si="118"/>
        <v>4337.09</v>
      </c>
      <c r="J2280" s="12"/>
    </row>
    <row r="2281" spans="3:10" x14ac:dyDescent="0.25">
      <c r="C2281" s="9"/>
      <c r="D2281" s="10">
        <v>45702</v>
      </c>
      <c r="E2281" t="s">
        <v>3665</v>
      </c>
      <c r="F2281" s="11" t="s">
        <v>3666</v>
      </c>
      <c r="G2281" s="8">
        <v>383.67</v>
      </c>
      <c r="H2281" s="8">
        <v>0</v>
      </c>
      <c r="I2281" s="8">
        <f t="shared" si="118"/>
        <v>4720.76</v>
      </c>
      <c r="J2281" s="12"/>
    </row>
    <row r="2282" spans="3:10" x14ac:dyDescent="0.25">
      <c r="C2282" s="9"/>
      <c r="D2282" s="10">
        <v>45708</v>
      </c>
      <c r="E2282" t="s">
        <v>3667</v>
      </c>
      <c r="F2282" s="11" t="s">
        <v>42</v>
      </c>
      <c r="G2282" s="8">
        <v>0</v>
      </c>
      <c r="H2282" s="8">
        <v>976.4</v>
      </c>
      <c r="I2282" s="8">
        <f t="shared" si="118"/>
        <v>3744.36</v>
      </c>
      <c r="J2282" s="12"/>
    </row>
    <row r="2283" spans="3:10" x14ac:dyDescent="0.25">
      <c r="C2283" s="9"/>
      <c r="D2283" s="10">
        <v>45716</v>
      </c>
      <c r="E2283" t="s">
        <v>3668</v>
      </c>
      <c r="F2283" s="11" t="s">
        <v>3669</v>
      </c>
      <c r="G2283" s="8">
        <v>187.28</v>
      </c>
      <c r="H2283" s="8">
        <v>0</v>
      </c>
      <c r="I2283" s="8">
        <f t="shared" si="118"/>
        <v>3931.6400000000003</v>
      </c>
      <c r="J2283" s="12"/>
    </row>
    <row r="2284" spans="3:10" x14ac:dyDescent="0.25">
      <c r="C2284" s="9"/>
      <c r="D2284" s="10">
        <v>45730</v>
      </c>
      <c r="E2284" t="s">
        <v>3670</v>
      </c>
      <c r="F2284" s="11" t="s">
        <v>3671</v>
      </c>
      <c r="G2284" s="8">
        <v>128.16</v>
      </c>
      <c r="H2284" s="8">
        <v>0</v>
      </c>
      <c r="I2284" s="8">
        <f t="shared" si="118"/>
        <v>4059.8</v>
      </c>
      <c r="J2284" s="12"/>
    </row>
    <row r="2285" spans="3:10" x14ac:dyDescent="0.25">
      <c r="C2285" s="9"/>
      <c r="D2285" s="10">
        <v>45730</v>
      </c>
      <c r="E2285" t="s">
        <v>3672</v>
      </c>
      <c r="F2285" s="11" t="s">
        <v>3673</v>
      </c>
      <c r="G2285" s="8">
        <v>1024.3900000000001</v>
      </c>
      <c r="H2285" s="8">
        <v>0</v>
      </c>
      <c r="I2285" s="8">
        <f t="shared" si="118"/>
        <v>5084.1900000000005</v>
      </c>
      <c r="J2285" s="12"/>
    </row>
    <row r="2286" spans="3:10" x14ac:dyDescent="0.25">
      <c r="C2286" s="9"/>
      <c r="D2286" s="10">
        <v>45730</v>
      </c>
      <c r="E2286" t="s">
        <v>3674</v>
      </c>
      <c r="F2286" s="11" t="s">
        <v>3675</v>
      </c>
      <c r="G2286" s="8">
        <v>12.1</v>
      </c>
      <c r="H2286" s="8">
        <v>0</v>
      </c>
      <c r="I2286" s="8">
        <f t="shared" si="118"/>
        <v>5096.2900000000009</v>
      </c>
      <c r="J2286" s="12"/>
    </row>
    <row r="2287" spans="3:10" x14ac:dyDescent="0.25">
      <c r="C2287" s="9"/>
      <c r="D2287" s="10">
        <v>45730</v>
      </c>
      <c r="E2287" t="s">
        <v>3676</v>
      </c>
      <c r="F2287" s="11" t="s">
        <v>3677</v>
      </c>
      <c r="G2287" s="8">
        <v>15.35</v>
      </c>
      <c r="H2287" s="8">
        <v>0</v>
      </c>
      <c r="I2287" s="8">
        <f t="shared" si="118"/>
        <v>5111.6400000000012</v>
      </c>
      <c r="J2287" s="12"/>
    </row>
    <row r="2288" spans="3:10" x14ac:dyDescent="0.25">
      <c r="C2288" s="9"/>
      <c r="D2288" s="10">
        <v>45736</v>
      </c>
      <c r="E2288" t="s">
        <v>1524</v>
      </c>
      <c r="F2288" s="11" t="s">
        <v>3678</v>
      </c>
      <c r="G2288" s="8">
        <v>0</v>
      </c>
      <c r="H2288" s="8">
        <v>42.96</v>
      </c>
      <c r="I2288" s="8">
        <f t="shared" si="118"/>
        <v>5068.6800000000012</v>
      </c>
      <c r="J2288" s="12"/>
    </row>
    <row r="2289" spans="1:10" x14ac:dyDescent="0.25">
      <c r="C2289" s="9"/>
      <c r="D2289" s="10">
        <v>45747</v>
      </c>
      <c r="E2289" t="s">
        <v>3679</v>
      </c>
      <c r="F2289" s="11" t="s">
        <v>3680</v>
      </c>
      <c r="G2289" s="8">
        <v>191.79</v>
      </c>
      <c r="H2289" s="8">
        <v>0</v>
      </c>
      <c r="I2289" s="8">
        <f t="shared" si="118"/>
        <v>5260.4700000000012</v>
      </c>
      <c r="J2289" s="12"/>
    </row>
    <row r="2290" spans="1:10" x14ac:dyDescent="0.25">
      <c r="C2290" s="9"/>
      <c r="D2290" s="10">
        <v>45747</v>
      </c>
      <c r="E2290" t="s">
        <v>3681</v>
      </c>
      <c r="F2290" s="11" t="s">
        <v>3682</v>
      </c>
      <c r="G2290" s="8">
        <v>345.39</v>
      </c>
      <c r="H2290" s="8">
        <v>0</v>
      </c>
      <c r="I2290" s="8">
        <f t="shared" si="118"/>
        <v>5605.8600000000015</v>
      </c>
      <c r="J2290" s="12"/>
    </row>
    <row r="2291" spans="1:10" x14ac:dyDescent="0.25">
      <c r="C2291" s="9"/>
      <c r="D2291" s="10">
        <v>45758</v>
      </c>
      <c r="E2291" t="s">
        <v>3683</v>
      </c>
      <c r="F2291" s="11" t="s">
        <v>42</v>
      </c>
      <c r="G2291" s="8">
        <v>0</v>
      </c>
      <c r="H2291" s="8">
        <v>465</v>
      </c>
      <c r="I2291" s="8">
        <f t="shared" si="118"/>
        <v>5140.8600000000015</v>
      </c>
      <c r="J2291" s="12"/>
    </row>
    <row r="2292" spans="1:10" x14ac:dyDescent="0.25">
      <c r="E2292" s="4" t="s">
        <v>20</v>
      </c>
      <c r="G2292" s="8">
        <f>SUM(G2269:G2291)</f>
        <v>7279.130000000001</v>
      </c>
      <c r="H2292" s="8">
        <f>SUM(H2269:H2291)</f>
        <v>2138.27</v>
      </c>
      <c r="I2292" s="8">
        <f>G2292-H2292</f>
        <v>5140.8600000000006</v>
      </c>
    </row>
    <row r="2294" spans="1:10" x14ac:dyDescent="0.25">
      <c r="A2294" s="5">
        <v>4303970</v>
      </c>
      <c r="B2294" s="6" t="s">
        <v>3684</v>
      </c>
      <c r="C2294" s="7"/>
      <c r="D2294" s="7"/>
      <c r="E2294" s="7"/>
      <c r="F2294" s="7"/>
      <c r="G2294" s="7"/>
      <c r="H2294" s="7"/>
      <c r="I2294" s="7"/>
      <c r="J2294" s="7"/>
    </row>
    <row r="2295" spans="1:10" x14ac:dyDescent="0.25">
      <c r="E2295" s="4" t="s">
        <v>10</v>
      </c>
      <c r="G2295" s="8">
        <v>286.26</v>
      </c>
      <c r="H2295" s="8">
        <v>0</v>
      </c>
      <c r="I2295" s="8">
        <f>G2295-H2295</f>
        <v>286.26</v>
      </c>
    </row>
    <row r="2296" spans="1:10" x14ac:dyDescent="0.25">
      <c r="C2296" s="9"/>
      <c r="D2296" s="10">
        <v>45702</v>
      </c>
      <c r="E2296" t="s">
        <v>1524</v>
      </c>
      <c r="F2296" s="11" t="s">
        <v>3685</v>
      </c>
      <c r="G2296" s="8">
        <v>0</v>
      </c>
      <c r="H2296" s="8">
        <v>259.33</v>
      </c>
      <c r="I2296" s="8">
        <f>G2296-H2296+I2295</f>
        <v>26.930000000000007</v>
      </c>
      <c r="J2296" s="12"/>
    </row>
    <row r="2297" spans="1:10" x14ac:dyDescent="0.25">
      <c r="C2297" s="9"/>
      <c r="D2297" s="10">
        <v>45716</v>
      </c>
      <c r="E2297" t="s">
        <v>3686</v>
      </c>
      <c r="F2297" s="11" t="s">
        <v>3687</v>
      </c>
      <c r="G2297" s="8">
        <v>43.77</v>
      </c>
      <c r="H2297" s="8">
        <v>0</v>
      </c>
      <c r="I2297" s="8">
        <f>G2297-H2297+I2296</f>
        <v>70.700000000000017</v>
      </c>
      <c r="J2297" s="12"/>
    </row>
    <row r="2298" spans="1:10" x14ac:dyDescent="0.25">
      <c r="C2298" s="9"/>
      <c r="D2298" s="10">
        <v>45730</v>
      </c>
      <c r="E2298" t="s">
        <v>3688</v>
      </c>
      <c r="F2298" s="11" t="s">
        <v>3689</v>
      </c>
      <c r="G2298" s="8">
        <v>58.08</v>
      </c>
      <c r="H2298" s="8">
        <v>0</v>
      </c>
      <c r="I2298" s="8">
        <f>G2298-H2298+I2297</f>
        <v>128.78000000000003</v>
      </c>
      <c r="J2298" s="12"/>
    </row>
    <row r="2299" spans="1:10" x14ac:dyDescent="0.25">
      <c r="C2299" s="9"/>
      <c r="D2299" s="10">
        <v>45733</v>
      </c>
      <c r="E2299" t="s">
        <v>1524</v>
      </c>
      <c r="F2299" s="11" t="s">
        <v>3690</v>
      </c>
      <c r="G2299" s="8">
        <v>0</v>
      </c>
      <c r="H2299" s="8">
        <v>26.93</v>
      </c>
      <c r="I2299" s="8">
        <f>G2299-H2299+I2298</f>
        <v>101.85000000000002</v>
      </c>
      <c r="J2299" s="12"/>
    </row>
    <row r="2300" spans="1:10" x14ac:dyDescent="0.25">
      <c r="E2300" s="4" t="s">
        <v>20</v>
      </c>
      <c r="G2300" s="8">
        <f>SUM(G2295:G2299)</f>
        <v>388.10999999999996</v>
      </c>
      <c r="H2300" s="8">
        <f>SUM(H2295:H2299)</f>
        <v>286.26</v>
      </c>
      <c r="I2300" s="8">
        <f>G2300-H2300</f>
        <v>101.84999999999997</v>
      </c>
    </row>
    <row r="2302" spans="1:10" x14ac:dyDescent="0.25">
      <c r="A2302" s="5">
        <v>4304000</v>
      </c>
      <c r="B2302" s="6" t="s">
        <v>3691</v>
      </c>
      <c r="C2302" s="7"/>
      <c r="D2302" s="7"/>
      <c r="E2302" s="7"/>
      <c r="F2302" s="7"/>
      <c r="G2302" s="7"/>
      <c r="H2302" s="7"/>
      <c r="I2302" s="7"/>
      <c r="J2302" s="7"/>
    </row>
    <row r="2303" spans="1:10" x14ac:dyDescent="0.25">
      <c r="C2303" s="9"/>
      <c r="D2303" s="10">
        <v>45671</v>
      </c>
      <c r="E2303" t="s">
        <v>3692</v>
      </c>
      <c r="F2303" s="11" t="s">
        <v>3693</v>
      </c>
      <c r="G2303" s="8">
        <v>64.67</v>
      </c>
      <c r="H2303" s="8">
        <v>0</v>
      </c>
      <c r="I2303" s="8">
        <f>G2303-H2303</f>
        <v>64.67</v>
      </c>
      <c r="J2303" s="12"/>
    </row>
    <row r="2304" spans="1:10" x14ac:dyDescent="0.25">
      <c r="C2304" s="9"/>
      <c r="D2304" s="10">
        <v>45688</v>
      </c>
      <c r="E2304" t="s">
        <v>3694</v>
      </c>
      <c r="F2304" s="11" t="s">
        <v>3695</v>
      </c>
      <c r="G2304" s="8">
        <v>34.270000000000003</v>
      </c>
      <c r="H2304" s="8">
        <v>0</v>
      </c>
      <c r="I2304" s="8">
        <f>G2304-H2304+I2303</f>
        <v>98.94</v>
      </c>
      <c r="J2304" s="12"/>
    </row>
    <row r="2305" spans="1:10" x14ac:dyDescent="0.25">
      <c r="C2305" s="9"/>
      <c r="D2305" s="10">
        <v>45702</v>
      </c>
      <c r="E2305" t="s">
        <v>3696</v>
      </c>
      <c r="F2305" s="11" t="s">
        <v>3697</v>
      </c>
      <c r="G2305" s="8">
        <v>251.22</v>
      </c>
      <c r="H2305" s="8">
        <v>0</v>
      </c>
      <c r="I2305" s="8">
        <f>G2305-H2305+I2304</f>
        <v>350.15999999999997</v>
      </c>
      <c r="J2305" s="12"/>
    </row>
    <row r="2306" spans="1:10" x14ac:dyDescent="0.25">
      <c r="C2306" s="9"/>
      <c r="D2306" s="10">
        <v>45716</v>
      </c>
      <c r="E2306" t="s">
        <v>3698</v>
      </c>
      <c r="F2306" s="11" t="s">
        <v>3699</v>
      </c>
      <c r="G2306" s="8">
        <v>42.28</v>
      </c>
      <c r="H2306" s="8">
        <v>0</v>
      </c>
      <c r="I2306" s="8">
        <f>G2306-H2306+I2305</f>
        <v>392.43999999999994</v>
      </c>
      <c r="J2306" s="12"/>
    </row>
    <row r="2307" spans="1:10" x14ac:dyDescent="0.25">
      <c r="C2307" s="9"/>
      <c r="D2307" s="10">
        <v>45730</v>
      </c>
      <c r="E2307" t="s">
        <v>3700</v>
      </c>
      <c r="F2307" s="11" t="s">
        <v>3701</v>
      </c>
      <c r="G2307" s="8">
        <v>500.63</v>
      </c>
      <c r="H2307" s="8">
        <v>0</v>
      </c>
      <c r="I2307" s="8">
        <f>G2307-H2307+I2306</f>
        <v>893.06999999999994</v>
      </c>
      <c r="J2307" s="12"/>
    </row>
    <row r="2308" spans="1:10" x14ac:dyDescent="0.25">
      <c r="C2308" s="9"/>
      <c r="D2308" s="10">
        <v>45747</v>
      </c>
      <c r="E2308" t="s">
        <v>3702</v>
      </c>
      <c r="F2308" s="11" t="s">
        <v>3703</v>
      </c>
      <c r="G2308" s="8">
        <v>173.25</v>
      </c>
      <c r="H2308" s="8">
        <v>0</v>
      </c>
      <c r="I2308" s="8">
        <f>G2308-H2308+I2307</f>
        <v>1066.32</v>
      </c>
      <c r="J2308" s="12"/>
    </row>
    <row r="2309" spans="1:10" x14ac:dyDescent="0.25">
      <c r="E2309" s="4" t="s">
        <v>20</v>
      </c>
      <c r="G2309" s="8">
        <f>SUM(G2303:G2308)</f>
        <v>1066.32</v>
      </c>
      <c r="H2309" s="8">
        <f>SUM(H2303:H2308)</f>
        <v>0</v>
      </c>
      <c r="I2309" s="8">
        <f>G2309-H2309</f>
        <v>1066.32</v>
      </c>
    </row>
    <row r="2311" spans="1:10" x14ac:dyDescent="0.25">
      <c r="A2311" s="5">
        <v>4304206</v>
      </c>
      <c r="B2311" s="6" t="s">
        <v>3704</v>
      </c>
      <c r="C2311" s="7"/>
      <c r="D2311" s="7"/>
      <c r="E2311" s="7"/>
      <c r="F2311" s="7"/>
      <c r="G2311" s="7"/>
      <c r="H2311" s="7"/>
      <c r="I2311" s="7"/>
      <c r="J2311" s="7"/>
    </row>
    <row r="2312" spans="1:10" x14ac:dyDescent="0.25">
      <c r="E2312" s="4" t="s">
        <v>10</v>
      </c>
      <c r="G2312" s="8">
        <v>21.85</v>
      </c>
      <c r="H2312" s="8">
        <v>0</v>
      </c>
      <c r="I2312" s="8">
        <f>G2312-H2312</f>
        <v>21.85</v>
      </c>
    </row>
    <row r="2313" spans="1:10" x14ac:dyDescent="0.25">
      <c r="E2313" s="4" t="s">
        <v>20</v>
      </c>
      <c r="G2313" s="8">
        <f>G2312</f>
        <v>21.85</v>
      </c>
      <c r="H2313" s="8">
        <f>H2312</f>
        <v>0</v>
      </c>
      <c r="I2313" s="8">
        <f>G2313-H2313</f>
        <v>21.85</v>
      </c>
    </row>
    <row r="2315" spans="1:10" x14ac:dyDescent="0.25">
      <c r="A2315" s="5">
        <v>4304255</v>
      </c>
      <c r="B2315" s="6" t="s">
        <v>3705</v>
      </c>
      <c r="C2315" s="7"/>
      <c r="D2315" s="7"/>
      <c r="E2315" s="7"/>
      <c r="F2315" s="7"/>
      <c r="G2315" s="7"/>
      <c r="H2315" s="7"/>
      <c r="I2315" s="7"/>
      <c r="J2315" s="7"/>
    </row>
    <row r="2316" spans="1:10" x14ac:dyDescent="0.25">
      <c r="E2316" s="4" t="s">
        <v>10</v>
      </c>
      <c r="G2316" s="8">
        <v>124.53</v>
      </c>
      <c r="H2316" s="8">
        <v>0</v>
      </c>
      <c r="I2316" s="8">
        <f>G2316-H2316</f>
        <v>124.53</v>
      </c>
    </row>
    <row r="2317" spans="1:10" x14ac:dyDescent="0.25">
      <c r="C2317" s="9"/>
      <c r="D2317" s="10">
        <v>45659</v>
      </c>
      <c r="E2317" t="s">
        <v>1524</v>
      </c>
      <c r="F2317" s="11" t="s">
        <v>3706</v>
      </c>
      <c r="G2317" s="8">
        <v>0</v>
      </c>
      <c r="H2317" s="8">
        <v>124.53</v>
      </c>
      <c r="I2317" s="8">
        <f t="shared" ref="I2317:I2330" si="119">G2317-H2317+I2316</f>
        <v>0</v>
      </c>
      <c r="J2317" s="12"/>
    </row>
    <row r="2318" spans="1:10" x14ac:dyDescent="0.25">
      <c r="C2318" s="9"/>
      <c r="D2318" s="10">
        <v>45671</v>
      </c>
      <c r="E2318" t="s">
        <v>3707</v>
      </c>
      <c r="F2318" s="11" t="s">
        <v>3708</v>
      </c>
      <c r="G2318" s="8">
        <v>108.85</v>
      </c>
      <c r="H2318" s="8">
        <v>0</v>
      </c>
      <c r="I2318" s="8">
        <f t="shared" si="119"/>
        <v>108.85</v>
      </c>
      <c r="J2318" s="12"/>
    </row>
    <row r="2319" spans="1:10" x14ac:dyDescent="0.25">
      <c r="C2319" s="9"/>
      <c r="D2319" s="10">
        <v>45672</v>
      </c>
      <c r="E2319" t="s">
        <v>1524</v>
      </c>
      <c r="F2319" s="11" t="s">
        <v>3708</v>
      </c>
      <c r="G2319" s="8">
        <v>0</v>
      </c>
      <c r="H2319" s="8">
        <v>108.85</v>
      </c>
      <c r="I2319" s="8">
        <f t="shared" si="119"/>
        <v>0</v>
      </c>
      <c r="J2319" s="12"/>
    </row>
    <row r="2320" spans="1:10" x14ac:dyDescent="0.25">
      <c r="C2320" s="9"/>
      <c r="D2320" s="10">
        <v>45688</v>
      </c>
      <c r="E2320" t="s">
        <v>3709</v>
      </c>
      <c r="F2320" s="11" t="s">
        <v>3710</v>
      </c>
      <c r="G2320" s="8">
        <v>161.47</v>
      </c>
      <c r="H2320" s="8">
        <v>0</v>
      </c>
      <c r="I2320" s="8">
        <f t="shared" si="119"/>
        <v>161.47</v>
      </c>
      <c r="J2320" s="12"/>
    </row>
    <row r="2321" spans="1:10" x14ac:dyDescent="0.25">
      <c r="C2321" s="9"/>
      <c r="D2321" s="10">
        <v>45691</v>
      </c>
      <c r="E2321" t="s">
        <v>1524</v>
      </c>
      <c r="F2321" s="11" t="s">
        <v>3710</v>
      </c>
      <c r="G2321" s="8">
        <v>0</v>
      </c>
      <c r="H2321" s="8">
        <v>161.47</v>
      </c>
      <c r="I2321" s="8">
        <f t="shared" si="119"/>
        <v>0</v>
      </c>
      <c r="J2321" s="12"/>
    </row>
    <row r="2322" spans="1:10" x14ac:dyDescent="0.25">
      <c r="C2322" s="9"/>
      <c r="D2322" s="10">
        <v>45702</v>
      </c>
      <c r="E2322" t="s">
        <v>3711</v>
      </c>
      <c r="F2322" s="11" t="s">
        <v>3712</v>
      </c>
      <c r="G2322" s="8">
        <v>523.42999999999995</v>
      </c>
      <c r="H2322" s="8">
        <v>0</v>
      </c>
      <c r="I2322" s="8">
        <f t="shared" si="119"/>
        <v>523.42999999999995</v>
      </c>
      <c r="J2322" s="12"/>
    </row>
    <row r="2323" spans="1:10" x14ac:dyDescent="0.25">
      <c r="C2323" s="9"/>
      <c r="D2323" s="10">
        <v>45705</v>
      </c>
      <c r="E2323" t="s">
        <v>1524</v>
      </c>
      <c r="F2323" s="11" t="s">
        <v>3712</v>
      </c>
      <c r="G2323" s="8">
        <v>0</v>
      </c>
      <c r="H2323" s="8">
        <v>523.42999999999995</v>
      </c>
      <c r="I2323" s="8">
        <f t="shared" si="119"/>
        <v>0</v>
      </c>
      <c r="J2323" s="12"/>
    </row>
    <row r="2324" spans="1:10" x14ac:dyDescent="0.25">
      <c r="C2324" s="9"/>
      <c r="D2324" s="10">
        <v>45716</v>
      </c>
      <c r="E2324" t="s">
        <v>3713</v>
      </c>
      <c r="F2324" s="11" t="s">
        <v>3714</v>
      </c>
      <c r="G2324" s="8">
        <v>93.82</v>
      </c>
      <c r="H2324" s="8">
        <v>0</v>
      </c>
      <c r="I2324" s="8">
        <f t="shared" si="119"/>
        <v>93.82</v>
      </c>
      <c r="J2324" s="12"/>
    </row>
    <row r="2325" spans="1:10" x14ac:dyDescent="0.25">
      <c r="C2325" s="9" t="s">
        <v>124</v>
      </c>
      <c r="D2325" s="10">
        <v>45719</v>
      </c>
      <c r="E2325" t="s">
        <v>3715</v>
      </c>
      <c r="F2325" s="11" t="s">
        <v>3714</v>
      </c>
      <c r="G2325" s="8">
        <v>0</v>
      </c>
      <c r="H2325" s="8">
        <v>93.82</v>
      </c>
      <c r="I2325" s="8">
        <f t="shared" si="119"/>
        <v>0</v>
      </c>
      <c r="J2325" s="12"/>
    </row>
    <row r="2326" spans="1:10" x14ac:dyDescent="0.25">
      <c r="C2326" s="9"/>
      <c r="D2326" s="10">
        <v>45730</v>
      </c>
      <c r="E2326" t="s">
        <v>3716</v>
      </c>
      <c r="F2326" s="11" t="s">
        <v>3717</v>
      </c>
      <c r="G2326" s="8">
        <v>519.55999999999995</v>
      </c>
      <c r="H2326" s="8">
        <v>0</v>
      </c>
      <c r="I2326" s="8">
        <f t="shared" si="119"/>
        <v>519.55999999999995</v>
      </c>
      <c r="J2326" s="12"/>
    </row>
    <row r="2327" spans="1:10" x14ac:dyDescent="0.25">
      <c r="C2327" s="9"/>
      <c r="D2327" s="10">
        <v>45733</v>
      </c>
      <c r="E2327" t="s">
        <v>1524</v>
      </c>
      <c r="F2327" s="11" t="s">
        <v>3717</v>
      </c>
      <c r="G2327" s="8">
        <v>0</v>
      </c>
      <c r="H2327" s="8">
        <v>519.55999999999995</v>
      </c>
      <c r="I2327" s="8">
        <f t="shared" si="119"/>
        <v>0</v>
      </c>
      <c r="J2327" s="12"/>
    </row>
    <row r="2328" spans="1:10" x14ac:dyDescent="0.25">
      <c r="C2328" s="9"/>
      <c r="D2328" s="10">
        <v>45747</v>
      </c>
      <c r="E2328" t="s">
        <v>3718</v>
      </c>
      <c r="F2328" s="11" t="s">
        <v>3719</v>
      </c>
      <c r="G2328" s="8">
        <v>2641.04</v>
      </c>
      <c r="H2328" s="8">
        <v>0</v>
      </c>
      <c r="I2328" s="8">
        <f t="shared" si="119"/>
        <v>2641.04</v>
      </c>
      <c r="J2328" s="12"/>
    </row>
    <row r="2329" spans="1:10" x14ac:dyDescent="0.25">
      <c r="C2329" s="9" t="s">
        <v>124</v>
      </c>
      <c r="D2329" s="10">
        <v>45748</v>
      </c>
      <c r="E2329" t="s">
        <v>3720</v>
      </c>
      <c r="F2329" s="11" t="s">
        <v>3719</v>
      </c>
      <c r="G2329" s="8">
        <v>0</v>
      </c>
      <c r="H2329" s="8">
        <v>2641.04</v>
      </c>
      <c r="I2329" s="8">
        <f t="shared" si="119"/>
        <v>0</v>
      </c>
      <c r="J2329" s="12"/>
    </row>
    <row r="2330" spans="1:10" x14ac:dyDescent="0.25">
      <c r="C2330" s="9"/>
      <c r="D2330" s="10">
        <v>45762</v>
      </c>
      <c r="E2330" t="s">
        <v>3721</v>
      </c>
      <c r="F2330" s="11" t="s">
        <v>3717</v>
      </c>
      <c r="G2330" s="8">
        <v>0</v>
      </c>
      <c r="H2330" s="8">
        <v>143.31</v>
      </c>
      <c r="I2330" s="8">
        <f t="shared" si="119"/>
        <v>-143.31</v>
      </c>
      <c r="J2330" s="12"/>
    </row>
    <row r="2331" spans="1:10" x14ac:dyDescent="0.25">
      <c r="E2331" s="4" t="s">
        <v>20</v>
      </c>
      <c r="G2331" s="8">
        <f>SUM(G2316:G2330)</f>
        <v>4172.7</v>
      </c>
      <c r="H2331" s="8">
        <f>SUM(H2316:H2330)</f>
        <v>4316.01</v>
      </c>
      <c r="I2331" s="8">
        <f>G2331-H2331</f>
        <v>-143.3100000000004</v>
      </c>
    </row>
    <row r="2333" spans="1:10" x14ac:dyDescent="0.25">
      <c r="A2333" s="5">
        <v>4304330</v>
      </c>
      <c r="B2333" s="6" t="s">
        <v>3722</v>
      </c>
      <c r="C2333" s="7"/>
      <c r="D2333" s="7"/>
      <c r="E2333" s="7"/>
      <c r="F2333" s="7"/>
      <c r="G2333" s="7"/>
      <c r="H2333" s="7"/>
      <c r="I2333" s="7"/>
      <c r="J2333" s="7"/>
    </row>
    <row r="2334" spans="1:10" x14ac:dyDescent="0.25">
      <c r="E2334" s="4" t="s">
        <v>10</v>
      </c>
      <c r="G2334" s="8">
        <v>25.17</v>
      </c>
      <c r="H2334" s="8">
        <v>0</v>
      </c>
      <c r="I2334" s="8">
        <f>G2334-H2334</f>
        <v>25.17</v>
      </c>
    </row>
    <row r="2335" spans="1:10" x14ac:dyDescent="0.25">
      <c r="E2335" s="4" t="s">
        <v>20</v>
      </c>
      <c r="G2335" s="8">
        <f>G2334</f>
        <v>25.17</v>
      </c>
      <c r="H2335" s="8">
        <f>H2334</f>
        <v>0</v>
      </c>
      <c r="I2335" s="8">
        <f>G2335-H2335</f>
        <v>25.17</v>
      </c>
    </row>
    <row r="2337" spans="1:10" x14ac:dyDescent="0.25">
      <c r="A2337" s="5">
        <v>4304900</v>
      </c>
      <c r="B2337" s="6" t="s">
        <v>3723</v>
      </c>
      <c r="C2337" s="7"/>
      <c r="D2337" s="7"/>
      <c r="E2337" s="7"/>
      <c r="F2337" s="7"/>
      <c r="G2337" s="7"/>
      <c r="H2337" s="7"/>
      <c r="I2337" s="7"/>
      <c r="J2337" s="7"/>
    </row>
    <row r="2338" spans="1:10" x14ac:dyDescent="0.25">
      <c r="E2338" s="4" t="s">
        <v>10</v>
      </c>
      <c r="G2338" s="8">
        <v>208.75</v>
      </c>
      <c r="H2338" s="8">
        <v>0</v>
      </c>
      <c r="I2338" s="8">
        <f>G2338-H2338</f>
        <v>208.75</v>
      </c>
    </row>
    <row r="2339" spans="1:10" x14ac:dyDescent="0.25">
      <c r="C2339" s="9"/>
      <c r="D2339" s="10">
        <v>45659</v>
      </c>
      <c r="E2339" t="s">
        <v>1524</v>
      </c>
      <c r="F2339" s="11" t="s">
        <v>3724</v>
      </c>
      <c r="G2339" s="8">
        <v>0</v>
      </c>
      <c r="H2339" s="8">
        <v>208.75</v>
      </c>
      <c r="I2339" s="8">
        <f t="shared" ref="I2339:I2352" si="120">G2339-H2339+I2338</f>
        <v>0</v>
      </c>
      <c r="J2339" s="12"/>
    </row>
    <row r="2340" spans="1:10" x14ac:dyDescent="0.25">
      <c r="C2340" s="9"/>
      <c r="D2340" s="10">
        <v>45671</v>
      </c>
      <c r="E2340" t="s">
        <v>3725</v>
      </c>
      <c r="F2340" s="11" t="s">
        <v>3726</v>
      </c>
      <c r="G2340" s="8">
        <v>63.53</v>
      </c>
      <c r="H2340" s="8">
        <v>0</v>
      </c>
      <c r="I2340" s="8">
        <f t="shared" si="120"/>
        <v>63.53</v>
      </c>
      <c r="J2340" s="12"/>
    </row>
    <row r="2341" spans="1:10" x14ac:dyDescent="0.25">
      <c r="C2341" s="9"/>
      <c r="D2341" s="10">
        <v>45672</v>
      </c>
      <c r="E2341" t="s">
        <v>3727</v>
      </c>
      <c r="F2341" s="11" t="s">
        <v>42</v>
      </c>
      <c r="G2341" s="8">
        <v>0</v>
      </c>
      <c r="H2341" s="8">
        <v>63.53</v>
      </c>
      <c r="I2341" s="8">
        <f t="shared" si="120"/>
        <v>0</v>
      </c>
      <c r="J2341" s="12"/>
    </row>
    <row r="2342" spans="1:10" x14ac:dyDescent="0.25">
      <c r="C2342" s="9"/>
      <c r="D2342" s="10">
        <v>45688</v>
      </c>
      <c r="E2342" t="s">
        <v>3728</v>
      </c>
      <c r="F2342" s="11" t="s">
        <v>3729</v>
      </c>
      <c r="G2342" s="8">
        <v>162.13999999999999</v>
      </c>
      <c r="H2342" s="8">
        <v>0</v>
      </c>
      <c r="I2342" s="8">
        <f t="shared" si="120"/>
        <v>162.13999999999999</v>
      </c>
      <c r="J2342" s="12"/>
    </row>
    <row r="2343" spans="1:10" x14ac:dyDescent="0.25">
      <c r="C2343" s="9"/>
      <c r="D2343" s="10">
        <v>45691</v>
      </c>
      <c r="E2343" t="s">
        <v>1524</v>
      </c>
      <c r="F2343" s="11" t="s">
        <v>3729</v>
      </c>
      <c r="G2343" s="8">
        <v>0</v>
      </c>
      <c r="H2343" s="8">
        <v>162.13999999999999</v>
      </c>
      <c r="I2343" s="8">
        <f t="shared" si="120"/>
        <v>0</v>
      </c>
      <c r="J2343" s="12"/>
    </row>
    <row r="2344" spans="1:10" x14ac:dyDescent="0.25">
      <c r="C2344" s="9"/>
      <c r="D2344" s="10">
        <v>45702</v>
      </c>
      <c r="E2344" t="s">
        <v>3730</v>
      </c>
      <c r="F2344" s="11" t="s">
        <v>3731</v>
      </c>
      <c r="G2344" s="8">
        <v>231.86</v>
      </c>
      <c r="H2344" s="8">
        <v>0</v>
      </c>
      <c r="I2344" s="8">
        <f t="shared" si="120"/>
        <v>231.86</v>
      </c>
      <c r="J2344" s="12"/>
    </row>
    <row r="2345" spans="1:10" x14ac:dyDescent="0.25">
      <c r="C2345" s="9"/>
      <c r="D2345" s="10">
        <v>45705</v>
      </c>
      <c r="E2345" t="s">
        <v>1524</v>
      </c>
      <c r="F2345" s="11" t="s">
        <v>3731</v>
      </c>
      <c r="G2345" s="8">
        <v>0</v>
      </c>
      <c r="H2345" s="8">
        <v>231.86</v>
      </c>
      <c r="I2345" s="8">
        <f t="shared" si="120"/>
        <v>0</v>
      </c>
      <c r="J2345" s="12"/>
    </row>
    <row r="2346" spans="1:10" x14ac:dyDescent="0.25">
      <c r="C2346" s="9"/>
      <c r="D2346" s="10">
        <v>45716</v>
      </c>
      <c r="E2346" t="s">
        <v>3732</v>
      </c>
      <c r="F2346" s="11" t="s">
        <v>2081</v>
      </c>
      <c r="G2346" s="8">
        <v>44.02</v>
      </c>
      <c r="H2346" s="8">
        <v>0</v>
      </c>
      <c r="I2346" s="8">
        <f t="shared" si="120"/>
        <v>44.02</v>
      </c>
      <c r="J2346" s="12"/>
    </row>
    <row r="2347" spans="1:10" x14ac:dyDescent="0.25">
      <c r="C2347" s="9" t="s">
        <v>124</v>
      </c>
      <c r="D2347" s="10">
        <v>45719</v>
      </c>
      <c r="E2347" t="s">
        <v>3733</v>
      </c>
      <c r="F2347" s="11" t="s">
        <v>2081</v>
      </c>
      <c r="G2347" s="8">
        <v>0</v>
      </c>
      <c r="H2347" s="8">
        <v>44.02</v>
      </c>
      <c r="I2347" s="8">
        <f t="shared" si="120"/>
        <v>0</v>
      </c>
      <c r="J2347" s="12"/>
    </row>
    <row r="2348" spans="1:10" x14ac:dyDescent="0.25">
      <c r="C2348" s="9"/>
      <c r="D2348" s="10">
        <v>45730</v>
      </c>
      <c r="E2348" t="s">
        <v>3734</v>
      </c>
      <c r="F2348" s="11" t="s">
        <v>3735</v>
      </c>
      <c r="G2348" s="8">
        <v>179.18</v>
      </c>
      <c r="H2348" s="8">
        <v>0</v>
      </c>
      <c r="I2348" s="8">
        <f t="shared" si="120"/>
        <v>179.18</v>
      </c>
      <c r="J2348" s="12"/>
    </row>
    <row r="2349" spans="1:10" x14ac:dyDescent="0.25">
      <c r="C2349" s="9"/>
      <c r="D2349" s="10">
        <v>45733</v>
      </c>
      <c r="E2349" t="s">
        <v>1524</v>
      </c>
      <c r="F2349" s="11" t="s">
        <v>3735</v>
      </c>
      <c r="G2349" s="8">
        <v>0</v>
      </c>
      <c r="H2349" s="8">
        <v>179.18</v>
      </c>
      <c r="I2349" s="8">
        <f t="shared" si="120"/>
        <v>0</v>
      </c>
      <c r="J2349" s="12"/>
    </row>
    <row r="2350" spans="1:10" x14ac:dyDescent="0.25">
      <c r="C2350" s="9"/>
      <c r="D2350" s="10">
        <v>45747</v>
      </c>
      <c r="E2350" t="s">
        <v>3736</v>
      </c>
      <c r="F2350" s="11" t="s">
        <v>3737</v>
      </c>
      <c r="G2350" s="8">
        <v>133.34</v>
      </c>
      <c r="H2350" s="8">
        <v>0</v>
      </c>
      <c r="I2350" s="8">
        <f t="shared" si="120"/>
        <v>133.34</v>
      </c>
      <c r="J2350" s="12"/>
    </row>
    <row r="2351" spans="1:10" x14ac:dyDescent="0.25">
      <c r="C2351" s="9" t="s">
        <v>124</v>
      </c>
      <c r="D2351" s="10">
        <v>45748</v>
      </c>
      <c r="E2351" t="s">
        <v>3738</v>
      </c>
      <c r="F2351" s="11" t="s">
        <v>3737</v>
      </c>
      <c r="G2351" s="8">
        <v>0</v>
      </c>
      <c r="H2351" s="8">
        <v>133.34</v>
      </c>
      <c r="I2351" s="8">
        <f t="shared" si="120"/>
        <v>0</v>
      </c>
      <c r="J2351" s="12"/>
    </row>
    <row r="2352" spans="1:10" x14ac:dyDescent="0.25">
      <c r="C2352" s="9"/>
      <c r="D2352" s="10">
        <v>45762</v>
      </c>
      <c r="E2352" t="s">
        <v>3727</v>
      </c>
      <c r="F2352" s="11" t="s">
        <v>42</v>
      </c>
      <c r="G2352" s="8">
        <v>0</v>
      </c>
      <c r="H2352" s="8">
        <v>71.28</v>
      </c>
      <c r="I2352" s="8">
        <f t="shared" si="120"/>
        <v>-71.28</v>
      </c>
      <c r="J2352" s="12"/>
    </row>
    <row r="2353" spans="1:10" x14ac:dyDescent="0.25">
      <c r="E2353" s="4" t="s">
        <v>20</v>
      </c>
      <c r="G2353" s="8">
        <f>SUM(G2338:G2352)</f>
        <v>1022.82</v>
      </c>
      <c r="H2353" s="8">
        <f>SUM(H2338:H2352)</f>
        <v>1094.1000000000001</v>
      </c>
      <c r="I2353" s="8">
        <f>G2353-H2353</f>
        <v>-71.280000000000086</v>
      </c>
    </row>
    <row r="2355" spans="1:10" x14ac:dyDescent="0.25">
      <c r="A2355" s="5">
        <v>4304905</v>
      </c>
      <c r="B2355" s="6" t="s">
        <v>3739</v>
      </c>
      <c r="C2355" s="7"/>
      <c r="D2355" s="7"/>
      <c r="E2355" s="7"/>
      <c r="F2355" s="7"/>
      <c r="G2355" s="7"/>
      <c r="H2355" s="7"/>
      <c r="I2355" s="7"/>
      <c r="J2355" s="7"/>
    </row>
    <row r="2356" spans="1:10" x14ac:dyDescent="0.25">
      <c r="E2356" s="4" t="s">
        <v>10</v>
      </c>
      <c r="G2356" s="8">
        <v>13.61</v>
      </c>
      <c r="H2356" s="8">
        <v>0</v>
      </c>
      <c r="I2356" s="8">
        <f>G2356-H2356</f>
        <v>13.61</v>
      </c>
    </row>
    <row r="2357" spans="1:10" x14ac:dyDescent="0.25">
      <c r="C2357" s="9"/>
      <c r="D2357" s="10">
        <v>45716</v>
      </c>
      <c r="E2357" t="s">
        <v>3740</v>
      </c>
      <c r="F2357" s="11" t="s">
        <v>3741</v>
      </c>
      <c r="G2357" s="8">
        <v>269.83</v>
      </c>
      <c r="H2357" s="8">
        <v>0</v>
      </c>
      <c r="I2357" s="8">
        <f>G2357-H2357+I2356</f>
        <v>283.44</v>
      </c>
      <c r="J2357" s="12"/>
    </row>
    <row r="2358" spans="1:10" x14ac:dyDescent="0.25">
      <c r="C2358" s="9"/>
      <c r="D2358" s="10">
        <v>45720</v>
      </c>
      <c r="E2358" t="s">
        <v>3742</v>
      </c>
      <c r="F2358" s="11" t="s">
        <v>42</v>
      </c>
      <c r="G2358" s="8">
        <v>0</v>
      </c>
      <c r="H2358" s="8">
        <v>283.44</v>
      </c>
      <c r="I2358" s="8">
        <f>G2358-H2358+I2357</f>
        <v>0</v>
      </c>
      <c r="J2358" s="12"/>
    </row>
    <row r="2359" spans="1:10" x14ac:dyDescent="0.25">
      <c r="C2359" s="9"/>
      <c r="D2359" s="10">
        <v>45747</v>
      </c>
      <c r="E2359" t="s">
        <v>3743</v>
      </c>
      <c r="F2359" s="11" t="s">
        <v>3744</v>
      </c>
      <c r="G2359" s="8">
        <v>44.03</v>
      </c>
      <c r="H2359" s="8">
        <v>0</v>
      </c>
      <c r="I2359" s="8">
        <f>G2359-H2359+I2358</f>
        <v>44.03</v>
      </c>
      <c r="J2359" s="12"/>
    </row>
    <row r="2360" spans="1:10" x14ac:dyDescent="0.25">
      <c r="C2360" s="9"/>
      <c r="D2360" s="10">
        <v>45748</v>
      </c>
      <c r="E2360" t="s">
        <v>3742</v>
      </c>
      <c r="F2360" s="11" t="s">
        <v>42</v>
      </c>
      <c r="G2360" s="8">
        <v>0</v>
      </c>
      <c r="H2360" s="8">
        <v>44.03</v>
      </c>
      <c r="I2360" s="8">
        <f>G2360-H2360+I2359</f>
        <v>0</v>
      </c>
      <c r="J2360" s="12"/>
    </row>
    <row r="2361" spans="1:10" x14ac:dyDescent="0.25">
      <c r="C2361" s="9"/>
      <c r="D2361" s="10">
        <v>45762</v>
      </c>
      <c r="E2361" t="s">
        <v>1524</v>
      </c>
      <c r="F2361" s="11" t="s">
        <v>3745</v>
      </c>
      <c r="G2361" s="8">
        <v>0</v>
      </c>
      <c r="H2361" s="8">
        <v>31.38</v>
      </c>
      <c r="I2361" s="8">
        <f>G2361-H2361+I2360</f>
        <v>-31.38</v>
      </c>
      <c r="J2361" s="12"/>
    </row>
    <row r="2362" spans="1:10" x14ac:dyDescent="0.25">
      <c r="E2362" s="4" t="s">
        <v>20</v>
      </c>
      <c r="G2362" s="8">
        <f>SUM(G2356:G2361)</f>
        <v>327.47000000000003</v>
      </c>
      <c r="H2362" s="8">
        <f>SUM(H2356:H2361)</f>
        <v>358.85</v>
      </c>
      <c r="I2362" s="8">
        <f>G2362-H2362</f>
        <v>-31.379999999999995</v>
      </c>
    </row>
    <row r="2364" spans="1:10" x14ac:dyDescent="0.25">
      <c r="A2364" s="5">
        <v>4304910</v>
      </c>
      <c r="B2364" s="6" t="s">
        <v>3746</v>
      </c>
      <c r="C2364" s="7"/>
      <c r="D2364" s="7"/>
      <c r="E2364" s="7"/>
      <c r="F2364" s="7"/>
      <c r="G2364" s="7"/>
      <c r="H2364" s="7"/>
      <c r="I2364" s="7"/>
      <c r="J2364" s="7"/>
    </row>
    <row r="2365" spans="1:10" x14ac:dyDescent="0.25">
      <c r="E2365" s="4" t="s">
        <v>10</v>
      </c>
      <c r="G2365" s="8">
        <v>861.39</v>
      </c>
      <c r="H2365" s="8">
        <v>0</v>
      </c>
      <c r="I2365" s="8">
        <f>G2365-H2365</f>
        <v>861.39</v>
      </c>
    </row>
    <row r="2366" spans="1:10" x14ac:dyDescent="0.25">
      <c r="C2366" s="9"/>
      <c r="D2366" s="10">
        <v>45671</v>
      </c>
      <c r="E2366" t="s">
        <v>3747</v>
      </c>
      <c r="F2366" s="11" t="s">
        <v>3748</v>
      </c>
      <c r="G2366" s="8">
        <v>284.73</v>
      </c>
      <c r="H2366" s="8">
        <v>0</v>
      </c>
      <c r="I2366" s="8">
        <f t="shared" ref="I2366:I2376" si="121">G2366-H2366+I2365</f>
        <v>1146.1199999999999</v>
      </c>
      <c r="J2366" s="12"/>
    </row>
    <row r="2367" spans="1:10" x14ac:dyDescent="0.25">
      <c r="C2367" s="9"/>
      <c r="D2367" s="10">
        <v>45671</v>
      </c>
      <c r="E2367" t="s">
        <v>3749</v>
      </c>
      <c r="F2367" s="11" t="s">
        <v>42</v>
      </c>
      <c r="G2367" s="8">
        <v>0</v>
      </c>
      <c r="H2367" s="8">
        <v>294.88</v>
      </c>
      <c r="I2367" s="8">
        <f t="shared" si="121"/>
        <v>851.2399999999999</v>
      </c>
      <c r="J2367" s="12"/>
    </row>
    <row r="2368" spans="1:10" x14ac:dyDescent="0.25">
      <c r="C2368" s="9"/>
      <c r="D2368" s="10">
        <v>45688</v>
      </c>
      <c r="E2368" t="s">
        <v>3750</v>
      </c>
      <c r="F2368" s="11" t="s">
        <v>3751</v>
      </c>
      <c r="G2368" s="8">
        <v>161.93</v>
      </c>
      <c r="H2368" s="8">
        <v>0</v>
      </c>
      <c r="I2368" s="8">
        <f t="shared" si="121"/>
        <v>1013.1699999999998</v>
      </c>
      <c r="J2368" s="12"/>
    </row>
    <row r="2369" spans="1:10" x14ac:dyDescent="0.25">
      <c r="C2369" s="9"/>
      <c r="D2369" s="10">
        <v>45699</v>
      </c>
      <c r="E2369" t="s">
        <v>3752</v>
      </c>
      <c r="F2369" s="11" t="s">
        <v>42</v>
      </c>
      <c r="G2369" s="8">
        <v>0</v>
      </c>
      <c r="H2369" s="8">
        <v>294.88</v>
      </c>
      <c r="I2369" s="8">
        <f t="shared" si="121"/>
        <v>718.28999999999985</v>
      </c>
      <c r="J2369" s="12"/>
    </row>
    <row r="2370" spans="1:10" x14ac:dyDescent="0.25">
      <c r="C2370" s="9"/>
      <c r="D2370" s="10">
        <v>45699</v>
      </c>
      <c r="E2370" t="s">
        <v>3753</v>
      </c>
      <c r="F2370" s="11" t="s">
        <v>42</v>
      </c>
      <c r="G2370" s="8">
        <v>0</v>
      </c>
      <c r="H2370" s="8">
        <v>270.02999999999997</v>
      </c>
      <c r="I2370" s="8">
        <f t="shared" si="121"/>
        <v>448.25999999999988</v>
      </c>
      <c r="J2370" s="12"/>
    </row>
    <row r="2371" spans="1:10" x14ac:dyDescent="0.25">
      <c r="C2371" s="9"/>
      <c r="D2371" s="10">
        <v>45702</v>
      </c>
      <c r="E2371" t="s">
        <v>3754</v>
      </c>
      <c r="F2371" s="11" t="s">
        <v>3755</v>
      </c>
      <c r="G2371" s="8">
        <v>68.510000000000005</v>
      </c>
      <c r="H2371" s="8">
        <v>0</v>
      </c>
      <c r="I2371" s="8">
        <f t="shared" si="121"/>
        <v>516.76999999999987</v>
      </c>
      <c r="J2371" s="12"/>
    </row>
    <row r="2372" spans="1:10" x14ac:dyDescent="0.25">
      <c r="C2372" s="9"/>
      <c r="D2372" s="10">
        <v>45716</v>
      </c>
      <c r="E2372" t="s">
        <v>3756</v>
      </c>
      <c r="F2372" s="11" t="s">
        <v>3757</v>
      </c>
      <c r="G2372" s="8">
        <v>104.37</v>
      </c>
      <c r="H2372" s="8">
        <v>0</v>
      </c>
      <c r="I2372" s="8">
        <f t="shared" si="121"/>
        <v>621.13999999999987</v>
      </c>
      <c r="J2372" s="12"/>
    </row>
    <row r="2373" spans="1:10" x14ac:dyDescent="0.25">
      <c r="C2373" s="9"/>
      <c r="D2373" s="10">
        <v>45727</v>
      </c>
      <c r="E2373" t="s">
        <v>3749</v>
      </c>
      <c r="F2373" s="11" t="s">
        <v>42</v>
      </c>
      <c r="G2373" s="8">
        <v>0</v>
      </c>
      <c r="H2373" s="8">
        <v>286.48</v>
      </c>
      <c r="I2373" s="8">
        <f t="shared" si="121"/>
        <v>334.65999999999985</v>
      </c>
      <c r="J2373" s="12"/>
    </row>
    <row r="2374" spans="1:10" x14ac:dyDescent="0.25">
      <c r="C2374" s="9"/>
      <c r="D2374" s="10">
        <v>45730</v>
      </c>
      <c r="E2374" t="s">
        <v>3758</v>
      </c>
      <c r="F2374" s="11" t="s">
        <v>3759</v>
      </c>
      <c r="G2374" s="8">
        <v>132.41</v>
      </c>
      <c r="H2374" s="8">
        <v>0</v>
      </c>
      <c r="I2374" s="8">
        <f t="shared" si="121"/>
        <v>467.06999999999982</v>
      </c>
      <c r="J2374" s="12"/>
    </row>
    <row r="2375" spans="1:10" x14ac:dyDescent="0.25">
      <c r="C2375" s="9"/>
      <c r="D2375" s="10">
        <v>45747</v>
      </c>
      <c r="E2375" t="s">
        <v>3760</v>
      </c>
      <c r="F2375" s="11" t="s">
        <v>3761</v>
      </c>
      <c r="G2375" s="8">
        <v>92.83</v>
      </c>
      <c r="H2375" s="8">
        <v>0</v>
      </c>
      <c r="I2375" s="8">
        <f t="shared" si="121"/>
        <v>559.89999999999986</v>
      </c>
      <c r="J2375" s="12"/>
    </row>
    <row r="2376" spans="1:10" x14ac:dyDescent="0.25">
      <c r="C2376" s="9"/>
      <c r="D2376" s="10">
        <v>45758</v>
      </c>
      <c r="E2376" t="s">
        <v>3762</v>
      </c>
      <c r="F2376" s="11" t="s">
        <v>42</v>
      </c>
      <c r="G2376" s="8">
        <v>0</v>
      </c>
      <c r="H2376" s="8">
        <v>446.66</v>
      </c>
      <c r="I2376" s="8">
        <f t="shared" si="121"/>
        <v>113.23999999999984</v>
      </c>
      <c r="J2376" s="12"/>
    </row>
    <row r="2377" spans="1:10" x14ac:dyDescent="0.25">
      <c r="E2377" s="4" t="s">
        <v>20</v>
      </c>
      <c r="G2377" s="8">
        <f>SUM(G2365:G2376)</f>
        <v>1706.1699999999998</v>
      </c>
      <c r="H2377" s="8">
        <f>SUM(H2365:H2376)</f>
        <v>1592.93</v>
      </c>
      <c r="I2377" s="8">
        <f>G2377-H2377</f>
        <v>113.23999999999978</v>
      </c>
    </row>
    <row r="2379" spans="1:10" x14ac:dyDescent="0.25">
      <c r="A2379" s="5">
        <v>4304915</v>
      </c>
      <c r="B2379" s="6" t="s">
        <v>3763</v>
      </c>
      <c r="C2379" s="7"/>
      <c r="D2379" s="7"/>
      <c r="E2379" s="7"/>
      <c r="F2379" s="7"/>
      <c r="G2379" s="7"/>
      <c r="H2379" s="7"/>
      <c r="I2379" s="7"/>
      <c r="J2379" s="7"/>
    </row>
    <row r="2380" spans="1:10" x14ac:dyDescent="0.25">
      <c r="E2380" s="4" t="s">
        <v>10</v>
      </c>
      <c r="G2380" s="8">
        <v>21.97</v>
      </c>
      <c r="H2380" s="8">
        <v>0</v>
      </c>
      <c r="I2380" s="8">
        <f>G2380-H2380</f>
        <v>21.97</v>
      </c>
    </row>
    <row r="2381" spans="1:10" x14ac:dyDescent="0.25">
      <c r="C2381" s="9"/>
      <c r="D2381" s="10">
        <v>45747</v>
      </c>
      <c r="E2381" t="s">
        <v>3764</v>
      </c>
      <c r="F2381" s="11" t="s">
        <v>3765</v>
      </c>
      <c r="G2381" s="8">
        <v>44.92</v>
      </c>
      <c r="H2381" s="8">
        <v>0</v>
      </c>
      <c r="I2381" s="8">
        <f>G2381-H2381+I2380</f>
        <v>66.89</v>
      </c>
      <c r="J2381" s="12"/>
    </row>
    <row r="2382" spans="1:10" x14ac:dyDescent="0.25">
      <c r="C2382" s="9"/>
      <c r="D2382" s="10">
        <v>45748</v>
      </c>
      <c r="E2382" t="s">
        <v>3766</v>
      </c>
      <c r="F2382" s="11" t="s">
        <v>42</v>
      </c>
      <c r="G2382" s="8">
        <v>0</v>
      </c>
      <c r="H2382" s="8">
        <v>66.89</v>
      </c>
      <c r="I2382" s="8">
        <f>G2382-H2382+I2381</f>
        <v>0</v>
      </c>
      <c r="J2382" s="12"/>
    </row>
    <row r="2383" spans="1:10" x14ac:dyDescent="0.25">
      <c r="C2383" s="9"/>
      <c r="D2383" s="10">
        <v>45762</v>
      </c>
      <c r="E2383" t="s">
        <v>1524</v>
      </c>
      <c r="F2383" s="11" t="s">
        <v>3767</v>
      </c>
      <c r="G2383" s="8">
        <v>0</v>
      </c>
      <c r="H2383" s="8">
        <v>91.23</v>
      </c>
      <c r="I2383" s="8">
        <f>G2383-H2383+I2382</f>
        <v>-91.23</v>
      </c>
      <c r="J2383" s="12"/>
    </row>
    <row r="2384" spans="1:10" x14ac:dyDescent="0.25">
      <c r="E2384" s="4" t="s">
        <v>20</v>
      </c>
      <c r="G2384" s="8">
        <f>SUM(G2380:G2383)</f>
        <v>66.89</v>
      </c>
      <c r="H2384" s="8">
        <f>SUM(H2380:H2383)</f>
        <v>158.12</v>
      </c>
      <c r="I2384" s="8">
        <f>G2384-H2384</f>
        <v>-91.23</v>
      </c>
    </row>
    <row r="2386" spans="1:10" x14ac:dyDescent="0.25">
      <c r="A2386" s="5">
        <v>4304955</v>
      </c>
      <c r="B2386" s="6" t="s">
        <v>3768</v>
      </c>
      <c r="C2386" s="7"/>
      <c r="D2386" s="7"/>
      <c r="E2386" s="7"/>
      <c r="F2386" s="7"/>
      <c r="G2386" s="7"/>
      <c r="H2386" s="7"/>
      <c r="I2386" s="7"/>
      <c r="J2386" s="7"/>
    </row>
    <row r="2387" spans="1:10" x14ac:dyDescent="0.25">
      <c r="E2387" s="4" t="s">
        <v>10</v>
      </c>
      <c r="G2387" s="8">
        <v>20.81</v>
      </c>
      <c r="H2387" s="8">
        <v>0</v>
      </c>
      <c r="I2387" s="8">
        <f>G2387-H2387</f>
        <v>20.81</v>
      </c>
    </row>
    <row r="2388" spans="1:10" x14ac:dyDescent="0.25">
      <c r="E2388" s="4" t="s">
        <v>20</v>
      </c>
      <c r="G2388" s="8">
        <f>G2387</f>
        <v>20.81</v>
      </c>
      <c r="H2388" s="8">
        <f>H2387</f>
        <v>0</v>
      </c>
      <c r="I2388" s="8">
        <f>G2388-H2388</f>
        <v>20.81</v>
      </c>
    </row>
    <row r="2390" spans="1:10" x14ac:dyDescent="0.25">
      <c r="A2390" s="5">
        <v>4304965</v>
      </c>
      <c r="B2390" s="6" t="s">
        <v>3769</v>
      </c>
      <c r="C2390" s="7"/>
      <c r="D2390" s="7"/>
      <c r="E2390" s="7"/>
      <c r="F2390" s="7"/>
      <c r="G2390" s="7"/>
      <c r="H2390" s="7"/>
      <c r="I2390" s="7"/>
      <c r="J2390" s="7"/>
    </row>
    <row r="2391" spans="1:10" x14ac:dyDescent="0.25">
      <c r="E2391" s="4" t="s">
        <v>10</v>
      </c>
      <c r="G2391" s="8">
        <v>0</v>
      </c>
      <c r="H2391" s="8">
        <v>35.28</v>
      </c>
      <c r="I2391" s="8">
        <f>G2391-H2391</f>
        <v>-35.28</v>
      </c>
    </row>
    <row r="2392" spans="1:10" x14ac:dyDescent="0.25">
      <c r="C2392" s="9"/>
      <c r="D2392" s="10">
        <v>45660</v>
      </c>
      <c r="E2392" t="s">
        <v>1524</v>
      </c>
      <c r="F2392" s="11" t="s">
        <v>3770</v>
      </c>
      <c r="G2392" s="8">
        <v>0</v>
      </c>
      <c r="H2392" s="8">
        <v>36.06</v>
      </c>
      <c r="I2392" s="8">
        <f>G2392-H2392+I2391</f>
        <v>-71.34</v>
      </c>
      <c r="J2392" s="12"/>
    </row>
    <row r="2393" spans="1:10" x14ac:dyDescent="0.25">
      <c r="E2393" s="4" t="s">
        <v>20</v>
      </c>
      <c r="G2393" s="8">
        <f>SUM(G2391:G2392)</f>
        <v>0</v>
      </c>
      <c r="H2393" s="8">
        <f>SUM(H2391:H2392)</f>
        <v>71.34</v>
      </c>
      <c r="I2393" s="8">
        <f>G2393-H2393</f>
        <v>-71.34</v>
      </c>
    </row>
    <row r="2395" spans="1:10" x14ac:dyDescent="0.25">
      <c r="A2395" s="5">
        <v>4304990</v>
      </c>
      <c r="B2395" s="6" t="s">
        <v>3771</v>
      </c>
      <c r="C2395" s="7"/>
      <c r="D2395" s="7"/>
      <c r="E2395" s="7"/>
      <c r="F2395" s="7"/>
      <c r="G2395" s="7"/>
      <c r="H2395" s="7"/>
      <c r="I2395" s="7"/>
      <c r="J2395" s="7"/>
    </row>
    <row r="2396" spans="1:10" x14ac:dyDescent="0.25">
      <c r="E2396" s="4" t="s">
        <v>10</v>
      </c>
      <c r="G2396" s="8">
        <v>395.58</v>
      </c>
      <c r="H2396" s="8">
        <v>0</v>
      </c>
      <c r="I2396" s="8">
        <f>G2396-H2396</f>
        <v>395.58</v>
      </c>
    </row>
    <row r="2397" spans="1:10" x14ac:dyDescent="0.25">
      <c r="C2397" s="9"/>
      <c r="D2397" s="10">
        <v>45686</v>
      </c>
      <c r="E2397" t="s">
        <v>1524</v>
      </c>
      <c r="F2397" s="11" t="s">
        <v>3772</v>
      </c>
      <c r="G2397" s="8">
        <v>0</v>
      </c>
      <c r="H2397" s="8">
        <v>301.60000000000002</v>
      </c>
      <c r="I2397" s="8">
        <f>G2397-H2397+I2396</f>
        <v>93.979999999999961</v>
      </c>
      <c r="J2397" s="12"/>
    </row>
    <row r="2398" spans="1:10" x14ac:dyDescent="0.25">
      <c r="C2398" s="9"/>
      <c r="D2398" s="10">
        <v>45688</v>
      </c>
      <c r="E2398" t="s">
        <v>3773</v>
      </c>
      <c r="F2398" s="11" t="s">
        <v>3774</v>
      </c>
      <c r="G2398" s="8">
        <v>133.12</v>
      </c>
      <c r="H2398" s="8">
        <v>0</v>
      </c>
      <c r="I2398" s="8">
        <f>G2398-H2398+I2397</f>
        <v>227.09999999999997</v>
      </c>
      <c r="J2398" s="12"/>
    </row>
    <row r="2399" spans="1:10" x14ac:dyDescent="0.25">
      <c r="C2399" s="9"/>
      <c r="D2399" s="10">
        <v>45715</v>
      </c>
      <c r="E2399" t="s">
        <v>1524</v>
      </c>
      <c r="F2399" s="11" t="s">
        <v>3775</v>
      </c>
      <c r="G2399" s="8">
        <v>0</v>
      </c>
      <c r="H2399" s="8">
        <v>93.98</v>
      </c>
      <c r="I2399" s="8">
        <f>G2399-H2399+I2398</f>
        <v>133.11999999999995</v>
      </c>
      <c r="J2399" s="12"/>
    </row>
    <row r="2400" spans="1:10" x14ac:dyDescent="0.25">
      <c r="C2400" s="9"/>
      <c r="D2400" s="10">
        <v>45730</v>
      </c>
      <c r="E2400" t="s">
        <v>3776</v>
      </c>
      <c r="F2400" s="11" t="s">
        <v>3777</v>
      </c>
      <c r="G2400" s="8">
        <v>170.51</v>
      </c>
      <c r="H2400" s="8">
        <v>0</v>
      </c>
      <c r="I2400" s="8">
        <f>G2400-H2400+I2399</f>
        <v>303.62999999999994</v>
      </c>
      <c r="J2400" s="12"/>
    </row>
    <row r="2401" spans="1:10" x14ac:dyDescent="0.25">
      <c r="C2401" s="9"/>
      <c r="D2401" s="10">
        <v>45743</v>
      </c>
      <c r="E2401" t="s">
        <v>1524</v>
      </c>
      <c r="F2401" s="11" t="s">
        <v>3774</v>
      </c>
      <c r="G2401" s="8">
        <v>0</v>
      </c>
      <c r="H2401" s="8">
        <v>133.12</v>
      </c>
      <c r="I2401" s="8">
        <f>G2401-H2401+I2400</f>
        <v>170.50999999999993</v>
      </c>
      <c r="J2401" s="12"/>
    </row>
    <row r="2402" spans="1:10" x14ac:dyDescent="0.25">
      <c r="E2402" s="4" t="s">
        <v>20</v>
      </c>
      <c r="G2402" s="8">
        <f>SUM(G2396:G2401)</f>
        <v>699.21</v>
      </c>
      <c r="H2402" s="8">
        <f>SUM(H2396:H2401)</f>
        <v>528.70000000000005</v>
      </c>
      <c r="I2402" s="8">
        <f>G2402-H2402</f>
        <v>170.51</v>
      </c>
    </row>
    <row r="2404" spans="1:10" x14ac:dyDescent="0.25">
      <c r="A2404" s="5">
        <v>4305000</v>
      </c>
      <c r="B2404" s="6" t="s">
        <v>3778</v>
      </c>
      <c r="C2404" s="7"/>
      <c r="D2404" s="7"/>
      <c r="E2404" s="7"/>
      <c r="F2404" s="7"/>
      <c r="G2404" s="7"/>
      <c r="H2404" s="7"/>
      <c r="I2404" s="7"/>
      <c r="J2404" s="7"/>
    </row>
    <row r="2405" spans="1:10" x14ac:dyDescent="0.25">
      <c r="E2405" s="4" t="s">
        <v>10</v>
      </c>
      <c r="G2405" s="8">
        <v>3674.56</v>
      </c>
      <c r="H2405" s="8">
        <v>0</v>
      </c>
      <c r="I2405" s="8">
        <f>G2405-H2405</f>
        <v>3674.56</v>
      </c>
    </row>
    <row r="2406" spans="1:10" x14ac:dyDescent="0.25">
      <c r="C2406" s="9"/>
      <c r="D2406" s="10">
        <v>45671</v>
      </c>
      <c r="E2406" t="s">
        <v>3779</v>
      </c>
      <c r="F2406" s="11" t="s">
        <v>3780</v>
      </c>
      <c r="G2406" s="8">
        <v>800.91</v>
      </c>
      <c r="H2406" s="8">
        <v>0</v>
      </c>
      <c r="I2406" s="8">
        <f t="shared" ref="I2406:I2417" si="122">G2406-H2406+I2405</f>
        <v>4475.47</v>
      </c>
      <c r="J2406" s="12"/>
    </row>
    <row r="2407" spans="1:10" x14ac:dyDescent="0.25">
      <c r="C2407" s="9"/>
      <c r="D2407" s="10">
        <v>45677</v>
      </c>
      <c r="E2407" t="s">
        <v>2568</v>
      </c>
      <c r="F2407" s="11" t="s">
        <v>42</v>
      </c>
      <c r="G2407" s="8">
        <v>0</v>
      </c>
      <c r="H2407" s="8">
        <v>1915.74</v>
      </c>
      <c r="I2407" s="8">
        <f t="shared" si="122"/>
        <v>2559.7300000000005</v>
      </c>
      <c r="J2407" s="12"/>
    </row>
    <row r="2408" spans="1:10" x14ac:dyDescent="0.25">
      <c r="C2408" s="9"/>
      <c r="D2408" s="10">
        <v>45688</v>
      </c>
      <c r="E2408" t="s">
        <v>3781</v>
      </c>
      <c r="F2408" s="11" t="s">
        <v>3782</v>
      </c>
      <c r="G2408" s="8">
        <v>1437.81</v>
      </c>
      <c r="H2408" s="8">
        <v>0</v>
      </c>
      <c r="I2408" s="8">
        <f t="shared" si="122"/>
        <v>3997.5400000000004</v>
      </c>
      <c r="J2408" s="12"/>
    </row>
    <row r="2409" spans="1:10" x14ac:dyDescent="0.25">
      <c r="C2409" s="9"/>
      <c r="D2409" s="10">
        <v>45691</v>
      </c>
      <c r="E2409" t="s">
        <v>3472</v>
      </c>
      <c r="F2409" s="11" t="s">
        <v>42</v>
      </c>
      <c r="G2409" s="8">
        <v>0</v>
      </c>
      <c r="H2409" s="8">
        <v>800.91</v>
      </c>
      <c r="I2409" s="8">
        <f t="shared" si="122"/>
        <v>3196.6300000000006</v>
      </c>
      <c r="J2409" s="12"/>
    </row>
    <row r="2410" spans="1:10" x14ac:dyDescent="0.25">
      <c r="C2410" s="9"/>
      <c r="D2410" s="10">
        <v>45702</v>
      </c>
      <c r="E2410" t="s">
        <v>3783</v>
      </c>
      <c r="F2410" s="11" t="s">
        <v>3784</v>
      </c>
      <c r="G2410" s="8">
        <v>2955.1</v>
      </c>
      <c r="H2410" s="8">
        <v>0</v>
      </c>
      <c r="I2410" s="8">
        <f t="shared" si="122"/>
        <v>6151.7300000000005</v>
      </c>
      <c r="J2410" s="12"/>
    </row>
    <row r="2411" spans="1:10" x14ac:dyDescent="0.25">
      <c r="C2411" s="9"/>
      <c r="D2411" s="10">
        <v>45712</v>
      </c>
      <c r="E2411" t="s">
        <v>3472</v>
      </c>
      <c r="F2411" s="11" t="s">
        <v>42</v>
      </c>
      <c r="G2411" s="8">
        <v>0</v>
      </c>
      <c r="H2411" s="8">
        <v>1433.36</v>
      </c>
      <c r="I2411" s="8">
        <f t="shared" si="122"/>
        <v>4718.3700000000008</v>
      </c>
      <c r="J2411" s="12"/>
    </row>
    <row r="2412" spans="1:10" x14ac:dyDescent="0.25">
      <c r="C2412" s="9"/>
      <c r="D2412" s="10">
        <v>45716</v>
      </c>
      <c r="E2412" t="s">
        <v>3785</v>
      </c>
      <c r="F2412" s="11" t="s">
        <v>3786</v>
      </c>
      <c r="G2412" s="8">
        <v>2887.54</v>
      </c>
      <c r="H2412" s="8">
        <v>0</v>
      </c>
      <c r="I2412" s="8">
        <f t="shared" si="122"/>
        <v>7605.9100000000008</v>
      </c>
      <c r="J2412" s="12"/>
    </row>
    <row r="2413" spans="1:10" x14ac:dyDescent="0.25">
      <c r="C2413" s="9"/>
      <c r="D2413" s="10">
        <v>45719</v>
      </c>
      <c r="E2413" t="s">
        <v>3472</v>
      </c>
      <c r="F2413" s="11" t="s">
        <v>42</v>
      </c>
      <c r="G2413" s="8">
        <v>0</v>
      </c>
      <c r="H2413" s="8">
        <v>2944.39</v>
      </c>
      <c r="I2413" s="8">
        <f t="shared" si="122"/>
        <v>4661.5200000000004</v>
      </c>
      <c r="J2413" s="12"/>
    </row>
    <row r="2414" spans="1:10" x14ac:dyDescent="0.25">
      <c r="C2414" s="9"/>
      <c r="D2414" s="10">
        <v>45730</v>
      </c>
      <c r="E2414" t="s">
        <v>3787</v>
      </c>
      <c r="F2414" s="11" t="s">
        <v>3788</v>
      </c>
      <c r="G2414" s="8">
        <v>1246.8699999999999</v>
      </c>
      <c r="H2414" s="8">
        <v>0</v>
      </c>
      <c r="I2414" s="8">
        <f t="shared" si="122"/>
        <v>5908.39</v>
      </c>
      <c r="J2414" s="12"/>
    </row>
    <row r="2415" spans="1:10" x14ac:dyDescent="0.25">
      <c r="C2415" s="9"/>
      <c r="D2415" s="10">
        <v>45733</v>
      </c>
      <c r="E2415" t="s">
        <v>3472</v>
      </c>
      <c r="F2415" s="11" t="s">
        <v>42</v>
      </c>
      <c r="G2415" s="8">
        <v>0</v>
      </c>
      <c r="H2415" s="8">
        <v>2876.98</v>
      </c>
      <c r="I2415" s="8">
        <f t="shared" si="122"/>
        <v>3031.4100000000003</v>
      </c>
      <c r="J2415" s="12"/>
    </row>
    <row r="2416" spans="1:10" x14ac:dyDescent="0.25">
      <c r="C2416" s="9"/>
      <c r="D2416" s="10">
        <v>45747</v>
      </c>
      <c r="E2416" t="s">
        <v>3789</v>
      </c>
      <c r="F2416" s="11" t="s">
        <v>3790</v>
      </c>
      <c r="G2416" s="8">
        <v>1753.27</v>
      </c>
      <c r="H2416" s="8">
        <v>0</v>
      </c>
      <c r="I2416" s="8">
        <f t="shared" si="122"/>
        <v>4784.68</v>
      </c>
      <c r="J2416" s="12"/>
    </row>
    <row r="2417" spans="1:10" x14ac:dyDescent="0.25">
      <c r="C2417" s="9"/>
      <c r="D2417" s="10">
        <v>45761</v>
      </c>
      <c r="E2417" t="s">
        <v>3472</v>
      </c>
      <c r="F2417" s="11" t="s">
        <v>42</v>
      </c>
      <c r="G2417" s="8">
        <v>0</v>
      </c>
      <c r="H2417" s="8">
        <v>1243.69</v>
      </c>
      <c r="I2417" s="8">
        <f t="shared" si="122"/>
        <v>3540.9900000000002</v>
      </c>
      <c r="J2417" s="12"/>
    </row>
    <row r="2418" spans="1:10" x14ac:dyDescent="0.25">
      <c r="E2418" s="4" t="s">
        <v>20</v>
      </c>
      <c r="G2418" s="8">
        <f>SUM(G2405:G2417)</f>
        <v>14756.060000000001</v>
      </c>
      <c r="H2418" s="8">
        <f>SUM(H2405:H2417)</f>
        <v>11215.07</v>
      </c>
      <c r="I2418" s="8">
        <f>G2418-H2418</f>
        <v>3540.9900000000016</v>
      </c>
    </row>
    <row r="2420" spans="1:10" x14ac:dyDescent="0.25">
      <c r="A2420" s="5">
        <v>4305005</v>
      </c>
      <c r="B2420" s="6" t="s">
        <v>3791</v>
      </c>
      <c r="C2420" s="7"/>
      <c r="D2420" s="7"/>
      <c r="E2420" s="7"/>
      <c r="F2420" s="7"/>
      <c r="G2420" s="7"/>
      <c r="H2420" s="7"/>
      <c r="I2420" s="7"/>
      <c r="J2420" s="7"/>
    </row>
    <row r="2421" spans="1:10" x14ac:dyDescent="0.25">
      <c r="E2421" s="4" t="s">
        <v>10</v>
      </c>
      <c r="G2421" s="8">
        <v>77.5</v>
      </c>
      <c r="H2421" s="8">
        <v>0</v>
      </c>
      <c r="I2421" s="8">
        <f>G2421-H2421</f>
        <v>77.5</v>
      </c>
    </row>
    <row r="2422" spans="1:10" x14ac:dyDescent="0.25">
      <c r="C2422" s="9"/>
      <c r="D2422" s="10">
        <v>45660</v>
      </c>
      <c r="E2422" t="s">
        <v>1524</v>
      </c>
      <c r="F2422" s="11" t="s">
        <v>3792</v>
      </c>
      <c r="G2422" s="8">
        <v>0</v>
      </c>
      <c r="H2422" s="8">
        <v>77.5</v>
      </c>
      <c r="I2422" s="8">
        <f t="shared" ref="I2422:I2427" si="123">G2422-H2422+I2421</f>
        <v>0</v>
      </c>
      <c r="J2422" s="12"/>
    </row>
    <row r="2423" spans="1:10" x14ac:dyDescent="0.25">
      <c r="C2423" s="9"/>
      <c r="D2423" s="10">
        <v>45671</v>
      </c>
      <c r="E2423" t="s">
        <v>3793</v>
      </c>
      <c r="F2423" s="11" t="s">
        <v>3794</v>
      </c>
      <c r="G2423" s="8">
        <v>221.87</v>
      </c>
      <c r="H2423" s="8">
        <v>0</v>
      </c>
      <c r="I2423" s="8">
        <f t="shared" si="123"/>
        <v>221.87</v>
      </c>
      <c r="J2423" s="12"/>
    </row>
    <row r="2424" spans="1:10" x14ac:dyDescent="0.25">
      <c r="C2424" s="9"/>
      <c r="D2424" s="10">
        <v>45672</v>
      </c>
      <c r="E2424" t="s">
        <v>1524</v>
      </c>
      <c r="F2424" s="11" t="s">
        <v>3794</v>
      </c>
      <c r="G2424" s="8">
        <v>0</v>
      </c>
      <c r="H2424" s="8">
        <v>221.87</v>
      </c>
      <c r="I2424" s="8">
        <f t="shared" si="123"/>
        <v>0</v>
      </c>
      <c r="J2424" s="12"/>
    </row>
    <row r="2425" spans="1:10" x14ac:dyDescent="0.25">
      <c r="C2425" s="9"/>
      <c r="D2425" s="10">
        <v>45688</v>
      </c>
      <c r="E2425" t="s">
        <v>3795</v>
      </c>
      <c r="F2425" s="11" t="s">
        <v>3796</v>
      </c>
      <c r="G2425" s="8">
        <v>2636.31</v>
      </c>
      <c r="H2425" s="8">
        <v>0</v>
      </c>
      <c r="I2425" s="8">
        <f t="shared" si="123"/>
        <v>2636.31</v>
      </c>
      <c r="J2425" s="12"/>
    </row>
    <row r="2426" spans="1:10" x14ac:dyDescent="0.25">
      <c r="C2426" s="9" t="s">
        <v>124</v>
      </c>
      <c r="D2426" s="10">
        <v>45691</v>
      </c>
      <c r="E2426" t="s">
        <v>3797</v>
      </c>
      <c r="F2426" s="11" t="s">
        <v>3796</v>
      </c>
      <c r="G2426" s="8">
        <v>0</v>
      </c>
      <c r="H2426" s="8">
        <v>2636.31</v>
      </c>
      <c r="I2426" s="8">
        <f t="shared" si="123"/>
        <v>0</v>
      </c>
      <c r="J2426" s="12"/>
    </row>
    <row r="2427" spans="1:10" x14ac:dyDescent="0.25">
      <c r="C2427" s="9"/>
      <c r="D2427" s="10">
        <v>45762</v>
      </c>
      <c r="E2427" t="s">
        <v>3798</v>
      </c>
      <c r="F2427" s="11" t="s">
        <v>42</v>
      </c>
      <c r="G2427" s="8">
        <v>0</v>
      </c>
      <c r="H2427" s="8">
        <v>140.74</v>
      </c>
      <c r="I2427" s="8">
        <f t="shared" si="123"/>
        <v>-140.74</v>
      </c>
      <c r="J2427" s="12"/>
    </row>
    <row r="2428" spans="1:10" x14ac:dyDescent="0.25">
      <c r="E2428" s="4" t="s">
        <v>20</v>
      </c>
      <c r="G2428" s="8">
        <f>SUM(G2421:G2427)</f>
        <v>2935.68</v>
      </c>
      <c r="H2428" s="8">
        <f>SUM(H2421:H2427)</f>
        <v>3076.42</v>
      </c>
      <c r="I2428" s="8">
        <f>G2428-H2428</f>
        <v>-140.74000000000024</v>
      </c>
    </row>
    <row r="2430" spans="1:10" x14ac:dyDescent="0.25">
      <c r="A2430" s="5">
        <v>4305010</v>
      </c>
      <c r="B2430" s="6" t="s">
        <v>3799</v>
      </c>
      <c r="C2430" s="7"/>
      <c r="D2430" s="7"/>
      <c r="E2430" s="7"/>
      <c r="F2430" s="7"/>
      <c r="G2430" s="7"/>
      <c r="H2430" s="7"/>
      <c r="I2430" s="7"/>
      <c r="J2430" s="7"/>
    </row>
    <row r="2431" spans="1:10" x14ac:dyDescent="0.25">
      <c r="C2431" s="9"/>
      <c r="D2431" s="10">
        <v>45702</v>
      </c>
      <c r="E2431" t="s">
        <v>3800</v>
      </c>
      <c r="F2431" s="11" t="s">
        <v>3801</v>
      </c>
      <c r="G2431" s="8">
        <v>129.72</v>
      </c>
      <c r="H2431" s="8">
        <v>0</v>
      </c>
      <c r="I2431" s="8">
        <f>G2431-H2431</f>
        <v>129.72</v>
      </c>
      <c r="J2431" s="12"/>
    </row>
    <row r="2432" spans="1:10" x14ac:dyDescent="0.25">
      <c r="C2432" s="9"/>
      <c r="D2432" s="10">
        <v>45705</v>
      </c>
      <c r="E2432" t="s">
        <v>1524</v>
      </c>
      <c r="F2432" s="11" t="s">
        <v>3801</v>
      </c>
      <c r="G2432" s="8">
        <v>0</v>
      </c>
      <c r="H2432" s="8">
        <v>129.72</v>
      </c>
      <c r="I2432" s="8">
        <f>G2432-H2432+I2431</f>
        <v>0</v>
      </c>
      <c r="J2432" s="12"/>
    </row>
    <row r="2433" spans="1:10" x14ac:dyDescent="0.25">
      <c r="C2433" s="9"/>
      <c r="D2433" s="10">
        <v>45730</v>
      </c>
      <c r="E2433" t="s">
        <v>3802</v>
      </c>
      <c r="F2433" s="11" t="s">
        <v>3803</v>
      </c>
      <c r="G2433" s="8">
        <v>84.64</v>
      </c>
      <c r="H2433" s="8">
        <v>0</v>
      </c>
      <c r="I2433" s="8">
        <f>G2433-H2433+I2432</f>
        <v>84.64</v>
      </c>
      <c r="J2433" s="12"/>
    </row>
    <row r="2434" spans="1:10" x14ac:dyDescent="0.25">
      <c r="C2434" s="9"/>
      <c r="D2434" s="10">
        <v>45733</v>
      </c>
      <c r="E2434" t="s">
        <v>1524</v>
      </c>
      <c r="F2434" s="11" t="s">
        <v>3803</v>
      </c>
      <c r="G2434" s="8">
        <v>0</v>
      </c>
      <c r="H2434" s="8">
        <v>84.64</v>
      </c>
      <c r="I2434" s="8">
        <f>G2434-H2434+I2433</f>
        <v>0</v>
      </c>
      <c r="J2434" s="12"/>
    </row>
    <row r="2435" spans="1:10" x14ac:dyDescent="0.25">
      <c r="C2435" s="9"/>
      <c r="D2435" s="10">
        <v>45762</v>
      </c>
      <c r="E2435" t="s">
        <v>3804</v>
      </c>
      <c r="F2435" s="11" t="s">
        <v>3805</v>
      </c>
      <c r="G2435" s="8">
        <v>0</v>
      </c>
      <c r="H2435" s="8">
        <v>31.68</v>
      </c>
      <c r="I2435" s="8">
        <f>G2435-H2435+I2434</f>
        <v>-31.68</v>
      </c>
      <c r="J2435" s="12"/>
    </row>
    <row r="2436" spans="1:10" x14ac:dyDescent="0.25">
      <c r="E2436" s="4" t="s">
        <v>20</v>
      </c>
      <c r="G2436" s="8">
        <f>SUM(G2431:G2435)</f>
        <v>214.36</v>
      </c>
      <c r="H2436" s="8">
        <f>SUM(H2431:H2435)</f>
        <v>246.04000000000002</v>
      </c>
      <c r="I2436" s="8">
        <f>G2436-H2436</f>
        <v>-31.680000000000007</v>
      </c>
    </row>
    <row r="2438" spans="1:10" x14ac:dyDescent="0.25">
      <c r="A2438" s="5">
        <v>4305015</v>
      </c>
      <c r="B2438" s="6" t="s">
        <v>3806</v>
      </c>
      <c r="C2438" s="7"/>
      <c r="D2438" s="7"/>
      <c r="E2438" s="7"/>
      <c r="F2438" s="7"/>
      <c r="G2438" s="7"/>
      <c r="H2438" s="7"/>
      <c r="I2438" s="7"/>
      <c r="J2438" s="7"/>
    </row>
    <row r="2439" spans="1:10" x14ac:dyDescent="0.25">
      <c r="E2439" s="4" t="s">
        <v>10</v>
      </c>
      <c r="G2439" s="8">
        <v>12152.49</v>
      </c>
      <c r="H2439" s="8">
        <v>0</v>
      </c>
      <c r="I2439" s="8">
        <f>G2439-H2439</f>
        <v>12152.49</v>
      </c>
    </row>
    <row r="2440" spans="1:10" x14ac:dyDescent="0.25">
      <c r="C2440" s="9"/>
      <c r="D2440" s="10">
        <v>45671</v>
      </c>
      <c r="E2440" t="s">
        <v>3807</v>
      </c>
      <c r="F2440" s="11" t="s">
        <v>3808</v>
      </c>
      <c r="G2440" s="8">
        <v>1964.02</v>
      </c>
      <c r="H2440" s="8">
        <v>0</v>
      </c>
      <c r="I2440" s="8">
        <f t="shared" ref="I2440:I2451" si="124">G2440-H2440+I2439</f>
        <v>14116.51</v>
      </c>
      <c r="J2440" s="12"/>
    </row>
    <row r="2441" spans="1:10" x14ac:dyDescent="0.25">
      <c r="C2441" s="9"/>
      <c r="D2441" s="10">
        <v>45687</v>
      </c>
      <c r="E2441" t="s">
        <v>1524</v>
      </c>
      <c r="F2441" s="11" t="s">
        <v>3809</v>
      </c>
      <c r="G2441" s="8">
        <v>0</v>
      </c>
      <c r="H2441" s="8">
        <v>2033.47</v>
      </c>
      <c r="I2441" s="8">
        <f t="shared" si="124"/>
        <v>12083.04</v>
      </c>
      <c r="J2441" s="12"/>
    </row>
    <row r="2442" spans="1:10" x14ac:dyDescent="0.25">
      <c r="C2442" s="9"/>
      <c r="D2442" s="10">
        <v>45687</v>
      </c>
      <c r="E2442" t="s">
        <v>1524</v>
      </c>
      <c r="F2442" s="11" t="s">
        <v>3810</v>
      </c>
      <c r="G2442" s="8">
        <v>0</v>
      </c>
      <c r="H2442" s="8">
        <v>5050.92</v>
      </c>
      <c r="I2442" s="8">
        <f t="shared" si="124"/>
        <v>7032.1200000000008</v>
      </c>
      <c r="J2442" s="12"/>
    </row>
    <row r="2443" spans="1:10" x14ac:dyDescent="0.25">
      <c r="C2443" s="9"/>
      <c r="D2443" s="10">
        <v>45688</v>
      </c>
      <c r="E2443" t="s">
        <v>3811</v>
      </c>
      <c r="F2443" s="11" t="s">
        <v>3812</v>
      </c>
      <c r="G2443" s="8">
        <v>4564.83</v>
      </c>
      <c r="H2443" s="8">
        <v>0</v>
      </c>
      <c r="I2443" s="8">
        <f t="shared" si="124"/>
        <v>11596.95</v>
      </c>
      <c r="J2443" s="12"/>
    </row>
    <row r="2444" spans="1:10" x14ac:dyDescent="0.25">
      <c r="C2444" s="9"/>
      <c r="D2444" s="10">
        <v>45702</v>
      </c>
      <c r="E2444" t="s">
        <v>3813</v>
      </c>
      <c r="F2444" s="11" t="s">
        <v>3814</v>
      </c>
      <c r="G2444" s="8">
        <v>2236.37</v>
      </c>
      <c r="H2444" s="8">
        <v>0</v>
      </c>
      <c r="I2444" s="8">
        <f t="shared" si="124"/>
        <v>13833.32</v>
      </c>
      <c r="J2444" s="12"/>
    </row>
    <row r="2445" spans="1:10" x14ac:dyDescent="0.25">
      <c r="C2445" s="9"/>
      <c r="D2445" s="10">
        <v>45715</v>
      </c>
      <c r="E2445" t="s">
        <v>1524</v>
      </c>
      <c r="F2445" s="11" t="s">
        <v>3815</v>
      </c>
      <c r="G2445" s="8">
        <v>0</v>
      </c>
      <c r="H2445" s="8">
        <v>813.1</v>
      </c>
      <c r="I2445" s="8">
        <f t="shared" si="124"/>
        <v>13020.22</v>
      </c>
      <c r="J2445" s="12"/>
    </row>
    <row r="2446" spans="1:10" x14ac:dyDescent="0.25">
      <c r="C2446" s="9"/>
      <c r="D2446" s="10">
        <v>45715</v>
      </c>
      <c r="E2446" t="s">
        <v>1524</v>
      </c>
      <c r="F2446" s="11" t="s">
        <v>3816</v>
      </c>
      <c r="G2446" s="8">
        <v>0</v>
      </c>
      <c r="H2446" s="8">
        <v>4255</v>
      </c>
      <c r="I2446" s="8">
        <f t="shared" si="124"/>
        <v>8765.2199999999993</v>
      </c>
      <c r="J2446" s="12"/>
    </row>
    <row r="2447" spans="1:10" x14ac:dyDescent="0.25">
      <c r="C2447" s="9"/>
      <c r="D2447" s="10">
        <v>45716</v>
      </c>
      <c r="E2447" t="s">
        <v>3817</v>
      </c>
      <c r="F2447" s="11" t="s">
        <v>3818</v>
      </c>
      <c r="G2447" s="8">
        <v>2718.1</v>
      </c>
      <c r="H2447" s="8">
        <v>0</v>
      </c>
      <c r="I2447" s="8">
        <f t="shared" si="124"/>
        <v>11483.32</v>
      </c>
      <c r="J2447" s="12"/>
    </row>
    <row r="2448" spans="1:10" x14ac:dyDescent="0.25">
      <c r="C2448" s="9"/>
      <c r="D2448" s="10">
        <v>45730</v>
      </c>
      <c r="E2448" t="s">
        <v>3819</v>
      </c>
      <c r="F2448" s="11" t="s">
        <v>3820</v>
      </c>
      <c r="G2448" s="8">
        <v>1421.53</v>
      </c>
      <c r="H2448" s="8">
        <v>0</v>
      </c>
      <c r="I2448" s="8">
        <f t="shared" si="124"/>
        <v>12904.85</v>
      </c>
      <c r="J2448" s="12"/>
    </row>
    <row r="2449" spans="1:10" x14ac:dyDescent="0.25">
      <c r="C2449" s="9"/>
      <c r="D2449" s="10">
        <v>45746</v>
      </c>
      <c r="E2449" t="s">
        <v>1524</v>
      </c>
      <c r="F2449" s="11" t="s">
        <v>3812</v>
      </c>
      <c r="G2449" s="8">
        <v>0</v>
      </c>
      <c r="H2449" s="8">
        <v>4564.83</v>
      </c>
      <c r="I2449" s="8">
        <f t="shared" si="124"/>
        <v>8340.02</v>
      </c>
      <c r="J2449" s="12"/>
    </row>
    <row r="2450" spans="1:10" x14ac:dyDescent="0.25">
      <c r="C2450" s="9"/>
      <c r="D2450" s="10">
        <v>45746</v>
      </c>
      <c r="E2450" t="s">
        <v>1524</v>
      </c>
      <c r="F2450" s="11" t="s">
        <v>3808</v>
      </c>
      <c r="G2450" s="8">
        <v>0</v>
      </c>
      <c r="H2450" s="8">
        <v>1964.02</v>
      </c>
      <c r="I2450" s="8">
        <f t="shared" si="124"/>
        <v>6376</v>
      </c>
      <c r="J2450" s="12"/>
    </row>
    <row r="2451" spans="1:10" x14ac:dyDescent="0.25">
      <c r="C2451" s="9"/>
      <c r="D2451" s="10">
        <v>45747</v>
      </c>
      <c r="E2451" t="s">
        <v>3821</v>
      </c>
      <c r="F2451" s="11" t="s">
        <v>3822</v>
      </c>
      <c r="G2451" s="8">
        <v>3545.41</v>
      </c>
      <c r="H2451" s="8">
        <v>0</v>
      </c>
      <c r="I2451" s="8">
        <f t="shared" si="124"/>
        <v>9921.41</v>
      </c>
      <c r="J2451" s="12"/>
    </row>
    <row r="2452" spans="1:10" x14ac:dyDescent="0.25">
      <c r="E2452" s="4" t="s">
        <v>20</v>
      </c>
      <c r="G2452" s="8">
        <f>SUM(G2439:G2451)</f>
        <v>28602.749999999996</v>
      </c>
      <c r="H2452" s="8">
        <f>SUM(H2439:H2451)</f>
        <v>18681.34</v>
      </c>
      <c r="I2452" s="8">
        <f>G2452-H2452</f>
        <v>9921.4099999999962</v>
      </c>
    </row>
    <row r="2454" spans="1:10" x14ac:dyDescent="0.25">
      <c r="A2454" s="5">
        <v>4305020</v>
      </c>
      <c r="B2454" s="6" t="s">
        <v>830</v>
      </c>
      <c r="C2454" s="7"/>
      <c r="D2454" s="7"/>
      <c r="E2454" s="7"/>
      <c r="F2454" s="7"/>
      <c r="G2454" s="7"/>
      <c r="H2454" s="7"/>
      <c r="I2454" s="7"/>
      <c r="J2454" s="7"/>
    </row>
    <row r="2455" spans="1:10" x14ac:dyDescent="0.25">
      <c r="C2455" s="9"/>
      <c r="D2455" s="10">
        <v>45762</v>
      </c>
      <c r="E2455" t="s">
        <v>3823</v>
      </c>
      <c r="F2455" s="11" t="s">
        <v>42</v>
      </c>
      <c r="G2455" s="8">
        <v>0</v>
      </c>
      <c r="H2455" s="8">
        <v>328.21</v>
      </c>
      <c r="I2455" s="8">
        <f>G2455-H2455</f>
        <v>-328.21</v>
      </c>
      <c r="J2455" s="12"/>
    </row>
    <row r="2456" spans="1:10" x14ac:dyDescent="0.25">
      <c r="E2456" s="4" t="s">
        <v>20</v>
      </c>
      <c r="G2456" s="8">
        <f>G2455</f>
        <v>0</v>
      </c>
      <c r="H2456" s="8">
        <f>H2455</f>
        <v>328.21</v>
      </c>
      <c r="I2456" s="8">
        <f>G2456-H2456</f>
        <v>-328.21</v>
      </c>
    </row>
    <row r="2458" spans="1:10" x14ac:dyDescent="0.25">
      <c r="A2458" s="5">
        <v>4305040</v>
      </c>
      <c r="B2458" s="6" t="s">
        <v>3824</v>
      </c>
      <c r="C2458" s="7"/>
      <c r="D2458" s="7"/>
      <c r="E2458" s="7"/>
      <c r="F2458" s="7"/>
      <c r="G2458" s="7"/>
      <c r="H2458" s="7"/>
      <c r="I2458" s="7"/>
      <c r="J2458" s="7"/>
    </row>
    <row r="2459" spans="1:10" x14ac:dyDescent="0.25">
      <c r="E2459" s="4" t="s">
        <v>10</v>
      </c>
      <c r="G2459" s="8">
        <v>4468.79</v>
      </c>
      <c r="H2459" s="8">
        <v>0</v>
      </c>
      <c r="I2459" s="8">
        <f>G2459-H2459</f>
        <v>4468.79</v>
      </c>
    </row>
    <row r="2460" spans="1:10" x14ac:dyDescent="0.25">
      <c r="C2460" s="9"/>
      <c r="D2460" s="10">
        <v>45688</v>
      </c>
      <c r="E2460" t="s">
        <v>3825</v>
      </c>
      <c r="F2460" s="11" t="s">
        <v>3826</v>
      </c>
      <c r="G2460" s="8">
        <v>115.1</v>
      </c>
      <c r="H2460" s="8">
        <v>0</v>
      </c>
      <c r="I2460" s="8">
        <f>G2460-H2460+I2459</f>
        <v>4583.8900000000003</v>
      </c>
      <c r="J2460" s="12"/>
    </row>
    <row r="2461" spans="1:10" x14ac:dyDescent="0.25">
      <c r="C2461" s="9"/>
      <c r="D2461" s="10">
        <v>45702</v>
      </c>
      <c r="E2461" t="s">
        <v>3827</v>
      </c>
      <c r="F2461" s="11" t="s">
        <v>3828</v>
      </c>
      <c r="G2461" s="8">
        <v>131.77000000000001</v>
      </c>
      <c r="H2461" s="8">
        <v>0</v>
      </c>
      <c r="I2461" s="8">
        <f>G2461-H2461+I2460</f>
        <v>4715.6600000000008</v>
      </c>
      <c r="J2461" s="12"/>
    </row>
    <row r="2462" spans="1:10" x14ac:dyDescent="0.25">
      <c r="C2462" s="9"/>
      <c r="D2462" s="10">
        <v>45714</v>
      </c>
      <c r="E2462" t="s">
        <v>1524</v>
      </c>
      <c r="F2462" s="11" t="s">
        <v>3829</v>
      </c>
      <c r="G2462" s="8">
        <v>0</v>
      </c>
      <c r="H2462" s="8">
        <v>215.82</v>
      </c>
      <c r="I2462" s="8">
        <f>G2462-H2462+I2461</f>
        <v>4499.8400000000011</v>
      </c>
      <c r="J2462" s="12"/>
    </row>
    <row r="2463" spans="1:10" x14ac:dyDescent="0.25">
      <c r="C2463" s="9"/>
      <c r="D2463" s="10">
        <v>45714</v>
      </c>
      <c r="E2463" t="s">
        <v>1524</v>
      </c>
      <c r="F2463" s="11" t="s">
        <v>3830</v>
      </c>
      <c r="G2463" s="8">
        <v>0</v>
      </c>
      <c r="H2463" s="8">
        <v>42.23</v>
      </c>
      <c r="I2463" s="8">
        <f>G2463-H2463+I2462</f>
        <v>4457.6100000000015</v>
      </c>
      <c r="J2463" s="12"/>
    </row>
    <row r="2464" spans="1:10" x14ac:dyDescent="0.25">
      <c r="C2464" s="9"/>
      <c r="D2464" s="10">
        <v>45742</v>
      </c>
      <c r="E2464" t="s">
        <v>1524</v>
      </c>
      <c r="F2464" s="11" t="s">
        <v>3831</v>
      </c>
      <c r="G2464" s="8">
        <v>0</v>
      </c>
      <c r="H2464" s="8">
        <v>4210.74</v>
      </c>
      <c r="I2464" s="8">
        <f>G2464-H2464+I2463</f>
        <v>246.87000000000171</v>
      </c>
      <c r="J2464" s="12"/>
    </row>
    <row r="2465" spans="1:10" x14ac:dyDescent="0.25">
      <c r="E2465" s="4" t="s">
        <v>20</v>
      </c>
      <c r="G2465" s="8">
        <f>SUM(G2459:G2464)</f>
        <v>4715.6600000000008</v>
      </c>
      <c r="H2465" s="8">
        <f>SUM(H2459:H2464)</f>
        <v>4468.79</v>
      </c>
      <c r="I2465" s="8">
        <f>G2465-H2465</f>
        <v>246.8700000000008</v>
      </c>
    </row>
    <row r="2467" spans="1:10" x14ac:dyDescent="0.25">
      <c r="A2467" s="5">
        <v>4305045</v>
      </c>
      <c r="B2467" s="6" t="s">
        <v>3832</v>
      </c>
      <c r="C2467" s="7"/>
      <c r="D2467" s="7"/>
      <c r="E2467" s="7"/>
      <c r="F2467" s="7"/>
      <c r="G2467" s="7"/>
      <c r="H2467" s="7"/>
      <c r="I2467" s="7"/>
      <c r="J2467" s="7"/>
    </row>
    <row r="2468" spans="1:10" x14ac:dyDescent="0.25">
      <c r="E2468" s="4" t="s">
        <v>10</v>
      </c>
      <c r="G2468" s="8">
        <v>521.09</v>
      </c>
      <c r="H2468" s="8">
        <v>0</v>
      </c>
      <c r="I2468" s="8">
        <f>G2468-H2468</f>
        <v>521.09</v>
      </c>
    </row>
    <row r="2469" spans="1:10" x14ac:dyDescent="0.25">
      <c r="C2469" s="9"/>
      <c r="D2469" s="10">
        <v>45671</v>
      </c>
      <c r="E2469" t="s">
        <v>3833</v>
      </c>
      <c r="F2469" s="11" t="s">
        <v>3834</v>
      </c>
      <c r="G2469" s="8">
        <v>644.98</v>
      </c>
      <c r="H2469" s="8">
        <v>0</v>
      </c>
      <c r="I2469" s="8">
        <f t="shared" ref="I2469:I2479" si="125">G2469-H2469+I2468</f>
        <v>1166.0700000000002</v>
      </c>
      <c r="J2469" s="12"/>
    </row>
    <row r="2470" spans="1:10" x14ac:dyDescent="0.25">
      <c r="C2470" s="9"/>
      <c r="D2470" s="10">
        <v>45673</v>
      </c>
      <c r="E2470" t="s">
        <v>3835</v>
      </c>
      <c r="F2470" s="11" t="s">
        <v>3836</v>
      </c>
      <c r="G2470" s="8">
        <v>0</v>
      </c>
      <c r="H2470" s="8">
        <v>294.20999999999998</v>
      </c>
      <c r="I2470" s="8">
        <f t="shared" si="125"/>
        <v>871.86000000000013</v>
      </c>
      <c r="J2470" s="12"/>
    </row>
    <row r="2471" spans="1:10" x14ac:dyDescent="0.25">
      <c r="C2471" s="9"/>
      <c r="D2471" s="10">
        <v>45673</v>
      </c>
      <c r="E2471" t="s">
        <v>3835</v>
      </c>
      <c r="F2471" s="11" t="s">
        <v>3837</v>
      </c>
      <c r="G2471" s="8">
        <v>0</v>
      </c>
      <c r="H2471" s="8">
        <v>226.88</v>
      </c>
      <c r="I2471" s="8">
        <f t="shared" si="125"/>
        <v>644.98000000000013</v>
      </c>
      <c r="J2471" s="12"/>
    </row>
    <row r="2472" spans="1:10" x14ac:dyDescent="0.25">
      <c r="C2472" s="9"/>
      <c r="D2472" s="10">
        <v>45688</v>
      </c>
      <c r="E2472" t="s">
        <v>3838</v>
      </c>
      <c r="F2472" s="11" t="s">
        <v>3839</v>
      </c>
      <c r="G2472" s="8">
        <v>473.84</v>
      </c>
      <c r="H2472" s="8">
        <v>0</v>
      </c>
      <c r="I2472" s="8">
        <f t="shared" si="125"/>
        <v>1118.8200000000002</v>
      </c>
      <c r="J2472" s="12"/>
    </row>
    <row r="2473" spans="1:10" x14ac:dyDescent="0.25">
      <c r="C2473" s="9"/>
      <c r="D2473" s="10">
        <v>45702</v>
      </c>
      <c r="E2473" t="s">
        <v>3840</v>
      </c>
      <c r="F2473" s="11" t="s">
        <v>3841</v>
      </c>
      <c r="G2473" s="8">
        <v>570.05999999999995</v>
      </c>
      <c r="H2473" s="8">
        <v>0</v>
      </c>
      <c r="I2473" s="8">
        <f t="shared" si="125"/>
        <v>1688.88</v>
      </c>
      <c r="J2473" s="12"/>
    </row>
    <row r="2474" spans="1:10" x14ac:dyDescent="0.25">
      <c r="C2474" s="9"/>
      <c r="D2474" s="10">
        <v>45706</v>
      </c>
      <c r="E2474" t="s">
        <v>1524</v>
      </c>
      <c r="F2474" s="11" t="s">
        <v>3834</v>
      </c>
      <c r="G2474" s="8">
        <v>0</v>
      </c>
      <c r="H2474" s="8">
        <v>644.98</v>
      </c>
      <c r="I2474" s="8">
        <f t="shared" si="125"/>
        <v>1043.9000000000001</v>
      </c>
      <c r="J2474" s="12"/>
    </row>
    <row r="2475" spans="1:10" x14ac:dyDescent="0.25">
      <c r="C2475" s="9"/>
      <c r="D2475" s="10">
        <v>45716</v>
      </c>
      <c r="E2475" t="s">
        <v>3842</v>
      </c>
      <c r="F2475" s="11" t="s">
        <v>3843</v>
      </c>
      <c r="G2475" s="8">
        <v>817.65</v>
      </c>
      <c r="H2475" s="8">
        <v>0</v>
      </c>
      <c r="I2475" s="8">
        <f t="shared" si="125"/>
        <v>1861.5500000000002</v>
      </c>
      <c r="J2475" s="12"/>
    </row>
    <row r="2476" spans="1:10" x14ac:dyDescent="0.25">
      <c r="C2476" s="9"/>
      <c r="D2476" s="10">
        <v>45730</v>
      </c>
      <c r="E2476" t="s">
        <v>3844</v>
      </c>
      <c r="F2476" s="11" t="s">
        <v>3845</v>
      </c>
      <c r="G2476" s="8">
        <v>118.23</v>
      </c>
      <c r="H2476" s="8">
        <v>0</v>
      </c>
      <c r="I2476" s="8">
        <f t="shared" si="125"/>
        <v>1979.7800000000002</v>
      </c>
      <c r="J2476" s="12"/>
    </row>
    <row r="2477" spans="1:10" x14ac:dyDescent="0.25">
      <c r="C2477" s="9"/>
      <c r="D2477" s="10">
        <v>45734</v>
      </c>
      <c r="E2477" t="s">
        <v>1524</v>
      </c>
      <c r="F2477" s="11" t="s">
        <v>3839</v>
      </c>
      <c r="G2477" s="8">
        <v>0</v>
      </c>
      <c r="H2477" s="8">
        <v>473.84</v>
      </c>
      <c r="I2477" s="8">
        <f t="shared" si="125"/>
        <v>1505.9400000000003</v>
      </c>
      <c r="J2477" s="12"/>
    </row>
    <row r="2478" spans="1:10" x14ac:dyDescent="0.25">
      <c r="C2478" s="9"/>
      <c r="D2478" s="10">
        <v>45734</v>
      </c>
      <c r="E2478" t="s">
        <v>1524</v>
      </c>
      <c r="F2478" s="11" t="s">
        <v>3841</v>
      </c>
      <c r="G2478" s="8">
        <v>0</v>
      </c>
      <c r="H2478" s="8">
        <v>570.05999999999995</v>
      </c>
      <c r="I2478" s="8">
        <f t="shared" si="125"/>
        <v>935.88000000000034</v>
      </c>
      <c r="J2478" s="12"/>
    </row>
    <row r="2479" spans="1:10" x14ac:dyDescent="0.25">
      <c r="C2479" s="9"/>
      <c r="D2479" s="10">
        <v>45747</v>
      </c>
      <c r="E2479" t="s">
        <v>3846</v>
      </c>
      <c r="F2479" s="11" t="s">
        <v>3847</v>
      </c>
      <c r="G2479" s="8">
        <v>862.62</v>
      </c>
      <c r="H2479" s="8">
        <v>0</v>
      </c>
      <c r="I2479" s="8">
        <f t="shared" si="125"/>
        <v>1798.5000000000005</v>
      </c>
      <c r="J2479" s="12"/>
    </row>
    <row r="2480" spans="1:10" x14ac:dyDescent="0.25">
      <c r="E2480" s="4" t="s">
        <v>20</v>
      </c>
      <c r="G2480" s="8">
        <f>SUM(G2468:G2479)</f>
        <v>4008.4700000000003</v>
      </c>
      <c r="H2480" s="8">
        <f>SUM(H2468:H2479)</f>
        <v>2209.9699999999998</v>
      </c>
      <c r="I2480" s="8">
        <f>G2480-H2480</f>
        <v>1798.5000000000005</v>
      </c>
    </row>
    <row r="2482" spans="1:10" x14ac:dyDescent="0.25">
      <c r="A2482" s="5">
        <v>4305070</v>
      </c>
      <c r="B2482" s="6" t="s">
        <v>3848</v>
      </c>
      <c r="C2482" s="7"/>
      <c r="D2482" s="7"/>
      <c r="E2482" s="7"/>
      <c r="F2482" s="7"/>
      <c r="G2482" s="7"/>
      <c r="H2482" s="7"/>
      <c r="I2482" s="7"/>
      <c r="J2482" s="7"/>
    </row>
    <row r="2483" spans="1:10" x14ac:dyDescent="0.25">
      <c r="E2483" s="4" t="s">
        <v>10</v>
      </c>
      <c r="G2483" s="8">
        <v>175.32</v>
      </c>
      <c r="H2483" s="8">
        <v>0</v>
      </c>
      <c r="I2483" s="8">
        <f>G2483-H2483</f>
        <v>175.32</v>
      </c>
    </row>
    <row r="2484" spans="1:10" x14ac:dyDescent="0.25">
      <c r="C2484" s="9"/>
      <c r="D2484" s="10">
        <v>45659</v>
      </c>
      <c r="E2484" t="s">
        <v>1524</v>
      </c>
      <c r="F2484" s="11" t="s">
        <v>3849</v>
      </c>
      <c r="G2484" s="8">
        <v>0</v>
      </c>
      <c r="H2484" s="8">
        <v>175.32</v>
      </c>
      <c r="I2484" s="8">
        <f t="shared" ref="I2484:I2495" si="126">G2484-H2484+I2483</f>
        <v>0</v>
      </c>
      <c r="J2484" s="12"/>
    </row>
    <row r="2485" spans="1:10" x14ac:dyDescent="0.25">
      <c r="C2485" s="9"/>
      <c r="D2485" s="10">
        <v>45688</v>
      </c>
      <c r="E2485" t="s">
        <v>3850</v>
      </c>
      <c r="F2485" s="11" t="s">
        <v>3851</v>
      </c>
      <c r="G2485" s="8">
        <v>556.96</v>
      </c>
      <c r="H2485" s="8">
        <v>0</v>
      </c>
      <c r="I2485" s="8">
        <f t="shared" si="126"/>
        <v>556.96</v>
      </c>
      <c r="J2485" s="12"/>
    </row>
    <row r="2486" spans="1:10" x14ac:dyDescent="0.25">
      <c r="C2486" s="9"/>
      <c r="D2486" s="10">
        <v>45691</v>
      </c>
      <c r="E2486" t="s">
        <v>1524</v>
      </c>
      <c r="F2486" s="11" t="s">
        <v>3851</v>
      </c>
      <c r="G2486" s="8">
        <v>0</v>
      </c>
      <c r="H2486" s="8">
        <v>556.96</v>
      </c>
      <c r="I2486" s="8">
        <f t="shared" si="126"/>
        <v>0</v>
      </c>
      <c r="J2486" s="12"/>
    </row>
    <row r="2487" spans="1:10" x14ac:dyDescent="0.25">
      <c r="C2487" s="9"/>
      <c r="D2487" s="10">
        <v>45702</v>
      </c>
      <c r="E2487" t="s">
        <v>3852</v>
      </c>
      <c r="F2487" s="11" t="s">
        <v>3853</v>
      </c>
      <c r="G2487" s="8">
        <v>799.76</v>
      </c>
      <c r="H2487" s="8">
        <v>0</v>
      </c>
      <c r="I2487" s="8">
        <f t="shared" si="126"/>
        <v>799.76</v>
      </c>
      <c r="J2487" s="12"/>
    </row>
    <row r="2488" spans="1:10" x14ac:dyDescent="0.25">
      <c r="C2488" s="9"/>
      <c r="D2488" s="10">
        <v>45705</v>
      </c>
      <c r="E2488" t="s">
        <v>1524</v>
      </c>
      <c r="F2488" s="11" t="s">
        <v>3853</v>
      </c>
      <c r="G2488" s="8">
        <v>0</v>
      </c>
      <c r="H2488" s="8">
        <v>799.76</v>
      </c>
      <c r="I2488" s="8">
        <f t="shared" si="126"/>
        <v>0</v>
      </c>
      <c r="J2488" s="12"/>
    </row>
    <row r="2489" spans="1:10" x14ac:dyDescent="0.25">
      <c r="C2489" s="9"/>
      <c r="D2489" s="10">
        <v>45716</v>
      </c>
      <c r="E2489" t="s">
        <v>3854</v>
      </c>
      <c r="F2489" s="11" t="s">
        <v>3855</v>
      </c>
      <c r="G2489" s="8">
        <v>238.43</v>
      </c>
      <c r="H2489" s="8">
        <v>0</v>
      </c>
      <c r="I2489" s="8">
        <f t="shared" si="126"/>
        <v>238.43</v>
      </c>
      <c r="J2489" s="12"/>
    </row>
    <row r="2490" spans="1:10" x14ac:dyDescent="0.25">
      <c r="C2490" s="9" t="s">
        <v>124</v>
      </c>
      <c r="D2490" s="10">
        <v>45719</v>
      </c>
      <c r="E2490" t="s">
        <v>3856</v>
      </c>
      <c r="F2490" s="11" t="s">
        <v>3855</v>
      </c>
      <c r="G2490" s="8">
        <v>0</v>
      </c>
      <c r="H2490" s="8">
        <v>238.43</v>
      </c>
      <c r="I2490" s="8">
        <f t="shared" si="126"/>
        <v>0</v>
      </c>
      <c r="J2490" s="12"/>
    </row>
    <row r="2491" spans="1:10" x14ac:dyDescent="0.25">
      <c r="C2491" s="9"/>
      <c r="D2491" s="10">
        <v>45730</v>
      </c>
      <c r="E2491" t="s">
        <v>3857</v>
      </c>
      <c r="F2491" s="11" t="s">
        <v>3858</v>
      </c>
      <c r="G2491" s="8">
        <v>396.46</v>
      </c>
      <c r="H2491" s="8">
        <v>0</v>
      </c>
      <c r="I2491" s="8">
        <f t="shared" si="126"/>
        <v>396.46</v>
      </c>
      <c r="J2491" s="12"/>
    </row>
    <row r="2492" spans="1:10" x14ac:dyDescent="0.25">
      <c r="C2492" s="9"/>
      <c r="D2492" s="10">
        <v>45733</v>
      </c>
      <c r="E2492" t="s">
        <v>1524</v>
      </c>
      <c r="F2492" s="11" t="s">
        <v>3858</v>
      </c>
      <c r="G2492" s="8">
        <v>0</v>
      </c>
      <c r="H2492" s="8">
        <v>396.46</v>
      </c>
      <c r="I2492" s="8">
        <f t="shared" si="126"/>
        <v>0</v>
      </c>
      <c r="J2492" s="12"/>
    </row>
    <row r="2493" spans="1:10" x14ac:dyDescent="0.25">
      <c r="C2493" s="9"/>
      <c r="D2493" s="10">
        <v>45747</v>
      </c>
      <c r="E2493" t="s">
        <v>3859</v>
      </c>
      <c r="F2493" s="11" t="s">
        <v>3860</v>
      </c>
      <c r="G2493" s="8">
        <v>43.22</v>
      </c>
      <c r="H2493" s="8">
        <v>0</v>
      </c>
      <c r="I2493" s="8">
        <f t="shared" si="126"/>
        <v>43.22</v>
      </c>
      <c r="J2493" s="12"/>
    </row>
    <row r="2494" spans="1:10" x14ac:dyDescent="0.25">
      <c r="C2494" s="9" t="s">
        <v>124</v>
      </c>
      <c r="D2494" s="10">
        <v>45748</v>
      </c>
      <c r="E2494" t="s">
        <v>3861</v>
      </c>
      <c r="F2494" s="11" t="s">
        <v>3860</v>
      </c>
      <c r="G2494" s="8">
        <v>0</v>
      </c>
      <c r="H2494" s="8">
        <v>43.22</v>
      </c>
      <c r="I2494" s="8">
        <f t="shared" si="126"/>
        <v>0</v>
      </c>
      <c r="J2494" s="12"/>
    </row>
    <row r="2495" spans="1:10" x14ac:dyDescent="0.25">
      <c r="C2495" s="9"/>
      <c r="D2495" s="10">
        <v>45762</v>
      </c>
      <c r="E2495" t="s">
        <v>3862</v>
      </c>
      <c r="F2495" s="11" t="s">
        <v>42</v>
      </c>
      <c r="G2495" s="8">
        <v>0</v>
      </c>
      <c r="H2495" s="8">
        <v>98.36</v>
      </c>
      <c r="I2495" s="8">
        <f t="shared" si="126"/>
        <v>-98.36</v>
      </c>
      <c r="J2495" s="12"/>
    </row>
    <row r="2496" spans="1:10" x14ac:dyDescent="0.25">
      <c r="E2496" s="4" t="s">
        <v>20</v>
      </c>
      <c r="G2496" s="8">
        <f>SUM(G2483:G2495)</f>
        <v>2210.1499999999996</v>
      </c>
      <c r="H2496" s="8">
        <f>SUM(H2483:H2495)</f>
        <v>2308.5099999999998</v>
      </c>
      <c r="I2496" s="8">
        <f>G2496-H2496</f>
        <v>-98.360000000000127</v>
      </c>
    </row>
    <row r="2498" spans="1:10" x14ac:dyDescent="0.25">
      <c r="A2498" s="5">
        <v>4305075</v>
      </c>
      <c r="B2498" s="6" t="s">
        <v>3863</v>
      </c>
      <c r="C2498" s="7"/>
      <c r="D2498" s="7"/>
      <c r="E2498" s="7"/>
      <c r="F2498" s="7"/>
      <c r="G2498" s="7"/>
      <c r="H2498" s="7"/>
      <c r="I2498" s="7"/>
      <c r="J2498" s="7"/>
    </row>
    <row r="2499" spans="1:10" x14ac:dyDescent="0.25">
      <c r="E2499" s="4" t="s">
        <v>10</v>
      </c>
      <c r="G2499" s="8">
        <v>468.83</v>
      </c>
      <c r="H2499" s="8">
        <v>0</v>
      </c>
      <c r="I2499" s="8">
        <f>G2499-H2499</f>
        <v>468.83</v>
      </c>
    </row>
    <row r="2500" spans="1:10" x14ac:dyDescent="0.25">
      <c r="C2500" s="9"/>
      <c r="D2500" s="10">
        <v>45659</v>
      </c>
      <c r="E2500" t="s">
        <v>3864</v>
      </c>
      <c r="F2500" s="11" t="s">
        <v>42</v>
      </c>
      <c r="G2500" s="8">
        <v>0</v>
      </c>
      <c r="H2500" s="8">
        <v>95.29</v>
      </c>
      <c r="I2500" s="8">
        <f t="shared" ref="I2500:I2510" si="127">G2500-H2500+I2499</f>
        <v>373.53999999999996</v>
      </c>
      <c r="J2500" s="12"/>
    </row>
    <row r="2501" spans="1:10" x14ac:dyDescent="0.25">
      <c r="C2501" s="9"/>
      <c r="D2501" s="10">
        <v>45671</v>
      </c>
      <c r="E2501" t="s">
        <v>3865</v>
      </c>
      <c r="F2501" s="11" t="s">
        <v>3866</v>
      </c>
      <c r="G2501" s="8">
        <v>191.87</v>
      </c>
      <c r="H2501" s="8">
        <v>0</v>
      </c>
      <c r="I2501" s="8">
        <f t="shared" si="127"/>
        <v>565.41</v>
      </c>
      <c r="J2501" s="12"/>
    </row>
    <row r="2502" spans="1:10" x14ac:dyDescent="0.25">
      <c r="C2502" s="9"/>
      <c r="D2502" s="10">
        <v>45672</v>
      </c>
      <c r="E2502" t="s">
        <v>1524</v>
      </c>
      <c r="F2502" s="11" t="s">
        <v>3866</v>
      </c>
      <c r="G2502" s="8">
        <v>0</v>
      </c>
      <c r="H2502" s="8">
        <v>191.87</v>
      </c>
      <c r="I2502" s="8">
        <f t="shared" si="127"/>
        <v>373.53999999999996</v>
      </c>
      <c r="J2502" s="12"/>
    </row>
    <row r="2503" spans="1:10" x14ac:dyDescent="0.25">
      <c r="C2503" s="9"/>
      <c r="D2503" s="10">
        <v>45688</v>
      </c>
      <c r="E2503" t="s">
        <v>3867</v>
      </c>
      <c r="F2503" s="11" t="s">
        <v>3868</v>
      </c>
      <c r="G2503" s="8">
        <v>68.84</v>
      </c>
      <c r="H2503" s="8">
        <v>0</v>
      </c>
      <c r="I2503" s="8">
        <f t="shared" si="127"/>
        <v>442.38</v>
      </c>
      <c r="J2503" s="12"/>
    </row>
    <row r="2504" spans="1:10" x14ac:dyDescent="0.25">
      <c r="C2504" s="9"/>
      <c r="D2504" s="10">
        <v>45691</v>
      </c>
      <c r="E2504" t="s">
        <v>1524</v>
      </c>
      <c r="F2504" s="11" t="s">
        <v>3868</v>
      </c>
      <c r="G2504" s="8">
        <v>0</v>
      </c>
      <c r="H2504" s="8">
        <v>68.84</v>
      </c>
      <c r="I2504" s="8">
        <f t="shared" si="127"/>
        <v>373.53999999999996</v>
      </c>
      <c r="J2504" s="12"/>
    </row>
    <row r="2505" spans="1:10" x14ac:dyDescent="0.25">
      <c r="C2505" s="9"/>
      <c r="D2505" s="10">
        <v>45702</v>
      </c>
      <c r="E2505" t="s">
        <v>3869</v>
      </c>
      <c r="F2505" s="11" t="s">
        <v>3870</v>
      </c>
      <c r="G2505" s="8">
        <v>163.19999999999999</v>
      </c>
      <c r="H2505" s="8">
        <v>0</v>
      </c>
      <c r="I2505" s="8">
        <f t="shared" si="127"/>
        <v>536.74</v>
      </c>
      <c r="J2505" s="12"/>
    </row>
    <row r="2506" spans="1:10" x14ac:dyDescent="0.25">
      <c r="C2506" s="9"/>
      <c r="D2506" s="10">
        <v>45705</v>
      </c>
      <c r="E2506" t="s">
        <v>1524</v>
      </c>
      <c r="F2506" s="11" t="s">
        <v>3870</v>
      </c>
      <c r="G2506" s="8">
        <v>0</v>
      </c>
      <c r="H2506" s="8">
        <v>163.19999999999999</v>
      </c>
      <c r="I2506" s="8">
        <f t="shared" si="127"/>
        <v>373.54</v>
      </c>
      <c r="J2506" s="12"/>
    </row>
    <row r="2507" spans="1:10" x14ac:dyDescent="0.25">
      <c r="C2507" s="9"/>
      <c r="D2507" s="10">
        <v>45716</v>
      </c>
      <c r="E2507" t="s">
        <v>3871</v>
      </c>
      <c r="F2507" s="11" t="s">
        <v>3872</v>
      </c>
      <c r="G2507" s="8">
        <v>851.42</v>
      </c>
      <c r="H2507" s="8">
        <v>0</v>
      </c>
      <c r="I2507" s="8">
        <f t="shared" si="127"/>
        <v>1224.96</v>
      </c>
      <c r="J2507" s="12"/>
    </row>
    <row r="2508" spans="1:10" x14ac:dyDescent="0.25">
      <c r="C2508" s="9" t="s">
        <v>124</v>
      </c>
      <c r="D2508" s="10">
        <v>45719</v>
      </c>
      <c r="E2508" t="s">
        <v>3873</v>
      </c>
      <c r="F2508" s="11" t="s">
        <v>3872</v>
      </c>
      <c r="G2508" s="8">
        <v>0</v>
      </c>
      <c r="H2508" s="8">
        <v>851.42</v>
      </c>
      <c r="I2508" s="8">
        <f t="shared" si="127"/>
        <v>373.54000000000008</v>
      </c>
      <c r="J2508" s="12"/>
    </row>
    <row r="2509" spans="1:10" x14ac:dyDescent="0.25">
      <c r="C2509" s="9"/>
      <c r="D2509" s="10">
        <v>45747</v>
      </c>
      <c r="E2509" t="s">
        <v>3874</v>
      </c>
      <c r="F2509" s="11" t="s">
        <v>3875</v>
      </c>
      <c r="G2509" s="8">
        <v>119.15</v>
      </c>
      <c r="H2509" s="8">
        <v>0</v>
      </c>
      <c r="I2509" s="8">
        <f t="shared" si="127"/>
        <v>492.69000000000005</v>
      </c>
      <c r="J2509" s="12"/>
    </row>
    <row r="2510" spans="1:10" x14ac:dyDescent="0.25">
      <c r="C2510" s="9"/>
      <c r="D2510" s="10">
        <v>45748</v>
      </c>
      <c r="E2510" t="s">
        <v>3876</v>
      </c>
      <c r="F2510" s="11" t="s">
        <v>42</v>
      </c>
      <c r="G2510" s="8">
        <v>0</v>
      </c>
      <c r="H2510" s="8">
        <v>119.15</v>
      </c>
      <c r="I2510" s="8">
        <f t="shared" si="127"/>
        <v>373.54000000000008</v>
      </c>
      <c r="J2510" s="12"/>
    </row>
    <row r="2511" spans="1:10" x14ac:dyDescent="0.25">
      <c r="E2511" s="4" t="s">
        <v>20</v>
      </c>
      <c r="G2511" s="8">
        <f>SUM(G2499:G2510)</f>
        <v>1863.31</v>
      </c>
      <c r="H2511" s="8">
        <f>SUM(H2499:H2510)</f>
        <v>1489.77</v>
      </c>
      <c r="I2511" s="8">
        <f>G2511-H2511</f>
        <v>373.53999999999996</v>
      </c>
    </row>
    <row r="2513" spans="1:10" x14ac:dyDescent="0.25">
      <c r="A2513" s="5">
        <v>4305095</v>
      </c>
      <c r="B2513" s="6" t="s">
        <v>3877</v>
      </c>
      <c r="C2513" s="7"/>
      <c r="D2513" s="7"/>
      <c r="E2513" s="7"/>
      <c r="F2513" s="7"/>
      <c r="G2513" s="7"/>
      <c r="H2513" s="7"/>
      <c r="I2513" s="7"/>
      <c r="J2513" s="7"/>
    </row>
    <row r="2514" spans="1:10" x14ac:dyDescent="0.25">
      <c r="C2514" s="9"/>
      <c r="D2514" s="10">
        <v>45702</v>
      </c>
      <c r="E2514" t="s">
        <v>3878</v>
      </c>
      <c r="F2514" s="11" t="s">
        <v>3879</v>
      </c>
      <c r="G2514" s="8">
        <v>330.68</v>
      </c>
      <c r="H2514" s="8">
        <v>0</v>
      </c>
      <c r="I2514" s="8">
        <f>G2514-H2514</f>
        <v>330.68</v>
      </c>
      <c r="J2514" s="12"/>
    </row>
    <row r="2515" spans="1:10" x14ac:dyDescent="0.25">
      <c r="C2515" s="9"/>
      <c r="D2515" s="10">
        <v>45705</v>
      </c>
      <c r="E2515" t="s">
        <v>1524</v>
      </c>
      <c r="F2515" s="11" t="s">
        <v>3879</v>
      </c>
      <c r="G2515" s="8">
        <v>0</v>
      </c>
      <c r="H2515" s="8">
        <v>330.68</v>
      </c>
      <c r="I2515" s="8">
        <f>G2515-H2515+I2514</f>
        <v>0</v>
      </c>
      <c r="J2515" s="12"/>
    </row>
    <row r="2516" spans="1:10" x14ac:dyDescent="0.25">
      <c r="C2516" s="9"/>
      <c r="D2516" s="10">
        <v>45730</v>
      </c>
      <c r="E2516" t="s">
        <v>3880</v>
      </c>
      <c r="F2516" s="11" t="s">
        <v>3881</v>
      </c>
      <c r="G2516" s="8">
        <v>101.87</v>
      </c>
      <c r="H2516" s="8">
        <v>0</v>
      </c>
      <c r="I2516" s="8">
        <f>G2516-H2516+I2515</f>
        <v>101.87</v>
      </c>
      <c r="J2516" s="12"/>
    </row>
    <row r="2517" spans="1:10" x14ac:dyDescent="0.25">
      <c r="C2517" s="9"/>
      <c r="D2517" s="10">
        <v>45733</v>
      </c>
      <c r="E2517" t="s">
        <v>3882</v>
      </c>
      <c r="F2517" s="11" t="s">
        <v>42</v>
      </c>
      <c r="G2517" s="8">
        <v>0</v>
      </c>
      <c r="H2517" s="8">
        <v>101.87</v>
      </c>
      <c r="I2517" s="8">
        <f>G2517-H2517+I2516</f>
        <v>0</v>
      </c>
      <c r="J2517" s="12"/>
    </row>
    <row r="2518" spans="1:10" x14ac:dyDescent="0.25">
      <c r="C2518" s="9"/>
      <c r="D2518" s="10">
        <v>45762</v>
      </c>
      <c r="E2518" t="s">
        <v>3883</v>
      </c>
      <c r="F2518" s="11" t="s">
        <v>42</v>
      </c>
      <c r="G2518" s="8">
        <v>0</v>
      </c>
      <c r="H2518" s="8">
        <v>114.33</v>
      </c>
      <c r="I2518" s="8">
        <f>G2518-H2518+I2517</f>
        <v>-114.33</v>
      </c>
      <c r="J2518" s="12"/>
    </row>
    <row r="2519" spans="1:10" x14ac:dyDescent="0.25">
      <c r="E2519" s="4" t="s">
        <v>20</v>
      </c>
      <c r="G2519" s="8">
        <f>SUM(G2514:G2518)</f>
        <v>432.55</v>
      </c>
      <c r="H2519" s="8">
        <f>SUM(H2514:H2518)</f>
        <v>546.88</v>
      </c>
      <c r="I2519" s="8">
        <f>G2519-H2519</f>
        <v>-114.32999999999998</v>
      </c>
    </row>
    <row r="2521" spans="1:10" x14ac:dyDescent="0.25">
      <c r="A2521" s="5">
        <v>4305100</v>
      </c>
      <c r="B2521" s="6" t="s">
        <v>3884</v>
      </c>
      <c r="C2521" s="7"/>
      <c r="D2521" s="7"/>
      <c r="E2521" s="7"/>
      <c r="F2521" s="7"/>
      <c r="G2521" s="7"/>
      <c r="H2521" s="7"/>
      <c r="I2521" s="7"/>
      <c r="J2521" s="7"/>
    </row>
    <row r="2522" spans="1:10" x14ac:dyDescent="0.25">
      <c r="E2522" s="4" t="s">
        <v>10</v>
      </c>
      <c r="G2522" s="8">
        <v>3.21</v>
      </c>
      <c r="H2522" s="8">
        <v>0</v>
      </c>
      <c r="I2522" s="8">
        <f>G2522-H2522</f>
        <v>3.21</v>
      </c>
    </row>
    <row r="2523" spans="1:10" x14ac:dyDescent="0.25">
      <c r="E2523" s="4" t="s">
        <v>20</v>
      </c>
      <c r="G2523" s="8">
        <f>G2522</f>
        <v>3.21</v>
      </c>
      <c r="H2523" s="8">
        <f>H2522</f>
        <v>0</v>
      </c>
      <c r="I2523" s="8">
        <f>G2523-H2523</f>
        <v>3.21</v>
      </c>
    </row>
    <row r="2525" spans="1:10" x14ac:dyDescent="0.25">
      <c r="A2525" s="5">
        <v>4305120</v>
      </c>
      <c r="B2525" s="6" t="s">
        <v>3885</v>
      </c>
      <c r="C2525" s="7"/>
      <c r="D2525" s="7"/>
      <c r="E2525" s="7"/>
      <c r="F2525" s="7"/>
      <c r="G2525" s="7"/>
      <c r="H2525" s="7"/>
      <c r="I2525" s="7"/>
      <c r="J2525" s="7"/>
    </row>
    <row r="2526" spans="1:10" x14ac:dyDescent="0.25">
      <c r="E2526" s="4" t="s">
        <v>10</v>
      </c>
      <c r="G2526" s="8">
        <v>24.84</v>
      </c>
      <c r="H2526" s="8">
        <v>0</v>
      </c>
      <c r="I2526" s="8">
        <f>G2526-H2526</f>
        <v>24.84</v>
      </c>
    </row>
    <row r="2527" spans="1:10" x14ac:dyDescent="0.25">
      <c r="C2527" s="9"/>
      <c r="D2527" s="10">
        <v>45688</v>
      </c>
      <c r="E2527" t="s">
        <v>3886</v>
      </c>
      <c r="F2527" s="11" t="s">
        <v>3887</v>
      </c>
      <c r="G2527" s="8">
        <v>1438.07</v>
      </c>
      <c r="H2527" s="8">
        <v>0</v>
      </c>
      <c r="I2527" s="8">
        <f t="shared" ref="I2527:I2535" si="128">G2527-H2527+I2526</f>
        <v>1462.9099999999999</v>
      </c>
      <c r="J2527" s="12"/>
    </row>
    <row r="2528" spans="1:10" x14ac:dyDescent="0.25">
      <c r="C2528" s="9"/>
      <c r="D2528" s="10">
        <v>45691</v>
      </c>
      <c r="E2528" t="s">
        <v>3888</v>
      </c>
      <c r="F2528" s="11" t="s">
        <v>42</v>
      </c>
      <c r="G2528" s="8">
        <v>0</v>
      </c>
      <c r="H2528" s="8">
        <v>1462.91</v>
      </c>
      <c r="I2528" s="8">
        <f t="shared" si="128"/>
        <v>0</v>
      </c>
      <c r="J2528" s="12"/>
    </row>
    <row r="2529" spans="1:10" x14ac:dyDescent="0.25">
      <c r="C2529" s="9"/>
      <c r="D2529" s="10">
        <v>45702</v>
      </c>
      <c r="E2529" t="s">
        <v>3889</v>
      </c>
      <c r="F2529" s="11" t="s">
        <v>3890</v>
      </c>
      <c r="G2529" s="8">
        <v>38.14</v>
      </c>
      <c r="H2529" s="8">
        <v>0</v>
      </c>
      <c r="I2529" s="8">
        <f t="shared" si="128"/>
        <v>38.14</v>
      </c>
      <c r="J2529" s="12"/>
    </row>
    <row r="2530" spans="1:10" x14ac:dyDescent="0.25">
      <c r="C2530" s="9"/>
      <c r="D2530" s="10">
        <v>45705</v>
      </c>
      <c r="E2530" t="s">
        <v>3891</v>
      </c>
      <c r="F2530" s="11" t="s">
        <v>42</v>
      </c>
      <c r="G2530" s="8">
        <v>0</v>
      </c>
      <c r="H2530" s="8">
        <v>38.14</v>
      </c>
      <c r="I2530" s="8">
        <f t="shared" si="128"/>
        <v>0</v>
      </c>
      <c r="J2530" s="12"/>
    </row>
    <row r="2531" spans="1:10" x14ac:dyDescent="0.25">
      <c r="C2531" s="9"/>
      <c r="D2531" s="10">
        <v>45716</v>
      </c>
      <c r="E2531" t="s">
        <v>3892</v>
      </c>
      <c r="F2531" s="11" t="s">
        <v>3893</v>
      </c>
      <c r="G2531" s="8">
        <v>94.62</v>
      </c>
      <c r="H2531" s="8">
        <v>0</v>
      </c>
      <c r="I2531" s="8">
        <f t="shared" si="128"/>
        <v>94.62</v>
      </c>
      <c r="J2531" s="12"/>
    </row>
    <row r="2532" spans="1:10" x14ac:dyDescent="0.25">
      <c r="C2532" s="9" t="s">
        <v>124</v>
      </c>
      <c r="D2532" s="10">
        <v>45719</v>
      </c>
      <c r="E2532" t="s">
        <v>3894</v>
      </c>
      <c r="F2532" s="11" t="s">
        <v>3893</v>
      </c>
      <c r="G2532" s="8">
        <v>0</v>
      </c>
      <c r="H2532" s="8">
        <v>94.62</v>
      </c>
      <c r="I2532" s="8">
        <f t="shared" si="128"/>
        <v>0</v>
      </c>
      <c r="J2532" s="12"/>
    </row>
    <row r="2533" spans="1:10" x14ac:dyDescent="0.25">
      <c r="C2533" s="9"/>
      <c r="D2533" s="10">
        <v>45747</v>
      </c>
      <c r="E2533" t="s">
        <v>3895</v>
      </c>
      <c r="F2533" s="11" t="s">
        <v>3896</v>
      </c>
      <c r="G2533" s="8">
        <v>30.82</v>
      </c>
      <c r="H2533" s="8">
        <v>0</v>
      </c>
      <c r="I2533" s="8">
        <f t="shared" si="128"/>
        <v>30.82</v>
      </c>
      <c r="J2533" s="12"/>
    </row>
    <row r="2534" spans="1:10" x14ac:dyDescent="0.25">
      <c r="C2534" s="9"/>
      <c r="D2534" s="10">
        <v>45748</v>
      </c>
      <c r="E2534" t="s">
        <v>3888</v>
      </c>
      <c r="F2534" s="11" t="s">
        <v>42</v>
      </c>
      <c r="G2534" s="8">
        <v>0</v>
      </c>
      <c r="H2534" s="8">
        <v>30.82</v>
      </c>
      <c r="I2534" s="8">
        <f t="shared" si="128"/>
        <v>0</v>
      </c>
      <c r="J2534" s="12"/>
    </row>
    <row r="2535" spans="1:10" x14ac:dyDescent="0.25">
      <c r="C2535" s="9"/>
      <c r="D2535" s="10">
        <v>45762</v>
      </c>
      <c r="E2535" t="s">
        <v>3888</v>
      </c>
      <c r="F2535" s="11" t="s">
        <v>42</v>
      </c>
      <c r="G2535" s="8">
        <v>0</v>
      </c>
      <c r="H2535" s="8">
        <v>420.45</v>
      </c>
      <c r="I2535" s="8">
        <f t="shared" si="128"/>
        <v>-420.45</v>
      </c>
      <c r="J2535" s="12"/>
    </row>
    <row r="2536" spans="1:10" x14ac:dyDescent="0.25">
      <c r="E2536" s="4" t="s">
        <v>20</v>
      </c>
      <c r="G2536" s="8">
        <f>SUM(G2526:G2535)</f>
        <v>1626.49</v>
      </c>
      <c r="H2536" s="8">
        <f>SUM(H2526:H2535)</f>
        <v>2046.94</v>
      </c>
      <c r="I2536" s="8">
        <f>G2536-H2536</f>
        <v>-420.45000000000005</v>
      </c>
    </row>
    <row r="2538" spans="1:10" x14ac:dyDescent="0.25">
      <c r="A2538" s="5">
        <v>4305130</v>
      </c>
      <c r="B2538" s="6" t="s">
        <v>3897</v>
      </c>
      <c r="C2538" s="7"/>
      <c r="D2538" s="7"/>
      <c r="E2538" s="7"/>
      <c r="F2538" s="7"/>
      <c r="G2538" s="7"/>
      <c r="H2538" s="7"/>
      <c r="I2538" s="7"/>
      <c r="J2538" s="7"/>
    </row>
    <row r="2539" spans="1:10" x14ac:dyDescent="0.25">
      <c r="E2539" s="4" t="s">
        <v>10</v>
      </c>
      <c r="G2539" s="8">
        <v>99.51</v>
      </c>
      <c r="H2539" s="8">
        <v>0</v>
      </c>
      <c r="I2539" s="8">
        <f>G2539-H2539</f>
        <v>99.51</v>
      </c>
    </row>
    <row r="2540" spans="1:10" x14ac:dyDescent="0.25">
      <c r="C2540" s="9"/>
      <c r="D2540" s="10">
        <v>45660</v>
      </c>
      <c r="E2540" t="s">
        <v>1524</v>
      </c>
      <c r="F2540" s="11" t="s">
        <v>3898</v>
      </c>
      <c r="G2540" s="8">
        <v>0</v>
      </c>
      <c r="H2540" s="8">
        <v>99.51</v>
      </c>
      <c r="I2540" s="8">
        <f t="shared" ref="I2540:I2551" si="129">G2540-H2540+I2539</f>
        <v>0</v>
      </c>
      <c r="J2540" s="12"/>
    </row>
    <row r="2541" spans="1:10" x14ac:dyDescent="0.25">
      <c r="C2541" s="9"/>
      <c r="D2541" s="10">
        <v>45671</v>
      </c>
      <c r="E2541" t="s">
        <v>3899</v>
      </c>
      <c r="F2541" s="11" t="s">
        <v>3900</v>
      </c>
      <c r="G2541" s="8">
        <v>298.86</v>
      </c>
      <c r="H2541" s="8">
        <v>0</v>
      </c>
      <c r="I2541" s="8">
        <f t="shared" si="129"/>
        <v>298.86</v>
      </c>
      <c r="J2541" s="12"/>
    </row>
    <row r="2542" spans="1:10" x14ac:dyDescent="0.25">
      <c r="C2542" s="9"/>
      <c r="D2542" s="10">
        <v>45672</v>
      </c>
      <c r="E2542" t="s">
        <v>1524</v>
      </c>
      <c r="F2542" s="11" t="s">
        <v>3900</v>
      </c>
      <c r="G2542" s="8">
        <v>0</v>
      </c>
      <c r="H2542" s="8">
        <v>298.86</v>
      </c>
      <c r="I2542" s="8">
        <f t="shared" si="129"/>
        <v>0</v>
      </c>
      <c r="J2542" s="12"/>
    </row>
    <row r="2543" spans="1:10" x14ac:dyDescent="0.25">
      <c r="C2543" s="9"/>
      <c r="D2543" s="10">
        <v>45688</v>
      </c>
      <c r="E2543" t="s">
        <v>3901</v>
      </c>
      <c r="F2543" s="11" t="s">
        <v>3902</v>
      </c>
      <c r="G2543" s="8">
        <v>549.24</v>
      </c>
      <c r="H2543" s="8">
        <v>0</v>
      </c>
      <c r="I2543" s="8">
        <f t="shared" si="129"/>
        <v>549.24</v>
      </c>
      <c r="J2543" s="12"/>
    </row>
    <row r="2544" spans="1:10" x14ac:dyDescent="0.25">
      <c r="C2544" s="9" t="s">
        <v>124</v>
      </c>
      <c r="D2544" s="10">
        <v>45691</v>
      </c>
      <c r="E2544" t="s">
        <v>3903</v>
      </c>
      <c r="F2544" s="11" t="s">
        <v>3902</v>
      </c>
      <c r="G2544" s="8">
        <v>0</v>
      </c>
      <c r="H2544" s="8">
        <v>549.24</v>
      </c>
      <c r="I2544" s="8">
        <f t="shared" si="129"/>
        <v>0</v>
      </c>
      <c r="J2544" s="12"/>
    </row>
    <row r="2545" spans="1:10" x14ac:dyDescent="0.25">
      <c r="C2545" s="9"/>
      <c r="D2545" s="10">
        <v>45702</v>
      </c>
      <c r="E2545" t="s">
        <v>3904</v>
      </c>
      <c r="F2545" s="11" t="s">
        <v>3905</v>
      </c>
      <c r="G2545" s="8">
        <v>505.78</v>
      </c>
      <c r="H2545" s="8">
        <v>0</v>
      </c>
      <c r="I2545" s="8">
        <f t="shared" si="129"/>
        <v>505.78</v>
      </c>
      <c r="J2545" s="12"/>
    </row>
    <row r="2546" spans="1:10" x14ac:dyDescent="0.25">
      <c r="C2546" s="9"/>
      <c r="D2546" s="10">
        <v>45705</v>
      </c>
      <c r="E2546" t="s">
        <v>1524</v>
      </c>
      <c r="F2546" s="11" t="s">
        <v>3905</v>
      </c>
      <c r="G2546" s="8">
        <v>0</v>
      </c>
      <c r="H2546" s="8">
        <v>505.78</v>
      </c>
      <c r="I2546" s="8">
        <f t="shared" si="129"/>
        <v>0</v>
      </c>
      <c r="J2546" s="12"/>
    </row>
    <row r="2547" spans="1:10" x14ac:dyDescent="0.25">
      <c r="C2547" s="9"/>
      <c r="D2547" s="10">
        <v>45730</v>
      </c>
      <c r="E2547" t="s">
        <v>3906</v>
      </c>
      <c r="F2547" s="11" t="s">
        <v>3907</v>
      </c>
      <c r="G2547" s="8">
        <v>49.04</v>
      </c>
      <c r="H2547" s="8">
        <v>0</v>
      </c>
      <c r="I2547" s="8">
        <f t="shared" si="129"/>
        <v>49.04</v>
      </c>
      <c r="J2547" s="12"/>
    </row>
    <row r="2548" spans="1:10" x14ac:dyDescent="0.25">
      <c r="C2548" s="9"/>
      <c r="D2548" s="10">
        <v>45733</v>
      </c>
      <c r="E2548" t="s">
        <v>3908</v>
      </c>
      <c r="F2548" s="11" t="s">
        <v>42</v>
      </c>
      <c r="G2548" s="8">
        <v>0</v>
      </c>
      <c r="H2548" s="8">
        <v>49.04</v>
      </c>
      <c r="I2548" s="8">
        <f t="shared" si="129"/>
        <v>0</v>
      </c>
      <c r="J2548" s="12"/>
    </row>
    <row r="2549" spans="1:10" x14ac:dyDescent="0.25">
      <c r="C2549" s="9"/>
      <c r="D2549" s="10">
        <v>45747</v>
      </c>
      <c r="E2549" t="s">
        <v>3909</v>
      </c>
      <c r="F2549" s="11" t="s">
        <v>3910</v>
      </c>
      <c r="G2549" s="8">
        <v>138.13</v>
      </c>
      <c r="H2549" s="8">
        <v>0</v>
      </c>
      <c r="I2549" s="8">
        <f t="shared" si="129"/>
        <v>138.13</v>
      </c>
      <c r="J2549" s="12"/>
    </row>
    <row r="2550" spans="1:10" x14ac:dyDescent="0.25">
      <c r="C2550" s="9"/>
      <c r="D2550" s="10">
        <v>45748</v>
      </c>
      <c r="E2550" t="s">
        <v>1524</v>
      </c>
      <c r="F2550" s="11" t="s">
        <v>3910</v>
      </c>
      <c r="G2550" s="8">
        <v>0</v>
      </c>
      <c r="H2550" s="8">
        <v>138.13</v>
      </c>
      <c r="I2550" s="8">
        <f t="shared" si="129"/>
        <v>0</v>
      </c>
      <c r="J2550" s="12"/>
    </row>
    <row r="2551" spans="1:10" x14ac:dyDescent="0.25">
      <c r="C2551" s="9"/>
      <c r="D2551" s="10">
        <v>45762</v>
      </c>
      <c r="E2551" t="s">
        <v>3908</v>
      </c>
      <c r="F2551" s="11" t="s">
        <v>42</v>
      </c>
      <c r="G2551" s="8">
        <v>0</v>
      </c>
      <c r="H2551" s="8">
        <v>116.81</v>
      </c>
      <c r="I2551" s="8">
        <f t="shared" si="129"/>
        <v>-116.81</v>
      </c>
      <c r="J2551" s="12"/>
    </row>
    <row r="2552" spans="1:10" x14ac:dyDescent="0.25">
      <c r="E2552" s="4" t="s">
        <v>20</v>
      </c>
      <c r="G2552" s="8">
        <f>SUM(G2539:G2551)</f>
        <v>1640.56</v>
      </c>
      <c r="H2552" s="8">
        <f>SUM(H2539:H2551)</f>
        <v>1757.37</v>
      </c>
      <c r="I2552" s="8">
        <f>G2552-H2552</f>
        <v>-116.80999999999995</v>
      </c>
    </row>
    <row r="2554" spans="1:10" x14ac:dyDescent="0.25">
      <c r="A2554" s="5">
        <v>4305140</v>
      </c>
      <c r="B2554" s="6" t="s">
        <v>3911</v>
      </c>
      <c r="C2554" s="7"/>
      <c r="D2554" s="7"/>
      <c r="E2554" s="7"/>
      <c r="F2554" s="7"/>
      <c r="G2554" s="7"/>
      <c r="H2554" s="7"/>
      <c r="I2554" s="7"/>
      <c r="J2554" s="7"/>
    </row>
    <row r="2555" spans="1:10" x14ac:dyDescent="0.25">
      <c r="C2555" s="9"/>
      <c r="D2555" s="10">
        <v>45688</v>
      </c>
      <c r="E2555" t="s">
        <v>3912</v>
      </c>
      <c r="F2555" s="11" t="s">
        <v>3913</v>
      </c>
      <c r="G2555" s="8">
        <v>83.74</v>
      </c>
      <c r="H2555" s="8">
        <v>0</v>
      </c>
      <c r="I2555" s="8">
        <f>G2555-H2555</f>
        <v>83.74</v>
      </c>
      <c r="J2555" s="12"/>
    </row>
    <row r="2556" spans="1:10" x14ac:dyDescent="0.25">
      <c r="C2556" s="9" t="s">
        <v>124</v>
      </c>
      <c r="D2556" s="10">
        <v>45691</v>
      </c>
      <c r="E2556" t="s">
        <v>3914</v>
      </c>
      <c r="F2556" s="11" t="s">
        <v>3913</v>
      </c>
      <c r="G2556" s="8">
        <v>0</v>
      </c>
      <c r="H2556" s="8">
        <v>83.74</v>
      </c>
      <c r="I2556" s="8">
        <f t="shared" ref="I2556:I2563" si="130">G2556-H2556+I2555</f>
        <v>0</v>
      </c>
      <c r="J2556" s="12"/>
    </row>
    <row r="2557" spans="1:10" x14ac:dyDescent="0.25">
      <c r="C2557" s="9"/>
      <c r="D2557" s="10">
        <v>45702</v>
      </c>
      <c r="E2557" t="s">
        <v>3915</v>
      </c>
      <c r="F2557" s="11" t="s">
        <v>3916</v>
      </c>
      <c r="G2557" s="8">
        <v>151.76</v>
      </c>
      <c r="H2557" s="8">
        <v>0</v>
      </c>
      <c r="I2557" s="8">
        <f t="shared" si="130"/>
        <v>151.76</v>
      </c>
      <c r="J2557" s="12"/>
    </row>
    <row r="2558" spans="1:10" x14ac:dyDescent="0.25">
      <c r="C2558" s="9"/>
      <c r="D2558" s="10">
        <v>45705</v>
      </c>
      <c r="E2558" t="s">
        <v>1524</v>
      </c>
      <c r="F2558" s="11" t="s">
        <v>3916</v>
      </c>
      <c r="G2558" s="8">
        <v>0</v>
      </c>
      <c r="H2558" s="8">
        <v>151.76</v>
      </c>
      <c r="I2558" s="8">
        <f t="shared" si="130"/>
        <v>0</v>
      </c>
      <c r="J2558" s="12"/>
    </row>
    <row r="2559" spans="1:10" x14ac:dyDescent="0.25">
      <c r="C2559" s="9"/>
      <c r="D2559" s="10">
        <v>45716</v>
      </c>
      <c r="E2559" t="s">
        <v>3917</v>
      </c>
      <c r="F2559" s="11" t="s">
        <v>3918</v>
      </c>
      <c r="G2559" s="8">
        <v>91.28</v>
      </c>
      <c r="H2559" s="8">
        <v>0</v>
      </c>
      <c r="I2559" s="8">
        <f t="shared" si="130"/>
        <v>91.28</v>
      </c>
      <c r="J2559" s="12"/>
    </row>
    <row r="2560" spans="1:10" x14ac:dyDescent="0.25">
      <c r="C2560" s="9"/>
      <c r="D2560" s="10">
        <v>45733</v>
      </c>
      <c r="E2560" t="s">
        <v>1524</v>
      </c>
      <c r="F2560" s="11" t="s">
        <v>3918</v>
      </c>
      <c r="G2560" s="8">
        <v>0</v>
      </c>
      <c r="H2560" s="8">
        <v>91.28</v>
      </c>
      <c r="I2560" s="8">
        <f t="shared" si="130"/>
        <v>0</v>
      </c>
      <c r="J2560" s="12"/>
    </row>
    <row r="2561" spans="1:10" x14ac:dyDescent="0.25">
      <c r="C2561" s="9"/>
      <c r="D2561" s="10">
        <v>45747</v>
      </c>
      <c r="E2561" t="s">
        <v>3919</v>
      </c>
      <c r="F2561" s="11" t="s">
        <v>3920</v>
      </c>
      <c r="G2561" s="8">
        <v>90.92</v>
      </c>
      <c r="H2561" s="8">
        <v>0</v>
      </c>
      <c r="I2561" s="8">
        <f t="shared" si="130"/>
        <v>90.92</v>
      </c>
      <c r="J2561" s="12"/>
    </row>
    <row r="2562" spans="1:10" x14ac:dyDescent="0.25">
      <c r="C2562" s="9"/>
      <c r="D2562" s="10">
        <v>45748</v>
      </c>
      <c r="E2562" t="s">
        <v>1524</v>
      </c>
      <c r="F2562" s="11" t="s">
        <v>3920</v>
      </c>
      <c r="G2562" s="8">
        <v>0</v>
      </c>
      <c r="H2562" s="8">
        <v>90.92</v>
      </c>
      <c r="I2562" s="8">
        <f t="shared" si="130"/>
        <v>0</v>
      </c>
      <c r="J2562" s="12"/>
    </row>
    <row r="2563" spans="1:10" x14ac:dyDescent="0.25">
      <c r="C2563" s="9"/>
      <c r="D2563" s="10">
        <v>45762</v>
      </c>
      <c r="E2563" t="s">
        <v>3921</v>
      </c>
      <c r="F2563" s="11" t="s">
        <v>42</v>
      </c>
      <c r="G2563" s="8">
        <v>0</v>
      </c>
      <c r="H2563" s="8">
        <v>36.979999999999997</v>
      </c>
      <c r="I2563" s="8">
        <f t="shared" si="130"/>
        <v>-36.979999999999997</v>
      </c>
      <c r="J2563" s="12"/>
    </row>
    <row r="2564" spans="1:10" x14ac:dyDescent="0.25">
      <c r="E2564" s="4" t="s">
        <v>20</v>
      </c>
      <c r="G2564" s="8">
        <f>SUM(G2555:G2563)</f>
        <v>417.7</v>
      </c>
      <c r="H2564" s="8">
        <f>SUM(H2555:H2563)</f>
        <v>454.68</v>
      </c>
      <c r="I2564" s="8">
        <f>G2564-H2564</f>
        <v>-36.980000000000018</v>
      </c>
    </row>
    <row r="2566" spans="1:10" x14ac:dyDescent="0.25">
      <c r="A2566" s="5">
        <v>4305150</v>
      </c>
      <c r="B2566" s="6" t="s">
        <v>3922</v>
      </c>
      <c r="C2566" s="7"/>
      <c r="D2566" s="7"/>
      <c r="E2566" s="7"/>
      <c r="F2566" s="7"/>
      <c r="G2566" s="7"/>
      <c r="H2566" s="7"/>
      <c r="I2566" s="7"/>
      <c r="J2566" s="7"/>
    </row>
    <row r="2567" spans="1:10" x14ac:dyDescent="0.25">
      <c r="E2567" s="4" t="s">
        <v>10</v>
      </c>
      <c r="G2567" s="8">
        <v>0</v>
      </c>
      <c r="H2567" s="8">
        <v>246.18</v>
      </c>
      <c r="I2567" s="8">
        <f>G2567-H2567</f>
        <v>-246.18</v>
      </c>
    </row>
    <row r="2568" spans="1:10" x14ac:dyDescent="0.25">
      <c r="C2568" s="9"/>
      <c r="D2568" s="10">
        <v>45691</v>
      </c>
      <c r="E2568" t="s">
        <v>3923</v>
      </c>
      <c r="F2568" s="11" t="s">
        <v>42</v>
      </c>
      <c r="G2568" s="8">
        <v>0</v>
      </c>
      <c r="H2568" s="8">
        <v>42.52</v>
      </c>
      <c r="I2568" s="8">
        <f>G2568-H2568+I2567</f>
        <v>-288.7</v>
      </c>
      <c r="J2568" s="12"/>
    </row>
    <row r="2569" spans="1:10" x14ac:dyDescent="0.25">
      <c r="C2569" s="9"/>
      <c r="D2569" s="10">
        <v>45733</v>
      </c>
      <c r="E2569" t="s">
        <v>3923</v>
      </c>
      <c r="F2569" s="11" t="s">
        <v>42</v>
      </c>
      <c r="G2569" s="8">
        <v>0</v>
      </c>
      <c r="H2569" s="8">
        <v>45.56</v>
      </c>
      <c r="I2569" s="8">
        <f>G2569-H2569+I2568</f>
        <v>-334.26</v>
      </c>
      <c r="J2569" s="12"/>
    </row>
    <row r="2570" spans="1:10" x14ac:dyDescent="0.25">
      <c r="E2570" s="4" t="s">
        <v>20</v>
      </c>
      <c r="G2570" s="8">
        <f>SUM(G2567:G2569)</f>
        <v>0</v>
      </c>
      <c r="H2570" s="8">
        <f>SUM(H2567:H2569)</f>
        <v>334.26</v>
      </c>
      <c r="I2570" s="8">
        <f>G2570-H2570</f>
        <v>-334.26</v>
      </c>
    </row>
    <row r="2572" spans="1:10" x14ac:dyDescent="0.25">
      <c r="A2572" s="5">
        <v>4305155</v>
      </c>
      <c r="B2572" s="6" t="s">
        <v>3924</v>
      </c>
      <c r="C2572" s="7"/>
      <c r="D2572" s="7"/>
      <c r="E2572" s="7"/>
      <c r="F2572" s="7"/>
      <c r="G2572" s="7"/>
      <c r="H2572" s="7"/>
      <c r="I2572" s="7"/>
      <c r="J2572" s="7"/>
    </row>
    <row r="2573" spans="1:10" x14ac:dyDescent="0.25">
      <c r="E2573" s="4" t="s">
        <v>10</v>
      </c>
      <c r="G2573" s="8">
        <v>155.32</v>
      </c>
      <c r="H2573" s="8">
        <v>0</v>
      </c>
      <c r="I2573" s="8">
        <f>G2573-H2573</f>
        <v>155.32</v>
      </c>
    </row>
    <row r="2574" spans="1:10" x14ac:dyDescent="0.25">
      <c r="C2574" s="9"/>
      <c r="D2574" s="10">
        <v>45659</v>
      </c>
      <c r="E2574" t="s">
        <v>1524</v>
      </c>
      <c r="F2574" s="11" t="s">
        <v>3925</v>
      </c>
      <c r="G2574" s="8">
        <v>0</v>
      </c>
      <c r="H2574" s="8">
        <v>155.32</v>
      </c>
      <c r="I2574" s="8">
        <f t="shared" ref="I2574:I2588" si="131">G2574-H2574+I2573</f>
        <v>0</v>
      </c>
      <c r="J2574" s="12"/>
    </row>
    <row r="2575" spans="1:10" x14ac:dyDescent="0.25">
      <c r="C2575" s="9" t="s">
        <v>124</v>
      </c>
      <c r="D2575" s="10">
        <v>45665</v>
      </c>
      <c r="E2575" t="s">
        <v>3926</v>
      </c>
      <c r="F2575" s="11" t="s">
        <v>42</v>
      </c>
      <c r="G2575" s="8">
        <v>0</v>
      </c>
      <c r="H2575" s="8">
        <v>922.41</v>
      </c>
      <c r="I2575" s="8">
        <f t="shared" si="131"/>
        <v>-922.41</v>
      </c>
      <c r="J2575" s="12"/>
    </row>
    <row r="2576" spans="1:10" x14ac:dyDescent="0.25">
      <c r="C2576" s="9"/>
      <c r="D2576" s="10">
        <v>45671</v>
      </c>
      <c r="E2576" t="s">
        <v>3927</v>
      </c>
      <c r="F2576" s="11" t="s">
        <v>3928</v>
      </c>
      <c r="G2576" s="8">
        <v>196.58</v>
      </c>
      <c r="H2576" s="8">
        <v>0</v>
      </c>
      <c r="I2576" s="8">
        <f t="shared" si="131"/>
        <v>-725.82999999999993</v>
      </c>
      <c r="J2576" s="12"/>
    </row>
    <row r="2577" spans="1:10" x14ac:dyDescent="0.25">
      <c r="C2577" s="9"/>
      <c r="D2577" s="10">
        <v>45672</v>
      </c>
      <c r="E2577" t="s">
        <v>1524</v>
      </c>
      <c r="F2577" s="11" t="s">
        <v>3928</v>
      </c>
      <c r="G2577" s="8">
        <v>0</v>
      </c>
      <c r="H2577" s="8">
        <v>196.58</v>
      </c>
      <c r="I2577" s="8">
        <f t="shared" si="131"/>
        <v>-922.41</v>
      </c>
      <c r="J2577" s="12"/>
    </row>
    <row r="2578" spans="1:10" x14ac:dyDescent="0.25">
      <c r="C2578" s="9"/>
      <c r="D2578" s="10">
        <v>45688</v>
      </c>
      <c r="E2578" t="s">
        <v>3929</v>
      </c>
      <c r="F2578" s="11" t="s">
        <v>3930</v>
      </c>
      <c r="G2578" s="8">
        <v>361.98</v>
      </c>
      <c r="H2578" s="8">
        <v>0</v>
      </c>
      <c r="I2578" s="8">
        <f t="shared" si="131"/>
        <v>-560.42999999999995</v>
      </c>
      <c r="J2578" s="12"/>
    </row>
    <row r="2579" spans="1:10" x14ac:dyDescent="0.25">
      <c r="C2579" s="9"/>
      <c r="D2579" s="10">
        <v>45691</v>
      </c>
      <c r="E2579" t="s">
        <v>1524</v>
      </c>
      <c r="F2579" s="11" t="s">
        <v>3930</v>
      </c>
      <c r="G2579" s="8">
        <v>0</v>
      </c>
      <c r="H2579" s="8">
        <v>361.98</v>
      </c>
      <c r="I2579" s="8">
        <f t="shared" si="131"/>
        <v>-922.41</v>
      </c>
      <c r="J2579" s="12"/>
    </row>
    <row r="2580" spans="1:10" x14ac:dyDescent="0.25">
      <c r="C2580" s="9"/>
      <c r="D2580" s="10">
        <v>45702</v>
      </c>
      <c r="E2580" t="s">
        <v>3931</v>
      </c>
      <c r="F2580" s="11" t="s">
        <v>3932</v>
      </c>
      <c r="G2580" s="8">
        <v>55.68</v>
      </c>
      <c r="H2580" s="8">
        <v>0</v>
      </c>
      <c r="I2580" s="8">
        <f t="shared" si="131"/>
        <v>-866.73</v>
      </c>
      <c r="J2580" s="12"/>
    </row>
    <row r="2581" spans="1:10" x14ac:dyDescent="0.25">
      <c r="C2581" s="9"/>
      <c r="D2581" s="10">
        <v>45705</v>
      </c>
      <c r="E2581" t="s">
        <v>1524</v>
      </c>
      <c r="F2581" s="11" t="s">
        <v>3932</v>
      </c>
      <c r="G2581" s="8">
        <v>0</v>
      </c>
      <c r="H2581" s="8">
        <v>55.68</v>
      </c>
      <c r="I2581" s="8">
        <f t="shared" si="131"/>
        <v>-922.41</v>
      </c>
      <c r="J2581" s="12"/>
    </row>
    <row r="2582" spans="1:10" x14ac:dyDescent="0.25">
      <c r="C2582" s="9"/>
      <c r="D2582" s="10">
        <v>45716</v>
      </c>
      <c r="E2582" t="s">
        <v>3933</v>
      </c>
      <c r="F2582" s="11" t="s">
        <v>3934</v>
      </c>
      <c r="G2582" s="8">
        <v>67.69</v>
      </c>
      <c r="H2582" s="8">
        <v>0</v>
      </c>
      <c r="I2582" s="8">
        <f t="shared" si="131"/>
        <v>-854.72</v>
      </c>
      <c r="J2582" s="12"/>
    </row>
    <row r="2583" spans="1:10" x14ac:dyDescent="0.25">
      <c r="C2583" s="9" t="s">
        <v>124</v>
      </c>
      <c r="D2583" s="10">
        <v>45719</v>
      </c>
      <c r="E2583" t="s">
        <v>3935</v>
      </c>
      <c r="F2583" s="11" t="s">
        <v>42</v>
      </c>
      <c r="G2583" s="8">
        <v>0</v>
      </c>
      <c r="H2583" s="8">
        <v>67.69</v>
      </c>
      <c r="I2583" s="8">
        <f t="shared" si="131"/>
        <v>-922.41000000000008</v>
      </c>
      <c r="J2583" s="12"/>
    </row>
    <row r="2584" spans="1:10" x14ac:dyDescent="0.25">
      <c r="C2584" s="9"/>
      <c r="D2584" s="10">
        <v>45730</v>
      </c>
      <c r="E2584" t="s">
        <v>3936</v>
      </c>
      <c r="F2584" s="11" t="s">
        <v>3937</v>
      </c>
      <c r="G2584" s="8">
        <v>735.41</v>
      </c>
      <c r="H2584" s="8">
        <v>0</v>
      </c>
      <c r="I2584" s="8">
        <f t="shared" si="131"/>
        <v>-187.00000000000011</v>
      </c>
      <c r="J2584" s="12"/>
    </row>
    <row r="2585" spans="1:10" x14ac:dyDescent="0.25">
      <c r="C2585" s="9"/>
      <c r="D2585" s="10">
        <v>45733</v>
      </c>
      <c r="E2585" t="s">
        <v>1524</v>
      </c>
      <c r="F2585" s="11" t="s">
        <v>3937</v>
      </c>
      <c r="G2585" s="8">
        <v>0</v>
      </c>
      <c r="H2585" s="8">
        <v>735.41</v>
      </c>
      <c r="I2585" s="8">
        <f t="shared" si="131"/>
        <v>-922.41000000000008</v>
      </c>
      <c r="J2585" s="12"/>
    </row>
    <row r="2586" spans="1:10" x14ac:dyDescent="0.25">
      <c r="C2586" s="9"/>
      <c r="D2586" s="10">
        <v>45747</v>
      </c>
      <c r="E2586" t="s">
        <v>3938</v>
      </c>
      <c r="F2586" s="11" t="s">
        <v>3939</v>
      </c>
      <c r="G2586" s="8">
        <v>434.22</v>
      </c>
      <c r="H2586" s="8">
        <v>0</v>
      </c>
      <c r="I2586" s="8">
        <f t="shared" si="131"/>
        <v>-488.19000000000005</v>
      </c>
      <c r="J2586" s="12"/>
    </row>
    <row r="2587" spans="1:10" x14ac:dyDescent="0.25">
      <c r="C2587" s="9" t="s">
        <v>124</v>
      </c>
      <c r="D2587" s="10">
        <v>45748</v>
      </c>
      <c r="E2587" t="s">
        <v>3940</v>
      </c>
      <c r="F2587" s="11" t="s">
        <v>3939</v>
      </c>
      <c r="G2587" s="8">
        <v>0</v>
      </c>
      <c r="H2587" s="8">
        <v>434.22</v>
      </c>
      <c r="I2587" s="8">
        <f t="shared" si="131"/>
        <v>-922.41000000000008</v>
      </c>
      <c r="J2587" s="12"/>
    </row>
    <row r="2588" spans="1:10" x14ac:dyDescent="0.25">
      <c r="C2588" s="9"/>
      <c r="D2588" s="10">
        <v>45762</v>
      </c>
      <c r="E2588" t="s">
        <v>3935</v>
      </c>
      <c r="F2588" s="11" t="s">
        <v>3937</v>
      </c>
      <c r="G2588" s="8">
        <v>0</v>
      </c>
      <c r="H2588" s="8">
        <v>561.69000000000005</v>
      </c>
      <c r="I2588" s="8">
        <f t="shared" si="131"/>
        <v>-1484.1000000000001</v>
      </c>
      <c r="J2588" s="12"/>
    </row>
    <row r="2589" spans="1:10" x14ac:dyDescent="0.25">
      <c r="E2589" s="4" t="s">
        <v>20</v>
      </c>
      <c r="G2589" s="8">
        <f>SUM(G2573:G2588)</f>
        <v>2006.8799999999999</v>
      </c>
      <c r="H2589" s="8">
        <f>SUM(H2573:H2588)</f>
        <v>3490.98</v>
      </c>
      <c r="I2589" s="8">
        <f>G2589-H2589</f>
        <v>-1484.1000000000001</v>
      </c>
    </row>
    <row r="2591" spans="1:10" x14ac:dyDescent="0.25">
      <c r="A2591" s="5">
        <v>4305160</v>
      </c>
      <c r="B2591" s="6" t="s">
        <v>3941</v>
      </c>
      <c r="C2591" s="7"/>
      <c r="D2591" s="7"/>
      <c r="E2591" s="7"/>
      <c r="F2591" s="7"/>
      <c r="G2591" s="7"/>
      <c r="H2591" s="7"/>
      <c r="I2591" s="7"/>
      <c r="J2591" s="7"/>
    </row>
    <row r="2592" spans="1:10" x14ac:dyDescent="0.25">
      <c r="E2592" s="4" t="s">
        <v>10</v>
      </c>
      <c r="G2592" s="8">
        <v>352.26</v>
      </c>
      <c r="H2592" s="8">
        <v>0</v>
      </c>
      <c r="I2592" s="8">
        <f>G2592-H2592</f>
        <v>352.26</v>
      </c>
    </row>
    <row r="2593" spans="1:10" x14ac:dyDescent="0.25">
      <c r="C2593" s="9"/>
      <c r="D2593" s="10">
        <v>45660</v>
      </c>
      <c r="E2593" t="s">
        <v>1524</v>
      </c>
      <c r="F2593" s="11" t="s">
        <v>3942</v>
      </c>
      <c r="G2593" s="8">
        <v>0</v>
      </c>
      <c r="H2593" s="8">
        <v>352.26</v>
      </c>
      <c r="I2593" s="8">
        <f t="shared" ref="I2593:I2604" si="132">G2593-H2593+I2592</f>
        <v>0</v>
      </c>
      <c r="J2593" s="12"/>
    </row>
    <row r="2594" spans="1:10" x14ac:dyDescent="0.25">
      <c r="C2594" s="9"/>
      <c r="D2594" s="10">
        <v>45671</v>
      </c>
      <c r="E2594" t="s">
        <v>3943</v>
      </c>
      <c r="F2594" s="11" t="s">
        <v>3944</v>
      </c>
      <c r="G2594" s="8">
        <v>247.25</v>
      </c>
      <c r="H2594" s="8">
        <v>0</v>
      </c>
      <c r="I2594" s="8">
        <f t="shared" si="132"/>
        <v>247.25</v>
      </c>
      <c r="J2594" s="12"/>
    </row>
    <row r="2595" spans="1:10" x14ac:dyDescent="0.25">
      <c r="C2595" s="9"/>
      <c r="D2595" s="10">
        <v>45672</v>
      </c>
      <c r="E2595" t="s">
        <v>1524</v>
      </c>
      <c r="F2595" s="11" t="s">
        <v>3944</v>
      </c>
      <c r="G2595" s="8">
        <v>0</v>
      </c>
      <c r="H2595" s="8">
        <v>247.25</v>
      </c>
      <c r="I2595" s="8">
        <f t="shared" si="132"/>
        <v>0</v>
      </c>
      <c r="J2595" s="12"/>
    </row>
    <row r="2596" spans="1:10" x14ac:dyDescent="0.25">
      <c r="C2596" s="9"/>
      <c r="D2596" s="10">
        <v>45688</v>
      </c>
      <c r="E2596" t="s">
        <v>3945</v>
      </c>
      <c r="F2596" s="11" t="s">
        <v>3946</v>
      </c>
      <c r="G2596" s="8">
        <v>108.45</v>
      </c>
      <c r="H2596" s="8">
        <v>0</v>
      </c>
      <c r="I2596" s="8">
        <f t="shared" si="132"/>
        <v>108.45</v>
      </c>
      <c r="J2596" s="12"/>
    </row>
    <row r="2597" spans="1:10" x14ac:dyDescent="0.25">
      <c r="C2597" s="9" t="s">
        <v>124</v>
      </c>
      <c r="D2597" s="10">
        <v>45691</v>
      </c>
      <c r="E2597" t="s">
        <v>3947</v>
      </c>
      <c r="F2597" s="11" t="s">
        <v>3946</v>
      </c>
      <c r="G2597" s="8">
        <v>0</v>
      </c>
      <c r="H2597" s="8">
        <v>108.45</v>
      </c>
      <c r="I2597" s="8">
        <f t="shared" si="132"/>
        <v>0</v>
      </c>
      <c r="J2597" s="12"/>
    </row>
    <row r="2598" spans="1:10" x14ac:dyDescent="0.25">
      <c r="C2598" s="9"/>
      <c r="D2598" s="10">
        <v>45702</v>
      </c>
      <c r="E2598" t="s">
        <v>3948</v>
      </c>
      <c r="F2598" s="11" t="s">
        <v>3949</v>
      </c>
      <c r="G2598" s="8">
        <v>196.18</v>
      </c>
      <c r="H2598" s="8">
        <v>0</v>
      </c>
      <c r="I2598" s="8">
        <f t="shared" si="132"/>
        <v>196.18</v>
      </c>
      <c r="J2598" s="12"/>
    </row>
    <row r="2599" spans="1:10" x14ac:dyDescent="0.25">
      <c r="C2599" s="9"/>
      <c r="D2599" s="10">
        <v>45705</v>
      </c>
      <c r="E2599" t="s">
        <v>1524</v>
      </c>
      <c r="F2599" s="11" t="s">
        <v>3949</v>
      </c>
      <c r="G2599" s="8">
        <v>0</v>
      </c>
      <c r="H2599" s="8">
        <v>196.18</v>
      </c>
      <c r="I2599" s="8">
        <f t="shared" si="132"/>
        <v>0</v>
      </c>
      <c r="J2599" s="12"/>
    </row>
    <row r="2600" spans="1:10" x14ac:dyDescent="0.25">
      <c r="C2600" s="9"/>
      <c r="D2600" s="10">
        <v>45716</v>
      </c>
      <c r="E2600" t="s">
        <v>3950</v>
      </c>
      <c r="F2600" s="11" t="s">
        <v>3951</v>
      </c>
      <c r="G2600" s="8">
        <v>103</v>
      </c>
      <c r="H2600" s="8">
        <v>0</v>
      </c>
      <c r="I2600" s="8">
        <f t="shared" si="132"/>
        <v>103</v>
      </c>
      <c r="J2600" s="12"/>
    </row>
    <row r="2601" spans="1:10" x14ac:dyDescent="0.25">
      <c r="C2601" s="9"/>
      <c r="D2601" s="10">
        <v>45720</v>
      </c>
      <c r="E2601" t="s">
        <v>3952</v>
      </c>
      <c r="F2601" s="11" t="s">
        <v>42</v>
      </c>
      <c r="G2601" s="8">
        <v>0</v>
      </c>
      <c r="H2601" s="8">
        <v>103</v>
      </c>
      <c r="I2601" s="8">
        <f t="shared" si="132"/>
        <v>0</v>
      </c>
      <c r="J2601" s="12"/>
    </row>
    <row r="2602" spans="1:10" x14ac:dyDescent="0.25">
      <c r="C2602" s="9"/>
      <c r="D2602" s="10">
        <v>45747</v>
      </c>
      <c r="E2602" t="s">
        <v>3953</v>
      </c>
      <c r="F2602" s="11" t="s">
        <v>3954</v>
      </c>
      <c r="G2602" s="8">
        <v>661.74</v>
      </c>
      <c r="H2602" s="8">
        <v>0</v>
      </c>
      <c r="I2602" s="8">
        <f t="shared" si="132"/>
        <v>661.74</v>
      </c>
      <c r="J2602" s="12"/>
    </row>
    <row r="2603" spans="1:10" x14ac:dyDescent="0.25">
      <c r="C2603" s="9"/>
      <c r="D2603" s="10">
        <v>45748</v>
      </c>
      <c r="E2603" t="s">
        <v>1524</v>
      </c>
      <c r="F2603" s="11" t="s">
        <v>3954</v>
      </c>
      <c r="G2603" s="8">
        <v>0</v>
      </c>
      <c r="H2603" s="8">
        <v>661.74</v>
      </c>
      <c r="I2603" s="8">
        <f t="shared" si="132"/>
        <v>0</v>
      </c>
      <c r="J2603" s="12"/>
    </row>
    <row r="2604" spans="1:10" x14ac:dyDescent="0.25">
      <c r="C2604" s="9"/>
      <c r="D2604" s="10">
        <v>45762</v>
      </c>
      <c r="E2604" t="s">
        <v>1524</v>
      </c>
      <c r="F2604" s="11" t="s">
        <v>3955</v>
      </c>
      <c r="G2604" s="8">
        <v>0</v>
      </c>
      <c r="H2604" s="8">
        <v>70.069999999999993</v>
      </c>
      <c r="I2604" s="8">
        <f t="shared" si="132"/>
        <v>-70.069999999999993</v>
      </c>
      <c r="J2604" s="12"/>
    </row>
    <row r="2605" spans="1:10" x14ac:dyDescent="0.25">
      <c r="E2605" s="4" t="s">
        <v>20</v>
      </c>
      <c r="G2605" s="8">
        <f>SUM(G2592:G2604)</f>
        <v>1668.88</v>
      </c>
      <c r="H2605" s="8">
        <f>SUM(H2592:H2604)</f>
        <v>1738.95</v>
      </c>
      <c r="I2605" s="8">
        <f>G2605-H2605</f>
        <v>-70.069999999999936</v>
      </c>
    </row>
    <row r="2607" spans="1:10" x14ac:dyDescent="0.25">
      <c r="A2607" s="5">
        <v>4305200</v>
      </c>
      <c r="B2607" s="6" t="s">
        <v>3956</v>
      </c>
      <c r="C2607" s="7"/>
      <c r="D2607" s="7"/>
      <c r="E2607" s="7"/>
      <c r="F2607" s="7"/>
      <c r="G2607" s="7"/>
      <c r="H2607" s="7"/>
      <c r="I2607" s="7"/>
      <c r="J2607" s="7"/>
    </row>
    <row r="2608" spans="1:10" x14ac:dyDescent="0.25">
      <c r="C2608" s="9"/>
      <c r="D2608" s="10">
        <v>45688</v>
      </c>
      <c r="E2608" t="s">
        <v>3957</v>
      </c>
      <c r="F2608" s="11" t="s">
        <v>3958</v>
      </c>
      <c r="G2608" s="8">
        <v>118.68</v>
      </c>
      <c r="H2608" s="8">
        <v>0</v>
      </c>
      <c r="I2608" s="8">
        <f>G2608-H2608</f>
        <v>118.68</v>
      </c>
      <c r="J2608" s="12"/>
    </row>
    <row r="2609" spans="1:10" x14ac:dyDescent="0.25">
      <c r="C2609" s="9"/>
      <c r="D2609" s="10">
        <v>45691</v>
      </c>
      <c r="E2609" t="s">
        <v>1524</v>
      </c>
      <c r="F2609" s="11" t="s">
        <v>3959</v>
      </c>
      <c r="G2609" s="8">
        <v>0</v>
      </c>
      <c r="H2609" s="8">
        <v>115.23</v>
      </c>
      <c r="I2609" s="8">
        <f t="shared" ref="I2609:I2616" si="133">G2609-H2609+I2608</f>
        <v>3.4500000000000028</v>
      </c>
      <c r="J2609" s="12"/>
    </row>
    <row r="2610" spans="1:10" x14ac:dyDescent="0.25">
      <c r="C2610" s="9"/>
      <c r="D2610" s="10">
        <v>45702</v>
      </c>
      <c r="E2610" t="s">
        <v>3960</v>
      </c>
      <c r="F2610" s="11" t="s">
        <v>3961</v>
      </c>
      <c r="G2610" s="8">
        <v>488.56</v>
      </c>
      <c r="H2610" s="8">
        <v>0</v>
      </c>
      <c r="I2610" s="8">
        <f t="shared" si="133"/>
        <v>492.01</v>
      </c>
      <c r="J2610" s="12"/>
    </row>
    <row r="2611" spans="1:10" x14ac:dyDescent="0.25">
      <c r="C2611" s="9"/>
      <c r="D2611" s="10">
        <v>45705</v>
      </c>
      <c r="E2611" t="s">
        <v>1524</v>
      </c>
      <c r="F2611" s="11" t="s">
        <v>3961</v>
      </c>
      <c r="G2611" s="8">
        <v>0</v>
      </c>
      <c r="H2611" s="8">
        <v>488.56</v>
      </c>
      <c r="I2611" s="8">
        <f t="shared" si="133"/>
        <v>3.4499999999999886</v>
      </c>
      <c r="J2611" s="12"/>
    </row>
    <row r="2612" spans="1:10" x14ac:dyDescent="0.25">
      <c r="C2612" s="9"/>
      <c r="D2612" s="10">
        <v>45716</v>
      </c>
      <c r="E2612" t="s">
        <v>3962</v>
      </c>
      <c r="F2612" s="11" t="s">
        <v>3963</v>
      </c>
      <c r="G2612" s="8">
        <v>104.53</v>
      </c>
      <c r="H2612" s="8">
        <v>0</v>
      </c>
      <c r="I2612" s="8">
        <f t="shared" si="133"/>
        <v>107.97999999999999</v>
      </c>
      <c r="J2612" s="12"/>
    </row>
    <row r="2613" spans="1:10" x14ac:dyDescent="0.25">
      <c r="C2613" s="9" t="s">
        <v>124</v>
      </c>
      <c r="D2613" s="10">
        <v>45719</v>
      </c>
      <c r="E2613" t="s">
        <v>3964</v>
      </c>
      <c r="F2613" s="11" t="s">
        <v>3963</v>
      </c>
      <c r="G2613" s="8">
        <v>0</v>
      </c>
      <c r="H2613" s="8">
        <v>104.53</v>
      </c>
      <c r="I2613" s="8">
        <f t="shared" si="133"/>
        <v>3.4499999999999886</v>
      </c>
      <c r="J2613" s="12"/>
    </row>
    <row r="2614" spans="1:10" x14ac:dyDescent="0.25">
      <c r="C2614" s="9"/>
      <c r="D2614" s="10">
        <v>45730</v>
      </c>
      <c r="E2614" t="s">
        <v>3965</v>
      </c>
      <c r="F2614" s="11" t="s">
        <v>3966</v>
      </c>
      <c r="G2614" s="8">
        <v>347.92</v>
      </c>
      <c r="H2614" s="8">
        <v>0</v>
      </c>
      <c r="I2614" s="8">
        <f t="shared" si="133"/>
        <v>351.37</v>
      </c>
      <c r="J2614" s="12"/>
    </row>
    <row r="2615" spans="1:10" x14ac:dyDescent="0.25">
      <c r="C2615" s="9"/>
      <c r="D2615" s="10">
        <v>45733</v>
      </c>
      <c r="E2615" t="s">
        <v>1524</v>
      </c>
      <c r="F2615" s="11" t="s">
        <v>3966</v>
      </c>
      <c r="G2615" s="8">
        <v>0</v>
      </c>
      <c r="H2615" s="8">
        <v>347.92</v>
      </c>
      <c r="I2615" s="8">
        <f t="shared" si="133"/>
        <v>3.4499999999999886</v>
      </c>
      <c r="J2615" s="12"/>
    </row>
    <row r="2616" spans="1:10" x14ac:dyDescent="0.25">
      <c r="C2616" s="9"/>
      <c r="D2616" s="10">
        <v>45762</v>
      </c>
      <c r="E2616" t="s">
        <v>3967</v>
      </c>
      <c r="F2616" s="11" t="s">
        <v>42</v>
      </c>
      <c r="G2616" s="8">
        <v>0</v>
      </c>
      <c r="H2616" s="8">
        <v>129.62</v>
      </c>
      <c r="I2616" s="8">
        <f t="shared" si="133"/>
        <v>-126.17000000000002</v>
      </c>
      <c r="J2616" s="12"/>
    </row>
    <row r="2617" spans="1:10" x14ac:dyDescent="0.25">
      <c r="E2617" s="4" t="s">
        <v>20</v>
      </c>
      <c r="G2617" s="8">
        <f>SUM(G2608:G2616)</f>
        <v>1059.69</v>
      </c>
      <c r="H2617" s="8">
        <f>SUM(H2608:H2616)</f>
        <v>1185.8600000000001</v>
      </c>
      <c r="I2617" s="8">
        <f>G2617-H2617</f>
        <v>-126.17000000000007</v>
      </c>
    </row>
    <row r="2619" spans="1:10" x14ac:dyDescent="0.25">
      <c r="A2619" s="5">
        <v>4305215</v>
      </c>
      <c r="B2619" s="6" t="s">
        <v>3968</v>
      </c>
      <c r="C2619" s="7"/>
      <c r="D2619" s="7"/>
      <c r="E2619" s="7"/>
      <c r="F2619" s="7"/>
      <c r="G2619" s="7"/>
      <c r="H2619" s="7"/>
      <c r="I2619" s="7"/>
      <c r="J2619" s="7"/>
    </row>
    <row r="2620" spans="1:10" x14ac:dyDescent="0.25">
      <c r="E2620" s="4" t="s">
        <v>10</v>
      </c>
      <c r="G2620" s="8">
        <v>32.450000000000003</v>
      </c>
      <c r="H2620" s="8">
        <v>0</v>
      </c>
      <c r="I2620" s="8">
        <f>G2620-H2620</f>
        <v>32.450000000000003</v>
      </c>
    </row>
    <row r="2621" spans="1:10" x14ac:dyDescent="0.25">
      <c r="C2621" s="9"/>
      <c r="D2621" s="10">
        <v>45659</v>
      </c>
      <c r="E2621" t="s">
        <v>1524</v>
      </c>
      <c r="F2621" s="11" t="s">
        <v>3969</v>
      </c>
      <c r="G2621" s="8">
        <v>0</v>
      </c>
      <c r="H2621" s="8">
        <v>32.450000000000003</v>
      </c>
      <c r="I2621" s="8">
        <f t="shared" ref="I2621:I2628" si="134">G2621-H2621+I2620</f>
        <v>0</v>
      </c>
      <c r="J2621" s="12"/>
    </row>
    <row r="2622" spans="1:10" x14ac:dyDescent="0.25">
      <c r="C2622" s="9"/>
      <c r="D2622" s="10">
        <v>45671</v>
      </c>
      <c r="E2622" t="s">
        <v>3970</v>
      </c>
      <c r="F2622" s="11" t="s">
        <v>3971</v>
      </c>
      <c r="G2622" s="8">
        <v>183.1</v>
      </c>
      <c r="H2622" s="8">
        <v>0</v>
      </c>
      <c r="I2622" s="8">
        <f t="shared" si="134"/>
        <v>183.1</v>
      </c>
      <c r="J2622" s="12"/>
    </row>
    <row r="2623" spans="1:10" x14ac:dyDescent="0.25">
      <c r="C2623" s="9"/>
      <c r="D2623" s="10">
        <v>45672</v>
      </c>
      <c r="E2623" t="s">
        <v>1524</v>
      </c>
      <c r="F2623" s="11" t="s">
        <v>3971</v>
      </c>
      <c r="G2623" s="8">
        <v>0</v>
      </c>
      <c r="H2623" s="8">
        <v>183.1</v>
      </c>
      <c r="I2623" s="8">
        <f t="shared" si="134"/>
        <v>0</v>
      </c>
      <c r="J2623" s="12"/>
    </row>
    <row r="2624" spans="1:10" x14ac:dyDescent="0.25">
      <c r="C2624" s="9"/>
      <c r="D2624" s="10">
        <v>45702</v>
      </c>
      <c r="E2624" t="s">
        <v>3972</v>
      </c>
      <c r="F2624" s="11" t="s">
        <v>3973</v>
      </c>
      <c r="G2624" s="8">
        <v>73.86</v>
      </c>
      <c r="H2624" s="8">
        <v>0</v>
      </c>
      <c r="I2624" s="8">
        <f t="shared" si="134"/>
        <v>73.86</v>
      </c>
      <c r="J2624" s="12"/>
    </row>
    <row r="2625" spans="1:10" x14ac:dyDescent="0.25">
      <c r="C2625" s="9"/>
      <c r="D2625" s="10">
        <v>45705</v>
      </c>
      <c r="E2625" t="s">
        <v>1524</v>
      </c>
      <c r="F2625" s="11" t="s">
        <v>3973</v>
      </c>
      <c r="G2625" s="8">
        <v>0</v>
      </c>
      <c r="H2625" s="8">
        <v>73.86</v>
      </c>
      <c r="I2625" s="8">
        <f t="shared" si="134"/>
        <v>0</v>
      </c>
      <c r="J2625" s="12"/>
    </row>
    <row r="2626" spans="1:10" x14ac:dyDescent="0.25">
      <c r="C2626" s="9"/>
      <c r="D2626" s="10">
        <v>45747</v>
      </c>
      <c r="E2626" t="s">
        <v>3974</v>
      </c>
      <c r="F2626" s="11" t="s">
        <v>3975</v>
      </c>
      <c r="G2626" s="8">
        <v>73.959999999999994</v>
      </c>
      <c r="H2626" s="8">
        <v>0</v>
      </c>
      <c r="I2626" s="8">
        <f t="shared" si="134"/>
        <v>73.959999999999994</v>
      </c>
      <c r="J2626" s="12"/>
    </row>
    <row r="2627" spans="1:10" x14ac:dyDescent="0.25">
      <c r="C2627" s="9" t="s">
        <v>124</v>
      </c>
      <c r="D2627" s="10">
        <v>45748</v>
      </c>
      <c r="E2627" t="s">
        <v>3976</v>
      </c>
      <c r="F2627" s="11" t="s">
        <v>3975</v>
      </c>
      <c r="G2627" s="8">
        <v>0</v>
      </c>
      <c r="H2627" s="8">
        <v>73.959999999999994</v>
      </c>
      <c r="I2627" s="8">
        <f t="shared" si="134"/>
        <v>0</v>
      </c>
      <c r="J2627" s="12"/>
    </row>
    <row r="2628" spans="1:10" x14ac:dyDescent="0.25">
      <c r="C2628" s="9"/>
      <c r="D2628" s="10">
        <v>45762</v>
      </c>
      <c r="E2628" t="s">
        <v>1524</v>
      </c>
      <c r="F2628" s="11" t="s">
        <v>3977</v>
      </c>
      <c r="G2628" s="8">
        <v>0</v>
      </c>
      <c r="H2628" s="8">
        <v>39.93</v>
      </c>
      <c r="I2628" s="8">
        <f t="shared" si="134"/>
        <v>-39.93</v>
      </c>
      <c r="J2628" s="12"/>
    </row>
    <row r="2629" spans="1:10" x14ac:dyDescent="0.25">
      <c r="E2629" s="4" t="s">
        <v>20</v>
      </c>
      <c r="G2629" s="8">
        <f>SUM(G2620:G2628)</f>
        <v>363.37</v>
      </c>
      <c r="H2629" s="8">
        <f>SUM(H2620:H2628)</f>
        <v>403.3</v>
      </c>
      <c r="I2629" s="8">
        <f>G2629-H2629</f>
        <v>-39.930000000000007</v>
      </c>
    </row>
    <row r="2631" spans="1:10" x14ac:dyDescent="0.25">
      <c r="A2631" s="5">
        <v>4305240</v>
      </c>
      <c r="B2631" s="6" t="s">
        <v>3978</v>
      </c>
      <c r="C2631" s="7"/>
      <c r="D2631" s="7"/>
      <c r="E2631" s="7"/>
      <c r="F2631" s="7"/>
      <c r="G2631" s="7"/>
      <c r="H2631" s="7"/>
      <c r="I2631" s="7"/>
      <c r="J2631" s="7"/>
    </row>
    <row r="2632" spans="1:10" x14ac:dyDescent="0.25">
      <c r="E2632" s="4" t="s">
        <v>10</v>
      </c>
      <c r="G2632" s="8">
        <v>1317.64</v>
      </c>
      <c r="H2632" s="8">
        <v>0</v>
      </c>
      <c r="I2632" s="8">
        <f>G2632-H2632</f>
        <v>1317.64</v>
      </c>
    </row>
    <row r="2633" spans="1:10" x14ac:dyDescent="0.25">
      <c r="C2633" s="9"/>
      <c r="D2633" s="10">
        <v>45660</v>
      </c>
      <c r="E2633" t="s">
        <v>1524</v>
      </c>
      <c r="F2633" s="11" t="s">
        <v>3979</v>
      </c>
      <c r="G2633" s="8">
        <v>0</v>
      </c>
      <c r="H2633" s="8">
        <v>1317.64</v>
      </c>
      <c r="I2633" s="8">
        <f t="shared" ref="I2633:I2646" si="135">G2633-H2633+I2632</f>
        <v>0</v>
      </c>
      <c r="J2633" s="12"/>
    </row>
    <row r="2634" spans="1:10" x14ac:dyDescent="0.25">
      <c r="C2634" s="9"/>
      <c r="D2634" s="10">
        <v>45671</v>
      </c>
      <c r="E2634" t="s">
        <v>3980</v>
      </c>
      <c r="F2634" s="11" t="s">
        <v>3981</v>
      </c>
      <c r="G2634" s="8">
        <v>116.29</v>
      </c>
      <c r="H2634" s="8">
        <v>0</v>
      </c>
      <c r="I2634" s="8">
        <f t="shared" si="135"/>
        <v>116.29</v>
      </c>
      <c r="J2634" s="12"/>
    </row>
    <row r="2635" spans="1:10" x14ac:dyDescent="0.25">
      <c r="C2635" s="9"/>
      <c r="D2635" s="10">
        <v>45672</v>
      </c>
      <c r="E2635" t="s">
        <v>1524</v>
      </c>
      <c r="F2635" s="11" t="s">
        <v>3981</v>
      </c>
      <c r="G2635" s="8">
        <v>0</v>
      </c>
      <c r="H2635" s="8">
        <v>116.29</v>
      </c>
      <c r="I2635" s="8">
        <f t="shared" si="135"/>
        <v>0</v>
      </c>
      <c r="J2635" s="12"/>
    </row>
    <row r="2636" spans="1:10" x14ac:dyDescent="0.25">
      <c r="C2636" s="9"/>
      <c r="D2636" s="10">
        <v>45688</v>
      </c>
      <c r="E2636" t="s">
        <v>3982</v>
      </c>
      <c r="F2636" s="11" t="s">
        <v>3983</v>
      </c>
      <c r="G2636" s="8">
        <v>402.06</v>
      </c>
      <c r="H2636" s="8">
        <v>0</v>
      </c>
      <c r="I2636" s="8">
        <f t="shared" si="135"/>
        <v>402.06</v>
      </c>
      <c r="J2636" s="12"/>
    </row>
    <row r="2637" spans="1:10" x14ac:dyDescent="0.25">
      <c r="C2637" s="9" t="s">
        <v>124</v>
      </c>
      <c r="D2637" s="10">
        <v>45691</v>
      </c>
      <c r="E2637" t="s">
        <v>3984</v>
      </c>
      <c r="F2637" s="11" t="s">
        <v>3983</v>
      </c>
      <c r="G2637" s="8">
        <v>0</v>
      </c>
      <c r="H2637" s="8">
        <v>402.06</v>
      </c>
      <c r="I2637" s="8">
        <f t="shared" si="135"/>
        <v>0</v>
      </c>
      <c r="J2637" s="12"/>
    </row>
    <row r="2638" spans="1:10" x14ac:dyDescent="0.25">
      <c r="C2638" s="9"/>
      <c r="D2638" s="10">
        <v>45702</v>
      </c>
      <c r="E2638" t="s">
        <v>3985</v>
      </c>
      <c r="F2638" s="11" t="s">
        <v>3986</v>
      </c>
      <c r="G2638" s="8">
        <v>542.66</v>
      </c>
      <c r="H2638" s="8">
        <v>0</v>
      </c>
      <c r="I2638" s="8">
        <f t="shared" si="135"/>
        <v>542.66</v>
      </c>
      <c r="J2638" s="12"/>
    </row>
    <row r="2639" spans="1:10" x14ac:dyDescent="0.25">
      <c r="C2639" s="9"/>
      <c r="D2639" s="10">
        <v>45705</v>
      </c>
      <c r="E2639" t="s">
        <v>1524</v>
      </c>
      <c r="F2639" s="11" t="s">
        <v>3986</v>
      </c>
      <c r="G2639" s="8">
        <v>0</v>
      </c>
      <c r="H2639" s="8">
        <v>542.66</v>
      </c>
      <c r="I2639" s="8">
        <f t="shared" si="135"/>
        <v>0</v>
      </c>
      <c r="J2639" s="12"/>
    </row>
    <row r="2640" spans="1:10" x14ac:dyDescent="0.25">
      <c r="C2640" s="9"/>
      <c r="D2640" s="10">
        <v>45716</v>
      </c>
      <c r="E2640" t="s">
        <v>3987</v>
      </c>
      <c r="F2640" s="11" t="s">
        <v>3988</v>
      </c>
      <c r="G2640" s="8">
        <v>567.85</v>
      </c>
      <c r="H2640" s="8">
        <v>0</v>
      </c>
      <c r="I2640" s="8">
        <f t="shared" si="135"/>
        <v>567.85</v>
      </c>
      <c r="J2640" s="12"/>
    </row>
    <row r="2641" spans="1:10" x14ac:dyDescent="0.25">
      <c r="C2641" s="9"/>
      <c r="D2641" s="10">
        <v>45730</v>
      </c>
      <c r="E2641" t="s">
        <v>3989</v>
      </c>
      <c r="F2641" s="11" t="s">
        <v>3990</v>
      </c>
      <c r="G2641" s="8">
        <v>89.94</v>
      </c>
      <c r="H2641" s="8">
        <v>0</v>
      </c>
      <c r="I2641" s="8">
        <f t="shared" si="135"/>
        <v>657.79</v>
      </c>
      <c r="J2641" s="12"/>
    </row>
    <row r="2642" spans="1:10" x14ac:dyDescent="0.25">
      <c r="C2642" s="9"/>
      <c r="D2642" s="10">
        <v>45733</v>
      </c>
      <c r="E2642" t="s">
        <v>1524</v>
      </c>
      <c r="F2642" s="11" t="s">
        <v>3988</v>
      </c>
      <c r="G2642" s="8">
        <v>0</v>
      </c>
      <c r="H2642" s="8">
        <v>567.85</v>
      </c>
      <c r="I2642" s="8">
        <f t="shared" si="135"/>
        <v>89.939999999999941</v>
      </c>
      <c r="J2642" s="12"/>
    </row>
    <row r="2643" spans="1:10" x14ac:dyDescent="0.25">
      <c r="C2643" s="9"/>
      <c r="D2643" s="10">
        <v>45733</v>
      </c>
      <c r="E2643" t="s">
        <v>1524</v>
      </c>
      <c r="F2643" s="11" t="s">
        <v>3990</v>
      </c>
      <c r="G2643" s="8">
        <v>0</v>
      </c>
      <c r="H2643" s="8">
        <v>89.94</v>
      </c>
      <c r="I2643" s="8">
        <f t="shared" si="135"/>
        <v>0</v>
      </c>
      <c r="J2643" s="12"/>
    </row>
    <row r="2644" spans="1:10" x14ac:dyDescent="0.25">
      <c r="C2644" s="9"/>
      <c r="D2644" s="10">
        <v>45747</v>
      </c>
      <c r="E2644" t="s">
        <v>3991</v>
      </c>
      <c r="F2644" s="11" t="s">
        <v>3992</v>
      </c>
      <c r="G2644" s="8">
        <v>120.48</v>
      </c>
      <c r="H2644" s="8">
        <v>0</v>
      </c>
      <c r="I2644" s="8">
        <f t="shared" si="135"/>
        <v>120.48</v>
      </c>
      <c r="J2644" s="12"/>
    </row>
    <row r="2645" spans="1:10" x14ac:dyDescent="0.25">
      <c r="C2645" s="9"/>
      <c r="D2645" s="10">
        <v>45748</v>
      </c>
      <c r="E2645" t="s">
        <v>3993</v>
      </c>
      <c r="F2645" s="11" t="s">
        <v>42</v>
      </c>
      <c r="G2645" s="8">
        <v>0</v>
      </c>
      <c r="H2645" s="8">
        <v>120.48</v>
      </c>
      <c r="I2645" s="8">
        <f t="shared" si="135"/>
        <v>0</v>
      </c>
      <c r="J2645" s="12"/>
    </row>
    <row r="2646" spans="1:10" x14ac:dyDescent="0.25">
      <c r="C2646" s="9"/>
      <c r="D2646" s="10">
        <v>45762</v>
      </c>
      <c r="E2646" t="s">
        <v>3993</v>
      </c>
      <c r="F2646" s="11" t="s">
        <v>42</v>
      </c>
      <c r="G2646" s="8">
        <v>0</v>
      </c>
      <c r="H2646" s="8">
        <v>164.2</v>
      </c>
      <c r="I2646" s="8">
        <f t="shared" si="135"/>
        <v>-164.2</v>
      </c>
      <c r="J2646" s="12"/>
    </row>
    <row r="2647" spans="1:10" x14ac:dyDescent="0.25">
      <c r="E2647" s="4" t="s">
        <v>20</v>
      </c>
      <c r="G2647" s="8">
        <f>SUM(G2632:G2646)</f>
        <v>3156.92</v>
      </c>
      <c r="H2647" s="8">
        <f>SUM(H2632:H2646)</f>
        <v>3321.12</v>
      </c>
      <c r="I2647" s="8">
        <f>G2647-H2647</f>
        <v>-164.19999999999982</v>
      </c>
    </row>
    <row r="2649" spans="1:10" x14ac:dyDescent="0.25">
      <c r="A2649" s="5">
        <v>4305245</v>
      </c>
      <c r="B2649" s="6" t="s">
        <v>3994</v>
      </c>
      <c r="C2649" s="7"/>
      <c r="D2649" s="7"/>
      <c r="E2649" s="7"/>
      <c r="F2649" s="7"/>
      <c r="G2649" s="7"/>
      <c r="H2649" s="7"/>
      <c r="I2649" s="7"/>
      <c r="J2649" s="7"/>
    </row>
    <row r="2650" spans="1:10" x14ac:dyDescent="0.25">
      <c r="C2650" s="9"/>
      <c r="D2650" s="10">
        <v>45671</v>
      </c>
      <c r="E2650" t="s">
        <v>3995</v>
      </c>
      <c r="F2650" s="11" t="s">
        <v>3996</v>
      </c>
      <c r="G2650" s="8">
        <v>89.72</v>
      </c>
      <c r="H2650" s="8">
        <v>0</v>
      </c>
      <c r="I2650" s="8">
        <f>G2650-H2650</f>
        <v>89.72</v>
      </c>
      <c r="J2650" s="12"/>
    </row>
    <row r="2651" spans="1:10" x14ac:dyDescent="0.25">
      <c r="C2651" s="9"/>
      <c r="D2651" s="10">
        <v>45672</v>
      </c>
      <c r="E2651" t="s">
        <v>1524</v>
      </c>
      <c r="F2651" s="11" t="s">
        <v>3996</v>
      </c>
      <c r="G2651" s="8">
        <v>0</v>
      </c>
      <c r="H2651" s="8">
        <v>89.72</v>
      </c>
      <c r="I2651" s="8">
        <f t="shared" ref="I2651:I2658" si="136">G2651-H2651+I2650</f>
        <v>0</v>
      </c>
      <c r="J2651" s="12"/>
    </row>
    <row r="2652" spans="1:10" x14ac:dyDescent="0.25">
      <c r="C2652" s="9"/>
      <c r="D2652" s="10">
        <v>45702</v>
      </c>
      <c r="E2652" t="s">
        <v>3997</v>
      </c>
      <c r="F2652" s="11" t="s">
        <v>3998</v>
      </c>
      <c r="G2652" s="8">
        <v>158.69999999999999</v>
      </c>
      <c r="H2652" s="8">
        <v>0</v>
      </c>
      <c r="I2652" s="8">
        <f t="shared" si="136"/>
        <v>158.69999999999999</v>
      </c>
      <c r="J2652" s="12"/>
    </row>
    <row r="2653" spans="1:10" x14ac:dyDescent="0.25">
      <c r="C2653" s="9"/>
      <c r="D2653" s="10">
        <v>45705</v>
      </c>
      <c r="E2653" t="s">
        <v>1524</v>
      </c>
      <c r="F2653" s="11" t="s">
        <v>3998</v>
      </c>
      <c r="G2653" s="8">
        <v>0</v>
      </c>
      <c r="H2653" s="8">
        <v>158.69999999999999</v>
      </c>
      <c r="I2653" s="8">
        <f t="shared" si="136"/>
        <v>0</v>
      </c>
      <c r="J2653" s="12"/>
    </row>
    <row r="2654" spans="1:10" x14ac:dyDescent="0.25">
      <c r="C2654" s="9"/>
      <c r="D2654" s="10">
        <v>45730</v>
      </c>
      <c r="E2654" t="s">
        <v>3999</v>
      </c>
      <c r="F2654" s="11" t="s">
        <v>4000</v>
      </c>
      <c r="G2654" s="8">
        <v>53.6</v>
      </c>
      <c r="H2654" s="8">
        <v>0</v>
      </c>
      <c r="I2654" s="8">
        <f t="shared" si="136"/>
        <v>53.6</v>
      </c>
      <c r="J2654" s="12"/>
    </row>
    <row r="2655" spans="1:10" x14ac:dyDescent="0.25">
      <c r="C2655" s="9"/>
      <c r="D2655" s="10">
        <v>45733</v>
      </c>
      <c r="E2655" t="s">
        <v>1524</v>
      </c>
      <c r="F2655" s="11" t="s">
        <v>4000</v>
      </c>
      <c r="G2655" s="8">
        <v>0</v>
      </c>
      <c r="H2655" s="8">
        <v>53.6</v>
      </c>
      <c r="I2655" s="8">
        <f t="shared" si="136"/>
        <v>0</v>
      </c>
      <c r="J2655" s="12"/>
    </row>
    <row r="2656" spans="1:10" x14ac:dyDescent="0.25">
      <c r="C2656" s="9"/>
      <c r="D2656" s="10">
        <v>45747</v>
      </c>
      <c r="E2656" t="s">
        <v>4001</v>
      </c>
      <c r="F2656" s="11" t="s">
        <v>4002</v>
      </c>
      <c r="G2656" s="8">
        <v>225.94</v>
      </c>
      <c r="H2656" s="8">
        <v>0</v>
      </c>
      <c r="I2656" s="8">
        <f t="shared" si="136"/>
        <v>225.94</v>
      </c>
      <c r="J2656" s="12"/>
    </row>
    <row r="2657" spans="1:10" x14ac:dyDescent="0.25">
      <c r="C2657" s="9"/>
      <c r="D2657" s="10">
        <v>45748</v>
      </c>
      <c r="E2657" t="s">
        <v>1524</v>
      </c>
      <c r="F2657" s="11" t="s">
        <v>4002</v>
      </c>
      <c r="G2657" s="8">
        <v>0</v>
      </c>
      <c r="H2657" s="8">
        <v>225.94</v>
      </c>
      <c r="I2657" s="8">
        <f t="shared" si="136"/>
        <v>0</v>
      </c>
      <c r="J2657" s="12"/>
    </row>
    <row r="2658" spans="1:10" x14ac:dyDescent="0.25">
      <c r="C2658" s="9"/>
      <c r="D2658" s="10">
        <v>45762</v>
      </c>
      <c r="E2658" t="s">
        <v>4003</v>
      </c>
      <c r="F2658" s="11" t="s">
        <v>42</v>
      </c>
      <c r="G2658" s="8">
        <v>0</v>
      </c>
      <c r="H2658" s="8">
        <v>791.92</v>
      </c>
      <c r="I2658" s="8">
        <f t="shared" si="136"/>
        <v>-791.92</v>
      </c>
      <c r="J2658" s="12"/>
    </row>
    <row r="2659" spans="1:10" x14ac:dyDescent="0.25">
      <c r="E2659" s="4" t="s">
        <v>20</v>
      </c>
      <c r="G2659" s="8">
        <f>SUM(G2650:G2658)</f>
        <v>527.96</v>
      </c>
      <c r="H2659" s="8">
        <f>SUM(H2650:H2658)</f>
        <v>1319.88</v>
      </c>
      <c r="I2659" s="8">
        <f>G2659-H2659</f>
        <v>-791.92000000000007</v>
      </c>
    </row>
    <row r="2661" spans="1:10" x14ac:dyDescent="0.25">
      <c r="A2661" s="5">
        <v>4305270</v>
      </c>
      <c r="B2661" s="6" t="s">
        <v>4004</v>
      </c>
      <c r="C2661" s="7"/>
      <c r="D2661" s="7"/>
      <c r="E2661" s="7"/>
      <c r="F2661" s="7"/>
      <c r="G2661" s="7"/>
      <c r="H2661" s="7"/>
      <c r="I2661" s="7"/>
      <c r="J2661" s="7"/>
    </row>
    <row r="2662" spans="1:10" x14ac:dyDescent="0.25">
      <c r="E2662" s="4" t="s">
        <v>10</v>
      </c>
      <c r="G2662" s="8">
        <v>18.71</v>
      </c>
      <c r="H2662" s="8">
        <v>0</v>
      </c>
      <c r="I2662" s="8">
        <f>G2662-H2662</f>
        <v>18.71</v>
      </c>
    </row>
    <row r="2663" spans="1:10" x14ac:dyDescent="0.25">
      <c r="C2663" s="9"/>
      <c r="D2663" s="10">
        <v>45671</v>
      </c>
      <c r="E2663" t="s">
        <v>4005</v>
      </c>
      <c r="F2663" s="11" t="s">
        <v>4006</v>
      </c>
      <c r="G2663" s="8">
        <v>87.52</v>
      </c>
      <c r="H2663" s="8">
        <v>0</v>
      </c>
      <c r="I2663" s="8">
        <f t="shared" ref="I2663:I2673" si="137">G2663-H2663+I2662</f>
        <v>106.22999999999999</v>
      </c>
      <c r="J2663" s="12"/>
    </row>
    <row r="2664" spans="1:10" x14ac:dyDescent="0.25">
      <c r="C2664" s="9"/>
      <c r="D2664" s="10">
        <v>45672</v>
      </c>
      <c r="E2664" t="s">
        <v>4007</v>
      </c>
      <c r="F2664" s="11" t="s">
        <v>42</v>
      </c>
      <c r="G2664" s="8">
        <v>0</v>
      </c>
      <c r="H2664" s="8">
        <v>106.23</v>
      </c>
      <c r="I2664" s="8">
        <f t="shared" si="137"/>
        <v>0</v>
      </c>
      <c r="J2664" s="12"/>
    </row>
    <row r="2665" spans="1:10" x14ac:dyDescent="0.25">
      <c r="C2665" s="9"/>
      <c r="D2665" s="10">
        <v>45688</v>
      </c>
      <c r="E2665" t="s">
        <v>4008</v>
      </c>
      <c r="F2665" s="11" t="s">
        <v>4009</v>
      </c>
      <c r="G2665" s="8">
        <v>231.45</v>
      </c>
      <c r="H2665" s="8">
        <v>0</v>
      </c>
      <c r="I2665" s="8">
        <f t="shared" si="137"/>
        <v>231.45</v>
      </c>
      <c r="J2665" s="12"/>
    </row>
    <row r="2666" spans="1:10" x14ac:dyDescent="0.25">
      <c r="C2666" s="9" t="s">
        <v>124</v>
      </c>
      <c r="D2666" s="10">
        <v>45691</v>
      </c>
      <c r="E2666" t="s">
        <v>4010</v>
      </c>
      <c r="F2666" s="11" t="s">
        <v>4009</v>
      </c>
      <c r="G2666" s="8">
        <v>0</v>
      </c>
      <c r="H2666" s="8">
        <v>231.45</v>
      </c>
      <c r="I2666" s="8">
        <f t="shared" si="137"/>
        <v>0</v>
      </c>
      <c r="J2666" s="12"/>
    </row>
    <row r="2667" spans="1:10" x14ac:dyDescent="0.25">
      <c r="C2667" s="9"/>
      <c r="D2667" s="10">
        <v>45702</v>
      </c>
      <c r="E2667" t="s">
        <v>4011</v>
      </c>
      <c r="F2667" s="11" t="s">
        <v>4012</v>
      </c>
      <c r="G2667" s="8">
        <v>173.2</v>
      </c>
      <c r="H2667" s="8">
        <v>0</v>
      </c>
      <c r="I2667" s="8">
        <f t="shared" si="137"/>
        <v>173.2</v>
      </c>
      <c r="J2667" s="12"/>
    </row>
    <row r="2668" spans="1:10" x14ac:dyDescent="0.25">
      <c r="C2668" s="9"/>
      <c r="D2668" s="10">
        <v>45705</v>
      </c>
      <c r="E2668" t="s">
        <v>1524</v>
      </c>
      <c r="F2668" s="11" t="s">
        <v>4012</v>
      </c>
      <c r="G2668" s="8">
        <v>0</v>
      </c>
      <c r="H2668" s="8">
        <v>173.2</v>
      </c>
      <c r="I2668" s="8">
        <f t="shared" si="137"/>
        <v>0</v>
      </c>
      <c r="J2668" s="12"/>
    </row>
    <row r="2669" spans="1:10" x14ac:dyDescent="0.25">
      <c r="C2669" s="9"/>
      <c r="D2669" s="10">
        <v>45730</v>
      </c>
      <c r="E2669" t="s">
        <v>4013</v>
      </c>
      <c r="F2669" s="11" t="s">
        <v>4014</v>
      </c>
      <c r="G2669" s="8">
        <v>65.510000000000005</v>
      </c>
      <c r="H2669" s="8">
        <v>0</v>
      </c>
      <c r="I2669" s="8">
        <f t="shared" si="137"/>
        <v>65.510000000000005</v>
      </c>
      <c r="J2669" s="12"/>
    </row>
    <row r="2670" spans="1:10" x14ac:dyDescent="0.25">
      <c r="C2670" s="9"/>
      <c r="D2670" s="10">
        <v>45733</v>
      </c>
      <c r="E2670" t="s">
        <v>4007</v>
      </c>
      <c r="F2670" s="11" t="s">
        <v>42</v>
      </c>
      <c r="G2670" s="8">
        <v>0</v>
      </c>
      <c r="H2670" s="8">
        <v>65.510000000000005</v>
      </c>
      <c r="I2670" s="8">
        <f t="shared" si="137"/>
        <v>0</v>
      </c>
      <c r="J2670" s="12"/>
    </row>
    <row r="2671" spans="1:10" x14ac:dyDescent="0.25">
      <c r="C2671" s="9"/>
      <c r="D2671" s="10">
        <v>45747</v>
      </c>
      <c r="E2671" t="s">
        <v>4015</v>
      </c>
      <c r="F2671" s="11" t="s">
        <v>4016</v>
      </c>
      <c r="G2671" s="8">
        <v>64.05</v>
      </c>
      <c r="H2671" s="8">
        <v>0</v>
      </c>
      <c r="I2671" s="8">
        <f t="shared" si="137"/>
        <v>64.05</v>
      </c>
      <c r="J2671" s="12"/>
    </row>
    <row r="2672" spans="1:10" x14ac:dyDescent="0.25">
      <c r="C2672" s="9"/>
      <c r="D2672" s="10">
        <v>45748</v>
      </c>
      <c r="E2672" t="s">
        <v>1524</v>
      </c>
      <c r="F2672" s="11" t="s">
        <v>4016</v>
      </c>
      <c r="G2672" s="8">
        <v>0</v>
      </c>
      <c r="H2672" s="8">
        <v>64.05</v>
      </c>
      <c r="I2672" s="8">
        <f t="shared" si="137"/>
        <v>0</v>
      </c>
      <c r="J2672" s="12"/>
    </row>
    <row r="2673" spans="1:10" x14ac:dyDescent="0.25">
      <c r="C2673" s="9"/>
      <c r="D2673" s="10">
        <v>45762</v>
      </c>
      <c r="E2673" t="s">
        <v>4007</v>
      </c>
      <c r="F2673" s="11" t="s">
        <v>42</v>
      </c>
      <c r="G2673" s="8">
        <v>0</v>
      </c>
      <c r="H2673" s="8">
        <v>164.87</v>
      </c>
      <c r="I2673" s="8">
        <f t="shared" si="137"/>
        <v>-164.87</v>
      </c>
      <c r="J2673" s="12"/>
    </row>
    <row r="2674" spans="1:10" x14ac:dyDescent="0.25">
      <c r="E2674" s="4" t="s">
        <v>20</v>
      </c>
      <c r="G2674" s="8">
        <f>SUM(G2662:G2673)</f>
        <v>640.43999999999994</v>
      </c>
      <c r="H2674" s="8">
        <f>SUM(H2662:H2673)</f>
        <v>805.31</v>
      </c>
      <c r="I2674" s="8">
        <f>G2674-H2674</f>
        <v>-164.87</v>
      </c>
    </row>
    <row r="2676" spans="1:10" x14ac:dyDescent="0.25">
      <c r="A2676" s="5">
        <v>4305315</v>
      </c>
      <c r="B2676" s="6" t="s">
        <v>4017</v>
      </c>
      <c r="C2676" s="7"/>
      <c r="D2676" s="7"/>
      <c r="E2676" s="7"/>
      <c r="F2676" s="7"/>
      <c r="G2676" s="7"/>
      <c r="H2676" s="7"/>
      <c r="I2676" s="7"/>
      <c r="J2676" s="7"/>
    </row>
    <row r="2677" spans="1:10" x14ac:dyDescent="0.25">
      <c r="E2677" s="4" t="s">
        <v>10</v>
      </c>
      <c r="G2677" s="8">
        <v>11.3</v>
      </c>
      <c r="H2677" s="8">
        <v>0</v>
      </c>
      <c r="I2677" s="8">
        <f>G2677-H2677</f>
        <v>11.3</v>
      </c>
    </row>
    <row r="2678" spans="1:10" x14ac:dyDescent="0.25">
      <c r="E2678" s="4" t="s">
        <v>20</v>
      </c>
      <c r="G2678" s="8">
        <f>G2677</f>
        <v>11.3</v>
      </c>
      <c r="H2678" s="8">
        <f>H2677</f>
        <v>0</v>
      </c>
      <c r="I2678" s="8">
        <f>G2678-H2678</f>
        <v>11.3</v>
      </c>
    </row>
    <row r="2680" spans="1:10" x14ac:dyDescent="0.25">
      <c r="A2680" s="5">
        <v>4305320</v>
      </c>
      <c r="B2680" s="6" t="s">
        <v>4018</v>
      </c>
      <c r="C2680" s="7"/>
      <c r="D2680" s="7"/>
      <c r="E2680" s="7"/>
      <c r="F2680" s="7"/>
      <c r="G2680" s="7"/>
      <c r="H2680" s="7"/>
      <c r="I2680" s="7"/>
      <c r="J2680" s="7"/>
    </row>
    <row r="2681" spans="1:10" x14ac:dyDescent="0.25">
      <c r="E2681" s="4" t="s">
        <v>10</v>
      </c>
      <c r="G2681" s="8">
        <v>10.5</v>
      </c>
      <c r="H2681" s="8">
        <v>0</v>
      </c>
      <c r="I2681" s="8">
        <f>G2681-H2681</f>
        <v>10.5</v>
      </c>
    </row>
    <row r="2682" spans="1:10" x14ac:dyDescent="0.25">
      <c r="E2682" s="4" t="s">
        <v>20</v>
      </c>
      <c r="G2682" s="8">
        <f>G2681</f>
        <v>10.5</v>
      </c>
      <c r="H2682" s="8">
        <f>H2681</f>
        <v>0</v>
      </c>
      <c r="I2682" s="8">
        <f>G2682-H2682</f>
        <v>10.5</v>
      </c>
    </row>
    <row r="2684" spans="1:10" x14ac:dyDescent="0.25">
      <c r="A2684" s="5">
        <v>4305325</v>
      </c>
      <c r="B2684" s="6" t="s">
        <v>4019</v>
      </c>
      <c r="C2684" s="7"/>
      <c r="D2684" s="7"/>
      <c r="E2684" s="7"/>
      <c r="F2684" s="7"/>
      <c r="G2684" s="7"/>
      <c r="H2684" s="7"/>
      <c r="I2684" s="7"/>
      <c r="J2684" s="7"/>
    </row>
    <row r="2685" spans="1:10" x14ac:dyDescent="0.25">
      <c r="E2685" s="4" t="s">
        <v>10</v>
      </c>
      <c r="G2685" s="8">
        <v>52.02</v>
      </c>
      <c r="H2685" s="8">
        <v>0</v>
      </c>
      <c r="I2685" s="8">
        <f>G2685-H2685</f>
        <v>52.02</v>
      </c>
    </row>
    <row r="2686" spans="1:10" x14ac:dyDescent="0.25">
      <c r="C2686" s="9"/>
      <c r="D2686" s="10">
        <v>45660</v>
      </c>
      <c r="E2686" t="s">
        <v>1524</v>
      </c>
      <c r="F2686" s="11" t="s">
        <v>4020</v>
      </c>
      <c r="G2686" s="8">
        <v>0</v>
      </c>
      <c r="H2686" s="8">
        <v>52.02</v>
      </c>
      <c r="I2686" s="8">
        <f t="shared" ref="I2686:I2697" si="138">G2686-H2686+I2685</f>
        <v>0</v>
      </c>
      <c r="J2686" s="12"/>
    </row>
    <row r="2687" spans="1:10" x14ac:dyDescent="0.25">
      <c r="C2687" s="9"/>
      <c r="D2687" s="10">
        <v>45688</v>
      </c>
      <c r="E2687" t="s">
        <v>4021</v>
      </c>
      <c r="F2687" s="11" t="s">
        <v>4022</v>
      </c>
      <c r="G2687" s="8">
        <v>79.55</v>
      </c>
      <c r="H2687" s="8">
        <v>0</v>
      </c>
      <c r="I2687" s="8">
        <f t="shared" si="138"/>
        <v>79.55</v>
      </c>
      <c r="J2687" s="12"/>
    </row>
    <row r="2688" spans="1:10" x14ac:dyDescent="0.25">
      <c r="C2688" s="9" t="s">
        <v>124</v>
      </c>
      <c r="D2688" s="10">
        <v>45691</v>
      </c>
      <c r="E2688" t="s">
        <v>4023</v>
      </c>
      <c r="F2688" s="11" t="s">
        <v>4022</v>
      </c>
      <c r="G2688" s="8">
        <v>0</v>
      </c>
      <c r="H2688" s="8">
        <v>79.55</v>
      </c>
      <c r="I2688" s="8">
        <f t="shared" si="138"/>
        <v>0</v>
      </c>
      <c r="J2688" s="12"/>
    </row>
    <row r="2689" spans="1:10" x14ac:dyDescent="0.25">
      <c r="C2689" s="9"/>
      <c r="D2689" s="10">
        <v>45702</v>
      </c>
      <c r="E2689" t="s">
        <v>4024</v>
      </c>
      <c r="F2689" s="11" t="s">
        <v>4025</v>
      </c>
      <c r="G2689" s="8">
        <v>274.43</v>
      </c>
      <c r="H2689" s="8">
        <v>0</v>
      </c>
      <c r="I2689" s="8">
        <f t="shared" si="138"/>
        <v>274.43</v>
      </c>
      <c r="J2689" s="12"/>
    </row>
    <row r="2690" spans="1:10" x14ac:dyDescent="0.25">
      <c r="C2690" s="9"/>
      <c r="D2690" s="10">
        <v>45705</v>
      </c>
      <c r="E2690" t="s">
        <v>1524</v>
      </c>
      <c r="F2690" s="11" t="s">
        <v>4025</v>
      </c>
      <c r="G2690" s="8">
        <v>0</v>
      </c>
      <c r="H2690" s="8">
        <v>274.43</v>
      </c>
      <c r="I2690" s="8">
        <f t="shared" si="138"/>
        <v>0</v>
      </c>
      <c r="J2690" s="12"/>
    </row>
    <row r="2691" spans="1:10" x14ac:dyDescent="0.25">
      <c r="C2691" s="9"/>
      <c r="D2691" s="10">
        <v>45716</v>
      </c>
      <c r="E2691" t="s">
        <v>4026</v>
      </c>
      <c r="F2691" s="11" t="s">
        <v>4027</v>
      </c>
      <c r="G2691" s="8">
        <v>129.74</v>
      </c>
      <c r="H2691" s="8">
        <v>0</v>
      </c>
      <c r="I2691" s="8">
        <f t="shared" si="138"/>
        <v>129.74</v>
      </c>
      <c r="J2691" s="12"/>
    </row>
    <row r="2692" spans="1:10" x14ac:dyDescent="0.25">
      <c r="C2692" s="9"/>
      <c r="D2692" s="10">
        <v>45720</v>
      </c>
      <c r="E2692" t="s">
        <v>1524</v>
      </c>
      <c r="F2692" s="11" t="s">
        <v>4027</v>
      </c>
      <c r="G2692" s="8">
        <v>0</v>
      </c>
      <c r="H2692" s="8">
        <v>129.74</v>
      </c>
      <c r="I2692" s="8">
        <f t="shared" si="138"/>
        <v>0</v>
      </c>
      <c r="J2692" s="12"/>
    </row>
    <row r="2693" spans="1:10" x14ac:dyDescent="0.25">
      <c r="C2693" s="9"/>
      <c r="D2693" s="10">
        <v>45730</v>
      </c>
      <c r="E2693" t="s">
        <v>4028</v>
      </c>
      <c r="F2693" s="11" t="s">
        <v>4029</v>
      </c>
      <c r="G2693" s="8">
        <v>66.040000000000006</v>
      </c>
      <c r="H2693" s="8">
        <v>0</v>
      </c>
      <c r="I2693" s="8">
        <f t="shared" si="138"/>
        <v>66.040000000000006</v>
      </c>
      <c r="J2693" s="12"/>
    </row>
    <row r="2694" spans="1:10" x14ac:dyDescent="0.25">
      <c r="C2694" s="9"/>
      <c r="D2694" s="10">
        <v>45733</v>
      </c>
      <c r="E2694" t="s">
        <v>1524</v>
      </c>
      <c r="F2694" s="11" t="s">
        <v>4029</v>
      </c>
      <c r="G2694" s="8">
        <v>0</v>
      </c>
      <c r="H2694" s="8">
        <v>66.040000000000006</v>
      </c>
      <c r="I2694" s="8">
        <f t="shared" si="138"/>
        <v>0</v>
      </c>
      <c r="J2694" s="12"/>
    </row>
    <row r="2695" spans="1:10" x14ac:dyDescent="0.25">
      <c r="C2695" s="9"/>
      <c r="D2695" s="10">
        <v>45747</v>
      </c>
      <c r="E2695" t="s">
        <v>4030</v>
      </c>
      <c r="F2695" s="11" t="s">
        <v>4031</v>
      </c>
      <c r="G2695" s="8">
        <v>90.87</v>
      </c>
      <c r="H2695" s="8">
        <v>0</v>
      </c>
      <c r="I2695" s="8">
        <f t="shared" si="138"/>
        <v>90.87</v>
      </c>
      <c r="J2695" s="12"/>
    </row>
    <row r="2696" spans="1:10" x14ac:dyDescent="0.25">
      <c r="C2696" s="9"/>
      <c r="D2696" s="10">
        <v>45748</v>
      </c>
      <c r="E2696" t="s">
        <v>1524</v>
      </c>
      <c r="F2696" s="11" t="s">
        <v>4031</v>
      </c>
      <c r="G2696" s="8">
        <v>0</v>
      </c>
      <c r="H2696" s="8">
        <v>90.87</v>
      </c>
      <c r="I2696" s="8">
        <f t="shared" si="138"/>
        <v>0</v>
      </c>
      <c r="J2696" s="12"/>
    </row>
    <row r="2697" spans="1:10" x14ac:dyDescent="0.25">
      <c r="C2697" s="9"/>
      <c r="D2697" s="10">
        <v>45762</v>
      </c>
      <c r="E2697" t="s">
        <v>4032</v>
      </c>
      <c r="F2697" s="11" t="s">
        <v>42</v>
      </c>
      <c r="G2697" s="8">
        <v>0</v>
      </c>
      <c r="H2697" s="8">
        <v>153.88</v>
      </c>
      <c r="I2697" s="8">
        <f t="shared" si="138"/>
        <v>-153.88</v>
      </c>
      <c r="J2697" s="12"/>
    </row>
    <row r="2698" spans="1:10" x14ac:dyDescent="0.25">
      <c r="E2698" s="4" t="s">
        <v>20</v>
      </c>
      <c r="G2698" s="8">
        <f>SUM(G2685:G2697)</f>
        <v>692.65</v>
      </c>
      <c r="H2698" s="8">
        <f>SUM(H2685:H2697)</f>
        <v>846.53</v>
      </c>
      <c r="I2698" s="8">
        <f>G2698-H2698</f>
        <v>-153.88</v>
      </c>
    </row>
    <row r="2700" spans="1:10" x14ac:dyDescent="0.25">
      <c r="A2700" s="5">
        <v>4305335</v>
      </c>
      <c r="B2700" s="6" t="s">
        <v>4033</v>
      </c>
      <c r="C2700" s="7"/>
      <c r="D2700" s="7"/>
      <c r="E2700" s="7"/>
      <c r="F2700" s="7"/>
      <c r="G2700" s="7"/>
      <c r="H2700" s="7"/>
      <c r="I2700" s="7"/>
      <c r="J2700" s="7"/>
    </row>
    <row r="2701" spans="1:10" x14ac:dyDescent="0.25">
      <c r="E2701" s="4" t="s">
        <v>10</v>
      </c>
      <c r="G2701" s="8">
        <v>160.87</v>
      </c>
      <c r="H2701" s="8">
        <v>0</v>
      </c>
      <c r="I2701" s="8">
        <f>G2701-H2701</f>
        <v>160.87</v>
      </c>
    </row>
    <row r="2702" spans="1:10" x14ac:dyDescent="0.25">
      <c r="C2702" s="9"/>
      <c r="D2702" s="10">
        <v>45660</v>
      </c>
      <c r="E2702" t="s">
        <v>4034</v>
      </c>
      <c r="F2702" s="11" t="s">
        <v>42</v>
      </c>
      <c r="G2702" s="8">
        <v>0</v>
      </c>
      <c r="H2702" s="8">
        <v>160.87</v>
      </c>
      <c r="I2702" s="8">
        <f t="shared" ref="I2702:I2715" si="139">G2702-H2702+I2701</f>
        <v>0</v>
      </c>
      <c r="J2702" s="12"/>
    </row>
    <row r="2703" spans="1:10" x14ac:dyDescent="0.25">
      <c r="C2703" s="9"/>
      <c r="D2703" s="10">
        <v>45671</v>
      </c>
      <c r="E2703" t="s">
        <v>4035</v>
      </c>
      <c r="F2703" s="11" t="s">
        <v>4036</v>
      </c>
      <c r="G2703" s="8">
        <v>102.16</v>
      </c>
      <c r="H2703" s="8">
        <v>0</v>
      </c>
      <c r="I2703" s="8">
        <f t="shared" si="139"/>
        <v>102.16</v>
      </c>
      <c r="J2703" s="12"/>
    </row>
    <row r="2704" spans="1:10" x14ac:dyDescent="0.25">
      <c r="C2704" s="9"/>
      <c r="D2704" s="10">
        <v>45672</v>
      </c>
      <c r="E2704" t="s">
        <v>4034</v>
      </c>
      <c r="F2704" s="11" t="s">
        <v>42</v>
      </c>
      <c r="G2704" s="8">
        <v>0</v>
      </c>
      <c r="H2704" s="8">
        <v>102.16</v>
      </c>
      <c r="I2704" s="8">
        <f t="shared" si="139"/>
        <v>0</v>
      </c>
      <c r="J2704" s="12"/>
    </row>
    <row r="2705" spans="1:10" x14ac:dyDescent="0.25">
      <c r="C2705" s="9"/>
      <c r="D2705" s="10">
        <v>45688</v>
      </c>
      <c r="E2705" t="s">
        <v>4037</v>
      </c>
      <c r="F2705" s="11" t="s">
        <v>4038</v>
      </c>
      <c r="G2705" s="8">
        <v>739.27</v>
      </c>
      <c r="H2705" s="8">
        <v>0</v>
      </c>
      <c r="I2705" s="8">
        <f t="shared" si="139"/>
        <v>739.27</v>
      </c>
      <c r="J2705" s="12"/>
    </row>
    <row r="2706" spans="1:10" x14ac:dyDescent="0.25">
      <c r="C2706" s="9" t="s">
        <v>124</v>
      </c>
      <c r="D2706" s="10">
        <v>45691</v>
      </c>
      <c r="E2706" t="s">
        <v>4039</v>
      </c>
      <c r="F2706" s="11" t="s">
        <v>4038</v>
      </c>
      <c r="G2706" s="8">
        <v>0</v>
      </c>
      <c r="H2706" s="8">
        <v>739.27</v>
      </c>
      <c r="I2706" s="8">
        <f t="shared" si="139"/>
        <v>0</v>
      </c>
      <c r="J2706" s="12"/>
    </row>
    <row r="2707" spans="1:10" x14ac:dyDescent="0.25">
      <c r="C2707" s="9"/>
      <c r="D2707" s="10">
        <v>45702</v>
      </c>
      <c r="E2707" t="s">
        <v>4040</v>
      </c>
      <c r="F2707" s="11" t="s">
        <v>4041</v>
      </c>
      <c r="G2707" s="8">
        <v>548.79999999999995</v>
      </c>
      <c r="H2707" s="8">
        <v>0</v>
      </c>
      <c r="I2707" s="8">
        <f t="shared" si="139"/>
        <v>548.79999999999995</v>
      </c>
      <c r="J2707" s="12"/>
    </row>
    <row r="2708" spans="1:10" x14ac:dyDescent="0.25">
      <c r="C2708" s="9"/>
      <c r="D2708" s="10">
        <v>45705</v>
      </c>
      <c r="E2708" t="s">
        <v>1524</v>
      </c>
      <c r="F2708" s="11" t="s">
        <v>4041</v>
      </c>
      <c r="G2708" s="8">
        <v>0</v>
      </c>
      <c r="H2708" s="8">
        <v>548.79999999999995</v>
      </c>
      <c r="I2708" s="8">
        <f t="shared" si="139"/>
        <v>0</v>
      </c>
      <c r="J2708" s="12"/>
    </row>
    <row r="2709" spans="1:10" x14ac:dyDescent="0.25">
      <c r="C2709" s="9"/>
      <c r="D2709" s="10">
        <v>45716</v>
      </c>
      <c r="E2709" t="s">
        <v>4042</v>
      </c>
      <c r="F2709" s="11" t="s">
        <v>4043</v>
      </c>
      <c r="G2709" s="8">
        <v>860.43</v>
      </c>
      <c r="H2709" s="8">
        <v>0</v>
      </c>
      <c r="I2709" s="8">
        <f t="shared" si="139"/>
        <v>860.43</v>
      </c>
      <c r="J2709" s="12"/>
    </row>
    <row r="2710" spans="1:10" x14ac:dyDescent="0.25">
      <c r="C2710" s="9"/>
      <c r="D2710" s="10">
        <v>45730</v>
      </c>
      <c r="E2710" t="s">
        <v>4044</v>
      </c>
      <c r="F2710" s="11" t="s">
        <v>4045</v>
      </c>
      <c r="G2710" s="8">
        <v>413.18</v>
      </c>
      <c r="H2710" s="8">
        <v>0</v>
      </c>
      <c r="I2710" s="8">
        <f t="shared" si="139"/>
        <v>1273.6099999999999</v>
      </c>
      <c r="J2710" s="12"/>
    </row>
    <row r="2711" spans="1:10" x14ac:dyDescent="0.25">
      <c r="C2711" s="9"/>
      <c r="D2711" s="10">
        <v>45733</v>
      </c>
      <c r="E2711" t="s">
        <v>1524</v>
      </c>
      <c r="F2711" s="11" t="s">
        <v>4043</v>
      </c>
      <c r="G2711" s="8">
        <v>0</v>
      </c>
      <c r="H2711" s="8">
        <v>860.43</v>
      </c>
      <c r="I2711" s="8">
        <f t="shared" si="139"/>
        <v>413.17999999999995</v>
      </c>
      <c r="J2711" s="12"/>
    </row>
    <row r="2712" spans="1:10" x14ac:dyDescent="0.25">
      <c r="C2712" s="9"/>
      <c r="D2712" s="10">
        <v>45733</v>
      </c>
      <c r="E2712" t="s">
        <v>1524</v>
      </c>
      <c r="F2712" s="11" t="s">
        <v>4045</v>
      </c>
      <c r="G2712" s="8">
        <v>0</v>
      </c>
      <c r="H2712" s="8">
        <v>413.18</v>
      </c>
      <c r="I2712" s="8">
        <f t="shared" si="139"/>
        <v>0</v>
      </c>
      <c r="J2712" s="12"/>
    </row>
    <row r="2713" spans="1:10" x14ac:dyDescent="0.25">
      <c r="C2713" s="9"/>
      <c r="D2713" s="10">
        <v>45747</v>
      </c>
      <c r="E2713" t="s">
        <v>4046</v>
      </c>
      <c r="F2713" s="11" t="s">
        <v>4047</v>
      </c>
      <c r="G2713" s="8">
        <v>632.72</v>
      </c>
      <c r="H2713" s="8">
        <v>0</v>
      </c>
      <c r="I2713" s="8">
        <f t="shared" si="139"/>
        <v>632.72</v>
      </c>
      <c r="J2713" s="12"/>
    </row>
    <row r="2714" spans="1:10" x14ac:dyDescent="0.25">
      <c r="C2714" s="9"/>
      <c r="D2714" s="10">
        <v>45748</v>
      </c>
      <c r="E2714" t="s">
        <v>1524</v>
      </c>
      <c r="F2714" s="11" t="s">
        <v>4047</v>
      </c>
      <c r="G2714" s="8">
        <v>0</v>
      </c>
      <c r="H2714" s="8">
        <v>632.72</v>
      </c>
      <c r="I2714" s="8">
        <f t="shared" si="139"/>
        <v>0</v>
      </c>
      <c r="J2714" s="12"/>
    </row>
    <row r="2715" spans="1:10" x14ac:dyDescent="0.25">
      <c r="C2715" s="9"/>
      <c r="D2715" s="10">
        <v>45762</v>
      </c>
      <c r="E2715" t="s">
        <v>4034</v>
      </c>
      <c r="F2715" s="11" t="s">
        <v>42</v>
      </c>
      <c r="G2715" s="8">
        <v>0</v>
      </c>
      <c r="H2715" s="8">
        <v>63.84</v>
      </c>
      <c r="I2715" s="8">
        <f t="shared" si="139"/>
        <v>-63.84</v>
      </c>
      <c r="J2715" s="12"/>
    </row>
    <row r="2716" spans="1:10" x14ac:dyDescent="0.25">
      <c r="E2716" s="4" t="s">
        <v>20</v>
      </c>
      <c r="G2716" s="8">
        <f>SUM(G2701:G2715)</f>
        <v>3457.4299999999994</v>
      </c>
      <c r="H2716" s="8">
        <f>SUM(H2701:H2715)</f>
        <v>3521.2699999999995</v>
      </c>
      <c r="I2716" s="8">
        <f>G2716-H2716</f>
        <v>-63.840000000000146</v>
      </c>
    </row>
    <row r="2718" spans="1:10" x14ac:dyDescent="0.25">
      <c r="A2718" s="5">
        <v>4305346</v>
      </c>
      <c r="B2718" s="6" t="s">
        <v>4048</v>
      </c>
      <c r="C2718" s="7"/>
      <c r="D2718" s="7"/>
      <c r="E2718" s="7"/>
      <c r="F2718" s="7"/>
      <c r="G2718" s="7"/>
      <c r="H2718" s="7"/>
      <c r="I2718" s="7"/>
      <c r="J2718" s="7"/>
    </row>
    <row r="2719" spans="1:10" x14ac:dyDescent="0.25">
      <c r="E2719" s="4" t="s">
        <v>10</v>
      </c>
      <c r="G2719" s="8">
        <v>772.75</v>
      </c>
      <c r="H2719" s="8">
        <v>0</v>
      </c>
      <c r="I2719" s="8">
        <f>G2719-H2719</f>
        <v>772.75</v>
      </c>
    </row>
    <row r="2720" spans="1:10" x14ac:dyDescent="0.25">
      <c r="C2720" s="9"/>
      <c r="D2720" s="10">
        <v>45688</v>
      </c>
      <c r="E2720" t="s">
        <v>4049</v>
      </c>
      <c r="F2720" s="11" t="s">
        <v>4050</v>
      </c>
      <c r="G2720" s="8">
        <v>108.88</v>
      </c>
      <c r="H2720" s="8">
        <v>0</v>
      </c>
      <c r="I2720" s="8">
        <f t="shared" ref="I2720:I2728" si="140">G2720-H2720+I2719</f>
        <v>881.63</v>
      </c>
      <c r="J2720" s="12"/>
    </row>
    <row r="2721" spans="1:10" x14ac:dyDescent="0.25">
      <c r="C2721" s="9"/>
      <c r="D2721" s="10">
        <v>45688</v>
      </c>
      <c r="E2721" t="s">
        <v>4051</v>
      </c>
      <c r="F2721" s="11" t="s">
        <v>42</v>
      </c>
      <c r="G2721" s="8">
        <v>0</v>
      </c>
      <c r="H2721" s="8">
        <v>167.31</v>
      </c>
      <c r="I2721" s="8">
        <f t="shared" si="140"/>
        <v>714.31999999999994</v>
      </c>
      <c r="J2721" s="12"/>
    </row>
    <row r="2722" spans="1:10" x14ac:dyDescent="0.25">
      <c r="C2722" s="9"/>
      <c r="D2722" s="10">
        <v>45688</v>
      </c>
      <c r="E2722" t="s">
        <v>4051</v>
      </c>
      <c r="F2722" s="11" t="s">
        <v>42</v>
      </c>
      <c r="G2722" s="8">
        <v>0</v>
      </c>
      <c r="H2722" s="8">
        <v>51.2</v>
      </c>
      <c r="I2722" s="8">
        <f t="shared" si="140"/>
        <v>663.11999999999989</v>
      </c>
      <c r="J2722" s="12"/>
    </row>
    <row r="2723" spans="1:10" x14ac:dyDescent="0.25">
      <c r="C2723" s="9"/>
      <c r="D2723" s="10">
        <v>45688</v>
      </c>
      <c r="E2723" t="s">
        <v>4051</v>
      </c>
      <c r="F2723" s="11" t="s">
        <v>42</v>
      </c>
      <c r="G2723" s="8">
        <v>0</v>
      </c>
      <c r="H2723" s="8">
        <v>9.86</v>
      </c>
      <c r="I2723" s="8">
        <f t="shared" si="140"/>
        <v>653.25999999999988</v>
      </c>
      <c r="J2723" s="12"/>
    </row>
    <row r="2724" spans="1:10" x14ac:dyDescent="0.25">
      <c r="C2724" s="9"/>
      <c r="D2724" s="10">
        <v>45702</v>
      </c>
      <c r="E2724" t="s">
        <v>4052</v>
      </c>
      <c r="F2724" s="11" t="s">
        <v>4053</v>
      </c>
      <c r="G2724" s="8">
        <v>48.3</v>
      </c>
      <c r="H2724" s="8">
        <v>0</v>
      </c>
      <c r="I2724" s="8">
        <f t="shared" si="140"/>
        <v>701.55999999999983</v>
      </c>
      <c r="J2724" s="12"/>
    </row>
    <row r="2725" spans="1:10" x14ac:dyDescent="0.25">
      <c r="C2725" s="9"/>
      <c r="D2725" s="10">
        <v>45716</v>
      </c>
      <c r="E2725" t="s">
        <v>4050</v>
      </c>
      <c r="F2725" s="11" t="s">
        <v>42</v>
      </c>
      <c r="G2725" s="8">
        <v>0</v>
      </c>
      <c r="H2725" s="8">
        <v>108.88</v>
      </c>
      <c r="I2725" s="8">
        <f t="shared" si="140"/>
        <v>592.67999999999984</v>
      </c>
      <c r="J2725" s="12"/>
    </row>
    <row r="2726" spans="1:10" x14ac:dyDescent="0.25">
      <c r="C2726" s="9"/>
      <c r="D2726" s="10">
        <v>45730</v>
      </c>
      <c r="E2726" t="s">
        <v>4054</v>
      </c>
      <c r="F2726" s="11" t="s">
        <v>4055</v>
      </c>
      <c r="G2726" s="8">
        <v>191.93</v>
      </c>
      <c r="H2726" s="8">
        <v>0</v>
      </c>
      <c r="I2726" s="8">
        <f t="shared" si="140"/>
        <v>784.6099999999999</v>
      </c>
      <c r="J2726" s="12"/>
    </row>
    <row r="2727" spans="1:10" x14ac:dyDescent="0.25">
      <c r="C2727" s="9"/>
      <c r="D2727" s="10">
        <v>45747</v>
      </c>
      <c r="E2727" t="s">
        <v>4056</v>
      </c>
      <c r="F2727" s="11" t="s">
        <v>4057</v>
      </c>
      <c r="G2727" s="8">
        <v>581.1</v>
      </c>
      <c r="H2727" s="8">
        <v>0</v>
      </c>
      <c r="I2727" s="8">
        <f t="shared" si="140"/>
        <v>1365.71</v>
      </c>
      <c r="J2727" s="12"/>
    </row>
    <row r="2728" spans="1:10" x14ac:dyDescent="0.25">
      <c r="C2728" s="9"/>
      <c r="D2728" s="10">
        <v>45747</v>
      </c>
      <c r="E2728" t="s">
        <v>4053</v>
      </c>
      <c r="F2728" s="11" t="s">
        <v>42</v>
      </c>
      <c r="G2728" s="8">
        <v>0</v>
      </c>
      <c r="H2728" s="8">
        <v>48.3</v>
      </c>
      <c r="I2728" s="8">
        <f t="shared" si="140"/>
        <v>1317.41</v>
      </c>
      <c r="J2728" s="12"/>
    </row>
    <row r="2729" spans="1:10" x14ac:dyDescent="0.25">
      <c r="E2729" s="4" t="s">
        <v>20</v>
      </c>
      <c r="G2729" s="8">
        <f>SUM(G2719:G2728)</f>
        <v>1702.96</v>
      </c>
      <c r="H2729" s="8">
        <f>SUM(H2719:H2728)</f>
        <v>385.55</v>
      </c>
      <c r="I2729" s="8">
        <f>G2729-H2729</f>
        <v>1317.41</v>
      </c>
    </row>
    <row r="2731" spans="1:10" x14ac:dyDescent="0.25">
      <c r="A2731" s="5">
        <v>4305350</v>
      </c>
      <c r="B2731" s="6" t="s">
        <v>4058</v>
      </c>
      <c r="C2731" s="7"/>
      <c r="D2731" s="7"/>
      <c r="E2731" s="7"/>
      <c r="F2731" s="7"/>
      <c r="G2731" s="7"/>
      <c r="H2731" s="7"/>
      <c r="I2731" s="7"/>
      <c r="J2731" s="7"/>
    </row>
    <row r="2732" spans="1:10" x14ac:dyDescent="0.25">
      <c r="C2732" s="9"/>
      <c r="D2732" s="10">
        <v>45688</v>
      </c>
      <c r="E2732" t="s">
        <v>4059</v>
      </c>
      <c r="F2732" s="11" t="s">
        <v>4060</v>
      </c>
      <c r="G2732" s="8">
        <v>936.77</v>
      </c>
      <c r="H2732" s="8">
        <v>0</v>
      </c>
      <c r="I2732" s="8">
        <f>G2732-H2732</f>
        <v>936.77</v>
      </c>
      <c r="J2732" s="12"/>
    </row>
    <row r="2733" spans="1:10" x14ac:dyDescent="0.25">
      <c r="C2733" s="9" t="s">
        <v>124</v>
      </c>
      <c r="D2733" s="10">
        <v>45691</v>
      </c>
      <c r="E2733" t="s">
        <v>4061</v>
      </c>
      <c r="F2733" s="11" t="s">
        <v>4060</v>
      </c>
      <c r="G2733" s="8">
        <v>0</v>
      </c>
      <c r="H2733" s="8">
        <v>936.77</v>
      </c>
      <c r="I2733" s="8">
        <f t="shared" ref="I2733:I2742" si="141">G2733-H2733+I2732</f>
        <v>0</v>
      </c>
      <c r="J2733" s="12"/>
    </row>
    <row r="2734" spans="1:10" x14ac:dyDescent="0.25">
      <c r="C2734" s="9"/>
      <c r="D2734" s="10">
        <v>45702</v>
      </c>
      <c r="E2734" t="s">
        <v>4062</v>
      </c>
      <c r="F2734" s="11" t="s">
        <v>4063</v>
      </c>
      <c r="G2734" s="8">
        <v>162.29</v>
      </c>
      <c r="H2734" s="8">
        <v>0</v>
      </c>
      <c r="I2734" s="8">
        <f t="shared" si="141"/>
        <v>162.29</v>
      </c>
      <c r="J2734" s="12"/>
    </row>
    <row r="2735" spans="1:10" x14ac:dyDescent="0.25">
      <c r="C2735" s="9"/>
      <c r="D2735" s="10">
        <v>45705</v>
      </c>
      <c r="E2735" t="s">
        <v>1524</v>
      </c>
      <c r="F2735" s="11" t="s">
        <v>4063</v>
      </c>
      <c r="G2735" s="8">
        <v>0</v>
      </c>
      <c r="H2735" s="8">
        <v>162.29</v>
      </c>
      <c r="I2735" s="8">
        <f t="shared" si="141"/>
        <v>0</v>
      </c>
      <c r="J2735" s="12"/>
    </row>
    <row r="2736" spans="1:10" x14ac:dyDescent="0.25">
      <c r="C2736" s="9"/>
      <c r="D2736" s="10">
        <v>45716</v>
      </c>
      <c r="E2736" t="s">
        <v>4064</v>
      </c>
      <c r="F2736" s="11" t="s">
        <v>4065</v>
      </c>
      <c r="G2736" s="8">
        <v>257.70999999999998</v>
      </c>
      <c r="H2736" s="8">
        <v>0</v>
      </c>
      <c r="I2736" s="8">
        <f t="shared" si="141"/>
        <v>257.70999999999998</v>
      </c>
      <c r="J2736" s="12"/>
    </row>
    <row r="2737" spans="1:10" x14ac:dyDescent="0.25">
      <c r="C2737" s="9"/>
      <c r="D2737" s="10">
        <v>45730</v>
      </c>
      <c r="E2737" t="s">
        <v>4066</v>
      </c>
      <c r="F2737" s="11" t="s">
        <v>4067</v>
      </c>
      <c r="G2737" s="8">
        <v>891.54</v>
      </c>
      <c r="H2737" s="8">
        <v>0</v>
      </c>
      <c r="I2737" s="8">
        <f t="shared" si="141"/>
        <v>1149.25</v>
      </c>
      <c r="J2737" s="12"/>
    </row>
    <row r="2738" spans="1:10" x14ac:dyDescent="0.25">
      <c r="C2738" s="9"/>
      <c r="D2738" s="10">
        <v>45733</v>
      </c>
      <c r="E2738" t="s">
        <v>1524</v>
      </c>
      <c r="F2738" s="11" t="s">
        <v>4065</v>
      </c>
      <c r="G2738" s="8">
        <v>0</v>
      </c>
      <c r="H2738" s="8">
        <v>257.70999999999998</v>
      </c>
      <c r="I2738" s="8">
        <f t="shared" si="141"/>
        <v>891.54</v>
      </c>
      <c r="J2738" s="12"/>
    </row>
    <row r="2739" spans="1:10" x14ac:dyDescent="0.25">
      <c r="C2739" s="9"/>
      <c r="D2739" s="10">
        <v>45733</v>
      </c>
      <c r="E2739" t="s">
        <v>1524</v>
      </c>
      <c r="F2739" s="11" t="s">
        <v>4067</v>
      </c>
      <c r="G2739" s="8">
        <v>0</v>
      </c>
      <c r="H2739" s="8">
        <v>891.54</v>
      </c>
      <c r="I2739" s="8">
        <f t="shared" si="141"/>
        <v>0</v>
      </c>
      <c r="J2739" s="12"/>
    </row>
    <row r="2740" spans="1:10" x14ac:dyDescent="0.25">
      <c r="C2740" s="9"/>
      <c r="D2740" s="10">
        <v>45747</v>
      </c>
      <c r="E2740" t="s">
        <v>4068</v>
      </c>
      <c r="F2740" s="11" t="s">
        <v>4069</v>
      </c>
      <c r="G2740" s="8">
        <v>349.57</v>
      </c>
      <c r="H2740" s="8">
        <v>0</v>
      </c>
      <c r="I2740" s="8">
        <f t="shared" si="141"/>
        <v>349.57</v>
      </c>
      <c r="J2740" s="12"/>
    </row>
    <row r="2741" spans="1:10" x14ac:dyDescent="0.25">
      <c r="C2741" s="9"/>
      <c r="D2741" s="10">
        <v>45748</v>
      </c>
      <c r="E2741" t="s">
        <v>4070</v>
      </c>
      <c r="F2741" s="11" t="s">
        <v>42</v>
      </c>
      <c r="G2741" s="8">
        <v>0</v>
      </c>
      <c r="H2741" s="8">
        <v>349.57</v>
      </c>
      <c r="I2741" s="8">
        <f t="shared" si="141"/>
        <v>0</v>
      </c>
      <c r="J2741" s="12"/>
    </row>
    <row r="2742" spans="1:10" x14ac:dyDescent="0.25">
      <c r="C2742" s="9"/>
      <c r="D2742" s="10">
        <v>45762</v>
      </c>
      <c r="E2742" t="s">
        <v>4070</v>
      </c>
      <c r="F2742" s="11" t="s">
        <v>42</v>
      </c>
      <c r="G2742" s="8">
        <v>0</v>
      </c>
      <c r="H2742" s="8">
        <v>111.93</v>
      </c>
      <c r="I2742" s="8">
        <f t="shared" si="141"/>
        <v>-111.93</v>
      </c>
      <c r="J2742" s="12"/>
    </row>
    <row r="2743" spans="1:10" x14ac:dyDescent="0.25">
      <c r="E2743" s="4" t="s">
        <v>20</v>
      </c>
      <c r="G2743" s="8">
        <f>SUM(G2732:G2742)</f>
        <v>2597.88</v>
      </c>
      <c r="H2743" s="8">
        <f>SUM(H2732:H2742)</f>
        <v>2709.81</v>
      </c>
      <c r="I2743" s="8">
        <f>G2743-H2743</f>
        <v>-111.92999999999984</v>
      </c>
    </row>
    <row r="2745" spans="1:10" x14ac:dyDescent="0.25">
      <c r="A2745" s="5">
        <v>4305360</v>
      </c>
      <c r="B2745" s="6" t="s">
        <v>4071</v>
      </c>
      <c r="C2745" s="7"/>
      <c r="D2745" s="7"/>
      <c r="E2745" s="7"/>
      <c r="F2745" s="7"/>
      <c r="G2745" s="7"/>
      <c r="H2745" s="7"/>
      <c r="I2745" s="7"/>
      <c r="J2745" s="7"/>
    </row>
    <row r="2746" spans="1:10" x14ac:dyDescent="0.25">
      <c r="E2746" s="4" t="s">
        <v>10</v>
      </c>
      <c r="G2746" s="8">
        <v>136.54</v>
      </c>
      <c r="H2746" s="8">
        <v>0</v>
      </c>
      <c r="I2746" s="8">
        <f>G2746-H2746</f>
        <v>136.54</v>
      </c>
    </row>
    <row r="2747" spans="1:10" x14ac:dyDescent="0.25">
      <c r="C2747" s="9"/>
      <c r="D2747" s="10">
        <v>45659</v>
      </c>
      <c r="E2747" t="s">
        <v>1524</v>
      </c>
      <c r="F2747" s="11" t="s">
        <v>4072</v>
      </c>
      <c r="G2747" s="8">
        <v>0</v>
      </c>
      <c r="H2747" s="8">
        <v>136.54</v>
      </c>
      <c r="I2747" s="8">
        <f>G2747-H2747+I2746</f>
        <v>0</v>
      </c>
      <c r="J2747" s="12"/>
    </row>
    <row r="2748" spans="1:10" x14ac:dyDescent="0.25">
      <c r="C2748" s="9"/>
      <c r="D2748" s="10">
        <v>45702</v>
      </c>
      <c r="E2748" t="s">
        <v>4073</v>
      </c>
      <c r="F2748" s="11" t="s">
        <v>4074</v>
      </c>
      <c r="G2748" s="8">
        <v>59.48</v>
      </c>
      <c r="H2748" s="8">
        <v>0</v>
      </c>
      <c r="I2748" s="8">
        <f>G2748-H2748+I2747</f>
        <v>59.48</v>
      </c>
      <c r="J2748" s="12"/>
    </row>
    <row r="2749" spans="1:10" x14ac:dyDescent="0.25">
      <c r="C2749" s="9"/>
      <c r="D2749" s="10">
        <v>45705</v>
      </c>
      <c r="E2749" t="s">
        <v>1524</v>
      </c>
      <c r="F2749" s="11" t="s">
        <v>4074</v>
      </c>
      <c r="G2749" s="8">
        <v>0</v>
      </c>
      <c r="H2749" s="8">
        <v>59.48</v>
      </c>
      <c r="I2749" s="8">
        <f>G2749-H2749+I2748</f>
        <v>0</v>
      </c>
      <c r="J2749" s="12"/>
    </row>
    <row r="2750" spans="1:10" x14ac:dyDescent="0.25">
      <c r="C2750" s="9"/>
      <c r="D2750" s="10">
        <v>45762</v>
      </c>
      <c r="E2750" t="s">
        <v>4075</v>
      </c>
      <c r="F2750" s="11" t="s">
        <v>42</v>
      </c>
      <c r="G2750" s="8">
        <v>0</v>
      </c>
      <c r="H2750" s="8">
        <v>47.49</v>
      </c>
      <c r="I2750" s="8">
        <f>G2750-H2750+I2749</f>
        <v>-47.49</v>
      </c>
      <c r="J2750" s="12"/>
    </row>
    <row r="2751" spans="1:10" x14ac:dyDescent="0.25">
      <c r="E2751" s="4" t="s">
        <v>20</v>
      </c>
      <c r="G2751" s="8">
        <f>SUM(G2746:G2750)</f>
        <v>196.01999999999998</v>
      </c>
      <c r="H2751" s="8">
        <f>SUM(H2746:H2750)</f>
        <v>243.51</v>
      </c>
      <c r="I2751" s="8">
        <f>G2751-H2751</f>
        <v>-47.490000000000009</v>
      </c>
    </row>
    <row r="2753" spans="1:10" x14ac:dyDescent="0.25">
      <c r="A2753" s="5">
        <v>4305400</v>
      </c>
      <c r="B2753" s="6" t="s">
        <v>4076</v>
      </c>
      <c r="C2753" s="7"/>
      <c r="D2753" s="7"/>
      <c r="E2753" s="7"/>
      <c r="F2753" s="7"/>
      <c r="G2753" s="7"/>
      <c r="H2753" s="7"/>
      <c r="I2753" s="7"/>
      <c r="J2753" s="7"/>
    </row>
    <row r="2754" spans="1:10" x14ac:dyDescent="0.25">
      <c r="E2754" s="4" t="s">
        <v>10</v>
      </c>
      <c r="G2754" s="8">
        <v>6.74</v>
      </c>
      <c r="H2754" s="8">
        <v>0</v>
      </c>
      <c r="I2754" s="8">
        <f>G2754-H2754</f>
        <v>6.74</v>
      </c>
    </row>
    <row r="2755" spans="1:10" x14ac:dyDescent="0.25">
      <c r="C2755" s="9"/>
      <c r="D2755" s="10">
        <v>45702</v>
      </c>
      <c r="E2755" t="s">
        <v>4077</v>
      </c>
      <c r="F2755" s="11" t="s">
        <v>4078</v>
      </c>
      <c r="G2755" s="8">
        <v>136.25</v>
      </c>
      <c r="H2755" s="8">
        <v>0</v>
      </c>
      <c r="I2755" s="8">
        <f>G2755-H2755+I2754</f>
        <v>142.99</v>
      </c>
      <c r="J2755" s="12"/>
    </row>
    <row r="2756" spans="1:10" x14ac:dyDescent="0.25">
      <c r="C2756" s="9"/>
      <c r="D2756" s="10">
        <v>45705</v>
      </c>
      <c r="E2756" t="s">
        <v>4079</v>
      </c>
      <c r="F2756" s="11" t="s">
        <v>42</v>
      </c>
      <c r="G2756" s="8">
        <v>0</v>
      </c>
      <c r="H2756" s="8">
        <v>142.99</v>
      </c>
      <c r="I2756" s="8">
        <f>G2756-H2756+I2755</f>
        <v>0</v>
      </c>
      <c r="J2756" s="12"/>
    </row>
    <row r="2757" spans="1:10" x14ac:dyDescent="0.25">
      <c r="C2757" s="9"/>
      <c r="D2757" s="10">
        <v>45747</v>
      </c>
      <c r="E2757" t="s">
        <v>4080</v>
      </c>
      <c r="F2757" s="11" t="s">
        <v>4081</v>
      </c>
      <c r="G2757" s="8">
        <v>31.82</v>
      </c>
      <c r="H2757" s="8">
        <v>0</v>
      </c>
      <c r="I2757" s="8">
        <f>G2757-H2757+I2756</f>
        <v>31.82</v>
      </c>
      <c r="J2757" s="12"/>
    </row>
    <row r="2758" spans="1:10" x14ac:dyDescent="0.25">
      <c r="C2758" s="9"/>
      <c r="D2758" s="10">
        <v>45748</v>
      </c>
      <c r="E2758" t="s">
        <v>4082</v>
      </c>
      <c r="F2758" s="11" t="s">
        <v>42</v>
      </c>
      <c r="G2758" s="8">
        <v>0</v>
      </c>
      <c r="H2758" s="8">
        <v>31.82</v>
      </c>
      <c r="I2758" s="8">
        <f>G2758-H2758+I2757</f>
        <v>0</v>
      </c>
      <c r="J2758" s="12"/>
    </row>
    <row r="2759" spans="1:10" x14ac:dyDescent="0.25">
      <c r="C2759" s="9"/>
      <c r="D2759" s="10">
        <v>45762</v>
      </c>
      <c r="E2759" t="s">
        <v>4083</v>
      </c>
      <c r="F2759" s="11" t="s">
        <v>42</v>
      </c>
      <c r="G2759" s="8">
        <v>0</v>
      </c>
      <c r="H2759" s="8">
        <v>48.5</v>
      </c>
      <c r="I2759" s="8">
        <f>G2759-H2759+I2758</f>
        <v>-48.5</v>
      </c>
      <c r="J2759" s="12"/>
    </row>
    <row r="2760" spans="1:10" x14ac:dyDescent="0.25">
      <c r="E2760" s="4" t="s">
        <v>20</v>
      </c>
      <c r="G2760" s="8">
        <f>SUM(G2754:G2759)</f>
        <v>174.81</v>
      </c>
      <c r="H2760" s="8">
        <f>SUM(H2754:H2759)</f>
        <v>223.31</v>
      </c>
      <c r="I2760" s="8">
        <f>G2760-H2760</f>
        <v>-48.5</v>
      </c>
    </row>
    <row r="2762" spans="1:10" x14ac:dyDescent="0.25">
      <c r="A2762" s="5">
        <v>4305445</v>
      </c>
      <c r="B2762" s="6" t="s">
        <v>4084</v>
      </c>
      <c r="C2762" s="7"/>
      <c r="D2762" s="7"/>
      <c r="E2762" s="7"/>
      <c r="F2762" s="7"/>
      <c r="G2762" s="7"/>
      <c r="H2762" s="7"/>
      <c r="I2762" s="7"/>
      <c r="J2762" s="7"/>
    </row>
    <row r="2763" spans="1:10" x14ac:dyDescent="0.25">
      <c r="E2763" s="4" t="s">
        <v>10</v>
      </c>
      <c r="G2763" s="8">
        <v>51.93</v>
      </c>
      <c r="H2763" s="8">
        <v>0</v>
      </c>
      <c r="I2763" s="8">
        <f>G2763-H2763</f>
        <v>51.93</v>
      </c>
    </row>
    <row r="2764" spans="1:10" x14ac:dyDescent="0.25">
      <c r="C2764" s="9"/>
      <c r="D2764" s="10">
        <v>45659</v>
      </c>
      <c r="E2764" t="s">
        <v>1524</v>
      </c>
      <c r="F2764" s="11" t="s">
        <v>4085</v>
      </c>
      <c r="G2764" s="8">
        <v>0</v>
      </c>
      <c r="H2764" s="8">
        <v>51.93</v>
      </c>
      <c r="I2764" s="8">
        <f t="shared" ref="I2764:I2775" si="142">G2764-H2764+I2763</f>
        <v>0</v>
      </c>
      <c r="J2764" s="12"/>
    </row>
    <row r="2765" spans="1:10" x14ac:dyDescent="0.25">
      <c r="C2765" s="9"/>
      <c r="D2765" s="10">
        <v>45671</v>
      </c>
      <c r="E2765" t="s">
        <v>4086</v>
      </c>
      <c r="F2765" s="11" t="s">
        <v>4087</v>
      </c>
      <c r="G2765" s="8">
        <v>627.54</v>
      </c>
      <c r="H2765" s="8">
        <v>0</v>
      </c>
      <c r="I2765" s="8">
        <f t="shared" si="142"/>
        <v>627.54</v>
      </c>
      <c r="J2765" s="12"/>
    </row>
    <row r="2766" spans="1:10" x14ac:dyDescent="0.25">
      <c r="C2766" s="9"/>
      <c r="D2766" s="10">
        <v>45672</v>
      </c>
      <c r="E2766" t="s">
        <v>1524</v>
      </c>
      <c r="F2766" s="11" t="s">
        <v>4087</v>
      </c>
      <c r="G2766" s="8">
        <v>0</v>
      </c>
      <c r="H2766" s="8">
        <v>627.54</v>
      </c>
      <c r="I2766" s="8">
        <f t="shared" si="142"/>
        <v>0</v>
      </c>
      <c r="J2766" s="12"/>
    </row>
    <row r="2767" spans="1:10" x14ac:dyDescent="0.25">
      <c r="C2767" s="9"/>
      <c r="D2767" s="10">
        <v>45688</v>
      </c>
      <c r="E2767" t="s">
        <v>4088</v>
      </c>
      <c r="F2767" s="11" t="s">
        <v>4089</v>
      </c>
      <c r="G2767" s="8">
        <v>275.29000000000002</v>
      </c>
      <c r="H2767" s="8">
        <v>0</v>
      </c>
      <c r="I2767" s="8">
        <f t="shared" si="142"/>
        <v>275.29000000000002</v>
      </c>
      <c r="J2767" s="12"/>
    </row>
    <row r="2768" spans="1:10" x14ac:dyDescent="0.25">
      <c r="C2768" s="9"/>
      <c r="D2768" s="10">
        <v>45691</v>
      </c>
      <c r="E2768" t="s">
        <v>1524</v>
      </c>
      <c r="F2768" s="11" t="s">
        <v>4089</v>
      </c>
      <c r="G2768" s="8">
        <v>0</v>
      </c>
      <c r="H2768" s="8">
        <v>275.29000000000002</v>
      </c>
      <c r="I2768" s="8">
        <f t="shared" si="142"/>
        <v>0</v>
      </c>
      <c r="J2768" s="12"/>
    </row>
    <row r="2769" spans="1:10" x14ac:dyDescent="0.25">
      <c r="C2769" s="9"/>
      <c r="D2769" s="10">
        <v>45702</v>
      </c>
      <c r="E2769" t="s">
        <v>4090</v>
      </c>
      <c r="F2769" s="11" t="s">
        <v>4091</v>
      </c>
      <c r="G2769" s="8">
        <v>88.2</v>
      </c>
      <c r="H2769" s="8">
        <v>0</v>
      </c>
      <c r="I2769" s="8">
        <f t="shared" si="142"/>
        <v>88.2</v>
      </c>
      <c r="J2769" s="12"/>
    </row>
    <row r="2770" spans="1:10" x14ac:dyDescent="0.25">
      <c r="C2770" s="9"/>
      <c r="D2770" s="10">
        <v>45705</v>
      </c>
      <c r="E2770" t="s">
        <v>1524</v>
      </c>
      <c r="F2770" s="11" t="s">
        <v>4091</v>
      </c>
      <c r="G2770" s="8">
        <v>0</v>
      </c>
      <c r="H2770" s="8">
        <v>88.2</v>
      </c>
      <c r="I2770" s="8">
        <f t="shared" si="142"/>
        <v>0</v>
      </c>
      <c r="J2770" s="12"/>
    </row>
    <row r="2771" spans="1:10" x14ac:dyDescent="0.25">
      <c r="C2771" s="9"/>
      <c r="D2771" s="10">
        <v>45716</v>
      </c>
      <c r="E2771" t="s">
        <v>4092</v>
      </c>
      <c r="F2771" s="11" t="s">
        <v>4093</v>
      </c>
      <c r="G2771" s="8">
        <v>54.98</v>
      </c>
      <c r="H2771" s="8">
        <v>0</v>
      </c>
      <c r="I2771" s="8">
        <f t="shared" si="142"/>
        <v>54.98</v>
      </c>
      <c r="J2771" s="12"/>
    </row>
    <row r="2772" spans="1:10" x14ac:dyDescent="0.25">
      <c r="C2772" s="9" t="s">
        <v>124</v>
      </c>
      <c r="D2772" s="10">
        <v>45719</v>
      </c>
      <c r="E2772" t="s">
        <v>4094</v>
      </c>
      <c r="F2772" s="11" t="s">
        <v>4093</v>
      </c>
      <c r="G2772" s="8">
        <v>0</v>
      </c>
      <c r="H2772" s="8">
        <v>54.98</v>
      </c>
      <c r="I2772" s="8">
        <f t="shared" si="142"/>
        <v>0</v>
      </c>
      <c r="J2772" s="12"/>
    </row>
    <row r="2773" spans="1:10" x14ac:dyDescent="0.25">
      <c r="C2773" s="9"/>
      <c r="D2773" s="10">
        <v>45747</v>
      </c>
      <c r="E2773" t="s">
        <v>4095</v>
      </c>
      <c r="F2773" s="11" t="s">
        <v>4096</v>
      </c>
      <c r="G2773" s="8">
        <v>151.22999999999999</v>
      </c>
      <c r="H2773" s="8">
        <v>0</v>
      </c>
      <c r="I2773" s="8">
        <f t="shared" si="142"/>
        <v>151.22999999999999</v>
      </c>
      <c r="J2773" s="12"/>
    </row>
    <row r="2774" spans="1:10" x14ac:dyDescent="0.25">
      <c r="C2774" s="9"/>
      <c r="D2774" s="10">
        <v>45748</v>
      </c>
      <c r="E2774" t="s">
        <v>1524</v>
      </c>
      <c r="F2774" s="11" t="s">
        <v>4096</v>
      </c>
      <c r="G2774" s="8">
        <v>0</v>
      </c>
      <c r="H2774" s="8">
        <v>151.22999999999999</v>
      </c>
      <c r="I2774" s="8">
        <f t="shared" si="142"/>
        <v>0</v>
      </c>
      <c r="J2774" s="12"/>
    </row>
    <row r="2775" spans="1:10" x14ac:dyDescent="0.25">
      <c r="C2775" s="9"/>
      <c r="D2775" s="10">
        <v>45762</v>
      </c>
      <c r="E2775" t="s">
        <v>1524</v>
      </c>
      <c r="F2775" s="11" t="s">
        <v>4097</v>
      </c>
      <c r="G2775" s="8">
        <v>0</v>
      </c>
      <c r="H2775" s="8">
        <v>589.16999999999996</v>
      </c>
      <c r="I2775" s="8">
        <f t="shared" si="142"/>
        <v>-589.16999999999996</v>
      </c>
      <c r="J2775" s="12"/>
    </row>
    <row r="2776" spans="1:10" x14ac:dyDescent="0.25">
      <c r="E2776" s="4" t="s">
        <v>20</v>
      </c>
      <c r="G2776" s="8">
        <f>SUM(G2763:G2775)</f>
        <v>1249.17</v>
      </c>
      <c r="H2776" s="8">
        <f>SUM(H2763:H2775)</f>
        <v>1838.3400000000001</v>
      </c>
      <c r="I2776" s="8">
        <f>G2776-H2776</f>
        <v>-589.17000000000007</v>
      </c>
    </row>
    <row r="2778" spans="1:10" x14ac:dyDescent="0.25">
      <c r="A2778" s="5">
        <v>4305450</v>
      </c>
      <c r="B2778" s="6" t="s">
        <v>4098</v>
      </c>
      <c r="C2778" s="7"/>
      <c r="D2778" s="7"/>
      <c r="E2778" s="7"/>
      <c r="F2778" s="7"/>
      <c r="G2778" s="7"/>
      <c r="H2778" s="7"/>
      <c r="I2778" s="7"/>
      <c r="J2778" s="7"/>
    </row>
    <row r="2779" spans="1:10" x14ac:dyDescent="0.25">
      <c r="E2779" s="4" t="s">
        <v>10</v>
      </c>
      <c r="G2779" s="8">
        <v>175.34</v>
      </c>
      <c r="H2779" s="8">
        <v>0</v>
      </c>
      <c r="I2779" s="8">
        <f>G2779-H2779</f>
        <v>175.34</v>
      </c>
    </row>
    <row r="2780" spans="1:10" x14ac:dyDescent="0.25">
      <c r="C2780" s="9"/>
      <c r="D2780" s="10">
        <v>45660</v>
      </c>
      <c r="E2780" t="s">
        <v>1524</v>
      </c>
      <c r="F2780" s="11" t="s">
        <v>4099</v>
      </c>
      <c r="G2780" s="8">
        <v>0</v>
      </c>
      <c r="H2780" s="8">
        <v>175.34</v>
      </c>
      <c r="I2780" s="8">
        <f t="shared" ref="I2780:I2791" si="143">G2780-H2780+I2779</f>
        <v>0</v>
      </c>
      <c r="J2780" s="12"/>
    </row>
    <row r="2781" spans="1:10" x14ac:dyDescent="0.25">
      <c r="C2781" s="9"/>
      <c r="D2781" s="10">
        <v>45688</v>
      </c>
      <c r="E2781" t="s">
        <v>4100</v>
      </c>
      <c r="F2781" s="11" t="s">
        <v>4101</v>
      </c>
      <c r="G2781" s="8">
        <v>47.01</v>
      </c>
      <c r="H2781" s="8">
        <v>0</v>
      </c>
      <c r="I2781" s="8">
        <f t="shared" si="143"/>
        <v>47.01</v>
      </c>
      <c r="J2781" s="12"/>
    </row>
    <row r="2782" spans="1:10" x14ac:dyDescent="0.25">
      <c r="C2782" s="9" t="s">
        <v>124</v>
      </c>
      <c r="D2782" s="10">
        <v>45691</v>
      </c>
      <c r="E2782" t="s">
        <v>4102</v>
      </c>
      <c r="F2782" s="11" t="s">
        <v>4101</v>
      </c>
      <c r="G2782" s="8">
        <v>0</v>
      </c>
      <c r="H2782" s="8">
        <v>47.01</v>
      </c>
      <c r="I2782" s="8">
        <f t="shared" si="143"/>
        <v>0</v>
      </c>
      <c r="J2782" s="12"/>
    </row>
    <row r="2783" spans="1:10" x14ac:dyDescent="0.25">
      <c r="C2783" s="9"/>
      <c r="D2783" s="10">
        <v>45702</v>
      </c>
      <c r="E2783" t="s">
        <v>4103</v>
      </c>
      <c r="F2783" s="11" t="s">
        <v>4104</v>
      </c>
      <c r="G2783" s="8">
        <v>362.32</v>
      </c>
      <c r="H2783" s="8">
        <v>0</v>
      </c>
      <c r="I2783" s="8">
        <f t="shared" si="143"/>
        <v>362.32</v>
      </c>
      <c r="J2783" s="12"/>
    </row>
    <row r="2784" spans="1:10" x14ac:dyDescent="0.25">
      <c r="C2784" s="9"/>
      <c r="D2784" s="10">
        <v>45705</v>
      </c>
      <c r="E2784" t="s">
        <v>1524</v>
      </c>
      <c r="F2784" s="11" t="s">
        <v>4104</v>
      </c>
      <c r="G2784" s="8">
        <v>0</v>
      </c>
      <c r="H2784" s="8">
        <v>362.32</v>
      </c>
      <c r="I2784" s="8">
        <f t="shared" si="143"/>
        <v>0</v>
      </c>
      <c r="J2784" s="12"/>
    </row>
    <row r="2785" spans="1:10" x14ac:dyDescent="0.25">
      <c r="C2785" s="9"/>
      <c r="D2785" s="10">
        <v>45716</v>
      </c>
      <c r="E2785" t="s">
        <v>4105</v>
      </c>
      <c r="F2785" s="11" t="s">
        <v>4106</v>
      </c>
      <c r="G2785" s="8">
        <v>358.64</v>
      </c>
      <c r="H2785" s="8">
        <v>0</v>
      </c>
      <c r="I2785" s="8">
        <f t="shared" si="143"/>
        <v>358.64</v>
      </c>
      <c r="J2785" s="12"/>
    </row>
    <row r="2786" spans="1:10" x14ac:dyDescent="0.25">
      <c r="C2786" s="9"/>
      <c r="D2786" s="10">
        <v>45720</v>
      </c>
      <c r="E2786" t="s">
        <v>1524</v>
      </c>
      <c r="F2786" s="11" t="s">
        <v>4106</v>
      </c>
      <c r="G2786" s="8">
        <v>0</v>
      </c>
      <c r="H2786" s="8">
        <v>358.64</v>
      </c>
      <c r="I2786" s="8">
        <f t="shared" si="143"/>
        <v>0</v>
      </c>
      <c r="J2786" s="12"/>
    </row>
    <row r="2787" spans="1:10" x14ac:dyDescent="0.25">
      <c r="C2787" s="9"/>
      <c r="D2787" s="10">
        <v>45730</v>
      </c>
      <c r="E2787" t="s">
        <v>4107</v>
      </c>
      <c r="F2787" s="11" t="s">
        <v>4108</v>
      </c>
      <c r="G2787" s="8">
        <v>196.23</v>
      </c>
      <c r="H2787" s="8">
        <v>0</v>
      </c>
      <c r="I2787" s="8">
        <f t="shared" si="143"/>
        <v>196.23</v>
      </c>
      <c r="J2787" s="12"/>
    </row>
    <row r="2788" spans="1:10" x14ac:dyDescent="0.25">
      <c r="C2788" s="9"/>
      <c r="D2788" s="10">
        <v>45733</v>
      </c>
      <c r="E2788" t="s">
        <v>1524</v>
      </c>
      <c r="F2788" s="11" t="s">
        <v>4108</v>
      </c>
      <c r="G2788" s="8">
        <v>0</v>
      </c>
      <c r="H2788" s="8">
        <v>196.23</v>
      </c>
      <c r="I2788" s="8">
        <f t="shared" si="143"/>
        <v>0</v>
      </c>
      <c r="J2788" s="12"/>
    </row>
    <row r="2789" spans="1:10" x14ac:dyDescent="0.25">
      <c r="C2789" s="9"/>
      <c r="D2789" s="10">
        <v>45747</v>
      </c>
      <c r="E2789" t="s">
        <v>4109</v>
      </c>
      <c r="F2789" s="11" t="s">
        <v>4110</v>
      </c>
      <c r="G2789" s="8">
        <v>331.21</v>
      </c>
      <c r="H2789" s="8">
        <v>0</v>
      </c>
      <c r="I2789" s="8">
        <f t="shared" si="143"/>
        <v>331.21</v>
      </c>
      <c r="J2789" s="12"/>
    </row>
    <row r="2790" spans="1:10" x14ac:dyDescent="0.25">
      <c r="C2790" s="9"/>
      <c r="D2790" s="10">
        <v>45748</v>
      </c>
      <c r="E2790" t="s">
        <v>1524</v>
      </c>
      <c r="F2790" s="11" t="s">
        <v>4110</v>
      </c>
      <c r="G2790" s="8">
        <v>0</v>
      </c>
      <c r="H2790" s="8">
        <v>331.21</v>
      </c>
      <c r="I2790" s="8">
        <f t="shared" si="143"/>
        <v>0</v>
      </c>
      <c r="J2790" s="12"/>
    </row>
    <row r="2791" spans="1:10" x14ac:dyDescent="0.25">
      <c r="C2791" s="9"/>
      <c r="D2791" s="10">
        <v>45762</v>
      </c>
      <c r="E2791" t="s">
        <v>4111</v>
      </c>
      <c r="F2791" s="11" t="s">
        <v>42</v>
      </c>
      <c r="G2791" s="8">
        <v>0</v>
      </c>
      <c r="H2791" s="8">
        <v>796.31</v>
      </c>
      <c r="I2791" s="8">
        <f t="shared" si="143"/>
        <v>-796.31</v>
      </c>
      <c r="J2791" s="12"/>
    </row>
    <row r="2792" spans="1:10" x14ac:dyDescent="0.25">
      <c r="E2792" s="4" t="s">
        <v>20</v>
      </c>
      <c r="G2792" s="8">
        <f>SUM(G2779:G2791)</f>
        <v>1470.75</v>
      </c>
      <c r="H2792" s="8">
        <f>SUM(H2779:H2791)</f>
        <v>2267.06</v>
      </c>
      <c r="I2792" s="8">
        <f>G2792-H2792</f>
        <v>-796.31</v>
      </c>
    </row>
    <row r="2794" spans="1:10" x14ac:dyDescent="0.25">
      <c r="A2794" s="5">
        <v>4305460</v>
      </c>
      <c r="B2794" s="6" t="s">
        <v>4112</v>
      </c>
      <c r="C2794" s="7"/>
      <c r="D2794" s="7"/>
      <c r="E2794" s="7"/>
      <c r="F2794" s="7"/>
      <c r="G2794" s="7"/>
      <c r="H2794" s="7"/>
      <c r="I2794" s="7"/>
      <c r="J2794" s="7"/>
    </row>
    <row r="2795" spans="1:10" x14ac:dyDescent="0.25">
      <c r="E2795" s="4" t="s">
        <v>10</v>
      </c>
      <c r="G2795" s="8">
        <v>1415.94</v>
      </c>
      <c r="H2795" s="8">
        <v>0</v>
      </c>
      <c r="I2795" s="8">
        <f>G2795-H2795</f>
        <v>1415.94</v>
      </c>
    </row>
    <row r="2796" spans="1:10" x14ac:dyDescent="0.25">
      <c r="C2796" s="9"/>
      <c r="D2796" s="10">
        <v>45660</v>
      </c>
      <c r="E2796" t="s">
        <v>1524</v>
      </c>
      <c r="F2796" s="11" t="s">
        <v>4113</v>
      </c>
      <c r="G2796" s="8">
        <v>0</v>
      </c>
      <c r="H2796" s="8">
        <v>1415.94</v>
      </c>
      <c r="I2796" s="8">
        <f t="shared" ref="I2796:I2809" si="144">G2796-H2796+I2795</f>
        <v>0</v>
      </c>
      <c r="J2796" s="12"/>
    </row>
    <row r="2797" spans="1:10" x14ac:dyDescent="0.25">
      <c r="C2797" s="9"/>
      <c r="D2797" s="10">
        <v>45671</v>
      </c>
      <c r="E2797" t="s">
        <v>4114</v>
      </c>
      <c r="F2797" s="11" t="s">
        <v>4115</v>
      </c>
      <c r="G2797" s="8">
        <v>256.85000000000002</v>
      </c>
      <c r="H2797" s="8">
        <v>0</v>
      </c>
      <c r="I2797" s="8">
        <f t="shared" si="144"/>
        <v>256.85000000000002</v>
      </c>
      <c r="J2797" s="12"/>
    </row>
    <row r="2798" spans="1:10" x14ac:dyDescent="0.25">
      <c r="C2798" s="9"/>
      <c r="D2798" s="10">
        <v>45672</v>
      </c>
      <c r="E2798" t="s">
        <v>1524</v>
      </c>
      <c r="F2798" s="11" t="s">
        <v>4115</v>
      </c>
      <c r="G2798" s="8">
        <v>0</v>
      </c>
      <c r="H2798" s="8">
        <v>256.85000000000002</v>
      </c>
      <c r="I2798" s="8">
        <f t="shared" si="144"/>
        <v>0</v>
      </c>
      <c r="J2798" s="12"/>
    </row>
    <row r="2799" spans="1:10" x14ac:dyDescent="0.25">
      <c r="C2799" s="9"/>
      <c r="D2799" s="10">
        <v>45688</v>
      </c>
      <c r="E2799" t="s">
        <v>4116</v>
      </c>
      <c r="F2799" s="11" t="s">
        <v>4117</v>
      </c>
      <c r="G2799" s="8">
        <v>605.62</v>
      </c>
      <c r="H2799" s="8">
        <v>0</v>
      </c>
      <c r="I2799" s="8">
        <f t="shared" si="144"/>
        <v>605.62</v>
      </c>
      <c r="J2799" s="12"/>
    </row>
    <row r="2800" spans="1:10" x14ac:dyDescent="0.25">
      <c r="C2800" s="9" t="s">
        <v>124</v>
      </c>
      <c r="D2800" s="10">
        <v>45691</v>
      </c>
      <c r="E2800" t="s">
        <v>4118</v>
      </c>
      <c r="F2800" s="11" t="s">
        <v>4117</v>
      </c>
      <c r="G2800" s="8">
        <v>0</v>
      </c>
      <c r="H2800" s="8">
        <v>605.62</v>
      </c>
      <c r="I2800" s="8">
        <f t="shared" si="144"/>
        <v>0</v>
      </c>
      <c r="J2800" s="12"/>
    </row>
    <row r="2801" spans="1:10" x14ac:dyDescent="0.25">
      <c r="C2801" s="9"/>
      <c r="D2801" s="10">
        <v>45702</v>
      </c>
      <c r="E2801" t="s">
        <v>4119</v>
      </c>
      <c r="F2801" s="11" t="s">
        <v>4120</v>
      </c>
      <c r="G2801" s="8">
        <v>407.79</v>
      </c>
      <c r="H2801" s="8">
        <v>0</v>
      </c>
      <c r="I2801" s="8">
        <f t="shared" si="144"/>
        <v>407.79</v>
      </c>
      <c r="J2801" s="12"/>
    </row>
    <row r="2802" spans="1:10" x14ac:dyDescent="0.25">
      <c r="C2802" s="9"/>
      <c r="D2802" s="10">
        <v>45705</v>
      </c>
      <c r="E2802" t="s">
        <v>1524</v>
      </c>
      <c r="F2802" s="11" t="s">
        <v>4120</v>
      </c>
      <c r="G2802" s="8">
        <v>0</v>
      </c>
      <c r="H2802" s="8">
        <v>407.79</v>
      </c>
      <c r="I2802" s="8">
        <f t="shared" si="144"/>
        <v>0</v>
      </c>
      <c r="J2802" s="12"/>
    </row>
    <row r="2803" spans="1:10" x14ac:dyDescent="0.25">
      <c r="C2803" s="9"/>
      <c r="D2803" s="10">
        <v>45716</v>
      </c>
      <c r="E2803" t="s">
        <v>4121</v>
      </c>
      <c r="F2803" s="11" t="s">
        <v>4122</v>
      </c>
      <c r="G2803" s="8">
        <v>333.63</v>
      </c>
      <c r="H2803" s="8">
        <v>0</v>
      </c>
      <c r="I2803" s="8">
        <f t="shared" si="144"/>
        <v>333.63</v>
      </c>
      <c r="J2803" s="12"/>
    </row>
    <row r="2804" spans="1:10" x14ac:dyDescent="0.25">
      <c r="C2804" s="9"/>
      <c r="D2804" s="10">
        <v>45720</v>
      </c>
      <c r="E2804" t="s">
        <v>1524</v>
      </c>
      <c r="F2804" s="11" t="s">
        <v>4122</v>
      </c>
      <c r="G2804" s="8">
        <v>0</v>
      </c>
      <c r="H2804" s="8">
        <v>333.63</v>
      </c>
      <c r="I2804" s="8">
        <f t="shared" si="144"/>
        <v>0</v>
      </c>
      <c r="J2804" s="12"/>
    </row>
    <row r="2805" spans="1:10" x14ac:dyDescent="0.25">
      <c r="C2805" s="9"/>
      <c r="D2805" s="10">
        <v>45730</v>
      </c>
      <c r="E2805" t="s">
        <v>4123</v>
      </c>
      <c r="F2805" s="11" t="s">
        <v>4124</v>
      </c>
      <c r="G2805" s="8">
        <v>224.5</v>
      </c>
      <c r="H2805" s="8">
        <v>0</v>
      </c>
      <c r="I2805" s="8">
        <f t="shared" si="144"/>
        <v>224.5</v>
      </c>
      <c r="J2805" s="12"/>
    </row>
    <row r="2806" spans="1:10" x14ac:dyDescent="0.25">
      <c r="C2806" s="9"/>
      <c r="D2806" s="10">
        <v>45733</v>
      </c>
      <c r="E2806" t="s">
        <v>1524</v>
      </c>
      <c r="F2806" s="11" t="s">
        <v>4124</v>
      </c>
      <c r="G2806" s="8">
        <v>0</v>
      </c>
      <c r="H2806" s="8">
        <v>224.5</v>
      </c>
      <c r="I2806" s="8">
        <f t="shared" si="144"/>
        <v>0</v>
      </c>
      <c r="J2806" s="12"/>
    </row>
    <row r="2807" spans="1:10" x14ac:dyDescent="0.25">
      <c r="C2807" s="9"/>
      <c r="D2807" s="10">
        <v>45747</v>
      </c>
      <c r="E2807" t="s">
        <v>4125</v>
      </c>
      <c r="F2807" s="11" t="s">
        <v>4126</v>
      </c>
      <c r="G2807" s="8">
        <v>210.13</v>
      </c>
      <c r="H2807" s="8">
        <v>0</v>
      </c>
      <c r="I2807" s="8">
        <f t="shared" si="144"/>
        <v>210.13</v>
      </c>
      <c r="J2807" s="12"/>
    </row>
    <row r="2808" spans="1:10" x14ac:dyDescent="0.25">
      <c r="C2808" s="9"/>
      <c r="D2808" s="10">
        <v>45748</v>
      </c>
      <c r="E2808" t="s">
        <v>1524</v>
      </c>
      <c r="F2808" s="11" t="s">
        <v>4126</v>
      </c>
      <c r="G2808" s="8">
        <v>0</v>
      </c>
      <c r="H2808" s="8">
        <v>210.13</v>
      </c>
      <c r="I2808" s="8">
        <f t="shared" si="144"/>
        <v>0</v>
      </c>
      <c r="J2808" s="12"/>
    </row>
    <row r="2809" spans="1:10" x14ac:dyDescent="0.25">
      <c r="C2809" s="9"/>
      <c r="D2809" s="10">
        <v>45762</v>
      </c>
      <c r="E2809" t="s">
        <v>4127</v>
      </c>
      <c r="F2809" s="11" t="s">
        <v>42</v>
      </c>
      <c r="G2809" s="8">
        <v>0</v>
      </c>
      <c r="H2809" s="8">
        <v>473.47</v>
      </c>
      <c r="I2809" s="8">
        <f t="shared" si="144"/>
        <v>-473.47</v>
      </c>
      <c r="J2809" s="12"/>
    </row>
    <row r="2810" spans="1:10" x14ac:dyDescent="0.25">
      <c r="E2810" s="4" t="s">
        <v>20</v>
      </c>
      <c r="G2810" s="8">
        <f>SUM(G2795:G2809)</f>
        <v>3454.46</v>
      </c>
      <c r="H2810" s="8">
        <f>SUM(H2795:H2809)</f>
        <v>3927.9300000000003</v>
      </c>
      <c r="I2810" s="8">
        <f>G2810-H2810</f>
        <v>-473.47000000000025</v>
      </c>
    </row>
    <row r="2812" spans="1:10" x14ac:dyDescent="0.25">
      <c r="A2812" s="5">
        <v>4305470</v>
      </c>
      <c r="B2812" s="6" t="s">
        <v>4128</v>
      </c>
      <c r="C2812" s="7"/>
      <c r="D2812" s="7"/>
      <c r="E2812" s="7"/>
      <c r="F2812" s="7"/>
      <c r="G2812" s="7"/>
      <c r="H2812" s="7"/>
      <c r="I2812" s="7"/>
      <c r="J2812" s="7"/>
    </row>
    <row r="2813" spans="1:10" x14ac:dyDescent="0.25">
      <c r="C2813" s="9"/>
      <c r="D2813" s="10">
        <v>45688</v>
      </c>
      <c r="E2813" t="s">
        <v>4129</v>
      </c>
      <c r="F2813" s="11" t="s">
        <v>4130</v>
      </c>
      <c r="G2813" s="8">
        <v>316.51</v>
      </c>
      <c r="H2813" s="8">
        <v>0</v>
      </c>
      <c r="I2813" s="8">
        <f>G2813-H2813</f>
        <v>316.51</v>
      </c>
      <c r="J2813" s="12"/>
    </row>
    <row r="2814" spans="1:10" x14ac:dyDescent="0.25">
      <c r="C2814" s="9" t="s">
        <v>124</v>
      </c>
      <c r="D2814" s="10">
        <v>45691</v>
      </c>
      <c r="E2814" t="s">
        <v>4131</v>
      </c>
      <c r="F2814" s="11" t="s">
        <v>4130</v>
      </c>
      <c r="G2814" s="8">
        <v>0</v>
      </c>
      <c r="H2814" s="8">
        <v>316.51</v>
      </c>
      <c r="I2814" s="8">
        <f t="shared" ref="I2814:I2823" si="145">G2814-H2814+I2813</f>
        <v>0</v>
      </c>
      <c r="J2814" s="12"/>
    </row>
    <row r="2815" spans="1:10" x14ac:dyDescent="0.25">
      <c r="C2815" s="9"/>
      <c r="D2815" s="10">
        <v>45702</v>
      </c>
      <c r="E2815" t="s">
        <v>4132</v>
      </c>
      <c r="F2815" s="11" t="s">
        <v>4133</v>
      </c>
      <c r="G2815" s="8">
        <v>131.53</v>
      </c>
      <c r="H2815" s="8">
        <v>0</v>
      </c>
      <c r="I2815" s="8">
        <f t="shared" si="145"/>
        <v>131.53</v>
      </c>
      <c r="J2815" s="12"/>
    </row>
    <row r="2816" spans="1:10" x14ac:dyDescent="0.25">
      <c r="C2816" s="9"/>
      <c r="D2816" s="10">
        <v>45705</v>
      </c>
      <c r="E2816" t="s">
        <v>1524</v>
      </c>
      <c r="F2816" s="11" t="s">
        <v>4133</v>
      </c>
      <c r="G2816" s="8">
        <v>0</v>
      </c>
      <c r="H2816" s="8">
        <v>131.53</v>
      </c>
      <c r="I2816" s="8">
        <f t="shared" si="145"/>
        <v>0</v>
      </c>
      <c r="J2816" s="12"/>
    </row>
    <row r="2817" spans="1:10" x14ac:dyDescent="0.25">
      <c r="C2817" s="9"/>
      <c r="D2817" s="10">
        <v>45716</v>
      </c>
      <c r="E2817" t="s">
        <v>4134</v>
      </c>
      <c r="F2817" s="11" t="s">
        <v>4135</v>
      </c>
      <c r="G2817" s="8">
        <v>37.1</v>
      </c>
      <c r="H2817" s="8">
        <v>0</v>
      </c>
      <c r="I2817" s="8">
        <f t="shared" si="145"/>
        <v>37.1</v>
      </c>
      <c r="J2817" s="12"/>
    </row>
    <row r="2818" spans="1:10" x14ac:dyDescent="0.25">
      <c r="C2818" s="9"/>
      <c r="D2818" s="10">
        <v>45730</v>
      </c>
      <c r="E2818" t="s">
        <v>4136</v>
      </c>
      <c r="F2818" s="11" t="s">
        <v>4137</v>
      </c>
      <c r="G2818" s="8">
        <v>117.37</v>
      </c>
      <c r="H2818" s="8">
        <v>0</v>
      </c>
      <c r="I2818" s="8">
        <f t="shared" si="145"/>
        <v>154.47</v>
      </c>
      <c r="J2818" s="12"/>
    </row>
    <row r="2819" spans="1:10" x14ac:dyDescent="0.25">
      <c r="C2819" s="9"/>
      <c r="D2819" s="10">
        <v>45733</v>
      </c>
      <c r="E2819" t="s">
        <v>1524</v>
      </c>
      <c r="F2819" s="11" t="s">
        <v>4135</v>
      </c>
      <c r="G2819" s="8">
        <v>0</v>
      </c>
      <c r="H2819" s="8">
        <v>37.1</v>
      </c>
      <c r="I2819" s="8">
        <f t="shared" si="145"/>
        <v>117.37</v>
      </c>
      <c r="J2819" s="12"/>
    </row>
    <row r="2820" spans="1:10" x14ac:dyDescent="0.25">
      <c r="C2820" s="9"/>
      <c r="D2820" s="10">
        <v>45733</v>
      </c>
      <c r="E2820" t="s">
        <v>1524</v>
      </c>
      <c r="F2820" s="11" t="s">
        <v>4137</v>
      </c>
      <c r="G2820" s="8">
        <v>0</v>
      </c>
      <c r="H2820" s="8">
        <v>117.37</v>
      </c>
      <c r="I2820" s="8">
        <f t="shared" si="145"/>
        <v>0</v>
      </c>
      <c r="J2820" s="12"/>
    </row>
    <row r="2821" spans="1:10" x14ac:dyDescent="0.25">
      <c r="C2821" s="9"/>
      <c r="D2821" s="10">
        <v>45747</v>
      </c>
      <c r="E2821" t="s">
        <v>4138</v>
      </c>
      <c r="F2821" s="11" t="s">
        <v>4139</v>
      </c>
      <c r="G2821" s="8">
        <v>428.24</v>
      </c>
      <c r="H2821" s="8">
        <v>0</v>
      </c>
      <c r="I2821" s="8">
        <f t="shared" si="145"/>
        <v>428.24</v>
      </c>
      <c r="J2821" s="12"/>
    </row>
    <row r="2822" spans="1:10" x14ac:dyDescent="0.25">
      <c r="C2822" s="9"/>
      <c r="D2822" s="10">
        <v>45748</v>
      </c>
      <c r="E2822" t="s">
        <v>1524</v>
      </c>
      <c r="F2822" s="11" t="s">
        <v>4139</v>
      </c>
      <c r="G2822" s="8">
        <v>0</v>
      </c>
      <c r="H2822" s="8">
        <v>428.24</v>
      </c>
      <c r="I2822" s="8">
        <f t="shared" si="145"/>
        <v>0</v>
      </c>
      <c r="J2822" s="12"/>
    </row>
    <row r="2823" spans="1:10" x14ac:dyDescent="0.25">
      <c r="C2823" s="9"/>
      <c r="D2823" s="10">
        <v>45762</v>
      </c>
      <c r="E2823" t="s">
        <v>1524</v>
      </c>
      <c r="F2823" s="11" t="s">
        <v>4140</v>
      </c>
      <c r="G2823" s="8">
        <v>0</v>
      </c>
      <c r="H2823" s="8">
        <v>36.32</v>
      </c>
      <c r="I2823" s="8">
        <f t="shared" si="145"/>
        <v>-36.32</v>
      </c>
      <c r="J2823" s="12"/>
    </row>
    <row r="2824" spans="1:10" x14ac:dyDescent="0.25">
      <c r="E2824" s="4" t="s">
        <v>20</v>
      </c>
      <c r="G2824" s="8">
        <f>SUM(G2813:G2823)</f>
        <v>1030.75</v>
      </c>
      <c r="H2824" s="8">
        <f>SUM(H2813:H2823)</f>
        <v>1067.07</v>
      </c>
      <c r="I2824" s="8">
        <f>G2824-H2824</f>
        <v>-36.319999999999936</v>
      </c>
    </row>
    <row r="2826" spans="1:10" x14ac:dyDescent="0.25">
      <c r="A2826" s="5">
        <v>4305540</v>
      </c>
      <c r="B2826" s="6" t="s">
        <v>4141</v>
      </c>
      <c r="C2826" s="7"/>
      <c r="D2826" s="7"/>
      <c r="E2826" s="7"/>
      <c r="F2826" s="7"/>
      <c r="G2826" s="7"/>
      <c r="H2826" s="7"/>
      <c r="I2826" s="7"/>
      <c r="J2826" s="7"/>
    </row>
    <row r="2827" spans="1:10" x14ac:dyDescent="0.25">
      <c r="E2827" s="4" t="s">
        <v>10</v>
      </c>
      <c r="G2827" s="8">
        <v>0</v>
      </c>
      <c r="H2827" s="8">
        <v>51.73</v>
      </c>
      <c r="I2827" s="8">
        <f>G2827-H2827</f>
        <v>-51.73</v>
      </c>
    </row>
    <row r="2828" spans="1:10" x14ac:dyDescent="0.25">
      <c r="E2828" s="4" t="s">
        <v>20</v>
      </c>
      <c r="G2828" s="8">
        <f>G2827</f>
        <v>0</v>
      </c>
      <c r="H2828" s="8">
        <f>H2827</f>
        <v>51.73</v>
      </c>
      <c r="I2828" s="8">
        <f>G2828-H2828</f>
        <v>-51.73</v>
      </c>
    </row>
    <row r="2830" spans="1:10" x14ac:dyDescent="0.25">
      <c r="A2830" s="5">
        <v>4305555</v>
      </c>
      <c r="B2830" s="6" t="s">
        <v>4142</v>
      </c>
      <c r="C2830" s="7"/>
      <c r="D2830" s="7"/>
      <c r="E2830" s="7"/>
      <c r="F2830" s="7"/>
      <c r="G2830" s="7"/>
      <c r="H2830" s="7"/>
      <c r="I2830" s="7"/>
      <c r="J2830" s="7"/>
    </row>
    <row r="2831" spans="1:10" x14ac:dyDescent="0.25">
      <c r="E2831" s="4" t="s">
        <v>10</v>
      </c>
      <c r="G2831" s="8">
        <v>316</v>
      </c>
      <c r="H2831" s="8">
        <v>0</v>
      </c>
      <c r="I2831" s="8">
        <f>G2831-H2831</f>
        <v>316</v>
      </c>
    </row>
    <row r="2832" spans="1:10" x14ac:dyDescent="0.25">
      <c r="C2832" s="9"/>
      <c r="D2832" s="10">
        <v>45671</v>
      </c>
      <c r="E2832" t="s">
        <v>4143</v>
      </c>
      <c r="F2832" s="11" t="s">
        <v>4144</v>
      </c>
      <c r="G2832" s="8">
        <v>70.86</v>
      </c>
      <c r="H2832" s="8">
        <v>0</v>
      </c>
      <c r="I2832" s="8">
        <f t="shared" ref="I2832:I2840" si="146">G2832-H2832+I2831</f>
        <v>386.86</v>
      </c>
      <c r="J2832" s="12"/>
    </row>
    <row r="2833" spans="1:10" x14ac:dyDescent="0.25">
      <c r="C2833" s="9"/>
      <c r="D2833" s="10">
        <v>45684</v>
      </c>
      <c r="E2833" t="s">
        <v>1524</v>
      </c>
      <c r="F2833" s="11" t="s">
        <v>4145</v>
      </c>
      <c r="G2833" s="8">
        <v>0</v>
      </c>
      <c r="H2833" s="8">
        <v>84.91</v>
      </c>
      <c r="I2833" s="8">
        <f t="shared" si="146"/>
        <v>301.95000000000005</v>
      </c>
      <c r="J2833" s="12"/>
    </row>
    <row r="2834" spans="1:10" x14ac:dyDescent="0.25">
      <c r="C2834" s="9"/>
      <c r="D2834" s="10">
        <v>45702</v>
      </c>
      <c r="E2834" t="s">
        <v>4146</v>
      </c>
      <c r="F2834" s="11" t="s">
        <v>4147</v>
      </c>
      <c r="G2834" s="8">
        <v>244.31</v>
      </c>
      <c r="H2834" s="8">
        <v>0</v>
      </c>
      <c r="I2834" s="8">
        <f t="shared" si="146"/>
        <v>546.26</v>
      </c>
      <c r="J2834" s="12"/>
    </row>
    <row r="2835" spans="1:10" x14ac:dyDescent="0.25">
      <c r="C2835" s="9"/>
      <c r="D2835" s="10">
        <v>45708</v>
      </c>
      <c r="E2835" t="s">
        <v>2575</v>
      </c>
      <c r="F2835" s="11" t="s">
        <v>4148</v>
      </c>
      <c r="G2835" s="8">
        <v>-199.65</v>
      </c>
      <c r="H2835" s="8">
        <v>0</v>
      </c>
      <c r="I2835" s="8">
        <f t="shared" si="146"/>
        <v>346.61</v>
      </c>
      <c r="J2835" s="12"/>
    </row>
    <row r="2836" spans="1:10" x14ac:dyDescent="0.25">
      <c r="C2836" s="9"/>
      <c r="D2836" s="10">
        <v>45713</v>
      </c>
      <c r="E2836" t="s">
        <v>4149</v>
      </c>
      <c r="F2836" s="11" t="s">
        <v>42</v>
      </c>
      <c r="G2836" s="8">
        <v>0</v>
      </c>
      <c r="H2836" s="8">
        <v>31.44</v>
      </c>
      <c r="I2836" s="8">
        <f t="shared" si="146"/>
        <v>315.17</v>
      </c>
      <c r="J2836" s="12"/>
    </row>
    <row r="2837" spans="1:10" x14ac:dyDescent="0.25">
      <c r="C2837" s="9"/>
      <c r="D2837" s="10">
        <v>45713</v>
      </c>
      <c r="E2837" t="s">
        <v>1524</v>
      </c>
      <c r="F2837" s="11" t="s">
        <v>4144</v>
      </c>
      <c r="G2837" s="8">
        <v>0</v>
      </c>
      <c r="H2837" s="8">
        <v>70.86</v>
      </c>
      <c r="I2837" s="8">
        <f t="shared" si="146"/>
        <v>244.31</v>
      </c>
      <c r="J2837" s="12"/>
    </row>
    <row r="2838" spans="1:10" x14ac:dyDescent="0.25">
      <c r="C2838" s="9"/>
      <c r="D2838" s="10">
        <v>45730</v>
      </c>
      <c r="E2838" t="s">
        <v>4150</v>
      </c>
      <c r="F2838" s="11" t="s">
        <v>4151</v>
      </c>
      <c r="G2838" s="8">
        <v>154.93</v>
      </c>
      <c r="H2838" s="8">
        <v>0</v>
      </c>
      <c r="I2838" s="8">
        <f t="shared" si="146"/>
        <v>399.24</v>
      </c>
      <c r="J2838" s="12"/>
    </row>
    <row r="2839" spans="1:10" x14ac:dyDescent="0.25">
      <c r="C2839" s="9"/>
      <c r="D2839" s="10">
        <v>45741</v>
      </c>
      <c r="E2839" t="s">
        <v>1524</v>
      </c>
      <c r="F2839" s="11" t="s">
        <v>4147</v>
      </c>
      <c r="G2839" s="8">
        <v>0</v>
      </c>
      <c r="H2839" s="8">
        <v>244.31</v>
      </c>
      <c r="I2839" s="8">
        <f t="shared" si="146"/>
        <v>154.93</v>
      </c>
      <c r="J2839" s="12"/>
    </row>
    <row r="2840" spans="1:10" x14ac:dyDescent="0.25">
      <c r="C2840" s="9"/>
      <c r="D2840" s="10">
        <v>45747</v>
      </c>
      <c r="E2840" t="s">
        <v>4152</v>
      </c>
      <c r="F2840" s="11" t="s">
        <v>4153</v>
      </c>
      <c r="G2840" s="8">
        <v>138.85</v>
      </c>
      <c r="H2840" s="8">
        <v>0</v>
      </c>
      <c r="I2840" s="8">
        <f t="shared" si="146"/>
        <v>293.77999999999997</v>
      </c>
      <c r="J2840" s="12"/>
    </row>
    <row r="2841" spans="1:10" x14ac:dyDescent="0.25">
      <c r="E2841" s="4" t="s">
        <v>20</v>
      </c>
      <c r="G2841" s="8">
        <f>SUM(G2831:G2840)</f>
        <v>725.30000000000007</v>
      </c>
      <c r="H2841" s="8">
        <f>SUM(H2831:H2840)</f>
        <v>431.52</v>
      </c>
      <c r="I2841" s="8">
        <f>G2841-H2841</f>
        <v>293.78000000000009</v>
      </c>
    </row>
    <row r="2843" spans="1:10" x14ac:dyDescent="0.25">
      <c r="A2843" s="5">
        <v>4305575</v>
      </c>
      <c r="B2843" s="6" t="s">
        <v>4154</v>
      </c>
      <c r="C2843" s="7"/>
      <c r="D2843" s="7"/>
      <c r="E2843" s="7"/>
      <c r="F2843" s="7"/>
      <c r="G2843" s="7"/>
      <c r="H2843" s="7"/>
      <c r="I2843" s="7"/>
      <c r="J2843" s="7"/>
    </row>
    <row r="2844" spans="1:10" x14ac:dyDescent="0.25">
      <c r="E2844" s="4" t="s">
        <v>10</v>
      </c>
      <c r="G2844" s="8">
        <v>0</v>
      </c>
      <c r="H2844" s="8">
        <v>1540.48</v>
      </c>
      <c r="I2844" s="8">
        <f>G2844-H2844</f>
        <v>-1540.48</v>
      </c>
    </row>
    <row r="2845" spans="1:10" x14ac:dyDescent="0.25">
      <c r="E2845" s="4" t="s">
        <v>20</v>
      </c>
      <c r="G2845" s="8">
        <f>G2844</f>
        <v>0</v>
      </c>
      <c r="H2845" s="8">
        <f>H2844</f>
        <v>1540.48</v>
      </c>
      <c r="I2845" s="8">
        <f>G2845-H2845</f>
        <v>-1540.48</v>
      </c>
    </row>
    <row r="2847" spans="1:10" x14ac:dyDescent="0.25">
      <c r="A2847" s="5">
        <v>4305590</v>
      </c>
      <c r="B2847" s="6" t="s">
        <v>4155</v>
      </c>
      <c r="C2847" s="7"/>
      <c r="D2847" s="7"/>
      <c r="E2847" s="7"/>
      <c r="F2847" s="7"/>
      <c r="G2847" s="7"/>
      <c r="H2847" s="7"/>
      <c r="I2847" s="7"/>
      <c r="J2847" s="7"/>
    </row>
    <row r="2848" spans="1:10" x14ac:dyDescent="0.25">
      <c r="E2848" s="4" t="s">
        <v>10</v>
      </c>
      <c r="G2848" s="8">
        <v>65.790000000000006</v>
      </c>
      <c r="H2848" s="8">
        <v>0</v>
      </c>
      <c r="I2848" s="8">
        <f>G2848-H2848</f>
        <v>65.790000000000006</v>
      </c>
    </row>
    <row r="2849" spans="1:10" x14ac:dyDescent="0.25">
      <c r="E2849" s="4" t="s">
        <v>20</v>
      </c>
      <c r="G2849" s="8">
        <f>G2848</f>
        <v>65.790000000000006</v>
      </c>
      <c r="H2849" s="8">
        <f>H2848</f>
        <v>0</v>
      </c>
      <c r="I2849" s="8">
        <f>G2849-H2849</f>
        <v>65.790000000000006</v>
      </c>
    </row>
    <row r="2851" spans="1:10" x14ac:dyDescent="0.25">
      <c r="A2851" s="5">
        <v>4305620</v>
      </c>
      <c r="B2851" s="6" t="s">
        <v>4156</v>
      </c>
      <c r="C2851" s="7"/>
      <c r="D2851" s="7"/>
      <c r="E2851" s="7"/>
      <c r="F2851" s="7"/>
      <c r="G2851" s="7"/>
      <c r="H2851" s="7"/>
      <c r="I2851" s="7"/>
      <c r="J2851" s="7"/>
    </row>
    <row r="2852" spans="1:10" x14ac:dyDescent="0.25">
      <c r="E2852" s="4" t="s">
        <v>10</v>
      </c>
      <c r="G2852" s="8">
        <v>551.02</v>
      </c>
      <c r="H2852" s="8">
        <v>0</v>
      </c>
      <c r="I2852" s="8">
        <f>G2852-H2852</f>
        <v>551.02</v>
      </c>
    </row>
    <row r="2853" spans="1:10" x14ac:dyDescent="0.25">
      <c r="C2853" s="9"/>
      <c r="D2853" s="10">
        <v>45659</v>
      </c>
      <c r="E2853" t="s">
        <v>1524</v>
      </c>
      <c r="F2853" s="11" t="s">
        <v>4157</v>
      </c>
      <c r="G2853" s="8">
        <v>0</v>
      </c>
      <c r="H2853" s="8">
        <v>551.02</v>
      </c>
      <c r="I2853" s="8">
        <f t="shared" ref="I2853:I2860" si="147">G2853-H2853+I2852</f>
        <v>0</v>
      </c>
      <c r="J2853" s="12"/>
    </row>
    <row r="2854" spans="1:10" x14ac:dyDescent="0.25">
      <c r="C2854" s="9"/>
      <c r="D2854" s="10">
        <v>45671</v>
      </c>
      <c r="E2854" t="s">
        <v>4158</v>
      </c>
      <c r="F2854" s="11" t="s">
        <v>4159</v>
      </c>
      <c r="G2854" s="8">
        <v>190.38</v>
      </c>
      <c r="H2854" s="8">
        <v>0</v>
      </c>
      <c r="I2854" s="8">
        <f t="shared" si="147"/>
        <v>190.38</v>
      </c>
      <c r="J2854" s="12"/>
    </row>
    <row r="2855" spans="1:10" x14ac:dyDescent="0.25">
      <c r="C2855" s="9"/>
      <c r="D2855" s="10">
        <v>45672</v>
      </c>
      <c r="E2855" t="s">
        <v>1524</v>
      </c>
      <c r="F2855" s="11" t="s">
        <v>4159</v>
      </c>
      <c r="G2855" s="8">
        <v>0</v>
      </c>
      <c r="H2855" s="8">
        <v>190.38</v>
      </c>
      <c r="I2855" s="8">
        <f t="shared" si="147"/>
        <v>0</v>
      </c>
      <c r="J2855" s="12"/>
    </row>
    <row r="2856" spans="1:10" x14ac:dyDescent="0.25">
      <c r="C2856" s="9"/>
      <c r="D2856" s="10">
        <v>45688</v>
      </c>
      <c r="E2856" t="s">
        <v>4160</v>
      </c>
      <c r="F2856" s="11" t="s">
        <v>4161</v>
      </c>
      <c r="G2856" s="8">
        <v>113.04</v>
      </c>
      <c r="H2856" s="8">
        <v>0</v>
      </c>
      <c r="I2856" s="8">
        <f t="shared" si="147"/>
        <v>113.04</v>
      </c>
      <c r="J2856" s="12"/>
    </row>
    <row r="2857" spans="1:10" x14ac:dyDescent="0.25">
      <c r="C2857" s="9"/>
      <c r="D2857" s="10">
        <v>45691</v>
      </c>
      <c r="E2857" t="s">
        <v>4162</v>
      </c>
      <c r="F2857" s="11" t="s">
        <v>42</v>
      </c>
      <c r="G2857" s="8">
        <v>0</v>
      </c>
      <c r="H2857" s="8">
        <v>113.04</v>
      </c>
      <c r="I2857" s="8">
        <f t="shared" si="147"/>
        <v>0</v>
      </c>
      <c r="J2857" s="12"/>
    </row>
    <row r="2858" spans="1:10" x14ac:dyDescent="0.25">
      <c r="C2858" s="9"/>
      <c r="D2858" s="10">
        <v>45702</v>
      </c>
      <c r="E2858" t="s">
        <v>4163</v>
      </c>
      <c r="F2858" s="11" t="s">
        <v>4164</v>
      </c>
      <c r="G2858" s="8">
        <v>61.19</v>
      </c>
      <c r="H2858" s="8">
        <v>0</v>
      </c>
      <c r="I2858" s="8">
        <f t="shared" si="147"/>
        <v>61.19</v>
      </c>
      <c r="J2858" s="12"/>
    </row>
    <row r="2859" spans="1:10" x14ac:dyDescent="0.25">
      <c r="C2859" s="9"/>
      <c r="D2859" s="10">
        <v>45705</v>
      </c>
      <c r="E2859" t="s">
        <v>1524</v>
      </c>
      <c r="F2859" s="11" t="s">
        <v>4164</v>
      </c>
      <c r="G2859" s="8">
        <v>0</v>
      </c>
      <c r="H2859" s="8">
        <v>61.19</v>
      </c>
      <c r="I2859" s="8">
        <f t="shared" si="147"/>
        <v>0</v>
      </c>
      <c r="J2859" s="12"/>
    </row>
    <row r="2860" spans="1:10" x14ac:dyDescent="0.25">
      <c r="C2860" s="9"/>
      <c r="D2860" s="10">
        <v>45762</v>
      </c>
      <c r="E2860" t="s">
        <v>4165</v>
      </c>
      <c r="F2860" s="11" t="s">
        <v>42</v>
      </c>
      <c r="G2860" s="8">
        <v>0</v>
      </c>
      <c r="H2860" s="8">
        <v>34.76</v>
      </c>
      <c r="I2860" s="8">
        <f t="shared" si="147"/>
        <v>-34.76</v>
      </c>
      <c r="J2860" s="12"/>
    </row>
    <row r="2861" spans="1:10" x14ac:dyDescent="0.25">
      <c r="E2861" s="4" t="s">
        <v>20</v>
      </c>
      <c r="G2861" s="8">
        <f>SUM(G2852:G2860)</f>
        <v>915.62999999999988</v>
      </c>
      <c r="H2861" s="8">
        <f>SUM(H2852:H2860)</f>
        <v>950.38999999999987</v>
      </c>
      <c r="I2861" s="8">
        <f>G2861-H2861</f>
        <v>-34.759999999999991</v>
      </c>
    </row>
    <row r="2863" spans="1:10" x14ac:dyDescent="0.25">
      <c r="A2863" s="5">
        <v>4305650</v>
      </c>
      <c r="B2863" s="6" t="s">
        <v>4166</v>
      </c>
      <c r="C2863" s="7"/>
      <c r="D2863" s="7"/>
      <c r="E2863" s="7"/>
      <c r="F2863" s="7"/>
      <c r="G2863" s="7"/>
      <c r="H2863" s="7"/>
      <c r="I2863" s="7"/>
      <c r="J2863" s="7"/>
    </row>
    <row r="2864" spans="1:10" x14ac:dyDescent="0.25">
      <c r="E2864" s="4" t="s">
        <v>10</v>
      </c>
      <c r="G2864" s="8">
        <v>302.47000000000003</v>
      </c>
      <c r="H2864" s="8">
        <v>0</v>
      </c>
      <c r="I2864" s="8">
        <f>G2864-H2864</f>
        <v>302.47000000000003</v>
      </c>
    </row>
    <row r="2865" spans="1:10" x14ac:dyDescent="0.25">
      <c r="C2865" s="9"/>
      <c r="D2865" s="10">
        <v>45684</v>
      </c>
      <c r="E2865" t="s">
        <v>1524</v>
      </c>
      <c r="F2865" s="11" t="s">
        <v>4167</v>
      </c>
      <c r="G2865" s="8">
        <v>0</v>
      </c>
      <c r="H2865" s="8">
        <v>107.13</v>
      </c>
      <c r="I2865" s="8">
        <f>G2865-H2865+I2864</f>
        <v>195.34000000000003</v>
      </c>
      <c r="J2865" s="12"/>
    </row>
    <row r="2866" spans="1:10" x14ac:dyDescent="0.25">
      <c r="C2866" s="9"/>
      <c r="D2866" s="10">
        <v>45688</v>
      </c>
      <c r="E2866" t="s">
        <v>4168</v>
      </c>
      <c r="F2866" s="11" t="s">
        <v>4169</v>
      </c>
      <c r="G2866" s="8">
        <v>147.09</v>
      </c>
      <c r="H2866" s="8">
        <v>0</v>
      </c>
      <c r="I2866" s="8">
        <f>G2866-H2866+I2865</f>
        <v>342.43000000000006</v>
      </c>
      <c r="J2866" s="12"/>
    </row>
    <row r="2867" spans="1:10" x14ac:dyDescent="0.25">
      <c r="C2867" s="9"/>
      <c r="D2867" s="10">
        <v>45702</v>
      </c>
      <c r="E2867" t="s">
        <v>4170</v>
      </c>
      <c r="F2867" s="11" t="s">
        <v>4171</v>
      </c>
      <c r="G2867" s="8">
        <v>82.44</v>
      </c>
      <c r="H2867" s="8">
        <v>0</v>
      </c>
      <c r="I2867" s="8">
        <f>G2867-H2867+I2866</f>
        <v>424.87000000000006</v>
      </c>
      <c r="J2867" s="12"/>
    </row>
    <row r="2868" spans="1:10" x14ac:dyDescent="0.25">
      <c r="C2868" s="9"/>
      <c r="D2868" s="10">
        <v>45713</v>
      </c>
      <c r="E2868" t="s">
        <v>4166</v>
      </c>
      <c r="F2868" s="11" t="s">
        <v>42</v>
      </c>
      <c r="G2868" s="8">
        <v>0</v>
      </c>
      <c r="H2868" s="8">
        <v>195.39</v>
      </c>
      <c r="I2868" s="8">
        <f>G2868-H2868+I2867</f>
        <v>229.48000000000008</v>
      </c>
      <c r="J2868" s="12"/>
    </row>
    <row r="2869" spans="1:10" x14ac:dyDescent="0.25">
      <c r="E2869" s="4" t="s">
        <v>20</v>
      </c>
      <c r="G2869" s="8">
        <f>SUM(G2864:G2868)</f>
        <v>532</v>
      </c>
      <c r="H2869" s="8">
        <f>SUM(H2864:H2868)</f>
        <v>302.52</v>
      </c>
      <c r="I2869" s="8">
        <f>G2869-H2869</f>
        <v>229.48000000000002</v>
      </c>
    </row>
    <row r="2871" spans="1:10" x14ac:dyDescent="0.25">
      <c r="A2871" s="5">
        <v>4305665</v>
      </c>
      <c r="B2871" s="6" t="s">
        <v>4172</v>
      </c>
      <c r="C2871" s="7"/>
      <c r="D2871" s="7"/>
      <c r="E2871" s="7"/>
      <c r="F2871" s="7"/>
      <c r="G2871" s="7"/>
      <c r="H2871" s="7"/>
      <c r="I2871" s="7"/>
      <c r="J2871" s="7"/>
    </row>
    <row r="2872" spans="1:10" x14ac:dyDescent="0.25">
      <c r="E2872" s="4" t="s">
        <v>10</v>
      </c>
      <c r="G2872" s="8">
        <v>61.87</v>
      </c>
      <c r="H2872" s="8">
        <v>0</v>
      </c>
      <c r="I2872" s="8">
        <f>G2872-H2872</f>
        <v>61.87</v>
      </c>
    </row>
    <row r="2873" spans="1:10" x14ac:dyDescent="0.25">
      <c r="C2873" s="9"/>
      <c r="D2873" s="10">
        <v>45659</v>
      </c>
      <c r="E2873" t="s">
        <v>1524</v>
      </c>
      <c r="F2873" s="11" t="s">
        <v>4173</v>
      </c>
      <c r="G2873" s="8">
        <v>0</v>
      </c>
      <c r="H2873" s="8">
        <v>61.87</v>
      </c>
      <c r="I2873" s="8">
        <f t="shared" ref="I2873:I2882" si="148">G2873-H2873+I2872</f>
        <v>0</v>
      </c>
      <c r="J2873" s="12"/>
    </row>
    <row r="2874" spans="1:10" x14ac:dyDescent="0.25">
      <c r="C2874" s="9"/>
      <c r="D2874" s="10">
        <v>45688</v>
      </c>
      <c r="E2874" t="s">
        <v>4174</v>
      </c>
      <c r="F2874" s="11" t="s">
        <v>4175</v>
      </c>
      <c r="G2874" s="8">
        <v>274.95</v>
      </c>
      <c r="H2874" s="8">
        <v>0</v>
      </c>
      <c r="I2874" s="8">
        <f t="shared" si="148"/>
        <v>274.95</v>
      </c>
      <c r="J2874" s="12"/>
    </row>
    <row r="2875" spans="1:10" x14ac:dyDescent="0.25">
      <c r="C2875" s="9"/>
      <c r="D2875" s="10">
        <v>45691</v>
      </c>
      <c r="E2875" t="s">
        <v>1524</v>
      </c>
      <c r="F2875" s="11" t="s">
        <v>4175</v>
      </c>
      <c r="G2875" s="8">
        <v>0</v>
      </c>
      <c r="H2875" s="8">
        <v>274.95</v>
      </c>
      <c r="I2875" s="8">
        <f t="shared" si="148"/>
        <v>0</v>
      </c>
      <c r="J2875" s="12"/>
    </row>
    <row r="2876" spans="1:10" x14ac:dyDescent="0.25">
      <c r="C2876" s="9"/>
      <c r="D2876" s="10">
        <v>45702</v>
      </c>
      <c r="E2876" t="s">
        <v>4176</v>
      </c>
      <c r="F2876" s="11" t="s">
        <v>4177</v>
      </c>
      <c r="G2876" s="8">
        <v>87.87</v>
      </c>
      <c r="H2876" s="8">
        <v>0</v>
      </c>
      <c r="I2876" s="8">
        <f t="shared" si="148"/>
        <v>87.87</v>
      </c>
      <c r="J2876" s="12"/>
    </row>
    <row r="2877" spans="1:10" x14ac:dyDescent="0.25">
      <c r="C2877" s="9"/>
      <c r="D2877" s="10">
        <v>45705</v>
      </c>
      <c r="E2877" t="s">
        <v>1524</v>
      </c>
      <c r="F2877" s="11" t="s">
        <v>4177</v>
      </c>
      <c r="G2877" s="8">
        <v>0</v>
      </c>
      <c r="H2877" s="8">
        <v>87.87</v>
      </c>
      <c r="I2877" s="8">
        <f t="shared" si="148"/>
        <v>0</v>
      </c>
      <c r="J2877" s="12"/>
    </row>
    <row r="2878" spans="1:10" x14ac:dyDescent="0.25">
      <c r="C2878" s="9"/>
      <c r="D2878" s="10">
        <v>45730</v>
      </c>
      <c r="E2878" t="s">
        <v>4178</v>
      </c>
      <c r="F2878" s="11" t="s">
        <v>4179</v>
      </c>
      <c r="G2878" s="8">
        <v>249.25</v>
      </c>
      <c r="H2878" s="8">
        <v>0</v>
      </c>
      <c r="I2878" s="8">
        <f t="shared" si="148"/>
        <v>249.25</v>
      </c>
      <c r="J2878" s="12"/>
    </row>
    <row r="2879" spans="1:10" x14ac:dyDescent="0.25">
      <c r="C2879" s="9"/>
      <c r="D2879" s="10">
        <v>45733</v>
      </c>
      <c r="E2879" t="s">
        <v>1524</v>
      </c>
      <c r="F2879" s="11" t="s">
        <v>4179</v>
      </c>
      <c r="G2879" s="8">
        <v>0</v>
      </c>
      <c r="H2879" s="8">
        <v>249.25</v>
      </c>
      <c r="I2879" s="8">
        <f t="shared" si="148"/>
        <v>0</v>
      </c>
      <c r="J2879" s="12"/>
    </row>
    <row r="2880" spans="1:10" x14ac:dyDescent="0.25">
      <c r="C2880" s="9"/>
      <c r="D2880" s="10">
        <v>45747</v>
      </c>
      <c r="E2880" t="s">
        <v>4180</v>
      </c>
      <c r="F2880" s="11" t="s">
        <v>4181</v>
      </c>
      <c r="G2880" s="8">
        <v>540.13</v>
      </c>
      <c r="H2880" s="8">
        <v>0</v>
      </c>
      <c r="I2880" s="8">
        <f t="shared" si="148"/>
        <v>540.13</v>
      </c>
      <c r="J2880" s="12"/>
    </row>
    <row r="2881" spans="1:10" x14ac:dyDescent="0.25">
      <c r="C2881" s="9"/>
      <c r="D2881" s="10">
        <v>45748</v>
      </c>
      <c r="E2881" t="s">
        <v>1524</v>
      </c>
      <c r="F2881" s="11" t="s">
        <v>4181</v>
      </c>
      <c r="G2881" s="8">
        <v>0</v>
      </c>
      <c r="H2881" s="8">
        <v>540.13</v>
      </c>
      <c r="I2881" s="8">
        <f t="shared" si="148"/>
        <v>0</v>
      </c>
      <c r="J2881" s="12"/>
    </row>
    <row r="2882" spans="1:10" x14ac:dyDescent="0.25">
      <c r="C2882" s="9"/>
      <c r="D2882" s="10">
        <v>45762</v>
      </c>
      <c r="E2882" t="s">
        <v>4182</v>
      </c>
      <c r="F2882" s="11" t="s">
        <v>4181</v>
      </c>
      <c r="G2882" s="8">
        <v>0</v>
      </c>
      <c r="H2882" s="8">
        <v>253.17</v>
      </c>
      <c r="I2882" s="8">
        <f t="shared" si="148"/>
        <v>-253.17</v>
      </c>
      <c r="J2882" s="12"/>
    </row>
    <row r="2883" spans="1:10" x14ac:dyDescent="0.25">
      <c r="E2883" s="4" t="s">
        <v>20</v>
      </c>
      <c r="G2883" s="8">
        <f>SUM(G2872:G2882)</f>
        <v>1214.0700000000002</v>
      </c>
      <c r="H2883" s="8">
        <f>SUM(H2872:H2882)</f>
        <v>1467.2400000000002</v>
      </c>
      <c r="I2883" s="8">
        <f>G2883-H2883</f>
        <v>-253.17000000000007</v>
      </c>
    </row>
    <row r="2885" spans="1:10" x14ac:dyDescent="0.25">
      <c r="A2885" s="5">
        <v>4305695</v>
      </c>
      <c r="B2885" s="6" t="s">
        <v>4183</v>
      </c>
      <c r="C2885" s="7"/>
      <c r="D2885" s="7"/>
      <c r="E2885" s="7"/>
      <c r="F2885" s="7"/>
      <c r="G2885" s="7"/>
      <c r="H2885" s="7"/>
      <c r="I2885" s="7"/>
      <c r="J2885" s="7"/>
    </row>
    <row r="2886" spans="1:10" x14ac:dyDescent="0.25">
      <c r="E2886" s="4" t="s">
        <v>10</v>
      </c>
      <c r="G2886" s="8">
        <v>608.29</v>
      </c>
      <c r="H2886" s="8">
        <v>0</v>
      </c>
      <c r="I2886" s="8">
        <f>G2886-H2886</f>
        <v>608.29</v>
      </c>
    </row>
    <row r="2887" spans="1:10" x14ac:dyDescent="0.25">
      <c r="C2887" s="9"/>
      <c r="D2887" s="10">
        <v>45665</v>
      </c>
      <c r="E2887" t="s">
        <v>1524</v>
      </c>
      <c r="F2887" s="11" t="s">
        <v>4184</v>
      </c>
      <c r="G2887" s="8">
        <v>0</v>
      </c>
      <c r="H2887" s="8">
        <v>103.53</v>
      </c>
      <c r="I2887" s="8">
        <f>G2887-H2887+I2886</f>
        <v>504.76</v>
      </c>
      <c r="J2887" s="12"/>
    </row>
    <row r="2888" spans="1:10" x14ac:dyDescent="0.25">
      <c r="C2888" s="9"/>
      <c r="D2888" s="10">
        <v>45688</v>
      </c>
      <c r="E2888" t="s">
        <v>4185</v>
      </c>
      <c r="F2888" s="11" t="s">
        <v>4186</v>
      </c>
      <c r="G2888" s="8">
        <v>277.38</v>
      </c>
      <c r="H2888" s="8">
        <v>0</v>
      </c>
      <c r="I2888" s="8">
        <f>G2888-H2888+I2887</f>
        <v>782.14</v>
      </c>
      <c r="J2888" s="12"/>
    </row>
    <row r="2889" spans="1:10" x14ac:dyDescent="0.25">
      <c r="C2889" s="9"/>
      <c r="D2889" s="10">
        <v>45692</v>
      </c>
      <c r="E2889" t="s">
        <v>1524</v>
      </c>
      <c r="F2889" s="11" t="s">
        <v>4187</v>
      </c>
      <c r="G2889" s="8">
        <v>0</v>
      </c>
      <c r="H2889" s="8">
        <v>276.75</v>
      </c>
      <c r="I2889" s="8">
        <f>G2889-H2889+I2888</f>
        <v>505.39</v>
      </c>
      <c r="J2889" s="12"/>
    </row>
    <row r="2890" spans="1:10" x14ac:dyDescent="0.25">
      <c r="C2890" s="9"/>
      <c r="D2890" s="10">
        <v>45716</v>
      </c>
      <c r="E2890" t="s">
        <v>4188</v>
      </c>
      <c r="F2890" s="11" t="s">
        <v>4189</v>
      </c>
      <c r="G2890" s="8">
        <v>69.849999999999994</v>
      </c>
      <c r="H2890" s="8">
        <v>0</v>
      </c>
      <c r="I2890" s="8">
        <f>G2890-H2890+I2889</f>
        <v>575.24</v>
      </c>
      <c r="J2890" s="12"/>
    </row>
    <row r="2891" spans="1:10" x14ac:dyDescent="0.25">
      <c r="C2891" s="9"/>
      <c r="D2891" s="10">
        <v>45757</v>
      </c>
      <c r="E2891" t="s">
        <v>1524</v>
      </c>
      <c r="F2891" s="11" t="s">
        <v>4186</v>
      </c>
      <c r="G2891" s="8">
        <v>0</v>
      </c>
      <c r="H2891" s="8">
        <v>277.38</v>
      </c>
      <c r="I2891" s="8">
        <f>G2891-H2891+I2890</f>
        <v>297.86</v>
      </c>
      <c r="J2891" s="12"/>
    </row>
    <row r="2892" spans="1:10" x14ac:dyDescent="0.25">
      <c r="E2892" s="4" t="s">
        <v>20</v>
      </c>
      <c r="G2892" s="8">
        <f>SUM(G2886:G2891)</f>
        <v>955.52</v>
      </c>
      <c r="H2892" s="8">
        <f>SUM(H2886:H2891)</f>
        <v>657.66</v>
      </c>
      <c r="I2892" s="8">
        <f>G2892-H2892</f>
        <v>297.86</v>
      </c>
    </row>
    <row r="2894" spans="1:10" x14ac:dyDescent="0.25">
      <c r="A2894" s="5">
        <v>4305710</v>
      </c>
      <c r="B2894" s="6" t="s">
        <v>4190</v>
      </c>
      <c r="C2894" s="7"/>
      <c r="D2894" s="7"/>
      <c r="E2894" s="7"/>
      <c r="F2894" s="7"/>
      <c r="G2894" s="7"/>
      <c r="H2894" s="7"/>
      <c r="I2894" s="7"/>
      <c r="J2894" s="7"/>
    </row>
    <row r="2895" spans="1:10" x14ac:dyDescent="0.25">
      <c r="C2895" s="9"/>
      <c r="D2895" s="10">
        <v>45716</v>
      </c>
      <c r="E2895" t="s">
        <v>4191</v>
      </c>
      <c r="F2895" s="11" t="s">
        <v>4192</v>
      </c>
      <c r="G2895" s="8">
        <v>49.91</v>
      </c>
      <c r="H2895" s="8">
        <v>0</v>
      </c>
      <c r="I2895" s="8">
        <f>G2895-H2895</f>
        <v>49.91</v>
      </c>
      <c r="J2895" s="12"/>
    </row>
    <row r="2896" spans="1:10" x14ac:dyDescent="0.25">
      <c r="C2896" s="9" t="s">
        <v>124</v>
      </c>
      <c r="D2896" s="10">
        <v>45719</v>
      </c>
      <c r="E2896" t="s">
        <v>4193</v>
      </c>
      <c r="F2896" s="11" t="s">
        <v>4192</v>
      </c>
      <c r="G2896" s="8">
        <v>0</v>
      </c>
      <c r="H2896" s="8">
        <v>49.91</v>
      </c>
      <c r="I2896" s="8">
        <f t="shared" ref="I2896:I2901" si="149">G2896-H2896+I2895</f>
        <v>0</v>
      </c>
      <c r="J2896" s="12"/>
    </row>
    <row r="2897" spans="1:10" x14ac:dyDescent="0.25">
      <c r="C2897" s="9"/>
      <c r="D2897" s="10">
        <v>45730</v>
      </c>
      <c r="E2897" t="s">
        <v>4194</v>
      </c>
      <c r="F2897" s="11" t="s">
        <v>4195</v>
      </c>
      <c r="G2897" s="8">
        <v>59.16</v>
      </c>
      <c r="H2897" s="8">
        <v>0</v>
      </c>
      <c r="I2897" s="8">
        <f t="shared" si="149"/>
        <v>59.16</v>
      </c>
      <c r="J2897" s="12"/>
    </row>
    <row r="2898" spans="1:10" x14ac:dyDescent="0.25">
      <c r="C2898" s="9"/>
      <c r="D2898" s="10">
        <v>45733</v>
      </c>
      <c r="E2898" t="s">
        <v>1524</v>
      </c>
      <c r="F2898" s="11" t="s">
        <v>4195</v>
      </c>
      <c r="G2898" s="8">
        <v>0</v>
      </c>
      <c r="H2898" s="8">
        <v>59.16</v>
      </c>
      <c r="I2898" s="8">
        <f t="shared" si="149"/>
        <v>0</v>
      </c>
      <c r="J2898" s="12"/>
    </row>
    <row r="2899" spans="1:10" x14ac:dyDescent="0.25">
      <c r="C2899" s="9"/>
      <c r="D2899" s="10">
        <v>45747</v>
      </c>
      <c r="E2899" t="s">
        <v>4196</v>
      </c>
      <c r="F2899" s="11" t="s">
        <v>4197</v>
      </c>
      <c r="G2899" s="8">
        <v>41.75</v>
      </c>
      <c r="H2899" s="8">
        <v>0</v>
      </c>
      <c r="I2899" s="8">
        <f t="shared" si="149"/>
        <v>41.75</v>
      </c>
      <c r="J2899" s="12"/>
    </row>
    <row r="2900" spans="1:10" x14ac:dyDescent="0.25">
      <c r="C2900" s="9" t="s">
        <v>124</v>
      </c>
      <c r="D2900" s="10">
        <v>45748</v>
      </c>
      <c r="E2900" t="s">
        <v>4198</v>
      </c>
      <c r="F2900" s="11" t="s">
        <v>4197</v>
      </c>
      <c r="G2900" s="8">
        <v>0</v>
      </c>
      <c r="H2900" s="8">
        <v>41.75</v>
      </c>
      <c r="I2900" s="8">
        <f t="shared" si="149"/>
        <v>0</v>
      </c>
      <c r="J2900" s="12"/>
    </row>
    <row r="2901" spans="1:10" x14ac:dyDescent="0.25">
      <c r="C2901" s="9"/>
      <c r="D2901" s="10">
        <v>45762</v>
      </c>
      <c r="E2901" t="s">
        <v>4199</v>
      </c>
      <c r="F2901" s="11" t="s">
        <v>4200</v>
      </c>
      <c r="G2901" s="8">
        <v>0</v>
      </c>
      <c r="H2901" s="8">
        <v>162.56</v>
      </c>
      <c r="I2901" s="8">
        <f t="shared" si="149"/>
        <v>-162.56</v>
      </c>
      <c r="J2901" s="12"/>
    </row>
    <row r="2902" spans="1:10" x14ac:dyDescent="0.25">
      <c r="E2902" s="4" t="s">
        <v>20</v>
      </c>
      <c r="G2902" s="8">
        <f>SUM(G2895:G2901)</f>
        <v>150.82</v>
      </c>
      <c r="H2902" s="8">
        <f>SUM(H2895:H2901)</f>
        <v>313.38</v>
      </c>
      <c r="I2902" s="8">
        <f>G2902-H2902</f>
        <v>-162.56</v>
      </c>
    </row>
    <row r="2904" spans="1:10" x14ac:dyDescent="0.25">
      <c r="A2904" s="5">
        <v>4305720</v>
      </c>
      <c r="B2904" s="6" t="s">
        <v>4201</v>
      </c>
      <c r="C2904" s="7"/>
      <c r="D2904" s="7"/>
      <c r="E2904" s="7"/>
      <c r="F2904" s="7"/>
      <c r="G2904" s="7"/>
      <c r="H2904" s="7"/>
      <c r="I2904" s="7"/>
      <c r="J2904" s="7"/>
    </row>
    <row r="2905" spans="1:10" x14ac:dyDescent="0.25">
      <c r="E2905" s="4" t="s">
        <v>10</v>
      </c>
      <c r="G2905" s="8">
        <v>422.07</v>
      </c>
      <c r="H2905" s="8">
        <v>0</v>
      </c>
      <c r="I2905" s="8">
        <f>G2905-H2905</f>
        <v>422.07</v>
      </c>
    </row>
    <row r="2906" spans="1:10" x14ac:dyDescent="0.25">
      <c r="C2906" s="9"/>
      <c r="D2906" s="10">
        <v>45660</v>
      </c>
      <c r="E2906" t="s">
        <v>1524</v>
      </c>
      <c r="F2906" s="11" t="s">
        <v>4202</v>
      </c>
      <c r="G2906" s="8">
        <v>0</v>
      </c>
      <c r="H2906" s="8">
        <v>422.07</v>
      </c>
      <c r="I2906" s="8">
        <f t="shared" ref="I2906:I2919" si="150">G2906-H2906+I2905</f>
        <v>0</v>
      </c>
      <c r="J2906" s="12"/>
    </row>
    <row r="2907" spans="1:10" x14ac:dyDescent="0.25">
      <c r="C2907" s="9"/>
      <c r="D2907" s="10">
        <v>45671</v>
      </c>
      <c r="E2907" t="s">
        <v>4203</v>
      </c>
      <c r="F2907" s="11" t="s">
        <v>4204</v>
      </c>
      <c r="G2907" s="8">
        <v>703.52</v>
      </c>
      <c r="H2907" s="8">
        <v>0</v>
      </c>
      <c r="I2907" s="8">
        <f t="shared" si="150"/>
        <v>703.52</v>
      </c>
      <c r="J2907" s="12"/>
    </row>
    <row r="2908" spans="1:10" x14ac:dyDescent="0.25">
      <c r="C2908" s="9"/>
      <c r="D2908" s="10">
        <v>45672</v>
      </c>
      <c r="E2908" t="s">
        <v>1524</v>
      </c>
      <c r="F2908" s="11" t="s">
        <v>4204</v>
      </c>
      <c r="G2908" s="8">
        <v>0</v>
      </c>
      <c r="H2908" s="8">
        <v>703.52</v>
      </c>
      <c r="I2908" s="8">
        <f t="shared" si="150"/>
        <v>0</v>
      </c>
      <c r="J2908" s="12"/>
    </row>
    <row r="2909" spans="1:10" x14ac:dyDescent="0.25">
      <c r="C2909" s="9"/>
      <c r="D2909" s="10">
        <v>45688</v>
      </c>
      <c r="E2909" t="s">
        <v>4205</v>
      </c>
      <c r="F2909" s="11" t="s">
        <v>4206</v>
      </c>
      <c r="G2909" s="8">
        <v>1047.07</v>
      </c>
      <c r="H2909" s="8">
        <v>0</v>
      </c>
      <c r="I2909" s="8">
        <f t="shared" si="150"/>
        <v>1047.07</v>
      </c>
      <c r="J2909" s="12"/>
    </row>
    <row r="2910" spans="1:10" x14ac:dyDescent="0.25">
      <c r="C2910" s="9"/>
      <c r="D2910" s="10">
        <v>45691</v>
      </c>
      <c r="E2910" t="s">
        <v>1524</v>
      </c>
      <c r="F2910" s="11" t="s">
        <v>4206</v>
      </c>
      <c r="G2910" s="8">
        <v>0</v>
      </c>
      <c r="H2910" s="8">
        <v>1047.07</v>
      </c>
      <c r="I2910" s="8">
        <f t="shared" si="150"/>
        <v>0</v>
      </c>
      <c r="J2910" s="12"/>
    </row>
    <row r="2911" spans="1:10" x14ac:dyDescent="0.25">
      <c r="C2911" s="9"/>
      <c r="D2911" s="10">
        <v>45702</v>
      </c>
      <c r="E2911" t="s">
        <v>4207</v>
      </c>
      <c r="F2911" s="11" t="s">
        <v>4208</v>
      </c>
      <c r="G2911" s="8">
        <v>902.13</v>
      </c>
      <c r="H2911" s="8">
        <v>0</v>
      </c>
      <c r="I2911" s="8">
        <f t="shared" si="150"/>
        <v>902.13</v>
      </c>
      <c r="J2911" s="12"/>
    </row>
    <row r="2912" spans="1:10" x14ac:dyDescent="0.25">
      <c r="C2912" s="9"/>
      <c r="D2912" s="10">
        <v>45705</v>
      </c>
      <c r="E2912" t="s">
        <v>1524</v>
      </c>
      <c r="F2912" s="11" t="s">
        <v>4208</v>
      </c>
      <c r="G2912" s="8">
        <v>0</v>
      </c>
      <c r="H2912" s="8">
        <v>902.13</v>
      </c>
      <c r="I2912" s="8">
        <f t="shared" si="150"/>
        <v>0</v>
      </c>
      <c r="J2912" s="12"/>
    </row>
    <row r="2913" spans="1:10" x14ac:dyDescent="0.25">
      <c r="C2913" s="9"/>
      <c r="D2913" s="10">
        <v>45716</v>
      </c>
      <c r="E2913" t="s">
        <v>4209</v>
      </c>
      <c r="F2913" s="11" t="s">
        <v>4210</v>
      </c>
      <c r="G2913" s="8">
        <v>479.28</v>
      </c>
      <c r="H2913" s="8">
        <v>0</v>
      </c>
      <c r="I2913" s="8">
        <f t="shared" si="150"/>
        <v>479.28</v>
      </c>
      <c r="J2913" s="12"/>
    </row>
    <row r="2914" spans="1:10" x14ac:dyDescent="0.25">
      <c r="C2914" s="9"/>
      <c r="D2914" s="10">
        <v>45720</v>
      </c>
      <c r="E2914" t="s">
        <v>1524</v>
      </c>
      <c r="F2914" s="11" t="s">
        <v>4210</v>
      </c>
      <c r="G2914" s="8">
        <v>0</v>
      </c>
      <c r="H2914" s="8">
        <v>479.28</v>
      </c>
      <c r="I2914" s="8">
        <f t="shared" si="150"/>
        <v>0</v>
      </c>
      <c r="J2914" s="12"/>
    </row>
    <row r="2915" spans="1:10" x14ac:dyDescent="0.25">
      <c r="C2915" s="9"/>
      <c r="D2915" s="10">
        <v>45730</v>
      </c>
      <c r="E2915" t="s">
        <v>4211</v>
      </c>
      <c r="F2915" s="11" t="s">
        <v>4212</v>
      </c>
      <c r="G2915" s="8">
        <v>277.42</v>
      </c>
      <c r="H2915" s="8">
        <v>0</v>
      </c>
      <c r="I2915" s="8">
        <f t="shared" si="150"/>
        <v>277.42</v>
      </c>
      <c r="J2915" s="12"/>
    </row>
    <row r="2916" spans="1:10" x14ac:dyDescent="0.25">
      <c r="C2916" s="9"/>
      <c r="D2916" s="10">
        <v>45733</v>
      </c>
      <c r="E2916" t="s">
        <v>1524</v>
      </c>
      <c r="F2916" s="11" t="s">
        <v>4212</v>
      </c>
      <c r="G2916" s="8">
        <v>0</v>
      </c>
      <c r="H2916" s="8">
        <v>277.42</v>
      </c>
      <c r="I2916" s="8">
        <f t="shared" si="150"/>
        <v>0</v>
      </c>
      <c r="J2916" s="12"/>
    </row>
    <row r="2917" spans="1:10" x14ac:dyDescent="0.25">
      <c r="C2917" s="9"/>
      <c r="D2917" s="10">
        <v>45747</v>
      </c>
      <c r="E2917" t="s">
        <v>4213</v>
      </c>
      <c r="F2917" s="11" t="s">
        <v>4214</v>
      </c>
      <c r="G2917" s="8">
        <v>566.57000000000005</v>
      </c>
      <c r="H2917" s="8">
        <v>0</v>
      </c>
      <c r="I2917" s="8">
        <f t="shared" si="150"/>
        <v>566.57000000000005</v>
      </c>
      <c r="J2917" s="12"/>
    </row>
    <row r="2918" spans="1:10" x14ac:dyDescent="0.25">
      <c r="C2918" s="9"/>
      <c r="D2918" s="10">
        <v>45748</v>
      </c>
      <c r="E2918" t="s">
        <v>1524</v>
      </c>
      <c r="F2918" s="11" t="s">
        <v>4214</v>
      </c>
      <c r="G2918" s="8">
        <v>0</v>
      </c>
      <c r="H2918" s="8">
        <v>566.57000000000005</v>
      </c>
      <c r="I2918" s="8">
        <f t="shared" si="150"/>
        <v>0</v>
      </c>
      <c r="J2918" s="12"/>
    </row>
    <row r="2919" spans="1:10" x14ac:dyDescent="0.25">
      <c r="C2919" s="9"/>
      <c r="D2919" s="10">
        <v>45762</v>
      </c>
      <c r="E2919" t="s">
        <v>4215</v>
      </c>
      <c r="F2919" s="11" t="s">
        <v>42</v>
      </c>
      <c r="G2919" s="8">
        <v>0</v>
      </c>
      <c r="H2919" s="8">
        <v>144.38</v>
      </c>
      <c r="I2919" s="8">
        <f t="shared" si="150"/>
        <v>-144.38</v>
      </c>
      <c r="J2919" s="12"/>
    </row>
    <row r="2920" spans="1:10" x14ac:dyDescent="0.25">
      <c r="E2920" s="4" t="s">
        <v>20</v>
      </c>
      <c r="G2920" s="8">
        <f>SUM(G2905:G2919)</f>
        <v>4398.0599999999995</v>
      </c>
      <c r="H2920" s="8">
        <f>SUM(H2905:H2919)</f>
        <v>4542.4399999999996</v>
      </c>
      <c r="I2920" s="8">
        <f>G2920-H2920</f>
        <v>-144.38000000000011</v>
      </c>
    </row>
    <row r="2922" spans="1:10" x14ac:dyDescent="0.25">
      <c r="A2922" s="5">
        <v>4305765</v>
      </c>
      <c r="B2922" s="6" t="s">
        <v>4216</v>
      </c>
      <c r="C2922" s="7"/>
      <c r="D2922" s="7"/>
      <c r="E2922" s="7"/>
      <c r="F2922" s="7"/>
      <c r="G2922" s="7"/>
      <c r="H2922" s="7"/>
      <c r="I2922" s="7"/>
      <c r="J2922" s="7"/>
    </row>
    <row r="2923" spans="1:10" x14ac:dyDescent="0.25">
      <c r="E2923" s="4" t="s">
        <v>10</v>
      </c>
      <c r="G2923" s="8">
        <v>2434.7600000000002</v>
      </c>
      <c r="H2923" s="8">
        <v>0</v>
      </c>
      <c r="I2923" s="8">
        <f>G2923-H2923</f>
        <v>2434.7600000000002</v>
      </c>
    </row>
    <row r="2924" spans="1:10" x14ac:dyDescent="0.25">
      <c r="E2924" s="4" t="s">
        <v>20</v>
      </c>
      <c r="G2924" s="8">
        <f>G2923</f>
        <v>2434.7600000000002</v>
      </c>
      <c r="H2924" s="8">
        <f>H2923</f>
        <v>0</v>
      </c>
      <c r="I2924" s="8">
        <f>G2924-H2924</f>
        <v>2434.7600000000002</v>
      </c>
    </row>
    <row r="2926" spans="1:10" x14ac:dyDescent="0.25">
      <c r="A2926" s="5">
        <v>4305775</v>
      </c>
      <c r="B2926" s="6" t="s">
        <v>4217</v>
      </c>
      <c r="C2926" s="7"/>
      <c r="D2926" s="7"/>
      <c r="E2926" s="7"/>
      <c r="F2926" s="7"/>
      <c r="G2926" s="7"/>
      <c r="H2926" s="7"/>
      <c r="I2926" s="7"/>
      <c r="J2926" s="7"/>
    </row>
    <row r="2927" spans="1:10" x14ac:dyDescent="0.25">
      <c r="E2927" s="4" t="s">
        <v>10</v>
      </c>
      <c r="G2927" s="8">
        <v>55.45</v>
      </c>
      <c r="H2927" s="8">
        <v>0</v>
      </c>
      <c r="I2927" s="8">
        <f>G2927-H2927</f>
        <v>55.45</v>
      </c>
    </row>
    <row r="2928" spans="1:10" x14ac:dyDescent="0.25">
      <c r="C2928" s="9"/>
      <c r="D2928" s="10">
        <v>45660</v>
      </c>
      <c r="E2928" t="s">
        <v>1524</v>
      </c>
      <c r="F2928" s="11" t="s">
        <v>4218</v>
      </c>
      <c r="G2928" s="8">
        <v>0</v>
      </c>
      <c r="H2928" s="8">
        <v>55.45</v>
      </c>
      <c r="I2928" s="8">
        <f t="shared" ref="I2928:I2935" si="151">G2928-H2928+I2927</f>
        <v>0</v>
      </c>
      <c r="J2928" s="12"/>
    </row>
    <row r="2929" spans="1:10" x14ac:dyDescent="0.25">
      <c r="C2929" s="9"/>
      <c r="D2929" s="10">
        <v>45702</v>
      </c>
      <c r="E2929" t="s">
        <v>4219</v>
      </c>
      <c r="F2929" s="11" t="s">
        <v>4220</v>
      </c>
      <c r="G2929" s="8">
        <v>31.61</v>
      </c>
      <c r="H2929" s="8">
        <v>0</v>
      </c>
      <c r="I2929" s="8">
        <f t="shared" si="151"/>
        <v>31.61</v>
      </c>
      <c r="J2929" s="12"/>
    </row>
    <row r="2930" spans="1:10" x14ac:dyDescent="0.25">
      <c r="C2930" s="9"/>
      <c r="D2930" s="10">
        <v>45705</v>
      </c>
      <c r="E2930" t="s">
        <v>1524</v>
      </c>
      <c r="F2930" s="11" t="s">
        <v>4220</v>
      </c>
      <c r="G2930" s="8">
        <v>0</v>
      </c>
      <c r="H2930" s="8">
        <v>31.61</v>
      </c>
      <c r="I2930" s="8">
        <f t="shared" si="151"/>
        <v>0</v>
      </c>
      <c r="J2930" s="12"/>
    </row>
    <row r="2931" spans="1:10" x14ac:dyDescent="0.25">
      <c r="C2931" s="9"/>
      <c r="D2931" s="10">
        <v>45716</v>
      </c>
      <c r="E2931" t="s">
        <v>4221</v>
      </c>
      <c r="F2931" s="11" t="s">
        <v>4222</v>
      </c>
      <c r="G2931" s="8">
        <v>31.73</v>
      </c>
      <c r="H2931" s="8">
        <v>0</v>
      </c>
      <c r="I2931" s="8">
        <f t="shared" si="151"/>
        <v>31.73</v>
      </c>
      <c r="J2931" s="12"/>
    </row>
    <row r="2932" spans="1:10" x14ac:dyDescent="0.25">
      <c r="C2932" s="9"/>
      <c r="D2932" s="10">
        <v>45720</v>
      </c>
      <c r="E2932" t="s">
        <v>1524</v>
      </c>
      <c r="F2932" s="11" t="s">
        <v>4222</v>
      </c>
      <c r="G2932" s="8">
        <v>0</v>
      </c>
      <c r="H2932" s="8">
        <v>31.73</v>
      </c>
      <c r="I2932" s="8">
        <f t="shared" si="151"/>
        <v>0</v>
      </c>
      <c r="J2932" s="12"/>
    </row>
    <row r="2933" spans="1:10" x14ac:dyDescent="0.25">
      <c r="C2933" s="9"/>
      <c r="D2933" s="10">
        <v>45747</v>
      </c>
      <c r="E2933" t="s">
        <v>4223</v>
      </c>
      <c r="F2933" s="11" t="s">
        <v>4224</v>
      </c>
      <c r="G2933" s="8">
        <v>69.55</v>
      </c>
      <c r="H2933" s="8">
        <v>0</v>
      </c>
      <c r="I2933" s="8">
        <f t="shared" si="151"/>
        <v>69.55</v>
      </c>
      <c r="J2933" s="12"/>
    </row>
    <row r="2934" spans="1:10" x14ac:dyDescent="0.25">
      <c r="C2934" s="9"/>
      <c r="D2934" s="10">
        <v>45748</v>
      </c>
      <c r="E2934" t="s">
        <v>1524</v>
      </c>
      <c r="F2934" s="11" t="s">
        <v>4224</v>
      </c>
      <c r="G2934" s="8">
        <v>0</v>
      </c>
      <c r="H2934" s="8">
        <v>69.55</v>
      </c>
      <c r="I2934" s="8">
        <f t="shared" si="151"/>
        <v>0</v>
      </c>
      <c r="J2934" s="12"/>
    </row>
    <row r="2935" spans="1:10" x14ac:dyDescent="0.25">
      <c r="C2935" s="9"/>
      <c r="D2935" s="10">
        <v>45762</v>
      </c>
      <c r="E2935" t="s">
        <v>4225</v>
      </c>
      <c r="F2935" s="11" t="s">
        <v>42</v>
      </c>
      <c r="G2935" s="8">
        <v>0</v>
      </c>
      <c r="H2935" s="8">
        <v>106.53</v>
      </c>
      <c r="I2935" s="8">
        <f t="shared" si="151"/>
        <v>-106.53</v>
      </c>
      <c r="J2935" s="12"/>
    </row>
    <row r="2936" spans="1:10" x14ac:dyDescent="0.25">
      <c r="E2936" s="4" t="s">
        <v>20</v>
      </c>
      <c r="G2936" s="8">
        <f>SUM(G2927:G2935)</f>
        <v>188.34</v>
      </c>
      <c r="H2936" s="8">
        <f>SUM(H2927:H2935)</f>
        <v>294.87</v>
      </c>
      <c r="I2936" s="8">
        <f>G2936-H2936</f>
        <v>-106.53</v>
      </c>
    </row>
    <row r="2938" spans="1:10" x14ac:dyDescent="0.25">
      <c r="A2938" s="5">
        <v>4305795</v>
      </c>
      <c r="B2938" s="6" t="s">
        <v>4226</v>
      </c>
      <c r="C2938" s="7"/>
      <c r="D2938" s="7"/>
      <c r="E2938" s="7"/>
      <c r="F2938" s="7"/>
      <c r="G2938" s="7"/>
      <c r="H2938" s="7"/>
      <c r="I2938" s="7"/>
      <c r="J2938" s="7"/>
    </row>
    <row r="2939" spans="1:10" x14ac:dyDescent="0.25">
      <c r="E2939" s="4" t="s">
        <v>10</v>
      </c>
      <c r="G2939" s="8">
        <v>478.75</v>
      </c>
      <c r="H2939" s="8">
        <v>0</v>
      </c>
      <c r="I2939" s="8">
        <f>G2939-H2939</f>
        <v>478.75</v>
      </c>
    </row>
    <row r="2940" spans="1:10" x14ac:dyDescent="0.25">
      <c r="E2940" s="4" t="s">
        <v>20</v>
      </c>
      <c r="G2940" s="8">
        <f>G2939</f>
        <v>478.75</v>
      </c>
      <c r="H2940" s="8">
        <f>H2939</f>
        <v>0</v>
      </c>
      <c r="I2940" s="8">
        <f>G2940-H2940</f>
        <v>478.75</v>
      </c>
    </row>
    <row r="2942" spans="1:10" x14ac:dyDescent="0.25">
      <c r="A2942" s="5">
        <v>4305820</v>
      </c>
      <c r="B2942" s="6" t="s">
        <v>4227</v>
      </c>
      <c r="C2942" s="7"/>
      <c r="D2942" s="7"/>
      <c r="E2942" s="7"/>
      <c r="F2942" s="7"/>
      <c r="G2942" s="7"/>
      <c r="H2942" s="7"/>
      <c r="I2942" s="7"/>
      <c r="J2942" s="7"/>
    </row>
    <row r="2943" spans="1:10" x14ac:dyDescent="0.25">
      <c r="E2943" s="4" t="s">
        <v>10</v>
      </c>
      <c r="G2943" s="8">
        <v>7.31</v>
      </c>
      <c r="H2943" s="8">
        <v>0</v>
      </c>
      <c r="I2943" s="8">
        <f>G2943-H2943</f>
        <v>7.31</v>
      </c>
    </row>
    <row r="2944" spans="1:10" x14ac:dyDescent="0.25">
      <c r="E2944" s="4" t="s">
        <v>20</v>
      </c>
      <c r="G2944" s="8">
        <f>G2943</f>
        <v>7.31</v>
      </c>
      <c r="H2944" s="8">
        <f>H2943</f>
        <v>0</v>
      </c>
      <c r="I2944" s="8">
        <f>G2944-H2944</f>
        <v>7.31</v>
      </c>
    </row>
    <row r="2946" spans="1:10" x14ac:dyDescent="0.25">
      <c r="A2946" s="5">
        <v>4305850</v>
      </c>
      <c r="B2946" s="6" t="s">
        <v>4228</v>
      </c>
      <c r="C2946" s="7"/>
      <c r="D2946" s="7"/>
      <c r="E2946" s="7"/>
      <c r="F2946" s="7"/>
      <c r="G2946" s="7"/>
      <c r="H2946" s="7"/>
      <c r="I2946" s="7"/>
      <c r="J2946" s="7"/>
    </row>
    <row r="2947" spans="1:10" x14ac:dyDescent="0.25">
      <c r="E2947" s="4" t="s">
        <v>10</v>
      </c>
      <c r="G2947" s="8">
        <v>7.82</v>
      </c>
      <c r="H2947" s="8">
        <v>0</v>
      </c>
      <c r="I2947" s="8">
        <f>G2947-H2947</f>
        <v>7.82</v>
      </c>
    </row>
    <row r="2948" spans="1:10" x14ac:dyDescent="0.25">
      <c r="E2948" s="4" t="s">
        <v>20</v>
      </c>
      <c r="G2948" s="8">
        <f>G2947</f>
        <v>7.82</v>
      </c>
      <c r="H2948" s="8">
        <f>H2947</f>
        <v>0</v>
      </c>
      <c r="I2948" s="8">
        <f>G2948-H2948</f>
        <v>7.82</v>
      </c>
    </row>
    <row r="2950" spans="1:10" x14ac:dyDescent="0.25">
      <c r="A2950" s="5">
        <v>4305870</v>
      </c>
      <c r="B2950" s="6" t="s">
        <v>4229</v>
      </c>
      <c r="C2950" s="7"/>
      <c r="D2950" s="7"/>
      <c r="E2950" s="7"/>
      <c r="F2950" s="7"/>
      <c r="G2950" s="7"/>
      <c r="H2950" s="7"/>
      <c r="I2950" s="7"/>
      <c r="J2950" s="7"/>
    </row>
    <row r="2951" spans="1:10" x14ac:dyDescent="0.25">
      <c r="E2951" s="4" t="s">
        <v>10</v>
      </c>
      <c r="G2951" s="8">
        <v>60.75</v>
      </c>
      <c r="H2951" s="8">
        <v>0</v>
      </c>
      <c r="I2951" s="8">
        <f>G2951-H2951</f>
        <v>60.75</v>
      </c>
    </row>
    <row r="2952" spans="1:10" x14ac:dyDescent="0.25">
      <c r="C2952" s="9"/>
      <c r="D2952" s="10">
        <v>45660</v>
      </c>
      <c r="E2952" t="s">
        <v>4230</v>
      </c>
      <c r="F2952" s="11" t="s">
        <v>42</v>
      </c>
      <c r="G2952" s="8">
        <v>0</v>
      </c>
      <c r="H2952" s="8">
        <v>60.75</v>
      </c>
      <c r="I2952" s="8">
        <f>G2952-H2952+I2951</f>
        <v>0</v>
      </c>
      <c r="J2952" s="12"/>
    </row>
    <row r="2953" spans="1:10" x14ac:dyDescent="0.25">
      <c r="C2953" s="9"/>
      <c r="D2953" s="10">
        <v>45688</v>
      </c>
      <c r="E2953" t="s">
        <v>4231</v>
      </c>
      <c r="F2953" s="11" t="s">
        <v>4232</v>
      </c>
      <c r="G2953" s="8">
        <v>95.3</v>
      </c>
      <c r="H2953" s="8">
        <v>0</v>
      </c>
      <c r="I2953" s="8">
        <f>G2953-H2953+I2952</f>
        <v>95.3</v>
      </c>
      <c r="J2953" s="12"/>
    </row>
    <row r="2954" spans="1:10" x14ac:dyDescent="0.25">
      <c r="C2954" s="9" t="s">
        <v>124</v>
      </c>
      <c r="D2954" s="10">
        <v>45691</v>
      </c>
      <c r="E2954" t="s">
        <v>4230</v>
      </c>
      <c r="F2954" s="11" t="s">
        <v>42</v>
      </c>
      <c r="G2954" s="8">
        <v>0</v>
      </c>
      <c r="H2954" s="8">
        <v>95.3</v>
      </c>
      <c r="I2954" s="8">
        <f>G2954-H2954+I2953</f>
        <v>0</v>
      </c>
      <c r="J2954" s="12"/>
    </row>
    <row r="2955" spans="1:10" x14ac:dyDescent="0.25">
      <c r="C2955" s="9"/>
      <c r="D2955" s="10">
        <v>45694</v>
      </c>
      <c r="E2955" t="s">
        <v>1524</v>
      </c>
      <c r="F2955" s="11" t="s">
        <v>4233</v>
      </c>
      <c r="G2955" s="8">
        <v>0</v>
      </c>
      <c r="H2955" s="8">
        <v>58.24</v>
      </c>
      <c r="I2955" s="8">
        <f>G2955-H2955+I2954</f>
        <v>-58.24</v>
      </c>
      <c r="J2955" s="12"/>
    </row>
    <row r="2956" spans="1:10" x14ac:dyDescent="0.25">
      <c r="E2956" s="4" t="s">
        <v>20</v>
      </c>
      <c r="G2956" s="8">
        <f>SUM(G2951:G2955)</f>
        <v>156.05000000000001</v>
      </c>
      <c r="H2956" s="8">
        <f>SUM(H2951:H2955)</f>
        <v>214.29000000000002</v>
      </c>
      <c r="I2956" s="8">
        <f>G2956-H2956</f>
        <v>-58.240000000000009</v>
      </c>
    </row>
    <row r="2958" spans="1:10" x14ac:dyDescent="0.25">
      <c r="A2958" s="5">
        <v>4305875</v>
      </c>
      <c r="B2958" s="6" t="s">
        <v>4234</v>
      </c>
      <c r="C2958" s="7"/>
      <c r="D2958" s="7"/>
      <c r="E2958" s="7"/>
      <c r="F2958" s="7"/>
      <c r="G2958" s="7"/>
      <c r="H2958" s="7"/>
      <c r="I2958" s="7"/>
      <c r="J2958" s="7"/>
    </row>
    <row r="2959" spans="1:10" x14ac:dyDescent="0.25">
      <c r="E2959" s="4" t="s">
        <v>10</v>
      </c>
      <c r="G2959" s="8">
        <v>0</v>
      </c>
      <c r="H2959" s="8">
        <v>9.58</v>
      </c>
      <c r="I2959" s="8">
        <f>G2959-H2959</f>
        <v>-9.58</v>
      </c>
    </row>
    <row r="2960" spans="1:10" x14ac:dyDescent="0.25">
      <c r="C2960" s="9"/>
      <c r="D2960" s="10">
        <v>45699</v>
      </c>
      <c r="E2960" t="s">
        <v>3479</v>
      </c>
      <c r="F2960" s="11" t="s">
        <v>42</v>
      </c>
      <c r="G2960" s="8">
        <v>0</v>
      </c>
      <c r="H2960" s="8">
        <v>107.56</v>
      </c>
      <c r="I2960" s="8">
        <f>G2960-H2960+I2959</f>
        <v>-117.14</v>
      </c>
      <c r="J2960" s="12"/>
    </row>
    <row r="2961" spans="1:10" x14ac:dyDescent="0.25">
      <c r="C2961" s="9"/>
      <c r="D2961" s="10">
        <v>45716</v>
      </c>
      <c r="E2961" t="s">
        <v>4235</v>
      </c>
      <c r="F2961" s="11" t="s">
        <v>4236</v>
      </c>
      <c r="G2961" s="8">
        <v>45.17</v>
      </c>
      <c r="H2961" s="8">
        <v>0</v>
      </c>
      <c r="I2961" s="8">
        <f>G2961-H2961+I2960</f>
        <v>-71.97</v>
      </c>
      <c r="J2961" s="12"/>
    </row>
    <row r="2962" spans="1:10" x14ac:dyDescent="0.25">
      <c r="E2962" s="4" t="s">
        <v>20</v>
      </c>
      <c r="G2962" s="8">
        <f>SUM(G2959:G2961)</f>
        <v>45.17</v>
      </c>
      <c r="H2962" s="8">
        <f>SUM(H2959:H2961)</f>
        <v>117.14</v>
      </c>
      <c r="I2962" s="8">
        <f>G2962-H2962</f>
        <v>-71.97</v>
      </c>
    </row>
    <row r="2964" spans="1:10" x14ac:dyDescent="0.25">
      <c r="A2964" s="5">
        <v>4305885</v>
      </c>
      <c r="B2964" s="6" t="s">
        <v>4237</v>
      </c>
      <c r="C2964" s="7"/>
      <c r="D2964" s="7"/>
      <c r="E2964" s="7"/>
      <c r="F2964" s="7"/>
      <c r="G2964" s="7"/>
      <c r="H2964" s="7"/>
      <c r="I2964" s="7"/>
      <c r="J2964" s="7"/>
    </row>
    <row r="2965" spans="1:10" x14ac:dyDescent="0.25">
      <c r="E2965" s="4" t="s">
        <v>10</v>
      </c>
      <c r="G2965" s="8">
        <v>94.8</v>
      </c>
      <c r="H2965" s="8">
        <v>0</v>
      </c>
      <c r="I2965" s="8">
        <f>G2965-H2965</f>
        <v>94.8</v>
      </c>
    </row>
    <row r="2966" spans="1:10" x14ac:dyDescent="0.25">
      <c r="C2966" s="9"/>
      <c r="D2966" s="10">
        <v>45659</v>
      </c>
      <c r="E2966" t="s">
        <v>1524</v>
      </c>
      <c r="F2966" s="11" t="s">
        <v>4238</v>
      </c>
      <c r="G2966" s="8">
        <v>0</v>
      </c>
      <c r="H2966" s="8">
        <v>94.8</v>
      </c>
      <c r="I2966" s="8">
        <f t="shared" ref="I2966:I2979" si="152">G2966-H2966+I2965</f>
        <v>0</v>
      </c>
      <c r="J2966" s="12"/>
    </row>
    <row r="2967" spans="1:10" x14ac:dyDescent="0.25">
      <c r="C2967" s="9"/>
      <c r="D2967" s="10">
        <v>45671</v>
      </c>
      <c r="E2967" t="s">
        <v>4239</v>
      </c>
      <c r="F2967" s="11" t="s">
        <v>4240</v>
      </c>
      <c r="G2967" s="8">
        <v>219.07</v>
      </c>
      <c r="H2967" s="8">
        <v>0</v>
      </c>
      <c r="I2967" s="8">
        <f t="shared" si="152"/>
        <v>219.07</v>
      </c>
      <c r="J2967" s="12"/>
    </row>
    <row r="2968" spans="1:10" x14ac:dyDescent="0.25">
      <c r="C2968" s="9"/>
      <c r="D2968" s="10">
        <v>45672</v>
      </c>
      <c r="E2968" t="s">
        <v>1524</v>
      </c>
      <c r="F2968" s="11" t="s">
        <v>4240</v>
      </c>
      <c r="G2968" s="8">
        <v>0</v>
      </c>
      <c r="H2968" s="8">
        <v>219.07</v>
      </c>
      <c r="I2968" s="8">
        <f t="shared" si="152"/>
        <v>0</v>
      </c>
      <c r="J2968" s="12"/>
    </row>
    <row r="2969" spans="1:10" x14ac:dyDescent="0.25">
      <c r="C2969" s="9"/>
      <c r="D2969" s="10">
        <v>45688</v>
      </c>
      <c r="E2969" t="s">
        <v>4241</v>
      </c>
      <c r="F2969" s="11" t="s">
        <v>4242</v>
      </c>
      <c r="G2969" s="8">
        <v>541.74</v>
      </c>
      <c r="H2969" s="8">
        <v>0</v>
      </c>
      <c r="I2969" s="8">
        <f t="shared" si="152"/>
        <v>541.74</v>
      </c>
      <c r="J2969" s="12"/>
    </row>
    <row r="2970" spans="1:10" x14ac:dyDescent="0.25">
      <c r="C2970" s="9"/>
      <c r="D2970" s="10">
        <v>45691</v>
      </c>
      <c r="E2970" t="s">
        <v>1524</v>
      </c>
      <c r="F2970" s="11" t="s">
        <v>4242</v>
      </c>
      <c r="G2970" s="8">
        <v>0</v>
      </c>
      <c r="H2970" s="8">
        <v>541.74</v>
      </c>
      <c r="I2970" s="8">
        <f t="shared" si="152"/>
        <v>0</v>
      </c>
      <c r="J2970" s="12"/>
    </row>
    <row r="2971" spans="1:10" x14ac:dyDescent="0.25">
      <c r="C2971" s="9"/>
      <c r="D2971" s="10">
        <v>45702</v>
      </c>
      <c r="E2971" t="s">
        <v>4243</v>
      </c>
      <c r="F2971" s="11" t="s">
        <v>4244</v>
      </c>
      <c r="G2971" s="8">
        <v>190.24</v>
      </c>
      <c r="H2971" s="8">
        <v>0</v>
      </c>
      <c r="I2971" s="8">
        <f t="shared" si="152"/>
        <v>190.24</v>
      </c>
      <c r="J2971" s="12"/>
    </row>
    <row r="2972" spans="1:10" x14ac:dyDescent="0.25">
      <c r="C2972" s="9"/>
      <c r="D2972" s="10">
        <v>45705</v>
      </c>
      <c r="E2972" t="s">
        <v>1524</v>
      </c>
      <c r="F2972" s="11" t="s">
        <v>4244</v>
      </c>
      <c r="G2972" s="8">
        <v>0</v>
      </c>
      <c r="H2972" s="8">
        <v>190.24</v>
      </c>
      <c r="I2972" s="8">
        <f t="shared" si="152"/>
        <v>0</v>
      </c>
      <c r="J2972" s="12"/>
    </row>
    <row r="2973" spans="1:10" x14ac:dyDescent="0.25">
      <c r="C2973" s="9"/>
      <c r="D2973" s="10">
        <v>45716</v>
      </c>
      <c r="E2973" t="s">
        <v>4245</v>
      </c>
      <c r="F2973" s="11" t="s">
        <v>4246</v>
      </c>
      <c r="G2973" s="8">
        <v>136.56</v>
      </c>
      <c r="H2973" s="8">
        <v>0</v>
      </c>
      <c r="I2973" s="8">
        <f t="shared" si="152"/>
        <v>136.56</v>
      </c>
      <c r="J2973" s="12"/>
    </row>
    <row r="2974" spans="1:10" x14ac:dyDescent="0.25">
      <c r="C2974" s="9" t="s">
        <v>124</v>
      </c>
      <c r="D2974" s="10">
        <v>45719</v>
      </c>
      <c r="E2974" t="s">
        <v>4247</v>
      </c>
      <c r="F2974" s="11" t="s">
        <v>4246</v>
      </c>
      <c r="G2974" s="8">
        <v>0</v>
      </c>
      <c r="H2974" s="8">
        <v>136.56</v>
      </c>
      <c r="I2974" s="8">
        <f t="shared" si="152"/>
        <v>0</v>
      </c>
      <c r="J2974" s="12"/>
    </row>
    <row r="2975" spans="1:10" x14ac:dyDescent="0.25">
      <c r="C2975" s="9"/>
      <c r="D2975" s="10">
        <v>45730</v>
      </c>
      <c r="E2975" t="s">
        <v>4248</v>
      </c>
      <c r="F2975" s="11" t="s">
        <v>4249</v>
      </c>
      <c r="G2975" s="8">
        <v>229.28</v>
      </c>
      <c r="H2975" s="8">
        <v>0</v>
      </c>
      <c r="I2975" s="8">
        <f t="shared" si="152"/>
        <v>229.28</v>
      </c>
      <c r="J2975" s="12"/>
    </row>
    <row r="2976" spans="1:10" x14ac:dyDescent="0.25">
      <c r="C2976" s="9"/>
      <c r="D2976" s="10">
        <v>45733</v>
      </c>
      <c r="E2976" t="s">
        <v>1524</v>
      </c>
      <c r="F2976" s="11" t="s">
        <v>4249</v>
      </c>
      <c r="G2976" s="8">
        <v>0</v>
      </c>
      <c r="H2976" s="8">
        <v>229.28</v>
      </c>
      <c r="I2976" s="8">
        <f t="shared" si="152"/>
        <v>0</v>
      </c>
      <c r="J2976" s="12"/>
    </row>
    <row r="2977" spans="1:10" x14ac:dyDescent="0.25">
      <c r="C2977" s="9"/>
      <c r="D2977" s="10">
        <v>45747</v>
      </c>
      <c r="E2977" t="s">
        <v>4250</v>
      </c>
      <c r="F2977" s="11" t="s">
        <v>4251</v>
      </c>
      <c r="G2977" s="8">
        <v>213.81</v>
      </c>
      <c r="H2977" s="8">
        <v>0</v>
      </c>
      <c r="I2977" s="8">
        <f t="shared" si="152"/>
        <v>213.81</v>
      </c>
      <c r="J2977" s="12"/>
    </row>
    <row r="2978" spans="1:10" x14ac:dyDescent="0.25">
      <c r="C2978" s="9" t="s">
        <v>124</v>
      </c>
      <c r="D2978" s="10">
        <v>45748</v>
      </c>
      <c r="E2978" t="s">
        <v>4252</v>
      </c>
      <c r="F2978" s="11" t="s">
        <v>42</v>
      </c>
      <c r="G2978" s="8">
        <v>0</v>
      </c>
      <c r="H2978" s="8">
        <v>213.81</v>
      </c>
      <c r="I2978" s="8">
        <f t="shared" si="152"/>
        <v>0</v>
      </c>
      <c r="J2978" s="12"/>
    </row>
    <row r="2979" spans="1:10" x14ac:dyDescent="0.25">
      <c r="C2979" s="9"/>
      <c r="D2979" s="10">
        <v>45762</v>
      </c>
      <c r="E2979" t="s">
        <v>4252</v>
      </c>
      <c r="F2979" s="11" t="s">
        <v>42</v>
      </c>
      <c r="G2979" s="8">
        <v>0</v>
      </c>
      <c r="H2979" s="8">
        <v>162.72999999999999</v>
      </c>
      <c r="I2979" s="8">
        <f t="shared" si="152"/>
        <v>-162.72999999999999</v>
      </c>
      <c r="J2979" s="12"/>
    </row>
    <row r="2980" spans="1:10" x14ac:dyDescent="0.25">
      <c r="E2980" s="4" t="s">
        <v>20</v>
      </c>
      <c r="G2980" s="8">
        <f>SUM(G2965:G2979)</f>
        <v>1625.4999999999998</v>
      </c>
      <c r="H2980" s="8">
        <f>SUM(H2965:H2979)</f>
        <v>1788.2299999999998</v>
      </c>
      <c r="I2980" s="8">
        <f>G2980-H2980</f>
        <v>-162.73000000000002</v>
      </c>
    </row>
    <row r="2982" spans="1:10" x14ac:dyDescent="0.25">
      <c r="A2982" s="5">
        <v>4305950</v>
      </c>
      <c r="B2982" s="6" t="s">
        <v>4253</v>
      </c>
      <c r="C2982" s="7"/>
      <c r="D2982" s="7"/>
      <c r="E2982" s="7"/>
      <c r="F2982" s="7"/>
      <c r="G2982" s="7"/>
      <c r="H2982" s="7"/>
      <c r="I2982" s="7"/>
      <c r="J2982" s="7"/>
    </row>
    <row r="2983" spans="1:10" x14ac:dyDescent="0.25">
      <c r="E2983" s="4" t="s">
        <v>10</v>
      </c>
      <c r="G2983" s="8">
        <v>0</v>
      </c>
      <c r="H2983" s="8">
        <v>12.34</v>
      </c>
      <c r="I2983" s="8">
        <f>G2983-H2983</f>
        <v>-12.34</v>
      </c>
    </row>
    <row r="2984" spans="1:10" x14ac:dyDescent="0.25">
      <c r="E2984" s="4" t="s">
        <v>20</v>
      </c>
      <c r="G2984" s="8">
        <f>G2983</f>
        <v>0</v>
      </c>
      <c r="H2984" s="8">
        <f>H2983</f>
        <v>12.34</v>
      </c>
      <c r="I2984" s="8">
        <f>G2984-H2984</f>
        <v>-12.34</v>
      </c>
    </row>
    <row r="2986" spans="1:10" x14ac:dyDescent="0.25">
      <c r="A2986" s="5">
        <v>4305960</v>
      </c>
      <c r="B2986" s="6" t="s">
        <v>4254</v>
      </c>
      <c r="C2986" s="7"/>
      <c r="D2986" s="7"/>
      <c r="E2986" s="7"/>
      <c r="F2986" s="7"/>
      <c r="G2986" s="7"/>
      <c r="H2986" s="7"/>
      <c r="I2986" s="7"/>
      <c r="J2986" s="7"/>
    </row>
    <row r="2987" spans="1:10" x14ac:dyDescent="0.25">
      <c r="E2987" s="4" t="s">
        <v>10</v>
      </c>
      <c r="G2987" s="8">
        <v>477.77</v>
      </c>
      <c r="H2987" s="8">
        <v>0</v>
      </c>
      <c r="I2987" s="8">
        <f>G2987-H2987</f>
        <v>477.77</v>
      </c>
    </row>
    <row r="2988" spans="1:10" x14ac:dyDescent="0.25">
      <c r="C2988" s="9"/>
      <c r="D2988" s="10">
        <v>45665</v>
      </c>
      <c r="E2988" t="s">
        <v>4255</v>
      </c>
      <c r="F2988" s="11" t="s">
        <v>4256</v>
      </c>
      <c r="G2988" s="8">
        <v>0</v>
      </c>
      <c r="H2988" s="8">
        <v>34.67</v>
      </c>
      <c r="I2988" s="8">
        <f t="shared" ref="I2988:I2996" si="153">G2988-H2988+I2987</f>
        <v>443.09999999999997</v>
      </c>
      <c r="J2988" s="12"/>
    </row>
    <row r="2989" spans="1:10" x14ac:dyDescent="0.25">
      <c r="C2989" s="9"/>
      <c r="D2989" s="10">
        <v>45665</v>
      </c>
      <c r="E2989" t="s">
        <v>4255</v>
      </c>
      <c r="F2989" s="11" t="s">
        <v>4257</v>
      </c>
      <c r="G2989" s="8">
        <v>0</v>
      </c>
      <c r="H2989" s="8">
        <v>268.85000000000002</v>
      </c>
      <c r="I2989" s="8">
        <f t="shared" si="153"/>
        <v>174.24999999999994</v>
      </c>
      <c r="J2989" s="12"/>
    </row>
    <row r="2990" spans="1:10" x14ac:dyDescent="0.25">
      <c r="C2990" s="9"/>
      <c r="D2990" s="10">
        <v>45686</v>
      </c>
      <c r="E2990" t="s">
        <v>1524</v>
      </c>
      <c r="F2990" s="11" t="s">
        <v>4258</v>
      </c>
      <c r="G2990" s="8">
        <v>0</v>
      </c>
      <c r="H2990" s="8">
        <v>174.25</v>
      </c>
      <c r="I2990" s="8">
        <f t="shared" si="153"/>
        <v>0</v>
      </c>
      <c r="J2990" s="12"/>
    </row>
    <row r="2991" spans="1:10" x14ac:dyDescent="0.25">
      <c r="C2991" s="9"/>
      <c r="D2991" s="10">
        <v>45702</v>
      </c>
      <c r="E2991" t="s">
        <v>4259</v>
      </c>
      <c r="F2991" s="11" t="s">
        <v>4260</v>
      </c>
      <c r="G2991" s="8">
        <v>38.5</v>
      </c>
      <c r="H2991" s="8">
        <v>0</v>
      </c>
      <c r="I2991" s="8">
        <f t="shared" si="153"/>
        <v>38.5</v>
      </c>
      <c r="J2991" s="12"/>
    </row>
    <row r="2992" spans="1:10" x14ac:dyDescent="0.25">
      <c r="C2992" s="9"/>
      <c r="D2992" s="10">
        <v>45716</v>
      </c>
      <c r="E2992" t="s">
        <v>4261</v>
      </c>
      <c r="F2992" s="11" t="s">
        <v>4262</v>
      </c>
      <c r="G2992" s="8">
        <v>73.22</v>
      </c>
      <c r="H2992" s="8">
        <v>0</v>
      </c>
      <c r="I2992" s="8">
        <f t="shared" si="153"/>
        <v>111.72</v>
      </c>
      <c r="J2992" s="12"/>
    </row>
    <row r="2993" spans="1:10" x14ac:dyDescent="0.25">
      <c r="C2993" s="9"/>
      <c r="D2993" s="10">
        <v>45730</v>
      </c>
      <c r="E2993" t="s">
        <v>4263</v>
      </c>
      <c r="F2993" s="11" t="s">
        <v>4264</v>
      </c>
      <c r="G2993" s="8">
        <v>44.33</v>
      </c>
      <c r="H2993" s="8">
        <v>0</v>
      </c>
      <c r="I2993" s="8">
        <f t="shared" si="153"/>
        <v>156.05000000000001</v>
      </c>
      <c r="J2993" s="12"/>
    </row>
    <row r="2994" spans="1:10" x14ac:dyDescent="0.25">
      <c r="C2994" s="9"/>
      <c r="D2994" s="10">
        <v>45744</v>
      </c>
      <c r="E2994" t="s">
        <v>1524</v>
      </c>
      <c r="F2994" s="11" t="s">
        <v>4262</v>
      </c>
      <c r="G2994" s="8">
        <v>0</v>
      </c>
      <c r="H2994" s="8">
        <v>73.22</v>
      </c>
      <c r="I2994" s="8">
        <f t="shared" si="153"/>
        <v>82.830000000000013</v>
      </c>
      <c r="J2994" s="12"/>
    </row>
    <row r="2995" spans="1:10" x14ac:dyDescent="0.25">
      <c r="C2995" s="9"/>
      <c r="D2995" s="10">
        <v>45744</v>
      </c>
      <c r="E2995" t="s">
        <v>1524</v>
      </c>
      <c r="F2995" s="11" t="s">
        <v>4260</v>
      </c>
      <c r="G2995" s="8">
        <v>0</v>
      </c>
      <c r="H2995" s="8">
        <v>38.5</v>
      </c>
      <c r="I2995" s="8">
        <f t="shared" si="153"/>
        <v>44.330000000000013</v>
      </c>
      <c r="J2995" s="12"/>
    </row>
    <row r="2996" spans="1:10" x14ac:dyDescent="0.25">
      <c r="C2996" s="9"/>
      <c r="D2996" s="10">
        <v>45747</v>
      </c>
      <c r="E2996" t="s">
        <v>4265</v>
      </c>
      <c r="F2996" s="11" t="s">
        <v>4266</v>
      </c>
      <c r="G2996" s="8">
        <v>80.05</v>
      </c>
      <c r="H2996" s="8">
        <v>0</v>
      </c>
      <c r="I2996" s="8">
        <f t="shared" si="153"/>
        <v>124.38000000000001</v>
      </c>
      <c r="J2996" s="12"/>
    </row>
    <row r="2997" spans="1:10" x14ac:dyDescent="0.25">
      <c r="E2997" s="4" t="s">
        <v>20</v>
      </c>
      <c r="G2997" s="8">
        <f>SUM(G2987:G2996)</f>
        <v>713.87</v>
      </c>
      <c r="H2997" s="8">
        <f>SUM(H2987:H2996)</f>
        <v>589.49</v>
      </c>
      <c r="I2997" s="8">
        <f>G2997-H2997</f>
        <v>124.38</v>
      </c>
    </row>
    <row r="2999" spans="1:10" x14ac:dyDescent="0.25">
      <c r="A2999" s="5">
        <v>4305970</v>
      </c>
      <c r="B2999" s="6" t="s">
        <v>4267</v>
      </c>
      <c r="C2999" s="7"/>
      <c r="D2999" s="7"/>
      <c r="E2999" s="7"/>
      <c r="F2999" s="7"/>
      <c r="G2999" s="7"/>
      <c r="H2999" s="7"/>
      <c r="I2999" s="7"/>
      <c r="J2999" s="7"/>
    </row>
    <row r="3000" spans="1:10" x14ac:dyDescent="0.25">
      <c r="E3000" s="4" t="s">
        <v>10</v>
      </c>
      <c r="G3000" s="8">
        <v>20.65</v>
      </c>
      <c r="H3000" s="8">
        <v>0</v>
      </c>
      <c r="I3000" s="8">
        <f>G3000-H3000</f>
        <v>20.65</v>
      </c>
    </row>
    <row r="3001" spans="1:10" x14ac:dyDescent="0.25">
      <c r="C3001" s="9"/>
      <c r="D3001" s="10">
        <v>45688</v>
      </c>
      <c r="E3001" t="s">
        <v>4268</v>
      </c>
      <c r="F3001" s="11" t="s">
        <v>4269</v>
      </c>
      <c r="G3001" s="8">
        <v>139.27000000000001</v>
      </c>
      <c r="H3001" s="8">
        <v>0</v>
      </c>
      <c r="I3001" s="8">
        <f>G3001-H3001+I3000</f>
        <v>159.92000000000002</v>
      </c>
      <c r="J3001" s="12"/>
    </row>
    <row r="3002" spans="1:10" x14ac:dyDescent="0.25">
      <c r="C3002" s="9" t="s">
        <v>124</v>
      </c>
      <c r="D3002" s="10">
        <v>45691</v>
      </c>
      <c r="E3002" t="s">
        <v>4270</v>
      </c>
      <c r="F3002" s="11" t="s">
        <v>42</v>
      </c>
      <c r="G3002" s="8">
        <v>0</v>
      </c>
      <c r="H3002" s="8">
        <v>159.91999999999999</v>
      </c>
      <c r="I3002" s="8">
        <f>G3002-H3002+I3001</f>
        <v>0</v>
      </c>
      <c r="J3002" s="12"/>
    </row>
    <row r="3003" spans="1:10" x14ac:dyDescent="0.25">
      <c r="C3003" s="9"/>
      <c r="D3003" s="10">
        <v>45730</v>
      </c>
      <c r="E3003" t="s">
        <v>4271</v>
      </c>
      <c r="F3003" s="11" t="s">
        <v>4272</v>
      </c>
      <c r="G3003" s="8">
        <v>38.49</v>
      </c>
      <c r="H3003" s="8">
        <v>0</v>
      </c>
      <c r="I3003" s="8">
        <f>G3003-H3003+I3002</f>
        <v>38.49</v>
      </c>
      <c r="J3003" s="12"/>
    </row>
    <row r="3004" spans="1:10" x14ac:dyDescent="0.25">
      <c r="C3004" s="9"/>
      <c r="D3004" s="10">
        <v>45733</v>
      </c>
      <c r="E3004" t="s">
        <v>1524</v>
      </c>
      <c r="F3004" s="11" t="s">
        <v>4272</v>
      </c>
      <c r="G3004" s="8">
        <v>0</v>
      </c>
      <c r="H3004" s="8">
        <v>38.49</v>
      </c>
      <c r="I3004" s="8">
        <f>G3004-H3004+I3003</f>
        <v>0</v>
      </c>
      <c r="J3004" s="12"/>
    </row>
    <row r="3005" spans="1:10" x14ac:dyDescent="0.25">
      <c r="C3005" s="9"/>
      <c r="D3005" s="10">
        <v>45762</v>
      </c>
      <c r="E3005" t="s">
        <v>1524</v>
      </c>
      <c r="F3005" s="11" t="s">
        <v>4273</v>
      </c>
      <c r="G3005" s="8">
        <v>0</v>
      </c>
      <c r="H3005" s="8">
        <v>103.09</v>
      </c>
      <c r="I3005" s="8">
        <f>G3005-H3005+I3004</f>
        <v>-103.09</v>
      </c>
      <c r="J3005" s="12"/>
    </row>
    <row r="3006" spans="1:10" x14ac:dyDescent="0.25">
      <c r="E3006" s="4" t="s">
        <v>20</v>
      </c>
      <c r="G3006" s="8">
        <f>SUM(G3000:G3005)</f>
        <v>198.41000000000003</v>
      </c>
      <c r="H3006" s="8">
        <f>SUM(H3000:H3005)</f>
        <v>301.5</v>
      </c>
      <c r="I3006" s="8">
        <f>G3006-H3006</f>
        <v>-103.08999999999997</v>
      </c>
    </row>
    <row r="3008" spans="1:10" x14ac:dyDescent="0.25">
      <c r="A3008" s="5">
        <v>4305981</v>
      </c>
      <c r="B3008" s="6" t="s">
        <v>4274</v>
      </c>
      <c r="C3008" s="7"/>
      <c r="D3008" s="7"/>
      <c r="E3008" s="7"/>
      <c r="F3008" s="7"/>
      <c r="G3008" s="7"/>
      <c r="H3008" s="7"/>
      <c r="I3008" s="7"/>
      <c r="J3008" s="7"/>
    </row>
    <row r="3009" spans="1:10" x14ac:dyDescent="0.25">
      <c r="E3009" s="4" t="s">
        <v>10</v>
      </c>
      <c r="G3009" s="8">
        <v>39.25</v>
      </c>
      <c r="H3009" s="8">
        <v>0</v>
      </c>
      <c r="I3009" s="8">
        <f>G3009-H3009</f>
        <v>39.25</v>
      </c>
    </row>
    <row r="3010" spans="1:10" x14ac:dyDescent="0.25">
      <c r="C3010" s="9"/>
      <c r="D3010" s="10">
        <v>45659</v>
      </c>
      <c r="E3010" t="s">
        <v>4275</v>
      </c>
      <c r="F3010" s="11" t="s">
        <v>42</v>
      </c>
      <c r="G3010" s="8">
        <v>0</v>
      </c>
      <c r="H3010" s="8">
        <v>32.28</v>
      </c>
      <c r="I3010" s="8">
        <f>G3010-H3010+I3009</f>
        <v>6.9699999999999989</v>
      </c>
      <c r="J3010" s="12"/>
    </row>
    <row r="3011" spans="1:10" x14ac:dyDescent="0.25">
      <c r="C3011" s="9"/>
      <c r="D3011" s="10">
        <v>45762</v>
      </c>
      <c r="E3011" t="s">
        <v>4275</v>
      </c>
      <c r="F3011" s="11" t="s">
        <v>42</v>
      </c>
      <c r="G3011" s="8">
        <v>0</v>
      </c>
      <c r="H3011" s="8">
        <v>58.1</v>
      </c>
      <c r="I3011" s="8">
        <f>G3011-H3011+I3010</f>
        <v>-51.13</v>
      </c>
      <c r="J3011" s="12"/>
    </row>
    <row r="3012" spans="1:10" x14ac:dyDescent="0.25">
      <c r="E3012" s="4" t="s">
        <v>20</v>
      </c>
      <c r="G3012" s="8">
        <f>SUM(G3009:G3011)</f>
        <v>39.25</v>
      </c>
      <c r="H3012" s="8">
        <f>SUM(H3009:H3011)</f>
        <v>90.38</v>
      </c>
      <c r="I3012" s="8">
        <f>G3012-H3012</f>
        <v>-51.129999999999995</v>
      </c>
    </row>
    <row r="3014" spans="1:10" x14ac:dyDescent="0.25">
      <c r="A3014" s="5">
        <v>4305985</v>
      </c>
      <c r="B3014" s="6" t="s">
        <v>4276</v>
      </c>
      <c r="C3014" s="7"/>
      <c r="D3014" s="7"/>
      <c r="E3014" s="7"/>
      <c r="F3014" s="7"/>
      <c r="G3014" s="7"/>
      <c r="H3014" s="7"/>
      <c r="I3014" s="7"/>
      <c r="J3014" s="7"/>
    </row>
    <row r="3015" spans="1:10" x14ac:dyDescent="0.25">
      <c r="E3015" s="4" t="s">
        <v>10</v>
      </c>
      <c r="G3015" s="8">
        <v>29.31</v>
      </c>
      <c r="H3015" s="8">
        <v>0</v>
      </c>
      <c r="I3015" s="8">
        <f>G3015-H3015</f>
        <v>29.31</v>
      </c>
    </row>
    <row r="3016" spans="1:10" x14ac:dyDescent="0.25">
      <c r="C3016" s="9"/>
      <c r="D3016" s="10">
        <v>45659</v>
      </c>
      <c r="E3016" t="s">
        <v>1524</v>
      </c>
      <c r="F3016" s="11" t="s">
        <v>4277</v>
      </c>
      <c r="G3016" s="8">
        <v>0</v>
      </c>
      <c r="H3016" s="8">
        <v>29.31</v>
      </c>
      <c r="I3016" s="8">
        <f t="shared" ref="I3016:I3029" si="154">G3016-H3016+I3015</f>
        <v>0</v>
      </c>
      <c r="J3016" s="12"/>
    </row>
    <row r="3017" spans="1:10" x14ac:dyDescent="0.25">
      <c r="C3017" s="9"/>
      <c r="D3017" s="10">
        <v>45671</v>
      </c>
      <c r="E3017" t="s">
        <v>4278</v>
      </c>
      <c r="F3017" s="11" t="s">
        <v>4279</v>
      </c>
      <c r="G3017" s="8">
        <v>84.95</v>
      </c>
      <c r="H3017" s="8">
        <v>0</v>
      </c>
      <c r="I3017" s="8">
        <f t="shared" si="154"/>
        <v>84.95</v>
      </c>
      <c r="J3017" s="12"/>
    </row>
    <row r="3018" spans="1:10" x14ac:dyDescent="0.25">
      <c r="C3018" s="9"/>
      <c r="D3018" s="10">
        <v>45672</v>
      </c>
      <c r="E3018" t="s">
        <v>1524</v>
      </c>
      <c r="F3018" s="11" t="s">
        <v>4279</v>
      </c>
      <c r="G3018" s="8">
        <v>0</v>
      </c>
      <c r="H3018" s="8">
        <v>84.95</v>
      </c>
      <c r="I3018" s="8">
        <f t="shared" si="154"/>
        <v>0</v>
      </c>
      <c r="J3018" s="12"/>
    </row>
    <row r="3019" spans="1:10" x14ac:dyDescent="0.25">
      <c r="C3019" s="9"/>
      <c r="D3019" s="10">
        <v>45688</v>
      </c>
      <c r="E3019" t="s">
        <v>4280</v>
      </c>
      <c r="F3019" s="11" t="s">
        <v>4281</v>
      </c>
      <c r="G3019" s="8">
        <v>504.13</v>
      </c>
      <c r="H3019" s="8">
        <v>0</v>
      </c>
      <c r="I3019" s="8">
        <f t="shared" si="154"/>
        <v>504.13</v>
      </c>
      <c r="J3019" s="12"/>
    </row>
    <row r="3020" spans="1:10" x14ac:dyDescent="0.25">
      <c r="C3020" s="9"/>
      <c r="D3020" s="10">
        <v>45691</v>
      </c>
      <c r="E3020" t="s">
        <v>1524</v>
      </c>
      <c r="F3020" s="11" t="s">
        <v>4281</v>
      </c>
      <c r="G3020" s="8">
        <v>0</v>
      </c>
      <c r="H3020" s="8">
        <v>504.13</v>
      </c>
      <c r="I3020" s="8">
        <f t="shared" si="154"/>
        <v>0</v>
      </c>
      <c r="J3020" s="12"/>
    </row>
    <row r="3021" spans="1:10" x14ac:dyDescent="0.25">
      <c r="C3021" s="9"/>
      <c r="D3021" s="10">
        <v>45702</v>
      </c>
      <c r="E3021" t="s">
        <v>4282</v>
      </c>
      <c r="F3021" s="11" t="s">
        <v>4283</v>
      </c>
      <c r="G3021" s="8">
        <v>128.24</v>
      </c>
      <c r="H3021" s="8">
        <v>0</v>
      </c>
      <c r="I3021" s="8">
        <f t="shared" si="154"/>
        <v>128.24</v>
      </c>
      <c r="J3021" s="12"/>
    </row>
    <row r="3022" spans="1:10" x14ac:dyDescent="0.25">
      <c r="C3022" s="9"/>
      <c r="D3022" s="10">
        <v>45705</v>
      </c>
      <c r="E3022" t="s">
        <v>1524</v>
      </c>
      <c r="F3022" s="11" t="s">
        <v>4283</v>
      </c>
      <c r="G3022" s="8">
        <v>0</v>
      </c>
      <c r="H3022" s="8">
        <v>128.24</v>
      </c>
      <c r="I3022" s="8">
        <f t="shared" si="154"/>
        <v>0</v>
      </c>
      <c r="J3022" s="12"/>
    </row>
    <row r="3023" spans="1:10" x14ac:dyDescent="0.25">
      <c r="C3023" s="9"/>
      <c r="D3023" s="10">
        <v>45716</v>
      </c>
      <c r="E3023" t="s">
        <v>4284</v>
      </c>
      <c r="F3023" s="11" t="s">
        <v>4285</v>
      </c>
      <c r="G3023" s="8">
        <v>681.13</v>
      </c>
      <c r="H3023" s="8">
        <v>0</v>
      </c>
      <c r="I3023" s="8">
        <f t="shared" si="154"/>
        <v>681.13</v>
      </c>
      <c r="J3023" s="12"/>
    </row>
    <row r="3024" spans="1:10" x14ac:dyDescent="0.25">
      <c r="C3024" s="9" t="s">
        <v>124</v>
      </c>
      <c r="D3024" s="10">
        <v>45719</v>
      </c>
      <c r="E3024" t="s">
        <v>4286</v>
      </c>
      <c r="F3024" s="11" t="s">
        <v>4285</v>
      </c>
      <c r="G3024" s="8">
        <v>0</v>
      </c>
      <c r="H3024" s="8">
        <v>681.13</v>
      </c>
      <c r="I3024" s="8">
        <f t="shared" si="154"/>
        <v>0</v>
      </c>
      <c r="J3024" s="12"/>
    </row>
    <row r="3025" spans="1:10" x14ac:dyDescent="0.25">
      <c r="C3025" s="9"/>
      <c r="D3025" s="10">
        <v>45730</v>
      </c>
      <c r="E3025" t="s">
        <v>4287</v>
      </c>
      <c r="F3025" s="11" t="s">
        <v>4288</v>
      </c>
      <c r="G3025" s="8">
        <v>235.19</v>
      </c>
      <c r="H3025" s="8">
        <v>0</v>
      </c>
      <c r="I3025" s="8">
        <f t="shared" si="154"/>
        <v>235.19</v>
      </c>
      <c r="J3025" s="12"/>
    </row>
    <row r="3026" spans="1:10" x14ac:dyDescent="0.25">
      <c r="C3026" s="9"/>
      <c r="D3026" s="10">
        <v>45733</v>
      </c>
      <c r="E3026" t="s">
        <v>1524</v>
      </c>
      <c r="F3026" s="11" t="s">
        <v>4288</v>
      </c>
      <c r="G3026" s="8">
        <v>0</v>
      </c>
      <c r="H3026" s="8">
        <v>235.19</v>
      </c>
      <c r="I3026" s="8">
        <f t="shared" si="154"/>
        <v>0</v>
      </c>
      <c r="J3026" s="12"/>
    </row>
    <row r="3027" spans="1:10" x14ac:dyDescent="0.25">
      <c r="C3027" s="9"/>
      <c r="D3027" s="10">
        <v>45747</v>
      </c>
      <c r="E3027" t="s">
        <v>4289</v>
      </c>
      <c r="F3027" s="11" t="s">
        <v>4290</v>
      </c>
      <c r="G3027" s="8">
        <v>213.67</v>
      </c>
      <c r="H3027" s="8">
        <v>0</v>
      </c>
      <c r="I3027" s="8">
        <f t="shared" si="154"/>
        <v>213.67</v>
      </c>
      <c r="J3027" s="12"/>
    </row>
    <row r="3028" spans="1:10" x14ac:dyDescent="0.25">
      <c r="C3028" s="9" t="s">
        <v>124</v>
      </c>
      <c r="D3028" s="10">
        <v>45748</v>
      </c>
      <c r="E3028" t="s">
        <v>4291</v>
      </c>
      <c r="F3028" s="11" t="s">
        <v>42</v>
      </c>
      <c r="G3028" s="8">
        <v>0</v>
      </c>
      <c r="H3028" s="8">
        <v>213.67</v>
      </c>
      <c r="I3028" s="8">
        <f t="shared" si="154"/>
        <v>0</v>
      </c>
      <c r="J3028" s="12"/>
    </row>
    <row r="3029" spans="1:10" x14ac:dyDescent="0.25">
      <c r="C3029" s="9"/>
      <c r="D3029" s="10">
        <v>45762</v>
      </c>
      <c r="E3029" t="s">
        <v>4291</v>
      </c>
      <c r="F3029" s="11" t="s">
        <v>42</v>
      </c>
      <c r="G3029" s="8">
        <v>0</v>
      </c>
      <c r="H3029" s="8">
        <v>166.05</v>
      </c>
      <c r="I3029" s="8">
        <f t="shared" si="154"/>
        <v>-166.05</v>
      </c>
      <c r="J3029" s="12"/>
    </row>
    <row r="3030" spans="1:10" x14ac:dyDescent="0.25">
      <c r="E3030" s="4" t="s">
        <v>20</v>
      </c>
      <c r="G3030" s="8">
        <f>SUM(G3015:G3029)</f>
        <v>1876.6200000000001</v>
      </c>
      <c r="H3030" s="8">
        <f>SUM(H3015:H3029)</f>
        <v>2042.67</v>
      </c>
      <c r="I3030" s="8">
        <f>G3030-H3030</f>
        <v>-166.04999999999995</v>
      </c>
    </row>
    <row r="3032" spans="1:10" x14ac:dyDescent="0.25">
      <c r="A3032" s="5">
        <v>4305990</v>
      </c>
      <c r="B3032" s="6" t="s">
        <v>4292</v>
      </c>
      <c r="C3032" s="7"/>
      <c r="D3032" s="7"/>
      <c r="E3032" s="7"/>
      <c r="F3032" s="7"/>
      <c r="G3032" s="7"/>
      <c r="H3032" s="7"/>
      <c r="I3032" s="7"/>
      <c r="J3032" s="7"/>
    </row>
    <row r="3033" spans="1:10" x14ac:dyDescent="0.25">
      <c r="E3033" s="4" t="s">
        <v>10</v>
      </c>
      <c r="G3033" s="8">
        <v>241.53</v>
      </c>
      <c r="H3033" s="8">
        <v>0</v>
      </c>
      <c r="I3033" s="8">
        <f>G3033-H3033</f>
        <v>241.53</v>
      </c>
    </row>
    <row r="3034" spans="1:10" x14ac:dyDescent="0.25">
      <c r="C3034" s="9"/>
      <c r="D3034" s="10">
        <v>45659</v>
      </c>
      <c r="E3034" t="s">
        <v>1524</v>
      </c>
      <c r="F3034" s="11" t="s">
        <v>4293</v>
      </c>
      <c r="G3034" s="8">
        <v>0</v>
      </c>
      <c r="H3034" s="8">
        <v>241.53</v>
      </c>
      <c r="I3034" s="8">
        <f t="shared" ref="I3034:I3043" si="155">G3034-H3034+I3033</f>
        <v>0</v>
      </c>
      <c r="J3034" s="12"/>
    </row>
    <row r="3035" spans="1:10" x14ac:dyDescent="0.25">
      <c r="C3035" s="9"/>
      <c r="D3035" s="10">
        <v>45688</v>
      </c>
      <c r="E3035" t="s">
        <v>4294</v>
      </c>
      <c r="F3035" s="11" t="s">
        <v>4295</v>
      </c>
      <c r="G3035" s="8">
        <v>74.510000000000005</v>
      </c>
      <c r="H3035" s="8">
        <v>0</v>
      </c>
      <c r="I3035" s="8">
        <f t="shared" si="155"/>
        <v>74.510000000000005</v>
      </c>
      <c r="J3035" s="12"/>
    </row>
    <row r="3036" spans="1:10" x14ac:dyDescent="0.25">
      <c r="C3036" s="9"/>
      <c r="D3036" s="10">
        <v>45691</v>
      </c>
      <c r="E3036" t="s">
        <v>4296</v>
      </c>
      <c r="F3036" s="11" t="s">
        <v>42</v>
      </c>
      <c r="G3036" s="8">
        <v>0</v>
      </c>
      <c r="H3036" s="8">
        <v>74.510000000000005</v>
      </c>
      <c r="I3036" s="8">
        <f t="shared" si="155"/>
        <v>0</v>
      </c>
      <c r="J3036" s="12"/>
    </row>
    <row r="3037" spans="1:10" x14ac:dyDescent="0.25">
      <c r="C3037" s="9"/>
      <c r="D3037" s="10">
        <v>45702</v>
      </c>
      <c r="E3037" t="s">
        <v>4297</v>
      </c>
      <c r="F3037" s="11" t="s">
        <v>4298</v>
      </c>
      <c r="G3037" s="8">
        <v>345.02</v>
      </c>
      <c r="H3037" s="8">
        <v>0</v>
      </c>
      <c r="I3037" s="8">
        <f t="shared" si="155"/>
        <v>345.02</v>
      </c>
      <c r="J3037" s="12"/>
    </row>
    <row r="3038" spans="1:10" x14ac:dyDescent="0.25">
      <c r="C3038" s="9"/>
      <c r="D3038" s="10">
        <v>45705</v>
      </c>
      <c r="E3038" t="s">
        <v>1524</v>
      </c>
      <c r="F3038" s="11" t="s">
        <v>4298</v>
      </c>
      <c r="G3038" s="8">
        <v>0</v>
      </c>
      <c r="H3038" s="8">
        <v>345.02</v>
      </c>
      <c r="I3038" s="8">
        <f t="shared" si="155"/>
        <v>0</v>
      </c>
      <c r="J3038" s="12"/>
    </row>
    <row r="3039" spans="1:10" x14ac:dyDescent="0.25">
      <c r="C3039" s="9"/>
      <c r="D3039" s="10">
        <v>45716</v>
      </c>
      <c r="E3039" t="s">
        <v>4299</v>
      </c>
      <c r="F3039" s="11" t="s">
        <v>4300</v>
      </c>
      <c r="G3039" s="8">
        <v>374.72</v>
      </c>
      <c r="H3039" s="8">
        <v>0</v>
      </c>
      <c r="I3039" s="8">
        <f t="shared" si="155"/>
        <v>374.72</v>
      </c>
      <c r="J3039" s="12"/>
    </row>
    <row r="3040" spans="1:10" x14ac:dyDescent="0.25">
      <c r="C3040" s="9" t="s">
        <v>124</v>
      </c>
      <c r="D3040" s="10">
        <v>45719</v>
      </c>
      <c r="E3040" t="s">
        <v>4301</v>
      </c>
      <c r="F3040" s="11" t="s">
        <v>4300</v>
      </c>
      <c r="G3040" s="8">
        <v>0</v>
      </c>
      <c r="H3040" s="8">
        <v>374.72</v>
      </c>
      <c r="I3040" s="8">
        <f t="shared" si="155"/>
        <v>0</v>
      </c>
      <c r="J3040" s="12"/>
    </row>
    <row r="3041" spans="1:10" x14ac:dyDescent="0.25">
      <c r="C3041" s="9"/>
      <c r="D3041" s="10">
        <v>45747</v>
      </c>
      <c r="E3041" t="s">
        <v>4302</v>
      </c>
      <c r="F3041" s="11" t="s">
        <v>4303</v>
      </c>
      <c r="G3041" s="8">
        <v>304.91000000000003</v>
      </c>
      <c r="H3041" s="8">
        <v>0</v>
      </c>
      <c r="I3041" s="8">
        <f t="shared" si="155"/>
        <v>304.91000000000003</v>
      </c>
      <c r="J3041" s="12"/>
    </row>
    <row r="3042" spans="1:10" x14ac:dyDescent="0.25">
      <c r="C3042" s="9" t="s">
        <v>124</v>
      </c>
      <c r="D3042" s="10">
        <v>45748</v>
      </c>
      <c r="E3042" t="s">
        <v>4304</v>
      </c>
      <c r="F3042" s="11" t="s">
        <v>4303</v>
      </c>
      <c r="G3042" s="8">
        <v>0</v>
      </c>
      <c r="H3042" s="8">
        <v>304.91000000000003</v>
      </c>
      <c r="I3042" s="8">
        <f t="shared" si="155"/>
        <v>0</v>
      </c>
      <c r="J3042" s="12"/>
    </row>
    <row r="3043" spans="1:10" x14ac:dyDescent="0.25">
      <c r="C3043" s="9"/>
      <c r="D3043" s="10">
        <v>45762</v>
      </c>
      <c r="E3043" t="s">
        <v>4296</v>
      </c>
      <c r="F3043" s="11" t="s">
        <v>42</v>
      </c>
      <c r="G3043" s="8">
        <v>0</v>
      </c>
      <c r="H3043" s="8">
        <v>236.57</v>
      </c>
      <c r="I3043" s="8">
        <f t="shared" si="155"/>
        <v>-236.57</v>
      </c>
      <c r="J3043" s="12"/>
    </row>
    <row r="3044" spans="1:10" x14ac:dyDescent="0.25">
      <c r="E3044" s="4" t="s">
        <v>20</v>
      </c>
      <c r="G3044" s="8">
        <f>SUM(G3033:G3043)</f>
        <v>1340.69</v>
      </c>
      <c r="H3044" s="8">
        <f>SUM(H3033:H3043)</f>
        <v>1577.26</v>
      </c>
      <c r="I3044" s="8">
        <f>G3044-H3044</f>
        <v>-236.56999999999994</v>
      </c>
    </row>
    <row r="3046" spans="1:10" x14ac:dyDescent="0.25">
      <c r="A3046" s="5">
        <v>4305995</v>
      </c>
      <c r="B3046" s="6" t="s">
        <v>4305</v>
      </c>
      <c r="C3046" s="7"/>
      <c r="D3046" s="7"/>
      <c r="E3046" s="7"/>
      <c r="F3046" s="7"/>
      <c r="G3046" s="7"/>
      <c r="H3046" s="7"/>
      <c r="I3046" s="7"/>
      <c r="J3046" s="7"/>
    </row>
    <row r="3047" spans="1:10" x14ac:dyDescent="0.25">
      <c r="C3047" s="9"/>
      <c r="D3047" s="10">
        <v>45688</v>
      </c>
      <c r="E3047" t="s">
        <v>4306</v>
      </c>
      <c r="F3047" s="11" t="s">
        <v>4307</v>
      </c>
      <c r="G3047" s="8">
        <v>117.99</v>
      </c>
      <c r="H3047" s="8">
        <v>0</v>
      </c>
      <c r="I3047" s="8">
        <f>G3047-H3047</f>
        <v>117.99</v>
      </c>
      <c r="J3047" s="12"/>
    </row>
    <row r="3048" spans="1:10" x14ac:dyDescent="0.25">
      <c r="C3048" s="9"/>
      <c r="D3048" s="10">
        <v>45727</v>
      </c>
      <c r="E3048" t="s">
        <v>1524</v>
      </c>
      <c r="F3048" s="11" t="s">
        <v>4307</v>
      </c>
      <c r="G3048" s="8">
        <v>0</v>
      </c>
      <c r="H3048" s="8">
        <v>117.99</v>
      </c>
      <c r="I3048" s="8">
        <f>G3048-H3048+I3047</f>
        <v>0</v>
      </c>
      <c r="J3048" s="12"/>
    </row>
    <row r="3049" spans="1:10" x14ac:dyDescent="0.25">
      <c r="C3049" s="9"/>
      <c r="D3049" s="10">
        <v>45747</v>
      </c>
      <c r="E3049" t="s">
        <v>4308</v>
      </c>
      <c r="F3049" s="11" t="s">
        <v>4309</v>
      </c>
      <c r="G3049" s="8">
        <v>64.08</v>
      </c>
      <c r="H3049" s="8">
        <v>0</v>
      </c>
      <c r="I3049" s="8">
        <f>G3049-H3049+I3048</f>
        <v>64.08</v>
      </c>
      <c r="J3049" s="12"/>
    </row>
    <row r="3050" spans="1:10" x14ac:dyDescent="0.25">
      <c r="E3050" s="4" t="s">
        <v>20</v>
      </c>
      <c r="G3050" s="8">
        <f>SUM(G3047:G3049)</f>
        <v>182.07</v>
      </c>
      <c r="H3050" s="8">
        <f>SUM(H3047:H3049)</f>
        <v>117.99</v>
      </c>
      <c r="I3050" s="8">
        <f>G3050-H3050</f>
        <v>64.08</v>
      </c>
    </row>
    <row r="3052" spans="1:10" x14ac:dyDescent="0.25">
      <c r="A3052" s="5">
        <v>4306015</v>
      </c>
      <c r="B3052" s="6" t="s">
        <v>4310</v>
      </c>
      <c r="C3052" s="7"/>
      <c r="D3052" s="7"/>
      <c r="E3052" s="7"/>
      <c r="F3052" s="7"/>
      <c r="G3052" s="7"/>
      <c r="H3052" s="7"/>
      <c r="I3052" s="7"/>
      <c r="J3052" s="7"/>
    </row>
    <row r="3053" spans="1:10" x14ac:dyDescent="0.25">
      <c r="C3053" s="9"/>
      <c r="D3053" s="10">
        <v>45671</v>
      </c>
      <c r="E3053" t="s">
        <v>4311</v>
      </c>
      <c r="F3053" s="11" t="s">
        <v>4312</v>
      </c>
      <c r="G3053" s="8">
        <v>78.489999999999995</v>
      </c>
      <c r="H3053" s="8">
        <v>0</v>
      </c>
      <c r="I3053" s="8">
        <f>G3053-H3053</f>
        <v>78.489999999999995</v>
      </c>
      <c r="J3053" s="12"/>
    </row>
    <row r="3054" spans="1:10" x14ac:dyDescent="0.25">
      <c r="C3054" s="9"/>
      <c r="D3054" s="10">
        <v>45672</v>
      </c>
      <c r="E3054" t="s">
        <v>1524</v>
      </c>
      <c r="F3054" s="11" t="s">
        <v>4312</v>
      </c>
      <c r="G3054" s="8">
        <v>0</v>
      </c>
      <c r="H3054" s="8">
        <v>78.489999999999995</v>
      </c>
      <c r="I3054" s="8">
        <f>G3054-H3054+I3053</f>
        <v>0</v>
      </c>
      <c r="J3054" s="12"/>
    </row>
    <row r="3055" spans="1:10" x14ac:dyDescent="0.25">
      <c r="C3055" s="9"/>
      <c r="D3055" s="10">
        <v>45688</v>
      </c>
      <c r="E3055" t="s">
        <v>4313</v>
      </c>
      <c r="F3055" s="11" t="s">
        <v>4314</v>
      </c>
      <c r="G3055" s="8">
        <v>88.56</v>
      </c>
      <c r="H3055" s="8">
        <v>0</v>
      </c>
      <c r="I3055" s="8">
        <f>G3055-H3055+I3054</f>
        <v>88.56</v>
      </c>
      <c r="J3055" s="12"/>
    </row>
    <row r="3056" spans="1:10" x14ac:dyDescent="0.25">
      <c r="C3056" s="9"/>
      <c r="D3056" s="10">
        <v>45691</v>
      </c>
      <c r="E3056" t="s">
        <v>1524</v>
      </c>
      <c r="F3056" s="11" t="s">
        <v>4314</v>
      </c>
      <c r="G3056" s="8">
        <v>0</v>
      </c>
      <c r="H3056" s="8">
        <v>88.56</v>
      </c>
      <c r="I3056" s="8">
        <f>G3056-H3056+I3055</f>
        <v>0</v>
      </c>
      <c r="J3056" s="12"/>
    </row>
    <row r="3057" spans="1:10" x14ac:dyDescent="0.25">
      <c r="C3057" s="9"/>
      <c r="D3057" s="10">
        <v>45762</v>
      </c>
      <c r="E3057" t="s">
        <v>1524</v>
      </c>
      <c r="F3057" s="11" t="s">
        <v>4315</v>
      </c>
      <c r="G3057" s="8">
        <v>0</v>
      </c>
      <c r="H3057" s="8">
        <v>303.81</v>
      </c>
      <c r="I3057" s="8">
        <f>G3057-H3057+I3056</f>
        <v>-303.81</v>
      </c>
      <c r="J3057" s="12"/>
    </row>
    <row r="3058" spans="1:10" x14ac:dyDescent="0.25">
      <c r="E3058" s="4" t="s">
        <v>20</v>
      </c>
      <c r="G3058" s="8">
        <f>SUM(G3053:G3057)</f>
        <v>167.05</v>
      </c>
      <c r="H3058" s="8">
        <f>SUM(H3053:H3057)</f>
        <v>470.86</v>
      </c>
      <c r="I3058" s="8">
        <f>G3058-H3058</f>
        <v>-303.81</v>
      </c>
    </row>
    <row r="3060" spans="1:10" x14ac:dyDescent="0.25">
      <c r="A3060" s="5">
        <v>4306020</v>
      </c>
      <c r="B3060" s="6" t="s">
        <v>4316</v>
      </c>
      <c r="C3060" s="7"/>
      <c r="D3060" s="7"/>
      <c r="E3060" s="7"/>
      <c r="F3060" s="7"/>
      <c r="G3060" s="7"/>
      <c r="H3060" s="7"/>
      <c r="I3060" s="7"/>
      <c r="J3060" s="7"/>
    </row>
    <row r="3061" spans="1:10" x14ac:dyDescent="0.25">
      <c r="E3061" s="4" t="s">
        <v>10</v>
      </c>
      <c r="G3061" s="8">
        <v>30.18</v>
      </c>
      <c r="H3061" s="8">
        <v>0</v>
      </c>
      <c r="I3061" s="8">
        <f>G3061-H3061</f>
        <v>30.18</v>
      </c>
    </row>
    <row r="3062" spans="1:10" x14ac:dyDescent="0.25">
      <c r="C3062" s="9"/>
      <c r="D3062" s="10">
        <v>45688</v>
      </c>
      <c r="E3062" t="s">
        <v>4317</v>
      </c>
      <c r="F3062" s="11" t="s">
        <v>4318</v>
      </c>
      <c r="G3062" s="8">
        <v>398.99</v>
      </c>
      <c r="H3062" s="8">
        <v>0</v>
      </c>
      <c r="I3062" s="8">
        <f t="shared" ref="I3062:I3067" si="156">G3062-H3062+I3061</f>
        <v>429.17</v>
      </c>
      <c r="J3062" s="12"/>
    </row>
    <row r="3063" spans="1:10" x14ac:dyDescent="0.25">
      <c r="C3063" s="9"/>
      <c r="D3063" s="10">
        <v>45699</v>
      </c>
      <c r="E3063" t="s">
        <v>1524</v>
      </c>
      <c r="F3063" s="11" t="s">
        <v>4319</v>
      </c>
      <c r="G3063" s="8">
        <v>0</v>
      </c>
      <c r="H3063" s="8">
        <v>30.18</v>
      </c>
      <c r="I3063" s="8">
        <f t="shared" si="156"/>
        <v>398.99</v>
      </c>
      <c r="J3063" s="12"/>
    </row>
    <row r="3064" spans="1:10" x14ac:dyDescent="0.25">
      <c r="C3064" s="9"/>
      <c r="D3064" s="10">
        <v>45708</v>
      </c>
      <c r="E3064" t="s">
        <v>4320</v>
      </c>
      <c r="F3064" s="11" t="s">
        <v>42</v>
      </c>
      <c r="G3064" s="8">
        <v>0</v>
      </c>
      <c r="H3064" s="8">
        <v>390.1</v>
      </c>
      <c r="I3064" s="8">
        <f t="shared" si="156"/>
        <v>8.8899999999999864</v>
      </c>
      <c r="J3064" s="12"/>
    </row>
    <row r="3065" spans="1:10" x14ac:dyDescent="0.25">
      <c r="C3065" s="9"/>
      <c r="D3065" s="10">
        <v>45716</v>
      </c>
      <c r="E3065" t="s">
        <v>4321</v>
      </c>
      <c r="F3065" s="11" t="s">
        <v>4322</v>
      </c>
      <c r="G3065" s="8">
        <v>64</v>
      </c>
      <c r="H3065" s="8">
        <v>0</v>
      </c>
      <c r="I3065" s="8">
        <f t="shared" si="156"/>
        <v>72.889999999999986</v>
      </c>
      <c r="J3065" s="12"/>
    </row>
    <row r="3066" spans="1:10" x14ac:dyDescent="0.25">
      <c r="C3066" s="9"/>
      <c r="D3066" s="10">
        <v>45730</v>
      </c>
      <c r="E3066" t="s">
        <v>4323</v>
      </c>
      <c r="F3066" s="11" t="s">
        <v>4324</v>
      </c>
      <c r="G3066" s="8">
        <v>215.94</v>
      </c>
      <c r="H3066" s="8">
        <v>0</v>
      </c>
      <c r="I3066" s="8">
        <f t="shared" si="156"/>
        <v>288.83</v>
      </c>
      <c r="J3066" s="12"/>
    </row>
    <row r="3067" spans="1:10" x14ac:dyDescent="0.25">
      <c r="C3067" s="9"/>
      <c r="D3067" s="10">
        <v>45747</v>
      </c>
      <c r="E3067" t="s">
        <v>4325</v>
      </c>
      <c r="F3067" s="11" t="s">
        <v>4326</v>
      </c>
      <c r="G3067" s="8">
        <v>49.33</v>
      </c>
      <c r="H3067" s="8">
        <v>0</v>
      </c>
      <c r="I3067" s="8">
        <f t="shared" si="156"/>
        <v>338.15999999999997</v>
      </c>
      <c r="J3067" s="12"/>
    </row>
    <row r="3068" spans="1:10" x14ac:dyDescent="0.25">
      <c r="E3068" s="4" t="s">
        <v>20</v>
      </c>
      <c r="G3068" s="8">
        <f>SUM(G3061:G3067)</f>
        <v>758.44</v>
      </c>
      <c r="H3068" s="8">
        <f>SUM(H3061:H3067)</f>
        <v>420.28000000000003</v>
      </c>
      <c r="I3068" s="8">
        <f>G3068-H3068</f>
        <v>338.16</v>
      </c>
    </row>
    <row r="3070" spans="1:10" x14ac:dyDescent="0.25">
      <c r="A3070" s="5">
        <v>4306075</v>
      </c>
      <c r="B3070" s="6" t="s">
        <v>4327</v>
      </c>
      <c r="C3070" s="7"/>
      <c r="D3070" s="7"/>
      <c r="E3070" s="7"/>
      <c r="F3070" s="7"/>
      <c r="G3070" s="7"/>
      <c r="H3070" s="7"/>
      <c r="I3070" s="7"/>
      <c r="J3070" s="7"/>
    </row>
    <row r="3071" spans="1:10" x14ac:dyDescent="0.25">
      <c r="E3071" s="4" t="s">
        <v>10</v>
      </c>
      <c r="G3071" s="8">
        <v>126.24</v>
      </c>
      <c r="H3071" s="8">
        <v>0</v>
      </c>
      <c r="I3071" s="8">
        <f>G3071-H3071</f>
        <v>126.24</v>
      </c>
    </row>
    <row r="3072" spans="1:10" x14ac:dyDescent="0.25">
      <c r="C3072" s="9"/>
      <c r="D3072" s="10">
        <v>45709</v>
      </c>
      <c r="E3072" t="s">
        <v>1524</v>
      </c>
      <c r="F3072" s="11" t="s">
        <v>4328</v>
      </c>
      <c r="G3072" s="8">
        <v>0</v>
      </c>
      <c r="H3072" s="8">
        <v>126.24</v>
      </c>
      <c r="I3072" s="8">
        <f>G3072-H3072+I3071</f>
        <v>0</v>
      </c>
      <c r="J3072" s="12"/>
    </row>
    <row r="3073" spans="1:10" x14ac:dyDescent="0.25">
      <c r="C3073" s="9"/>
      <c r="D3073" s="10">
        <v>45730</v>
      </c>
      <c r="E3073" t="s">
        <v>4329</v>
      </c>
      <c r="F3073" s="11" t="s">
        <v>4330</v>
      </c>
      <c r="G3073" s="8">
        <v>436.51</v>
      </c>
      <c r="H3073" s="8">
        <v>0</v>
      </c>
      <c r="I3073" s="8">
        <f>G3073-H3073+I3072</f>
        <v>436.51</v>
      </c>
      <c r="J3073" s="12"/>
    </row>
    <row r="3074" spans="1:10" x14ac:dyDescent="0.25">
      <c r="E3074" s="4" t="s">
        <v>20</v>
      </c>
      <c r="G3074" s="8">
        <f>SUM(G3071:G3073)</f>
        <v>562.75</v>
      </c>
      <c r="H3074" s="8">
        <f>SUM(H3071:H3073)</f>
        <v>126.24</v>
      </c>
      <c r="I3074" s="8">
        <f>G3074-H3074</f>
        <v>436.51</v>
      </c>
    </row>
    <row r="3076" spans="1:10" x14ac:dyDescent="0.25">
      <c r="A3076" s="5">
        <v>4306080</v>
      </c>
      <c r="B3076" s="6" t="s">
        <v>4331</v>
      </c>
      <c r="C3076" s="7"/>
      <c r="D3076" s="7"/>
      <c r="E3076" s="7"/>
      <c r="F3076" s="7"/>
      <c r="G3076" s="7"/>
      <c r="H3076" s="7"/>
      <c r="I3076" s="7"/>
      <c r="J3076" s="7"/>
    </row>
    <row r="3077" spans="1:10" x14ac:dyDescent="0.25">
      <c r="E3077" s="4" t="s">
        <v>10</v>
      </c>
      <c r="G3077" s="8">
        <v>50.82</v>
      </c>
      <c r="H3077" s="8">
        <v>0</v>
      </c>
      <c r="I3077" s="8">
        <f>G3077-H3077</f>
        <v>50.82</v>
      </c>
    </row>
    <row r="3078" spans="1:10" x14ac:dyDescent="0.25">
      <c r="C3078" s="9"/>
      <c r="D3078" s="10">
        <v>45659</v>
      </c>
      <c r="E3078" t="s">
        <v>4332</v>
      </c>
      <c r="F3078" s="11" t="s">
        <v>42</v>
      </c>
      <c r="G3078" s="8">
        <v>0</v>
      </c>
      <c r="H3078" s="8">
        <v>50.82</v>
      </c>
      <c r="I3078" s="8">
        <f>G3078-H3078+I3077</f>
        <v>0</v>
      </c>
      <c r="J3078" s="12"/>
    </row>
    <row r="3079" spans="1:10" x14ac:dyDescent="0.25">
      <c r="C3079" s="9"/>
      <c r="D3079" s="10">
        <v>45702</v>
      </c>
      <c r="E3079" t="s">
        <v>4333</v>
      </c>
      <c r="F3079" s="11" t="s">
        <v>4334</v>
      </c>
      <c r="G3079" s="8">
        <v>97.19</v>
      </c>
      <c r="H3079" s="8">
        <v>0</v>
      </c>
      <c r="I3079" s="8">
        <f>G3079-H3079+I3078</f>
        <v>97.19</v>
      </c>
      <c r="J3079" s="12"/>
    </row>
    <row r="3080" spans="1:10" x14ac:dyDescent="0.25">
      <c r="C3080" s="9"/>
      <c r="D3080" s="10">
        <v>45705</v>
      </c>
      <c r="E3080" t="s">
        <v>1524</v>
      </c>
      <c r="F3080" s="11" t="s">
        <v>4334</v>
      </c>
      <c r="G3080" s="8">
        <v>0</v>
      </c>
      <c r="H3080" s="8">
        <v>97.19</v>
      </c>
      <c r="I3080" s="8">
        <f>G3080-H3080+I3079</f>
        <v>0</v>
      </c>
      <c r="J3080" s="12"/>
    </row>
    <row r="3081" spans="1:10" x14ac:dyDescent="0.25">
      <c r="C3081" s="9"/>
      <c r="D3081" s="10">
        <v>45762</v>
      </c>
      <c r="E3081" t="s">
        <v>4332</v>
      </c>
      <c r="F3081" s="11" t="s">
        <v>42</v>
      </c>
      <c r="G3081" s="8">
        <v>0</v>
      </c>
      <c r="H3081" s="8">
        <v>206.5</v>
      </c>
      <c r="I3081" s="8">
        <f>G3081-H3081+I3080</f>
        <v>-206.5</v>
      </c>
      <c r="J3081" s="12"/>
    </row>
    <row r="3082" spans="1:10" x14ac:dyDescent="0.25">
      <c r="E3082" s="4" t="s">
        <v>20</v>
      </c>
      <c r="G3082" s="8">
        <f>SUM(G3077:G3081)</f>
        <v>148.01</v>
      </c>
      <c r="H3082" s="8">
        <f>SUM(H3077:H3081)</f>
        <v>354.51</v>
      </c>
      <c r="I3082" s="8">
        <f>G3082-H3082</f>
        <v>-206.5</v>
      </c>
    </row>
    <row r="3084" spans="1:10" x14ac:dyDescent="0.25">
      <c r="A3084" s="5">
        <v>4306095</v>
      </c>
      <c r="B3084" s="6" t="s">
        <v>4335</v>
      </c>
      <c r="C3084" s="7"/>
      <c r="D3084" s="7"/>
      <c r="E3084" s="7"/>
      <c r="F3084" s="7"/>
      <c r="G3084" s="7"/>
      <c r="H3084" s="7"/>
      <c r="I3084" s="7"/>
      <c r="J3084" s="7"/>
    </row>
    <row r="3085" spans="1:10" x14ac:dyDescent="0.25">
      <c r="E3085" s="4" t="s">
        <v>10</v>
      </c>
      <c r="G3085" s="8">
        <v>842.29</v>
      </c>
      <c r="H3085" s="8">
        <v>0</v>
      </c>
      <c r="I3085" s="8">
        <f>G3085-H3085</f>
        <v>842.29</v>
      </c>
    </row>
    <row r="3086" spans="1:10" x14ac:dyDescent="0.25">
      <c r="C3086" s="9"/>
      <c r="D3086" s="10">
        <v>45688</v>
      </c>
      <c r="E3086" t="s">
        <v>4336</v>
      </c>
      <c r="F3086" s="11" t="s">
        <v>4337</v>
      </c>
      <c r="G3086" s="8">
        <v>55.21</v>
      </c>
      <c r="H3086" s="8">
        <v>0</v>
      </c>
      <c r="I3086" s="8">
        <f>G3086-H3086+I3085</f>
        <v>897.5</v>
      </c>
      <c r="J3086" s="12"/>
    </row>
    <row r="3087" spans="1:10" x14ac:dyDescent="0.25">
      <c r="C3087" s="9"/>
      <c r="D3087" s="10">
        <v>45691</v>
      </c>
      <c r="E3087" t="s">
        <v>1524</v>
      </c>
      <c r="F3087" s="11" t="s">
        <v>4338</v>
      </c>
      <c r="G3087" s="8">
        <v>0</v>
      </c>
      <c r="H3087" s="8">
        <v>135.77000000000001</v>
      </c>
      <c r="I3087" s="8">
        <f>G3087-H3087+I3086</f>
        <v>761.73</v>
      </c>
      <c r="J3087" s="12"/>
    </row>
    <row r="3088" spans="1:10" x14ac:dyDescent="0.25">
      <c r="C3088" s="9"/>
      <c r="D3088" s="10">
        <v>45716</v>
      </c>
      <c r="E3088" t="s">
        <v>4339</v>
      </c>
      <c r="F3088" s="11" t="s">
        <v>4340</v>
      </c>
      <c r="G3088" s="8">
        <v>81.59</v>
      </c>
      <c r="H3088" s="8">
        <v>0</v>
      </c>
      <c r="I3088" s="8">
        <f>G3088-H3088+I3087</f>
        <v>843.32</v>
      </c>
      <c r="J3088" s="12"/>
    </row>
    <row r="3089" spans="1:10" x14ac:dyDescent="0.25">
      <c r="C3089" s="9"/>
      <c r="D3089" s="10">
        <v>45719</v>
      </c>
      <c r="E3089" t="s">
        <v>1524</v>
      </c>
      <c r="F3089" s="11" t="s">
        <v>4341</v>
      </c>
      <c r="G3089" s="8">
        <v>0</v>
      </c>
      <c r="H3089" s="8">
        <v>698.45</v>
      </c>
      <c r="I3089" s="8">
        <f>G3089-H3089+I3088</f>
        <v>144.87</v>
      </c>
      <c r="J3089" s="12"/>
    </row>
    <row r="3090" spans="1:10" x14ac:dyDescent="0.25">
      <c r="C3090" s="9"/>
      <c r="D3090" s="10">
        <v>45747</v>
      </c>
      <c r="E3090" t="s">
        <v>1524</v>
      </c>
      <c r="F3090" s="11" t="s">
        <v>4342</v>
      </c>
      <c r="G3090" s="8">
        <v>0</v>
      </c>
      <c r="H3090" s="8">
        <v>8.07</v>
      </c>
      <c r="I3090" s="8">
        <f>G3090-H3090+I3089</f>
        <v>136.80000000000001</v>
      </c>
      <c r="J3090" s="12"/>
    </row>
    <row r="3091" spans="1:10" x14ac:dyDescent="0.25">
      <c r="E3091" s="4" t="s">
        <v>20</v>
      </c>
      <c r="G3091" s="8">
        <f>SUM(G3085:G3090)</f>
        <v>979.09</v>
      </c>
      <c r="H3091" s="8">
        <f>SUM(H3085:H3090)</f>
        <v>842.29000000000008</v>
      </c>
      <c r="I3091" s="8">
        <f>G3091-H3091</f>
        <v>136.79999999999995</v>
      </c>
    </row>
    <row r="3093" spans="1:10" x14ac:dyDescent="0.25">
      <c r="A3093" s="5">
        <v>4306105</v>
      </c>
      <c r="B3093" s="6" t="s">
        <v>4343</v>
      </c>
      <c r="C3093" s="7"/>
      <c r="D3093" s="7"/>
      <c r="E3093" s="7"/>
      <c r="F3093" s="7"/>
      <c r="G3093" s="7"/>
      <c r="H3093" s="7"/>
      <c r="I3093" s="7"/>
      <c r="J3093" s="7"/>
    </row>
    <row r="3094" spans="1:10" x14ac:dyDescent="0.25">
      <c r="E3094" s="4" t="s">
        <v>10</v>
      </c>
      <c r="G3094" s="8">
        <v>294.27999999999997</v>
      </c>
      <c r="H3094" s="8">
        <v>0</v>
      </c>
      <c r="I3094" s="8">
        <f>G3094-H3094</f>
        <v>294.27999999999997</v>
      </c>
    </row>
    <row r="3095" spans="1:10" x14ac:dyDescent="0.25">
      <c r="C3095" s="9"/>
      <c r="D3095" s="10">
        <v>45726</v>
      </c>
      <c r="E3095" t="s">
        <v>4344</v>
      </c>
      <c r="F3095" s="11" t="s">
        <v>42</v>
      </c>
      <c r="G3095" s="8">
        <v>0</v>
      </c>
      <c r="H3095" s="8">
        <v>144.16</v>
      </c>
      <c r="I3095" s="8">
        <f>G3095-H3095+I3094</f>
        <v>150.11999999999998</v>
      </c>
      <c r="J3095" s="12"/>
    </row>
    <row r="3096" spans="1:10" x14ac:dyDescent="0.25">
      <c r="C3096" s="9"/>
      <c r="D3096" s="10">
        <v>45726</v>
      </c>
      <c r="E3096" t="s">
        <v>4344</v>
      </c>
      <c r="F3096" s="11" t="s">
        <v>42</v>
      </c>
      <c r="G3096" s="8">
        <v>0</v>
      </c>
      <c r="H3096" s="8">
        <v>33.880000000000003</v>
      </c>
      <c r="I3096" s="8">
        <f>G3096-H3096+I3095</f>
        <v>116.23999999999998</v>
      </c>
      <c r="J3096" s="12"/>
    </row>
    <row r="3097" spans="1:10" x14ac:dyDescent="0.25">
      <c r="C3097" s="9"/>
      <c r="D3097" s="10">
        <v>45726</v>
      </c>
      <c r="E3097" t="s">
        <v>4344</v>
      </c>
      <c r="F3097" s="11" t="s">
        <v>42</v>
      </c>
      <c r="G3097" s="8">
        <v>0</v>
      </c>
      <c r="H3097" s="8">
        <v>97.05</v>
      </c>
      <c r="I3097" s="8">
        <f>G3097-H3097+I3096</f>
        <v>19.189999999999984</v>
      </c>
      <c r="J3097" s="12"/>
    </row>
    <row r="3098" spans="1:10" x14ac:dyDescent="0.25">
      <c r="C3098" s="9"/>
      <c r="D3098" s="10">
        <v>45747</v>
      </c>
      <c r="E3098" t="s">
        <v>4345</v>
      </c>
      <c r="F3098" s="11" t="s">
        <v>3173</v>
      </c>
      <c r="G3098" s="8">
        <v>184.6</v>
      </c>
      <c r="H3098" s="8">
        <v>0</v>
      </c>
      <c r="I3098" s="8">
        <f>G3098-H3098+I3097</f>
        <v>203.78999999999996</v>
      </c>
      <c r="J3098" s="12"/>
    </row>
    <row r="3099" spans="1:10" x14ac:dyDescent="0.25">
      <c r="C3099" s="9"/>
      <c r="D3099" s="10">
        <v>45748</v>
      </c>
      <c r="E3099" t="s">
        <v>1524</v>
      </c>
      <c r="F3099" s="11" t="s">
        <v>3173</v>
      </c>
      <c r="G3099" s="8">
        <v>0</v>
      </c>
      <c r="H3099" s="8">
        <v>184.6</v>
      </c>
      <c r="I3099" s="8">
        <f>G3099-H3099+I3098</f>
        <v>19.189999999999969</v>
      </c>
      <c r="J3099" s="12"/>
    </row>
    <row r="3100" spans="1:10" x14ac:dyDescent="0.25">
      <c r="E3100" s="4" t="s">
        <v>20</v>
      </c>
      <c r="G3100" s="8">
        <f>SUM(G3094:G3099)</f>
        <v>478.88</v>
      </c>
      <c r="H3100" s="8">
        <f>SUM(H3094:H3099)</f>
        <v>459.68999999999994</v>
      </c>
      <c r="I3100" s="8">
        <f>G3100-H3100</f>
        <v>19.190000000000055</v>
      </c>
    </row>
    <row r="3102" spans="1:10" x14ac:dyDescent="0.25">
      <c r="A3102" s="5">
        <v>4306150</v>
      </c>
      <c r="B3102" s="6" t="s">
        <v>4346</v>
      </c>
      <c r="C3102" s="7"/>
      <c r="D3102" s="7"/>
      <c r="E3102" s="7"/>
      <c r="F3102" s="7"/>
      <c r="G3102" s="7"/>
      <c r="H3102" s="7"/>
      <c r="I3102" s="7"/>
      <c r="J3102" s="7"/>
    </row>
    <row r="3103" spans="1:10" x14ac:dyDescent="0.25">
      <c r="E3103" s="4" t="s">
        <v>10</v>
      </c>
      <c r="G3103" s="8">
        <v>17.04</v>
      </c>
      <c r="H3103" s="8">
        <v>0</v>
      </c>
      <c r="I3103" s="8">
        <f>G3103-H3103</f>
        <v>17.04</v>
      </c>
    </row>
    <row r="3104" spans="1:10" x14ac:dyDescent="0.25">
      <c r="E3104" s="4" t="s">
        <v>20</v>
      </c>
      <c r="G3104" s="8">
        <f>G3103</f>
        <v>17.04</v>
      </c>
      <c r="H3104" s="8">
        <f>H3103</f>
        <v>0</v>
      </c>
      <c r="I3104" s="8">
        <f>G3104-H3104</f>
        <v>17.04</v>
      </c>
    </row>
    <row r="3106" spans="1:10" x14ac:dyDescent="0.25">
      <c r="A3106" s="5">
        <v>4306165</v>
      </c>
      <c r="B3106" s="6" t="s">
        <v>4347</v>
      </c>
      <c r="C3106" s="7"/>
      <c r="D3106" s="7"/>
      <c r="E3106" s="7"/>
      <c r="F3106" s="7"/>
      <c r="G3106" s="7"/>
      <c r="H3106" s="7"/>
      <c r="I3106" s="7"/>
      <c r="J3106" s="7"/>
    </row>
    <row r="3107" spans="1:10" x14ac:dyDescent="0.25">
      <c r="E3107" s="4" t="s">
        <v>10</v>
      </c>
      <c r="G3107" s="8">
        <v>23.95</v>
      </c>
      <c r="H3107" s="8">
        <v>0</v>
      </c>
      <c r="I3107" s="8">
        <f>G3107-H3107</f>
        <v>23.95</v>
      </c>
    </row>
    <row r="3108" spans="1:10" x14ac:dyDescent="0.25">
      <c r="E3108" s="4" t="s">
        <v>20</v>
      </c>
      <c r="G3108" s="8">
        <f>G3107</f>
        <v>23.95</v>
      </c>
      <c r="H3108" s="8">
        <f>H3107</f>
        <v>0</v>
      </c>
      <c r="I3108" s="8">
        <f>G3108-H3108</f>
        <v>23.95</v>
      </c>
    </row>
    <row r="3110" spans="1:10" x14ac:dyDescent="0.25">
      <c r="A3110" s="5">
        <v>4306175</v>
      </c>
      <c r="B3110" s="6" t="s">
        <v>4348</v>
      </c>
      <c r="C3110" s="7"/>
      <c r="D3110" s="7"/>
      <c r="E3110" s="7"/>
      <c r="F3110" s="7"/>
      <c r="G3110" s="7"/>
      <c r="H3110" s="7"/>
      <c r="I3110" s="7"/>
      <c r="J3110" s="7"/>
    </row>
    <row r="3111" spans="1:10" x14ac:dyDescent="0.25">
      <c r="E3111" s="4" t="s">
        <v>10</v>
      </c>
      <c r="G3111" s="8">
        <v>70.180000000000007</v>
      </c>
      <c r="H3111" s="8">
        <v>0</v>
      </c>
      <c r="I3111" s="8">
        <f>G3111-H3111</f>
        <v>70.180000000000007</v>
      </c>
    </row>
    <row r="3112" spans="1:10" x14ac:dyDescent="0.25">
      <c r="C3112" s="9"/>
      <c r="D3112" s="10">
        <v>45659</v>
      </c>
      <c r="E3112" t="s">
        <v>4349</v>
      </c>
      <c r="F3112" s="11" t="s">
        <v>42</v>
      </c>
      <c r="G3112" s="8">
        <v>0</v>
      </c>
      <c r="H3112" s="8">
        <v>70.180000000000007</v>
      </c>
      <c r="I3112" s="8">
        <f t="shared" ref="I3112:I3117" si="157">G3112-H3112+I3111</f>
        <v>0</v>
      </c>
      <c r="J3112" s="12"/>
    </row>
    <row r="3113" spans="1:10" x14ac:dyDescent="0.25">
      <c r="C3113" s="9"/>
      <c r="D3113" s="10">
        <v>45730</v>
      </c>
      <c r="E3113" t="s">
        <v>4350</v>
      </c>
      <c r="F3113" s="11" t="s">
        <v>4351</v>
      </c>
      <c r="G3113" s="8">
        <v>387.08</v>
      </c>
      <c r="H3113" s="8">
        <v>0</v>
      </c>
      <c r="I3113" s="8">
        <f t="shared" si="157"/>
        <v>387.08</v>
      </c>
      <c r="J3113" s="12"/>
    </row>
    <row r="3114" spans="1:10" x14ac:dyDescent="0.25">
      <c r="C3114" s="9"/>
      <c r="D3114" s="10">
        <v>45733</v>
      </c>
      <c r="E3114" t="s">
        <v>1524</v>
      </c>
      <c r="F3114" s="11" t="s">
        <v>4351</v>
      </c>
      <c r="G3114" s="8">
        <v>0</v>
      </c>
      <c r="H3114" s="8">
        <v>387.08</v>
      </c>
      <c r="I3114" s="8">
        <f t="shared" si="157"/>
        <v>0</v>
      </c>
      <c r="J3114" s="12"/>
    </row>
    <row r="3115" spans="1:10" x14ac:dyDescent="0.25">
      <c r="C3115" s="9"/>
      <c r="D3115" s="10">
        <v>45747</v>
      </c>
      <c r="E3115" t="s">
        <v>4352</v>
      </c>
      <c r="F3115" s="11" t="s">
        <v>4353</v>
      </c>
      <c r="G3115" s="8">
        <v>450.51</v>
      </c>
      <c r="H3115" s="8">
        <v>0</v>
      </c>
      <c r="I3115" s="8">
        <f t="shared" si="157"/>
        <v>450.51</v>
      </c>
      <c r="J3115" s="12"/>
    </row>
    <row r="3116" spans="1:10" x14ac:dyDescent="0.25">
      <c r="C3116" s="9" t="s">
        <v>124</v>
      </c>
      <c r="D3116" s="10">
        <v>45748</v>
      </c>
      <c r="E3116" t="s">
        <v>4354</v>
      </c>
      <c r="F3116" s="11" t="s">
        <v>4353</v>
      </c>
      <c r="G3116" s="8">
        <v>0</v>
      </c>
      <c r="H3116" s="8">
        <v>450.51</v>
      </c>
      <c r="I3116" s="8">
        <f t="shared" si="157"/>
        <v>0</v>
      </c>
      <c r="J3116" s="12"/>
    </row>
    <row r="3117" spans="1:10" x14ac:dyDescent="0.25">
      <c r="C3117" s="9"/>
      <c r="D3117" s="10">
        <v>45762</v>
      </c>
      <c r="E3117" t="s">
        <v>4349</v>
      </c>
      <c r="F3117" s="11" t="s">
        <v>42</v>
      </c>
      <c r="G3117" s="8">
        <v>0</v>
      </c>
      <c r="H3117" s="8">
        <v>130.68</v>
      </c>
      <c r="I3117" s="8">
        <f t="shared" si="157"/>
        <v>-130.68</v>
      </c>
      <c r="J3117" s="12"/>
    </row>
    <row r="3118" spans="1:10" x14ac:dyDescent="0.25">
      <c r="E3118" s="4" t="s">
        <v>20</v>
      </c>
      <c r="G3118" s="8">
        <f>SUM(G3111:G3117)</f>
        <v>907.77</v>
      </c>
      <c r="H3118" s="8">
        <f>SUM(H3111:H3117)</f>
        <v>1038.45</v>
      </c>
      <c r="I3118" s="8">
        <f>G3118-H3118</f>
        <v>-130.68000000000006</v>
      </c>
    </row>
    <row r="3120" spans="1:10" x14ac:dyDescent="0.25">
      <c r="A3120" s="5">
        <v>4306180</v>
      </c>
      <c r="B3120" s="6" t="s">
        <v>4355</v>
      </c>
      <c r="C3120" s="7"/>
      <c r="D3120" s="7"/>
      <c r="E3120" s="7"/>
      <c r="F3120" s="7"/>
      <c r="G3120" s="7"/>
      <c r="H3120" s="7"/>
      <c r="I3120" s="7"/>
      <c r="J3120" s="7"/>
    </row>
    <row r="3121" spans="1:10" x14ac:dyDescent="0.25">
      <c r="E3121" s="4" t="s">
        <v>10</v>
      </c>
      <c r="G3121" s="8">
        <v>1072.96</v>
      </c>
      <c r="H3121" s="8">
        <v>0</v>
      </c>
      <c r="I3121" s="8">
        <f>G3121-H3121</f>
        <v>1072.96</v>
      </c>
    </row>
    <row r="3122" spans="1:10" x14ac:dyDescent="0.25">
      <c r="E3122" s="4" t="s">
        <v>20</v>
      </c>
      <c r="G3122" s="8">
        <f>G3121</f>
        <v>1072.96</v>
      </c>
      <c r="H3122" s="8">
        <f>H3121</f>
        <v>0</v>
      </c>
      <c r="I3122" s="8">
        <f>G3122-H3122</f>
        <v>1072.96</v>
      </c>
    </row>
    <row r="3124" spans="1:10" x14ac:dyDescent="0.25">
      <c r="A3124" s="5">
        <v>4306190</v>
      </c>
      <c r="B3124" s="6" t="s">
        <v>4356</v>
      </c>
      <c r="C3124" s="7"/>
      <c r="D3124" s="7"/>
      <c r="E3124" s="7"/>
      <c r="F3124" s="7"/>
      <c r="G3124" s="7"/>
      <c r="H3124" s="7"/>
      <c r="I3124" s="7"/>
      <c r="J3124" s="7"/>
    </row>
    <row r="3125" spans="1:10" x14ac:dyDescent="0.25">
      <c r="E3125" s="4" t="s">
        <v>10</v>
      </c>
      <c r="G3125" s="8">
        <v>56.46</v>
      </c>
      <c r="H3125" s="8">
        <v>0</v>
      </c>
      <c r="I3125" s="8">
        <f>G3125-H3125</f>
        <v>56.46</v>
      </c>
    </row>
    <row r="3126" spans="1:10" x14ac:dyDescent="0.25">
      <c r="C3126" s="9"/>
      <c r="D3126" s="10">
        <v>45660</v>
      </c>
      <c r="E3126" t="s">
        <v>1524</v>
      </c>
      <c r="F3126" s="11" t="s">
        <v>4357</v>
      </c>
      <c r="G3126" s="8">
        <v>0</v>
      </c>
      <c r="H3126" s="8">
        <v>56.46</v>
      </c>
      <c r="I3126" s="8">
        <f t="shared" ref="I3126:I3131" si="158">G3126-H3126+I3125</f>
        <v>0</v>
      </c>
      <c r="J3126" s="12"/>
    </row>
    <row r="3127" spans="1:10" x14ac:dyDescent="0.25">
      <c r="C3127" s="9"/>
      <c r="D3127" s="10">
        <v>45688</v>
      </c>
      <c r="E3127" t="s">
        <v>4358</v>
      </c>
      <c r="F3127" s="11" t="s">
        <v>4359</v>
      </c>
      <c r="G3127" s="8">
        <v>604.54999999999995</v>
      </c>
      <c r="H3127" s="8">
        <v>0</v>
      </c>
      <c r="I3127" s="8">
        <f t="shared" si="158"/>
        <v>604.54999999999995</v>
      </c>
      <c r="J3127" s="12"/>
    </row>
    <row r="3128" spans="1:10" x14ac:dyDescent="0.25">
      <c r="C3128" s="9" t="s">
        <v>124</v>
      </c>
      <c r="D3128" s="10">
        <v>45691</v>
      </c>
      <c r="E3128" t="s">
        <v>4360</v>
      </c>
      <c r="F3128" s="11" t="s">
        <v>4359</v>
      </c>
      <c r="G3128" s="8">
        <v>0</v>
      </c>
      <c r="H3128" s="8">
        <v>604.54999999999995</v>
      </c>
      <c r="I3128" s="8">
        <f t="shared" si="158"/>
        <v>0</v>
      </c>
      <c r="J3128" s="12"/>
    </row>
    <row r="3129" spans="1:10" x14ac:dyDescent="0.25">
      <c r="C3129" s="9"/>
      <c r="D3129" s="10">
        <v>45716</v>
      </c>
      <c r="E3129" t="s">
        <v>4361</v>
      </c>
      <c r="F3129" s="11" t="s">
        <v>4362</v>
      </c>
      <c r="G3129" s="8">
        <v>269.52999999999997</v>
      </c>
      <c r="H3129" s="8">
        <v>0</v>
      </c>
      <c r="I3129" s="8">
        <f t="shared" si="158"/>
        <v>269.52999999999997</v>
      </c>
      <c r="J3129" s="12"/>
    </row>
    <row r="3130" spans="1:10" x14ac:dyDescent="0.25">
      <c r="C3130" s="9"/>
      <c r="D3130" s="10">
        <v>45720</v>
      </c>
      <c r="E3130" t="s">
        <v>1524</v>
      </c>
      <c r="F3130" s="11" t="s">
        <v>4362</v>
      </c>
      <c r="G3130" s="8">
        <v>0</v>
      </c>
      <c r="H3130" s="8">
        <v>269.52999999999997</v>
      </c>
      <c r="I3130" s="8">
        <f t="shared" si="158"/>
        <v>0</v>
      </c>
      <c r="J3130" s="12"/>
    </row>
    <row r="3131" spans="1:10" x14ac:dyDescent="0.25">
      <c r="C3131" s="9"/>
      <c r="D3131" s="10">
        <v>45762</v>
      </c>
      <c r="E3131" t="s">
        <v>4363</v>
      </c>
      <c r="F3131" s="11" t="s">
        <v>42</v>
      </c>
      <c r="G3131" s="8">
        <v>0</v>
      </c>
      <c r="H3131" s="8">
        <v>135.68</v>
      </c>
      <c r="I3131" s="8">
        <f t="shared" si="158"/>
        <v>-135.68</v>
      </c>
      <c r="J3131" s="12"/>
    </row>
    <row r="3132" spans="1:10" x14ac:dyDescent="0.25">
      <c r="E3132" s="4" t="s">
        <v>20</v>
      </c>
      <c r="G3132" s="8">
        <f>SUM(G3125:G3131)</f>
        <v>930.54</v>
      </c>
      <c r="H3132" s="8">
        <f>SUM(H3125:H3131)</f>
        <v>1066.22</v>
      </c>
      <c r="I3132" s="8">
        <f>G3132-H3132</f>
        <v>-135.68000000000006</v>
      </c>
    </row>
    <row r="3134" spans="1:10" x14ac:dyDescent="0.25">
      <c r="A3134" s="5">
        <v>4306195</v>
      </c>
      <c r="B3134" s="6" t="s">
        <v>4364</v>
      </c>
      <c r="C3134" s="7"/>
      <c r="D3134" s="7"/>
      <c r="E3134" s="7"/>
      <c r="F3134" s="7"/>
      <c r="G3134" s="7"/>
      <c r="H3134" s="7"/>
      <c r="I3134" s="7"/>
      <c r="J3134" s="7"/>
    </row>
    <row r="3135" spans="1:10" x14ac:dyDescent="0.25">
      <c r="E3135" s="4" t="s">
        <v>10</v>
      </c>
      <c r="G3135" s="8">
        <v>50.22</v>
      </c>
      <c r="H3135" s="8">
        <v>0</v>
      </c>
      <c r="I3135" s="8">
        <f>G3135-H3135</f>
        <v>50.22</v>
      </c>
    </row>
    <row r="3136" spans="1:10" x14ac:dyDescent="0.25">
      <c r="C3136" s="9"/>
      <c r="D3136" s="10">
        <v>45659</v>
      </c>
      <c r="E3136" t="s">
        <v>1524</v>
      </c>
      <c r="F3136" s="11" t="s">
        <v>4365</v>
      </c>
      <c r="G3136" s="8">
        <v>0</v>
      </c>
      <c r="H3136" s="8">
        <v>50.22</v>
      </c>
      <c r="I3136" s="8">
        <f t="shared" ref="I3136:I3145" si="159">G3136-H3136+I3135</f>
        <v>0</v>
      </c>
      <c r="J3136" s="12"/>
    </row>
    <row r="3137" spans="1:10" x14ac:dyDescent="0.25">
      <c r="C3137" s="9"/>
      <c r="D3137" s="10">
        <v>45702</v>
      </c>
      <c r="E3137" t="s">
        <v>4366</v>
      </c>
      <c r="F3137" s="11" t="s">
        <v>4367</v>
      </c>
      <c r="G3137" s="8">
        <v>92.9</v>
      </c>
      <c r="H3137" s="8">
        <v>0</v>
      </c>
      <c r="I3137" s="8">
        <f t="shared" si="159"/>
        <v>92.9</v>
      </c>
      <c r="J3137" s="12"/>
    </row>
    <row r="3138" spans="1:10" x14ac:dyDescent="0.25">
      <c r="C3138" s="9"/>
      <c r="D3138" s="10">
        <v>45705</v>
      </c>
      <c r="E3138" t="s">
        <v>1524</v>
      </c>
      <c r="F3138" s="11" t="s">
        <v>4367</v>
      </c>
      <c r="G3138" s="8">
        <v>0</v>
      </c>
      <c r="H3138" s="8">
        <v>92.9</v>
      </c>
      <c r="I3138" s="8">
        <f t="shared" si="159"/>
        <v>0</v>
      </c>
      <c r="J3138" s="12"/>
    </row>
    <row r="3139" spans="1:10" x14ac:dyDescent="0.25">
      <c r="C3139" s="9"/>
      <c r="D3139" s="10">
        <v>45716</v>
      </c>
      <c r="E3139" t="s">
        <v>4368</v>
      </c>
      <c r="F3139" s="11" t="s">
        <v>4369</v>
      </c>
      <c r="G3139" s="8">
        <v>92.87</v>
      </c>
      <c r="H3139" s="8">
        <v>0</v>
      </c>
      <c r="I3139" s="8">
        <f t="shared" si="159"/>
        <v>92.87</v>
      </c>
      <c r="J3139" s="12"/>
    </row>
    <row r="3140" spans="1:10" x14ac:dyDescent="0.25">
      <c r="C3140" s="9" t="s">
        <v>124</v>
      </c>
      <c r="D3140" s="10">
        <v>45719</v>
      </c>
      <c r="E3140" t="s">
        <v>4370</v>
      </c>
      <c r="F3140" s="11" t="s">
        <v>4369</v>
      </c>
      <c r="G3140" s="8">
        <v>0</v>
      </c>
      <c r="H3140" s="8">
        <v>92.87</v>
      </c>
      <c r="I3140" s="8">
        <f t="shared" si="159"/>
        <v>0</v>
      </c>
      <c r="J3140" s="12"/>
    </row>
    <row r="3141" spans="1:10" x14ac:dyDescent="0.25">
      <c r="C3141" s="9"/>
      <c r="D3141" s="10">
        <v>45730</v>
      </c>
      <c r="E3141" t="s">
        <v>4371</v>
      </c>
      <c r="F3141" s="11" t="s">
        <v>4372</v>
      </c>
      <c r="G3141" s="8">
        <v>46.68</v>
      </c>
      <c r="H3141" s="8">
        <v>0</v>
      </c>
      <c r="I3141" s="8">
        <f t="shared" si="159"/>
        <v>46.68</v>
      </c>
      <c r="J3141" s="12"/>
    </row>
    <row r="3142" spans="1:10" x14ac:dyDescent="0.25">
      <c r="C3142" s="9"/>
      <c r="D3142" s="10">
        <v>45733</v>
      </c>
      <c r="E3142" t="s">
        <v>1524</v>
      </c>
      <c r="F3142" s="11" t="s">
        <v>4372</v>
      </c>
      <c r="G3142" s="8">
        <v>0</v>
      </c>
      <c r="H3142" s="8">
        <v>46.68</v>
      </c>
      <c r="I3142" s="8">
        <f t="shared" si="159"/>
        <v>0</v>
      </c>
      <c r="J3142" s="12"/>
    </row>
    <row r="3143" spans="1:10" x14ac:dyDescent="0.25">
      <c r="C3143" s="9"/>
      <c r="D3143" s="10">
        <v>45747</v>
      </c>
      <c r="E3143" t="s">
        <v>4373</v>
      </c>
      <c r="F3143" s="11" t="s">
        <v>4374</v>
      </c>
      <c r="G3143" s="8">
        <v>134.88</v>
      </c>
      <c r="H3143" s="8">
        <v>0</v>
      </c>
      <c r="I3143" s="8">
        <f t="shared" si="159"/>
        <v>134.88</v>
      </c>
      <c r="J3143" s="12"/>
    </row>
    <row r="3144" spans="1:10" x14ac:dyDescent="0.25">
      <c r="C3144" s="9" t="s">
        <v>124</v>
      </c>
      <c r="D3144" s="10">
        <v>45748</v>
      </c>
      <c r="E3144" t="s">
        <v>4375</v>
      </c>
      <c r="F3144" s="11" t="s">
        <v>4374</v>
      </c>
      <c r="G3144" s="8">
        <v>0</v>
      </c>
      <c r="H3144" s="8">
        <v>134.88</v>
      </c>
      <c r="I3144" s="8">
        <f t="shared" si="159"/>
        <v>0</v>
      </c>
      <c r="J3144" s="12"/>
    </row>
    <row r="3145" spans="1:10" x14ac:dyDescent="0.25">
      <c r="C3145" s="9"/>
      <c r="D3145" s="10">
        <v>45762</v>
      </c>
      <c r="E3145" t="s">
        <v>4376</v>
      </c>
      <c r="F3145" s="11" t="s">
        <v>42</v>
      </c>
      <c r="G3145" s="8">
        <v>0</v>
      </c>
      <c r="H3145" s="8">
        <v>66.55</v>
      </c>
      <c r="I3145" s="8">
        <f t="shared" si="159"/>
        <v>-66.55</v>
      </c>
      <c r="J3145" s="12"/>
    </row>
    <row r="3146" spans="1:10" x14ac:dyDescent="0.25">
      <c r="E3146" s="4" t="s">
        <v>20</v>
      </c>
      <c r="G3146" s="8">
        <f>SUM(G3135:G3145)</f>
        <v>417.55</v>
      </c>
      <c r="H3146" s="8">
        <f>SUM(H3135:H3145)</f>
        <v>484.1</v>
      </c>
      <c r="I3146" s="8">
        <f>G3146-H3146</f>
        <v>-66.550000000000011</v>
      </c>
    </row>
    <row r="3148" spans="1:10" x14ac:dyDescent="0.25">
      <c r="A3148" s="5">
        <v>4306205</v>
      </c>
      <c r="B3148" s="6" t="s">
        <v>4377</v>
      </c>
      <c r="C3148" s="7"/>
      <c r="D3148" s="7"/>
      <c r="E3148" s="7"/>
      <c r="F3148" s="7"/>
      <c r="G3148" s="7"/>
      <c r="H3148" s="7"/>
      <c r="I3148" s="7"/>
      <c r="J3148" s="7"/>
    </row>
    <row r="3149" spans="1:10" x14ac:dyDescent="0.25">
      <c r="C3149" s="9"/>
      <c r="D3149" s="10">
        <v>45671</v>
      </c>
      <c r="E3149" t="s">
        <v>4378</v>
      </c>
      <c r="F3149" s="11" t="s">
        <v>4379</v>
      </c>
      <c r="G3149" s="8">
        <v>78.92</v>
      </c>
      <c r="H3149" s="8">
        <v>0</v>
      </c>
      <c r="I3149" s="8">
        <f>G3149-H3149</f>
        <v>78.92</v>
      </c>
      <c r="J3149" s="12"/>
    </row>
    <row r="3150" spans="1:10" x14ac:dyDescent="0.25">
      <c r="C3150" s="9"/>
      <c r="D3150" s="10">
        <v>45672</v>
      </c>
      <c r="E3150" t="s">
        <v>4380</v>
      </c>
      <c r="F3150" s="11" t="s">
        <v>42</v>
      </c>
      <c r="G3150" s="8">
        <v>0</v>
      </c>
      <c r="H3150" s="8">
        <v>78.92</v>
      </c>
      <c r="I3150" s="8">
        <f t="shared" ref="I3150:I3159" si="160">G3150-H3150+I3149</f>
        <v>0</v>
      </c>
      <c r="J3150" s="12"/>
    </row>
    <row r="3151" spans="1:10" x14ac:dyDescent="0.25">
      <c r="C3151" s="9"/>
      <c r="D3151" s="10">
        <v>45688</v>
      </c>
      <c r="E3151" t="s">
        <v>4381</v>
      </c>
      <c r="F3151" s="11" t="s">
        <v>4382</v>
      </c>
      <c r="G3151" s="8">
        <v>113.5</v>
      </c>
      <c r="H3151" s="8">
        <v>0</v>
      </c>
      <c r="I3151" s="8">
        <f t="shared" si="160"/>
        <v>113.5</v>
      </c>
      <c r="J3151" s="12"/>
    </row>
    <row r="3152" spans="1:10" x14ac:dyDescent="0.25">
      <c r="C3152" s="9"/>
      <c r="D3152" s="10">
        <v>45691</v>
      </c>
      <c r="E3152" t="s">
        <v>1524</v>
      </c>
      <c r="F3152" s="11" t="s">
        <v>4382</v>
      </c>
      <c r="G3152" s="8">
        <v>0</v>
      </c>
      <c r="H3152" s="8">
        <v>113.5</v>
      </c>
      <c r="I3152" s="8">
        <f t="shared" si="160"/>
        <v>0</v>
      </c>
      <c r="J3152" s="12"/>
    </row>
    <row r="3153" spans="1:10" x14ac:dyDescent="0.25">
      <c r="C3153" s="9"/>
      <c r="D3153" s="10">
        <v>45716</v>
      </c>
      <c r="E3153" t="s">
        <v>4383</v>
      </c>
      <c r="F3153" s="11" t="s">
        <v>4384</v>
      </c>
      <c r="G3153" s="8">
        <v>48.56</v>
      </c>
      <c r="H3153" s="8">
        <v>0</v>
      </c>
      <c r="I3153" s="8">
        <f t="shared" si="160"/>
        <v>48.56</v>
      </c>
      <c r="J3153" s="12"/>
    </row>
    <row r="3154" spans="1:10" x14ac:dyDescent="0.25">
      <c r="C3154" s="9" t="s">
        <v>124</v>
      </c>
      <c r="D3154" s="10">
        <v>45719</v>
      </c>
      <c r="E3154" t="s">
        <v>4385</v>
      </c>
      <c r="F3154" s="11" t="s">
        <v>4384</v>
      </c>
      <c r="G3154" s="8">
        <v>0</v>
      </c>
      <c r="H3154" s="8">
        <v>48.56</v>
      </c>
      <c r="I3154" s="8">
        <f t="shared" si="160"/>
        <v>0</v>
      </c>
      <c r="J3154" s="12"/>
    </row>
    <row r="3155" spans="1:10" x14ac:dyDescent="0.25">
      <c r="C3155" s="9"/>
      <c r="D3155" s="10">
        <v>45730</v>
      </c>
      <c r="E3155" t="s">
        <v>4386</v>
      </c>
      <c r="F3155" s="11" t="s">
        <v>4387</v>
      </c>
      <c r="G3155" s="8">
        <v>53.91</v>
      </c>
      <c r="H3155" s="8">
        <v>0</v>
      </c>
      <c r="I3155" s="8">
        <f t="shared" si="160"/>
        <v>53.91</v>
      </c>
      <c r="J3155" s="12"/>
    </row>
    <row r="3156" spans="1:10" x14ac:dyDescent="0.25">
      <c r="C3156" s="9"/>
      <c r="D3156" s="10">
        <v>45733</v>
      </c>
      <c r="E3156" t="s">
        <v>1524</v>
      </c>
      <c r="F3156" s="11" t="s">
        <v>4387</v>
      </c>
      <c r="G3156" s="8">
        <v>0</v>
      </c>
      <c r="H3156" s="8">
        <v>53.91</v>
      </c>
      <c r="I3156" s="8">
        <f t="shared" si="160"/>
        <v>0</v>
      </c>
      <c r="J3156" s="12"/>
    </row>
    <row r="3157" spans="1:10" x14ac:dyDescent="0.25">
      <c r="C3157" s="9"/>
      <c r="D3157" s="10">
        <v>45747</v>
      </c>
      <c r="E3157" t="s">
        <v>4388</v>
      </c>
      <c r="F3157" s="11" t="s">
        <v>4389</v>
      </c>
      <c r="G3157" s="8">
        <v>360.58</v>
      </c>
      <c r="H3157" s="8">
        <v>0</v>
      </c>
      <c r="I3157" s="8">
        <f t="shared" si="160"/>
        <v>360.58</v>
      </c>
      <c r="J3157" s="12"/>
    </row>
    <row r="3158" spans="1:10" x14ac:dyDescent="0.25">
      <c r="C3158" s="9" t="s">
        <v>124</v>
      </c>
      <c r="D3158" s="10">
        <v>45748</v>
      </c>
      <c r="E3158" t="s">
        <v>4390</v>
      </c>
      <c r="F3158" s="11" t="s">
        <v>4389</v>
      </c>
      <c r="G3158" s="8">
        <v>0</v>
      </c>
      <c r="H3158" s="8">
        <v>360.58</v>
      </c>
      <c r="I3158" s="8">
        <f t="shared" si="160"/>
        <v>0</v>
      </c>
      <c r="J3158" s="12"/>
    </row>
    <row r="3159" spans="1:10" x14ac:dyDescent="0.25">
      <c r="C3159" s="9"/>
      <c r="D3159" s="10">
        <v>45762</v>
      </c>
      <c r="E3159" t="s">
        <v>1524</v>
      </c>
      <c r="F3159" s="11" t="s">
        <v>4391</v>
      </c>
      <c r="G3159" s="8">
        <v>0</v>
      </c>
      <c r="H3159" s="8">
        <v>124.23</v>
      </c>
      <c r="I3159" s="8">
        <f t="shared" si="160"/>
        <v>-124.23</v>
      </c>
      <c r="J3159" s="12"/>
    </row>
    <row r="3160" spans="1:10" x14ac:dyDescent="0.25">
      <c r="E3160" s="4" t="s">
        <v>20</v>
      </c>
      <c r="G3160" s="8">
        <f>SUM(G3149:G3159)</f>
        <v>655.47</v>
      </c>
      <c r="H3160" s="8">
        <f>SUM(H3149:H3159)</f>
        <v>779.7</v>
      </c>
      <c r="I3160" s="8">
        <f>G3160-H3160</f>
        <v>-124.23000000000002</v>
      </c>
    </row>
    <row r="3162" spans="1:10" x14ac:dyDescent="0.25">
      <c r="A3162" s="5">
        <v>4306235</v>
      </c>
      <c r="B3162" s="6" t="s">
        <v>4392</v>
      </c>
      <c r="C3162" s="7"/>
      <c r="D3162" s="7"/>
      <c r="E3162" s="7"/>
      <c r="F3162" s="7"/>
      <c r="G3162" s="7"/>
      <c r="H3162" s="7"/>
      <c r="I3162" s="7"/>
      <c r="J3162" s="7"/>
    </row>
    <row r="3163" spans="1:10" x14ac:dyDescent="0.25">
      <c r="E3163" s="4" t="s">
        <v>10</v>
      </c>
      <c r="G3163" s="8">
        <v>100.91</v>
      </c>
      <c r="H3163" s="8">
        <v>0</v>
      </c>
      <c r="I3163" s="8">
        <f>G3163-H3163</f>
        <v>100.91</v>
      </c>
    </row>
    <row r="3164" spans="1:10" x14ac:dyDescent="0.25">
      <c r="E3164" s="4" t="s">
        <v>20</v>
      </c>
      <c r="G3164" s="8">
        <f>G3163</f>
        <v>100.91</v>
      </c>
      <c r="H3164" s="8">
        <f>H3163</f>
        <v>0</v>
      </c>
      <c r="I3164" s="8">
        <f>G3164-H3164</f>
        <v>100.91</v>
      </c>
    </row>
    <row r="3166" spans="1:10" x14ac:dyDescent="0.25">
      <c r="A3166" s="5">
        <v>4306240</v>
      </c>
      <c r="B3166" s="6" t="s">
        <v>4393</v>
      </c>
      <c r="C3166" s="7"/>
      <c r="D3166" s="7"/>
      <c r="E3166" s="7"/>
      <c r="F3166" s="7"/>
      <c r="G3166" s="7"/>
      <c r="H3166" s="7"/>
      <c r="I3166" s="7"/>
      <c r="J3166" s="7"/>
    </row>
    <row r="3167" spans="1:10" x14ac:dyDescent="0.25">
      <c r="E3167" s="4" t="s">
        <v>10</v>
      </c>
      <c r="G3167" s="8">
        <v>0</v>
      </c>
      <c r="H3167" s="8">
        <v>186.56</v>
      </c>
      <c r="I3167" s="8">
        <f>G3167-H3167</f>
        <v>-186.56</v>
      </c>
    </row>
    <row r="3168" spans="1:10" x14ac:dyDescent="0.25">
      <c r="E3168" s="4" t="s">
        <v>20</v>
      </c>
      <c r="G3168" s="8">
        <f>G3167</f>
        <v>0</v>
      </c>
      <c r="H3168" s="8">
        <f>H3167</f>
        <v>186.56</v>
      </c>
      <c r="I3168" s="8">
        <f>G3168-H3168</f>
        <v>-186.56</v>
      </c>
    </row>
    <row r="3170" spans="1:10" x14ac:dyDescent="0.25">
      <c r="A3170" s="5">
        <v>4306245</v>
      </c>
      <c r="B3170" s="6" t="s">
        <v>4394</v>
      </c>
      <c r="C3170" s="7"/>
      <c r="D3170" s="7"/>
      <c r="E3170" s="7"/>
      <c r="F3170" s="7"/>
      <c r="G3170" s="7"/>
      <c r="H3170" s="7"/>
      <c r="I3170" s="7"/>
      <c r="J3170" s="7"/>
    </row>
    <row r="3171" spans="1:10" x14ac:dyDescent="0.25">
      <c r="E3171" s="4" t="s">
        <v>10</v>
      </c>
      <c r="G3171" s="8">
        <v>152.08000000000001</v>
      </c>
      <c r="H3171" s="8">
        <v>0</v>
      </c>
      <c r="I3171" s="8">
        <f>G3171-H3171</f>
        <v>152.08000000000001</v>
      </c>
    </row>
    <row r="3172" spans="1:10" x14ac:dyDescent="0.25">
      <c r="C3172" s="9"/>
      <c r="D3172" s="10">
        <v>45659</v>
      </c>
      <c r="E3172" t="s">
        <v>4395</v>
      </c>
      <c r="F3172" s="11" t="s">
        <v>4396</v>
      </c>
      <c r="G3172" s="8">
        <v>0</v>
      </c>
      <c r="H3172" s="8">
        <v>82.96</v>
      </c>
      <c r="I3172" s="8">
        <f t="shared" ref="I3172:I3177" si="161">G3172-H3172+I3171</f>
        <v>69.120000000000019</v>
      </c>
      <c r="J3172" s="12"/>
    </row>
    <row r="3173" spans="1:10" x14ac:dyDescent="0.25">
      <c r="C3173" s="9"/>
      <c r="D3173" s="10">
        <v>45688</v>
      </c>
      <c r="E3173" t="s">
        <v>4397</v>
      </c>
      <c r="F3173" s="11" t="s">
        <v>4398</v>
      </c>
      <c r="G3173" s="8">
        <v>189.07</v>
      </c>
      <c r="H3173" s="8">
        <v>0</v>
      </c>
      <c r="I3173" s="8">
        <f t="shared" si="161"/>
        <v>258.19</v>
      </c>
      <c r="J3173" s="12"/>
    </row>
    <row r="3174" spans="1:10" x14ac:dyDescent="0.25">
      <c r="C3174" s="9"/>
      <c r="D3174" s="10">
        <v>45716</v>
      </c>
      <c r="E3174" t="s">
        <v>4399</v>
      </c>
      <c r="F3174" s="11" t="s">
        <v>4400</v>
      </c>
      <c r="G3174" s="8">
        <v>174.94</v>
      </c>
      <c r="H3174" s="8">
        <v>0</v>
      </c>
      <c r="I3174" s="8">
        <f t="shared" si="161"/>
        <v>433.13</v>
      </c>
      <c r="J3174" s="12"/>
    </row>
    <row r="3175" spans="1:10" x14ac:dyDescent="0.25">
      <c r="C3175" s="9"/>
      <c r="D3175" s="10">
        <v>45726</v>
      </c>
      <c r="E3175" t="s">
        <v>1524</v>
      </c>
      <c r="F3175" s="11" t="s">
        <v>4401</v>
      </c>
      <c r="G3175" s="8">
        <v>0</v>
      </c>
      <c r="H3175" s="8">
        <v>69.12</v>
      </c>
      <c r="I3175" s="8">
        <f t="shared" si="161"/>
        <v>364.01</v>
      </c>
      <c r="J3175" s="12"/>
    </row>
    <row r="3176" spans="1:10" x14ac:dyDescent="0.25">
      <c r="C3176" s="9"/>
      <c r="D3176" s="10">
        <v>45741</v>
      </c>
      <c r="E3176" t="s">
        <v>1524</v>
      </c>
      <c r="F3176" s="11" t="s">
        <v>4398</v>
      </c>
      <c r="G3176" s="8">
        <v>0</v>
      </c>
      <c r="H3176" s="8">
        <v>189.07</v>
      </c>
      <c r="I3176" s="8">
        <f t="shared" si="161"/>
        <v>174.94</v>
      </c>
      <c r="J3176" s="12"/>
    </row>
    <row r="3177" spans="1:10" x14ac:dyDescent="0.25">
      <c r="C3177" s="9"/>
      <c r="D3177" s="10">
        <v>45747</v>
      </c>
      <c r="E3177" t="s">
        <v>4402</v>
      </c>
      <c r="F3177" s="11" t="s">
        <v>4403</v>
      </c>
      <c r="G3177" s="8">
        <v>70.05</v>
      </c>
      <c r="H3177" s="8">
        <v>0</v>
      </c>
      <c r="I3177" s="8">
        <f t="shared" si="161"/>
        <v>244.99</v>
      </c>
      <c r="J3177" s="12"/>
    </row>
    <row r="3178" spans="1:10" x14ac:dyDescent="0.25">
      <c r="E3178" s="4" t="s">
        <v>20</v>
      </c>
      <c r="G3178" s="8">
        <f>SUM(G3171:G3177)</f>
        <v>586.13999999999987</v>
      </c>
      <c r="H3178" s="8">
        <f>SUM(H3171:H3177)</f>
        <v>341.15</v>
      </c>
      <c r="I3178" s="8">
        <f>G3178-H3178</f>
        <v>244.9899999999999</v>
      </c>
    </row>
    <row r="3180" spans="1:10" x14ac:dyDescent="0.25">
      <c r="A3180" s="5">
        <v>4306265</v>
      </c>
      <c r="B3180" s="6" t="s">
        <v>4404</v>
      </c>
      <c r="C3180" s="7"/>
      <c r="D3180" s="7"/>
      <c r="E3180" s="7"/>
      <c r="F3180" s="7"/>
      <c r="G3180" s="7"/>
      <c r="H3180" s="7"/>
      <c r="I3180" s="7"/>
      <c r="J3180" s="7"/>
    </row>
    <row r="3181" spans="1:10" x14ac:dyDescent="0.25">
      <c r="C3181" s="9"/>
      <c r="D3181" s="10">
        <v>45762</v>
      </c>
      <c r="E3181" t="s">
        <v>4405</v>
      </c>
      <c r="F3181" s="11" t="s">
        <v>42</v>
      </c>
      <c r="G3181" s="8">
        <v>0</v>
      </c>
      <c r="H3181" s="8">
        <v>66.709999999999994</v>
      </c>
      <c r="I3181" s="8">
        <f>G3181-H3181</f>
        <v>-66.709999999999994</v>
      </c>
      <c r="J3181" s="12"/>
    </row>
    <row r="3182" spans="1:10" x14ac:dyDescent="0.25">
      <c r="E3182" s="4" t="s">
        <v>20</v>
      </c>
      <c r="G3182" s="8">
        <f>G3181</f>
        <v>0</v>
      </c>
      <c r="H3182" s="8">
        <f>H3181</f>
        <v>66.709999999999994</v>
      </c>
      <c r="I3182" s="8">
        <f>G3182-H3182</f>
        <v>-66.709999999999994</v>
      </c>
    </row>
    <row r="3184" spans="1:10" x14ac:dyDescent="0.25">
      <c r="A3184" s="5">
        <v>4306270</v>
      </c>
      <c r="B3184" s="6" t="s">
        <v>4406</v>
      </c>
      <c r="C3184" s="7"/>
      <c r="D3184" s="7"/>
      <c r="E3184" s="7"/>
      <c r="F3184" s="7"/>
      <c r="G3184" s="7"/>
      <c r="H3184" s="7"/>
      <c r="I3184" s="7"/>
      <c r="J3184" s="7"/>
    </row>
    <row r="3185" spans="1:10" x14ac:dyDescent="0.25">
      <c r="E3185" s="4" t="s">
        <v>10</v>
      </c>
      <c r="G3185" s="8">
        <v>0</v>
      </c>
      <c r="H3185" s="8">
        <v>289.52</v>
      </c>
      <c r="I3185" s="8">
        <f>G3185-H3185</f>
        <v>-289.52</v>
      </c>
    </row>
    <row r="3186" spans="1:10" x14ac:dyDescent="0.25">
      <c r="E3186" s="4" t="s">
        <v>20</v>
      </c>
      <c r="G3186" s="8">
        <f>G3185</f>
        <v>0</v>
      </c>
      <c r="H3186" s="8">
        <f>H3185</f>
        <v>289.52</v>
      </c>
      <c r="I3186" s="8">
        <f>G3186-H3186</f>
        <v>-289.52</v>
      </c>
    </row>
    <row r="3188" spans="1:10" x14ac:dyDescent="0.25">
      <c r="A3188" s="5">
        <v>4306271</v>
      </c>
      <c r="B3188" s="6" t="s">
        <v>4407</v>
      </c>
      <c r="C3188" s="7"/>
      <c r="D3188" s="7"/>
      <c r="E3188" s="7"/>
      <c r="F3188" s="7"/>
      <c r="G3188" s="7"/>
      <c r="H3188" s="7"/>
      <c r="I3188" s="7"/>
      <c r="J3188" s="7"/>
    </row>
    <row r="3189" spans="1:10" x14ac:dyDescent="0.25">
      <c r="E3189" s="4" t="s">
        <v>10</v>
      </c>
      <c r="G3189" s="8">
        <v>393.14</v>
      </c>
      <c r="H3189" s="8">
        <v>0</v>
      </c>
      <c r="I3189" s="8">
        <f>G3189-H3189</f>
        <v>393.14</v>
      </c>
    </row>
    <row r="3190" spans="1:10" x14ac:dyDescent="0.25">
      <c r="C3190" s="9"/>
      <c r="D3190" s="10">
        <v>45659</v>
      </c>
      <c r="E3190" t="s">
        <v>4408</v>
      </c>
      <c r="F3190" s="11" t="s">
        <v>42</v>
      </c>
      <c r="G3190" s="8">
        <v>0</v>
      </c>
      <c r="H3190" s="8">
        <v>103.62</v>
      </c>
      <c r="I3190" s="8">
        <f t="shared" ref="I3190:I3199" si="162">G3190-H3190+I3189</f>
        <v>289.52</v>
      </c>
      <c r="J3190" s="12"/>
    </row>
    <row r="3191" spans="1:10" x14ac:dyDescent="0.25">
      <c r="C3191" s="9"/>
      <c r="D3191" s="10">
        <v>45688</v>
      </c>
      <c r="E3191" t="s">
        <v>4409</v>
      </c>
      <c r="F3191" s="11" t="s">
        <v>4410</v>
      </c>
      <c r="G3191" s="8">
        <v>76.67</v>
      </c>
      <c r="H3191" s="8">
        <v>0</v>
      </c>
      <c r="I3191" s="8">
        <f t="shared" si="162"/>
        <v>366.19</v>
      </c>
      <c r="J3191" s="12"/>
    </row>
    <row r="3192" spans="1:10" x14ac:dyDescent="0.25">
      <c r="C3192" s="9"/>
      <c r="D3192" s="10">
        <v>45691</v>
      </c>
      <c r="E3192" t="s">
        <v>4411</v>
      </c>
      <c r="F3192" s="11" t="s">
        <v>42</v>
      </c>
      <c r="G3192" s="8">
        <v>0</v>
      </c>
      <c r="H3192" s="8">
        <v>76.67</v>
      </c>
      <c r="I3192" s="8">
        <f t="shared" si="162"/>
        <v>289.52</v>
      </c>
      <c r="J3192" s="12"/>
    </row>
    <row r="3193" spans="1:10" x14ac:dyDescent="0.25">
      <c r="C3193" s="9"/>
      <c r="D3193" s="10">
        <v>45702</v>
      </c>
      <c r="E3193" t="s">
        <v>4412</v>
      </c>
      <c r="F3193" s="11" t="s">
        <v>4413</v>
      </c>
      <c r="G3193" s="8">
        <v>527.91</v>
      </c>
      <c r="H3193" s="8">
        <v>0</v>
      </c>
      <c r="I3193" s="8">
        <f t="shared" si="162"/>
        <v>817.43</v>
      </c>
      <c r="J3193" s="12"/>
    </row>
    <row r="3194" spans="1:10" x14ac:dyDescent="0.25">
      <c r="C3194" s="9"/>
      <c r="D3194" s="10">
        <v>45705</v>
      </c>
      <c r="E3194" t="s">
        <v>1524</v>
      </c>
      <c r="F3194" s="11" t="s">
        <v>4414</v>
      </c>
      <c r="G3194" s="8">
        <v>0</v>
      </c>
      <c r="H3194" s="8">
        <v>527.91</v>
      </c>
      <c r="I3194" s="8">
        <f t="shared" si="162"/>
        <v>289.52</v>
      </c>
      <c r="J3194" s="12"/>
    </row>
    <row r="3195" spans="1:10" x14ac:dyDescent="0.25">
      <c r="C3195" s="9"/>
      <c r="D3195" s="10">
        <v>45730</v>
      </c>
      <c r="E3195" t="s">
        <v>4415</v>
      </c>
      <c r="F3195" s="11" t="s">
        <v>4416</v>
      </c>
      <c r="G3195" s="8">
        <v>31.29</v>
      </c>
      <c r="H3195" s="8">
        <v>0</v>
      </c>
      <c r="I3195" s="8">
        <f t="shared" si="162"/>
        <v>320.81</v>
      </c>
      <c r="J3195" s="12"/>
    </row>
    <row r="3196" spans="1:10" x14ac:dyDescent="0.25">
      <c r="C3196" s="9"/>
      <c r="D3196" s="10">
        <v>45733</v>
      </c>
      <c r="E3196" t="s">
        <v>1524</v>
      </c>
      <c r="F3196" s="11" t="s">
        <v>4417</v>
      </c>
      <c r="G3196" s="8">
        <v>0</v>
      </c>
      <c r="H3196" s="8">
        <v>31.29</v>
      </c>
      <c r="I3196" s="8">
        <f t="shared" si="162"/>
        <v>289.52</v>
      </c>
      <c r="J3196" s="12"/>
    </row>
    <row r="3197" spans="1:10" x14ac:dyDescent="0.25">
      <c r="C3197" s="9"/>
      <c r="D3197" s="10">
        <v>45747</v>
      </c>
      <c r="E3197" t="s">
        <v>4418</v>
      </c>
      <c r="F3197" s="11" t="s">
        <v>4419</v>
      </c>
      <c r="G3197" s="8">
        <v>433.22</v>
      </c>
      <c r="H3197" s="8">
        <v>0</v>
      </c>
      <c r="I3197" s="8">
        <f t="shared" si="162"/>
        <v>722.74</v>
      </c>
      <c r="J3197" s="12"/>
    </row>
    <row r="3198" spans="1:10" x14ac:dyDescent="0.25">
      <c r="C3198" s="9" t="s">
        <v>124</v>
      </c>
      <c r="D3198" s="10">
        <v>45748</v>
      </c>
      <c r="E3198" t="s">
        <v>4411</v>
      </c>
      <c r="F3198" s="11" t="s">
        <v>42</v>
      </c>
      <c r="G3198" s="8">
        <v>0</v>
      </c>
      <c r="H3198" s="8">
        <v>433.22</v>
      </c>
      <c r="I3198" s="8">
        <f t="shared" si="162"/>
        <v>289.52</v>
      </c>
      <c r="J3198" s="12"/>
    </row>
    <row r="3199" spans="1:10" x14ac:dyDescent="0.25">
      <c r="C3199" s="9"/>
      <c r="D3199" s="10">
        <v>45762</v>
      </c>
      <c r="E3199" t="s">
        <v>4411</v>
      </c>
      <c r="F3199" s="11" t="s">
        <v>42</v>
      </c>
      <c r="G3199" s="8">
        <v>0</v>
      </c>
      <c r="H3199" s="8">
        <v>422.85</v>
      </c>
      <c r="I3199" s="8">
        <f t="shared" si="162"/>
        <v>-133.33000000000004</v>
      </c>
      <c r="J3199" s="12"/>
    </row>
    <row r="3200" spans="1:10" x14ac:dyDescent="0.25">
      <c r="E3200" s="4" t="s">
        <v>20</v>
      </c>
      <c r="G3200" s="8">
        <f>SUM(G3189:G3199)</f>
        <v>1462.23</v>
      </c>
      <c r="H3200" s="8">
        <f>SUM(H3189:H3199)</f>
        <v>1595.56</v>
      </c>
      <c r="I3200" s="8">
        <f>G3200-H3200</f>
        <v>-133.32999999999993</v>
      </c>
    </row>
    <row r="3202" spans="1:10" x14ac:dyDescent="0.25">
      <c r="A3202" s="5">
        <v>4306290</v>
      </c>
      <c r="B3202" s="6" t="s">
        <v>4420</v>
      </c>
      <c r="C3202" s="7"/>
      <c r="D3202" s="7"/>
      <c r="E3202" s="7"/>
      <c r="F3202" s="7"/>
      <c r="G3202" s="7"/>
      <c r="H3202" s="7"/>
      <c r="I3202" s="7"/>
      <c r="J3202" s="7"/>
    </row>
    <row r="3203" spans="1:10" x14ac:dyDescent="0.25">
      <c r="E3203" s="4" t="s">
        <v>10</v>
      </c>
      <c r="G3203" s="8">
        <v>354.49</v>
      </c>
      <c r="H3203" s="8">
        <v>0</v>
      </c>
      <c r="I3203" s="8">
        <f>G3203-H3203</f>
        <v>354.49</v>
      </c>
    </row>
    <row r="3204" spans="1:10" x14ac:dyDescent="0.25">
      <c r="C3204" s="9"/>
      <c r="D3204" s="10">
        <v>45665</v>
      </c>
      <c r="E3204" t="s">
        <v>4421</v>
      </c>
      <c r="F3204" s="11" t="s">
        <v>42</v>
      </c>
      <c r="G3204" s="8">
        <v>0</v>
      </c>
      <c r="H3204" s="8">
        <v>280.55</v>
      </c>
      <c r="I3204" s="8">
        <f t="shared" ref="I3204:I3212" si="163">G3204-H3204+I3203</f>
        <v>73.94</v>
      </c>
      <c r="J3204" s="12"/>
    </row>
    <row r="3205" spans="1:10" x14ac:dyDescent="0.25">
      <c r="C3205" s="9"/>
      <c r="D3205" s="10">
        <v>45671</v>
      </c>
      <c r="E3205" t="s">
        <v>4422</v>
      </c>
      <c r="F3205" s="11" t="s">
        <v>4423</v>
      </c>
      <c r="G3205" s="8">
        <v>46.49</v>
      </c>
      <c r="H3205" s="8">
        <v>0</v>
      </c>
      <c r="I3205" s="8">
        <f t="shared" si="163"/>
        <v>120.43</v>
      </c>
      <c r="J3205" s="12"/>
    </row>
    <row r="3206" spans="1:10" x14ac:dyDescent="0.25">
      <c r="C3206" s="9"/>
      <c r="D3206" s="10">
        <v>45677</v>
      </c>
      <c r="E3206" t="s">
        <v>4421</v>
      </c>
      <c r="F3206" s="11" t="s">
        <v>42</v>
      </c>
      <c r="G3206" s="8">
        <v>0</v>
      </c>
      <c r="H3206" s="8">
        <v>45.91</v>
      </c>
      <c r="I3206" s="8">
        <f t="shared" si="163"/>
        <v>74.52000000000001</v>
      </c>
      <c r="J3206" s="12"/>
    </row>
    <row r="3207" spans="1:10" x14ac:dyDescent="0.25">
      <c r="C3207" s="9"/>
      <c r="D3207" s="10">
        <v>45688</v>
      </c>
      <c r="E3207" t="s">
        <v>4424</v>
      </c>
      <c r="F3207" s="11" t="s">
        <v>4425</v>
      </c>
      <c r="G3207" s="8">
        <v>194.48</v>
      </c>
      <c r="H3207" s="8">
        <v>0</v>
      </c>
      <c r="I3207" s="8">
        <f t="shared" si="163"/>
        <v>269</v>
      </c>
      <c r="J3207" s="12"/>
    </row>
    <row r="3208" spans="1:10" x14ac:dyDescent="0.25">
      <c r="C3208" s="9"/>
      <c r="D3208" s="10">
        <v>45699</v>
      </c>
      <c r="E3208" t="s">
        <v>4421</v>
      </c>
      <c r="F3208" s="11" t="s">
        <v>42</v>
      </c>
      <c r="G3208" s="8">
        <v>0</v>
      </c>
      <c r="H3208" s="8">
        <v>192.37</v>
      </c>
      <c r="I3208" s="8">
        <f t="shared" si="163"/>
        <v>76.63</v>
      </c>
      <c r="J3208" s="12"/>
    </row>
    <row r="3209" spans="1:10" x14ac:dyDescent="0.25">
      <c r="C3209" s="9"/>
      <c r="D3209" s="10">
        <v>45721</v>
      </c>
      <c r="E3209" t="s">
        <v>4426</v>
      </c>
      <c r="F3209" s="11" t="s">
        <v>42</v>
      </c>
      <c r="G3209" s="8">
        <v>0</v>
      </c>
      <c r="H3209" s="8">
        <v>60.26</v>
      </c>
      <c r="I3209" s="8">
        <f t="shared" si="163"/>
        <v>16.369999999999997</v>
      </c>
      <c r="J3209" s="12"/>
    </row>
    <row r="3210" spans="1:10" x14ac:dyDescent="0.25">
      <c r="C3210" s="9"/>
      <c r="D3210" s="10">
        <v>45730</v>
      </c>
      <c r="E3210" t="s">
        <v>4427</v>
      </c>
      <c r="F3210" s="11" t="s">
        <v>4428</v>
      </c>
      <c r="G3210" s="8">
        <v>30.73</v>
      </c>
      <c r="H3210" s="8">
        <v>0</v>
      </c>
      <c r="I3210" s="8">
        <f t="shared" si="163"/>
        <v>47.099999999999994</v>
      </c>
      <c r="J3210" s="12"/>
    </row>
    <row r="3211" spans="1:10" x14ac:dyDescent="0.25">
      <c r="C3211" s="9"/>
      <c r="D3211" s="10">
        <v>45741</v>
      </c>
      <c r="E3211" t="s">
        <v>4421</v>
      </c>
      <c r="F3211" s="11" t="s">
        <v>42</v>
      </c>
      <c r="G3211" s="8">
        <v>0</v>
      </c>
      <c r="H3211" s="8">
        <v>30.38</v>
      </c>
      <c r="I3211" s="8">
        <f t="shared" si="163"/>
        <v>16.719999999999995</v>
      </c>
      <c r="J3211" s="12"/>
    </row>
    <row r="3212" spans="1:10" x14ac:dyDescent="0.25">
      <c r="C3212" s="9"/>
      <c r="D3212" s="10">
        <v>45747</v>
      </c>
      <c r="E3212" t="s">
        <v>4429</v>
      </c>
      <c r="F3212" s="11" t="s">
        <v>4430</v>
      </c>
      <c r="G3212" s="8">
        <v>298.99</v>
      </c>
      <c r="H3212" s="8">
        <v>0</v>
      </c>
      <c r="I3212" s="8">
        <f t="shared" si="163"/>
        <v>315.70999999999998</v>
      </c>
      <c r="J3212" s="12"/>
    </row>
    <row r="3213" spans="1:10" x14ac:dyDescent="0.25">
      <c r="E3213" s="4" t="s">
        <v>20</v>
      </c>
      <c r="G3213" s="8">
        <f>SUM(G3203:G3212)</f>
        <v>925.18000000000006</v>
      </c>
      <c r="H3213" s="8">
        <f>SUM(H3203:H3212)</f>
        <v>609.47</v>
      </c>
      <c r="I3213" s="8">
        <f>G3213-H3213</f>
        <v>315.71000000000004</v>
      </c>
    </row>
    <row r="3215" spans="1:10" x14ac:dyDescent="0.25">
      <c r="A3215" s="5">
        <v>4306295</v>
      </c>
      <c r="B3215" s="6" t="s">
        <v>4431</v>
      </c>
      <c r="C3215" s="7"/>
      <c r="D3215" s="7"/>
      <c r="E3215" s="7"/>
      <c r="F3215" s="7"/>
      <c r="G3215" s="7"/>
      <c r="H3215" s="7"/>
      <c r="I3215" s="7"/>
      <c r="J3215" s="7"/>
    </row>
    <row r="3216" spans="1:10" x14ac:dyDescent="0.25">
      <c r="E3216" s="4" t="s">
        <v>10</v>
      </c>
      <c r="G3216" s="8">
        <v>767.88</v>
      </c>
      <c r="H3216" s="8">
        <v>0</v>
      </c>
      <c r="I3216" s="8">
        <f>G3216-H3216</f>
        <v>767.88</v>
      </c>
    </row>
    <row r="3217" spans="1:10" x14ac:dyDescent="0.25">
      <c r="E3217" s="4" t="s">
        <v>20</v>
      </c>
      <c r="G3217" s="8">
        <f>G3216</f>
        <v>767.88</v>
      </c>
      <c r="H3217" s="8">
        <f>H3216</f>
        <v>0</v>
      </c>
      <c r="I3217" s="8">
        <f>G3217-H3217</f>
        <v>767.88</v>
      </c>
    </row>
    <row r="3219" spans="1:10" x14ac:dyDescent="0.25">
      <c r="A3219" s="5">
        <v>4306305</v>
      </c>
      <c r="B3219" s="6" t="s">
        <v>4432</v>
      </c>
      <c r="C3219" s="7"/>
      <c r="D3219" s="7"/>
      <c r="E3219" s="7"/>
      <c r="F3219" s="7"/>
      <c r="G3219" s="7"/>
      <c r="H3219" s="7"/>
      <c r="I3219" s="7"/>
      <c r="J3219" s="7"/>
    </row>
    <row r="3220" spans="1:10" x14ac:dyDescent="0.25">
      <c r="E3220" s="4" t="s">
        <v>10</v>
      </c>
      <c r="G3220" s="8">
        <v>132.74</v>
      </c>
      <c r="H3220" s="8">
        <v>0</v>
      </c>
      <c r="I3220" s="8">
        <f>G3220-H3220</f>
        <v>132.74</v>
      </c>
    </row>
    <row r="3221" spans="1:10" x14ac:dyDescent="0.25">
      <c r="C3221" s="9"/>
      <c r="D3221" s="10">
        <v>45659</v>
      </c>
      <c r="E3221" t="s">
        <v>1524</v>
      </c>
      <c r="F3221" s="11" t="s">
        <v>4433</v>
      </c>
      <c r="G3221" s="8">
        <v>0</v>
      </c>
      <c r="H3221" s="8">
        <v>132.74</v>
      </c>
      <c r="I3221" s="8">
        <f t="shared" ref="I3221:I3232" si="164">G3221-H3221+I3220</f>
        <v>0</v>
      </c>
      <c r="J3221" s="12"/>
    </row>
    <row r="3222" spans="1:10" x14ac:dyDescent="0.25">
      <c r="C3222" s="9"/>
      <c r="D3222" s="10">
        <v>45671</v>
      </c>
      <c r="E3222" t="s">
        <v>4434</v>
      </c>
      <c r="F3222" s="11" t="s">
        <v>4435</v>
      </c>
      <c r="G3222" s="8">
        <v>30.01</v>
      </c>
      <c r="H3222" s="8">
        <v>0</v>
      </c>
      <c r="I3222" s="8">
        <f t="shared" si="164"/>
        <v>30.01</v>
      </c>
      <c r="J3222" s="12"/>
    </row>
    <row r="3223" spans="1:10" x14ac:dyDescent="0.25">
      <c r="C3223" s="9"/>
      <c r="D3223" s="10">
        <v>45672</v>
      </c>
      <c r="E3223" t="s">
        <v>1524</v>
      </c>
      <c r="F3223" s="11" t="s">
        <v>4435</v>
      </c>
      <c r="G3223" s="8">
        <v>0</v>
      </c>
      <c r="H3223" s="8">
        <v>30.01</v>
      </c>
      <c r="I3223" s="8">
        <f t="shared" si="164"/>
        <v>0</v>
      </c>
      <c r="J3223" s="12"/>
    </row>
    <row r="3224" spans="1:10" x14ac:dyDescent="0.25">
      <c r="C3224" s="9"/>
      <c r="D3224" s="10">
        <v>45688</v>
      </c>
      <c r="E3224" t="s">
        <v>4436</v>
      </c>
      <c r="F3224" s="11" t="s">
        <v>4437</v>
      </c>
      <c r="G3224" s="8">
        <v>922.42</v>
      </c>
      <c r="H3224" s="8">
        <v>0</v>
      </c>
      <c r="I3224" s="8">
        <f t="shared" si="164"/>
        <v>922.42</v>
      </c>
      <c r="J3224" s="12"/>
    </row>
    <row r="3225" spans="1:10" x14ac:dyDescent="0.25">
      <c r="C3225" s="9"/>
      <c r="D3225" s="10">
        <v>45691</v>
      </c>
      <c r="E3225" t="s">
        <v>1524</v>
      </c>
      <c r="F3225" s="11" t="s">
        <v>4437</v>
      </c>
      <c r="G3225" s="8">
        <v>0</v>
      </c>
      <c r="H3225" s="8">
        <v>922.42</v>
      </c>
      <c r="I3225" s="8">
        <f t="shared" si="164"/>
        <v>0</v>
      </c>
      <c r="J3225" s="12"/>
    </row>
    <row r="3226" spans="1:10" x14ac:dyDescent="0.25">
      <c r="C3226" s="9"/>
      <c r="D3226" s="10">
        <v>45702</v>
      </c>
      <c r="E3226" t="s">
        <v>4438</v>
      </c>
      <c r="F3226" s="11" t="s">
        <v>4439</v>
      </c>
      <c r="G3226" s="8">
        <v>1000.25</v>
      </c>
      <c r="H3226" s="8">
        <v>0</v>
      </c>
      <c r="I3226" s="8">
        <f t="shared" si="164"/>
        <v>1000.25</v>
      </c>
      <c r="J3226" s="12"/>
    </row>
    <row r="3227" spans="1:10" x14ac:dyDescent="0.25">
      <c r="C3227" s="9"/>
      <c r="D3227" s="10">
        <v>45705</v>
      </c>
      <c r="E3227" t="s">
        <v>1524</v>
      </c>
      <c r="F3227" s="11" t="s">
        <v>4439</v>
      </c>
      <c r="G3227" s="8">
        <v>0</v>
      </c>
      <c r="H3227" s="8">
        <v>1000.25</v>
      </c>
      <c r="I3227" s="8">
        <f t="shared" si="164"/>
        <v>0</v>
      </c>
      <c r="J3227" s="12"/>
    </row>
    <row r="3228" spans="1:10" x14ac:dyDescent="0.25">
      <c r="C3228" s="9"/>
      <c r="D3228" s="10">
        <v>45716</v>
      </c>
      <c r="E3228" t="s">
        <v>4440</v>
      </c>
      <c r="F3228" s="11" t="s">
        <v>4441</v>
      </c>
      <c r="G3228" s="8">
        <v>115.74</v>
      </c>
      <c r="H3228" s="8">
        <v>0</v>
      </c>
      <c r="I3228" s="8">
        <f t="shared" si="164"/>
        <v>115.74</v>
      </c>
      <c r="J3228" s="12"/>
    </row>
    <row r="3229" spans="1:10" x14ac:dyDescent="0.25">
      <c r="C3229" s="9" t="s">
        <v>124</v>
      </c>
      <c r="D3229" s="10">
        <v>45719</v>
      </c>
      <c r="E3229" t="s">
        <v>4442</v>
      </c>
      <c r="F3229" s="11" t="s">
        <v>4441</v>
      </c>
      <c r="G3229" s="8">
        <v>0</v>
      </c>
      <c r="H3229" s="8">
        <v>115.74</v>
      </c>
      <c r="I3229" s="8">
        <f t="shared" si="164"/>
        <v>0</v>
      </c>
      <c r="J3229" s="12"/>
    </row>
    <row r="3230" spans="1:10" x14ac:dyDescent="0.25">
      <c r="C3230" s="9"/>
      <c r="D3230" s="10">
        <v>45730</v>
      </c>
      <c r="E3230" t="s">
        <v>4443</v>
      </c>
      <c r="F3230" s="11" t="s">
        <v>4444</v>
      </c>
      <c r="G3230" s="8">
        <v>1820.08</v>
      </c>
      <c r="H3230" s="8">
        <v>0</v>
      </c>
      <c r="I3230" s="8">
        <f t="shared" si="164"/>
        <v>1820.08</v>
      </c>
      <c r="J3230" s="12"/>
    </row>
    <row r="3231" spans="1:10" x14ac:dyDescent="0.25">
      <c r="C3231" s="9"/>
      <c r="D3231" s="10">
        <v>45733</v>
      </c>
      <c r="E3231" t="s">
        <v>1524</v>
      </c>
      <c r="F3231" s="11" t="s">
        <v>4444</v>
      </c>
      <c r="G3231" s="8">
        <v>0</v>
      </c>
      <c r="H3231" s="8">
        <v>1820.08</v>
      </c>
      <c r="I3231" s="8">
        <f t="shared" si="164"/>
        <v>0</v>
      </c>
      <c r="J3231" s="12"/>
    </row>
    <row r="3232" spans="1:10" x14ac:dyDescent="0.25">
      <c r="C3232" s="9"/>
      <c r="D3232" s="10">
        <v>45762</v>
      </c>
      <c r="E3232" t="s">
        <v>4445</v>
      </c>
      <c r="F3232" s="11" t="s">
        <v>4437</v>
      </c>
      <c r="G3232" s="8">
        <v>0</v>
      </c>
      <c r="H3232" s="8">
        <v>231.39</v>
      </c>
      <c r="I3232" s="8">
        <f t="shared" si="164"/>
        <v>-231.39</v>
      </c>
      <c r="J3232" s="12"/>
    </row>
    <row r="3233" spans="1:10" x14ac:dyDescent="0.25">
      <c r="E3233" s="4" t="s">
        <v>20</v>
      </c>
      <c r="G3233" s="8">
        <f>SUM(G3220:G3232)</f>
        <v>4021.24</v>
      </c>
      <c r="H3233" s="8">
        <f>SUM(H3220:H3232)</f>
        <v>4252.63</v>
      </c>
      <c r="I3233" s="8">
        <f>G3233-H3233</f>
        <v>-231.39000000000033</v>
      </c>
    </row>
    <row r="3235" spans="1:10" x14ac:dyDescent="0.25">
      <c r="A3235" s="5">
        <v>4306310</v>
      </c>
      <c r="B3235" s="6" t="s">
        <v>4446</v>
      </c>
      <c r="C3235" s="7"/>
      <c r="D3235" s="7"/>
      <c r="E3235" s="7"/>
      <c r="F3235" s="7"/>
      <c r="G3235" s="7"/>
      <c r="H3235" s="7"/>
      <c r="I3235" s="7"/>
      <c r="J3235" s="7"/>
    </row>
    <row r="3236" spans="1:10" x14ac:dyDescent="0.25">
      <c r="E3236" s="4" t="s">
        <v>10</v>
      </c>
      <c r="G3236" s="8">
        <v>1272.83</v>
      </c>
      <c r="H3236" s="8">
        <v>0</v>
      </c>
      <c r="I3236" s="8">
        <f>G3236-H3236</f>
        <v>1272.83</v>
      </c>
    </row>
    <row r="3237" spans="1:10" x14ac:dyDescent="0.25">
      <c r="C3237" s="9"/>
      <c r="D3237" s="10">
        <v>45671</v>
      </c>
      <c r="E3237" t="s">
        <v>4447</v>
      </c>
      <c r="F3237" s="11" t="s">
        <v>4448</v>
      </c>
      <c r="G3237" s="8">
        <v>882.76</v>
      </c>
      <c r="H3237" s="8">
        <v>0</v>
      </c>
      <c r="I3237" s="8">
        <f t="shared" ref="I3237:I3246" si="165">G3237-H3237+I3236</f>
        <v>2155.59</v>
      </c>
      <c r="J3237" s="12"/>
    </row>
    <row r="3238" spans="1:10" x14ac:dyDescent="0.25">
      <c r="C3238" s="9"/>
      <c r="D3238" s="10">
        <v>45686</v>
      </c>
      <c r="E3238" t="s">
        <v>4449</v>
      </c>
      <c r="F3238" s="11" t="s">
        <v>42</v>
      </c>
      <c r="G3238" s="8">
        <v>0</v>
      </c>
      <c r="H3238" s="8">
        <v>1149.79</v>
      </c>
      <c r="I3238" s="8">
        <f t="shared" si="165"/>
        <v>1005.8000000000002</v>
      </c>
      <c r="J3238" s="12"/>
    </row>
    <row r="3239" spans="1:10" x14ac:dyDescent="0.25">
      <c r="C3239" s="9"/>
      <c r="D3239" s="10">
        <v>45688</v>
      </c>
      <c r="E3239" t="s">
        <v>4450</v>
      </c>
      <c r="F3239" s="11" t="s">
        <v>4451</v>
      </c>
      <c r="G3239" s="8">
        <v>2203.17</v>
      </c>
      <c r="H3239" s="8">
        <v>0</v>
      </c>
      <c r="I3239" s="8">
        <f t="shared" si="165"/>
        <v>3208.9700000000003</v>
      </c>
      <c r="J3239" s="12"/>
    </row>
    <row r="3240" spans="1:10" x14ac:dyDescent="0.25">
      <c r="C3240" s="9"/>
      <c r="D3240" s="10">
        <v>45699</v>
      </c>
      <c r="E3240" t="s">
        <v>4449</v>
      </c>
      <c r="F3240" s="11" t="s">
        <v>42</v>
      </c>
      <c r="G3240" s="8">
        <v>0</v>
      </c>
      <c r="H3240" s="8">
        <v>875.81</v>
      </c>
      <c r="I3240" s="8">
        <f t="shared" si="165"/>
        <v>2333.1600000000003</v>
      </c>
      <c r="J3240" s="12"/>
    </row>
    <row r="3241" spans="1:10" x14ac:dyDescent="0.25">
      <c r="C3241" s="9"/>
      <c r="D3241" s="10">
        <v>45702</v>
      </c>
      <c r="E3241" t="s">
        <v>4452</v>
      </c>
      <c r="F3241" s="11" t="s">
        <v>4453</v>
      </c>
      <c r="G3241" s="8">
        <v>114.72</v>
      </c>
      <c r="H3241" s="8">
        <v>0</v>
      </c>
      <c r="I3241" s="8">
        <f t="shared" si="165"/>
        <v>2447.88</v>
      </c>
      <c r="J3241" s="12"/>
    </row>
    <row r="3242" spans="1:10" x14ac:dyDescent="0.25">
      <c r="C3242" s="9"/>
      <c r="D3242" s="10">
        <v>45708</v>
      </c>
      <c r="E3242" t="s">
        <v>4449</v>
      </c>
      <c r="F3242" s="11" t="s">
        <v>42</v>
      </c>
      <c r="G3242" s="8">
        <v>0</v>
      </c>
      <c r="H3242" s="8">
        <v>2177.7600000000002</v>
      </c>
      <c r="I3242" s="8">
        <f t="shared" si="165"/>
        <v>270.11999999999989</v>
      </c>
      <c r="J3242" s="12"/>
    </row>
    <row r="3243" spans="1:10" x14ac:dyDescent="0.25">
      <c r="C3243" s="9"/>
      <c r="D3243" s="10">
        <v>45716</v>
      </c>
      <c r="E3243" t="s">
        <v>4454</v>
      </c>
      <c r="F3243" s="11" t="s">
        <v>4455</v>
      </c>
      <c r="G3243" s="8">
        <v>334.75</v>
      </c>
      <c r="H3243" s="8">
        <v>0</v>
      </c>
      <c r="I3243" s="8">
        <f t="shared" si="165"/>
        <v>604.86999999999989</v>
      </c>
      <c r="J3243" s="12"/>
    </row>
    <row r="3244" spans="1:10" x14ac:dyDescent="0.25">
      <c r="C3244" s="9"/>
      <c r="D3244" s="10">
        <v>45730</v>
      </c>
      <c r="E3244" t="s">
        <v>4456</v>
      </c>
      <c r="F3244" s="11" t="s">
        <v>4457</v>
      </c>
      <c r="G3244" s="8">
        <v>589.34</v>
      </c>
      <c r="H3244" s="8">
        <v>0</v>
      </c>
      <c r="I3244" s="8">
        <f t="shared" si="165"/>
        <v>1194.21</v>
      </c>
      <c r="J3244" s="12"/>
    </row>
    <row r="3245" spans="1:10" x14ac:dyDescent="0.25">
      <c r="C3245" s="9"/>
      <c r="D3245" s="10">
        <v>45734</v>
      </c>
      <c r="E3245" t="s">
        <v>4449</v>
      </c>
      <c r="F3245" s="11" t="s">
        <v>42</v>
      </c>
      <c r="G3245" s="8">
        <v>0</v>
      </c>
      <c r="H3245" s="8">
        <v>330.58</v>
      </c>
      <c r="I3245" s="8">
        <f t="shared" si="165"/>
        <v>863.63000000000011</v>
      </c>
      <c r="J3245" s="12"/>
    </row>
    <row r="3246" spans="1:10" x14ac:dyDescent="0.25">
      <c r="C3246" s="9"/>
      <c r="D3246" s="10">
        <v>45747</v>
      </c>
      <c r="E3246" t="s">
        <v>4458</v>
      </c>
      <c r="F3246" s="11" t="s">
        <v>4459</v>
      </c>
      <c r="G3246" s="8">
        <v>462.33</v>
      </c>
      <c r="H3246" s="8">
        <v>0</v>
      </c>
      <c r="I3246" s="8">
        <f t="shared" si="165"/>
        <v>1325.96</v>
      </c>
      <c r="J3246" s="12"/>
    </row>
    <row r="3247" spans="1:10" x14ac:dyDescent="0.25">
      <c r="E3247" s="4" t="s">
        <v>20</v>
      </c>
      <c r="G3247" s="8">
        <f>SUM(G3236:G3246)</f>
        <v>5859.9000000000005</v>
      </c>
      <c r="H3247" s="8">
        <f>SUM(H3236:H3246)</f>
        <v>4533.9400000000005</v>
      </c>
      <c r="I3247" s="8">
        <f>G3247-H3247</f>
        <v>1325.96</v>
      </c>
    </row>
    <row r="3249" spans="1:10" x14ac:dyDescent="0.25">
      <c r="A3249" s="5">
        <v>4306320</v>
      </c>
      <c r="B3249" s="6" t="s">
        <v>4460</v>
      </c>
      <c r="C3249" s="7"/>
      <c r="D3249" s="7"/>
      <c r="E3249" s="7"/>
      <c r="F3249" s="7"/>
      <c r="G3249" s="7"/>
      <c r="H3249" s="7"/>
      <c r="I3249" s="7"/>
      <c r="J3249" s="7"/>
    </row>
    <row r="3250" spans="1:10" x14ac:dyDescent="0.25">
      <c r="E3250" s="4" t="s">
        <v>10</v>
      </c>
      <c r="G3250" s="8">
        <v>13.89</v>
      </c>
      <c r="H3250" s="8">
        <v>0</v>
      </c>
      <c r="I3250" s="8">
        <f>G3250-H3250</f>
        <v>13.89</v>
      </c>
    </row>
    <row r="3251" spans="1:10" x14ac:dyDescent="0.25">
      <c r="E3251" s="4" t="s">
        <v>20</v>
      </c>
      <c r="G3251" s="8">
        <f>G3250</f>
        <v>13.89</v>
      </c>
      <c r="H3251" s="8">
        <f>H3250</f>
        <v>0</v>
      </c>
      <c r="I3251" s="8">
        <f>G3251-H3251</f>
        <v>13.89</v>
      </c>
    </row>
    <row r="3253" spans="1:10" x14ac:dyDescent="0.25">
      <c r="A3253" s="5">
        <v>4306350</v>
      </c>
      <c r="B3253" s="6" t="s">
        <v>4461</v>
      </c>
      <c r="C3253" s="7"/>
      <c r="D3253" s="7"/>
      <c r="E3253" s="7"/>
      <c r="F3253" s="7"/>
      <c r="G3253" s="7"/>
      <c r="H3253" s="7"/>
      <c r="I3253" s="7"/>
      <c r="J3253" s="7"/>
    </row>
    <row r="3254" spans="1:10" x14ac:dyDescent="0.25">
      <c r="E3254" s="4" t="s">
        <v>10</v>
      </c>
      <c r="G3254" s="8">
        <v>0</v>
      </c>
      <c r="H3254" s="8">
        <v>14.21</v>
      </c>
      <c r="I3254" s="8">
        <f>G3254-H3254</f>
        <v>-14.21</v>
      </c>
    </row>
    <row r="3255" spans="1:10" x14ac:dyDescent="0.25">
      <c r="C3255" s="9"/>
      <c r="D3255" s="10">
        <v>45659</v>
      </c>
      <c r="E3255" t="s">
        <v>4462</v>
      </c>
      <c r="F3255" s="11" t="s">
        <v>42</v>
      </c>
      <c r="G3255" s="8">
        <v>0</v>
      </c>
      <c r="H3255" s="8">
        <v>84.7</v>
      </c>
      <c r="I3255" s="8">
        <f t="shared" ref="I3255:I3266" si="166">G3255-H3255+I3254</f>
        <v>-98.91</v>
      </c>
      <c r="J3255" s="12"/>
    </row>
    <row r="3256" spans="1:10" x14ac:dyDescent="0.25">
      <c r="C3256" s="9"/>
      <c r="D3256" s="10">
        <v>45671</v>
      </c>
      <c r="E3256" t="s">
        <v>4463</v>
      </c>
      <c r="F3256" s="11" t="s">
        <v>4464</v>
      </c>
      <c r="G3256" s="8">
        <v>156.57</v>
      </c>
      <c r="H3256" s="8">
        <v>0</v>
      </c>
      <c r="I3256" s="8">
        <f t="shared" si="166"/>
        <v>57.66</v>
      </c>
      <c r="J3256" s="12"/>
    </row>
    <row r="3257" spans="1:10" x14ac:dyDescent="0.25">
      <c r="C3257" s="9"/>
      <c r="D3257" s="10">
        <v>45672</v>
      </c>
      <c r="E3257" t="s">
        <v>1524</v>
      </c>
      <c r="F3257" s="11" t="s">
        <v>4464</v>
      </c>
      <c r="G3257" s="8">
        <v>0</v>
      </c>
      <c r="H3257" s="8">
        <v>156.57</v>
      </c>
      <c r="I3257" s="8">
        <f t="shared" si="166"/>
        <v>-98.91</v>
      </c>
      <c r="J3257" s="12"/>
    </row>
    <row r="3258" spans="1:10" x14ac:dyDescent="0.25">
      <c r="C3258" s="9"/>
      <c r="D3258" s="10">
        <v>45688</v>
      </c>
      <c r="E3258" t="s">
        <v>4465</v>
      </c>
      <c r="F3258" s="11" t="s">
        <v>4466</v>
      </c>
      <c r="G3258" s="8">
        <v>100.94</v>
      </c>
      <c r="H3258" s="8">
        <v>0</v>
      </c>
      <c r="I3258" s="8">
        <f t="shared" si="166"/>
        <v>2.0300000000000011</v>
      </c>
      <c r="J3258" s="12"/>
    </row>
    <row r="3259" spans="1:10" x14ac:dyDescent="0.25">
      <c r="C3259" s="9"/>
      <c r="D3259" s="10">
        <v>45691</v>
      </c>
      <c r="E3259" t="s">
        <v>1524</v>
      </c>
      <c r="F3259" s="11" t="s">
        <v>4466</v>
      </c>
      <c r="G3259" s="8">
        <v>0</v>
      </c>
      <c r="H3259" s="8">
        <v>100.94</v>
      </c>
      <c r="I3259" s="8">
        <f t="shared" si="166"/>
        <v>-98.91</v>
      </c>
      <c r="J3259" s="12"/>
    </row>
    <row r="3260" spans="1:10" x14ac:dyDescent="0.25">
      <c r="C3260" s="9"/>
      <c r="D3260" s="10">
        <v>45702</v>
      </c>
      <c r="E3260" t="s">
        <v>4467</v>
      </c>
      <c r="F3260" s="11" t="s">
        <v>4468</v>
      </c>
      <c r="G3260" s="8">
        <v>244.41</v>
      </c>
      <c r="H3260" s="8">
        <v>0</v>
      </c>
      <c r="I3260" s="8">
        <f t="shared" si="166"/>
        <v>145.5</v>
      </c>
      <c r="J3260" s="12"/>
    </row>
    <row r="3261" spans="1:10" x14ac:dyDescent="0.25">
      <c r="C3261" s="9"/>
      <c r="D3261" s="10">
        <v>45705</v>
      </c>
      <c r="E3261" t="s">
        <v>1524</v>
      </c>
      <c r="F3261" s="11" t="s">
        <v>4468</v>
      </c>
      <c r="G3261" s="8">
        <v>0</v>
      </c>
      <c r="H3261" s="8">
        <v>244.41</v>
      </c>
      <c r="I3261" s="8">
        <f t="shared" si="166"/>
        <v>-98.91</v>
      </c>
      <c r="J3261" s="12"/>
    </row>
    <row r="3262" spans="1:10" x14ac:dyDescent="0.25">
      <c r="C3262" s="9"/>
      <c r="D3262" s="10">
        <v>45716</v>
      </c>
      <c r="E3262" t="s">
        <v>4469</v>
      </c>
      <c r="F3262" s="11" t="s">
        <v>4470</v>
      </c>
      <c r="G3262" s="8">
        <v>94.2</v>
      </c>
      <c r="H3262" s="8">
        <v>0</v>
      </c>
      <c r="I3262" s="8">
        <f t="shared" si="166"/>
        <v>-4.7099999999999937</v>
      </c>
      <c r="J3262" s="12"/>
    </row>
    <row r="3263" spans="1:10" x14ac:dyDescent="0.25">
      <c r="C3263" s="9" t="s">
        <v>124</v>
      </c>
      <c r="D3263" s="10">
        <v>45719</v>
      </c>
      <c r="E3263" t="s">
        <v>4471</v>
      </c>
      <c r="F3263" s="11" t="s">
        <v>42</v>
      </c>
      <c r="G3263" s="8">
        <v>0</v>
      </c>
      <c r="H3263" s="8">
        <v>94.2</v>
      </c>
      <c r="I3263" s="8">
        <f t="shared" si="166"/>
        <v>-98.91</v>
      </c>
      <c r="J3263" s="12"/>
    </row>
    <row r="3264" spans="1:10" x14ac:dyDescent="0.25">
      <c r="C3264" s="9"/>
      <c r="D3264" s="10">
        <v>45747</v>
      </c>
      <c r="E3264" t="s">
        <v>4472</v>
      </c>
      <c r="F3264" s="11" t="s">
        <v>4473</v>
      </c>
      <c r="G3264" s="8">
        <v>228.51</v>
      </c>
      <c r="H3264" s="8">
        <v>0</v>
      </c>
      <c r="I3264" s="8">
        <f t="shared" si="166"/>
        <v>129.6</v>
      </c>
      <c r="J3264" s="12"/>
    </row>
    <row r="3265" spans="1:10" x14ac:dyDescent="0.25">
      <c r="C3265" s="9" t="s">
        <v>124</v>
      </c>
      <c r="D3265" s="10">
        <v>45748</v>
      </c>
      <c r="E3265" t="s">
        <v>4474</v>
      </c>
      <c r="F3265" s="11" t="s">
        <v>4473</v>
      </c>
      <c r="G3265" s="8">
        <v>0</v>
      </c>
      <c r="H3265" s="8">
        <v>228.51</v>
      </c>
      <c r="I3265" s="8">
        <f t="shared" si="166"/>
        <v>-98.91</v>
      </c>
      <c r="J3265" s="12"/>
    </row>
    <row r="3266" spans="1:10" x14ac:dyDescent="0.25">
      <c r="C3266" s="9"/>
      <c r="D3266" s="10">
        <v>45762</v>
      </c>
      <c r="E3266" t="s">
        <v>1524</v>
      </c>
      <c r="F3266" s="11" t="s">
        <v>4475</v>
      </c>
      <c r="G3266" s="8">
        <v>0</v>
      </c>
      <c r="H3266" s="8">
        <v>60.75</v>
      </c>
      <c r="I3266" s="8">
        <f t="shared" si="166"/>
        <v>-159.66</v>
      </c>
      <c r="J3266" s="12"/>
    </row>
    <row r="3267" spans="1:10" x14ac:dyDescent="0.25">
      <c r="E3267" s="4" t="s">
        <v>20</v>
      </c>
      <c r="G3267" s="8">
        <f>SUM(G3254:G3266)</f>
        <v>824.63</v>
      </c>
      <c r="H3267" s="8">
        <f>SUM(H3254:H3266)</f>
        <v>984.29</v>
      </c>
      <c r="I3267" s="8">
        <f>G3267-H3267</f>
        <v>-159.65999999999997</v>
      </c>
    </row>
    <row r="3269" spans="1:10" x14ac:dyDescent="0.25">
      <c r="A3269" s="5">
        <v>4306355</v>
      </c>
      <c r="B3269" s="6" t="s">
        <v>4476</v>
      </c>
      <c r="C3269" s="7"/>
      <c r="D3269" s="7"/>
      <c r="E3269" s="7"/>
      <c r="F3269" s="7"/>
      <c r="G3269" s="7"/>
      <c r="H3269" s="7"/>
      <c r="I3269" s="7"/>
      <c r="J3269" s="7"/>
    </row>
    <row r="3270" spans="1:10" x14ac:dyDescent="0.25">
      <c r="E3270" s="4" t="s">
        <v>10</v>
      </c>
      <c r="G3270" s="8">
        <v>14.28</v>
      </c>
      <c r="H3270" s="8">
        <v>0</v>
      </c>
      <c r="I3270" s="8">
        <f>G3270-H3270</f>
        <v>14.28</v>
      </c>
    </row>
    <row r="3271" spans="1:10" x14ac:dyDescent="0.25">
      <c r="E3271" s="4" t="s">
        <v>20</v>
      </c>
      <c r="G3271" s="8">
        <f>G3270</f>
        <v>14.28</v>
      </c>
      <c r="H3271" s="8">
        <f>H3270</f>
        <v>0</v>
      </c>
      <c r="I3271" s="8">
        <f>G3271-H3271</f>
        <v>14.28</v>
      </c>
    </row>
    <row r="3273" spans="1:10" x14ac:dyDescent="0.25">
      <c r="A3273" s="5">
        <v>4306366</v>
      </c>
      <c r="B3273" s="6" t="s">
        <v>4477</v>
      </c>
      <c r="C3273" s="7"/>
      <c r="D3273" s="7"/>
      <c r="E3273" s="7"/>
      <c r="F3273" s="7"/>
      <c r="G3273" s="7"/>
      <c r="H3273" s="7"/>
      <c r="I3273" s="7"/>
      <c r="J3273" s="7"/>
    </row>
    <row r="3274" spans="1:10" x14ac:dyDescent="0.25">
      <c r="E3274" s="4" t="s">
        <v>10</v>
      </c>
      <c r="G3274" s="8">
        <v>246.18</v>
      </c>
      <c r="H3274" s="8">
        <v>0</v>
      </c>
      <c r="I3274" s="8">
        <f>G3274-H3274</f>
        <v>246.18</v>
      </c>
    </row>
    <row r="3275" spans="1:10" x14ac:dyDescent="0.25">
      <c r="C3275" s="9"/>
      <c r="D3275" s="10">
        <v>45688</v>
      </c>
      <c r="E3275" t="s">
        <v>4478</v>
      </c>
      <c r="F3275" s="11" t="s">
        <v>4479</v>
      </c>
      <c r="G3275" s="8">
        <v>42.52</v>
      </c>
      <c r="H3275" s="8">
        <v>0</v>
      </c>
      <c r="I3275" s="8">
        <f>G3275-H3275+I3274</f>
        <v>288.7</v>
      </c>
      <c r="J3275" s="12"/>
    </row>
    <row r="3276" spans="1:10" x14ac:dyDescent="0.25">
      <c r="C3276" s="9"/>
      <c r="D3276" s="10">
        <v>45702</v>
      </c>
      <c r="E3276" t="s">
        <v>4480</v>
      </c>
      <c r="F3276" s="11" t="s">
        <v>4481</v>
      </c>
      <c r="G3276" s="8">
        <v>40.54</v>
      </c>
      <c r="H3276" s="8">
        <v>0</v>
      </c>
      <c r="I3276" s="8">
        <f>G3276-H3276+I3275</f>
        <v>329.24</v>
      </c>
      <c r="J3276" s="12"/>
    </row>
    <row r="3277" spans="1:10" x14ac:dyDescent="0.25">
      <c r="C3277" s="9"/>
      <c r="D3277" s="10">
        <v>45705</v>
      </c>
      <c r="E3277" t="s">
        <v>1524</v>
      </c>
      <c r="F3277" s="11" t="s">
        <v>4482</v>
      </c>
      <c r="G3277" s="8">
        <v>0</v>
      </c>
      <c r="H3277" s="8">
        <v>40.54</v>
      </c>
      <c r="I3277" s="8">
        <f>G3277-H3277+I3276</f>
        <v>288.7</v>
      </c>
      <c r="J3277" s="12"/>
    </row>
    <row r="3278" spans="1:10" x14ac:dyDescent="0.25">
      <c r="C3278" s="9"/>
      <c r="D3278" s="10">
        <v>45730</v>
      </c>
      <c r="E3278" t="s">
        <v>4483</v>
      </c>
      <c r="F3278" s="11" t="s">
        <v>4484</v>
      </c>
      <c r="G3278" s="8">
        <v>45.56</v>
      </c>
      <c r="H3278" s="8">
        <v>0</v>
      </c>
      <c r="I3278" s="8">
        <f>G3278-H3278+I3277</f>
        <v>334.26</v>
      </c>
      <c r="J3278" s="12"/>
    </row>
    <row r="3279" spans="1:10" x14ac:dyDescent="0.25">
      <c r="E3279" s="4" t="s">
        <v>20</v>
      </c>
      <c r="G3279" s="8">
        <f>SUM(G3274:G3278)</f>
        <v>374.8</v>
      </c>
      <c r="H3279" s="8">
        <f>SUM(H3274:H3278)</f>
        <v>40.54</v>
      </c>
      <c r="I3279" s="8">
        <f>G3279-H3279</f>
        <v>334.26</v>
      </c>
    </row>
    <row r="3281" spans="1:10" x14ac:dyDescent="0.25">
      <c r="A3281" s="5">
        <v>4306380</v>
      </c>
      <c r="B3281" s="6" t="s">
        <v>4485</v>
      </c>
      <c r="C3281" s="7"/>
      <c r="D3281" s="7"/>
      <c r="E3281" s="7"/>
      <c r="F3281" s="7"/>
      <c r="G3281" s="7"/>
      <c r="H3281" s="7"/>
      <c r="I3281" s="7"/>
      <c r="J3281" s="7"/>
    </row>
    <row r="3282" spans="1:10" x14ac:dyDescent="0.25">
      <c r="C3282" s="9"/>
      <c r="D3282" s="10">
        <v>45671</v>
      </c>
      <c r="E3282" t="s">
        <v>4486</v>
      </c>
      <c r="F3282" s="11" t="s">
        <v>4487</v>
      </c>
      <c r="G3282" s="8">
        <v>346.28</v>
      </c>
      <c r="H3282" s="8">
        <v>0</v>
      </c>
      <c r="I3282" s="8">
        <f>G3282-H3282</f>
        <v>346.28</v>
      </c>
      <c r="J3282" s="12"/>
    </row>
    <row r="3283" spans="1:10" x14ac:dyDescent="0.25">
      <c r="C3283" s="9"/>
      <c r="D3283" s="10">
        <v>45672</v>
      </c>
      <c r="E3283" t="s">
        <v>1524</v>
      </c>
      <c r="F3283" s="11" t="s">
        <v>4487</v>
      </c>
      <c r="G3283" s="8">
        <v>0</v>
      </c>
      <c r="H3283" s="8">
        <v>346.28</v>
      </c>
      <c r="I3283" s="8">
        <f t="shared" ref="I3283:I3292" si="167">G3283-H3283+I3282</f>
        <v>0</v>
      </c>
      <c r="J3283" s="12"/>
    </row>
    <row r="3284" spans="1:10" x14ac:dyDescent="0.25">
      <c r="C3284" s="9"/>
      <c r="D3284" s="10">
        <v>45688</v>
      </c>
      <c r="E3284" t="s">
        <v>4488</v>
      </c>
      <c r="F3284" s="11" t="s">
        <v>4489</v>
      </c>
      <c r="G3284" s="8">
        <v>178.4</v>
      </c>
      <c r="H3284" s="8">
        <v>0</v>
      </c>
      <c r="I3284" s="8">
        <f t="shared" si="167"/>
        <v>178.4</v>
      </c>
      <c r="J3284" s="12"/>
    </row>
    <row r="3285" spans="1:10" x14ac:dyDescent="0.25">
      <c r="C3285" s="9"/>
      <c r="D3285" s="10">
        <v>45691</v>
      </c>
      <c r="E3285" t="s">
        <v>1524</v>
      </c>
      <c r="F3285" s="11" t="s">
        <v>4489</v>
      </c>
      <c r="G3285" s="8">
        <v>0</v>
      </c>
      <c r="H3285" s="8">
        <v>178.4</v>
      </c>
      <c r="I3285" s="8">
        <f t="shared" si="167"/>
        <v>0</v>
      </c>
      <c r="J3285" s="12"/>
    </row>
    <row r="3286" spans="1:10" x14ac:dyDescent="0.25">
      <c r="C3286" s="9"/>
      <c r="D3286" s="10">
        <v>45716</v>
      </c>
      <c r="E3286" t="s">
        <v>4490</v>
      </c>
      <c r="F3286" s="11" t="s">
        <v>4491</v>
      </c>
      <c r="G3286" s="8">
        <v>348.2</v>
      </c>
      <c r="H3286" s="8">
        <v>0</v>
      </c>
      <c r="I3286" s="8">
        <f t="shared" si="167"/>
        <v>348.2</v>
      </c>
      <c r="J3286" s="12"/>
    </row>
    <row r="3287" spans="1:10" x14ac:dyDescent="0.25">
      <c r="C3287" s="9"/>
      <c r="D3287" s="10">
        <v>45720</v>
      </c>
      <c r="E3287" t="s">
        <v>1524</v>
      </c>
      <c r="F3287" s="11" t="s">
        <v>4491</v>
      </c>
      <c r="G3287" s="8">
        <v>0</v>
      </c>
      <c r="H3287" s="8">
        <v>348.2</v>
      </c>
      <c r="I3287" s="8">
        <f t="shared" si="167"/>
        <v>0</v>
      </c>
      <c r="J3287" s="12"/>
    </row>
    <row r="3288" spans="1:10" x14ac:dyDescent="0.25">
      <c r="C3288" s="9"/>
      <c r="D3288" s="10">
        <v>45730</v>
      </c>
      <c r="E3288" t="s">
        <v>4492</v>
      </c>
      <c r="F3288" s="11" t="s">
        <v>4493</v>
      </c>
      <c r="G3288" s="8">
        <v>235.25</v>
      </c>
      <c r="H3288" s="8">
        <v>0</v>
      </c>
      <c r="I3288" s="8">
        <f t="shared" si="167"/>
        <v>235.25</v>
      </c>
      <c r="J3288" s="12"/>
    </row>
    <row r="3289" spans="1:10" x14ac:dyDescent="0.25">
      <c r="C3289" s="9"/>
      <c r="D3289" s="10">
        <v>45733</v>
      </c>
      <c r="E3289" t="s">
        <v>1524</v>
      </c>
      <c r="F3289" s="11" t="s">
        <v>4493</v>
      </c>
      <c r="G3289" s="8">
        <v>0</v>
      </c>
      <c r="H3289" s="8">
        <v>235.25</v>
      </c>
      <c r="I3289" s="8">
        <f t="shared" si="167"/>
        <v>0</v>
      </c>
      <c r="J3289" s="12"/>
    </row>
    <row r="3290" spans="1:10" x14ac:dyDescent="0.25">
      <c r="C3290" s="9"/>
      <c r="D3290" s="10">
        <v>45747</v>
      </c>
      <c r="E3290" t="s">
        <v>4494</v>
      </c>
      <c r="F3290" s="11" t="s">
        <v>4495</v>
      </c>
      <c r="G3290" s="8">
        <v>147.11000000000001</v>
      </c>
      <c r="H3290" s="8">
        <v>0</v>
      </c>
      <c r="I3290" s="8">
        <f t="shared" si="167"/>
        <v>147.11000000000001</v>
      </c>
      <c r="J3290" s="12"/>
    </row>
    <row r="3291" spans="1:10" x14ac:dyDescent="0.25">
      <c r="C3291" s="9"/>
      <c r="D3291" s="10">
        <v>45748</v>
      </c>
      <c r="E3291" t="s">
        <v>4496</v>
      </c>
      <c r="F3291" s="11" t="s">
        <v>42</v>
      </c>
      <c r="G3291" s="8">
        <v>0</v>
      </c>
      <c r="H3291" s="8">
        <v>147.11000000000001</v>
      </c>
      <c r="I3291" s="8">
        <f t="shared" si="167"/>
        <v>0</v>
      </c>
      <c r="J3291" s="12"/>
    </row>
    <row r="3292" spans="1:10" x14ac:dyDescent="0.25">
      <c r="C3292" s="9"/>
      <c r="D3292" s="10">
        <v>45762</v>
      </c>
      <c r="E3292" t="s">
        <v>4497</v>
      </c>
      <c r="F3292" s="11" t="s">
        <v>42</v>
      </c>
      <c r="G3292" s="8">
        <v>0</v>
      </c>
      <c r="H3292" s="8">
        <v>684.23</v>
      </c>
      <c r="I3292" s="8">
        <f t="shared" si="167"/>
        <v>-684.23</v>
      </c>
      <c r="J3292" s="12"/>
    </row>
    <row r="3293" spans="1:10" x14ac:dyDescent="0.25">
      <c r="E3293" s="4" t="s">
        <v>20</v>
      </c>
      <c r="G3293" s="8">
        <f>SUM(G3282:G3292)</f>
        <v>1255.2399999999998</v>
      </c>
      <c r="H3293" s="8">
        <f>SUM(H3282:H3292)</f>
        <v>1939.4699999999998</v>
      </c>
      <c r="I3293" s="8">
        <f>G3293-H3293</f>
        <v>-684.23</v>
      </c>
    </row>
    <row r="3295" spans="1:10" x14ac:dyDescent="0.25">
      <c r="A3295" s="5">
        <v>4306430</v>
      </c>
      <c r="B3295" s="6" t="s">
        <v>4498</v>
      </c>
      <c r="C3295" s="7"/>
      <c r="D3295" s="7"/>
      <c r="E3295" s="7"/>
      <c r="F3295" s="7"/>
      <c r="G3295" s="7"/>
      <c r="H3295" s="7"/>
      <c r="I3295" s="7"/>
      <c r="J3295" s="7"/>
    </row>
    <row r="3296" spans="1:10" x14ac:dyDescent="0.25">
      <c r="C3296" s="9"/>
      <c r="D3296" s="10">
        <v>45702</v>
      </c>
      <c r="E3296" t="s">
        <v>4499</v>
      </c>
      <c r="F3296" s="11" t="s">
        <v>4500</v>
      </c>
      <c r="G3296" s="8">
        <v>91.63</v>
      </c>
      <c r="H3296" s="8">
        <v>0</v>
      </c>
      <c r="I3296" s="8">
        <f>G3296-H3296</f>
        <v>91.63</v>
      </c>
      <c r="J3296" s="12"/>
    </row>
    <row r="3297" spans="1:10" x14ac:dyDescent="0.25">
      <c r="C3297" s="9"/>
      <c r="D3297" s="10">
        <v>45705</v>
      </c>
      <c r="E3297" t="s">
        <v>1524</v>
      </c>
      <c r="F3297" s="11" t="s">
        <v>4501</v>
      </c>
      <c r="G3297" s="8">
        <v>0</v>
      </c>
      <c r="H3297" s="8">
        <v>91.63</v>
      </c>
      <c r="I3297" s="8">
        <f t="shared" ref="I3297:I3302" si="168">G3297-H3297+I3296</f>
        <v>0</v>
      </c>
      <c r="J3297" s="12"/>
    </row>
    <row r="3298" spans="1:10" x14ac:dyDescent="0.25">
      <c r="C3298" s="9"/>
      <c r="D3298" s="10">
        <v>45716</v>
      </c>
      <c r="E3298" t="s">
        <v>4502</v>
      </c>
      <c r="F3298" s="11" t="s">
        <v>4503</v>
      </c>
      <c r="G3298" s="8">
        <v>82.73</v>
      </c>
      <c r="H3298" s="8">
        <v>0</v>
      </c>
      <c r="I3298" s="8">
        <f t="shared" si="168"/>
        <v>82.73</v>
      </c>
      <c r="J3298" s="12"/>
    </row>
    <row r="3299" spans="1:10" x14ac:dyDescent="0.25">
      <c r="C3299" s="9"/>
      <c r="D3299" s="10">
        <v>45720</v>
      </c>
      <c r="E3299" t="s">
        <v>4504</v>
      </c>
      <c r="F3299" s="11" t="s">
        <v>42</v>
      </c>
      <c r="G3299" s="8">
        <v>0</v>
      </c>
      <c r="H3299" s="8">
        <v>82.73</v>
      </c>
      <c r="I3299" s="8">
        <f t="shared" si="168"/>
        <v>0</v>
      </c>
      <c r="J3299" s="12"/>
    </row>
    <row r="3300" spans="1:10" x14ac:dyDescent="0.25">
      <c r="C3300" s="9"/>
      <c r="D3300" s="10">
        <v>45747</v>
      </c>
      <c r="E3300" t="s">
        <v>4505</v>
      </c>
      <c r="F3300" s="11" t="s">
        <v>4506</v>
      </c>
      <c r="G3300" s="8">
        <v>106.73</v>
      </c>
      <c r="H3300" s="8">
        <v>0</v>
      </c>
      <c r="I3300" s="8">
        <f t="shared" si="168"/>
        <v>106.73</v>
      </c>
      <c r="J3300" s="12"/>
    </row>
    <row r="3301" spans="1:10" x14ac:dyDescent="0.25">
      <c r="C3301" s="9"/>
      <c r="D3301" s="10">
        <v>45748</v>
      </c>
      <c r="E3301" t="s">
        <v>1524</v>
      </c>
      <c r="F3301" s="11" t="s">
        <v>4507</v>
      </c>
      <c r="G3301" s="8">
        <v>0</v>
      </c>
      <c r="H3301" s="8">
        <v>106.73</v>
      </c>
      <c r="I3301" s="8">
        <f t="shared" si="168"/>
        <v>0</v>
      </c>
      <c r="J3301" s="12"/>
    </row>
    <row r="3302" spans="1:10" x14ac:dyDescent="0.25">
      <c r="C3302" s="9"/>
      <c r="D3302" s="10">
        <v>45762</v>
      </c>
      <c r="E3302" t="s">
        <v>4504</v>
      </c>
      <c r="F3302" s="11" t="s">
        <v>42</v>
      </c>
      <c r="G3302" s="8">
        <v>0</v>
      </c>
      <c r="H3302" s="8">
        <v>132.46</v>
      </c>
      <c r="I3302" s="8">
        <f t="shared" si="168"/>
        <v>-132.46</v>
      </c>
      <c r="J3302" s="12"/>
    </row>
    <row r="3303" spans="1:10" x14ac:dyDescent="0.25">
      <c r="E3303" s="4" t="s">
        <v>20</v>
      </c>
      <c r="G3303" s="8">
        <f>SUM(G3296:G3302)</f>
        <v>281.09000000000003</v>
      </c>
      <c r="H3303" s="8">
        <f>SUM(H3296:H3302)</f>
        <v>413.55000000000007</v>
      </c>
      <c r="I3303" s="8">
        <f>G3303-H3303</f>
        <v>-132.46000000000004</v>
      </c>
    </row>
    <row r="3305" spans="1:10" x14ac:dyDescent="0.25">
      <c r="A3305" s="5">
        <v>4306440</v>
      </c>
      <c r="B3305" s="6" t="s">
        <v>4508</v>
      </c>
      <c r="C3305" s="7"/>
      <c r="D3305" s="7"/>
      <c r="E3305" s="7"/>
      <c r="F3305" s="7"/>
      <c r="G3305" s="7"/>
      <c r="H3305" s="7"/>
      <c r="I3305" s="7"/>
      <c r="J3305" s="7"/>
    </row>
    <row r="3306" spans="1:10" x14ac:dyDescent="0.25">
      <c r="C3306" s="9"/>
      <c r="D3306" s="10">
        <v>45671</v>
      </c>
      <c r="E3306" t="s">
        <v>4509</v>
      </c>
      <c r="F3306" s="11" t="s">
        <v>4510</v>
      </c>
      <c r="G3306" s="8">
        <v>86.66</v>
      </c>
      <c r="H3306" s="8">
        <v>0</v>
      </c>
      <c r="I3306" s="8">
        <f>G3306-H3306</f>
        <v>86.66</v>
      </c>
      <c r="J3306" s="12"/>
    </row>
    <row r="3307" spans="1:10" x14ac:dyDescent="0.25">
      <c r="C3307" s="9"/>
      <c r="D3307" s="10">
        <v>45672</v>
      </c>
      <c r="E3307" t="s">
        <v>1524</v>
      </c>
      <c r="F3307" s="11" t="s">
        <v>4510</v>
      </c>
      <c r="G3307" s="8">
        <v>0</v>
      </c>
      <c r="H3307" s="8">
        <v>86.66</v>
      </c>
      <c r="I3307" s="8">
        <f t="shared" ref="I3307:I3312" si="169">G3307-H3307+I3306</f>
        <v>0</v>
      </c>
      <c r="J3307" s="12"/>
    </row>
    <row r="3308" spans="1:10" x14ac:dyDescent="0.25">
      <c r="C3308" s="9"/>
      <c r="D3308" s="10">
        <v>45730</v>
      </c>
      <c r="E3308" t="s">
        <v>4511</v>
      </c>
      <c r="F3308" s="11" t="s">
        <v>4512</v>
      </c>
      <c r="G3308" s="8">
        <v>140.78</v>
      </c>
      <c r="H3308" s="8">
        <v>0</v>
      </c>
      <c r="I3308" s="8">
        <f t="shared" si="169"/>
        <v>140.78</v>
      </c>
      <c r="J3308" s="12"/>
    </row>
    <row r="3309" spans="1:10" x14ac:dyDescent="0.25">
      <c r="C3309" s="9"/>
      <c r="D3309" s="10">
        <v>45733</v>
      </c>
      <c r="E3309" t="s">
        <v>1524</v>
      </c>
      <c r="F3309" s="11" t="s">
        <v>4512</v>
      </c>
      <c r="G3309" s="8">
        <v>0</v>
      </c>
      <c r="H3309" s="8">
        <v>140.78</v>
      </c>
      <c r="I3309" s="8">
        <f t="shared" si="169"/>
        <v>0</v>
      </c>
      <c r="J3309" s="12"/>
    </row>
    <row r="3310" spans="1:10" x14ac:dyDescent="0.25">
      <c r="C3310" s="9"/>
      <c r="D3310" s="10">
        <v>45747</v>
      </c>
      <c r="E3310" t="s">
        <v>4513</v>
      </c>
      <c r="F3310" s="11" t="s">
        <v>4514</v>
      </c>
      <c r="G3310" s="8">
        <v>85.15</v>
      </c>
      <c r="H3310" s="8">
        <v>0</v>
      </c>
      <c r="I3310" s="8">
        <f t="shared" si="169"/>
        <v>85.15</v>
      </c>
      <c r="J3310" s="12"/>
    </row>
    <row r="3311" spans="1:10" x14ac:dyDescent="0.25">
      <c r="C3311" s="9"/>
      <c r="D3311" s="10">
        <v>45748</v>
      </c>
      <c r="E3311" t="s">
        <v>1524</v>
      </c>
      <c r="F3311" s="11" t="s">
        <v>4514</v>
      </c>
      <c r="G3311" s="8">
        <v>0</v>
      </c>
      <c r="H3311" s="8">
        <v>85.15</v>
      </c>
      <c r="I3311" s="8">
        <f t="shared" si="169"/>
        <v>0</v>
      </c>
      <c r="J3311" s="12"/>
    </row>
    <row r="3312" spans="1:10" x14ac:dyDescent="0.25">
      <c r="C3312" s="9"/>
      <c r="D3312" s="10">
        <v>45762</v>
      </c>
      <c r="E3312" t="s">
        <v>4515</v>
      </c>
      <c r="F3312" s="11" t="s">
        <v>4514</v>
      </c>
      <c r="G3312" s="8">
        <v>0</v>
      </c>
      <c r="H3312" s="8">
        <v>278.17</v>
      </c>
      <c r="I3312" s="8">
        <f t="shared" si="169"/>
        <v>-278.17</v>
      </c>
      <c r="J3312" s="12"/>
    </row>
    <row r="3313" spans="1:10" x14ac:dyDescent="0.25">
      <c r="E3313" s="4" t="s">
        <v>20</v>
      </c>
      <c r="G3313" s="8">
        <f>SUM(G3306:G3312)</f>
        <v>312.59000000000003</v>
      </c>
      <c r="H3313" s="8">
        <f>SUM(H3306:H3312)</f>
        <v>590.76</v>
      </c>
      <c r="I3313" s="8">
        <f>G3313-H3313</f>
        <v>-278.16999999999996</v>
      </c>
    </row>
    <row r="3315" spans="1:10" x14ac:dyDescent="0.25">
      <c r="A3315" s="5">
        <v>4306445</v>
      </c>
      <c r="B3315" s="6" t="s">
        <v>4516</v>
      </c>
      <c r="C3315" s="7"/>
      <c r="D3315" s="7"/>
      <c r="E3315" s="7"/>
      <c r="F3315" s="7"/>
      <c r="G3315" s="7"/>
      <c r="H3315" s="7"/>
      <c r="I3315" s="7"/>
      <c r="J3315" s="7"/>
    </row>
    <row r="3316" spans="1:10" x14ac:dyDescent="0.25">
      <c r="E3316" s="4" t="s">
        <v>10</v>
      </c>
      <c r="G3316" s="8">
        <v>19.579999999999998</v>
      </c>
      <c r="H3316" s="8">
        <v>0</v>
      </c>
      <c r="I3316" s="8">
        <f>G3316-H3316</f>
        <v>19.579999999999998</v>
      </c>
    </row>
    <row r="3317" spans="1:10" x14ac:dyDescent="0.25">
      <c r="C3317" s="9"/>
      <c r="D3317" s="10">
        <v>45688</v>
      </c>
      <c r="E3317" t="s">
        <v>4517</v>
      </c>
      <c r="F3317" s="11" t="s">
        <v>4518</v>
      </c>
      <c r="G3317" s="8">
        <v>102.23</v>
      </c>
      <c r="H3317" s="8">
        <v>0</v>
      </c>
      <c r="I3317" s="8">
        <f t="shared" ref="I3317:I3323" si="170">G3317-H3317+I3316</f>
        <v>121.81</v>
      </c>
      <c r="J3317" s="12"/>
    </row>
    <row r="3318" spans="1:10" x14ac:dyDescent="0.25">
      <c r="C3318" s="9"/>
      <c r="D3318" s="10">
        <v>45691</v>
      </c>
      <c r="E3318" t="s">
        <v>4519</v>
      </c>
      <c r="F3318" s="11" t="s">
        <v>42</v>
      </c>
      <c r="G3318" s="8">
        <v>0</v>
      </c>
      <c r="H3318" s="8">
        <v>121.81</v>
      </c>
      <c r="I3318" s="8">
        <f t="shared" si="170"/>
        <v>0</v>
      </c>
      <c r="J3318" s="12"/>
    </row>
    <row r="3319" spans="1:10" x14ac:dyDescent="0.25">
      <c r="C3319" s="9"/>
      <c r="D3319" s="10">
        <v>45702</v>
      </c>
      <c r="E3319" t="s">
        <v>4520</v>
      </c>
      <c r="F3319" s="11" t="s">
        <v>4521</v>
      </c>
      <c r="G3319" s="8">
        <v>111.43</v>
      </c>
      <c r="H3319" s="8">
        <v>0</v>
      </c>
      <c r="I3319" s="8">
        <f t="shared" si="170"/>
        <v>111.43</v>
      </c>
      <c r="J3319" s="12"/>
    </row>
    <row r="3320" spans="1:10" x14ac:dyDescent="0.25">
      <c r="C3320" s="9"/>
      <c r="D3320" s="10">
        <v>45705</v>
      </c>
      <c r="E3320" t="s">
        <v>1524</v>
      </c>
      <c r="F3320" s="11" t="s">
        <v>4521</v>
      </c>
      <c r="G3320" s="8">
        <v>0</v>
      </c>
      <c r="H3320" s="8">
        <v>111.43</v>
      </c>
      <c r="I3320" s="8">
        <f t="shared" si="170"/>
        <v>0</v>
      </c>
      <c r="J3320" s="12"/>
    </row>
    <row r="3321" spans="1:10" x14ac:dyDescent="0.25">
      <c r="C3321" s="9"/>
      <c r="D3321" s="10">
        <v>45747</v>
      </c>
      <c r="E3321" t="s">
        <v>4522</v>
      </c>
      <c r="F3321" s="11" t="s">
        <v>4523</v>
      </c>
      <c r="G3321" s="8">
        <v>40.520000000000003</v>
      </c>
      <c r="H3321" s="8">
        <v>0</v>
      </c>
      <c r="I3321" s="8">
        <f t="shared" si="170"/>
        <v>40.520000000000003</v>
      </c>
      <c r="J3321" s="12"/>
    </row>
    <row r="3322" spans="1:10" x14ac:dyDescent="0.25">
      <c r="C3322" s="9"/>
      <c r="D3322" s="10">
        <v>45748</v>
      </c>
      <c r="E3322" t="s">
        <v>1524</v>
      </c>
      <c r="F3322" s="11" t="s">
        <v>4523</v>
      </c>
      <c r="G3322" s="8">
        <v>0</v>
      </c>
      <c r="H3322" s="8">
        <v>40.520000000000003</v>
      </c>
      <c r="I3322" s="8">
        <f t="shared" si="170"/>
        <v>0</v>
      </c>
      <c r="J3322" s="12"/>
    </row>
    <row r="3323" spans="1:10" x14ac:dyDescent="0.25">
      <c r="C3323" s="9"/>
      <c r="D3323" s="10">
        <v>45762</v>
      </c>
      <c r="E3323" t="s">
        <v>4519</v>
      </c>
      <c r="F3323" s="11" t="s">
        <v>42</v>
      </c>
      <c r="G3323" s="8">
        <v>0</v>
      </c>
      <c r="H3323" s="8">
        <v>69.91</v>
      </c>
      <c r="I3323" s="8">
        <f t="shared" si="170"/>
        <v>-69.91</v>
      </c>
      <c r="J3323" s="12"/>
    </row>
    <row r="3324" spans="1:10" x14ac:dyDescent="0.25">
      <c r="E3324" s="4" t="s">
        <v>20</v>
      </c>
      <c r="G3324" s="8">
        <f>SUM(G3316:G3323)</f>
        <v>273.76</v>
      </c>
      <c r="H3324" s="8">
        <f>SUM(H3316:H3323)</f>
        <v>343.66999999999996</v>
      </c>
      <c r="I3324" s="8">
        <f>G3324-H3324</f>
        <v>-69.909999999999968</v>
      </c>
    </row>
    <row r="3326" spans="1:10" x14ac:dyDescent="0.25">
      <c r="A3326" s="5">
        <v>4306455</v>
      </c>
      <c r="B3326" s="6" t="s">
        <v>4524</v>
      </c>
      <c r="C3326" s="7"/>
      <c r="D3326" s="7"/>
      <c r="E3326" s="7"/>
      <c r="F3326" s="7"/>
      <c r="G3326" s="7"/>
      <c r="H3326" s="7"/>
      <c r="I3326" s="7"/>
      <c r="J3326" s="7"/>
    </row>
    <row r="3327" spans="1:10" x14ac:dyDescent="0.25">
      <c r="E3327" s="4" t="s">
        <v>10</v>
      </c>
      <c r="G3327" s="8">
        <v>14.37</v>
      </c>
      <c r="H3327" s="8">
        <v>0</v>
      </c>
      <c r="I3327" s="8">
        <f>G3327-H3327</f>
        <v>14.37</v>
      </c>
    </row>
    <row r="3328" spans="1:10" x14ac:dyDescent="0.25">
      <c r="E3328" s="4" t="s">
        <v>20</v>
      </c>
      <c r="G3328" s="8">
        <f>G3327</f>
        <v>14.37</v>
      </c>
      <c r="H3328" s="8">
        <f>H3327</f>
        <v>0</v>
      </c>
      <c r="I3328" s="8">
        <f>G3328-H3328</f>
        <v>14.37</v>
      </c>
    </row>
    <row r="3330" spans="1:10" x14ac:dyDescent="0.25">
      <c r="A3330" s="5">
        <v>4306475</v>
      </c>
      <c r="B3330" s="6" t="s">
        <v>4525</v>
      </c>
      <c r="C3330" s="7"/>
      <c r="D3330" s="7"/>
      <c r="E3330" s="7"/>
      <c r="F3330" s="7"/>
      <c r="G3330" s="7"/>
      <c r="H3330" s="7"/>
      <c r="I3330" s="7"/>
      <c r="J3330" s="7"/>
    </row>
    <row r="3331" spans="1:10" x14ac:dyDescent="0.25">
      <c r="C3331" s="9"/>
      <c r="D3331" s="10">
        <v>45702</v>
      </c>
      <c r="E3331" t="s">
        <v>4526</v>
      </c>
      <c r="F3331" s="11" t="s">
        <v>4527</v>
      </c>
      <c r="G3331" s="8">
        <v>403.26</v>
      </c>
      <c r="H3331" s="8">
        <v>0</v>
      </c>
      <c r="I3331" s="8">
        <f>G3331-H3331</f>
        <v>403.26</v>
      </c>
      <c r="J3331" s="12"/>
    </row>
    <row r="3332" spans="1:10" x14ac:dyDescent="0.25">
      <c r="C3332" s="9"/>
      <c r="D3332" s="10">
        <v>45705</v>
      </c>
      <c r="E3332" t="s">
        <v>1524</v>
      </c>
      <c r="F3332" s="11" t="s">
        <v>4527</v>
      </c>
      <c r="G3332" s="8">
        <v>0</v>
      </c>
      <c r="H3332" s="8">
        <v>403.26</v>
      </c>
      <c r="I3332" s="8">
        <f>G3332-H3332+I3331</f>
        <v>0</v>
      </c>
      <c r="J3332" s="12"/>
    </row>
    <row r="3333" spans="1:10" x14ac:dyDescent="0.25">
      <c r="C3333" s="9"/>
      <c r="D3333" s="10">
        <v>45762</v>
      </c>
      <c r="E3333" t="s">
        <v>4528</v>
      </c>
      <c r="F3333" s="11" t="s">
        <v>42</v>
      </c>
      <c r="G3333" s="8">
        <v>0</v>
      </c>
      <c r="H3333" s="8">
        <v>71.39</v>
      </c>
      <c r="I3333" s="8">
        <f>G3333-H3333+I3332</f>
        <v>-71.39</v>
      </c>
      <c r="J3333" s="12"/>
    </row>
    <row r="3334" spans="1:10" x14ac:dyDescent="0.25">
      <c r="E3334" s="4" t="s">
        <v>20</v>
      </c>
      <c r="G3334" s="8">
        <f>SUM(G3331:G3333)</f>
        <v>403.26</v>
      </c>
      <c r="H3334" s="8">
        <f>SUM(H3331:H3333)</f>
        <v>474.65</v>
      </c>
      <c r="I3334" s="8">
        <f>G3334-H3334</f>
        <v>-71.389999999999986</v>
      </c>
    </row>
    <row r="3336" spans="1:10" x14ac:dyDescent="0.25">
      <c r="A3336" s="5">
        <v>4306510</v>
      </c>
      <c r="B3336" s="6" t="s">
        <v>4529</v>
      </c>
      <c r="C3336" s="7"/>
      <c r="D3336" s="7"/>
      <c r="E3336" s="7"/>
      <c r="F3336" s="7"/>
      <c r="G3336" s="7"/>
      <c r="H3336" s="7"/>
      <c r="I3336" s="7"/>
      <c r="J3336" s="7"/>
    </row>
    <row r="3337" spans="1:10" x14ac:dyDescent="0.25">
      <c r="E3337" s="4" t="s">
        <v>10</v>
      </c>
      <c r="G3337" s="8">
        <v>652.17999999999995</v>
      </c>
      <c r="H3337" s="8">
        <v>0</v>
      </c>
      <c r="I3337" s="8">
        <f>G3337-H3337</f>
        <v>652.17999999999995</v>
      </c>
    </row>
    <row r="3338" spans="1:10" x14ac:dyDescent="0.25">
      <c r="C3338" s="9"/>
      <c r="D3338" s="10">
        <v>45660</v>
      </c>
      <c r="E3338" t="s">
        <v>1524</v>
      </c>
      <c r="F3338" s="11" t="s">
        <v>4530</v>
      </c>
      <c r="G3338" s="8">
        <v>0</v>
      </c>
      <c r="H3338" s="8">
        <v>652.17999999999995</v>
      </c>
      <c r="I3338" s="8">
        <f t="shared" ref="I3338:I3351" si="171">G3338-H3338+I3337</f>
        <v>0</v>
      </c>
      <c r="J3338" s="12"/>
    </row>
    <row r="3339" spans="1:10" x14ac:dyDescent="0.25">
      <c r="C3339" s="9"/>
      <c r="D3339" s="10">
        <v>45671</v>
      </c>
      <c r="E3339" t="s">
        <v>4531</v>
      </c>
      <c r="F3339" s="11" t="s">
        <v>4532</v>
      </c>
      <c r="G3339" s="8">
        <v>744.05</v>
      </c>
      <c r="H3339" s="8">
        <v>0</v>
      </c>
      <c r="I3339" s="8">
        <f t="shared" si="171"/>
        <v>744.05</v>
      </c>
      <c r="J3339" s="12"/>
    </row>
    <row r="3340" spans="1:10" x14ac:dyDescent="0.25">
      <c r="C3340" s="9"/>
      <c r="D3340" s="10">
        <v>45672</v>
      </c>
      <c r="E3340" t="s">
        <v>1524</v>
      </c>
      <c r="F3340" s="11" t="s">
        <v>4532</v>
      </c>
      <c r="G3340" s="8">
        <v>0</v>
      </c>
      <c r="H3340" s="8">
        <v>744.05</v>
      </c>
      <c r="I3340" s="8">
        <f t="shared" si="171"/>
        <v>0</v>
      </c>
      <c r="J3340" s="12"/>
    </row>
    <row r="3341" spans="1:10" x14ac:dyDescent="0.25">
      <c r="C3341" s="9"/>
      <c r="D3341" s="10">
        <v>45688</v>
      </c>
      <c r="E3341" t="s">
        <v>4533</v>
      </c>
      <c r="F3341" s="11" t="s">
        <v>4534</v>
      </c>
      <c r="G3341" s="8">
        <v>2405.4299999999998</v>
      </c>
      <c r="H3341" s="8">
        <v>0</v>
      </c>
      <c r="I3341" s="8">
        <f t="shared" si="171"/>
        <v>2405.4299999999998</v>
      </c>
      <c r="J3341" s="12"/>
    </row>
    <row r="3342" spans="1:10" x14ac:dyDescent="0.25">
      <c r="C3342" s="9" t="s">
        <v>124</v>
      </c>
      <c r="D3342" s="10">
        <v>45691</v>
      </c>
      <c r="E3342" t="s">
        <v>4535</v>
      </c>
      <c r="F3342" s="11" t="s">
        <v>4534</v>
      </c>
      <c r="G3342" s="8">
        <v>0</v>
      </c>
      <c r="H3342" s="8">
        <v>2405.4299999999998</v>
      </c>
      <c r="I3342" s="8">
        <f t="shared" si="171"/>
        <v>0</v>
      </c>
      <c r="J3342" s="12"/>
    </row>
    <row r="3343" spans="1:10" x14ac:dyDescent="0.25">
      <c r="C3343" s="9"/>
      <c r="D3343" s="10">
        <v>45702</v>
      </c>
      <c r="E3343" t="s">
        <v>4536</v>
      </c>
      <c r="F3343" s="11" t="s">
        <v>4537</v>
      </c>
      <c r="G3343" s="8">
        <v>1354.92</v>
      </c>
      <c r="H3343" s="8">
        <v>0</v>
      </c>
      <c r="I3343" s="8">
        <f t="shared" si="171"/>
        <v>1354.92</v>
      </c>
      <c r="J3343" s="12"/>
    </row>
    <row r="3344" spans="1:10" x14ac:dyDescent="0.25">
      <c r="C3344" s="9"/>
      <c r="D3344" s="10">
        <v>45705</v>
      </c>
      <c r="E3344" t="s">
        <v>1524</v>
      </c>
      <c r="F3344" s="11" t="s">
        <v>4537</v>
      </c>
      <c r="G3344" s="8">
        <v>0</v>
      </c>
      <c r="H3344" s="8">
        <v>1354.92</v>
      </c>
      <c r="I3344" s="8">
        <f t="shared" si="171"/>
        <v>0</v>
      </c>
      <c r="J3344" s="12"/>
    </row>
    <row r="3345" spans="1:10" x14ac:dyDescent="0.25">
      <c r="C3345" s="9"/>
      <c r="D3345" s="10">
        <v>45716</v>
      </c>
      <c r="E3345" t="s">
        <v>4538</v>
      </c>
      <c r="F3345" s="11" t="s">
        <v>4539</v>
      </c>
      <c r="G3345" s="8">
        <v>622.16999999999996</v>
      </c>
      <c r="H3345" s="8">
        <v>0</v>
      </c>
      <c r="I3345" s="8">
        <f t="shared" si="171"/>
        <v>622.16999999999996</v>
      </c>
      <c r="J3345" s="12"/>
    </row>
    <row r="3346" spans="1:10" x14ac:dyDescent="0.25">
      <c r="C3346" s="9"/>
      <c r="D3346" s="10">
        <v>45720</v>
      </c>
      <c r="E3346" t="s">
        <v>1524</v>
      </c>
      <c r="F3346" s="11" t="s">
        <v>4539</v>
      </c>
      <c r="G3346" s="8">
        <v>0</v>
      </c>
      <c r="H3346" s="8">
        <v>622.16999999999996</v>
      </c>
      <c r="I3346" s="8">
        <f t="shared" si="171"/>
        <v>0</v>
      </c>
      <c r="J3346" s="12"/>
    </row>
    <row r="3347" spans="1:10" x14ac:dyDescent="0.25">
      <c r="C3347" s="9"/>
      <c r="D3347" s="10">
        <v>45730</v>
      </c>
      <c r="E3347" t="s">
        <v>4540</v>
      </c>
      <c r="F3347" s="11" t="s">
        <v>4541</v>
      </c>
      <c r="G3347" s="8">
        <v>582.80999999999995</v>
      </c>
      <c r="H3347" s="8">
        <v>0</v>
      </c>
      <c r="I3347" s="8">
        <f t="shared" si="171"/>
        <v>582.80999999999995</v>
      </c>
      <c r="J3347" s="12"/>
    </row>
    <row r="3348" spans="1:10" x14ac:dyDescent="0.25">
      <c r="C3348" s="9"/>
      <c r="D3348" s="10">
        <v>45733</v>
      </c>
      <c r="E3348" t="s">
        <v>1524</v>
      </c>
      <c r="F3348" s="11" t="s">
        <v>4541</v>
      </c>
      <c r="G3348" s="8">
        <v>0</v>
      </c>
      <c r="H3348" s="8">
        <v>582.80999999999995</v>
      </c>
      <c r="I3348" s="8">
        <f t="shared" si="171"/>
        <v>0</v>
      </c>
      <c r="J3348" s="12"/>
    </row>
    <row r="3349" spans="1:10" x14ac:dyDescent="0.25">
      <c r="C3349" s="9"/>
      <c r="D3349" s="10">
        <v>45747</v>
      </c>
      <c r="E3349" t="s">
        <v>4542</v>
      </c>
      <c r="F3349" s="11" t="s">
        <v>4543</v>
      </c>
      <c r="G3349" s="8">
        <v>109.46</v>
      </c>
      <c r="H3349" s="8">
        <v>0</v>
      </c>
      <c r="I3349" s="8">
        <f t="shared" si="171"/>
        <v>109.46</v>
      </c>
      <c r="J3349" s="12"/>
    </row>
    <row r="3350" spans="1:10" x14ac:dyDescent="0.25">
      <c r="C3350" s="9"/>
      <c r="D3350" s="10">
        <v>45748</v>
      </c>
      <c r="E3350" t="s">
        <v>1524</v>
      </c>
      <c r="F3350" s="11" t="s">
        <v>4543</v>
      </c>
      <c r="G3350" s="8">
        <v>0</v>
      </c>
      <c r="H3350" s="8">
        <v>109.46</v>
      </c>
      <c r="I3350" s="8">
        <f t="shared" si="171"/>
        <v>0</v>
      </c>
      <c r="J3350" s="12"/>
    </row>
    <row r="3351" spans="1:10" x14ac:dyDescent="0.25">
      <c r="C3351" s="9"/>
      <c r="D3351" s="10">
        <v>45762</v>
      </c>
      <c r="E3351" t="s">
        <v>4544</v>
      </c>
      <c r="F3351" s="11" t="s">
        <v>42</v>
      </c>
      <c r="G3351" s="8">
        <v>0</v>
      </c>
      <c r="H3351" s="8">
        <v>818.26</v>
      </c>
      <c r="I3351" s="8">
        <f t="shared" si="171"/>
        <v>-818.26</v>
      </c>
      <c r="J3351" s="12"/>
    </row>
    <row r="3352" spans="1:10" x14ac:dyDescent="0.25">
      <c r="E3352" s="4" t="s">
        <v>20</v>
      </c>
      <c r="G3352" s="8">
        <f>SUM(G3337:G3351)</f>
        <v>6471.0199999999995</v>
      </c>
      <c r="H3352" s="8">
        <f>SUM(H3337:H3351)</f>
        <v>7289.28</v>
      </c>
      <c r="I3352" s="8">
        <f>G3352-H3352</f>
        <v>-818.26000000000022</v>
      </c>
    </row>
    <row r="3354" spans="1:10" x14ac:dyDescent="0.25">
      <c r="A3354" s="5">
        <v>4306535</v>
      </c>
      <c r="B3354" s="6" t="s">
        <v>582</v>
      </c>
      <c r="C3354" s="7"/>
      <c r="D3354" s="7"/>
      <c r="E3354" s="7"/>
      <c r="F3354" s="7"/>
      <c r="G3354" s="7"/>
      <c r="H3354" s="7"/>
      <c r="I3354" s="7"/>
      <c r="J3354" s="7"/>
    </row>
    <row r="3355" spans="1:10" x14ac:dyDescent="0.25">
      <c r="E3355" s="4" t="s">
        <v>10</v>
      </c>
      <c r="G3355" s="8">
        <v>741.81</v>
      </c>
      <c r="H3355" s="8">
        <v>0</v>
      </c>
      <c r="I3355" s="8">
        <f>G3355-H3355</f>
        <v>741.81</v>
      </c>
    </row>
    <row r="3356" spans="1:10" x14ac:dyDescent="0.25">
      <c r="C3356" s="9"/>
      <c r="D3356" s="10">
        <v>45670</v>
      </c>
      <c r="E3356" t="s">
        <v>2568</v>
      </c>
      <c r="F3356" s="11" t="s">
        <v>42</v>
      </c>
      <c r="G3356" s="8">
        <v>0</v>
      </c>
      <c r="H3356" s="8">
        <v>138.01</v>
      </c>
      <c r="I3356" s="8">
        <f t="shared" ref="I3356:I3366" si="172">G3356-H3356+I3355</f>
        <v>603.79999999999995</v>
      </c>
      <c r="J3356" s="12"/>
    </row>
    <row r="3357" spans="1:10" x14ac:dyDescent="0.25">
      <c r="C3357" s="9"/>
      <c r="D3357" s="10">
        <v>45670</v>
      </c>
      <c r="E3357" t="s">
        <v>2568</v>
      </c>
      <c r="F3357" s="11" t="s">
        <v>42</v>
      </c>
      <c r="G3357" s="8">
        <v>0</v>
      </c>
      <c r="H3357" s="8">
        <v>159.80000000000001</v>
      </c>
      <c r="I3357" s="8">
        <f t="shared" si="172"/>
        <v>443.99999999999994</v>
      </c>
      <c r="J3357" s="12"/>
    </row>
    <row r="3358" spans="1:10" x14ac:dyDescent="0.25">
      <c r="C3358" s="9"/>
      <c r="D3358" s="10">
        <v>45671</v>
      </c>
      <c r="E3358" t="s">
        <v>4545</v>
      </c>
      <c r="F3358" s="11" t="s">
        <v>4546</v>
      </c>
      <c r="G3358" s="8">
        <v>256.88</v>
      </c>
      <c r="H3358" s="8">
        <v>0</v>
      </c>
      <c r="I3358" s="8">
        <f t="shared" si="172"/>
        <v>700.87999999999988</v>
      </c>
      <c r="J3358" s="12"/>
    </row>
    <row r="3359" spans="1:10" x14ac:dyDescent="0.25">
      <c r="C3359" s="9"/>
      <c r="D3359" s="10">
        <v>45677</v>
      </c>
      <c r="E3359" t="s">
        <v>2568</v>
      </c>
      <c r="F3359" s="11" t="s">
        <v>42</v>
      </c>
      <c r="G3359" s="8">
        <v>0</v>
      </c>
      <c r="H3359" s="8">
        <v>182.12</v>
      </c>
      <c r="I3359" s="8">
        <f t="shared" si="172"/>
        <v>518.75999999999988</v>
      </c>
      <c r="J3359" s="12"/>
    </row>
    <row r="3360" spans="1:10" x14ac:dyDescent="0.25">
      <c r="C3360" s="9"/>
      <c r="D3360" s="10">
        <v>45688</v>
      </c>
      <c r="E3360" t="s">
        <v>4547</v>
      </c>
      <c r="F3360" s="11" t="s">
        <v>4548</v>
      </c>
      <c r="G3360" s="8">
        <v>492.93</v>
      </c>
      <c r="H3360" s="8">
        <v>0</v>
      </c>
      <c r="I3360" s="8">
        <f t="shared" si="172"/>
        <v>1011.6899999999998</v>
      </c>
      <c r="J3360" s="12"/>
    </row>
    <row r="3361" spans="1:10" x14ac:dyDescent="0.25">
      <c r="C3361" s="9"/>
      <c r="D3361" s="10">
        <v>45691</v>
      </c>
      <c r="E3361" t="s">
        <v>3472</v>
      </c>
      <c r="F3361" s="11" t="s">
        <v>42</v>
      </c>
      <c r="G3361" s="8">
        <v>0</v>
      </c>
      <c r="H3361" s="8">
        <v>144.43</v>
      </c>
      <c r="I3361" s="8">
        <f t="shared" si="172"/>
        <v>867.25999999999976</v>
      </c>
      <c r="J3361" s="12"/>
    </row>
    <row r="3362" spans="1:10" x14ac:dyDescent="0.25">
      <c r="C3362" s="9"/>
      <c r="D3362" s="10">
        <v>45702</v>
      </c>
      <c r="E3362" t="s">
        <v>4549</v>
      </c>
      <c r="F3362" s="11" t="s">
        <v>4550</v>
      </c>
      <c r="G3362" s="8">
        <v>83.07</v>
      </c>
      <c r="H3362" s="8">
        <v>0</v>
      </c>
      <c r="I3362" s="8">
        <f t="shared" si="172"/>
        <v>950.3299999999997</v>
      </c>
      <c r="J3362" s="12"/>
    </row>
    <row r="3363" spans="1:10" x14ac:dyDescent="0.25">
      <c r="C3363" s="9"/>
      <c r="D3363" s="10">
        <v>45712</v>
      </c>
      <c r="E3363" t="s">
        <v>3472</v>
      </c>
      <c r="F3363" s="11" t="s">
        <v>42</v>
      </c>
      <c r="G3363" s="8">
        <v>0</v>
      </c>
      <c r="H3363" s="8">
        <v>253.91</v>
      </c>
      <c r="I3363" s="8">
        <f t="shared" si="172"/>
        <v>696.41999999999973</v>
      </c>
      <c r="J3363" s="12"/>
    </row>
    <row r="3364" spans="1:10" x14ac:dyDescent="0.25">
      <c r="C3364" s="9"/>
      <c r="D3364" s="10">
        <v>45716</v>
      </c>
      <c r="E3364" t="s">
        <v>4551</v>
      </c>
      <c r="F3364" s="11" t="s">
        <v>4552</v>
      </c>
      <c r="G3364" s="8">
        <v>130.74</v>
      </c>
      <c r="H3364" s="8">
        <v>0</v>
      </c>
      <c r="I3364" s="8">
        <f t="shared" si="172"/>
        <v>827.15999999999974</v>
      </c>
      <c r="J3364" s="12"/>
    </row>
    <row r="3365" spans="1:10" x14ac:dyDescent="0.25">
      <c r="C3365" s="9"/>
      <c r="D3365" s="10">
        <v>45730</v>
      </c>
      <c r="E3365" t="s">
        <v>4553</v>
      </c>
      <c r="F3365" s="11" t="s">
        <v>4554</v>
      </c>
      <c r="G3365" s="8">
        <v>121.54</v>
      </c>
      <c r="H3365" s="8">
        <v>0</v>
      </c>
      <c r="I3365" s="8">
        <f t="shared" si="172"/>
        <v>948.6999999999997</v>
      </c>
      <c r="J3365" s="12"/>
    </row>
    <row r="3366" spans="1:10" x14ac:dyDescent="0.25">
      <c r="C3366" s="9"/>
      <c r="D3366" s="10">
        <v>45748</v>
      </c>
      <c r="E3366" t="s">
        <v>3479</v>
      </c>
      <c r="F3366" s="11" t="s">
        <v>42</v>
      </c>
      <c r="G3366" s="8">
        <v>0</v>
      </c>
      <c r="H3366" s="8">
        <v>492.93</v>
      </c>
      <c r="I3366" s="8">
        <f t="shared" si="172"/>
        <v>455.7699999999997</v>
      </c>
      <c r="J3366" s="12"/>
    </row>
    <row r="3367" spans="1:10" x14ac:dyDescent="0.25">
      <c r="E3367" s="4" t="s">
        <v>20</v>
      </c>
      <c r="G3367" s="8">
        <f>SUM(G3355:G3366)</f>
        <v>1826.9699999999998</v>
      </c>
      <c r="H3367" s="8">
        <f>SUM(H3355:H3366)</f>
        <v>1371.2</v>
      </c>
      <c r="I3367" s="8">
        <f>G3367-H3367</f>
        <v>455.76999999999975</v>
      </c>
    </row>
    <row r="3369" spans="1:10" x14ac:dyDescent="0.25">
      <c r="A3369" s="5">
        <v>4306585</v>
      </c>
      <c r="B3369" s="6" t="s">
        <v>4555</v>
      </c>
      <c r="C3369" s="7"/>
      <c r="D3369" s="7"/>
      <c r="E3369" s="7"/>
      <c r="F3369" s="7"/>
      <c r="G3369" s="7"/>
      <c r="H3369" s="7"/>
      <c r="I3369" s="7"/>
      <c r="J3369" s="7"/>
    </row>
    <row r="3370" spans="1:10" x14ac:dyDescent="0.25">
      <c r="E3370" s="4" t="s">
        <v>10</v>
      </c>
      <c r="G3370" s="8">
        <v>619.89</v>
      </c>
      <c r="H3370" s="8">
        <v>0</v>
      </c>
      <c r="I3370" s="8">
        <f>G3370-H3370</f>
        <v>619.89</v>
      </c>
    </row>
    <row r="3371" spans="1:10" x14ac:dyDescent="0.25">
      <c r="C3371" s="9"/>
      <c r="D3371" s="10">
        <v>45671</v>
      </c>
      <c r="E3371" t="s">
        <v>4556</v>
      </c>
      <c r="F3371" s="11" t="s">
        <v>4557</v>
      </c>
      <c r="G3371" s="8">
        <v>125.62</v>
      </c>
      <c r="H3371" s="8">
        <v>0</v>
      </c>
      <c r="I3371" s="8">
        <f t="shared" ref="I3371:I3378" si="173">G3371-H3371+I3370</f>
        <v>745.51</v>
      </c>
      <c r="J3371" s="12"/>
    </row>
    <row r="3372" spans="1:10" x14ac:dyDescent="0.25">
      <c r="C3372" s="9"/>
      <c r="D3372" s="10">
        <v>45672</v>
      </c>
      <c r="E3372" t="s">
        <v>4558</v>
      </c>
      <c r="F3372" s="11" t="s">
        <v>4559</v>
      </c>
      <c r="G3372" s="8">
        <v>0</v>
      </c>
      <c r="H3372" s="8">
        <v>549.86</v>
      </c>
      <c r="I3372" s="8">
        <f t="shared" si="173"/>
        <v>195.64999999999998</v>
      </c>
      <c r="J3372" s="12"/>
    </row>
    <row r="3373" spans="1:10" x14ac:dyDescent="0.25">
      <c r="C3373" s="9"/>
      <c r="D3373" s="10">
        <v>45688</v>
      </c>
      <c r="E3373" t="s">
        <v>4560</v>
      </c>
      <c r="F3373" s="11" t="s">
        <v>4561</v>
      </c>
      <c r="G3373" s="8">
        <v>215.5</v>
      </c>
      <c r="H3373" s="8">
        <v>0</v>
      </c>
      <c r="I3373" s="8">
        <f t="shared" si="173"/>
        <v>411.15</v>
      </c>
      <c r="J3373" s="12"/>
    </row>
    <row r="3374" spans="1:10" x14ac:dyDescent="0.25">
      <c r="C3374" s="9"/>
      <c r="D3374" s="10">
        <v>45688</v>
      </c>
      <c r="E3374" t="s">
        <v>1524</v>
      </c>
      <c r="F3374" s="11" t="s">
        <v>4562</v>
      </c>
      <c r="G3374" s="8">
        <v>0</v>
      </c>
      <c r="H3374" s="8">
        <v>70.03</v>
      </c>
      <c r="I3374" s="8">
        <f t="shared" si="173"/>
        <v>341.12</v>
      </c>
      <c r="J3374" s="12"/>
    </row>
    <row r="3375" spans="1:10" x14ac:dyDescent="0.25">
      <c r="C3375" s="9"/>
      <c r="D3375" s="10">
        <v>45716</v>
      </c>
      <c r="E3375" t="s">
        <v>4563</v>
      </c>
      <c r="F3375" s="11" t="s">
        <v>4564</v>
      </c>
      <c r="G3375" s="8">
        <v>118.5</v>
      </c>
      <c r="H3375" s="8">
        <v>0</v>
      </c>
      <c r="I3375" s="8">
        <f t="shared" si="173"/>
        <v>459.62</v>
      </c>
      <c r="J3375" s="12"/>
    </row>
    <row r="3376" spans="1:10" x14ac:dyDescent="0.25">
      <c r="C3376" s="9"/>
      <c r="D3376" s="10">
        <v>45730</v>
      </c>
      <c r="E3376" t="s">
        <v>1524</v>
      </c>
      <c r="F3376" s="11" t="s">
        <v>4557</v>
      </c>
      <c r="G3376" s="8">
        <v>0</v>
      </c>
      <c r="H3376" s="8">
        <v>125.62</v>
      </c>
      <c r="I3376" s="8">
        <f t="shared" si="173"/>
        <v>334</v>
      </c>
      <c r="J3376" s="12"/>
    </row>
    <row r="3377" spans="1:10" x14ac:dyDescent="0.25">
      <c r="C3377" s="9"/>
      <c r="D3377" s="10">
        <v>45747</v>
      </c>
      <c r="E3377" t="s">
        <v>4565</v>
      </c>
      <c r="F3377" s="11" t="s">
        <v>4566</v>
      </c>
      <c r="G3377" s="8">
        <v>286.83</v>
      </c>
      <c r="H3377" s="8">
        <v>0</v>
      </c>
      <c r="I3377" s="8">
        <f t="shared" si="173"/>
        <v>620.82999999999993</v>
      </c>
      <c r="J3377" s="12"/>
    </row>
    <row r="3378" spans="1:10" x14ac:dyDescent="0.25">
      <c r="C3378" s="9"/>
      <c r="D3378" s="10">
        <v>45747</v>
      </c>
      <c r="E3378" t="s">
        <v>1524</v>
      </c>
      <c r="F3378" s="11" t="s">
        <v>4561</v>
      </c>
      <c r="G3378" s="8">
        <v>0</v>
      </c>
      <c r="H3378" s="8">
        <v>215.5</v>
      </c>
      <c r="I3378" s="8">
        <f t="shared" si="173"/>
        <v>405.32999999999993</v>
      </c>
      <c r="J3378" s="12"/>
    </row>
    <row r="3379" spans="1:10" x14ac:dyDescent="0.25">
      <c r="E3379" s="4" t="s">
        <v>20</v>
      </c>
      <c r="G3379" s="8">
        <f>SUM(G3370:G3378)</f>
        <v>1366.34</v>
      </c>
      <c r="H3379" s="8">
        <f>SUM(H3370:H3378)</f>
        <v>961.01</v>
      </c>
      <c r="I3379" s="8">
        <f>G3379-H3379</f>
        <v>405.32999999999993</v>
      </c>
    </row>
    <row r="3381" spans="1:10" x14ac:dyDescent="0.25">
      <c r="A3381" s="5">
        <v>4306600</v>
      </c>
      <c r="B3381" s="6" t="s">
        <v>4567</v>
      </c>
      <c r="C3381" s="7"/>
      <c r="D3381" s="7"/>
      <c r="E3381" s="7"/>
      <c r="F3381" s="7"/>
      <c r="G3381" s="7"/>
      <c r="H3381" s="7"/>
      <c r="I3381" s="7"/>
      <c r="J3381" s="7"/>
    </row>
    <row r="3382" spans="1:10" x14ac:dyDescent="0.25">
      <c r="C3382" s="9"/>
      <c r="D3382" s="10">
        <v>45688</v>
      </c>
      <c r="E3382" t="s">
        <v>4568</v>
      </c>
      <c r="F3382" s="11" t="s">
        <v>4569</v>
      </c>
      <c r="G3382" s="8">
        <v>61.71</v>
      </c>
      <c r="H3382" s="8">
        <v>0</v>
      </c>
      <c r="I3382" s="8">
        <f>G3382-H3382</f>
        <v>61.71</v>
      </c>
      <c r="J3382" s="12"/>
    </row>
    <row r="3383" spans="1:10" x14ac:dyDescent="0.25">
      <c r="C3383" s="9"/>
      <c r="D3383" s="10">
        <v>45691</v>
      </c>
      <c r="E3383" t="s">
        <v>1524</v>
      </c>
      <c r="F3383" s="11" t="s">
        <v>4569</v>
      </c>
      <c r="G3383" s="8">
        <v>0</v>
      </c>
      <c r="H3383" s="8">
        <v>61.71</v>
      </c>
      <c r="I3383" s="8">
        <f t="shared" ref="I3383:I3390" si="174">G3383-H3383+I3382</f>
        <v>0</v>
      </c>
      <c r="J3383" s="12"/>
    </row>
    <row r="3384" spans="1:10" x14ac:dyDescent="0.25">
      <c r="C3384" s="9"/>
      <c r="D3384" s="10">
        <v>45716</v>
      </c>
      <c r="E3384" t="s">
        <v>4570</v>
      </c>
      <c r="F3384" s="11" t="s">
        <v>4571</v>
      </c>
      <c r="G3384" s="8">
        <v>170.34</v>
      </c>
      <c r="H3384" s="8">
        <v>0</v>
      </c>
      <c r="I3384" s="8">
        <f t="shared" si="174"/>
        <v>170.34</v>
      </c>
      <c r="J3384" s="12"/>
    </row>
    <row r="3385" spans="1:10" x14ac:dyDescent="0.25">
      <c r="C3385" s="9"/>
      <c r="D3385" s="10">
        <v>45720</v>
      </c>
      <c r="E3385" t="s">
        <v>1524</v>
      </c>
      <c r="F3385" s="11" t="s">
        <v>4571</v>
      </c>
      <c r="G3385" s="8">
        <v>0</v>
      </c>
      <c r="H3385" s="8">
        <v>170.34</v>
      </c>
      <c r="I3385" s="8">
        <f t="shared" si="174"/>
        <v>0</v>
      </c>
      <c r="J3385" s="12"/>
    </row>
    <row r="3386" spans="1:10" x14ac:dyDescent="0.25">
      <c r="C3386" s="9"/>
      <c r="D3386" s="10">
        <v>45730</v>
      </c>
      <c r="E3386" t="s">
        <v>4572</v>
      </c>
      <c r="F3386" s="11" t="s">
        <v>4573</v>
      </c>
      <c r="G3386" s="8">
        <v>436.96</v>
      </c>
      <c r="H3386" s="8">
        <v>0</v>
      </c>
      <c r="I3386" s="8">
        <f t="shared" si="174"/>
        <v>436.96</v>
      </c>
      <c r="J3386" s="12"/>
    </row>
    <row r="3387" spans="1:10" x14ac:dyDescent="0.25">
      <c r="C3387" s="9"/>
      <c r="D3387" s="10">
        <v>45733</v>
      </c>
      <c r="E3387" t="s">
        <v>1524</v>
      </c>
      <c r="F3387" s="11" t="s">
        <v>4573</v>
      </c>
      <c r="G3387" s="8">
        <v>0</v>
      </c>
      <c r="H3387" s="8">
        <v>436.96</v>
      </c>
      <c r="I3387" s="8">
        <f t="shared" si="174"/>
        <v>0</v>
      </c>
      <c r="J3387" s="12"/>
    </row>
    <row r="3388" spans="1:10" x14ac:dyDescent="0.25">
      <c r="C3388" s="9"/>
      <c r="D3388" s="10">
        <v>45747</v>
      </c>
      <c r="E3388" t="s">
        <v>4574</v>
      </c>
      <c r="F3388" s="11" t="s">
        <v>4575</v>
      </c>
      <c r="G3388" s="8">
        <v>191.26</v>
      </c>
      <c r="H3388" s="8">
        <v>0</v>
      </c>
      <c r="I3388" s="8">
        <f t="shared" si="174"/>
        <v>191.26</v>
      </c>
      <c r="J3388" s="12"/>
    </row>
    <row r="3389" spans="1:10" x14ac:dyDescent="0.25">
      <c r="C3389" s="9"/>
      <c r="D3389" s="10">
        <v>45748</v>
      </c>
      <c r="E3389" t="s">
        <v>1524</v>
      </c>
      <c r="F3389" s="11" t="s">
        <v>4575</v>
      </c>
      <c r="G3389" s="8">
        <v>0</v>
      </c>
      <c r="H3389" s="8">
        <v>191.26</v>
      </c>
      <c r="I3389" s="8">
        <f t="shared" si="174"/>
        <v>0</v>
      </c>
      <c r="J3389" s="12"/>
    </row>
    <row r="3390" spans="1:10" x14ac:dyDescent="0.25">
      <c r="C3390" s="9"/>
      <c r="D3390" s="10">
        <v>45762</v>
      </c>
      <c r="E3390" t="s">
        <v>4576</v>
      </c>
      <c r="F3390" s="11" t="s">
        <v>42</v>
      </c>
      <c r="G3390" s="8">
        <v>0</v>
      </c>
      <c r="H3390" s="8">
        <v>110.39</v>
      </c>
      <c r="I3390" s="8">
        <f t="shared" si="174"/>
        <v>-110.39</v>
      </c>
      <c r="J3390" s="12"/>
    </row>
    <row r="3391" spans="1:10" x14ac:dyDescent="0.25">
      <c r="E3391" s="4" t="s">
        <v>20</v>
      </c>
      <c r="G3391" s="8">
        <f>SUM(G3382:G3390)</f>
        <v>860.27</v>
      </c>
      <c r="H3391" s="8">
        <f>SUM(H3382:H3390)</f>
        <v>970.66</v>
      </c>
      <c r="I3391" s="8">
        <f>G3391-H3391</f>
        <v>-110.38999999999999</v>
      </c>
    </row>
    <row r="3393" spans="1:10" x14ac:dyDescent="0.25">
      <c r="A3393" s="5">
        <v>4306605</v>
      </c>
      <c r="B3393" s="6" t="s">
        <v>4577</v>
      </c>
      <c r="C3393" s="7"/>
      <c r="D3393" s="7"/>
      <c r="E3393" s="7"/>
      <c r="F3393" s="7"/>
      <c r="G3393" s="7"/>
      <c r="H3393" s="7"/>
      <c r="I3393" s="7"/>
      <c r="J3393" s="7"/>
    </row>
    <row r="3394" spans="1:10" x14ac:dyDescent="0.25">
      <c r="E3394" s="4" t="s">
        <v>10</v>
      </c>
      <c r="G3394" s="8">
        <v>1307.22</v>
      </c>
      <c r="H3394" s="8">
        <v>0</v>
      </c>
      <c r="I3394" s="8">
        <f>G3394-H3394</f>
        <v>1307.22</v>
      </c>
    </row>
    <row r="3395" spans="1:10" x14ac:dyDescent="0.25">
      <c r="C3395" s="9"/>
      <c r="D3395" s="10">
        <v>45660</v>
      </c>
      <c r="E3395" t="s">
        <v>1524</v>
      </c>
      <c r="F3395" s="11" t="s">
        <v>4578</v>
      </c>
      <c r="G3395" s="8">
        <v>0</v>
      </c>
      <c r="H3395" s="8">
        <v>563.17999999999995</v>
      </c>
      <c r="I3395" s="8">
        <f t="shared" ref="I3395:I3401" si="175">G3395-H3395+I3394</f>
        <v>744.04000000000008</v>
      </c>
      <c r="J3395" s="12"/>
    </row>
    <row r="3396" spans="1:10" x14ac:dyDescent="0.25">
      <c r="C3396" s="9"/>
      <c r="D3396" s="10">
        <v>45688</v>
      </c>
      <c r="E3396" t="s">
        <v>4579</v>
      </c>
      <c r="F3396" s="11" t="s">
        <v>4580</v>
      </c>
      <c r="G3396" s="8">
        <v>686.25</v>
      </c>
      <c r="H3396" s="8">
        <v>0</v>
      </c>
      <c r="I3396" s="8">
        <f t="shared" si="175"/>
        <v>1430.29</v>
      </c>
      <c r="J3396" s="12"/>
    </row>
    <row r="3397" spans="1:10" x14ac:dyDescent="0.25">
      <c r="C3397" s="9"/>
      <c r="D3397" s="10">
        <v>45691</v>
      </c>
      <c r="E3397" t="s">
        <v>1524</v>
      </c>
      <c r="F3397" s="11" t="s">
        <v>4580</v>
      </c>
      <c r="G3397" s="8">
        <v>0</v>
      </c>
      <c r="H3397" s="8">
        <v>686.25</v>
      </c>
      <c r="I3397" s="8">
        <f t="shared" si="175"/>
        <v>744.04</v>
      </c>
      <c r="J3397" s="12"/>
    </row>
    <row r="3398" spans="1:10" x14ac:dyDescent="0.25">
      <c r="C3398" s="9"/>
      <c r="D3398" s="10">
        <v>45716</v>
      </c>
      <c r="E3398" t="s">
        <v>4581</v>
      </c>
      <c r="F3398" s="11" t="s">
        <v>4582</v>
      </c>
      <c r="G3398" s="8">
        <v>519.85</v>
      </c>
      <c r="H3398" s="8">
        <v>0</v>
      </c>
      <c r="I3398" s="8">
        <f t="shared" si="175"/>
        <v>1263.8899999999999</v>
      </c>
      <c r="J3398" s="12"/>
    </row>
    <row r="3399" spans="1:10" x14ac:dyDescent="0.25">
      <c r="C3399" s="9"/>
      <c r="D3399" s="10">
        <v>45720</v>
      </c>
      <c r="E3399" t="s">
        <v>1524</v>
      </c>
      <c r="F3399" s="11" t="s">
        <v>4582</v>
      </c>
      <c r="G3399" s="8">
        <v>0</v>
      </c>
      <c r="H3399" s="8">
        <v>519.85</v>
      </c>
      <c r="I3399" s="8">
        <f t="shared" si="175"/>
        <v>744.03999999999985</v>
      </c>
      <c r="J3399" s="12"/>
    </row>
    <row r="3400" spans="1:10" x14ac:dyDescent="0.25">
      <c r="C3400" s="9"/>
      <c r="D3400" s="10">
        <v>45747</v>
      </c>
      <c r="E3400" t="s">
        <v>4583</v>
      </c>
      <c r="F3400" s="11" t="s">
        <v>4584</v>
      </c>
      <c r="G3400" s="8">
        <v>458.21</v>
      </c>
      <c r="H3400" s="8">
        <v>0</v>
      </c>
      <c r="I3400" s="8">
        <f t="shared" si="175"/>
        <v>1202.2499999999998</v>
      </c>
      <c r="J3400" s="12"/>
    </row>
    <row r="3401" spans="1:10" x14ac:dyDescent="0.25">
      <c r="C3401" s="9"/>
      <c r="D3401" s="10">
        <v>45748</v>
      </c>
      <c r="E3401" t="s">
        <v>1524</v>
      </c>
      <c r="F3401" s="11" t="s">
        <v>4584</v>
      </c>
      <c r="G3401" s="8">
        <v>0</v>
      </c>
      <c r="H3401" s="8">
        <v>458.21</v>
      </c>
      <c r="I3401" s="8">
        <f t="shared" si="175"/>
        <v>744.03999999999974</v>
      </c>
      <c r="J3401" s="12"/>
    </row>
    <row r="3402" spans="1:10" x14ac:dyDescent="0.25">
      <c r="E3402" s="4" t="s">
        <v>20</v>
      </c>
      <c r="G3402" s="8">
        <f>SUM(G3394:G3401)</f>
        <v>2971.53</v>
      </c>
      <c r="H3402" s="8">
        <f>SUM(H3394:H3401)</f>
        <v>2227.4899999999998</v>
      </c>
      <c r="I3402" s="8">
        <f>G3402-H3402</f>
        <v>744.04000000000042</v>
      </c>
    </row>
    <row r="3404" spans="1:10" x14ac:dyDescent="0.25">
      <c r="A3404" s="5">
        <v>4306610</v>
      </c>
      <c r="B3404" s="6" t="s">
        <v>4585</v>
      </c>
      <c r="C3404" s="7"/>
      <c r="D3404" s="7"/>
      <c r="E3404" s="7"/>
      <c r="F3404" s="7"/>
      <c r="G3404" s="7"/>
      <c r="H3404" s="7"/>
      <c r="I3404" s="7"/>
      <c r="J3404" s="7"/>
    </row>
    <row r="3405" spans="1:10" x14ac:dyDescent="0.25">
      <c r="E3405" s="4" t="s">
        <v>10</v>
      </c>
      <c r="G3405" s="8">
        <v>0</v>
      </c>
      <c r="H3405" s="8">
        <v>32.43</v>
      </c>
      <c r="I3405" s="8">
        <f>G3405-H3405</f>
        <v>-32.43</v>
      </c>
    </row>
    <row r="3406" spans="1:10" x14ac:dyDescent="0.25">
      <c r="E3406" s="4" t="s">
        <v>20</v>
      </c>
      <c r="G3406" s="8">
        <f>G3405</f>
        <v>0</v>
      </c>
      <c r="H3406" s="8">
        <f>H3405</f>
        <v>32.43</v>
      </c>
      <c r="I3406" s="8">
        <f>G3406-H3406</f>
        <v>-32.43</v>
      </c>
    </row>
    <row r="3408" spans="1:10" x14ac:dyDescent="0.25">
      <c r="A3408" s="5">
        <v>4306615</v>
      </c>
      <c r="B3408" s="6" t="s">
        <v>4586</v>
      </c>
      <c r="C3408" s="7"/>
      <c r="D3408" s="7"/>
      <c r="E3408" s="7"/>
      <c r="F3408" s="7"/>
      <c r="G3408" s="7"/>
      <c r="H3408" s="7"/>
      <c r="I3408" s="7"/>
      <c r="J3408" s="7"/>
    </row>
    <row r="3409" spans="1:10" x14ac:dyDescent="0.25">
      <c r="E3409" s="4" t="s">
        <v>10</v>
      </c>
      <c r="G3409" s="8">
        <v>17.28</v>
      </c>
      <c r="H3409" s="8">
        <v>0</v>
      </c>
      <c r="I3409" s="8">
        <f>G3409-H3409</f>
        <v>17.28</v>
      </c>
    </row>
    <row r="3410" spans="1:10" x14ac:dyDescent="0.25">
      <c r="E3410" s="4" t="s">
        <v>20</v>
      </c>
      <c r="G3410" s="8">
        <f>G3409</f>
        <v>17.28</v>
      </c>
      <c r="H3410" s="8">
        <f>H3409</f>
        <v>0</v>
      </c>
      <c r="I3410" s="8">
        <f>G3410-H3410</f>
        <v>17.28</v>
      </c>
    </row>
    <row r="3412" spans="1:10" x14ac:dyDescent="0.25">
      <c r="A3412" s="5">
        <v>4306625</v>
      </c>
      <c r="B3412" s="6" t="s">
        <v>4587</v>
      </c>
      <c r="C3412" s="7"/>
      <c r="D3412" s="7"/>
      <c r="E3412" s="7"/>
      <c r="F3412" s="7"/>
      <c r="G3412" s="7"/>
      <c r="H3412" s="7"/>
      <c r="I3412" s="7"/>
      <c r="J3412" s="7"/>
    </row>
    <row r="3413" spans="1:10" x14ac:dyDescent="0.25">
      <c r="E3413" s="4" t="s">
        <v>10</v>
      </c>
      <c r="G3413" s="8">
        <v>1040.58</v>
      </c>
      <c r="H3413" s="8">
        <v>0</v>
      </c>
      <c r="I3413" s="8">
        <f>G3413-H3413</f>
        <v>1040.58</v>
      </c>
    </row>
    <row r="3414" spans="1:10" x14ac:dyDescent="0.25">
      <c r="E3414" s="4" t="s">
        <v>20</v>
      </c>
      <c r="G3414" s="8">
        <f>G3413</f>
        <v>1040.58</v>
      </c>
      <c r="H3414" s="8">
        <f>H3413</f>
        <v>0</v>
      </c>
      <c r="I3414" s="8">
        <f>G3414-H3414</f>
        <v>1040.58</v>
      </c>
    </row>
    <row r="3416" spans="1:10" x14ac:dyDescent="0.25">
      <c r="A3416" s="5">
        <v>4306626</v>
      </c>
      <c r="B3416" s="6" t="s">
        <v>4588</v>
      </c>
      <c r="C3416" s="7"/>
      <c r="D3416" s="7"/>
      <c r="E3416" s="7"/>
      <c r="F3416" s="7"/>
      <c r="G3416" s="7"/>
      <c r="H3416" s="7"/>
      <c r="I3416" s="7"/>
      <c r="J3416" s="7"/>
    </row>
    <row r="3417" spans="1:10" x14ac:dyDescent="0.25">
      <c r="E3417" s="4" t="s">
        <v>10</v>
      </c>
      <c r="G3417" s="8">
        <v>300.93</v>
      </c>
      <c r="H3417" s="8">
        <v>0</v>
      </c>
      <c r="I3417" s="8">
        <f>G3417-H3417</f>
        <v>300.93</v>
      </c>
    </row>
    <row r="3418" spans="1:10" x14ac:dyDescent="0.25">
      <c r="C3418" s="9"/>
      <c r="D3418" s="10">
        <v>45659</v>
      </c>
      <c r="E3418" t="s">
        <v>1524</v>
      </c>
      <c r="F3418" s="11" t="s">
        <v>4589</v>
      </c>
      <c r="G3418" s="8">
        <v>0</v>
      </c>
      <c r="H3418" s="8">
        <v>300.93</v>
      </c>
      <c r="I3418" s="8">
        <f t="shared" ref="I3418:I3431" si="176">G3418-H3418+I3417</f>
        <v>0</v>
      </c>
      <c r="J3418" s="12"/>
    </row>
    <row r="3419" spans="1:10" x14ac:dyDescent="0.25">
      <c r="C3419" s="9"/>
      <c r="D3419" s="10">
        <v>45671</v>
      </c>
      <c r="E3419" t="s">
        <v>4590</v>
      </c>
      <c r="F3419" s="11" t="s">
        <v>4591</v>
      </c>
      <c r="G3419" s="8">
        <v>1159.3699999999999</v>
      </c>
      <c r="H3419" s="8">
        <v>0</v>
      </c>
      <c r="I3419" s="8">
        <f t="shared" si="176"/>
        <v>1159.3699999999999</v>
      </c>
      <c r="J3419" s="12"/>
    </row>
    <row r="3420" spans="1:10" x14ac:dyDescent="0.25">
      <c r="C3420" s="9"/>
      <c r="D3420" s="10">
        <v>45672</v>
      </c>
      <c r="E3420" t="s">
        <v>1524</v>
      </c>
      <c r="F3420" s="11" t="s">
        <v>4591</v>
      </c>
      <c r="G3420" s="8">
        <v>0</v>
      </c>
      <c r="H3420" s="8">
        <v>1159.3699999999999</v>
      </c>
      <c r="I3420" s="8">
        <f t="shared" si="176"/>
        <v>0</v>
      </c>
      <c r="J3420" s="12"/>
    </row>
    <row r="3421" spans="1:10" x14ac:dyDescent="0.25">
      <c r="C3421" s="9"/>
      <c r="D3421" s="10">
        <v>45688</v>
      </c>
      <c r="E3421" t="s">
        <v>4592</v>
      </c>
      <c r="F3421" s="11" t="s">
        <v>4593</v>
      </c>
      <c r="G3421" s="8">
        <v>740.63</v>
      </c>
      <c r="H3421" s="8">
        <v>0</v>
      </c>
      <c r="I3421" s="8">
        <f t="shared" si="176"/>
        <v>740.63</v>
      </c>
      <c r="J3421" s="12"/>
    </row>
    <row r="3422" spans="1:10" x14ac:dyDescent="0.25">
      <c r="C3422" s="9"/>
      <c r="D3422" s="10">
        <v>45691</v>
      </c>
      <c r="E3422" t="s">
        <v>1524</v>
      </c>
      <c r="F3422" s="11" t="s">
        <v>4593</v>
      </c>
      <c r="G3422" s="8">
        <v>0</v>
      </c>
      <c r="H3422" s="8">
        <v>740.63</v>
      </c>
      <c r="I3422" s="8">
        <f t="shared" si="176"/>
        <v>0</v>
      </c>
      <c r="J3422" s="12"/>
    </row>
    <row r="3423" spans="1:10" x14ac:dyDescent="0.25">
      <c r="C3423" s="9"/>
      <c r="D3423" s="10">
        <v>45702</v>
      </c>
      <c r="E3423" t="s">
        <v>4594</v>
      </c>
      <c r="F3423" s="11" t="s">
        <v>4595</v>
      </c>
      <c r="G3423" s="8">
        <v>811.96</v>
      </c>
      <c r="H3423" s="8">
        <v>0</v>
      </c>
      <c r="I3423" s="8">
        <f t="shared" si="176"/>
        <v>811.96</v>
      </c>
      <c r="J3423" s="12"/>
    </row>
    <row r="3424" spans="1:10" x14ac:dyDescent="0.25">
      <c r="C3424" s="9"/>
      <c r="D3424" s="10">
        <v>45705</v>
      </c>
      <c r="E3424" t="s">
        <v>1524</v>
      </c>
      <c r="F3424" s="11" t="s">
        <v>4595</v>
      </c>
      <c r="G3424" s="8">
        <v>0</v>
      </c>
      <c r="H3424" s="8">
        <v>811.96</v>
      </c>
      <c r="I3424" s="8">
        <f t="shared" si="176"/>
        <v>0</v>
      </c>
      <c r="J3424" s="12"/>
    </row>
    <row r="3425" spans="1:10" x14ac:dyDescent="0.25">
      <c r="C3425" s="9"/>
      <c r="D3425" s="10">
        <v>45716</v>
      </c>
      <c r="E3425" t="s">
        <v>4596</v>
      </c>
      <c r="F3425" s="11" t="s">
        <v>4597</v>
      </c>
      <c r="G3425" s="8">
        <v>1279.3800000000001</v>
      </c>
      <c r="H3425" s="8">
        <v>0</v>
      </c>
      <c r="I3425" s="8">
        <f t="shared" si="176"/>
        <v>1279.3800000000001</v>
      </c>
      <c r="J3425" s="12"/>
    </row>
    <row r="3426" spans="1:10" x14ac:dyDescent="0.25">
      <c r="C3426" s="9" t="s">
        <v>124</v>
      </c>
      <c r="D3426" s="10">
        <v>45719</v>
      </c>
      <c r="E3426" t="s">
        <v>4598</v>
      </c>
      <c r="F3426" s="11" t="s">
        <v>4597</v>
      </c>
      <c r="G3426" s="8">
        <v>0</v>
      </c>
      <c r="H3426" s="8">
        <v>1279.3800000000001</v>
      </c>
      <c r="I3426" s="8">
        <f t="shared" si="176"/>
        <v>0</v>
      </c>
      <c r="J3426" s="12"/>
    </row>
    <row r="3427" spans="1:10" x14ac:dyDescent="0.25">
      <c r="C3427" s="9"/>
      <c r="D3427" s="10">
        <v>45730</v>
      </c>
      <c r="E3427" t="s">
        <v>4599</v>
      </c>
      <c r="F3427" s="11" t="s">
        <v>4600</v>
      </c>
      <c r="G3427" s="8">
        <v>1132.95</v>
      </c>
      <c r="H3427" s="8">
        <v>0</v>
      </c>
      <c r="I3427" s="8">
        <f t="shared" si="176"/>
        <v>1132.95</v>
      </c>
      <c r="J3427" s="12"/>
    </row>
    <row r="3428" spans="1:10" x14ac:dyDescent="0.25">
      <c r="C3428" s="9"/>
      <c r="D3428" s="10">
        <v>45733</v>
      </c>
      <c r="E3428" t="s">
        <v>1524</v>
      </c>
      <c r="F3428" s="11" t="s">
        <v>4600</v>
      </c>
      <c r="G3428" s="8">
        <v>0</v>
      </c>
      <c r="H3428" s="8">
        <v>1132.95</v>
      </c>
      <c r="I3428" s="8">
        <f t="shared" si="176"/>
        <v>0</v>
      </c>
      <c r="J3428" s="12"/>
    </row>
    <row r="3429" spans="1:10" x14ac:dyDescent="0.25">
      <c r="C3429" s="9"/>
      <c r="D3429" s="10">
        <v>45747</v>
      </c>
      <c r="E3429" t="s">
        <v>4601</v>
      </c>
      <c r="F3429" s="11" t="s">
        <v>4602</v>
      </c>
      <c r="G3429" s="8">
        <v>896.71</v>
      </c>
      <c r="H3429" s="8">
        <v>0</v>
      </c>
      <c r="I3429" s="8">
        <f t="shared" si="176"/>
        <v>896.71</v>
      </c>
      <c r="J3429" s="12"/>
    </row>
    <row r="3430" spans="1:10" x14ac:dyDescent="0.25">
      <c r="C3430" s="9" t="s">
        <v>124</v>
      </c>
      <c r="D3430" s="10">
        <v>45748</v>
      </c>
      <c r="E3430" t="s">
        <v>4603</v>
      </c>
      <c r="F3430" s="11" t="s">
        <v>4602</v>
      </c>
      <c r="G3430" s="8">
        <v>0</v>
      </c>
      <c r="H3430" s="8">
        <v>896.71</v>
      </c>
      <c r="I3430" s="8">
        <f t="shared" si="176"/>
        <v>0</v>
      </c>
      <c r="J3430" s="12"/>
    </row>
    <row r="3431" spans="1:10" x14ac:dyDescent="0.25">
      <c r="C3431" s="9"/>
      <c r="D3431" s="10">
        <v>45762</v>
      </c>
      <c r="E3431" t="s">
        <v>4604</v>
      </c>
      <c r="F3431" s="11" t="s">
        <v>4600</v>
      </c>
      <c r="G3431" s="8">
        <v>0</v>
      </c>
      <c r="H3431" s="8">
        <v>1229.1400000000001</v>
      </c>
      <c r="I3431" s="8">
        <f t="shared" si="176"/>
        <v>-1229.1400000000001</v>
      </c>
      <c r="J3431" s="12"/>
    </row>
    <row r="3432" spans="1:10" x14ac:dyDescent="0.25">
      <c r="E3432" s="4" t="s">
        <v>20</v>
      </c>
      <c r="G3432" s="8">
        <f>SUM(G3417:G3431)</f>
        <v>6321.93</v>
      </c>
      <c r="H3432" s="8">
        <f>SUM(H3417:H3431)</f>
        <v>7551.0700000000006</v>
      </c>
      <c r="I3432" s="8">
        <f>G3432-H3432</f>
        <v>-1229.1400000000003</v>
      </c>
    </row>
    <row r="3434" spans="1:10" x14ac:dyDescent="0.25">
      <c r="A3434" s="5">
        <v>4306635</v>
      </c>
      <c r="B3434" s="6" t="s">
        <v>1027</v>
      </c>
      <c r="C3434" s="7"/>
      <c r="D3434" s="7"/>
      <c r="E3434" s="7"/>
      <c r="F3434" s="7"/>
      <c r="G3434" s="7"/>
      <c r="H3434" s="7"/>
      <c r="I3434" s="7"/>
      <c r="J3434" s="7"/>
    </row>
    <row r="3435" spans="1:10" x14ac:dyDescent="0.25">
      <c r="C3435" s="9"/>
      <c r="D3435" s="10">
        <v>45716</v>
      </c>
      <c r="E3435" t="s">
        <v>4605</v>
      </c>
      <c r="F3435" s="11" t="s">
        <v>4606</v>
      </c>
      <c r="G3435" s="8">
        <v>228.69</v>
      </c>
      <c r="H3435" s="8">
        <v>0</v>
      </c>
      <c r="I3435" s="8">
        <f>G3435-H3435</f>
        <v>228.69</v>
      </c>
      <c r="J3435" s="12"/>
    </row>
    <row r="3436" spans="1:10" x14ac:dyDescent="0.25">
      <c r="E3436" s="4" t="s">
        <v>20</v>
      </c>
      <c r="G3436" s="8">
        <f>G3435</f>
        <v>228.69</v>
      </c>
      <c r="H3436" s="8">
        <f>H3435</f>
        <v>0</v>
      </c>
      <c r="I3436" s="8">
        <f>G3436-H3436</f>
        <v>228.69</v>
      </c>
    </row>
    <row r="3438" spans="1:10" x14ac:dyDescent="0.25">
      <c r="A3438" s="5">
        <v>4306685</v>
      </c>
      <c r="B3438" s="6" t="s">
        <v>4607</v>
      </c>
      <c r="C3438" s="7"/>
      <c r="D3438" s="7"/>
      <c r="E3438" s="7"/>
      <c r="F3438" s="7"/>
      <c r="G3438" s="7"/>
      <c r="H3438" s="7"/>
      <c r="I3438" s="7"/>
      <c r="J3438" s="7"/>
    </row>
    <row r="3439" spans="1:10" x14ac:dyDescent="0.25">
      <c r="E3439" s="4" t="s">
        <v>10</v>
      </c>
      <c r="G3439" s="8">
        <v>451.32</v>
      </c>
      <c r="H3439" s="8">
        <v>0</v>
      </c>
      <c r="I3439" s="8">
        <f>G3439-H3439</f>
        <v>451.32</v>
      </c>
    </row>
    <row r="3440" spans="1:10" x14ac:dyDescent="0.25">
      <c r="C3440" s="9"/>
      <c r="D3440" s="10">
        <v>45685</v>
      </c>
      <c r="E3440" t="s">
        <v>4608</v>
      </c>
      <c r="F3440" s="11" t="s">
        <v>42</v>
      </c>
      <c r="G3440" s="8">
        <v>0</v>
      </c>
      <c r="H3440" s="8">
        <v>451.32</v>
      </c>
      <c r="I3440" s="8">
        <f t="shared" ref="I3440:I3446" si="177">G3440-H3440+I3439</f>
        <v>0</v>
      </c>
      <c r="J3440" s="12"/>
    </row>
    <row r="3441" spans="1:10" x14ac:dyDescent="0.25">
      <c r="C3441" s="9"/>
      <c r="D3441" s="10">
        <v>45688</v>
      </c>
      <c r="E3441" t="s">
        <v>4609</v>
      </c>
      <c r="F3441" s="11" t="s">
        <v>4610</v>
      </c>
      <c r="G3441" s="8">
        <v>117.99</v>
      </c>
      <c r="H3441" s="8">
        <v>0</v>
      </c>
      <c r="I3441" s="8">
        <f t="shared" si="177"/>
        <v>117.99</v>
      </c>
      <c r="J3441" s="12"/>
    </row>
    <row r="3442" spans="1:10" x14ac:dyDescent="0.25">
      <c r="C3442" s="9"/>
      <c r="D3442" s="10">
        <v>45702</v>
      </c>
      <c r="E3442" t="s">
        <v>4611</v>
      </c>
      <c r="F3442" s="11" t="s">
        <v>4612</v>
      </c>
      <c r="G3442" s="8">
        <v>1154.3800000000001</v>
      </c>
      <c r="H3442" s="8">
        <v>0</v>
      </c>
      <c r="I3442" s="8">
        <f t="shared" si="177"/>
        <v>1272.3700000000001</v>
      </c>
      <c r="J3442" s="12"/>
    </row>
    <row r="3443" spans="1:10" x14ac:dyDescent="0.25">
      <c r="C3443" s="9"/>
      <c r="D3443" s="10">
        <v>45716</v>
      </c>
      <c r="E3443" t="s">
        <v>4613</v>
      </c>
      <c r="F3443" s="11" t="s">
        <v>4614</v>
      </c>
      <c r="G3443" s="8">
        <v>1351.62</v>
      </c>
      <c r="H3443" s="8">
        <v>0</v>
      </c>
      <c r="I3443" s="8">
        <f t="shared" si="177"/>
        <v>2623.99</v>
      </c>
      <c r="J3443" s="12"/>
    </row>
    <row r="3444" spans="1:10" x14ac:dyDescent="0.25">
      <c r="C3444" s="9"/>
      <c r="D3444" s="10">
        <v>45730</v>
      </c>
      <c r="E3444" t="s">
        <v>4615</v>
      </c>
      <c r="F3444" s="11" t="s">
        <v>4616</v>
      </c>
      <c r="G3444" s="8">
        <v>519.21</v>
      </c>
      <c r="H3444" s="8">
        <v>0</v>
      </c>
      <c r="I3444" s="8">
        <f t="shared" si="177"/>
        <v>3143.2</v>
      </c>
      <c r="J3444" s="12"/>
    </row>
    <row r="3445" spans="1:10" x14ac:dyDescent="0.25">
      <c r="C3445" s="9"/>
      <c r="D3445" s="10">
        <v>45741</v>
      </c>
      <c r="E3445" t="s">
        <v>4617</v>
      </c>
      <c r="F3445" s="11" t="s">
        <v>42</v>
      </c>
      <c r="G3445" s="8">
        <v>0</v>
      </c>
      <c r="H3445" s="8">
        <v>1272.3699999999999</v>
      </c>
      <c r="I3445" s="8">
        <f t="shared" si="177"/>
        <v>1870.83</v>
      </c>
      <c r="J3445" s="12"/>
    </row>
    <row r="3446" spans="1:10" x14ac:dyDescent="0.25">
      <c r="C3446" s="9"/>
      <c r="D3446" s="10">
        <v>45747</v>
      </c>
      <c r="E3446" t="s">
        <v>4618</v>
      </c>
      <c r="F3446" s="11" t="s">
        <v>4619</v>
      </c>
      <c r="G3446" s="8">
        <v>210.99</v>
      </c>
      <c r="H3446" s="8">
        <v>0</v>
      </c>
      <c r="I3446" s="8">
        <f t="shared" si="177"/>
        <v>2081.8199999999997</v>
      </c>
      <c r="J3446" s="12"/>
    </row>
    <row r="3447" spans="1:10" x14ac:dyDescent="0.25">
      <c r="E3447" s="4" t="s">
        <v>20</v>
      </c>
      <c r="G3447" s="8">
        <f>SUM(G3439:G3446)</f>
        <v>3805.51</v>
      </c>
      <c r="H3447" s="8">
        <f>SUM(H3439:H3446)</f>
        <v>1723.6899999999998</v>
      </c>
      <c r="I3447" s="8">
        <f>G3447-H3447</f>
        <v>2081.8200000000006</v>
      </c>
    </row>
    <row r="3449" spans="1:10" x14ac:dyDescent="0.25">
      <c r="A3449" s="5">
        <v>4306690</v>
      </c>
      <c r="B3449" s="6" t="s">
        <v>4620</v>
      </c>
      <c r="C3449" s="7"/>
      <c r="D3449" s="7"/>
      <c r="E3449" s="7"/>
      <c r="F3449" s="7"/>
      <c r="G3449" s="7"/>
      <c r="H3449" s="7"/>
      <c r="I3449" s="7"/>
      <c r="J3449" s="7"/>
    </row>
    <row r="3450" spans="1:10" x14ac:dyDescent="0.25">
      <c r="E3450" s="4" t="s">
        <v>10</v>
      </c>
      <c r="G3450" s="8">
        <v>503.28</v>
      </c>
      <c r="H3450" s="8">
        <v>0</v>
      </c>
      <c r="I3450" s="8">
        <f>G3450-H3450</f>
        <v>503.28</v>
      </c>
    </row>
    <row r="3451" spans="1:10" x14ac:dyDescent="0.25">
      <c r="C3451" s="9"/>
      <c r="D3451" s="10">
        <v>45659</v>
      </c>
      <c r="E3451" t="s">
        <v>1524</v>
      </c>
      <c r="F3451" s="11" t="s">
        <v>4621</v>
      </c>
      <c r="G3451" s="8">
        <v>0</v>
      </c>
      <c r="H3451" s="8">
        <v>503.28</v>
      </c>
      <c r="I3451" s="8">
        <f t="shared" ref="I3451:I3462" si="178">G3451-H3451+I3450</f>
        <v>0</v>
      </c>
      <c r="J3451" s="12"/>
    </row>
    <row r="3452" spans="1:10" x14ac:dyDescent="0.25">
      <c r="C3452" s="9"/>
      <c r="D3452" s="10">
        <v>45671</v>
      </c>
      <c r="E3452" t="s">
        <v>4622</v>
      </c>
      <c r="F3452" s="11" t="s">
        <v>4623</v>
      </c>
      <c r="G3452" s="8">
        <v>487.45</v>
      </c>
      <c r="H3452" s="8">
        <v>0</v>
      </c>
      <c r="I3452" s="8">
        <f t="shared" si="178"/>
        <v>487.45</v>
      </c>
      <c r="J3452" s="12"/>
    </row>
    <row r="3453" spans="1:10" x14ac:dyDescent="0.25">
      <c r="C3453" s="9"/>
      <c r="D3453" s="10">
        <v>45672</v>
      </c>
      <c r="E3453" t="s">
        <v>1524</v>
      </c>
      <c r="F3453" s="11" t="s">
        <v>4623</v>
      </c>
      <c r="G3453" s="8">
        <v>0</v>
      </c>
      <c r="H3453" s="8">
        <v>487.45</v>
      </c>
      <c r="I3453" s="8">
        <f t="shared" si="178"/>
        <v>0</v>
      </c>
      <c r="J3453" s="12"/>
    </row>
    <row r="3454" spans="1:10" x14ac:dyDescent="0.25">
      <c r="C3454" s="9"/>
      <c r="D3454" s="10">
        <v>45688</v>
      </c>
      <c r="E3454" t="s">
        <v>4624</v>
      </c>
      <c r="F3454" s="11" t="s">
        <v>4625</v>
      </c>
      <c r="G3454" s="8">
        <v>767.1</v>
      </c>
      <c r="H3454" s="8">
        <v>0</v>
      </c>
      <c r="I3454" s="8">
        <f t="shared" si="178"/>
        <v>767.1</v>
      </c>
      <c r="J3454" s="12"/>
    </row>
    <row r="3455" spans="1:10" x14ac:dyDescent="0.25">
      <c r="C3455" s="9"/>
      <c r="D3455" s="10">
        <v>45691</v>
      </c>
      <c r="E3455" t="s">
        <v>1524</v>
      </c>
      <c r="F3455" s="11" t="s">
        <v>4625</v>
      </c>
      <c r="G3455" s="8">
        <v>0</v>
      </c>
      <c r="H3455" s="8">
        <v>767.1</v>
      </c>
      <c r="I3455" s="8">
        <f t="shared" si="178"/>
        <v>0</v>
      </c>
      <c r="J3455" s="12"/>
    </row>
    <row r="3456" spans="1:10" x14ac:dyDescent="0.25">
      <c r="C3456" s="9"/>
      <c r="D3456" s="10">
        <v>45702</v>
      </c>
      <c r="E3456" t="s">
        <v>4626</v>
      </c>
      <c r="F3456" s="11" t="s">
        <v>4627</v>
      </c>
      <c r="G3456" s="8">
        <v>258.48</v>
      </c>
      <c r="H3456" s="8">
        <v>0</v>
      </c>
      <c r="I3456" s="8">
        <f t="shared" si="178"/>
        <v>258.48</v>
      </c>
      <c r="J3456" s="12"/>
    </row>
    <row r="3457" spans="1:10" x14ac:dyDescent="0.25">
      <c r="C3457" s="9"/>
      <c r="D3457" s="10">
        <v>45705</v>
      </c>
      <c r="E3457" t="s">
        <v>1524</v>
      </c>
      <c r="F3457" s="11" t="s">
        <v>4627</v>
      </c>
      <c r="G3457" s="8">
        <v>0</v>
      </c>
      <c r="H3457" s="8">
        <v>258.48</v>
      </c>
      <c r="I3457" s="8">
        <f t="shared" si="178"/>
        <v>0</v>
      </c>
      <c r="J3457" s="12"/>
    </row>
    <row r="3458" spans="1:10" x14ac:dyDescent="0.25">
      <c r="C3458" s="9"/>
      <c r="D3458" s="10">
        <v>45730</v>
      </c>
      <c r="E3458" t="s">
        <v>4628</v>
      </c>
      <c r="F3458" s="11" t="s">
        <v>4629</v>
      </c>
      <c r="G3458" s="8">
        <v>56.14</v>
      </c>
      <c r="H3458" s="8">
        <v>0</v>
      </c>
      <c r="I3458" s="8">
        <f t="shared" si="178"/>
        <v>56.14</v>
      </c>
      <c r="J3458" s="12"/>
    </row>
    <row r="3459" spans="1:10" x14ac:dyDescent="0.25">
      <c r="C3459" s="9"/>
      <c r="D3459" s="10">
        <v>45733</v>
      </c>
      <c r="E3459" t="s">
        <v>4630</v>
      </c>
      <c r="F3459" s="11" t="s">
        <v>42</v>
      </c>
      <c r="G3459" s="8">
        <v>0</v>
      </c>
      <c r="H3459" s="8">
        <v>56.14</v>
      </c>
      <c r="I3459" s="8">
        <f t="shared" si="178"/>
        <v>0</v>
      </c>
      <c r="J3459" s="12"/>
    </row>
    <row r="3460" spans="1:10" x14ac:dyDescent="0.25">
      <c r="C3460" s="9"/>
      <c r="D3460" s="10">
        <v>45747</v>
      </c>
      <c r="E3460" t="s">
        <v>4631</v>
      </c>
      <c r="F3460" s="11" t="s">
        <v>4632</v>
      </c>
      <c r="G3460" s="8">
        <v>262.19</v>
      </c>
      <c r="H3460" s="8">
        <v>0</v>
      </c>
      <c r="I3460" s="8">
        <f t="shared" si="178"/>
        <v>262.19</v>
      </c>
      <c r="J3460" s="12"/>
    </row>
    <row r="3461" spans="1:10" x14ac:dyDescent="0.25">
      <c r="C3461" s="9" t="s">
        <v>124</v>
      </c>
      <c r="D3461" s="10">
        <v>45748</v>
      </c>
      <c r="E3461" t="s">
        <v>4633</v>
      </c>
      <c r="F3461" s="11" t="s">
        <v>4632</v>
      </c>
      <c r="G3461" s="8">
        <v>0</v>
      </c>
      <c r="H3461" s="8">
        <v>262.19</v>
      </c>
      <c r="I3461" s="8">
        <f t="shared" si="178"/>
        <v>0</v>
      </c>
      <c r="J3461" s="12"/>
    </row>
    <row r="3462" spans="1:10" x14ac:dyDescent="0.25">
      <c r="C3462" s="9"/>
      <c r="D3462" s="10">
        <v>45762</v>
      </c>
      <c r="E3462" t="s">
        <v>4630</v>
      </c>
      <c r="F3462" s="11" t="s">
        <v>42</v>
      </c>
      <c r="G3462" s="8">
        <v>0</v>
      </c>
      <c r="H3462" s="8">
        <v>228.11</v>
      </c>
      <c r="I3462" s="8">
        <f t="shared" si="178"/>
        <v>-228.11</v>
      </c>
      <c r="J3462" s="12"/>
    </row>
    <row r="3463" spans="1:10" x14ac:dyDescent="0.25">
      <c r="E3463" s="4" t="s">
        <v>20</v>
      </c>
      <c r="G3463" s="8">
        <f>SUM(G3450:G3462)</f>
        <v>2334.64</v>
      </c>
      <c r="H3463" s="8">
        <f>SUM(H3450:H3462)</f>
        <v>2562.75</v>
      </c>
      <c r="I3463" s="8">
        <f>G3463-H3463</f>
        <v>-228.11000000000013</v>
      </c>
    </row>
    <row r="3465" spans="1:10" x14ac:dyDescent="0.25">
      <c r="A3465" s="5">
        <v>4306740</v>
      </c>
      <c r="B3465" s="6" t="s">
        <v>4634</v>
      </c>
      <c r="C3465" s="7"/>
      <c r="D3465" s="7"/>
      <c r="E3465" s="7"/>
      <c r="F3465" s="7"/>
      <c r="G3465" s="7"/>
      <c r="H3465" s="7"/>
      <c r="I3465" s="7"/>
      <c r="J3465" s="7"/>
    </row>
    <row r="3466" spans="1:10" x14ac:dyDescent="0.25">
      <c r="E3466" s="4" t="s">
        <v>10</v>
      </c>
      <c r="G3466" s="8">
        <v>435.06</v>
      </c>
      <c r="H3466" s="8">
        <v>0</v>
      </c>
      <c r="I3466" s="8">
        <f>G3466-H3466</f>
        <v>435.06</v>
      </c>
    </row>
    <row r="3467" spans="1:10" x14ac:dyDescent="0.25">
      <c r="C3467" s="9"/>
      <c r="D3467" s="10">
        <v>45659</v>
      </c>
      <c r="E3467" t="s">
        <v>2985</v>
      </c>
      <c r="F3467" s="11" t="s">
        <v>4635</v>
      </c>
      <c r="G3467" s="8">
        <v>0</v>
      </c>
      <c r="H3467" s="8">
        <v>125.13</v>
      </c>
      <c r="I3467" s="8">
        <f t="shared" ref="I3467:I3476" si="179">G3467-H3467+I3466</f>
        <v>309.93</v>
      </c>
      <c r="J3467" s="12"/>
    </row>
    <row r="3468" spans="1:10" x14ac:dyDescent="0.25">
      <c r="C3468" s="9"/>
      <c r="D3468" s="10">
        <v>45671</v>
      </c>
      <c r="E3468" t="s">
        <v>4636</v>
      </c>
      <c r="F3468" s="11" t="s">
        <v>4637</v>
      </c>
      <c r="G3468" s="8">
        <v>185.32</v>
      </c>
      <c r="H3468" s="8">
        <v>0</v>
      </c>
      <c r="I3468" s="8">
        <f t="shared" si="179"/>
        <v>495.25</v>
      </c>
      <c r="J3468" s="12"/>
    </row>
    <row r="3469" spans="1:10" x14ac:dyDescent="0.25">
      <c r="C3469" s="9"/>
      <c r="D3469" s="10">
        <v>45678</v>
      </c>
      <c r="E3469" t="s">
        <v>1817</v>
      </c>
      <c r="F3469" s="11" t="s">
        <v>42</v>
      </c>
      <c r="G3469" s="8">
        <v>0</v>
      </c>
      <c r="H3469" s="8">
        <v>135.15</v>
      </c>
      <c r="I3469" s="8">
        <f t="shared" si="179"/>
        <v>360.1</v>
      </c>
      <c r="J3469" s="12"/>
    </row>
    <row r="3470" spans="1:10" x14ac:dyDescent="0.25">
      <c r="C3470" s="9"/>
      <c r="D3470" s="10">
        <v>45688</v>
      </c>
      <c r="E3470" t="s">
        <v>4638</v>
      </c>
      <c r="F3470" s="11" t="s">
        <v>4639</v>
      </c>
      <c r="G3470" s="8">
        <v>167.89</v>
      </c>
      <c r="H3470" s="8">
        <v>0</v>
      </c>
      <c r="I3470" s="8">
        <f t="shared" si="179"/>
        <v>527.99</v>
      </c>
      <c r="J3470" s="12"/>
    </row>
    <row r="3471" spans="1:10" x14ac:dyDescent="0.25">
      <c r="C3471" s="9"/>
      <c r="D3471" s="10">
        <v>45702</v>
      </c>
      <c r="E3471" t="s">
        <v>4640</v>
      </c>
      <c r="F3471" s="11" t="s">
        <v>4641</v>
      </c>
      <c r="G3471" s="8">
        <v>115.16</v>
      </c>
      <c r="H3471" s="8">
        <v>0</v>
      </c>
      <c r="I3471" s="8">
        <f t="shared" si="179"/>
        <v>643.15</v>
      </c>
      <c r="J3471" s="12"/>
    </row>
    <row r="3472" spans="1:10" x14ac:dyDescent="0.25">
      <c r="C3472" s="9"/>
      <c r="D3472" s="10">
        <v>45713</v>
      </c>
      <c r="E3472" t="s">
        <v>1524</v>
      </c>
      <c r="F3472" s="11" t="s">
        <v>4642</v>
      </c>
      <c r="G3472" s="8">
        <v>0</v>
      </c>
      <c r="H3472" s="8">
        <v>185.32</v>
      </c>
      <c r="I3472" s="8">
        <f t="shared" si="179"/>
        <v>457.83</v>
      </c>
      <c r="J3472" s="12"/>
    </row>
    <row r="3473" spans="1:10" x14ac:dyDescent="0.25">
      <c r="C3473" s="9"/>
      <c r="D3473" s="10">
        <v>45716</v>
      </c>
      <c r="E3473" t="s">
        <v>4643</v>
      </c>
      <c r="F3473" s="11" t="s">
        <v>4644</v>
      </c>
      <c r="G3473" s="8">
        <v>43.98</v>
      </c>
      <c r="H3473" s="8">
        <v>0</v>
      </c>
      <c r="I3473" s="8">
        <f t="shared" si="179"/>
        <v>501.81</v>
      </c>
      <c r="J3473" s="12"/>
    </row>
    <row r="3474" spans="1:10" x14ac:dyDescent="0.25">
      <c r="C3474" s="9"/>
      <c r="D3474" s="10">
        <v>45730</v>
      </c>
      <c r="E3474" t="s">
        <v>4645</v>
      </c>
      <c r="F3474" s="11" t="s">
        <v>4646</v>
      </c>
      <c r="G3474" s="8">
        <v>44.02</v>
      </c>
      <c r="H3474" s="8">
        <v>0</v>
      </c>
      <c r="I3474" s="8">
        <f t="shared" si="179"/>
        <v>545.83000000000004</v>
      </c>
      <c r="J3474" s="12"/>
    </row>
    <row r="3475" spans="1:10" x14ac:dyDescent="0.25">
      <c r="C3475" s="9"/>
      <c r="D3475" s="10">
        <v>45741</v>
      </c>
      <c r="E3475" t="s">
        <v>2989</v>
      </c>
      <c r="F3475" s="11" t="s">
        <v>42</v>
      </c>
      <c r="G3475" s="8">
        <v>0</v>
      </c>
      <c r="H3475" s="8">
        <v>283.05</v>
      </c>
      <c r="I3475" s="8">
        <f t="shared" si="179"/>
        <v>262.78000000000003</v>
      </c>
      <c r="J3475" s="12"/>
    </row>
    <row r="3476" spans="1:10" x14ac:dyDescent="0.25">
      <c r="C3476" s="9"/>
      <c r="D3476" s="10">
        <v>45747</v>
      </c>
      <c r="E3476" t="s">
        <v>4647</v>
      </c>
      <c r="F3476" s="11" t="s">
        <v>4648</v>
      </c>
      <c r="G3476" s="8">
        <v>49.66</v>
      </c>
      <c r="H3476" s="8">
        <v>0</v>
      </c>
      <c r="I3476" s="8">
        <f t="shared" si="179"/>
        <v>312.44000000000005</v>
      </c>
      <c r="J3476" s="12"/>
    </row>
    <row r="3477" spans="1:10" x14ac:dyDescent="0.25">
      <c r="E3477" s="4" t="s">
        <v>20</v>
      </c>
      <c r="G3477" s="8">
        <f>SUM(G3466:G3476)</f>
        <v>1041.0899999999999</v>
      </c>
      <c r="H3477" s="8">
        <f>SUM(H3466:H3476)</f>
        <v>728.65</v>
      </c>
      <c r="I3477" s="8">
        <f>G3477-H3477</f>
        <v>312.43999999999994</v>
      </c>
    </row>
    <row r="3479" spans="1:10" x14ac:dyDescent="0.25">
      <c r="A3479" s="5">
        <v>4306745</v>
      </c>
      <c r="B3479" s="6" t="s">
        <v>4649</v>
      </c>
      <c r="C3479" s="7"/>
      <c r="D3479" s="7"/>
      <c r="E3479" s="7"/>
      <c r="F3479" s="7"/>
      <c r="G3479" s="7"/>
      <c r="H3479" s="7"/>
      <c r="I3479" s="7"/>
      <c r="J3479" s="7"/>
    </row>
    <row r="3480" spans="1:10" x14ac:dyDescent="0.25">
      <c r="E3480" s="4" t="s">
        <v>10</v>
      </c>
      <c r="G3480" s="8">
        <v>18.78</v>
      </c>
      <c r="H3480" s="8">
        <v>0</v>
      </c>
      <c r="I3480" s="8">
        <f>G3480-H3480</f>
        <v>18.78</v>
      </c>
    </row>
    <row r="3481" spans="1:10" x14ac:dyDescent="0.25">
      <c r="E3481" s="4" t="s">
        <v>20</v>
      </c>
      <c r="G3481" s="8">
        <f>G3480</f>
        <v>18.78</v>
      </c>
      <c r="H3481" s="8">
        <f>H3480</f>
        <v>0</v>
      </c>
      <c r="I3481" s="8">
        <f>G3481-H3481</f>
        <v>18.78</v>
      </c>
    </row>
    <row r="3483" spans="1:10" x14ac:dyDescent="0.25">
      <c r="A3483" s="5">
        <v>4306760</v>
      </c>
      <c r="B3483" s="6" t="s">
        <v>4650</v>
      </c>
      <c r="C3483" s="7"/>
      <c r="D3483" s="7"/>
      <c r="E3483" s="7"/>
      <c r="F3483" s="7"/>
      <c r="G3483" s="7"/>
      <c r="H3483" s="7"/>
      <c r="I3483" s="7"/>
      <c r="J3483" s="7"/>
    </row>
    <row r="3484" spans="1:10" x14ac:dyDescent="0.25">
      <c r="E3484" s="4" t="s">
        <v>10</v>
      </c>
      <c r="G3484" s="8">
        <v>56.33</v>
      </c>
      <c r="H3484" s="8">
        <v>0</v>
      </c>
      <c r="I3484" s="8">
        <f>G3484-H3484</f>
        <v>56.33</v>
      </c>
    </row>
    <row r="3485" spans="1:10" x14ac:dyDescent="0.25">
      <c r="E3485" s="4" t="s">
        <v>20</v>
      </c>
      <c r="G3485" s="8">
        <f>G3484</f>
        <v>56.33</v>
      </c>
      <c r="H3485" s="8">
        <f>H3484</f>
        <v>0</v>
      </c>
      <c r="I3485" s="8">
        <f>G3485-H3485</f>
        <v>56.33</v>
      </c>
    </row>
    <row r="3487" spans="1:10" x14ac:dyDescent="0.25">
      <c r="A3487" s="5">
        <v>4306775</v>
      </c>
      <c r="B3487" s="6" t="s">
        <v>4651</v>
      </c>
      <c r="C3487" s="7"/>
      <c r="D3487" s="7"/>
      <c r="E3487" s="7"/>
      <c r="F3487" s="7"/>
      <c r="G3487" s="7"/>
      <c r="H3487" s="7"/>
      <c r="I3487" s="7"/>
      <c r="J3487" s="7"/>
    </row>
    <row r="3488" spans="1:10" x14ac:dyDescent="0.25">
      <c r="C3488" s="9"/>
      <c r="D3488" s="10">
        <v>45716</v>
      </c>
      <c r="E3488" t="s">
        <v>4652</v>
      </c>
      <c r="F3488" s="11" t="s">
        <v>4653</v>
      </c>
      <c r="G3488" s="8">
        <v>39</v>
      </c>
      <c r="H3488" s="8">
        <v>0</v>
      </c>
      <c r="I3488" s="8">
        <f>G3488-H3488</f>
        <v>39</v>
      </c>
      <c r="J3488" s="12"/>
    </row>
    <row r="3489" spans="1:10" x14ac:dyDescent="0.25">
      <c r="C3489" s="9"/>
      <c r="D3489" s="10">
        <v>45720</v>
      </c>
      <c r="E3489" t="s">
        <v>4654</v>
      </c>
      <c r="F3489" s="11" t="s">
        <v>42</v>
      </c>
      <c r="G3489" s="8">
        <v>0</v>
      </c>
      <c r="H3489" s="8">
        <v>39</v>
      </c>
      <c r="I3489" s="8">
        <f>G3489-H3489+I3488</f>
        <v>0</v>
      </c>
      <c r="J3489" s="12"/>
    </row>
    <row r="3490" spans="1:10" x14ac:dyDescent="0.25">
      <c r="C3490" s="9"/>
      <c r="D3490" s="10">
        <v>45762</v>
      </c>
      <c r="E3490" t="s">
        <v>4655</v>
      </c>
      <c r="F3490" s="11" t="s">
        <v>42</v>
      </c>
      <c r="G3490" s="8">
        <v>0</v>
      </c>
      <c r="H3490" s="8">
        <v>51.45</v>
      </c>
      <c r="I3490" s="8">
        <f>G3490-H3490+I3489</f>
        <v>-51.45</v>
      </c>
      <c r="J3490" s="12"/>
    </row>
    <row r="3491" spans="1:10" x14ac:dyDescent="0.25">
      <c r="E3491" s="4" t="s">
        <v>20</v>
      </c>
      <c r="G3491" s="8">
        <f>SUM(G3488:G3490)</f>
        <v>39</v>
      </c>
      <c r="H3491" s="8">
        <f>SUM(H3488:H3490)</f>
        <v>90.45</v>
      </c>
      <c r="I3491" s="8">
        <f>G3491-H3491</f>
        <v>-51.45</v>
      </c>
    </row>
    <row r="3493" spans="1:10" x14ac:dyDescent="0.25">
      <c r="A3493" s="5">
        <v>4306800</v>
      </c>
      <c r="B3493" s="6" t="s">
        <v>4656</v>
      </c>
      <c r="C3493" s="7"/>
      <c r="D3493" s="7"/>
      <c r="E3493" s="7"/>
      <c r="F3493" s="7"/>
      <c r="G3493" s="7"/>
      <c r="H3493" s="7"/>
      <c r="I3493" s="7"/>
      <c r="J3493" s="7"/>
    </row>
    <row r="3494" spans="1:10" x14ac:dyDescent="0.25">
      <c r="E3494" s="4" t="s">
        <v>10</v>
      </c>
      <c r="G3494" s="8">
        <v>184.21</v>
      </c>
      <c r="H3494" s="8">
        <v>0</v>
      </c>
      <c r="I3494" s="8">
        <f>G3494-H3494</f>
        <v>184.21</v>
      </c>
    </row>
    <row r="3495" spans="1:10" x14ac:dyDescent="0.25">
      <c r="C3495" s="9"/>
      <c r="D3495" s="10">
        <v>45659</v>
      </c>
      <c r="E3495" t="s">
        <v>1524</v>
      </c>
      <c r="F3495" s="11" t="s">
        <v>4657</v>
      </c>
      <c r="G3495" s="8">
        <v>0</v>
      </c>
      <c r="H3495" s="8">
        <v>184.21</v>
      </c>
      <c r="I3495" s="8">
        <f t="shared" ref="I3495:I3504" si="180">G3495-H3495+I3494</f>
        <v>0</v>
      </c>
      <c r="J3495" s="12"/>
    </row>
    <row r="3496" spans="1:10" x14ac:dyDescent="0.25">
      <c r="C3496" s="9"/>
      <c r="D3496" s="10">
        <v>45671</v>
      </c>
      <c r="E3496" t="s">
        <v>4658</v>
      </c>
      <c r="F3496" s="11" t="s">
        <v>4659</v>
      </c>
      <c r="G3496" s="8">
        <v>93.21</v>
      </c>
      <c r="H3496" s="8">
        <v>0</v>
      </c>
      <c r="I3496" s="8">
        <f t="shared" si="180"/>
        <v>93.21</v>
      </c>
      <c r="J3496" s="12"/>
    </row>
    <row r="3497" spans="1:10" x14ac:dyDescent="0.25">
      <c r="C3497" s="9"/>
      <c r="D3497" s="10">
        <v>45672</v>
      </c>
      <c r="E3497" t="s">
        <v>1524</v>
      </c>
      <c r="F3497" s="11" t="s">
        <v>4659</v>
      </c>
      <c r="G3497" s="8">
        <v>0</v>
      </c>
      <c r="H3497" s="8">
        <v>93.21</v>
      </c>
      <c r="I3497" s="8">
        <f t="shared" si="180"/>
        <v>0</v>
      </c>
      <c r="J3497" s="12"/>
    </row>
    <row r="3498" spans="1:10" x14ac:dyDescent="0.25">
      <c r="C3498" s="9"/>
      <c r="D3498" s="10">
        <v>45688</v>
      </c>
      <c r="E3498" t="s">
        <v>4660</v>
      </c>
      <c r="F3498" s="11" t="s">
        <v>4661</v>
      </c>
      <c r="G3498" s="8">
        <v>80.91</v>
      </c>
      <c r="H3498" s="8">
        <v>0</v>
      </c>
      <c r="I3498" s="8">
        <f t="shared" si="180"/>
        <v>80.91</v>
      </c>
      <c r="J3498" s="12"/>
    </row>
    <row r="3499" spans="1:10" x14ac:dyDescent="0.25">
      <c r="C3499" s="9"/>
      <c r="D3499" s="10">
        <v>45691</v>
      </c>
      <c r="E3499" t="s">
        <v>1524</v>
      </c>
      <c r="F3499" s="11" t="s">
        <v>4661</v>
      </c>
      <c r="G3499" s="8">
        <v>0</v>
      </c>
      <c r="H3499" s="8">
        <v>80.91</v>
      </c>
      <c r="I3499" s="8">
        <f t="shared" si="180"/>
        <v>0</v>
      </c>
      <c r="J3499" s="12"/>
    </row>
    <row r="3500" spans="1:10" x14ac:dyDescent="0.25">
      <c r="C3500" s="9"/>
      <c r="D3500" s="10">
        <v>45702</v>
      </c>
      <c r="E3500" t="s">
        <v>4662</v>
      </c>
      <c r="F3500" s="11" t="s">
        <v>4663</v>
      </c>
      <c r="G3500" s="8">
        <v>98.08</v>
      </c>
      <c r="H3500" s="8">
        <v>0</v>
      </c>
      <c r="I3500" s="8">
        <f t="shared" si="180"/>
        <v>98.08</v>
      </c>
      <c r="J3500" s="12"/>
    </row>
    <row r="3501" spans="1:10" x14ac:dyDescent="0.25">
      <c r="C3501" s="9"/>
      <c r="D3501" s="10">
        <v>45705</v>
      </c>
      <c r="E3501" t="s">
        <v>1524</v>
      </c>
      <c r="F3501" s="11" t="s">
        <v>4663</v>
      </c>
      <c r="G3501" s="8">
        <v>0</v>
      </c>
      <c r="H3501" s="8">
        <v>98.08</v>
      </c>
      <c r="I3501" s="8">
        <f t="shared" si="180"/>
        <v>0</v>
      </c>
      <c r="J3501" s="12"/>
    </row>
    <row r="3502" spans="1:10" x14ac:dyDescent="0.25">
      <c r="C3502" s="9"/>
      <c r="D3502" s="10">
        <v>45730</v>
      </c>
      <c r="E3502" t="s">
        <v>4664</v>
      </c>
      <c r="F3502" s="11" t="s">
        <v>4665</v>
      </c>
      <c r="G3502" s="8">
        <v>140.88999999999999</v>
      </c>
      <c r="H3502" s="8">
        <v>0</v>
      </c>
      <c r="I3502" s="8">
        <f t="shared" si="180"/>
        <v>140.88999999999999</v>
      </c>
      <c r="J3502" s="12"/>
    </row>
    <row r="3503" spans="1:10" x14ac:dyDescent="0.25">
      <c r="C3503" s="9"/>
      <c r="D3503" s="10">
        <v>45733</v>
      </c>
      <c r="E3503" t="s">
        <v>1524</v>
      </c>
      <c r="F3503" s="11" t="s">
        <v>4665</v>
      </c>
      <c r="G3503" s="8">
        <v>0</v>
      </c>
      <c r="H3503" s="8">
        <v>140.88999999999999</v>
      </c>
      <c r="I3503" s="8">
        <f t="shared" si="180"/>
        <v>0</v>
      </c>
      <c r="J3503" s="12"/>
    </row>
    <row r="3504" spans="1:10" x14ac:dyDescent="0.25">
      <c r="C3504" s="9"/>
      <c r="D3504" s="10">
        <v>45762</v>
      </c>
      <c r="E3504" t="s">
        <v>4666</v>
      </c>
      <c r="F3504" s="11" t="s">
        <v>4665</v>
      </c>
      <c r="G3504" s="8">
        <v>0</v>
      </c>
      <c r="H3504" s="8">
        <v>143.16</v>
      </c>
      <c r="I3504" s="8">
        <f t="shared" si="180"/>
        <v>-143.16</v>
      </c>
      <c r="J3504" s="12"/>
    </row>
    <row r="3505" spans="1:10" x14ac:dyDescent="0.25">
      <c r="E3505" s="4" t="s">
        <v>20</v>
      </c>
      <c r="G3505" s="8">
        <f>SUM(G3494:G3504)</f>
        <v>597.29999999999995</v>
      </c>
      <c r="H3505" s="8">
        <f>SUM(H3494:H3504)</f>
        <v>740.45999999999992</v>
      </c>
      <c r="I3505" s="8">
        <f>G3505-H3505</f>
        <v>-143.15999999999997</v>
      </c>
    </row>
    <row r="3507" spans="1:10" x14ac:dyDescent="0.25">
      <c r="A3507" s="5">
        <v>4306805</v>
      </c>
      <c r="B3507" s="6" t="s">
        <v>4667</v>
      </c>
      <c r="C3507" s="7"/>
      <c r="D3507" s="7"/>
      <c r="E3507" s="7"/>
      <c r="F3507" s="7"/>
      <c r="G3507" s="7"/>
      <c r="H3507" s="7"/>
      <c r="I3507" s="7"/>
      <c r="J3507" s="7"/>
    </row>
    <row r="3508" spans="1:10" x14ac:dyDescent="0.25">
      <c r="E3508" s="4" t="s">
        <v>10</v>
      </c>
      <c r="G3508" s="8">
        <v>346.4</v>
      </c>
      <c r="H3508" s="8">
        <v>0</v>
      </c>
      <c r="I3508" s="8">
        <f>G3508-H3508</f>
        <v>346.4</v>
      </c>
    </row>
    <row r="3509" spans="1:10" x14ac:dyDescent="0.25">
      <c r="E3509" s="4" t="s">
        <v>20</v>
      </c>
      <c r="G3509" s="8">
        <f>G3508</f>
        <v>346.4</v>
      </c>
      <c r="H3509" s="8">
        <f>H3508</f>
        <v>0</v>
      </c>
      <c r="I3509" s="8">
        <f>G3509-H3509</f>
        <v>346.4</v>
      </c>
    </row>
    <row r="3511" spans="1:10" x14ac:dyDescent="0.25">
      <c r="A3511" s="5">
        <v>4306810</v>
      </c>
      <c r="B3511" s="6" t="s">
        <v>4668</v>
      </c>
      <c r="C3511" s="7"/>
      <c r="D3511" s="7"/>
      <c r="E3511" s="7"/>
      <c r="F3511" s="7"/>
      <c r="G3511" s="7"/>
      <c r="H3511" s="7"/>
      <c r="I3511" s="7"/>
      <c r="J3511" s="7"/>
    </row>
    <row r="3512" spans="1:10" x14ac:dyDescent="0.25">
      <c r="E3512" s="4" t="s">
        <v>10</v>
      </c>
      <c r="G3512" s="8">
        <v>0</v>
      </c>
      <c r="H3512" s="8">
        <v>189.92</v>
      </c>
      <c r="I3512" s="8">
        <f>G3512-H3512</f>
        <v>-189.92</v>
      </c>
    </row>
    <row r="3513" spans="1:10" x14ac:dyDescent="0.25">
      <c r="C3513" s="9"/>
      <c r="D3513" s="10">
        <v>45667</v>
      </c>
      <c r="E3513" t="s">
        <v>4669</v>
      </c>
      <c r="F3513" s="11" t="s">
        <v>42</v>
      </c>
      <c r="G3513" s="8">
        <v>0</v>
      </c>
      <c r="H3513" s="8">
        <v>80.08</v>
      </c>
      <c r="I3513" s="8">
        <f t="shared" ref="I3513:I3521" si="181">G3513-H3513+I3512</f>
        <v>-270</v>
      </c>
      <c r="J3513" s="12"/>
    </row>
    <row r="3514" spans="1:10" x14ac:dyDescent="0.25">
      <c r="C3514" s="9"/>
      <c r="D3514" s="10">
        <v>45688</v>
      </c>
      <c r="E3514" t="s">
        <v>4670</v>
      </c>
      <c r="F3514" s="11" t="s">
        <v>4671</v>
      </c>
      <c r="G3514" s="8">
        <v>1142.8599999999999</v>
      </c>
      <c r="H3514" s="8">
        <v>0</v>
      </c>
      <c r="I3514" s="8">
        <f t="shared" si="181"/>
        <v>872.8599999999999</v>
      </c>
      <c r="J3514" s="12"/>
    </row>
    <row r="3515" spans="1:10" x14ac:dyDescent="0.25">
      <c r="C3515" s="9"/>
      <c r="D3515" s="10">
        <v>45716</v>
      </c>
      <c r="E3515" t="s">
        <v>4672</v>
      </c>
      <c r="F3515" s="11" t="s">
        <v>4673</v>
      </c>
      <c r="G3515" s="8">
        <v>1386.31</v>
      </c>
      <c r="H3515" s="8">
        <v>0</v>
      </c>
      <c r="I3515" s="8">
        <f t="shared" si="181"/>
        <v>2259.17</v>
      </c>
      <c r="J3515" s="12"/>
    </row>
    <row r="3516" spans="1:10" x14ac:dyDescent="0.25">
      <c r="C3516" s="9"/>
      <c r="D3516" s="10">
        <v>45723</v>
      </c>
      <c r="E3516" t="s">
        <v>1524</v>
      </c>
      <c r="F3516" s="11" t="s">
        <v>4673</v>
      </c>
      <c r="G3516" s="8">
        <v>0</v>
      </c>
      <c r="H3516" s="8">
        <v>1386.31</v>
      </c>
      <c r="I3516" s="8">
        <f t="shared" si="181"/>
        <v>872.86000000000013</v>
      </c>
      <c r="J3516" s="12"/>
    </row>
    <row r="3517" spans="1:10" x14ac:dyDescent="0.25">
      <c r="C3517" s="9"/>
      <c r="D3517" s="10">
        <v>45723</v>
      </c>
      <c r="E3517" t="s">
        <v>1524</v>
      </c>
      <c r="F3517" s="11" t="s">
        <v>4671</v>
      </c>
      <c r="G3517" s="8">
        <v>0</v>
      </c>
      <c r="H3517" s="8">
        <v>1142.8599999999999</v>
      </c>
      <c r="I3517" s="8">
        <f t="shared" si="181"/>
        <v>-269.99999999999977</v>
      </c>
      <c r="J3517" s="12"/>
    </row>
    <row r="3518" spans="1:10" x14ac:dyDescent="0.25">
      <c r="C3518" s="9"/>
      <c r="D3518" s="10">
        <v>45730</v>
      </c>
      <c r="E3518" t="s">
        <v>4674</v>
      </c>
      <c r="F3518" s="11" t="s">
        <v>4675</v>
      </c>
      <c r="G3518" s="8">
        <v>243.03</v>
      </c>
      <c r="H3518" s="8">
        <v>0</v>
      </c>
      <c r="I3518" s="8">
        <f t="shared" si="181"/>
        <v>-26.969999999999771</v>
      </c>
      <c r="J3518" s="12"/>
    </row>
    <row r="3519" spans="1:10" x14ac:dyDescent="0.25">
      <c r="C3519" s="9"/>
      <c r="D3519" s="10">
        <v>45737</v>
      </c>
      <c r="E3519" t="s">
        <v>1524</v>
      </c>
      <c r="F3519" s="11" t="s">
        <v>4675</v>
      </c>
      <c r="G3519" s="8">
        <v>0</v>
      </c>
      <c r="H3519" s="8">
        <v>243.03</v>
      </c>
      <c r="I3519" s="8">
        <f t="shared" si="181"/>
        <v>-269.99999999999977</v>
      </c>
      <c r="J3519" s="12"/>
    </row>
    <row r="3520" spans="1:10" x14ac:dyDescent="0.25">
      <c r="C3520" s="9"/>
      <c r="D3520" s="10">
        <v>45747</v>
      </c>
      <c r="E3520" t="s">
        <v>4676</v>
      </c>
      <c r="F3520" s="11" t="s">
        <v>4677</v>
      </c>
      <c r="G3520" s="8">
        <v>70.430000000000007</v>
      </c>
      <c r="H3520" s="8">
        <v>0</v>
      </c>
      <c r="I3520" s="8">
        <f t="shared" si="181"/>
        <v>-199.56999999999977</v>
      </c>
      <c r="J3520" s="12"/>
    </row>
    <row r="3521" spans="1:10" x14ac:dyDescent="0.25">
      <c r="C3521" s="9"/>
      <c r="D3521" s="10">
        <v>45754</v>
      </c>
      <c r="E3521" t="s">
        <v>1524</v>
      </c>
      <c r="F3521" s="11" t="s">
        <v>4677</v>
      </c>
      <c r="G3521" s="8">
        <v>0</v>
      </c>
      <c r="H3521" s="8">
        <v>70.430000000000007</v>
      </c>
      <c r="I3521" s="8">
        <f t="shared" si="181"/>
        <v>-269.99999999999977</v>
      </c>
      <c r="J3521" s="12"/>
    </row>
    <row r="3522" spans="1:10" x14ac:dyDescent="0.25">
      <c r="E3522" s="4" t="s">
        <v>20</v>
      </c>
      <c r="G3522" s="8">
        <f>SUM(G3512:G3521)</f>
        <v>2842.63</v>
      </c>
      <c r="H3522" s="8">
        <f>SUM(H3512:H3521)</f>
        <v>3112.63</v>
      </c>
      <c r="I3522" s="8">
        <f>G3522-H3522</f>
        <v>-270</v>
      </c>
    </row>
    <row r="3524" spans="1:10" x14ac:dyDescent="0.25">
      <c r="A3524" s="5">
        <v>4306815</v>
      </c>
      <c r="B3524" s="6" t="s">
        <v>4678</v>
      </c>
      <c r="C3524" s="7"/>
      <c r="D3524" s="7"/>
      <c r="E3524" s="7"/>
      <c r="F3524" s="7"/>
      <c r="G3524" s="7"/>
      <c r="H3524" s="7"/>
      <c r="I3524" s="7"/>
      <c r="J3524" s="7"/>
    </row>
    <row r="3525" spans="1:10" x14ac:dyDescent="0.25">
      <c r="E3525" s="4" t="s">
        <v>10</v>
      </c>
      <c r="G3525" s="8">
        <v>345.79</v>
      </c>
      <c r="H3525" s="8">
        <v>0</v>
      </c>
      <c r="I3525" s="8">
        <f>G3525-H3525</f>
        <v>345.79</v>
      </c>
    </row>
    <row r="3526" spans="1:10" x14ac:dyDescent="0.25">
      <c r="C3526" s="9"/>
      <c r="D3526" s="10">
        <v>45659</v>
      </c>
      <c r="E3526" t="s">
        <v>4679</v>
      </c>
      <c r="F3526" s="11" t="s">
        <v>4680</v>
      </c>
      <c r="G3526" s="8">
        <v>0</v>
      </c>
      <c r="H3526" s="8">
        <v>101.62</v>
      </c>
      <c r="I3526" s="8">
        <f>G3526-H3526+I3525</f>
        <v>244.17000000000002</v>
      </c>
      <c r="J3526" s="12"/>
    </row>
    <row r="3527" spans="1:10" x14ac:dyDescent="0.25">
      <c r="C3527" s="9"/>
      <c r="D3527" s="10">
        <v>45702</v>
      </c>
      <c r="E3527" t="s">
        <v>4681</v>
      </c>
      <c r="F3527" s="11" t="s">
        <v>4682</v>
      </c>
      <c r="G3527" s="8">
        <v>961.78</v>
      </c>
      <c r="H3527" s="8">
        <v>0</v>
      </c>
      <c r="I3527" s="8">
        <f>G3527-H3527+I3526</f>
        <v>1205.95</v>
      </c>
      <c r="J3527" s="12"/>
    </row>
    <row r="3528" spans="1:10" x14ac:dyDescent="0.25">
      <c r="C3528" s="9"/>
      <c r="D3528" s="10">
        <v>45720</v>
      </c>
      <c r="E3528" t="s">
        <v>1524</v>
      </c>
      <c r="F3528" s="11" t="s">
        <v>4683</v>
      </c>
      <c r="G3528" s="8">
        <v>0</v>
      </c>
      <c r="H3528" s="8">
        <v>86.02</v>
      </c>
      <c r="I3528" s="8">
        <f>G3528-H3528+I3527</f>
        <v>1119.93</v>
      </c>
      <c r="J3528" s="12"/>
    </row>
    <row r="3529" spans="1:10" x14ac:dyDescent="0.25">
      <c r="C3529" s="9"/>
      <c r="D3529" s="10">
        <v>45747</v>
      </c>
      <c r="E3529" t="s">
        <v>4684</v>
      </c>
      <c r="F3529" s="11" t="s">
        <v>4685</v>
      </c>
      <c r="G3529" s="8">
        <v>279.73</v>
      </c>
      <c r="H3529" s="8">
        <v>0</v>
      </c>
      <c r="I3529" s="8">
        <f>G3529-H3529+I3528</f>
        <v>1399.66</v>
      </c>
      <c r="J3529" s="12"/>
    </row>
    <row r="3530" spans="1:10" x14ac:dyDescent="0.25">
      <c r="C3530" s="9"/>
      <c r="D3530" s="10">
        <v>45749</v>
      </c>
      <c r="E3530" t="s">
        <v>1524</v>
      </c>
      <c r="F3530" s="11" t="s">
        <v>4682</v>
      </c>
      <c r="G3530" s="8">
        <v>0</v>
      </c>
      <c r="H3530" s="8">
        <v>961.78</v>
      </c>
      <c r="I3530" s="8">
        <f>G3530-H3530+I3529</f>
        <v>437.88000000000011</v>
      </c>
      <c r="J3530" s="12"/>
    </row>
    <row r="3531" spans="1:10" x14ac:dyDescent="0.25">
      <c r="E3531" s="4" t="s">
        <v>20</v>
      </c>
      <c r="G3531" s="8">
        <f>SUM(G3525:G3530)</f>
        <v>1587.3</v>
      </c>
      <c r="H3531" s="8">
        <f>SUM(H3525:H3530)</f>
        <v>1149.42</v>
      </c>
      <c r="I3531" s="8">
        <f>G3531-H3531</f>
        <v>437.87999999999988</v>
      </c>
    </row>
    <row r="3533" spans="1:10" x14ac:dyDescent="0.25">
      <c r="A3533" s="5">
        <v>4306825</v>
      </c>
      <c r="B3533" s="6" t="s">
        <v>4686</v>
      </c>
      <c r="C3533" s="7"/>
      <c r="D3533" s="7"/>
      <c r="E3533" s="7"/>
      <c r="F3533" s="7"/>
      <c r="G3533" s="7"/>
      <c r="H3533" s="7"/>
      <c r="I3533" s="7"/>
      <c r="J3533" s="7"/>
    </row>
    <row r="3534" spans="1:10" x14ac:dyDescent="0.25">
      <c r="E3534" s="4" t="s">
        <v>10</v>
      </c>
      <c r="G3534" s="8">
        <v>68.290000000000006</v>
      </c>
      <c r="H3534" s="8">
        <v>0</v>
      </c>
      <c r="I3534" s="8">
        <f>G3534-H3534</f>
        <v>68.290000000000006</v>
      </c>
    </row>
    <row r="3535" spans="1:10" x14ac:dyDescent="0.25">
      <c r="C3535" s="9"/>
      <c r="D3535" s="10">
        <v>45702</v>
      </c>
      <c r="E3535" t="s">
        <v>4687</v>
      </c>
      <c r="F3535" s="11" t="s">
        <v>4688</v>
      </c>
      <c r="G3535" s="8">
        <v>56.91</v>
      </c>
      <c r="H3535" s="8">
        <v>0</v>
      </c>
      <c r="I3535" s="8">
        <f>G3535-H3535+I3534</f>
        <v>125.2</v>
      </c>
      <c r="J3535" s="12"/>
    </row>
    <row r="3536" spans="1:10" x14ac:dyDescent="0.25">
      <c r="C3536" s="9"/>
      <c r="D3536" s="10">
        <v>45713</v>
      </c>
      <c r="E3536" t="s">
        <v>1524</v>
      </c>
      <c r="F3536" s="11" t="s">
        <v>4689</v>
      </c>
      <c r="G3536" s="8">
        <v>0</v>
      </c>
      <c r="H3536" s="8">
        <v>68.290000000000006</v>
      </c>
      <c r="I3536" s="8">
        <f>G3536-H3536+I3535</f>
        <v>56.91</v>
      </c>
      <c r="J3536" s="12"/>
    </row>
    <row r="3537" spans="1:10" x14ac:dyDescent="0.25">
      <c r="E3537" s="4" t="s">
        <v>20</v>
      </c>
      <c r="G3537" s="8">
        <f>SUM(G3534:G3536)</f>
        <v>125.2</v>
      </c>
      <c r="H3537" s="8">
        <f>SUM(H3534:H3536)</f>
        <v>68.290000000000006</v>
      </c>
      <c r="I3537" s="8">
        <f>G3537-H3537</f>
        <v>56.91</v>
      </c>
    </row>
    <row r="3539" spans="1:10" x14ac:dyDescent="0.25">
      <c r="A3539" s="5">
        <v>4306826</v>
      </c>
      <c r="B3539" s="6" t="s">
        <v>4690</v>
      </c>
      <c r="C3539" s="7"/>
      <c r="D3539" s="7"/>
      <c r="E3539" s="7"/>
      <c r="F3539" s="7"/>
      <c r="G3539" s="7"/>
      <c r="H3539" s="7"/>
      <c r="I3539" s="7"/>
      <c r="J3539" s="7"/>
    </row>
    <row r="3540" spans="1:10" x14ac:dyDescent="0.25">
      <c r="E3540" s="4" t="s">
        <v>10</v>
      </c>
      <c r="G3540" s="8">
        <v>563.16</v>
      </c>
      <c r="H3540" s="8">
        <v>0</v>
      </c>
      <c r="I3540" s="8">
        <f>G3540-H3540</f>
        <v>563.16</v>
      </c>
    </row>
    <row r="3541" spans="1:10" x14ac:dyDescent="0.25">
      <c r="C3541" s="9"/>
      <c r="D3541" s="10">
        <v>45684</v>
      </c>
      <c r="E3541" t="s">
        <v>1524</v>
      </c>
      <c r="F3541" s="11" t="s">
        <v>4691</v>
      </c>
      <c r="G3541" s="8">
        <v>0</v>
      </c>
      <c r="H3541" s="8">
        <v>85.21</v>
      </c>
      <c r="I3541" s="8">
        <f>G3541-H3541+I3540</f>
        <v>477.95</v>
      </c>
      <c r="J3541" s="12"/>
    </row>
    <row r="3542" spans="1:10" x14ac:dyDescent="0.25">
      <c r="C3542" s="9"/>
      <c r="D3542" s="10">
        <v>45713</v>
      </c>
      <c r="E3542" t="s">
        <v>1524</v>
      </c>
      <c r="F3542" s="11" t="s">
        <v>4692</v>
      </c>
      <c r="G3542" s="8">
        <v>0</v>
      </c>
      <c r="H3542" s="8">
        <v>477.95</v>
      </c>
      <c r="I3542" s="8">
        <f>G3542-H3542+I3541</f>
        <v>0</v>
      </c>
      <c r="J3542" s="12"/>
    </row>
    <row r="3543" spans="1:10" x14ac:dyDescent="0.25">
      <c r="C3543" s="9"/>
      <c r="D3543" s="10">
        <v>45716</v>
      </c>
      <c r="E3543" t="s">
        <v>4693</v>
      </c>
      <c r="F3543" s="11" t="s">
        <v>4694</v>
      </c>
      <c r="G3543" s="8">
        <v>260.97000000000003</v>
      </c>
      <c r="H3543" s="8">
        <v>0</v>
      </c>
      <c r="I3543" s="8">
        <f>G3543-H3543+I3542</f>
        <v>260.97000000000003</v>
      </c>
      <c r="J3543" s="12"/>
    </row>
    <row r="3544" spans="1:10" x14ac:dyDescent="0.25">
      <c r="C3544" s="9"/>
      <c r="D3544" s="10">
        <v>45747</v>
      </c>
      <c r="E3544" t="s">
        <v>4695</v>
      </c>
      <c r="F3544" s="11" t="s">
        <v>4696</v>
      </c>
      <c r="G3544" s="8">
        <v>120.55</v>
      </c>
      <c r="H3544" s="8">
        <v>0</v>
      </c>
      <c r="I3544" s="8">
        <f>G3544-H3544+I3543</f>
        <v>381.52000000000004</v>
      </c>
      <c r="J3544" s="12"/>
    </row>
    <row r="3545" spans="1:10" x14ac:dyDescent="0.25">
      <c r="E3545" s="4" t="s">
        <v>20</v>
      </c>
      <c r="G3545" s="8">
        <f>SUM(G3540:G3544)</f>
        <v>944.68</v>
      </c>
      <c r="H3545" s="8">
        <f>SUM(H3540:H3544)</f>
        <v>563.16</v>
      </c>
      <c r="I3545" s="8">
        <f>G3545-H3545</f>
        <v>381.52</v>
      </c>
    </row>
    <row r="3547" spans="1:10" x14ac:dyDescent="0.25">
      <c r="A3547" s="5">
        <v>4306830</v>
      </c>
      <c r="B3547" s="6" t="s">
        <v>4697</v>
      </c>
      <c r="C3547" s="7"/>
      <c r="D3547" s="7"/>
      <c r="E3547" s="7"/>
      <c r="F3547" s="7"/>
      <c r="G3547" s="7"/>
      <c r="H3547" s="7"/>
      <c r="I3547" s="7"/>
      <c r="J3547" s="7"/>
    </row>
    <row r="3548" spans="1:10" x14ac:dyDescent="0.25">
      <c r="E3548" s="4" t="s">
        <v>10</v>
      </c>
      <c r="G3548" s="8">
        <v>3812.92</v>
      </c>
      <c r="H3548" s="8">
        <v>0</v>
      </c>
      <c r="I3548" s="8">
        <f>G3548-H3548</f>
        <v>3812.92</v>
      </c>
    </row>
    <row r="3549" spans="1:10" x14ac:dyDescent="0.25">
      <c r="C3549" s="9"/>
      <c r="D3549" s="10">
        <v>45671</v>
      </c>
      <c r="E3549" t="s">
        <v>4698</v>
      </c>
      <c r="F3549" s="11" t="s">
        <v>4699</v>
      </c>
      <c r="G3549" s="8">
        <v>716.74</v>
      </c>
      <c r="H3549" s="8">
        <v>0</v>
      </c>
      <c r="I3549" s="8">
        <f t="shared" ref="I3549:I3559" si="182">G3549-H3549+I3548</f>
        <v>4529.66</v>
      </c>
      <c r="J3549" s="12"/>
    </row>
    <row r="3550" spans="1:10" x14ac:dyDescent="0.25">
      <c r="C3550" s="9"/>
      <c r="D3550" s="10">
        <v>45685</v>
      </c>
      <c r="E3550" t="s">
        <v>4700</v>
      </c>
      <c r="F3550" s="11" t="s">
        <v>4701</v>
      </c>
      <c r="G3550" s="8">
        <v>-34.61</v>
      </c>
      <c r="H3550" s="8">
        <v>0</v>
      </c>
      <c r="I3550" s="8">
        <f t="shared" si="182"/>
        <v>4495.05</v>
      </c>
      <c r="J3550" s="12"/>
    </row>
    <row r="3551" spans="1:10" x14ac:dyDescent="0.25">
      <c r="C3551" s="9"/>
      <c r="D3551" s="10">
        <v>45685</v>
      </c>
      <c r="E3551" t="s">
        <v>4702</v>
      </c>
      <c r="F3551" s="11" t="s">
        <v>42</v>
      </c>
      <c r="G3551" s="8">
        <v>0</v>
      </c>
      <c r="H3551" s="8">
        <v>1984.96</v>
      </c>
      <c r="I3551" s="8">
        <f t="shared" si="182"/>
        <v>2510.09</v>
      </c>
      <c r="J3551" s="12"/>
    </row>
    <row r="3552" spans="1:10" x14ac:dyDescent="0.25">
      <c r="C3552" s="9"/>
      <c r="D3552" s="10">
        <v>45688</v>
      </c>
      <c r="E3552" t="s">
        <v>4703</v>
      </c>
      <c r="F3552" s="11" t="s">
        <v>4704</v>
      </c>
      <c r="G3552" s="8">
        <v>1434.32</v>
      </c>
      <c r="H3552" s="8">
        <v>0</v>
      </c>
      <c r="I3552" s="8">
        <f t="shared" si="182"/>
        <v>3944.41</v>
      </c>
      <c r="J3552" s="12"/>
    </row>
    <row r="3553" spans="1:10" x14ac:dyDescent="0.25">
      <c r="C3553" s="9"/>
      <c r="D3553" s="10">
        <v>45688</v>
      </c>
      <c r="E3553" t="s">
        <v>4705</v>
      </c>
      <c r="F3553" s="11" t="s">
        <v>4706</v>
      </c>
      <c r="G3553" s="8">
        <v>283.61</v>
      </c>
      <c r="H3553" s="8">
        <v>0</v>
      </c>
      <c r="I3553" s="8">
        <f t="shared" si="182"/>
        <v>4228.0199999999995</v>
      </c>
      <c r="J3553" s="12"/>
    </row>
    <row r="3554" spans="1:10" x14ac:dyDescent="0.25">
      <c r="C3554" s="9"/>
      <c r="D3554" s="10">
        <v>45702</v>
      </c>
      <c r="E3554" t="s">
        <v>4707</v>
      </c>
      <c r="F3554" s="11" t="s">
        <v>4708</v>
      </c>
      <c r="G3554" s="8">
        <v>1464.29</v>
      </c>
      <c r="H3554" s="8">
        <v>0</v>
      </c>
      <c r="I3554" s="8">
        <f t="shared" si="182"/>
        <v>5692.3099999999995</v>
      </c>
      <c r="J3554" s="12"/>
    </row>
    <row r="3555" spans="1:10" x14ac:dyDescent="0.25">
      <c r="C3555" s="9"/>
      <c r="D3555" s="10">
        <v>45713</v>
      </c>
      <c r="E3555" t="s">
        <v>4709</v>
      </c>
      <c r="F3555" s="11" t="s">
        <v>42</v>
      </c>
      <c r="G3555" s="8">
        <v>0</v>
      </c>
      <c r="H3555" s="8">
        <v>1582.52</v>
      </c>
      <c r="I3555" s="8">
        <f t="shared" si="182"/>
        <v>4109.7899999999991</v>
      </c>
      <c r="J3555" s="12"/>
    </row>
    <row r="3556" spans="1:10" x14ac:dyDescent="0.25">
      <c r="C3556" s="9"/>
      <c r="D3556" s="10">
        <v>45716</v>
      </c>
      <c r="E3556" t="s">
        <v>4710</v>
      </c>
      <c r="F3556" s="11" t="s">
        <v>4711</v>
      </c>
      <c r="G3556" s="8">
        <v>531.25</v>
      </c>
      <c r="H3556" s="8">
        <v>0</v>
      </c>
      <c r="I3556" s="8">
        <f t="shared" si="182"/>
        <v>4641.0399999999991</v>
      </c>
      <c r="J3556" s="12"/>
    </row>
    <row r="3557" spans="1:10" x14ac:dyDescent="0.25">
      <c r="C3557" s="9"/>
      <c r="D3557" s="10">
        <v>45730</v>
      </c>
      <c r="E3557" t="s">
        <v>4712</v>
      </c>
      <c r="F3557" s="11" t="s">
        <v>4713</v>
      </c>
      <c r="G3557" s="8">
        <v>868.25</v>
      </c>
      <c r="H3557" s="8">
        <v>0</v>
      </c>
      <c r="I3557" s="8">
        <f t="shared" si="182"/>
        <v>5509.2899999999991</v>
      </c>
      <c r="J3557" s="12"/>
    </row>
    <row r="3558" spans="1:10" x14ac:dyDescent="0.25">
      <c r="C3558" s="9"/>
      <c r="D3558" s="10">
        <v>45741</v>
      </c>
      <c r="E3558" t="s">
        <v>4714</v>
      </c>
      <c r="F3558" s="11" t="s">
        <v>42</v>
      </c>
      <c r="G3558" s="8">
        <v>0</v>
      </c>
      <c r="H3558" s="8">
        <v>1307.32</v>
      </c>
      <c r="I3558" s="8">
        <f t="shared" si="182"/>
        <v>4201.9699999999993</v>
      </c>
      <c r="J3558" s="12"/>
    </row>
    <row r="3559" spans="1:10" x14ac:dyDescent="0.25">
      <c r="C3559" s="9"/>
      <c r="D3559" s="10">
        <v>45747</v>
      </c>
      <c r="E3559" t="s">
        <v>4715</v>
      </c>
      <c r="F3559" s="11" t="s">
        <v>4716</v>
      </c>
      <c r="G3559" s="8">
        <v>1481.48</v>
      </c>
      <c r="H3559" s="8">
        <v>0</v>
      </c>
      <c r="I3559" s="8">
        <f t="shared" si="182"/>
        <v>5683.4499999999989</v>
      </c>
      <c r="J3559" s="12"/>
    </row>
    <row r="3560" spans="1:10" x14ac:dyDescent="0.25">
      <c r="E3560" s="4" t="s">
        <v>20</v>
      </c>
      <c r="G3560" s="8">
        <f>SUM(G3548:G3559)</f>
        <v>10558.25</v>
      </c>
      <c r="H3560" s="8">
        <f>SUM(H3548:H3559)</f>
        <v>4874.8</v>
      </c>
      <c r="I3560" s="8">
        <f>G3560-H3560</f>
        <v>5683.45</v>
      </c>
    </row>
    <row r="3562" spans="1:10" x14ac:dyDescent="0.25">
      <c r="A3562" s="5">
        <v>4306835</v>
      </c>
      <c r="B3562" s="6" t="s">
        <v>4717</v>
      </c>
      <c r="C3562" s="7"/>
      <c r="D3562" s="7"/>
      <c r="E3562" s="7"/>
      <c r="F3562" s="7"/>
      <c r="G3562" s="7"/>
      <c r="H3562" s="7"/>
      <c r="I3562" s="7"/>
      <c r="J3562" s="7"/>
    </row>
    <row r="3563" spans="1:10" x14ac:dyDescent="0.25">
      <c r="C3563" s="9"/>
      <c r="D3563" s="10">
        <v>45702</v>
      </c>
      <c r="E3563" t="s">
        <v>4718</v>
      </c>
      <c r="F3563" s="11" t="s">
        <v>4719</v>
      </c>
      <c r="G3563" s="8">
        <v>36.299999999999997</v>
      </c>
      <c r="H3563" s="8">
        <v>0</v>
      </c>
      <c r="I3563" s="8">
        <f>G3563-H3563</f>
        <v>36.299999999999997</v>
      </c>
      <c r="J3563" s="12"/>
    </row>
    <row r="3564" spans="1:10" x14ac:dyDescent="0.25">
      <c r="E3564" s="4" t="s">
        <v>20</v>
      </c>
      <c r="G3564" s="8">
        <f>G3563</f>
        <v>36.299999999999997</v>
      </c>
      <c r="H3564" s="8">
        <f>H3563</f>
        <v>0</v>
      </c>
      <c r="I3564" s="8">
        <f>G3564-H3564</f>
        <v>36.299999999999997</v>
      </c>
    </row>
    <row r="3566" spans="1:10" x14ac:dyDescent="0.25">
      <c r="A3566" s="5">
        <v>4306855</v>
      </c>
      <c r="B3566" s="6" t="s">
        <v>4720</v>
      </c>
      <c r="C3566" s="7"/>
      <c r="D3566" s="7"/>
      <c r="E3566" s="7"/>
      <c r="F3566" s="7"/>
      <c r="G3566" s="7"/>
      <c r="H3566" s="7"/>
      <c r="I3566" s="7"/>
      <c r="J3566" s="7"/>
    </row>
    <row r="3567" spans="1:10" x14ac:dyDescent="0.25">
      <c r="E3567" s="4" t="s">
        <v>10</v>
      </c>
      <c r="G3567" s="8">
        <v>0</v>
      </c>
      <c r="H3567" s="8">
        <v>486.12</v>
      </c>
      <c r="I3567" s="8">
        <f>G3567-H3567</f>
        <v>-486.12</v>
      </c>
    </row>
    <row r="3568" spans="1:10" x14ac:dyDescent="0.25">
      <c r="C3568" s="9"/>
      <c r="D3568" s="10">
        <v>45667</v>
      </c>
      <c r="E3568" t="s">
        <v>4721</v>
      </c>
      <c r="F3568" s="11" t="s">
        <v>42</v>
      </c>
      <c r="G3568" s="8">
        <v>0</v>
      </c>
      <c r="H3568" s="8">
        <v>35.299999999999997</v>
      </c>
      <c r="I3568" s="8">
        <f>G3568-H3568+I3567</f>
        <v>-521.41999999999996</v>
      </c>
      <c r="J3568" s="12"/>
    </row>
    <row r="3569" spans="1:10" x14ac:dyDescent="0.25">
      <c r="E3569" s="4" t="s">
        <v>20</v>
      </c>
      <c r="G3569" s="8">
        <f>SUM(G3567:G3568)</f>
        <v>0</v>
      </c>
      <c r="H3569" s="8">
        <f>SUM(H3567:H3568)</f>
        <v>521.41999999999996</v>
      </c>
      <c r="I3569" s="8">
        <f>G3569-H3569</f>
        <v>-521.41999999999996</v>
      </c>
    </row>
    <row r="3571" spans="1:10" x14ac:dyDescent="0.25">
      <c r="A3571" s="5">
        <v>4306865</v>
      </c>
      <c r="B3571" s="6" t="s">
        <v>4722</v>
      </c>
      <c r="C3571" s="7"/>
      <c r="D3571" s="7"/>
      <c r="E3571" s="7"/>
      <c r="F3571" s="7"/>
      <c r="G3571" s="7"/>
      <c r="H3571" s="7"/>
      <c r="I3571" s="7"/>
      <c r="J3571" s="7"/>
    </row>
    <row r="3572" spans="1:10" x14ac:dyDescent="0.25">
      <c r="E3572" s="4" t="s">
        <v>10</v>
      </c>
      <c r="G3572" s="8">
        <v>16.079999999999998</v>
      </c>
      <c r="H3572" s="8">
        <v>0</v>
      </c>
      <c r="I3572" s="8">
        <f>G3572-H3572</f>
        <v>16.079999999999998</v>
      </c>
    </row>
    <row r="3573" spans="1:10" x14ac:dyDescent="0.25">
      <c r="E3573" s="4" t="s">
        <v>20</v>
      </c>
      <c r="G3573" s="8">
        <f>G3572</f>
        <v>16.079999999999998</v>
      </c>
      <c r="H3573" s="8">
        <f>H3572</f>
        <v>0</v>
      </c>
      <c r="I3573" s="8">
        <f>G3573-H3573</f>
        <v>16.079999999999998</v>
      </c>
    </row>
    <row r="3575" spans="1:10" x14ac:dyDescent="0.25">
      <c r="A3575" s="5">
        <v>4306870</v>
      </c>
      <c r="B3575" s="6" t="s">
        <v>4723</v>
      </c>
      <c r="C3575" s="7"/>
      <c r="D3575" s="7"/>
      <c r="E3575" s="7"/>
      <c r="F3575" s="7"/>
      <c r="G3575" s="7"/>
      <c r="H3575" s="7"/>
      <c r="I3575" s="7"/>
      <c r="J3575" s="7"/>
    </row>
    <row r="3576" spans="1:10" x14ac:dyDescent="0.25">
      <c r="E3576" s="4" t="s">
        <v>10</v>
      </c>
      <c r="G3576" s="8">
        <v>0</v>
      </c>
      <c r="H3576" s="8">
        <v>621.44000000000005</v>
      </c>
      <c r="I3576" s="8">
        <f>G3576-H3576</f>
        <v>-621.44000000000005</v>
      </c>
    </row>
    <row r="3577" spans="1:10" x14ac:dyDescent="0.25">
      <c r="E3577" s="4" t="s">
        <v>20</v>
      </c>
      <c r="G3577" s="8">
        <f>G3576</f>
        <v>0</v>
      </c>
      <c r="H3577" s="8">
        <f>H3576</f>
        <v>621.44000000000005</v>
      </c>
      <c r="I3577" s="8">
        <f>G3577-H3577</f>
        <v>-621.44000000000005</v>
      </c>
    </row>
    <row r="3579" spans="1:10" x14ac:dyDescent="0.25">
      <c r="A3579" s="5">
        <v>4306885</v>
      </c>
      <c r="B3579" s="6" t="s">
        <v>4724</v>
      </c>
      <c r="C3579" s="7"/>
      <c r="D3579" s="7"/>
      <c r="E3579" s="7"/>
      <c r="F3579" s="7"/>
      <c r="G3579" s="7"/>
      <c r="H3579" s="7"/>
      <c r="I3579" s="7"/>
      <c r="J3579" s="7"/>
    </row>
    <row r="3580" spans="1:10" x14ac:dyDescent="0.25">
      <c r="E3580" s="4" t="s">
        <v>10</v>
      </c>
      <c r="G3580" s="8">
        <v>24.25</v>
      </c>
      <c r="H3580" s="8">
        <v>0</v>
      </c>
      <c r="I3580" s="8">
        <f>G3580-H3580</f>
        <v>24.25</v>
      </c>
    </row>
    <row r="3581" spans="1:10" x14ac:dyDescent="0.25">
      <c r="C3581" s="9"/>
      <c r="D3581" s="10">
        <v>45688</v>
      </c>
      <c r="E3581" t="s">
        <v>4725</v>
      </c>
      <c r="F3581" s="11" t="s">
        <v>4726</v>
      </c>
      <c r="G3581" s="8">
        <v>34.61</v>
      </c>
      <c r="H3581" s="8">
        <v>0</v>
      </c>
      <c r="I3581" s="8">
        <f t="shared" ref="I3581:I3587" si="183">G3581-H3581+I3580</f>
        <v>58.86</v>
      </c>
      <c r="J3581" s="12"/>
    </row>
    <row r="3582" spans="1:10" x14ac:dyDescent="0.25">
      <c r="C3582" s="9"/>
      <c r="D3582" s="10">
        <v>45691</v>
      </c>
      <c r="E3582" t="s">
        <v>4727</v>
      </c>
      <c r="F3582" s="11" t="s">
        <v>42</v>
      </c>
      <c r="G3582" s="8">
        <v>0</v>
      </c>
      <c r="H3582" s="8">
        <v>58.86</v>
      </c>
      <c r="I3582" s="8">
        <f t="shared" si="183"/>
        <v>0</v>
      </c>
      <c r="J3582" s="12"/>
    </row>
    <row r="3583" spans="1:10" x14ac:dyDescent="0.25">
      <c r="C3583" s="9"/>
      <c r="D3583" s="10">
        <v>45702</v>
      </c>
      <c r="E3583" t="s">
        <v>4728</v>
      </c>
      <c r="F3583" s="11" t="s">
        <v>4729</v>
      </c>
      <c r="G3583" s="8">
        <v>190.16</v>
      </c>
      <c r="H3583" s="8">
        <v>0</v>
      </c>
      <c r="I3583" s="8">
        <f t="shared" si="183"/>
        <v>190.16</v>
      </c>
      <c r="J3583" s="12"/>
    </row>
    <row r="3584" spans="1:10" x14ac:dyDescent="0.25">
      <c r="C3584" s="9"/>
      <c r="D3584" s="10">
        <v>45705</v>
      </c>
      <c r="E3584" t="s">
        <v>1524</v>
      </c>
      <c r="F3584" s="11" t="s">
        <v>4729</v>
      </c>
      <c r="G3584" s="8">
        <v>0</v>
      </c>
      <c r="H3584" s="8">
        <v>190.16</v>
      </c>
      <c r="I3584" s="8">
        <f t="shared" si="183"/>
        <v>0</v>
      </c>
      <c r="J3584" s="12"/>
    </row>
    <row r="3585" spans="1:10" x14ac:dyDescent="0.25">
      <c r="C3585" s="9"/>
      <c r="D3585" s="10">
        <v>45730</v>
      </c>
      <c r="E3585" t="s">
        <v>4730</v>
      </c>
      <c r="F3585" s="11" t="s">
        <v>4731</v>
      </c>
      <c r="G3585" s="8">
        <v>97.55</v>
      </c>
      <c r="H3585" s="8">
        <v>0</v>
      </c>
      <c r="I3585" s="8">
        <f t="shared" si="183"/>
        <v>97.55</v>
      </c>
      <c r="J3585" s="12"/>
    </row>
    <row r="3586" spans="1:10" x14ac:dyDescent="0.25">
      <c r="C3586" s="9"/>
      <c r="D3586" s="10">
        <v>45733</v>
      </c>
      <c r="E3586" t="s">
        <v>1524</v>
      </c>
      <c r="F3586" s="11" t="s">
        <v>4731</v>
      </c>
      <c r="G3586" s="8">
        <v>0</v>
      </c>
      <c r="H3586" s="8">
        <v>97.55</v>
      </c>
      <c r="I3586" s="8">
        <f t="shared" si="183"/>
        <v>0</v>
      </c>
      <c r="J3586" s="12"/>
    </row>
    <row r="3587" spans="1:10" x14ac:dyDescent="0.25">
      <c r="C3587" s="9"/>
      <c r="D3587" s="10">
        <v>45762</v>
      </c>
      <c r="E3587" t="s">
        <v>4727</v>
      </c>
      <c r="F3587" s="11" t="s">
        <v>42</v>
      </c>
      <c r="G3587" s="8">
        <v>0</v>
      </c>
      <c r="H3587" s="8">
        <v>71.260000000000005</v>
      </c>
      <c r="I3587" s="8">
        <f t="shared" si="183"/>
        <v>-71.260000000000005</v>
      </c>
      <c r="J3587" s="12"/>
    </row>
    <row r="3588" spans="1:10" x14ac:dyDescent="0.25">
      <c r="E3588" s="4" t="s">
        <v>20</v>
      </c>
      <c r="G3588" s="8">
        <f>SUM(G3580:G3587)</f>
        <v>346.57</v>
      </c>
      <c r="H3588" s="8">
        <f>SUM(H3580:H3587)</f>
        <v>417.83</v>
      </c>
      <c r="I3588" s="8">
        <f>G3588-H3588</f>
        <v>-71.259999999999991</v>
      </c>
    </row>
    <row r="3590" spans="1:10" x14ac:dyDescent="0.25">
      <c r="A3590" s="5">
        <v>4306895</v>
      </c>
      <c r="B3590" s="6" t="s">
        <v>4732</v>
      </c>
      <c r="C3590" s="7"/>
      <c r="D3590" s="7"/>
      <c r="E3590" s="7"/>
      <c r="F3590" s="7"/>
      <c r="G3590" s="7"/>
      <c r="H3590" s="7"/>
      <c r="I3590" s="7"/>
      <c r="J3590" s="7"/>
    </row>
    <row r="3591" spans="1:10" x14ac:dyDescent="0.25">
      <c r="E3591" s="4" t="s">
        <v>10</v>
      </c>
      <c r="G3591" s="8">
        <v>0</v>
      </c>
      <c r="H3591" s="8">
        <v>168.05</v>
      </c>
      <c r="I3591" s="8">
        <f>G3591-H3591</f>
        <v>-168.05</v>
      </c>
    </row>
    <row r="3592" spans="1:10" x14ac:dyDescent="0.25">
      <c r="C3592" s="9"/>
      <c r="D3592" s="10">
        <v>45671</v>
      </c>
      <c r="E3592" t="s">
        <v>4733</v>
      </c>
      <c r="F3592" s="11" t="s">
        <v>4734</v>
      </c>
      <c r="G3592" s="8">
        <v>61.75</v>
      </c>
      <c r="H3592" s="8">
        <v>0</v>
      </c>
      <c r="I3592" s="8">
        <f t="shared" ref="I3592:I3602" si="184">G3592-H3592+I3591</f>
        <v>-106.30000000000001</v>
      </c>
      <c r="J3592" s="12"/>
    </row>
    <row r="3593" spans="1:10" x14ac:dyDescent="0.25">
      <c r="C3593" s="9"/>
      <c r="D3593" s="10">
        <v>45672</v>
      </c>
      <c r="E3593" t="s">
        <v>4735</v>
      </c>
      <c r="F3593" s="11" t="s">
        <v>42</v>
      </c>
      <c r="G3593" s="8">
        <v>0</v>
      </c>
      <c r="H3593" s="8">
        <v>83.38</v>
      </c>
      <c r="I3593" s="8">
        <f t="shared" si="184"/>
        <v>-189.68</v>
      </c>
      <c r="J3593" s="12"/>
    </row>
    <row r="3594" spans="1:10" x14ac:dyDescent="0.25">
      <c r="C3594" s="9"/>
      <c r="D3594" s="10">
        <v>45688</v>
      </c>
      <c r="E3594" t="s">
        <v>4736</v>
      </c>
      <c r="F3594" s="11" t="s">
        <v>4737</v>
      </c>
      <c r="G3594" s="8">
        <v>141.59</v>
      </c>
      <c r="H3594" s="8">
        <v>0</v>
      </c>
      <c r="I3594" s="8">
        <f t="shared" si="184"/>
        <v>-48.09</v>
      </c>
      <c r="J3594" s="12"/>
    </row>
    <row r="3595" spans="1:10" x14ac:dyDescent="0.25">
      <c r="C3595" s="9"/>
      <c r="D3595" s="10">
        <v>45691</v>
      </c>
      <c r="E3595" t="s">
        <v>1524</v>
      </c>
      <c r="F3595" s="11" t="s">
        <v>4737</v>
      </c>
      <c r="G3595" s="8">
        <v>0</v>
      </c>
      <c r="H3595" s="8">
        <v>141.59</v>
      </c>
      <c r="I3595" s="8">
        <f t="shared" si="184"/>
        <v>-189.68</v>
      </c>
      <c r="J3595" s="12"/>
    </row>
    <row r="3596" spans="1:10" x14ac:dyDescent="0.25">
      <c r="C3596" s="9"/>
      <c r="D3596" s="10">
        <v>45702</v>
      </c>
      <c r="E3596" t="s">
        <v>4738</v>
      </c>
      <c r="F3596" s="11" t="s">
        <v>4739</v>
      </c>
      <c r="G3596" s="8">
        <v>99.46</v>
      </c>
      <c r="H3596" s="8">
        <v>0</v>
      </c>
      <c r="I3596" s="8">
        <f t="shared" si="184"/>
        <v>-90.220000000000013</v>
      </c>
      <c r="J3596" s="12"/>
    </row>
    <row r="3597" spans="1:10" x14ac:dyDescent="0.25">
      <c r="C3597" s="9"/>
      <c r="D3597" s="10">
        <v>45705</v>
      </c>
      <c r="E3597" t="s">
        <v>1524</v>
      </c>
      <c r="F3597" s="11" t="s">
        <v>4739</v>
      </c>
      <c r="G3597" s="8">
        <v>0</v>
      </c>
      <c r="H3597" s="8">
        <v>99.46</v>
      </c>
      <c r="I3597" s="8">
        <f t="shared" si="184"/>
        <v>-189.68</v>
      </c>
      <c r="J3597" s="12"/>
    </row>
    <row r="3598" spans="1:10" x14ac:dyDescent="0.25">
      <c r="C3598" s="9"/>
      <c r="D3598" s="10">
        <v>45730</v>
      </c>
      <c r="E3598" t="s">
        <v>4740</v>
      </c>
      <c r="F3598" s="11" t="s">
        <v>4741</v>
      </c>
      <c r="G3598" s="8">
        <v>72.680000000000007</v>
      </c>
      <c r="H3598" s="8">
        <v>0</v>
      </c>
      <c r="I3598" s="8">
        <f t="shared" si="184"/>
        <v>-117</v>
      </c>
      <c r="J3598" s="12"/>
    </row>
    <row r="3599" spans="1:10" x14ac:dyDescent="0.25">
      <c r="C3599" s="9"/>
      <c r="D3599" s="10">
        <v>45733</v>
      </c>
      <c r="E3599" t="s">
        <v>1524</v>
      </c>
      <c r="F3599" s="11" t="s">
        <v>4741</v>
      </c>
      <c r="G3599" s="8">
        <v>0</v>
      </c>
      <c r="H3599" s="8">
        <v>72.680000000000007</v>
      </c>
      <c r="I3599" s="8">
        <f t="shared" si="184"/>
        <v>-189.68</v>
      </c>
      <c r="J3599" s="12"/>
    </row>
    <row r="3600" spans="1:10" x14ac:dyDescent="0.25">
      <c r="C3600" s="9"/>
      <c r="D3600" s="10">
        <v>45747</v>
      </c>
      <c r="E3600" t="s">
        <v>4742</v>
      </c>
      <c r="F3600" s="11" t="s">
        <v>4743</v>
      </c>
      <c r="G3600" s="8">
        <v>206.68</v>
      </c>
      <c r="H3600" s="8">
        <v>0</v>
      </c>
      <c r="I3600" s="8">
        <f t="shared" si="184"/>
        <v>17</v>
      </c>
      <c r="J3600" s="12"/>
    </row>
    <row r="3601" spans="1:10" x14ac:dyDescent="0.25">
      <c r="C3601" s="9"/>
      <c r="D3601" s="10">
        <v>45748</v>
      </c>
      <c r="E3601" t="s">
        <v>1524</v>
      </c>
      <c r="F3601" s="11" t="s">
        <v>4743</v>
      </c>
      <c r="G3601" s="8">
        <v>0</v>
      </c>
      <c r="H3601" s="8">
        <v>206.68</v>
      </c>
      <c r="I3601" s="8">
        <f t="shared" si="184"/>
        <v>-189.68</v>
      </c>
      <c r="J3601" s="12"/>
    </row>
    <row r="3602" spans="1:10" x14ac:dyDescent="0.25">
      <c r="C3602" s="9"/>
      <c r="D3602" s="10">
        <v>45762</v>
      </c>
      <c r="E3602" t="s">
        <v>4735</v>
      </c>
      <c r="F3602" s="11" t="s">
        <v>42</v>
      </c>
      <c r="G3602" s="8">
        <v>0</v>
      </c>
      <c r="H3602" s="8">
        <v>1072.54</v>
      </c>
      <c r="I3602" s="8">
        <f t="shared" si="184"/>
        <v>-1262.22</v>
      </c>
      <c r="J3602" s="12"/>
    </row>
    <row r="3603" spans="1:10" x14ac:dyDescent="0.25">
      <c r="E3603" s="4" t="s">
        <v>20</v>
      </c>
      <c r="G3603" s="8">
        <f>SUM(G3591:G3602)</f>
        <v>582.16000000000008</v>
      </c>
      <c r="H3603" s="8">
        <f>SUM(H3591:H3602)</f>
        <v>1844.3799999999999</v>
      </c>
      <c r="I3603" s="8">
        <f>G3603-H3603</f>
        <v>-1262.2199999999998</v>
      </c>
    </row>
    <row r="3605" spans="1:10" x14ac:dyDescent="0.25">
      <c r="A3605" s="5">
        <v>4306915</v>
      </c>
      <c r="B3605" s="6" t="s">
        <v>4744</v>
      </c>
      <c r="C3605" s="7"/>
      <c r="D3605" s="7"/>
      <c r="E3605" s="7"/>
      <c r="F3605" s="7"/>
      <c r="G3605" s="7"/>
      <c r="H3605" s="7"/>
      <c r="I3605" s="7"/>
      <c r="J3605" s="7"/>
    </row>
    <row r="3606" spans="1:10" x14ac:dyDescent="0.25">
      <c r="E3606" s="4" t="s">
        <v>10</v>
      </c>
      <c r="G3606" s="8">
        <v>0.75</v>
      </c>
      <c r="H3606" s="8">
        <v>0</v>
      </c>
      <c r="I3606" s="8">
        <f>G3606-H3606</f>
        <v>0.75</v>
      </c>
    </row>
    <row r="3607" spans="1:10" x14ac:dyDescent="0.25">
      <c r="E3607" s="4" t="s">
        <v>20</v>
      </c>
      <c r="G3607" s="8">
        <f>G3606</f>
        <v>0.75</v>
      </c>
      <c r="H3607" s="8">
        <f>H3606</f>
        <v>0</v>
      </c>
      <c r="I3607" s="8">
        <f>G3607-H3607</f>
        <v>0.75</v>
      </c>
    </row>
    <row r="3609" spans="1:10" x14ac:dyDescent="0.25">
      <c r="A3609" s="5">
        <v>4306925</v>
      </c>
      <c r="B3609" s="6" t="s">
        <v>4745</v>
      </c>
      <c r="C3609" s="7"/>
      <c r="D3609" s="7"/>
      <c r="E3609" s="7"/>
      <c r="F3609" s="7"/>
      <c r="G3609" s="7"/>
      <c r="H3609" s="7"/>
      <c r="I3609" s="7"/>
      <c r="J3609" s="7"/>
    </row>
    <row r="3610" spans="1:10" x14ac:dyDescent="0.25">
      <c r="E3610" s="4" t="s">
        <v>10</v>
      </c>
      <c r="G3610" s="8">
        <v>26.68</v>
      </c>
      <c r="H3610" s="8">
        <v>0</v>
      </c>
      <c r="I3610" s="8">
        <f>G3610-H3610</f>
        <v>26.68</v>
      </c>
    </row>
    <row r="3611" spans="1:10" x14ac:dyDescent="0.25">
      <c r="C3611" s="9"/>
      <c r="D3611" s="10">
        <v>45702</v>
      </c>
      <c r="E3611" t="s">
        <v>4746</v>
      </c>
      <c r="F3611" s="11" t="s">
        <v>4747</v>
      </c>
      <c r="G3611" s="8">
        <v>188.24</v>
      </c>
      <c r="H3611" s="8">
        <v>0</v>
      </c>
      <c r="I3611" s="8">
        <f>G3611-H3611+I3610</f>
        <v>214.92000000000002</v>
      </c>
      <c r="J3611" s="12"/>
    </row>
    <row r="3612" spans="1:10" x14ac:dyDescent="0.25">
      <c r="C3612" s="9"/>
      <c r="D3612" s="10">
        <v>45705</v>
      </c>
      <c r="E3612" t="s">
        <v>1524</v>
      </c>
      <c r="F3612" s="11" t="s">
        <v>4747</v>
      </c>
      <c r="G3612" s="8">
        <v>0</v>
      </c>
      <c r="H3612" s="8">
        <v>188.24</v>
      </c>
      <c r="I3612" s="8">
        <f>G3612-H3612+I3611</f>
        <v>26.680000000000007</v>
      </c>
      <c r="J3612" s="12"/>
    </row>
    <row r="3613" spans="1:10" x14ac:dyDescent="0.25">
      <c r="E3613" s="4" t="s">
        <v>20</v>
      </c>
      <c r="G3613" s="8">
        <f>SUM(G3610:G3612)</f>
        <v>214.92000000000002</v>
      </c>
      <c r="H3613" s="8">
        <f>SUM(H3610:H3612)</f>
        <v>188.24</v>
      </c>
      <c r="I3613" s="8">
        <f>G3613-H3613</f>
        <v>26.680000000000007</v>
      </c>
    </row>
    <row r="3615" spans="1:10" x14ac:dyDescent="0.25">
      <c r="A3615" s="5">
        <v>4306980</v>
      </c>
      <c r="B3615" s="6" t="s">
        <v>4748</v>
      </c>
      <c r="C3615" s="7"/>
      <c r="D3615" s="7"/>
      <c r="E3615" s="7"/>
      <c r="F3615" s="7"/>
      <c r="G3615" s="7"/>
      <c r="H3615" s="7"/>
      <c r="I3615" s="7"/>
      <c r="J3615" s="7"/>
    </row>
    <row r="3616" spans="1:10" x14ac:dyDescent="0.25">
      <c r="E3616" s="4" t="s">
        <v>10</v>
      </c>
      <c r="G3616" s="8">
        <v>7.72</v>
      </c>
      <c r="H3616" s="8">
        <v>0</v>
      </c>
      <c r="I3616" s="8">
        <f>G3616-H3616</f>
        <v>7.72</v>
      </c>
    </row>
    <row r="3617" spans="1:10" x14ac:dyDescent="0.25">
      <c r="E3617" s="4" t="s">
        <v>20</v>
      </c>
      <c r="G3617" s="8">
        <f>G3616</f>
        <v>7.72</v>
      </c>
      <c r="H3617" s="8">
        <f>H3616</f>
        <v>0</v>
      </c>
      <c r="I3617" s="8">
        <f>G3617-H3617</f>
        <v>7.72</v>
      </c>
    </row>
    <row r="3619" spans="1:10" x14ac:dyDescent="0.25">
      <c r="A3619" s="5">
        <v>4306985</v>
      </c>
      <c r="B3619" s="6" t="s">
        <v>4749</v>
      </c>
      <c r="C3619" s="7"/>
      <c r="D3619" s="7"/>
      <c r="E3619" s="7"/>
      <c r="F3619" s="7"/>
      <c r="G3619" s="7"/>
      <c r="H3619" s="7"/>
      <c r="I3619" s="7"/>
      <c r="J3619" s="7"/>
    </row>
    <row r="3620" spans="1:10" x14ac:dyDescent="0.25">
      <c r="E3620" s="4" t="s">
        <v>10</v>
      </c>
      <c r="G3620" s="8">
        <v>137.22999999999999</v>
      </c>
      <c r="H3620" s="8">
        <v>0</v>
      </c>
      <c r="I3620" s="8">
        <f>G3620-H3620</f>
        <v>137.22999999999999</v>
      </c>
    </row>
    <row r="3621" spans="1:10" x14ac:dyDescent="0.25">
      <c r="C3621" s="9"/>
      <c r="D3621" s="10">
        <v>45659</v>
      </c>
      <c r="E3621" t="s">
        <v>1524</v>
      </c>
      <c r="F3621" s="11" t="s">
        <v>4750</v>
      </c>
      <c r="G3621" s="8">
        <v>0</v>
      </c>
      <c r="H3621" s="8">
        <v>137.22999999999999</v>
      </c>
      <c r="I3621" s="8">
        <f t="shared" ref="I3621:I3632" si="185">G3621-H3621+I3620</f>
        <v>0</v>
      </c>
      <c r="J3621" s="12"/>
    </row>
    <row r="3622" spans="1:10" x14ac:dyDescent="0.25">
      <c r="C3622" s="9"/>
      <c r="D3622" s="10">
        <v>45671</v>
      </c>
      <c r="E3622" t="s">
        <v>4751</v>
      </c>
      <c r="F3622" s="11" t="s">
        <v>4752</v>
      </c>
      <c r="G3622" s="8">
        <v>116</v>
      </c>
      <c r="H3622" s="8">
        <v>0</v>
      </c>
      <c r="I3622" s="8">
        <f t="shared" si="185"/>
        <v>116</v>
      </c>
      <c r="J3622" s="12"/>
    </row>
    <row r="3623" spans="1:10" x14ac:dyDescent="0.25">
      <c r="C3623" s="9"/>
      <c r="D3623" s="10">
        <v>45672</v>
      </c>
      <c r="E3623" t="s">
        <v>1524</v>
      </c>
      <c r="F3623" s="11" t="s">
        <v>4752</v>
      </c>
      <c r="G3623" s="8">
        <v>0</v>
      </c>
      <c r="H3623" s="8">
        <v>116</v>
      </c>
      <c r="I3623" s="8">
        <f t="shared" si="185"/>
        <v>0</v>
      </c>
      <c r="J3623" s="12"/>
    </row>
    <row r="3624" spans="1:10" x14ac:dyDescent="0.25">
      <c r="C3624" s="9"/>
      <c r="D3624" s="10">
        <v>45688</v>
      </c>
      <c r="E3624" t="s">
        <v>4753</v>
      </c>
      <c r="F3624" s="11" t="s">
        <v>4754</v>
      </c>
      <c r="G3624" s="8">
        <v>559.64</v>
      </c>
      <c r="H3624" s="8">
        <v>0</v>
      </c>
      <c r="I3624" s="8">
        <f t="shared" si="185"/>
        <v>559.64</v>
      </c>
      <c r="J3624" s="12"/>
    </row>
    <row r="3625" spans="1:10" x14ac:dyDescent="0.25">
      <c r="C3625" s="9"/>
      <c r="D3625" s="10">
        <v>45691</v>
      </c>
      <c r="E3625" t="s">
        <v>1524</v>
      </c>
      <c r="F3625" s="11" t="s">
        <v>4754</v>
      </c>
      <c r="G3625" s="8">
        <v>0</v>
      </c>
      <c r="H3625" s="8">
        <v>559.64</v>
      </c>
      <c r="I3625" s="8">
        <f t="shared" si="185"/>
        <v>0</v>
      </c>
      <c r="J3625" s="12"/>
    </row>
    <row r="3626" spans="1:10" x14ac:dyDescent="0.25">
      <c r="C3626" s="9"/>
      <c r="D3626" s="10">
        <v>45716</v>
      </c>
      <c r="E3626" t="s">
        <v>4755</v>
      </c>
      <c r="F3626" s="11" t="s">
        <v>4756</v>
      </c>
      <c r="G3626" s="8">
        <v>133.79</v>
      </c>
      <c r="H3626" s="8">
        <v>0</v>
      </c>
      <c r="I3626" s="8">
        <f t="shared" si="185"/>
        <v>133.79</v>
      </c>
      <c r="J3626" s="12"/>
    </row>
    <row r="3627" spans="1:10" x14ac:dyDescent="0.25">
      <c r="C3627" s="9" t="s">
        <v>124</v>
      </c>
      <c r="D3627" s="10">
        <v>45719</v>
      </c>
      <c r="E3627" t="s">
        <v>4757</v>
      </c>
      <c r="F3627" s="11" t="s">
        <v>4756</v>
      </c>
      <c r="G3627" s="8">
        <v>0</v>
      </c>
      <c r="H3627" s="8">
        <v>133.79</v>
      </c>
      <c r="I3627" s="8">
        <f t="shared" si="185"/>
        <v>0</v>
      </c>
      <c r="J3627" s="12"/>
    </row>
    <row r="3628" spans="1:10" x14ac:dyDescent="0.25">
      <c r="C3628" s="9"/>
      <c r="D3628" s="10">
        <v>45730</v>
      </c>
      <c r="E3628" t="s">
        <v>4758</v>
      </c>
      <c r="F3628" s="11" t="s">
        <v>4759</v>
      </c>
      <c r="G3628" s="8">
        <v>137.61000000000001</v>
      </c>
      <c r="H3628" s="8">
        <v>0</v>
      </c>
      <c r="I3628" s="8">
        <f t="shared" si="185"/>
        <v>137.61000000000001</v>
      </c>
      <c r="J3628" s="12"/>
    </row>
    <row r="3629" spans="1:10" x14ac:dyDescent="0.25">
      <c r="C3629" s="9"/>
      <c r="D3629" s="10">
        <v>45733</v>
      </c>
      <c r="E3629" t="s">
        <v>1524</v>
      </c>
      <c r="F3629" s="11" t="s">
        <v>4759</v>
      </c>
      <c r="G3629" s="8">
        <v>0</v>
      </c>
      <c r="H3629" s="8">
        <v>137.61000000000001</v>
      </c>
      <c r="I3629" s="8">
        <f t="shared" si="185"/>
        <v>0</v>
      </c>
      <c r="J3629" s="12"/>
    </row>
    <row r="3630" spans="1:10" x14ac:dyDescent="0.25">
      <c r="C3630" s="9"/>
      <c r="D3630" s="10">
        <v>45747</v>
      </c>
      <c r="E3630" t="s">
        <v>4760</v>
      </c>
      <c r="F3630" s="11" t="s">
        <v>4761</v>
      </c>
      <c r="G3630" s="8">
        <v>188.05</v>
      </c>
      <c r="H3630" s="8">
        <v>0</v>
      </c>
      <c r="I3630" s="8">
        <f t="shared" si="185"/>
        <v>188.05</v>
      </c>
      <c r="J3630" s="12"/>
    </row>
    <row r="3631" spans="1:10" x14ac:dyDescent="0.25">
      <c r="C3631" s="9" t="s">
        <v>124</v>
      </c>
      <c r="D3631" s="10">
        <v>45748</v>
      </c>
      <c r="E3631" t="s">
        <v>4762</v>
      </c>
      <c r="F3631" s="11" t="s">
        <v>4761</v>
      </c>
      <c r="G3631" s="8">
        <v>0</v>
      </c>
      <c r="H3631" s="8">
        <v>188.05</v>
      </c>
      <c r="I3631" s="8">
        <f t="shared" si="185"/>
        <v>0</v>
      </c>
      <c r="J3631" s="12"/>
    </row>
    <row r="3632" spans="1:10" x14ac:dyDescent="0.25">
      <c r="C3632" s="9"/>
      <c r="D3632" s="10">
        <v>45762</v>
      </c>
      <c r="E3632" t="s">
        <v>4763</v>
      </c>
      <c r="F3632" s="11" t="s">
        <v>4759</v>
      </c>
      <c r="G3632" s="8">
        <v>0</v>
      </c>
      <c r="H3632" s="8">
        <v>173.76</v>
      </c>
      <c r="I3632" s="8">
        <f t="shared" si="185"/>
        <v>-173.76</v>
      </c>
      <c r="J3632" s="12"/>
    </row>
    <row r="3633" spans="1:10" x14ac:dyDescent="0.25">
      <c r="E3633" s="4" t="s">
        <v>20</v>
      </c>
      <c r="G3633" s="8">
        <f>SUM(G3620:G3632)</f>
        <v>1272.32</v>
      </c>
      <c r="H3633" s="8">
        <f>SUM(H3620:H3632)</f>
        <v>1446.08</v>
      </c>
      <c r="I3633" s="8">
        <f>G3633-H3633</f>
        <v>-173.76</v>
      </c>
    </row>
    <row r="3635" spans="1:10" x14ac:dyDescent="0.25">
      <c r="A3635" s="5">
        <v>4307010</v>
      </c>
      <c r="B3635" s="6" t="s">
        <v>4764</v>
      </c>
      <c r="C3635" s="7"/>
      <c r="D3635" s="7"/>
      <c r="E3635" s="7"/>
      <c r="F3635" s="7"/>
      <c r="G3635" s="7"/>
      <c r="H3635" s="7"/>
      <c r="I3635" s="7"/>
      <c r="J3635" s="7"/>
    </row>
    <row r="3636" spans="1:10" x14ac:dyDescent="0.25">
      <c r="C3636" s="9"/>
      <c r="D3636" s="10">
        <v>45747</v>
      </c>
      <c r="E3636" t="s">
        <v>4765</v>
      </c>
      <c r="F3636" s="11" t="s">
        <v>4766</v>
      </c>
      <c r="G3636" s="8">
        <v>819.68</v>
      </c>
      <c r="H3636" s="8">
        <v>0</v>
      </c>
      <c r="I3636" s="8">
        <f>G3636-H3636</f>
        <v>819.68</v>
      </c>
      <c r="J3636" s="12"/>
    </row>
    <row r="3637" spans="1:10" x14ac:dyDescent="0.25">
      <c r="E3637" s="4" t="s">
        <v>20</v>
      </c>
      <c r="G3637" s="8">
        <f>G3636</f>
        <v>819.68</v>
      </c>
      <c r="H3637" s="8">
        <f>H3636</f>
        <v>0</v>
      </c>
      <c r="I3637" s="8">
        <f>G3637-H3637</f>
        <v>819.68</v>
      </c>
    </row>
    <row r="3639" spans="1:10" x14ac:dyDescent="0.25">
      <c r="A3639" s="5">
        <v>4307025</v>
      </c>
      <c r="B3639" s="6" t="s">
        <v>4767</v>
      </c>
      <c r="C3639" s="7"/>
      <c r="D3639" s="7"/>
      <c r="E3639" s="7"/>
      <c r="F3639" s="7"/>
      <c r="G3639" s="7"/>
      <c r="H3639" s="7"/>
      <c r="I3639" s="7"/>
      <c r="J3639" s="7"/>
    </row>
    <row r="3640" spans="1:10" x14ac:dyDescent="0.25">
      <c r="E3640" s="4" t="s">
        <v>10</v>
      </c>
      <c r="G3640" s="8">
        <v>157.69</v>
      </c>
      <c r="H3640" s="8">
        <v>0</v>
      </c>
      <c r="I3640" s="8">
        <f>G3640-H3640</f>
        <v>157.69</v>
      </c>
    </row>
    <row r="3641" spans="1:10" x14ac:dyDescent="0.25">
      <c r="E3641" s="4" t="s">
        <v>20</v>
      </c>
      <c r="G3641" s="8">
        <f>G3640</f>
        <v>157.69</v>
      </c>
      <c r="H3641" s="8">
        <f>H3640</f>
        <v>0</v>
      </c>
      <c r="I3641" s="8">
        <f>G3641-H3641</f>
        <v>157.69</v>
      </c>
    </row>
    <row r="3643" spans="1:10" x14ac:dyDescent="0.25">
      <c r="A3643" s="5">
        <v>4307035</v>
      </c>
      <c r="B3643" s="6" t="s">
        <v>4768</v>
      </c>
      <c r="C3643" s="7"/>
      <c r="D3643" s="7"/>
      <c r="E3643" s="7"/>
      <c r="F3643" s="7"/>
      <c r="G3643" s="7"/>
      <c r="H3643" s="7"/>
      <c r="I3643" s="7"/>
      <c r="J3643" s="7"/>
    </row>
    <row r="3644" spans="1:10" x14ac:dyDescent="0.25">
      <c r="E3644" s="4" t="s">
        <v>10</v>
      </c>
      <c r="G3644" s="8">
        <v>0</v>
      </c>
      <c r="H3644" s="8">
        <v>119.45</v>
      </c>
      <c r="I3644" s="8">
        <f>G3644-H3644</f>
        <v>-119.45</v>
      </c>
    </row>
    <row r="3645" spans="1:10" x14ac:dyDescent="0.25">
      <c r="C3645" s="9"/>
      <c r="D3645" s="10">
        <v>45671</v>
      </c>
      <c r="E3645" t="s">
        <v>4769</v>
      </c>
      <c r="F3645" s="11" t="s">
        <v>4770</v>
      </c>
      <c r="G3645" s="8">
        <v>212.57</v>
      </c>
      <c r="H3645" s="8">
        <v>0</v>
      </c>
      <c r="I3645" s="8">
        <f t="shared" ref="I3645:I3652" si="186">G3645-H3645+I3644</f>
        <v>93.11999999999999</v>
      </c>
      <c r="J3645" s="12"/>
    </row>
    <row r="3646" spans="1:10" x14ac:dyDescent="0.25">
      <c r="C3646" s="9"/>
      <c r="D3646" s="10">
        <v>45688</v>
      </c>
      <c r="E3646" t="s">
        <v>4771</v>
      </c>
      <c r="F3646" s="11" t="s">
        <v>4772</v>
      </c>
      <c r="G3646" s="8">
        <v>103.68</v>
      </c>
      <c r="H3646" s="8">
        <v>0</v>
      </c>
      <c r="I3646" s="8">
        <f t="shared" si="186"/>
        <v>196.8</v>
      </c>
      <c r="J3646" s="12"/>
    </row>
    <row r="3647" spans="1:10" x14ac:dyDescent="0.25">
      <c r="C3647" s="9"/>
      <c r="D3647" s="10">
        <v>45702</v>
      </c>
      <c r="E3647" t="s">
        <v>4773</v>
      </c>
      <c r="F3647" s="11" t="s">
        <v>4774</v>
      </c>
      <c r="G3647" s="8">
        <v>43.03</v>
      </c>
      <c r="H3647" s="8">
        <v>0</v>
      </c>
      <c r="I3647" s="8">
        <f t="shared" si="186"/>
        <v>239.83</v>
      </c>
      <c r="J3647" s="12"/>
    </row>
    <row r="3648" spans="1:10" x14ac:dyDescent="0.25">
      <c r="C3648" s="9"/>
      <c r="D3648" s="10">
        <v>45716</v>
      </c>
      <c r="E3648" t="s">
        <v>4775</v>
      </c>
      <c r="F3648" s="11" t="s">
        <v>4776</v>
      </c>
      <c r="G3648" s="8">
        <v>104.58</v>
      </c>
      <c r="H3648" s="8">
        <v>0</v>
      </c>
      <c r="I3648" s="8">
        <f t="shared" si="186"/>
        <v>344.41</v>
      </c>
      <c r="J3648" s="12"/>
    </row>
    <row r="3649" spans="1:10" x14ac:dyDescent="0.25">
      <c r="C3649" s="9"/>
      <c r="D3649" s="10">
        <v>45722</v>
      </c>
      <c r="E3649" t="s">
        <v>1524</v>
      </c>
      <c r="F3649" s="11" t="s">
        <v>4770</v>
      </c>
      <c r="G3649" s="8">
        <v>0</v>
      </c>
      <c r="H3649" s="8">
        <v>212.58</v>
      </c>
      <c r="I3649" s="8">
        <f t="shared" si="186"/>
        <v>131.83000000000001</v>
      </c>
      <c r="J3649" s="12"/>
    </row>
    <row r="3650" spans="1:10" x14ac:dyDescent="0.25">
      <c r="C3650" s="9"/>
      <c r="D3650" s="10">
        <v>45730</v>
      </c>
      <c r="E3650" t="s">
        <v>4777</v>
      </c>
      <c r="F3650" s="11" t="s">
        <v>4778</v>
      </c>
      <c r="G3650" s="8">
        <v>90.56</v>
      </c>
      <c r="H3650" s="8">
        <v>0</v>
      </c>
      <c r="I3650" s="8">
        <f t="shared" si="186"/>
        <v>222.39000000000001</v>
      </c>
      <c r="J3650" s="12"/>
    </row>
    <row r="3651" spans="1:10" x14ac:dyDescent="0.25">
      <c r="C3651" s="9"/>
      <c r="D3651" s="10">
        <v>45736</v>
      </c>
      <c r="E3651" t="s">
        <v>1524</v>
      </c>
      <c r="F3651" s="11" t="s">
        <v>4779</v>
      </c>
      <c r="G3651" s="8">
        <v>0</v>
      </c>
      <c r="H3651" s="8">
        <v>146.71</v>
      </c>
      <c r="I3651" s="8">
        <f t="shared" si="186"/>
        <v>75.680000000000007</v>
      </c>
      <c r="J3651" s="12"/>
    </row>
    <row r="3652" spans="1:10" x14ac:dyDescent="0.25">
      <c r="C3652" s="9"/>
      <c r="D3652" s="10">
        <v>45747</v>
      </c>
      <c r="E3652" t="s">
        <v>4780</v>
      </c>
      <c r="F3652" s="11" t="s">
        <v>4781</v>
      </c>
      <c r="G3652" s="8">
        <v>58.39</v>
      </c>
      <c r="H3652" s="8">
        <v>0</v>
      </c>
      <c r="I3652" s="8">
        <f t="shared" si="186"/>
        <v>134.07</v>
      </c>
      <c r="J3652" s="12"/>
    </row>
    <row r="3653" spans="1:10" x14ac:dyDescent="0.25">
      <c r="E3653" s="4" t="s">
        <v>20</v>
      </c>
      <c r="G3653" s="8">
        <f>SUM(G3644:G3652)</f>
        <v>612.80999999999995</v>
      </c>
      <c r="H3653" s="8">
        <f>SUM(H3644:H3652)</f>
        <v>478.74</v>
      </c>
      <c r="I3653" s="8">
        <f>G3653-H3653</f>
        <v>134.06999999999994</v>
      </c>
    </row>
    <row r="3655" spans="1:10" x14ac:dyDescent="0.25">
      <c r="A3655" s="5">
        <v>4307040</v>
      </c>
      <c r="B3655" s="6" t="s">
        <v>4782</v>
      </c>
      <c r="C3655" s="7"/>
      <c r="D3655" s="7"/>
      <c r="E3655" s="7"/>
      <c r="F3655" s="7"/>
      <c r="G3655" s="7"/>
      <c r="H3655" s="7"/>
      <c r="I3655" s="7"/>
      <c r="J3655" s="7"/>
    </row>
    <row r="3656" spans="1:10" x14ac:dyDescent="0.25">
      <c r="E3656" s="4" t="s">
        <v>10</v>
      </c>
      <c r="G3656" s="8">
        <v>8.8800000000000008</v>
      </c>
      <c r="H3656" s="8">
        <v>0</v>
      </c>
      <c r="I3656" s="8">
        <f>G3656-H3656</f>
        <v>8.8800000000000008</v>
      </c>
    </row>
    <row r="3657" spans="1:10" x14ac:dyDescent="0.25">
      <c r="E3657" s="4" t="s">
        <v>20</v>
      </c>
      <c r="G3657" s="8">
        <f>G3656</f>
        <v>8.8800000000000008</v>
      </c>
      <c r="H3657" s="8">
        <f>H3656</f>
        <v>0</v>
      </c>
      <c r="I3657" s="8">
        <f>G3657-H3657</f>
        <v>8.8800000000000008</v>
      </c>
    </row>
    <row r="3659" spans="1:10" x14ac:dyDescent="0.25">
      <c r="A3659" s="5">
        <v>4307060</v>
      </c>
      <c r="B3659" s="6" t="s">
        <v>4783</v>
      </c>
      <c r="C3659" s="7"/>
      <c r="D3659" s="7"/>
      <c r="E3659" s="7"/>
      <c r="F3659" s="7"/>
      <c r="G3659" s="7"/>
      <c r="H3659" s="7"/>
      <c r="I3659" s="7"/>
      <c r="J3659" s="7"/>
    </row>
    <row r="3660" spans="1:10" x14ac:dyDescent="0.25">
      <c r="E3660" s="4" t="s">
        <v>10</v>
      </c>
      <c r="G3660" s="8">
        <v>25.98</v>
      </c>
      <c r="H3660" s="8">
        <v>0</v>
      </c>
      <c r="I3660" s="8">
        <f>G3660-H3660</f>
        <v>25.98</v>
      </c>
    </row>
    <row r="3661" spans="1:10" x14ac:dyDescent="0.25">
      <c r="E3661" s="4" t="s">
        <v>20</v>
      </c>
      <c r="G3661" s="8">
        <f>G3660</f>
        <v>25.98</v>
      </c>
      <c r="H3661" s="8">
        <f>H3660</f>
        <v>0</v>
      </c>
      <c r="I3661" s="8">
        <f>G3661-H3661</f>
        <v>25.98</v>
      </c>
    </row>
    <row r="3663" spans="1:10" x14ac:dyDescent="0.25">
      <c r="A3663" s="5">
        <v>4307080</v>
      </c>
      <c r="B3663" s="6" t="s">
        <v>4784</v>
      </c>
      <c r="C3663" s="7"/>
      <c r="D3663" s="7"/>
      <c r="E3663" s="7"/>
      <c r="F3663" s="7"/>
      <c r="G3663" s="7"/>
      <c r="H3663" s="7"/>
      <c r="I3663" s="7"/>
      <c r="J3663" s="7"/>
    </row>
    <row r="3664" spans="1:10" x14ac:dyDescent="0.25">
      <c r="E3664" s="4" t="s">
        <v>10</v>
      </c>
      <c r="G3664" s="8">
        <v>430.72</v>
      </c>
      <c r="H3664" s="8">
        <v>0</v>
      </c>
      <c r="I3664" s="8">
        <f>G3664-H3664</f>
        <v>430.72</v>
      </c>
    </row>
    <row r="3665" spans="3:10" x14ac:dyDescent="0.25">
      <c r="C3665" s="9"/>
      <c r="D3665" s="10">
        <v>45671</v>
      </c>
      <c r="E3665" t="s">
        <v>4785</v>
      </c>
      <c r="F3665" s="11" t="s">
        <v>4786</v>
      </c>
      <c r="G3665" s="8">
        <v>28.25</v>
      </c>
      <c r="H3665" s="8">
        <v>0</v>
      </c>
      <c r="I3665" s="8">
        <f t="shared" ref="I3665:I3687" si="187">G3665-H3665+I3664</f>
        <v>458.97</v>
      </c>
      <c r="J3665" s="12"/>
    </row>
    <row r="3666" spans="3:10" x14ac:dyDescent="0.25">
      <c r="C3666" s="9"/>
      <c r="D3666" s="10">
        <v>45688</v>
      </c>
      <c r="E3666" t="s">
        <v>4787</v>
      </c>
      <c r="F3666" s="11" t="s">
        <v>4788</v>
      </c>
      <c r="G3666" s="8">
        <v>35.200000000000003</v>
      </c>
      <c r="H3666" s="8">
        <v>0</v>
      </c>
      <c r="I3666" s="8">
        <f t="shared" si="187"/>
        <v>494.17</v>
      </c>
      <c r="J3666" s="12"/>
    </row>
    <row r="3667" spans="3:10" x14ac:dyDescent="0.25">
      <c r="C3667" s="9"/>
      <c r="D3667" s="10">
        <v>45688</v>
      </c>
      <c r="E3667" t="s">
        <v>4789</v>
      </c>
      <c r="F3667" s="11" t="s">
        <v>4790</v>
      </c>
      <c r="G3667" s="8">
        <v>103.01</v>
      </c>
      <c r="H3667" s="8">
        <v>0</v>
      </c>
      <c r="I3667" s="8">
        <f t="shared" si="187"/>
        <v>597.18000000000006</v>
      </c>
      <c r="J3667" s="12"/>
    </row>
    <row r="3668" spans="3:10" x14ac:dyDescent="0.25">
      <c r="C3668" s="9"/>
      <c r="D3668" s="10">
        <v>45688</v>
      </c>
      <c r="E3668" t="s">
        <v>4791</v>
      </c>
      <c r="F3668" s="11" t="s">
        <v>4792</v>
      </c>
      <c r="G3668" s="8">
        <v>61.9</v>
      </c>
      <c r="H3668" s="8">
        <v>0</v>
      </c>
      <c r="I3668" s="8">
        <f t="shared" si="187"/>
        <v>659.08</v>
      </c>
      <c r="J3668" s="12"/>
    </row>
    <row r="3669" spans="3:10" x14ac:dyDescent="0.25">
      <c r="C3669" s="9"/>
      <c r="D3669" s="10">
        <v>45688</v>
      </c>
      <c r="E3669" t="s">
        <v>4793</v>
      </c>
      <c r="F3669" s="11" t="s">
        <v>4794</v>
      </c>
      <c r="G3669" s="8">
        <v>60.5</v>
      </c>
      <c r="H3669" s="8">
        <v>0</v>
      </c>
      <c r="I3669" s="8">
        <f t="shared" si="187"/>
        <v>719.58</v>
      </c>
      <c r="J3669" s="12"/>
    </row>
    <row r="3670" spans="3:10" x14ac:dyDescent="0.25">
      <c r="C3670" s="9"/>
      <c r="D3670" s="10">
        <v>45688</v>
      </c>
      <c r="E3670" t="s">
        <v>4795</v>
      </c>
      <c r="F3670" s="11" t="s">
        <v>4796</v>
      </c>
      <c r="G3670" s="8">
        <v>27.53</v>
      </c>
      <c r="H3670" s="8">
        <v>0</v>
      </c>
      <c r="I3670" s="8">
        <f t="shared" si="187"/>
        <v>747.11</v>
      </c>
      <c r="J3670" s="12"/>
    </row>
    <row r="3671" spans="3:10" x14ac:dyDescent="0.25">
      <c r="C3671" s="9"/>
      <c r="D3671" s="10">
        <v>45688</v>
      </c>
      <c r="E3671" t="s">
        <v>4797</v>
      </c>
      <c r="F3671" s="11" t="s">
        <v>4798</v>
      </c>
      <c r="G3671" s="8">
        <v>10.81</v>
      </c>
      <c r="H3671" s="8">
        <v>0</v>
      </c>
      <c r="I3671" s="8">
        <f t="shared" si="187"/>
        <v>757.92</v>
      </c>
      <c r="J3671" s="12"/>
    </row>
    <row r="3672" spans="3:10" x14ac:dyDescent="0.25">
      <c r="C3672" s="9"/>
      <c r="D3672" s="10">
        <v>45688</v>
      </c>
      <c r="E3672" t="s">
        <v>4799</v>
      </c>
      <c r="F3672" s="11" t="s">
        <v>4800</v>
      </c>
      <c r="G3672" s="8">
        <v>11.72</v>
      </c>
      <c r="H3672" s="8">
        <v>0</v>
      </c>
      <c r="I3672" s="8">
        <f t="shared" si="187"/>
        <v>769.64</v>
      </c>
      <c r="J3672" s="12"/>
    </row>
    <row r="3673" spans="3:10" x14ac:dyDescent="0.25">
      <c r="C3673" s="9"/>
      <c r="D3673" s="10">
        <v>45688</v>
      </c>
      <c r="E3673" t="s">
        <v>4801</v>
      </c>
      <c r="F3673" s="11" t="s">
        <v>4802</v>
      </c>
      <c r="G3673" s="8">
        <v>3.79</v>
      </c>
      <c r="H3673" s="8">
        <v>0</v>
      </c>
      <c r="I3673" s="8">
        <f t="shared" si="187"/>
        <v>773.43</v>
      </c>
      <c r="J3673" s="12"/>
    </row>
    <row r="3674" spans="3:10" x14ac:dyDescent="0.25">
      <c r="C3674" s="9"/>
      <c r="D3674" s="10">
        <v>45688</v>
      </c>
      <c r="E3674" t="s">
        <v>4803</v>
      </c>
      <c r="F3674" s="11" t="s">
        <v>4804</v>
      </c>
      <c r="G3674" s="8">
        <v>14.85</v>
      </c>
      <c r="H3674" s="8">
        <v>0</v>
      </c>
      <c r="I3674" s="8">
        <f t="shared" si="187"/>
        <v>788.28</v>
      </c>
      <c r="J3674" s="12"/>
    </row>
    <row r="3675" spans="3:10" x14ac:dyDescent="0.25">
      <c r="C3675" s="9"/>
      <c r="D3675" s="10">
        <v>45688</v>
      </c>
      <c r="E3675" t="s">
        <v>4805</v>
      </c>
      <c r="F3675" s="11" t="s">
        <v>4806</v>
      </c>
      <c r="G3675" s="8">
        <v>15.57</v>
      </c>
      <c r="H3675" s="8">
        <v>0</v>
      </c>
      <c r="I3675" s="8">
        <f t="shared" si="187"/>
        <v>803.85</v>
      </c>
      <c r="J3675" s="12"/>
    </row>
    <row r="3676" spans="3:10" x14ac:dyDescent="0.25">
      <c r="C3676" s="9"/>
      <c r="D3676" s="10">
        <v>45688</v>
      </c>
      <c r="E3676" t="s">
        <v>4807</v>
      </c>
      <c r="F3676" s="11" t="s">
        <v>42</v>
      </c>
      <c r="G3676" s="8">
        <v>0</v>
      </c>
      <c r="H3676" s="8">
        <v>203.33</v>
      </c>
      <c r="I3676" s="8">
        <f t="shared" si="187"/>
        <v>600.52</v>
      </c>
      <c r="J3676" s="12"/>
    </row>
    <row r="3677" spans="3:10" x14ac:dyDescent="0.25">
      <c r="C3677" s="9"/>
      <c r="D3677" s="10">
        <v>45702</v>
      </c>
      <c r="E3677" t="s">
        <v>4808</v>
      </c>
      <c r="F3677" s="11" t="s">
        <v>4809</v>
      </c>
      <c r="G3677" s="8">
        <v>84.7</v>
      </c>
      <c r="H3677" s="8">
        <v>0</v>
      </c>
      <c r="I3677" s="8">
        <f t="shared" si="187"/>
        <v>685.22</v>
      </c>
      <c r="J3677" s="12"/>
    </row>
    <row r="3678" spans="3:10" x14ac:dyDescent="0.25">
      <c r="C3678" s="9"/>
      <c r="D3678" s="10">
        <v>45702</v>
      </c>
      <c r="E3678" t="s">
        <v>4810</v>
      </c>
      <c r="F3678" s="11" t="s">
        <v>4811</v>
      </c>
      <c r="G3678" s="8">
        <v>10.79</v>
      </c>
      <c r="H3678" s="8">
        <v>0</v>
      </c>
      <c r="I3678" s="8">
        <f t="shared" si="187"/>
        <v>696.01</v>
      </c>
      <c r="J3678" s="12"/>
    </row>
    <row r="3679" spans="3:10" x14ac:dyDescent="0.25">
      <c r="C3679" s="9"/>
      <c r="D3679" s="10">
        <v>45716</v>
      </c>
      <c r="E3679" t="s">
        <v>4812</v>
      </c>
      <c r="F3679" s="11" t="s">
        <v>4813</v>
      </c>
      <c r="G3679" s="8">
        <v>47.55</v>
      </c>
      <c r="H3679" s="8">
        <v>0</v>
      </c>
      <c r="I3679" s="8">
        <f t="shared" si="187"/>
        <v>743.56</v>
      </c>
      <c r="J3679" s="12"/>
    </row>
    <row r="3680" spans="3:10" x14ac:dyDescent="0.25">
      <c r="C3680" s="9"/>
      <c r="D3680" s="10">
        <v>45716</v>
      </c>
      <c r="E3680" t="s">
        <v>4814</v>
      </c>
      <c r="F3680" s="11" t="s">
        <v>4815</v>
      </c>
      <c r="G3680" s="8">
        <v>13.79</v>
      </c>
      <c r="H3680" s="8">
        <v>0</v>
      </c>
      <c r="I3680" s="8">
        <f t="shared" si="187"/>
        <v>757.34999999999991</v>
      </c>
      <c r="J3680" s="12"/>
    </row>
    <row r="3681" spans="1:10" x14ac:dyDescent="0.25">
      <c r="C3681" s="9"/>
      <c r="D3681" s="10">
        <v>45716</v>
      </c>
      <c r="E3681" t="s">
        <v>4816</v>
      </c>
      <c r="F3681" s="11" t="s">
        <v>4817</v>
      </c>
      <c r="G3681" s="8">
        <v>3.5</v>
      </c>
      <c r="H3681" s="8">
        <v>0</v>
      </c>
      <c r="I3681" s="8">
        <f t="shared" si="187"/>
        <v>760.84999999999991</v>
      </c>
      <c r="J3681" s="12"/>
    </row>
    <row r="3682" spans="1:10" x14ac:dyDescent="0.25">
      <c r="C3682" s="9"/>
      <c r="D3682" s="10">
        <v>45716</v>
      </c>
      <c r="E3682" t="s">
        <v>4807</v>
      </c>
      <c r="F3682" s="11" t="s">
        <v>42</v>
      </c>
      <c r="G3682" s="8">
        <v>0</v>
      </c>
      <c r="H3682" s="8">
        <v>255.64</v>
      </c>
      <c r="I3682" s="8">
        <f t="shared" si="187"/>
        <v>505.20999999999992</v>
      </c>
      <c r="J3682" s="12"/>
    </row>
    <row r="3683" spans="1:10" x14ac:dyDescent="0.25">
      <c r="C3683" s="9"/>
      <c r="D3683" s="10">
        <v>45730</v>
      </c>
      <c r="E3683" t="s">
        <v>4818</v>
      </c>
      <c r="F3683" s="11" t="s">
        <v>4819</v>
      </c>
      <c r="G3683" s="8">
        <v>138.69999999999999</v>
      </c>
      <c r="H3683" s="8">
        <v>0</v>
      </c>
      <c r="I3683" s="8">
        <f t="shared" si="187"/>
        <v>643.90999999999985</v>
      </c>
      <c r="J3683" s="12"/>
    </row>
    <row r="3684" spans="1:10" x14ac:dyDescent="0.25">
      <c r="C3684" s="9"/>
      <c r="D3684" s="10">
        <v>45730</v>
      </c>
      <c r="E3684" t="s">
        <v>4820</v>
      </c>
      <c r="F3684" s="11" t="s">
        <v>4821</v>
      </c>
      <c r="G3684" s="8">
        <v>20.92</v>
      </c>
      <c r="H3684" s="8">
        <v>0</v>
      </c>
      <c r="I3684" s="8">
        <f t="shared" si="187"/>
        <v>664.82999999999981</v>
      </c>
      <c r="J3684" s="12"/>
    </row>
    <row r="3685" spans="1:10" x14ac:dyDescent="0.25">
      <c r="C3685" s="9"/>
      <c r="D3685" s="10">
        <v>45730</v>
      </c>
      <c r="E3685" t="s">
        <v>4822</v>
      </c>
      <c r="F3685" s="11" t="s">
        <v>4823</v>
      </c>
      <c r="G3685" s="8">
        <v>20.63</v>
      </c>
      <c r="H3685" s="8">
        <v>0</v>
      </c>
      <c r="I3685" s="8">
        <f t="shared" si="187"/>
        <v>685.45999999999981</v>
      </c>
      <c r="J3685" s="12"/>
    </row>
    <row r="3686" spans="1:10" x14ac:dyDescent="0.25">
      <c r="C3686" s="9"/>
      <c r="D3686" s="10">
        <v>45747</v>
      </c>
      <c r="E3686" t="s">
        <v>4824</v>
      </c>
      <c r="F3686" s="11" t="s">
        <v>4825</v>
      </c>
      <c r="G3686" s="8">
        <v>72.290000000000006</v>
      </c>
      <c r="H3686" s="8">
        <v>0</v>
      </c>
      <c r="I3686" s="8">
        <f t="shared" si="187"/>
        <v>757.74999999999977</v>
      </c>
      <c r="J3686" s="12"/>
    </row>
    <row r="3687" spans="1:10" x14ac:dyDescent="0.25">
      <c r="C3687" s="9"/>
      <c r="D3687" s="10">
        <v>45747</v>
      </c>
      <c r="E3687" t="s">
        <v>4807</v>
      </c>
      <c r="F3687" s="11" t="s">
        <v>42</v>
      </c>
      <c r="G3687" s="8">
        <v>0</v>
      </c>
      <c r="H3687" s="8">
        <v>440.37</v>
      </c>
      <c r="I3687" s="8">
        <f t="shared" si="187"/>
        <v>317.37999999999977</v>
      </c>
      <c r="J3687" s="12"/>
    </row>
    <row r="3688" spans="1:10" x14ac:dyDescent="0.25">
      <c r="E3688" s="4" t="s">
        <v>20</v>
      </c>
      <c r="G3688" s="8">
        <f>SUM(G3664:G3687)</f>
        <v>1216.72</v>
      </c>
      <c r="H3688" s="8">
        <f>SUM(H3664:H3687)</f>
        <v>899.34</v>
      </c>
      <c r="I3688" s="8">
        <f>G3688-H3688</f>
        <v>317.38</v>
      </c>
    </row>
    <row r="3690" spans="1:10" x14ac:dyDescent="0.25">
      <c r="A3690" s="5">
        <v>4307090</v>
      </c>
      <c r="B3690" s="6" t="s">
        <v>4826</v>
      </c>
      <c r="C3690" s="7"/>
      <c r="D3690" s="7"/>
      <c r="E3690" s="7"/>
      <c r="F3690" s="7"/>
      <c r="G3690" s="7"/>
      <c r="H3690" s="7"/>
      <c r="I3690" s="7"/>
      <c r="J3690" s="7"/>
    </row>
    <row r="3691" spans="1:10" x14ac:dyDescent="0.25">
      <c r="E3691" s="4" t="s">
        <v>10</v>
      </c>
      <c r="G3691" s="8">
        <v>2.25</v>
      </c>
      <c r="H3691" s="8">
        <v>0</v>
      </c>
      <c r="I3691" s="8">
        <f>G3691-H3691</f>
        <v>2.25</v>
      </c>
    </row>
    <row r="3692" spans="1:10" x14ac:dyDescent="0.25">
      <c r="E3692" s="4" t="s">
        <v>20</v>
      </c>
      <c r="G3692" s="8">
        <f>G3691</f>
        <v>2.25</v>
      </c>
      <c r="H3692" s="8">
        <f>H3691</f>
        <v>0</v>
      </c>
      <c r="I3692" s="8">
        <f>G3692-H3692</f>
        <v>2.25</v>
      </c>
    </row>
    <row r="3694" spans="1:10" x14ac:dyDescent="0.25">
      <c r="A3694" s="5">
        <v>4307105</v>
      </c>
      <c r="B3694" s="6" t="s">
        <v>4827</v>
      </c>
      <c r="C3694" s="7"/>
      <c r="D3694" s="7"/>
      <c r="E3694" s="7"/>
      <c r="F3694" s="7"/>
      <c r="G3694" s="7"/>
      <c r="H3694" s="7"/>
      <c r="I3694" s="7"/>
      <c r="J3694" s="7"/>
    </row>
    <row r="3695" spans="1:10" x14ac:dyDescent="0.25">
      <c r="E3695" s="4" t="s">
        <v>10</v>
      </c>
      <c r="G3695" s="8">
        <v>0</v>
      </c>
      <c r="H3695" s="8">
        <v>88.57</v>
      </c>
      <c r="I3695" s="8">
        <f>G3695-H3695</f>
        <v>-88.57</v>
      </c>
    </row>
    <row r="3696" spans="1:10" x14ac:dyDescent="0.25">
      <c r="E3696" s="4" t="s">
        <v>20</v>
      </c>
      <c r="G3696" s="8">
        <f>G3695</f>
        <v>0</v>
      </c>
      <c r="H3696" s="8">
        <f>H3695</f>
        <v>88.57</v>
      </c>
      <c r="I3696" s="8">
        <f>G3696-H3696</f>
        <v>-88.57</v>
      </c>
    </row>
    <row r="3698" spans="1:10" x14ac:dyDescent="0.25">
      <c r="A3698" s="5">
        <v>4307115</v>
      </c>
      <c r="B3698" s="6" t="s">
        <v>4828</v>
      </c>
      <c r="C3698" s="7"/>
      <c r="D3698" s="7"/>
      <c r="E3698" s="7"/>
      <c r="F3698" s="7"/>
      <c r="G3698" s="7"/>
      <c r="H3698" s="7"/>
      <c r="I3698" s="7"/>
      <c r="J3698" s="7"/>
    </row>
    <row r="3699" spans="1:10" x14ac:dyDescent="0.25">
      <c r="E3699" s="4" t="s">
        <v>10</v>
      </c>
      <c r="G3699" s="8">
        <v>1538.97</v>
      </c>
      <c r="H3699" s="8">
        <v>0</v>
      </c>
      <c r="I3699" s="8">
        <f>G3699-H3699</f>
        <v>1538.97</v>
      </c>
    </row>
    <row r="3700" spans="1:10" x14ac:dyDescent="0.25">
      <c r="C3700" s="9"/>
      <c r="D3700" s="10">
        <v>45671</v>
      </c>
      <c r="E3700" t="s">
        <v>4829</v>
      </c>
      <c r="F3700" s="11" t="s">
        <v>4830</v>
      </c>
      <c r="G3700" s="8">
        <v>452.58</v>
      </c>
      <c r="H3700" s="8">
        <v>0</v>
      </c>
      <c r="I3700" s="8">
        <f t="shared" ref="I3700:I3711" si="188">G3700-H3700+I3699</f>
        <v>1991.55</v>
      </c>
      <c r="J3700" s="12"/>
    </row>
    <row r="3701" spans="1:10" x14ac:dyDescent="0.25">
      <c r="C3701" s="9"/>
      <c r="D3701" s="10">
        <v>45671</v>
      </c>
      <c r="E3701" t="s">
        <v>4831</v>
      </c>
      <c r="F3701" s="11" t="s">
        <v>4832</v>
      </c>
      <c r="G3701" s="8">
        <v>0</v>
      </c>
      <c r="H3701" s="8">
        <v>239.45</v>
      </c>
      <c r="I3701" s="8">
        <f t="shared" si="188"/>
        <v>1752.1</v>
      </c>
      <c r="J3701" s="12"/>
    </row>
    <row r="3702" spans="1:10" x14ac:dyDescent="0.25">
      <c r="C3702" s="9"/>
      <c r="D3702" s="10">
        <v>45672</v>
      </c>
      <c r="E3702" t="s">
        <v>4831</v>
      </c>
      <c r="F3702" s="11" t="s">
        <v>4833</v>
      </c>
      <c r="G3702" s="8">
        <v>0</v>
      </c>
      <c r="H3702" s="8">
        <v>440.49</v>
      </c>
      <c r="I3702" s="8">
        <f t="shared" si="188"/>
        <v>1311.61</v>
      </c>
      <c r="J3702" s="12"/>
    </row>
    <row r="3703" spans="1:10" x14ac:dyDescent="0.25">
      <c r="C3703" s="9"/>
      <c r="D3703" s="10">
        <v>45688</v>
      </c>
      <c r="E3703" t="s">
        <v>4834</v>
      </c>
      <c r="F3703" s="11" t="s">
        <v>4835</v>
      </c>
      <c r="G3703" s="8">
        <v>535.95000000000005</v>
      </c>
      <c r="H3703" s="8">
        <v>0</v>
      </c>
      <c r="I3703" s="8">
        <f t="shared" si="188"/>
        <v>1847.56</v>
      </c>
      <c r="J3703" s="12"/>
    </row>
    <row r="3704" spans="1:10" x14ac:dyDescent="0.25">
      <c r="C3704" s="9"/>
      <c r="D3704" s="10">
        <v>45699</v>
      </c>
      <c r="E3704" t="s">
        <v>1524</v>
      </c>
      <c r="F3704" s="11" t="s">
        <v>4836</v>
      </c>
      <c r="G3704" s="8">
        <v>0</v>
      </c>
      <c r="H3704" s="8">
        <v>160.31</v>
      </c>
      <c r="I3704" s="8">
        <f t="shared" si="188"/>
        <v>1687.25</v>
      </c>
      <c r="J3704" s="12"/>
    </row>
    <row r="3705" spans="1:10" x14ac:dyDescent="0.25">
      <c r="C3705" s="9"/>
      <c r="D3705" s="10">
        <v>45699</v>
      </c>
      <c r="E3705" t="s">
        <v>1524</v>
      </c>
      <c r="F3705" s="11" t="s">
        <v>4837</v>
      </c>
      <c r="G3705" s="8">
        <v>0</v>
      </c>
      <c r="H3705" s="8">
        <v>206.08</v>
      </c>
      <c r="I3705" s="8">
        <f t="shared" si="188"/>
        <v>1481.17</v>
      </c>
      <c r="J3705" s="12"/>
    </row>
    <row r="3706" spans="1:10" x14ac:dyDescent="0.25">
      <c r="C3706" s="9"/>
      <c r="D3706" s="10">
        <v>45702</v>
      </c>
      <c r="E3706" t="s">
        <v>4838</v>
      </c>
      <c r="F3706" s="11" t="s">
        <v>4839</v>
      </c>
      <c r="G3706" s="8">
        <v>1214.08</v>
      </c>
      <c r="H3706" s="8">
        <v>0</v>
      </c>
      <c r="I3706" s="8">
        <f t="shared" si="188"/>
        <v>2695.25</v>
      </c>
      <c r="J3706" s="12"/>
    </row>
    <row r="3707" spans="1:10" x14ac:dyDescent="0.25">
      <c r="C3707" s="9"/>
      <c r="D3707" s="10">
        <v>45716</v>
      </c>
      <c r="E3707" t="s">
        <v>4840</v>
      </c>
      <c r="F3707" s="11" t="s">
        <v>4841</v>
      </c>
      <c r="G3707" s="8">
        <v>851.6</v>
      </c>
      <c r="H3707" s="8">
        <v>0</v>
      </c>
      <c r="I3707" s="8">
        <f t="shared" si="188"/>
        <v>3546.85</v>
      </c>
      <c r="J3707" s="12"/>
    </row>
    <row r="3708" spans="1:10" x14ac:dyDescent="0.25">
      <c r="C3708" s="9"/>
      <c r="D3708" s="10">
        <v>45727</v>
      </c>
      <c r="E3708" t="s">
        <v>1524</v>
      </c>
      <c r="F3708" s="11" t="s">
        <v>4842</v>
      </c>
      <c r="G3708" s="8">
        <v>0</v>
      </c>
      <c r="H3708" s="8">
        <v>120.65</v>
      </c>
      <c r="I3708" s="8">
        <f t="shared" si="188"/>
        <v>3426.2</v>
      </c>
      <c r="J3708" s="12"/>
    </row>
    <row r="3709" spans="1:10" x14ac:dyDescent="0.25">
      <c r="C3709" s="9"/>
      <c r="D3709" s="10">
        <v>45727</v>
      </c>
      <c r="E3709" t="s">
        <v>1524</v>
      </c>
      <c r="F3709" s="11" t="s">
        <v>4843</v>
      </c>
      <c r="G3709" s="8">
        <v>0</v>
      </c>
      <c r="H3709" s="8">
        <v>372.99</v>
      </c>
      <c r="I3709" s="8">
        <f t="shared" si="188"/>
        <v>3053.21</v>
      </c>
      <c r="J3709" s="12"/>
    </row>
    <row r="3710" spans="1:10" x14ac:dyDescent="0.25">
      <c r="C3710" s="9"/>
      <c r="D3710" s="10">
        <v>45730</v>
      </c>
      <c r="E3710" t="s">
        <v>4844</v>
      </c>
      <c r="F3710" s="11" t="s">
        <v>4845</v>
      </c>
      <c r="G3710" s="8">
        <v>866.24</v>
      </c>
      <c r="H3710" s="8">
        <v>0</v>
      </c>
      <c r="I3710" s="8">
        <f t="shared" si="188"/>
        <v>3919.45</v>
      </c>
      <c r="J3710" s="12"/>
    </row>
    <row r="3711" spans="1:10" x14ac:dyDescent="0.25">
      <c r="C3711" s="9"/>
      <c r="D3711" s="10">
        <v>45747</v>
      </c>
      <c r="E3711" t="s">
        <v>4846</v>
      </c>
      <c r="F3711" s="11" t="s">
        <v>4847</v>
      </c>
      <c r="G3711" s="8">
        <v>388.2</v>
      </c>
      <c r="H3711" s="8">
        <v>0</v>
      </c>
      <c r="I3711" s="8">
        <f t="shared" si="188"/>
        <v>4307.6499999999996</v>
      </c>
      <c r="J3711" s="12"/>
    </row>
    <row r="3712" spans="1:10" x14ac:dyDescent="0.25">
      <c r="E3712" s="4" t="s">
        <v>20</v>
      </c>
      <c r="G3712" s="8">
        <f>SUM(G3699:G3711)</f>
        <v>5847.62</v>
      </c>
      <c r="H3712" s="8">
        <f>SUM(H3699:H3711)</f>
        <v>1539.97</v>
      </c>
      <c r="I3712" s="8">
        <f>G3712-H3712</f>
        <v>4307.6499999999996</v>
      </c>
    </row>
    <row r="3714" spans="1:10" x14ac:dyDescent="0.25">
      <c r="A3714" s="5">
        <v>4307135</v>
      </c>
      <c r="B3714" s="6" t="s">
        <v>4848</v>
      </c>
      <c r="C3714" s="7"/>
      <c r="D3714" s="7"/>
      <c r="E3714" s="7"/>
      <c r="F3714" s="7"/>
      <c r="G3714" s="7"/>
      <c r="H3714" s="7"/>
      <c r="I3714" s="7"/>
      <c r="J3714" s="7"/>
    </row>
    <row r="3715" spans="1:10" x14ac:dyDescent="0.25">
      <c r="E3715" s="4" t="s">
        <v>10</v>
      </c>
      <c r="G3715" s="8">
        <v>103.7</v>
      </c>
      <c r="H3715" s="8">
        <v>0</v>
      </c>
      <c r="I3715" s="8">
        <f>G3715-H3715</f>
        <v>103.7</v>
      </c>
    </row>
    <row r="3716" spans="1:10" x14ac:dyDescent="0.25">
      <c r="C3716" s="9"/>
      <c r="D3716" s="10">
        <v>45659</v>
      </c>
      <c r="E3716" t="s">
        <v>1524</v>
      </c>
      <c r="F3716" s="11" t="s">
        <v>4849</v>
      </c>
      <c r="G3716" s="8">
        <v>0</v>
      </c>
      <c r="H3716" s="8">
        <v>32.36</v>
      </c>
      <c r="I3716" s="8">
        <f t="shared" ref="I3716:I3722" si="189">G3716-H3716+I3715</f>
        <v>71.34</v>
      </c>
      <c r="J3716" s="12"/>
    </row>
    <row r="3717" spans="1:10" x14ac:dyDescent="0.25">
      <c r="C3717" s="9"/>
      <c r="D3717" s="10">
        <v>45694</v>
      </c>
      <c r="E3717" t="s">
        <v>4850</v>
      </c>
      <c r="F3717" s="11" t="s">
        <v>42</v>
      </c>
      <c r="G3717" s="8">
        <v>55.35</v>
      </c>
      <c r="H3717" s="8">
        <v>0</v>
      </c>
      <c r="I3717" s="8">
        <f t="shared" si="189"/>
        <v>126.69</v>
      </c>
      <c r="J3717" s="12"/>
    </row>
    <row r="3718" spans="1:10" x14ac:dyDescent="0.25">
      <c r="C3718" s="9"/>
      <c r="D3718" s="10">
        <v>45695</v>
      </c>
      <c r="E3718" t="s">
        <v>4851</v>
      </c>
      <c r="F3718" s="11" t="s">
        <v>42</v>
      </c>
      <c r="G3718" s="8">
        <v>0</v>
      </c>
      <c r="H3718" s="8">
        <v>55.35</v>
      </c>
      <c r="I3718" s="8">
        <f t="shared" si="189"/>
        <v>71.34</v>
      </c>
      <c r="J3718" s="12"/>
    </row>
    <row r="3719" spans="1:10" x14ac:dyDescent="0.25">
      <c r="C3719" s="9"/>
      <c r="D3719" s="10">
        <v>45702</v>
      </c>
      <c r="E3719" t="s">
        <v>4852</v>
      </c>
      <c r="F3719" s="11" t="s">
        <v>4853</v>
      </c>
      <c r="G3719" s="8">
        <v>34.28</v>
      </c>
      <c r="H3719" s="8">
        <v>0</v>
      </c>
      <c r="I3719" s="8">
        <f t="shared" si="189"/>
        <v>105.62</v>
      </c>
      <c r="J3719" s="12"/>
    </row>
    <row r="3720" spans="1:10" x14ac:dyDescent="0.25">
      <c r="C3720" s="9"/>
      <c r="D3720" s="10">
        <v>45705</v>
      </c>
      <c r="E3720" t="s">
        <v>1524</v>
      </c>
      <c r="F3720" s="11" t="s">
        <v>4854</v>
      </c>
      <c r="G3720" s="8">
        <v>0</v>
      </c>
      <c r="H3720" s="8">
        <v>34.28</v>
      </c>
      <c r="I3720" s="8">
        <f t="shared" si="189"/>
        <v>71.34</v>
      </c>
      <c r="J3720" s="12"/>
    </row>
    <row r="3721" spans="1:10" x14ac:dyDescent="0.25">
      <c r="C3721" s="9"/>
      <c r="D3721" s="10">
        <v>45754</v>
      </c>
      <c r="E3721" t="s">
        <v>4850</v>
      </c>
      <c r="F3721" s="11" t="s">
        <v>42</v>
      </c>
      <c r="G3721" s="8">
        <v>57.27</v>
      </c>
      <c r="H3721" s="8">
        <v>0</v>
      </c>
      <c r="I3721" s="8">
        <f t="shared" si="189"/>
        <v>128.61000000000001</v>
      </c>
      <c r="J3721" s="12"/>
    </row>
    <row r="3722" spans="1:10" x14ac:dyDescent="0.25">
      <c r="C3722" s="9"/>
      <c r="D3722" s="10">
        <v>45755</v>
      </c>
      <c r="E3722" t="s">
        <v>4853</v>
      </c>
      <c r="F3722" s="11" t="s">
        <v>42</v>
      </c>
      <c r="G3722" s="8">
        <v>0</v>
      </c>
      <c r="H3722" s="8">
        <v>57.27</v>
      </c>
      <c r="I3722" s="8">
        <f t="shared" si="189"/>
        <v>71.34</v>
      </c>
      <c r="J3722" s="12"/>
    </row>
    <row r="3723" spans="1:10" x14ac:dyDescent="0.25">
      <c r="E3723" s="4" t="s">
        <v>20</v>
      </c>
      <c r="G3723" s="8">
        <f>SUM(G3715:G3722)</f>
        <v>250.60000000000002</v>
      </c>
      <c r="H3723" s="8">
        <f>SUM(H3715:H3722)</f>
        <v>179.26000000000002</v>
      </c>
      <c r="I3723" s="8">
        <f>G3723-H3723</f>
        <v>71.34</v>
      </c>
    </row>
    <row r="3725" spans="1:10" x14ac:dyDescent="0.25">
      <c r="A3725" s="5">
        <v>4307140</v>
      </c>
      <c r="B3725" s="6" t="s">
        <v>4855</v>
      </c>
      <c r="C3725" s="7"/>
      <c r="D3725" s="7"/>
      <c r="E3725" s="7"/>
      <c r="F3725" s="7"/>
      <c r="G3725" s="7"/>
      <c r="H3725" s="7"/>
      <c r="I3725" s="7"/>
      <c r="J3725" s="7"/>
    </row>
    <row r="3726" spans="1:10" x14ac:dyDescent="0.25">
      <c r="E3726" s="4" t="s">
        <v>10</v>
      </c>
      <c r="G3726" s="8">
        <v>0</v>
      </c>
      <c r="H3726" s="8">
        <v>206.97</v>
      </c>
      <c r="I3726" s="8">
        <f>G3726-H3726</f>
        <v>-206.97</v>
      </c>
    </row>
    <row r="3727" spans="1:10" x14ac:dyDescent="0.25">
      <c r="E3727" s="4" t="s">
        <v>20</v>
      </c>
      <c r="G3727" s="8">
        <f>G3726</f>
        <v>0</v>
      </c>
      <c r="H3727" s="8">
        <f>H3726</f>
        <v>206.97</v>
      </c>
      <c r="I3727" s="8">
        <f>G3727-H3727</f>
        <v>-206.97</v>
      </c>
    </row>
    <row r="3729" spans="1:10" x14ac:dyDescent="0.25">
      <c r="A3729" s="5">
        <v>4307150</v>
      </c>
      <c r="B3729" s="6" t="s">
        <v>4856</v>
      </c>
      <c r="C3729" s="7"/>
      <c r="D3729" s="7"/>
      <c r="E3729" s="7"/>
      <c r="F3729" s="7"/>
      <c r="G3729" s="7"/>
      <c r="H3729" s="7"/>
      <c r="I3729" s="7"/>
      <c r="J3729" s="7"/>
    </row>
    <row r="3730" spans="1:10" x14ac:dyDescent="0.25">
      <c r="E3730" s="4" t="s">
        <v>10</v>
      </c>
      <c r="G3730" s="8">
        <v>133.08000000000001</v>
      </c>
      <c r="H3730" s="8">
        <v>0</v>
      </c>
      <c r="I3730" s="8">
        <f>G3730-H3730</f>
        <v>133.08000000000001</v>
      </c>
    </row>
    <row r="3731" spans="1:10" x14ac:dyDescent="0.25">
      <c r="C3731" s="9"/>
      <c r="D3731" s="10">
        <v>45659</v>
      </c>
      <c r="E3731" t="s">
        <v>1524</v>
      </c>
      <c r="F3731" s="11" t="s">
        <v>4857</v>
      </c>
      <c r="G3731" s="8">
        <v>0</v>
      </c>
      <c r="H3731" s="8">
        <v>133.08000000000001</v>
      </c>
      <c r="I3731" s="8">
        <f t="shared" ref="I3731:I3759" si="190">G3731-H3731+I3730</f>
        <v>0</v>
      </c>
      <c r="J3731" s="12"/>
    </row>
    <row r="3732" spans="1:10" x14ac:dyDescent="0.25">
      <c r="C3732" s="9"/>
      <c r="D3732" s="10">
        <v>45671</v>
      </c>
      <c r="E3732" t="s">
        <v>4858</v>
      </c>
      <c r="F3732" s="11" t="s">
        <v>4859</v>
      </c>
      <c r="G3732" s="8">
        <v>201.68</v>
      </c>
      <c r="H3732" s="8">
        <v>0</v>
      </c>
      <c r="I3732" s="8">
        <f t="shared" si="190"/>
        <v>201.68</v>
      </c>
      <c r="J3732" s="12"/>
    </row>
    <row r="3733" spans="1:10" x14ac:dyDescent="0.25">
      <c r="C3733" s="9"/>
      <c r="D3733" s="10">
        <v>45672</v>
      </c>
      <c r="E3733" t="s">
        <v>1524</v>
      </c>
      <c r="F3733" s="11" t="s">
        <v>4859</v>
      </c>
      <c r="G3733" s="8">
        <v>0</v>
      </c>
      <c r="H3733" s="8">
        <v>201.68</v>
      </c>
      <c r="I3733" s="8">
        <f t="shared" si="190"/>
        <v>0</v>
      </c>
      <c r="J3733" s="12"/>
    </row>
    <row r="3734" spans="1:10" x14ac:dyDescent="0.25">
      <c r="C3734" s="9"/>
      <c r="D3734" s="10">
        <v>45688</v>
      </c>
      <c r="E3734" t="s">
        <v>4860</v>
      </c>
      <c r="F3734" s="11" t="s">
        <v>4861</v>
      </c>
      <c r="G3734" s="8">
        <v>298.68</v>
      </c>
      <c r="H3734" s="8">
        <v>0</v>
      </c>
      <c r="I3734" s="8">
        <f t="shared" si="190"/>
        <v>298.68</v>
      </c>
      <c r="J3734" s="12"/>
    </row>
    <row r="3735" spans="1:10" x14ac:dyDescent="0.25">
      <c r="C3735" s="9"/>
      <c r="D3735" s="10">
        <v>45688</v>
      </c>
      <c r="E3735" t="s">
        <v>4862</v>
      </c>
      <c r="F3735" s="11" t="s">
        <v>4863</v>
      </c>
      <c r="G3735" s="8">
        <v>53.91</v>
      </c>
      <c r="H3735" s="8">
        <v>0</v>
      </c>
      <c r="I3735" s="8">
        <f t="shared" si="190"/>
        <v>352.59000000000003</v>
      </c>
      <c r="J3735" s="12"/>
    </row>
    <row r="3736" spans="1:10" x14ac:dyDescent="0.25">
      <c r="C3736" s="9"/>
      <c r="D3736" s="10">
        <v>45688</v>
      </c>
      <c r="E3736" t="s">
        <v>4864</v>
      </c>
      <c r="F3736" s="11" t="s">
        <v>4865</v>
      </c>
      <c r="G3736" s="8">
        <v>947.01</v>
      </c>
      <c r="H3736" s="8">
        <v>0</v>
      </c>
      <c r="I3736" s="8">
        <f t="shared" si="190"/>
        <v>1299.5999999999999</v>
      </c>
      <c r="J3736" s="12"/>
    </row>
    <row r="3737" spans="1:10" x14ac:dyDescent="0.25">
      <c r="C3737" s="9"/>
      <c r="D3737" s="10">
        <v>45688</v>
      </c>
      <c r="E3737" t="s">
        <v>4866</v>
      </c>
      <c r="F3737" s="11" t="s">
        <v>4867</v>
      </c>
      <c r="G3737" s="8">
        <v>15.78</v>
      </c>
      <c r="H3737" s="8">
        <v>0</v>
      </c>
      <c r="I3737" s="8">
        <f t="shared" si="190"/>
        <v>1315.3799999999999</v>
      </c>
      <c r="J3737" s="12"/>
    </row>
    <row r="3738" spans="1:10" x14ac:dyDescent="0.25">
      <c r="C3738" s="9"/>
      <c r="D3738" s="10">
        <v>45691</v>
      </c>
      <c r="E3738" t="s">
        <v>1524</v>
      </c>
      <c r="F3738" s="11" t="s">
        <v>4861</v>
      </c>
      <c r="G3738" s="8">
        <v>0</v>
      </c>
      <c r="H3738" s="8">
        <v>298.68</v>
      </c>
      <c r="I3738" s="8">
        <f t="shared" si="190"/>
        <v>1016.6999999999998</v>
      </c>
      <c r="J3738" s="12"/>
    </row>
    <row r="3739" spans="1:10" x14ac:dyDescent="0.25">
      <c r="C3739" s="9"/>
      <c r="D3739" s="10">
        <v>45691</v>
      </c>
      <c r="E3739" t="s">
        <v>1524</v>
      </c>
      <c r="F3739" s="11" t="s">
        <v>4865</v>
      </c>
      <c r="G3739" s="8">
        <v>0</v>
      </c>
      <c r="H3739" s="8">
        <v>947.01</v>
      </c>
      <c r="I3739" s="8">
        <f t="shared" si="190"/>
        <v>69.689999999999827</v>
      </c>
      <c r="J3739" s="12"/>
    </row>
    <row r="3740" spans="1:10" x14ac:dyDescent="0.25">
      <c r="C3740" s="9"/>
      <c r="D3740" s="10">
        <v>45691</v>
      </c>
      <c r="E3740" t="s">
        <v>4868</v>
      </c>
      <c r="F3740" s="11" t="s">
        <v>42</v>
      </c>
      <c r="G3740" s="8">
        <v>0</v>
      </c>
      <c r="H3740" s="8">
        <v>69.69</v>
      </c>
      <c r="I3740" s="8">
        <f t="shared" si="190"/>
        <v>-1.7053025658242404E-13</v>
      </c>
      <c r="J3740" s="12"/>
    </row>
    <row r="3741" spans="1:10" x14ac:dyDescent="0.25">
      <c r="C3741" s="9"/>
      <c r="D3741" s="10">
        <v>45702</v>
      </c>
      <c r="E3741" t="s">
        <v>4869</v>
      </c>
      <c r="F3741" s="11" t="s">
        <v>4870</v>
      </c>
      <c r="G3741" s="8">
        <v>243.84</v>
      </c>
      <c r="H3741" s="8">
        <v>0</v>
      </c>
      <c r="I3741" s="8">
        <f t="shared" si="190"/>
        <v>243.83999999999983</v>
      </c>
      <c r="J3741" s="12"/>
    </row>
    <row r="3742" spans="1:10" x14ac:dyDescent="0.25">
      <c r="C3742" s="9"/>
      <c r="D3742" s="10">
        <v>45702</v>
      </c>
      <c r="E3742" t="s">
        <v>4871</v>
      </c>
      <c r="F3742" s="11" t="s">
        <v>4872</v>
      </c>
      <c r="G3742" s="8">
        <v>57.61</v>
      </c>
      <c r="H3742" s="8">
        <v>0</v>
      </c>
      <c r="I3742" s="8">
        <f t="shared" si="190"/>
        <v>301.44999999999982</v>
      </c>
      <c r="J3742" s="12"/>
    </row>
    <row r="3743" spans="1:10" x14ac:dyDescent="0.25">
      <c r="C3743" s="9"/>
      <c r="D3743" s="10">
        <v>45705</v>
      </c>
      <c r="E3743" t="s">
        <v>1524</v>
      </c>
      <c r="F3743" s="11" t="s">
        <v>4870</v>
      </c>
      <c r="G3743" s="8">
        <v>0</v>
      </c>
      <c r="H3743" s="8">
        <v>243.84</v>
      </c>
      <c r="I3743" s="8">
        <f t="shared" si="190"/>
        <v>57.609999999999815</v>
      </c>
      <c r="J3743" s="12"/>
    </row>
    <row r="3744" spans="1:10" x14ac:dyDescent="0.25">
      <c r="C3744" s="9"/>
      <c r="D3744" s="10">
        <v>45705</v>
      </c>
      <c r="E3744" t="s">
        <v>1524</v>
      </c>
      <c r="F3744" s="11" t="s">
        <v>4872</v>
      </c>
      <c r="G3744" s="8">
        <v>0</v>
      </c>
      <c r="H3744" s="8">
        <v>57.61</v>
      </c>
      <c r="I3744" s="8">
        <f t="shared" si="190"/>
        <v>-1.8474111129762605E-13</v>
      </c>
      <c r="J3744" s="12"/>
    </row>
    <row r="3745" spans="3:10" x14ac:dyDescent="0.25">
      <c r="C3745" s="9"/>
      <c r="D3745" s="10">
        <v>45716</v>
      </c>
      <c r="E3745" t="s">
        <v>4873</v>
      </c>
      <c r="F3745" s="11" t="s">
        <v>4874</v>
      </c>
      <c r="G3745" s="8">
        <v>30.86</v>
      </c>
      <c r="H3745" s="8">
        <v>0</v>
      </c>
      <c r="I3745" s="8">
        <f t="shared" si="190"/>
        <v>30.859999999999815</v>
      </c>
      <c r="J3745" s="12"/>
    </row>
    <row r="3746" spans="3:10" x14ac:dyDescent="0.25">
      <c r="C3746" s="9"/>
      <c r="D3746" s="10">
        <v>45716</v>
      </c>
      <c r="E3746" t="s">
        <v>4875</v>
      </c>
      <c r="F3746" s="11" t="s">
        <v>4876</v>
      </c>
      <c r="G3746" s="8">
        <v>41.62</v>
      </c>
      <c r="H3746" s="8">
        <v>0</v>
      </c>
      <c r="I3746" s="8">
        <f t="shared" si="190"/>
        <v>72.479999999999819</v>
      </c>
      <c r="J3746" s="12"/>
    </row>
    <row r="3747" spans="3:10" x14ac:dyDescent="0.25">
      <c r="C3747" s="9" t="s">
        <v>124</v>
      </c>
      <c r="D3747" s="10">
        <v>45719</v>
      </c>
      <c r="E3747" t="s">
        <v>4877</v>
      </c>
      <c r="F3747" s="11" t="s">
        <v>4874</v>
      </c>
      <c r="G3747" s="8">
        <v>0</v>
      </c>
      <c r="H3747" s="8">
        <v>30.86</v>
      </c>
      <c r="I3747" s="8">
        <f t="shared" si="190"/>
        <v>41.61999999999982</v>
      </c>
      <c r="J3747" s="12"/>
    </row>
    <row r="3748" spans="3:10" x14ac:dyDescent="0.25">
      <c r="C3748" s="9" t="s">
        <v>124</v>
      </c>
      <c r="D3748" s="10">
        <v>45719</v>
      </c>
      <c r="E3748" t="s">
        <v>4878</v>
      </c>
      <c r="F3748" s="11" t="s">
        <v>4876</v>
      </c>
      <c r="G3748" s="8">
        <v>0</v>
      </c>
      <c r="H3748" s="8">
        <v>41.62</v>
      </c>
      <c r="I3748" s="8">
        <f t="shared" si="190"/>
        <v>-1.7763568394002505E-13</v>
      </c>
      <c r="J3748" s="12"/>
    </row>
    <row r="3749" spans="3:10" x14ac:dyDescent="0.25">
      <c r="C3749" s="9"/>
      <c r="D3749" s="10">
        <v>45730</v>
      </c>
      <c r="E3749" t="s">
        <v>4879</v>
      </c>
      <c r="F3749" s="11" t="s">
        <v>4880</v>
      </c>
      <c r="G3749" s="8">
        <v>40.659999999999997</v>
      </c>
      <c r="H3749" s="8">
        <v>0</v>
      </c>
      <c r="I3749" s="8">
        <f t="shared" si="190"/>
        <v>40.659999999999819</v>
      </c>
      <c r="J3749" s="12"/>
    </row>
    <row r="3750" spans="3:10" x14ac:dyDescent="0.25">
      <c r="C3750" s="9"/>
      <c r="D3750" s="10">
        <v>45730</v>
      </c>
      <c r="E3750" t="s">
        <v>4881</v>
      </c>
      <c r="F3750" s="11" t="s">
        <v>4882</v>
      </c>
      <c r="G3750" s="8">
        <v>72.599999999999994</v>
      </c>
      <c r="H3750" s="8">
        <v>0</v>
      </c>
      <c r="I3750" s="8">
        <f t="shared" si="190"/>
        <v>113.25999999999982</v>
      </c>
      <c r="J3750" s="12"/>
    </row>
    <row r="3751" spans="3:10" x14ac:dyDescent="0.25">
      <c r="C3751" s="9"/>
      <c r="D3751" s="10">
        <v>45730</v>
      </c>
      <c r="E3751" t="s">
        <v>4883</v>
      </c>
      <c r="F3751" s="11" t="s">
        <v>4884</v>
      </c>
      <c r="G3751" s="8">
        <v>443.08</v>
      </c>
      <c r="H3751" s="8">
        <v>0</v>
      </c>
      <c r="I3751" s="8">
        <f t="shared" si="190"/>
        <v>556.3399999999998</v>
      </c>
      <c r="J3751" s="12"/>
    </row>
    <row r="3752" spans="3:10" x14ac:dyDescent="0.25">
      <c r="C3752" s="9"/>
      <c r="D3752" s="10">
        <v>45733</v>
      </c>
      <c r="E3752" t="s">
        <v>1524</v>
      </c>
      <c r="F3752" s="11" t="s">
        <v>4880</v>
      </c>
      <c r="G3752" s="8">
        <v>0</v>
      </c>
      <c r="H3752" s="8">
        <v>40.659999999999997</v>
      </c>
      <c r="I3752" s="8">
        <f t="shared" si="190"/>
        <v>515.67999999999984</v>
      </c>
      <c r="J3752" s="12"/>
    </row>
    <row r="3753" spans="3:10" x14ac:dyDescent="0.25">
      <c r="C3753" s="9"/>
      <c r="D3753" s="10">
        <v>45733</v>
      </c>
      <c r="E3753" t="s">
        <v>1524</v>
      </c>
      <c r="F3753" s="11" t="s">
        <v>4882</v>
      </c>
      <c r="G3753" s="8">
        <v>0</v>
      </c>
      <c r="H3753" s="8">
        <v>72.599999999999994</v>
      </c>
      <c r="I3753" s="8">
        <f t="shared" si="190"/>
        <v>443.07999999999981</v>
      </c>
      <c r="J3753" s="12"/>
    </row>
    <row r="3754" spans="3:10" x14ac:dyDescent="0.25">
      <c r="C3754" s="9"/>
      <c r="D3754" s="10">
        <v>45733</v>
      </c>
      <c r="E3754" t="s">
        <v>1524</v>
      </c>
      <c r="F3754" s="11" t="s">
        <v>4884</v>
      </c>
      <c r="G3754" s="8">
        <v>0</v>
      </c>
      <c r="H3754" s="8">
        <v>443.08</v>
      </c>
      <c r="I3754" s="8">
        <f t="shared" si="190"/>
        <v>0</v>
      </c>
      <c r="J3754" s="12"/>
    </row>
    <row r="3755" spans="3:10" x14ac:dyDescent="0.25">
      <c r="C3755" s="9"/>
      <c r="D3755" s="10">
        <v>45747</v>
      </c>
      <c r="E3755" t="s">
        <v>4885</v>
      </c>
      <c r="F3755" s="11" t="s">
        <v>4886</v>
      </c>
      <c r="G3755" s="8">
        <v>75.47</v>
      </c>
      <c r="H3755" s="8">
        <v>0</v>
      </c>
      <c r="I3755" s="8">
        <f t="shared" si="190"/>
        <v>75.47</v>
      </c>
      <c r="J3755" s="12"/>
    </row>
    <row r="3756" spans="3:10" x14ac:dyDescent="0.25">
      <c r="C3756" s="9"/>
      <c r="D3756" s="10">
        <v>45747</v>
      </c>
      <c r="E3756" t="s">
        <v>4887</v>
      </c>
      <c r="F3756" s="11" t="s">
        <v>4888</v>
      </c>
      <c r="G3756" s="8">
        <v>78.650000000000006</v>
      </c>
      <c r="H3756" s="8">
        <v>0</v>
      </c>
      <c r="I3756" s="8">
        <f t="shared" si="190"/>
        <v>154.12</v>
      </c>
      <c r="J3756" s="12"/>
    </row>
    <row r="3757" spans="3:10" x14ac:dyDescent="0.25">
      <c r="C3757" s="9"/>
      <c r="D3757" s="10">
        <v>45747</v>
      </c>
      <c r="E3757" t="s">
        <v>4889</v>
      </c>
      <c r="F3757" s="11" t="s">
        <v>4890</v>
      </c>
      <c r="G3757" s="8">
        <v>117.98</v>
      </c>
      <c r="H3757" s="8">
        <v>0</v>
      </c>
      <c r="I3757" s="8">
        <f t="shared" si="190"/>
        <v>272.10000000000002</v>
      </c>
      <c r="J3757" s="12"/>
    </row>
    <row r="3758" spans="3:10" x14ac:dyDescent="0.25">
      <c r="C3758" s="9" t="s">
        <v>124</v>
      </c>
      <c r="D3758" s="10">
        <v>45748</v>
      </c>
      <c r="E3758" t="s">
        <v>4868</v>
      </c>
      <c r="F3758" s="11" t="s">
        <v>4874</v>
      </c>
      <c r="G3758" s="8">
        <v>0</v>
      </c>
      <c r="H3758" s="8">
        <v>272.10000000000002</v>
      </c>
      <c r="I3758" s="8">
        <f t="shared" si="190"/>
        <v>0</v>
      </c>
      <c r="J3758" s="12"/>
    </row>
    <row r="3759" spans="3:10" x14ac:dyDescent="0.25">
      <c r="C3759" s="9"/>
      <c r="D3759" s="10">
        <v>45762</v>
      </c>
      <c r="E3759" t="s">
        <v>4868</v>
      </c>
      <c r="F3759" s="11" t="s">
        <v>42</v>
      </c>
      <c r="G3759" s="8">
        <v>0</v>
      </c>
      <c r="H3759" s="8">
        <v>29.96</v>
      </c>
      <c r="I3759" s="8">
        <f t="shared" si="190"/>
        <v>-29.96</v>
      </c>
      <c r="J3759" s="12"/>
    </row>
    <row r="3760" spans="3:10" x14ac:dyDescent="0.25">
      <c r="E3760" s="4" t="s">
        <v>20</v>
      </c>
      <c r="G3760" s="8">
        <f>SUM(G3730:G3759)</f>
        <v>2852.5099999999993</v>
      </c>
      <c r="H3760" s="8">
        <f>SUM(H3730:H3759)</f>
        <v>2882.4699999999993</v>
      </c>
      <c r="I3760" s="8">
        <f>G3760-H3760</f>
        <v>-29.960000000000036</v>
      </c>
    </row>
    <row r="3762" spans="1:10" x14ac:dyDescent="0.25">
      <c r="A3762" s="5">
        <v>4307160</v>
      </c>
      <c r="B3762" s="6" t="s">
        <v>4891</v>
      </c>
      <c r="C3762" s="7"/>
      <c r="D3762" s="7"/>
      <c r="E3762" s="7"/>
      <c r="F3762" s="7"/>
      <c r="G3762" s="7"/>
      <c r="H3762" s="7"/>
      <c r="I3762" s="7"/>
      <c r="J3762" s="7"/>
    </row>
    <row r="3763" spans="1:10" x14ac:dyDescent="0.25">
      <c r="E3763" s="4" t="s">
        <v>10</v>
      </c>
      <c r="G3763" s="8">
        <v>345.86</v>
      </c>
      <c r="H3763" s="8">
        <v>0</v>
      </c>
      <c r="I3763" s="8">
        <f>G3763-H3763</f>
        <v>345.86</v>
      </c>
    </row>
    <row r="3764" spans="1:10" x14ac:dyDescent="0.25">
      <c r="C3764" s="9"/>
      <c r="D3764" s="10">
        <v>45659</v>
      </c>
      <c r="E3764" t="s">
        <v>1524</v>
      </c>
      <c r="F3764" s="11" t="s">
        <v>4892</v>
      </c>
      <c r="G3764" s="8">
        <v>0</v>
      </c>
      <c r="H3764" s="8">
        <v>105.03</v>
      </c>
      <c r="I3764" s="8">
        <f t="shared" ref="I3764:I3774" si="191">G3764-H3764+I3763</f>
        <v>240.83</v>
      </c>
      <c r="J3764" s="12"/>
    </row>
    <row r="3765" spans="1:10" x14ac:dyDescent="0.25">
      <c r="C3765" s="9"/>
      <c r="D3765" s="10">
        <v>45679</v>
      </c>
      <c r="E3765" t="s">
        <v>4893</v>
      </c>
      <c r="F3765" s="11" t="s">
        <v>42</v>
      </c>
      <c r="G3765" s="8">
        <v>0</v>
      </c>
      <c r="H3765" s="8">
        <v>118.51</v>
      </c>
      <c r="I3765" s="8">
        <f t="shared" si="191"/>
        <v>122.32000000000001</v>
      </c>
      <c r="J3765" s="12"/>
    </row>
    <row r="3766" spans="1:10" x14ac:dyDescent="0.25">
      <c r="C3766" s="9"/>
      <c r="D3766" s="10">
        <v>45679</v>
      </c>
      <c r="E3766" t="s">
        <v>4893</v>
      </c>
      <c r="F3766" s="11" t="s">
        <v>42</v>
      </c>
      <c r="G3766" s="8">
        <v>0</v>
      </c>
      <c r="H3766" s="8">
        <v>113.09</v>
      </c>
      <c r="I3766" s="8">
        <f t="shared" si="191"/>
        <v>9.230000000000004</v>
      </c>
      <c r="J3766" s="12"/>
    </row>
    <row r="3767" spans="1:10" x14ac:dyDescent="0.25">
      <c r="C3767" s="9"/>
      <c r="D3767" s="10">
        <v>45680</v>
      </c>
      <c r="E3767" t="s">
        <v>3260</v>
      </c>
      <c r="F3767" s="11" t="s">
        <v>4894</v>
      </c>
      <c r="G3767" s="8">
        <v>72.55</v>
      </c>
      <c r="H3767" s="8">
        <v>0</v>
      </c>
      <c r="I3767" s="8">
        <f t="shared" si="191"/>
        <v>81.78</v>
      </c>
      <c r="J3767" s="12"/>
    </row>
    <row r="3768" spans="1:10" x14ac:dyDescent="0.25">
      <c r="C3768" s="9"/>
      <c r="D3768" s="10">
        <v>45702</v>
      </c>
      <c r="E3768" t="s">
        <v>4895</v>
      </c>
      <c r="F3768" s="11" t="s">
        <v>4896</v>
      </c>
      <c r="G3768" s="8">
        <v>117.22</v>
      </c>
      <c r="H3768" s="8">
        <v>0</v>
      </c>
      <c r="I3768" s="8">
        <f t="shared" si="191"/>
        <v>199</v>
      </c>
      <c r="J3768" s="12"/>
    </row>
    <row r="3769" spans="1:10" x14ac:dyDescent="0.25">
      <c r="C3769" s="9"/>
      <c r="D3769" s="10">
        <v>45705</v>
      </c>
      <c r="E3769" t="s">
        <v>1524</v>
      </c>
      <c r="F3769" s="11" t="s">
        <v>4896</v>
      </c>
      <c r="G3769" s="8">
        <v>0</v>
      </c>
      <c r="H3769" s="8">
        <v>117.22</v>
      </c>
      <c r="I3769" s="8">
        <f t="shared" si="191"/>
        <v>81.78</v>
      </c>
      <c r="J3769" s="12"/>
    </row>
    <row r="3770" spans="1:10" x14ac:dyDescent="0.25">
      <c r="C3770" s="9"/>
      <c r="D3770" s="10">
        <v>45713</v>
      </c>
      <c r="E3770" t="s">
        <v>4850</v>
      </c>
      <c r="F3770" s="11" t="s">
        <v>42</v>
      </c>
      <c r="G3770" s="8">
        <v>105.03</v>
      </c>
      <c r="H3770" s="8">
        <v>0</v>
      </c>
      <c r="I3770" s="8">
        <f t="shared" si="191"/>
        <v>186.81</v>
      </c>
      <c r="J3770" s="12"/>
    </row>
    <row r="3771" spans="1:10" x14ac:dyDescent="0.25">
      <c r="C3771" s="9"/>
      <c r="D3771" s="10">
        <v>45713</v>
      </c>
      <c r="E3771" t="s">
        <v>4897</v>
      </c>
      <c r="F3771" s="11" t="s">
        <v>42</v>
      </c>
      <c r="G3771" s="8">
        <v>0</v>
      </c>
      <c r="H3771" s="8">
        <v>147.49</v>
      </c>
      <c r="I3771" s="8">
        <f t="shared" si="191"/>
        <v>39.319999999999993</v>
      </c>
      <c r="J3771" s="12"/>
    </row>
    <row r="3772" spans="1:10" x14ac:dyDescent="0.25">
      <c r="C3772" s="9"/>
      <c r="D3772" s="10">
        <v>45716</v>
      </c>
      <c r="E3772" t="s">
        <v>4898</v>
      </c>
      <c r="F3772" s="11" t="s">
        <v>4899</v>
      </c>
      <c r="G3772" s="8">
        <v>145.04</v>
      </c>
      <c r="H3772" s="8">
        <v>0</v>
      </c>
      <c r="I3772" s="8">
        <f t="shared" si="191"/>
        <v>184.35999999999999</v>
      </c>
      <c r="J3772" s="12"/>
    </row>
    <row r="3773" spans="1:10" x14ac:dyDescent="0.25">
      <c r="C3773" s="9"/>
      <c r="D3773" s="10">
        <v>45730</v>
      </c>
      <c r="E3773" t="s">
        <v>4900</v>
      </c>
      <c r="F3773" s="11" t="s">
        <v>4901</v>
      </c>
      <c r="G3773" s="8">
        <v>71.16</v>
      </c>
      <c r="H3773" s="8">
        <v>0</v>
      </c>
      <c r="I3773" s="8">
        <f t="shared" si="191"/>
        <v>255.51999999999998</v>
      </c>
      <c r="J3773" s="12"/>
    </row>
    <row r="3774" spans="1:10" x14ac:dyDescent="0.25">
      <c r="C3774" s="9"/>
      <c r="D3774" s="10">
        <v>45741</v>
      </c>
      <c r="E3774" t="s">
        <v>4850</v>
      </c>
      <c r="F3774" s="11" t="s">
        <v>42</v>
      </c>
      <c r="G3774" s="8">
        <v>117.22</v>
      </c>
      <c r="H3774" s="8">
        <v>0</v>
      </c>
      <c r="I3774" s="8">
        <f t="shared" si="191"/>
        <v>372.74</v>
      </c>
      <c r="J3774" s="12"/>
    </row>
    <row r="3775" spans="1:10" x14ac:dyDescent="0.25">
      <c r="E3775" s="4" t="s">
        <v>20</v>
      </c>
      <c r="G3775" s="8">
        <f>SUM(G3763:G3774)</f>
        <v>974.07999999999993</v>
      </c>
      <c r="H3775" s="8">
        <f>SUM(H3763:H3774)</f>
        <v>601.34</v>
      </c>
      <c r="I3775" s="8">
        <f>G3775-H3775</f>
        <v>372.7399999999999</v>
      </c>
    </row>
    <row r="3777" spans="1:10" x14ac:dyDescent="0.25">
      <c r="A3777" s="5">
        <v>4307165</v>
      </c>
      <c r="B3777" s="6" t="s">
        <v>4902</v>
      </c>
      <c r="C3777" s="7"/>
      <c r="D3777" s="7"/>
      <c r="E3777" s="7"/>
      <c r="F3777" s="7"/>
      <c r="G3777" s="7"/>
      <c r="H3777" s="7"/>
      <c r="I3777" s="7"/>
      <c r="J3777" s="7"/>
    </row>
    <row r="3778" spans="1:10" x14ac:dyDescent="0.25">
      <c r="E3778" s="4" t="s">
        <v>10</v>
      </c>
      <c r="G3778" s="8">
        <v>349.58</v>
      </c>
      <c r="H3778" s="8">
        <v>0</v>
      </c>
      <c r="I3778" s="8">
        <f>G3778-H3778</f>
        <v>349.58</v>
      </c>
    </row>
    <row r="3779" spans="1:10" x14ac:dyDescent="0.25">
      <c r="E3779" s="4" t="s">
        <v>20</v>
      </c>
      <c r="G3779" s="8">
        <f>G3778</f>
        <v>349.58</v>
      </c>
      <c r="H3779" s="8">
        <f>H3778</f>
        <v>0</v>
      </c>
      <c r="I3779" s="8">
        <f>G3779-H3779</f>
        <v>349.58</v>
      </c>
    </row>
    <row r="3781" spans="1:10" x14ac:dyDescent="0.25">
      <c r="A3781" s="5">
        <v>4307170</v>
      </c>
      <c r="B3781" s="6" t="s">
        <v>4903</v>
      </c>
      <c r="C3781" s="7"/>
      <c r="D3781" s="7"/>
      <c r="E3781" s="7"/>
      <c r="F3781" s="7"/>
      <c r="G3781" s="7"/>
      <c r="H3781" s="7"/>
      <c r="I3781" s="7"/>
      <c r="J3781" s="7"/>
    </row>
    <row r="3782" spans="1:10" x14ac:dyDescent="0.25">
      <c r="C3782" s="9"/>
      <c r="D3782" s="10">
        <v>45671</v>
      </c>
      <c r="E3782" t="s">
        <v>4904</v>
      </c>
      <c r="F3782" s="11" t="s">
        <v>4507</v>
      </c>
      <c r="G3782" s="8">
        <v>106.73</v>
      </c>
      <c r="H3782" s="8">
        <v>0</v>
      </c>
      <c r="I3782" s="8">
        <f>G3782-H3782</f>
        <v>106.73</v>
      </c>
      <c r="J3782" s="12"/>
    </row>
    <row r="3783" spans="1:10" x14ac:dyDescent="0.25">
      <c r="C3783" s="9"/>
      <c r="D3783" s="10">
        <v>45672</v>
      </c>
      <c r="E3783" t="s">
        <v>1524</v>
      </c>
      <c r="F3783" s="11" t="s">
        <v>4507</v>
      </c>
      <c r="G3783" s="8">
        <v>0</v>
      </c>
      <c r="H3783" s="8">
        <v>106.73</v>
      </c>
      <c r="I3783" s="8">
        <f t="shared" ref="I3783:I3794" si="192">G3783-H3783+I3782</f>
        <v>0</v>
      </c>
      <c r="J3783" s="12"/>
    </row>
    <row r="3784" spans="1:10" x14ac:dyDescent="0.25">
      <c r="C3784" s="9"/>
      <c r="D3784" s="10">
        <v>45688</v>
      </c>
      <c r="E3784" t="s">
        <v>4905</v>
      </c>
      <c r="F3784" s="11" t="s">
        <v>4906</v>
      </c>
      <c r="G3784" s="8">
        <v>304.99</v>
      </c>
      <c r="H3784" s="8">
        <v>0</v>
      </c>
      <c r="I3784" s="8">
        <f t="shared" si="192"/>
        <v>304.99</v>
      </c>
      <c r="J3784" s="12"/>
    </row>
    <row r="3785" spans="1:10" x14ac:dyDescent="0.25">
      <c r="C3785" s="9" t="s">
        <v>124</v>
      </c>
      <c r="D3785" s="10">
        <v>45691</v>
      </c>
      <c r="E3785" t="s">
        <v>4907</v>
      </c>
      <c r="F3785" s="11" t="s">
        <v>4906</v>
      </c>
      <c r="G3785" s="8">
        <v>0</v>
      </c>
      <c r="H3785" s="8">
        <v>304.99</v>
      </c>
      <c r="I3785" s="8">
        <f t="shared" si="192"/>
        <v>0</v>
      </c>
      <c r="J3785" s="12"/>
    </row>
    <row r="3786" spans="1:10" x14ac:dyDescent="0.25">
      <c r="C3786" s="9"/>
      <c r="D3786" s="10">
        <v>45702</v>
      </c>
      <c r="E3786" t="s">
        <v>4908</v>
      </c>
      <c r="F3786" s="11" t="s">
        <v>4909</v>
      </c>
      <c r="G3786" s="8">
        <v>35.619999999999997</v>
      </c>
      <c r="H3786" s="8">
        <v>0</v>
      </c>
      <c r="I3786" s="8">
        <f t="shared" si="192"/>
        <v>35.619999999999997</v>
      </c>
      <c r="J3786" s="12"/>
    </row>
    <row r="3787" spans="1:10" x14ac:dyDescent="0.25">
      <c r="C3787" s="9"/>
      <c r="D3787" s="10">
        <v>45705</v>
      </c>
      <c r="E3787" t="s">
        <v>1524</v>
      </c>
      <c r="F3787" s="11" t="s">
        <v>4909</v>
      </c>
      <c r="G3787" s="8">
        <v>0</v>
      </c>
      <c r="H3787" s="8">
        <v>35.619999999999997</v>
      </c>
      <c r="I3787" s="8">
        <f t="shared" si="192"/>
        <v>0</v>
      </c>
      <c r="J3787" s="12"/>
    </row>
    <row r="3788" spans="1:10" x14ac:dyDescent="0.25">
      <c r="C3788" s="9"/>
      <c r="D3788" s="10">
        <v>45716</v>
      </c>
      <c r="E3788" t="s">
        <v>4910</v>
      </c>
      <c r="F3788" s="11" t="s">
        <v>4911</v>
      </c>
      <c r="G3788" s="8">
        <v>42.35</v>
      </c>
      <c r="H3788" s="8">
        <v>0</v>
      </c>
      <c r="I3788" s="8">
        <f t="shared" si="192"/>
        <v>42.35</v>
      </c>
      <c r="J3788" s="12"/>
    </row>
    <row r="3789" spans="1:10" x14ac:dyDescent="0.25">
      <c r="C3789" s="9"/>
      <c r="D3789" s="10">
        <v>45720</v>
      </c>
      <c r="E3789" t="s">
        <v>4912</v>
      </c>
      <c r="F3789" s="11" t="s">
        <v>42</v>
      </c>
      <c r="G3789" s="8">
        <v>0</v>
      </c>
      <c r="H3789" s="8">
        <v>42.35</v>
      </c>
      <c r="I3789" s="8">
        <f t="shared" si="192"/>
        <v>0</v>
      </c>
      <c r="J3789" s="12"/>
    </row>
    <row r="3790" spans="1:10" x14ac:dyDescent="0.25">
      <c r="C3790" s="9"/>
      <c r="D3790" s="10">
        <v>45730</v>
      </c>
      <c r="E3790" t="s">
        <v>4913</v>
      </c>
      <c r="F3790" s="11" t="s">
        <v>4914</v>
      </c>
      <c r="G3790" s="8">
        <v>555.67999999999995</v>
      </c>
      <c r="H3790" s="8">
        <v>0</v>
      </c>
      <c r="I3790" s="8">
        <f t="shared" si="192"/>
        <v>555.67999999999995</v>
      </c>
      <c r="J3790" s="12"/>
    </row>
    <row r="3791" spans="1:10" x14ac:dyDescent="0.25">
      <c r="C3791" s="9"/>
      <c r="D3791" s="10">
        <v>45733</v>
      </c>
      <c r="E3791" t="s">
        <v>1524</v>
      </c>
      <c r="F3791" s="11" t="s">
        <v>4914</v>
      </c>
      <c r="G3791" s="8">
        <v>0</v>
      </c>
      <c r="H3791" s="8">
        <v>555.67999999999995</v>
      </c>
      <c r="I3791" s="8">
        <f t="shared" si="192"/>
        <v>0</v>
      </c>
      <c r="J3791" s="12"/>
    </row>
    <row r="3792" spans="1:10" x14ac:dyDescent="0.25">
      <c r="C3792" s="9"/>
      <c r="D3792" s="10">
        <v>45747</v>
      </c>
      <c r="E3792" t="s">
        <v>4915</v>
      </c>
      <c r="F3792" s="11" t="s">
        <v>4916</v>
      </c>
      <c r="G3792" s="8">
        <v>111.27</v>
      </c>
      <c r="H3792" s="8">
        <v>0</v>
      </c>
      <c r="I3792" s="8">
        <f t="shared" si="192"/>
        <v>111.27</v>
      </c>
      <c r="J3792" s="12"/>
    </row>
    <row r="3793" spans="1:10" x14ac:dyDescent="0.25">
      <c r="C3793" s="9"/>
      <c r="D3793" s="10">
        <v>45748</v>
      </c>
      <c r="E3793" t="s">
        <v>1524</v>
      </c>
      <c r="F3793" s="11" t="s">
        <v>4916</v>
      </c>
      <c r="G3793" s="8">
        <v>0</v>
      </c>
      <c r="H3793" s="8">
        <v>111.27</v>
      </c>
      <c r="I3793" s="8">
        <f t="shared" si="192"/>
        <v>0</v>
      </c>
      <c r="J3793" s="12"/>
    </row>
    <row r="3794" spans="1:10" x14ac:dyDescent="0.25">
      <c r="C3794" s="9"/>
      <c r="D3794" s="10">
        <v>45762</v>
      </c>
      <c r="E3794" t="s">
        <v>4912</v>
      </c>
      <c r="F3794" s="11" t="s">
        <v>42</v>
      </c>
      <c r="G3794" s="8">
        <v>0</v>
      </c>
      <c r="H3794" s="8">
        <v>138.32</v>
      </c>
      <c r="I3794" s="8">
        <f t="shared" si="192"/>
        <v>-138.32</v>
      </c>
      <c r="J3794" s="12"/>
    </row>
    <row r="3795" spans="1:10" x14ac:dyDescent="0.25">
      <c r="E3795" s="4" t="s">
        <v>20</v>
      </c>
      <c r="G3795" s="8">
        <f>SUM(G3782:G3794)</f>
        <v>1156.6399999999999</v>
      </c>
      <c r="H3795" s="8">
        <f>SUM(H3782:H3794)</f>
        <v>1294.9599999999998</v>
      </c>
      <c r="I3795" s="8">
        <f>G3795-H3795</f>
        <v>-138.31999999999994</v>
      </c>
    </row>
    <row r="3797" spans="1:10" x14ac:dyDescent="0.25">
      <c r="A3797" s="5">
        <v>4307200</v>
      </c>
      <c r="B3797" s="6" t="s">
        <v>4917</v>
      </c>
      <c r="C3797" s="7"/>
      <c r="D3797" s="7"/>
      <c r="E3797" s="7"/>
      <c r="F3797" s="7"/>
      <c r="G3797" s="7"/>
      <c r="H3797" s="7"/>
      <c r="I3797" s="7"/>
      <c r="J3797" s="7"/>
    </row>
    <row r="3798" spans="1:10" x14ac:dyDescent="0.25">
      <c r="C3798" s="9"/>
      <c r="D3798" s="10">
        <v>45702</v>
      </c>
      <c r="E3798" t="s">
        <v>4918</v>
      </c>
      <c r="F3798" s="11" t="s">
        <v>4919</v>
      </c>
      <c r="G3798" s="8">
        <v>76</v>
      </c>
      <c r="H3798" s="8">
        <v>0</v>
      </c>
      <c r="I3798" s="8">
        <f>G3798-H3798</f>
        <v>76</v>
      </c>
      <c r="J3798" s="12"/>
    </row>
    <row r="3799" spans="1:10" x14ac:dyDescent="0.25">
      <c r="C3799" s="9"/>
      <c r="D3799" s="10">
        <v>45705</v>
      </c>
      <c r="E3799" t="s">
        <v>1524</v>
      </c>
      <c r="F3799" s="11" t="s">
        <v>4919</v>
      </c>
      <c r="G3799" s="8">
        <v>0</v>
      </c>
      <c r="H3799" s="8">
        <v>76</v>
      </c>
      <c r="I3799" s="8">
        <f>G3799-H3799+I3798</f>
        <v>0</v>
      </c>
      <c r="J3799" s="12"/>
    </row>
    <row r="3800" spans="1:10" x14ac:dyDescent="0.25">
      <c r="C3800" s="9"/>
      <c r="D3800" s="10">
        <v>45716</v>
      </c>
      <c r="E3800" t="s">
        <v>4920</v>
      </c>
      <c r="F3800" s="11" t="s">
        <v>4921</v>
      </c>
      <c r="G3800" s="8">
        <v>181.1</v>
      </c>
      <c r="H3800" s="8">
        <v>0</v>
      </c>
      <c r="I3800" s="8">
        <f>G3800-H3800+I3799</f>
        <v>181.1</v>
      </c>
      <c r="J3800" s="12"/>
    </row>
    <row r="3801" spans="1:10" x14ac:dyDescent="0.25">
      <c r="C3801" s="9" t="s">
        <v>124</v>
      </c>
      <c r="D3801" s="10">
        <v>45719</v>
      </c>
      <c r="E3801" t="s">
        <v>4922</v>
      </c>
      <c r="F3801" s="11" t="s">
        <v>4921</v>
      </c>
      <c r="G3801" s="8">
        <v>0</v>
      </c>
      <c r="H3801" s="8">
        <v>181.1</v>
      </c>
      <c r="I3801" s="8">
        <f>G3801-H3801+I3800</f>
        <v>0</v>
      </c>
      <c r="J3801" s="12"/>
    </row>
    <row r="3802" spans="1:10" x14ac:dyDescent="0.25">
      <c r="C3802" s="9"/>
      <c r="D3802" s="10">
        <v>45762</v>
      </c>
      <c r="E3802" t="s">
        <v>4923</v>
      </c>
      <c r="F3802" s="11" t="s">
        <v>42</v>
      </c>
      <c r="G3802" s="8">
        <v>0</v>
      </c>
      <c r="H3802" s="8">
        <v>52.72</v>
      </c>
      <c r="I3802" s="8">
        <f>G3802-H3802+I3801</f>
        <v>-52.72</v>
      </c>
      <c r="J3802" s="12"/>
    </row>
    <row r="3803" spans="1:10" x14ac:dyDescent="0.25">
      <c r="E3803" s="4" t="s">
        <v>20</v>
      </c>
      <c r="G3803" s="8">
        <f>SUM(G3798:G3802)</f>
        <v>257.10000000000002</v>
      </c>
      <c r="H3803" s="8">
        <f>SUM(H3798:H3802)</f>
        <v>309.82000000000005</v>
      </c>
      <c r="I3803" s="8">
        <f>G3803-H3803</f>
        <v>-52.720000000000027</v>
      </c>
    </row>
    <row r="3805" spans="1:10" x14ac:dyDescent="0.25">
      <c r="A3805" s="5">
        <v>4307215</v>
      </c>
      <c r="B3805" s="6" t="s">
        <v>4924</v>
      </c>
      <c r="C3805" s="7"/>
      <c r="D3805" s="7"/>
      <c r="E3805" s="7"/>
      <c r="F3805" s="7"/>
      <c r="G3805" s="7"/>
      <c r="H3805" s="7"/>
      <c r="I3805" s="7"/>
      <c r="J3805" s="7"/>
    </row>
    <row r="3806" spans="1:10" x14ac:dyDescent="0.25">
      <c r="E3806" s="4" t="s">
        <v>10</v>
      </c>
      <c r="G3806" s="8">
        <v>10.73</v>
      </c>
      <c r="H3806" s="8">
        <v>0</v>
      </c>
      <c r="I3806" s="8">
        <f>G3806-H3806</f>
        <v>10.73</v>
      </c>
    </row>
    <row r="3807" spans="1:10" x14ac:dyDescent="0.25">
      <c r="E3807" s="4" t="s">
        <v>20</v>
      </c>
      <c r="G3807" s="8">
        <f>G3806</f>
        <v>10.73</v>
      </c>
      <c r="H3807" s="8">
        <f>H3806</f>
        <v>0</v>
      </c>
      <c r="I3807" s="8">
        <f>G3807-H3807</f>
        <v>10.73</v>
      </c>
    </row>
    <row r="3809" spans="1:10" x14ac:dyDescent="0.25">
      <c r="A3809" s="5">
        <v>4307225</v>
      </c>
      <c r="B3809" s="6" t="s">
        <v>4925</v>
      </c>
      <c r="C3809" s="7"/>
      <c r="D3809" s="7"/>
      <c r="E3809" s="7"/>
      <c r="F3809" s="7"/>
      <c r="G3809" s="7"/>
      <c r="H3809" s="7"/>
      <c r="I3809" s="7"/>
      <c r="J3809" s="7"/>
    </row>
    <row r="3810" spans="1:10" x14ac:dyDescent="0.25">
      <c r="E3810" s="4" t="s">
        <v>10</v>
      </c>
      <c r="G3810" s="8">
        <v>213.45</v>
      </c>
      <c r="H3810" s="8">
        <v>0</v>
      </c>
      <c r="I3810" s="8">
        <f>G3810-H3810</f>
        <v>213.45</v>
      </c>
    </row>
    <row r="3811" spans="1:10" x14ac:dyDescent="0.25">
      <c r="E3811" s="4" t="s">
        <v>20</v>
      </c>
      <c r="G3811" s="8">
        <f>G3810</f>
        <v>213.45</v>
      </c>
      <c r="H3811" s="8">
        <f>H3810</f>
        <v>0</v>
      </c>
      <c r="I3811" s="8">
        <f>G3811-H3811</f>
        <v>213.45</v>
      </c>
    </row>
    <row r="3813" spans="1:10" x14ac:dyDescent="0.25">
      <c r="A3813" s="5">
        <v>4307235</v>
      </c>
      <c r="B3813" s="6" t="s">
        <v>4926</v>
      </c>
      <c r="C3813" s="7"/>
      <c r="D3813" s="7"/>
      <c r="E3813" s="7"/>
      <c r="F3813" s="7"/>
      <c r="G3813" s="7"/>
      <c r="H3813" s="7"/>
      <c r="I3813" s="7"/>
      <c r="J3813" s="7"/>
    </row>
    <row r="3814" spans="1:10" x14ac:dyDescent="0.25">
      <c r="E3814" s="4" t="s">
        <v>10</v>
      </c>
      <c r="G3814" s="8">
        <v>0</v>
      </c>
      <c r="H3814" s="8">
        <v>329.41</v>
      </c>
      <c r="I3814" s="8">
        <f>G3814-H3814</f>
        <v>-329.41</v>
      </c>
    </row>
    <row r="3815" spans="1:10" x14ac:dyDescent="0.25">
      <c r="E3815" s="4" t="s">
        <v>20</v>
      </c>
      <c r="G3815" s="8">
        <f>G3814</f>
        <v>0</v>
      </c>
      <c r="H3815" s="8">
        <f>H3814</f>
        <v>329.41</v>
      </c>
      <c r="I3815" s="8">
        <f>G3815-H3815</f>
        <v>-329.41</v>
      </c>
    </row>
    <row r="3817" spans="1:10" x14ac:dyDescent="0.25">
      <c r="A3817" s="5">
        <v>4307250</v>
      </c>
      <c r="B3817" s="6" t="s">
        <v>1948</v>
      </c>
      <c r="C3817" s="7"/>
      <c r="D3817" s="7"/>
      <c r="E3817" s="7"/>
      <c r="F3817" s="7"/>
      <c r="G3817" s="7"/>
      <c r="H3817" s="7"/>
      <c r="I3817" s="7"/>
      <c r="J3817" s="7"/>
    </row>
    <row r="3818" spans="1:10" x14ac:dyDescent="0.25">
      <c r="E3818" s="4" t="s">
        <v>10</v>
      </c>
      <c r="G3818" s="8">
        <v>2158.56</v>
      </c>
      <c r="H3818" s="8">
        <v>0</v>
      </c>
      <c r="I3818" s="8">
        <f>G3818-H3818</f>
        <v>2158.56</v>
      </c>
    </row>
    <row r="3819" spans="1:10" x14ac:dyDescent="0.25">
      <c r="C3819" s="9"/>
      <c r="D3819" s="10">
        <v>45688</v>
      </c>
      <c r="E3819" t="s">
        <v>4927</v>
      </c>
      <c r="F3819" s="11" t="s">
        <v>4928</v>
      </c>
      <c r="G3819" s="8">
        <v>83.56</v>
      </c>
      <c r="H3819" s="8">
        <v>0</v>
      </c>
      <c r="I3819" s="8">
        <f t="shared" ref="I3819:I3826" si="193">G3819-H3819+I3818</f>
        <v>2242.12</v>
      </c>
      <c r="J3819" s="12"/>
    </row>
    <row r="3820" spans="1:10" x14ac:dyDescent="0.25">
      <c r="C3820" s="9"/>
      <c r="D3820" s="10">
        <v>45691</v>
      </c>
      <c r="E3820" t="s">
        <v>4929</v>
      </c>
      <c r="F3820" s="11" t="s">
        <v>42</v>
      </c>
      <c r="G3820" s="8">
        <v>0</v>
      </c>
      <c r="H3820" s="8">
        <v>2130.06</v>
      </c>
      <c r="I3820" s="8">
        <f t="shared" si="193"/>
        <v>112.05999999999995</v>
      </c>
      <c r="J3820" s="12"/>
    </row>
    <row r="3821" spans="1:10" x14ac:dyDescent="0.25">
      <c r="C3821" s="9"/>
      <c r="D3821" s="10">
        <v>45702</v>
      </c>
      <c r="E3821" t="s">
        <v>4930</v>
      </c>
      <c r="F3821" s="11" t="s">
        <v>4931</v>
      </c>
      <c r="G3821" s="8">
        <v>247.55</v>
      </c>
      <c r="H3821" s="8">
        <v>0</v>
      </c>
      <c r="I3821" s="8">
        <f t="shared" si="193"/>
        <v>359.60999999999996</v>
      </c>
      <c r="J3821" s="12"/>
    </row>
    <row r="3822" spans="1:10" x14ac:dyDescent="0.25">
      <c r="C3822" s="9"/>
      <c r="D3822" s="10">
        <v>45715</v>
      </c>
      <c r="E3822" t="s">
        <v>1524</v>
      </c>
      <c r="F3822" s="11" t="s">
        <v>4928</v>
      </c>
      <c r="G3822" s="8">
        <v>0</v>
      </c>
      <c r="H3822" s="8">
        <v>83.56</v>
      </c>
      <c r="I3822" s="8">
        <f t="shared" si="193"/>
        <v>276.04999999999995</v>
      </c>
      <c r="J3822" s="12"/>
    </row>
    <row r="3823" spans="1:10" x14ac:dyDescent="0.25">
      <c r="C3823" s="9"/>
      <c r="D3823" s="10">
        <v>45716</v>
      </c>
      <c r="E3823" t="s">
        <v>4932</v>
      </c>
      <c r="F3823" s="11" t="s">
        <v>4933</v>
      </c>
      <c r="G3823" s="8">
        <v>114.74</v>
      </c>
      <c r="H3823" s="8">
        <v>0</v>
      </c>
      <c r="I3823" s="8">
        <f t="shared" si="193"/>
        <v>390.78999999999996</v>
      </c>
      <c r="J3823" s="12"/>
    </row>
    <row r="3824" spans="1:10" x14ac:dyDescent="0.25">
      <c r="C3824" s="9"/>
      <c r="D3824" s="10">
        <v>45730</v>
      </c>
      <c r="E3824" t="s">
        <v>4934</v>
      </c>
      <c r="F3824" s="11" t="s">
        <v>4935</v>
      </c>
      <c r="G3824" s="8">
        <v>32.950000000000003</v>
      </c>
      <c r="H3824" s="8">
        <v>0</v>
      </c>
      <c r="I3824" s="8">
        <f t="shared" si="193"/>
        <v>423.73999999999995</v>
      </c>
      <c r="J3824" s="12"/>
    </row>
    <row r="3825" spans="1:10" x14ac:dyDescent="0.25">
      <c r="C3825" s="9"/>
      <c r="D3825" s="10">
        <v>45747</v>
      </c>
      <c r="E3825" t="s">
        <v>4936</v>
      </c>
      <c r="F3825" s="11" t="s">
        <v>4937</v>
      </c>
      <c r="G3825" s="8">
        <v>578.73</v>
      </c>
      <c r="H3825" s="8">
        <v>0</v>
      </c>
      <c r="I3825" s="8">
        <f t="shared" si="193"/>
        <v>1002.47</v>
      </c>
      <c r="J3825" s="12"/>
    </row>
    <row r="3826" spans="1:10" x14ac:dyDescent="0.25">
      <c r="C3826" s="9"/>
      <c r="D3826" s="10">
        <v>45747</v>
      </c>
      <c r="E3826" t="s">
        <v>4938</v>
      </c>
      <c r="F3826" s="11" t="s">
        <v>42</v>
      </c>
      <c r="G3826" s="8">
        <v>0</v>
      </c>
      <c r="H3826" s="8">
        <v>566.27</v>
      </c>
      <c r="I3826" s="8">
        <f t="shared" si="193"/>
        <v>436.20000000000005</v>
      </c>
      <c r="J3826" s="12"/>
    </row>
    <row r="3827" spans="1:10" x14ac:dyDescent="0.25">
      <c r="E3827" s="4" t="s">
        <v>20</v>
      </c>
      <c r="G3827" s="8">
        <f>SUM(G3818:G3826)</f>
        <v>3216.0899999999997</v>
      </c>
      <c r="H3827" s="8">
        <f>SUM(H3818:H3826)</f>
        <v>2779.89</v>
      </c>
      <c r="I3827" s="8">
        <f>G3827-H3827</f>
        <v>436.19999999999982</v>
      </c>
    </row>
    <row r="3829" spans="1:10" x14ac:dyDescent="0.25">
      <c r="A3829" s="5">
        <v>4307251</v>
      </c>
      <c r="B3829" s="6" t="s">
        <v>1948</v>
      </c>
      <c r="C3829" s="7"/>
      <c r="D3829" s="7"/>
      <c r="E3829" s="7"/>
      <c r="F3829" s="7"/>
      <c r="G3829" s="7"/>
      <c r="H3829" s="7"/>
      <c r="I3829" s="7"/>
      <c r="J3829" s="7"/>
    </row>
    <row r="3830" spans="1:10" x14ac:dyDescent="0.25">
      <c r="E3830" s="4" t="s">
        <v>10</v>
      </c>
      <c r="G3830" s="8">
        <v>665.63</v>
      </c>
      <c r="H3830" s="8">
        <v>0</v>
      </c>
      <c r="I3830" s="8">
        <f>G3830-H3830</f>
        <v>665.63</v>
      </c>
    </row>
    <row r="3831" spans="1:10" x14ac:dyDescent="0.25">
      <c r="C3831" s="9"/>
      <c r="D3831" s="10">
        <v>45702</v>
      </c>
      <c r="E3831" t="s">
        <v>4939</v>
      </c>
      <c r="F3831" s="11" t="s">
        <v>4940</v>
      </c>
      <c r="G3831" s="8">
        <v>108.61</v>
      </c>
      <c r="H3831" s="8">
        <v>0</v>
      </c>
      <c r="I3831" s="8">
        <f>G3831-H3831+I3830</f>
        <v>774.24</v>
      </c>
      <c r="J3831" s="12"/>
    </row>
    <row r="3832" spans="1:10" x14ac:dyDescent="0.25">
      <c r="C3832" s="9"/>
      <c r="D3832" s="10">
        <v>45716</v>
      </c>
      <c r="E3832" t="s">
        <v>4941</v>
      </c>
      <c r="F3832" s="11" t="s">
        <v>4942</v>
      </c>
      <c r="G3832" s="8">
        <v>95.37</v>
      </c>
      <c r="H3832" s="8">
        <v>0</v>
      </c>
      <c r="I3832" s="8">
        <f>G3832-H3832+I3831</f>
        <v>869.61</v>
      </c>
      <c r="J3832" s="12"/>
    </row>
    <row r="3833" spans="1:10" x14ac:dyDescent="0.25">
      <c r="C3833" s="9"/>
      <c r="D3833" s="10">
        <v>45730</v>
      </c>
      <c r="E3833" t="s">
        <v>4943</v>
      </c>
      <c r="F3833" s="11" t="s">
        <v>4944</v>
      </c>
      <c r="G3833" s="8">
        <v>420</v>
      </c>
      <c r="H3833" s="8">
        <v>0</v>
      </c>
      <c r="I3833" s="8">
        <f>G3833-H3833+I3832</f>
        <v>1289.6100000000001</v>
      </c>
      <c r="J3833" s="12"/>
    </row>
    <row r="3834" spans="1:10" x14ac:dyDescent="0.25">
      <c r="E3834" s="4" t="s">
        <v>20</v>
      </c>
      <c r="G3834" s="8">
        <f>SUM(G3830:G3833)</f>
        <v>1289.6100000000001</v>
      </c>
      <c r="H3834" s="8">
        <f>SUM(H3830:H3833)</f>
        <v>0</v>
      </c>
      <c r="I3834" s="8">
        <f>G3834-H3834</f>
        <v>1289.6100000000001</v>
      </c>
    </row>
    <row r="3836" spans="1:10" x14ac:dyDescent="0.25">
      <c r="A3836" s="5">
        <v>4307265</v>
      </c>
      <c r="B3836" s="6" t="s">
        <v>4945</v>
      </c>
      <c r="C3836" s="7"/>
      <c r="D3836" s="7"/>
      <c r="E3836" s="7"/>
      <c r="F3836" s="7"/>
      <c r="G3836" s="7"/>
      <c r="H3836" s="7"/>
      <c r="I3836" s="7"/>
      <c r="J3836" s="7"/>
    </row>
    <row r="3837" spans="1:10" x14ac:dyDescent="0.25">
      <c r="E3837" s="4" t="s">
        <v>10</v>
      </c>
      <c r="G3837" s="8">
        <v>19.34</v>
      </c>
      <c r="H3837" s="8">
        <v>0</v>
      </c>
      <c r="I3837" s="8">
        <f>G3837-H3837</f>
        <v>19.34</v>
      </c>
    </row>
    <row r="3838" spans="1:10" x14ac:dyDescent="0.25">
      <c r="E3838" s="4" t="s">
        <v>20</v>
      </c>
      <c r="G3838" s="8">
        <f>G3837</f>
        <v>19.34</v>
      </c>
      <c r="H3838" s="8">
        <f>H3837</f>
        <v>0</v>
      </c>
      <c r="I3838" s="8">
        <f>G3838-H3838</f>
        <v>19.34</v>
      </c>
    </row>
    <row r="3840" spans="1:10" x14ac:dyDescent="0.25">
      <c r="A3840" s="5">
        <v>4307270</v>
      </c>
      <c r="B3840" s="6" t="s">
        <v>4946</v>
      </c>
      <c r="C3840" s="7"/>
      <c r="D3840" s="7"/>
      <c r="E3840" s="7"/>
      <c r="F3840" s="7"/>
      <c r="G3840" s="7"/>
      <c r="H3840" s="7"/>
      <c r="I3840" s="7"/>
      <c r="J3840" s="7"/>
    </row>
    <row r="3841" spans="1:10" x14ac:dyDescent="0.25">
      <c r="E3841" s="4" t="s">
        <v>10</v>
      </c>
      <c r="G3841" s="8">
        <v>6.93</v>
      </c>
      <c r="H3841" s="8">
        <v>0</v>
      </c>
      <c r="I3841" s="8">
        <f>G3841-H3841</f>
        <v>6.93</v>
      </c>
    </row>
    <row r="3842" spans="1:10" x14ac:dyDescent="0.25">
      <c r="E3842" s="4" t="s">
        <v>20</v>
      </c>
      <c r="G3842" s="8">
        <f>G3841</f>
        <v>6.93</v>
      </c>
      <c r="H3842" s="8">
        <f>H3841</f>
        <v>0</v>
      </c>
      <c r="I3842" s="8">
        <f>G3842-H3842</f>
        <v>6.93</v>
      </c>
    </row>
    <row r="3844" spans="1:10" x14ac:dyDescent="0.25">
      <c r="A3844" s="5">
        <v>4307280</v>
      </c>
      <c r="B3844" s="6" t="s">
        <v>4947</v>
      </c>
      <c r="C3844" s="7"/>
      <c r="D3844" s="7"/>
      <c r="E3844" s="7"/>
      <c r="F3844" s="7"/>
      <c r="G3844" s="7"/>
      <c r="H3844" s="7"/>
      <c r="I3844" s="7"/>
      <c r="J3844" s="7"/>
    </row>
    <row r="3845" spans="1:10" x14ac:dyDescent="0.25">
      <c r="E3845" s="4" t="s">
        <v>10</v>
      </c>
      <c r="G3845" s="8">
        <v>206.63</v>
      </c>
      <c r="H3845" s="8">
        <v>0</v>
      </c>
      <c r="I3845" s="8">
        <f>G3845-H3845</f>
        <v>206.63</v>
      </c>
    </row>
    <row r="3846" spans="1:10" x14ac:dyDescent="0.25">
      <c r="C3846" s="9" t="s">
        <v>124</v>
      </c>
      <c r="D3846" s="10">
        <v>45678</v>
      </c>
      <c r="E3846" t="s">
        <v>4948</v>
      </c>
      <c r="F3846" s="11" t="s">
        <v>4949</v>
      </c>
      <c r="G3846" s="8">
        <v>20</v>
      </c>
      <c r="H3846" s="8">
        <v>0</v>
      </c>
      <c r="I3846" s="8">
        <f>G3846-H3846+I3845</f>
        <v>226.63</v>
      </c>
      <c r="J3846" s="12"/>
    </row>
    <row r="3847" spans="1:10" x14ac:dyDescent="0.25">
      <c r="E3847" s="4" t="s">
        <v>20</v>
      </c>
      <c r="G3847" s="8">
        <f>SUM(G3845:G3846)</f>
        <v>226.63</v>
      </c>
      <c r="H3847" s="8">
        <f>SUM(H3845:H3846)</f>
        <v>0</v>
      </c>
      <c r="I3847" s="8">
        <f>G3847-H3847</f>
        <v>226.63</v>
      </c>
    </row>
    <row r="3849" spans="1:10" x14ac:dyDescent="0.25">
      <c r="A3849" s="5">
        <v>4307290</v>
      </c>
      <c r="B3849" s="6" t="s">
        <v>4950</v>
      </c>
      <c r="C3849" s="7"/>
      <c r="D3849" s="7"/>
      <c r="E3849" s="7"/>
      <c r="F3849" s="7"/>
      <c r="G3849" s="7"/>
      <c r="H3849" s="7"/>
      <c r="I3849" s="7"/>
      <c r="J3849" s="7"/>
    </row>
    <row r="3850" spans="1:10" x14ac:dyDescent="0.25">
      <c r="E3850" s="4" t="s">
        <v>10</v>
      </c>
      <c r="G3850" s="8">
        <v>0</v>
      </c>
      <c r="H3850" s="8">
        <v>158.15</v>
      </c>
      <c r="I3850" s="8">
        <f>G3850-H3850</f>
        <v>-158.15</v>
      </c>
    </row>
    <row r="3851" spans="1:10" x14ac:dyDescent="0.25">
      <c r="E3851" s="4" t="s">
        <v>20</v>
      </c>
      <c r="G3851" s="8">
        <f>G3850</f>
        <v>0</v>
      </c>
      <c r="H3851" s="8">
        <f>H3850</f>
        <v>158.15</v>
      </c>
      <c r="I3851" s="8">
        <f>G3851-H3851</f>
        <v>-158.15</v>
      </c>
    </row>
    <row r="3853" spans="1:10" x14ac:dyDescent="0.25">
      <c r="A3853" s="5">
        <v>4307295</v>
      </c>
      <c r="B3853" s="6" t="s">
        <v>4951</v>
      </c>
      <c r="C3853" s="7"/>
      <c r="D3853" s="7"/>
      <c r="E3853" s="7"/>
      <c r="F3853" s="7"/>
      <c r="G3853" s="7"/>
      <c r="H3853" s="7"/>
      <c r="I3853" s="7"/>
      <c r="J3853" s="7"/>
    </row>
    <row r="3854" spans="1:10" x14ac:dyDescent="0.25">
      <c r="E3854" s="4" t="s">
        <v>10</v>
      </c>
      <c r="G3854" s="8">
        <v>6.17</v>
      </c>
      <c r="H3854" s="8">
        <v>0</v>
      </c>
      <c r="I3854" s="8">
        <f>G3854-H3854</f>
        <v>6.17</v>
      </c>
    </row>
    <row r="3855" spans="1:10" x14ac:dyDescent="0.25">
      <c r="E3855" s="4" t="s">
        <v>20</v>
      </c>
      <c r="G3855" s="8">
        <f>G3854</f>
        <v>6.17</v>
      </c>
      <c r="H3855" s="8">
        <f>H3854</f>
        <v>0</v>
      </c>
      <c r="I3855" s="8">
        <f>G3855-H3855</f>
        <v>6.17</v>
      </c>
    </row>
    <row r="3857" spans="1:10" x14ac:dyDescent="0.25">
      <c r="A3857" s="5">
        <v>4307305</v>
      </c>
      <c r="B3857" s="6" t="s">
        <v>4952</v>
      </c>
      <c r="C3857" s="7"/>
      <c r="D3857" s="7"/>
      <c r="E3857" s="7"/>
      <c r="F3857" s="7"/>
      <c r="G3857" s="7"/>
      <c r="H3857" s="7"/>
      <c r="I3857" s="7"/>
      <c r="J3857" s="7"/>
    </row>
    <row r="3858" spans="1:10" x14ac:dyDescent="0.25">
      <c r="C3858" s="9"/>
      <c r="D3858" s="10">
        <v>45688</v>
      </c>
      <c r="E3858" t="s">
        <v>4953</v>
      </c>
      <c r="F3858" s="11" t="s">
        <v>4954</v>
      </c>
      <c r="G3858" s="8">
        <v>295.94</v>
      </c>
      <c r="H3858" s="8">
        <v>0</v>
      </c>
      <c r="I3858" s="8">
        <f>G3858-H3858</f>
        <v>295.94</v>
      </c>
      <c r="J3858" s="12"/>
    </row>
    <row r="3859" spans="1:10" x14ac:dyDescent="0.25">
      <c r="C3859" s="9" t="s">
        <v>124</v>
      </c>
      <c r="D3859" s="10">
        <v>45691</v>
      </c>
      <c r="E3859" t="s">
        <v>4955</v>
      </c>
      <c r="F3859" s="11" t="s">
        <v>4954</v>
      </c>
      <c r="G3859" s="8">
        <v>0</v>
      </c>
      <c r="H3859" s="8">
        <v>295.94</v>
      </c>
      <c r="I3859" s="8">
        <f t="shared" ref="I3859:I3870" si="194">G3859-H3859+I3858</f>
        <v>0</v>
      </c>
      <c r="J3859" s="12"/>
    </row>
    <row r="3860" spans="1:10" x14ac:dyDescent="0.25">
      <c r="C3860" s="9"/>
      <c r="D3860" s="10">
        <v>45702</v>
      </c>
      <c r="E3860" t="s">
        <v>4956</v>
      </c>
      <c r="F3860" s="11" t="s">
        <v>4482</v>
      </c>
      <c r="G3860" s="8">
        <v>40.54</v>
      </c>
      <c r="H3860" s="8">
        <v>0</v>
      </c>
      <c r="I3860" s="8">
        <f t="shared" si="194"/>
        <v>40.54</v>
      </c>
      <c r="J3860" s="12"/>
    </row>
    <row r="3861" spans="1:10" x14ac:dyDescent="0.25">
      <c r="C3861" s="9"/>
      <c r="D3861" s="10">
        <v>45705</v>
      </c>
      <c r="E3861" t="s">
        <v>1524</v>
      </c>
      <c r="F3861" s="11" t="s">
        <v>4482</v>
      </c>
      <c r="G3861" s="8">
        <v>0</v>
      </c>
      <c r="H3861" s="8">
        <v>40.54</v>
      </c>
      <c r="I3861" s="8">
        <f t="shared" si="194"/>
        <v>0</v>
      </c>
      <c r="J3861" s="12"/>
    </row>
    <row r="3862" spans="1:10" x14ac:dyDescent="0.25">
      <c r="C3862" s="9"/>
      <c r="D3862" s="10">
        <v>45716</v>
      </c>
      <c r="E3862" t="s">
        <v>4957</v>
      </c>
      <c r="F3862" s="11" t="s">
        <v>4958</v>
      </c>
      <c r="G3862" s="8">
        <v>372.61</v>
      </c>
      <c r="H3862" s="8">
        <v>0</v>
      </c>
      <c r="I3862" s="8">
        <f t="shared" si="194"/>
        <v>372.61</v>
      </c>
      <c r="J3862" s="12"/>
    </row>
    <row r="3863" spans="1:10" x14ac:dyDescent="0.25">
      <c r="C3863" s="9"/>
      <c r="D3863" s="10">
        <v>45720</v>
      </c>
      <c r="E3863" t="s">
        <v>1524</v>
      </c>
      <c r="F3863" s="11" t="s">
        <v>4958</v>
      </c>
      <c r="G3863" s="8">
        <v>0</v>
      </c>
      <c r="H3863" s="8">
        <v>372.61</v>
      </c>
      <c r="I3863" s="8">
        <f t="shared" si="194"/>
        <v>0</v>
      </c>
      <c r="J3863" s="12"/>
    </row>
    <row r="3864" spans="1:10" x14ac:dyDescent="0.25">
      <c r="C3864" s="9"/>
      <c r="D3864" s="10">
        <v>45730</v>
      </c>
      <c r="E3864" t="s">
        <v>4959</v>
      </c>
      <c r="F3864" s="11" t="s">
        <v>4960</v>
      </c>
      <c r="G3864" s="8">
        <v>1413.28</v>
      </c>
      <c r="H3864" s="8">
        <v>0</v>
      </c>
      <c r="I3864" s="8">
        <f t="shared" si="194"/>
        <v>1413.28</v>
      </c>
      <c r="J3864" s="12"/>
    </row>
    <row r="3865" spans="1:10" x14ac:dyDescent="0.25">
      <c r="C3865" s="9"/>
      <c r="D3865" s="10">
        <v>45733</v>
      </c>
      <c r="E3865" t="s">
        <v>4961</v>
      </c>
      <c r="F3865" s="11" t="s">
        <v>42</v>
      </c>
      <c r="G3865" s="8">
        <v>0</v>
      </c>
      <c r="H3865" s="8">
        <v>471.1</v>
      </c>
      <c r="I3865" s="8">
        <f t="shared" si="194"/>
        <v>942.18</v>
      </c>
      <c r="J3865" s="12"/>
    </row>
    <row r="3866" spans="1:10" x14ac:dyDescent="0.25">
      <c r="C3866" s="9"/>
      <c r="D3866" s="10">
        <v>45733</v>
      </c>
      <c r="E3866" t="s">
        <v>4961</v>
      </c>
      <c r="F3866" s="11" t="s">
        <v>42</v>
      </c>
      <c r="G3866" s="8">
        <v>0</v>
      </c>
      <c r="H3866" s="8">
        <v>471.09</v>
      </c>
      <c r="I3866" s="8">
        <f t="shared" si="194"/>
        <v>471.09</v>
      </c>
      <c r="J3866" s="12"/>
    </row>
    <row r="3867" spans="1:10" x14ac:dyDescent="0.25">
      <c r="C3867" s="9"/>
      <c r="D3867" s="10">
        <v>45733</v>
      </c>
      <c r="E3867" t="s">
        <v>4961</v>
      </c>
      <c r="F3867" s="11" t="s">
        <v>42</v>
      </c>
      <c r="G3867" s="8">
        <v>0</v>
      </c>
      <c r="H3867" s="8">
        <v>471.09</v>
      </c>
      <c r="I3867" s="8">
        <f t="shared" si="194"/>
        <v>0</v>
      </c>
      <c r="J3867" s="12"/>
    </row>
    <row r="3868" spans="1:10" x14ac:dyDescent="0.25">
      <c r="C3868" s="9"/>
      <c r="D3868" s="10">
        <v>45747</v>
      </c>
      <c r="E3868" t="s">
        <v>4962</v>
      </c>
      <c r="F3868" s="11" t="s">
        <v>4963</v>
      </c>
      <c r="G3868" s="8">
        <v>406.11</v>
      </c>
      <c r="H3868" s="8">
        <v>0</v>
      </c>
      <c r="I3868" s="8">
        <f t="shared" si="194"/>
        <v>406.11</v>
      </c>
      <c r="J3868" s="12"/>
    </row>
    <row r="3869" spans="1:10" x14ac:dyDescent="0.25">
      <c r="C3869" s="9"/>
      <c r="D3869" s="10">
        <v>45748</v>
      </c>
      <c r="E3869" t="s">
        <v>1524</v>
      </c>
      <c r="F3869" s="11" t="s">
        <v>4963</v>
      </c>
      <c r="G3869" s="8">
        <v>0</v>
      </c>
      <c r="H3869" s="8">
        <v>406.11</v>
      </c>
      <c r="I3869" s="8">
        <f t="shared" si="194"/>
        <v>0</v>
      </c>
      <c r="J3869" s="12"/>
    </row>
    <row r="3870" spans="1:10" x14ac:dyDescent="0.25">
      <c r="C3870" s="9"/>
      <c r="D3870" s="10">
        <v>45762</v>
      </c>
      <c r="E3870" t="s">
        <v>4961</v>
      </c>
      <c r="F3870" s="11" t="s">
        <v>42</v>
      </c>
      <c r="G3870" s="8">
        <v>0</v>
      </c>
      <c r="H3870" s="8">
        <v>336.1</v>
      </c>
      <c r="I3870" s="8">
        <f t="shared" si="194"/>
        <v>-336.1</v>
      </c>
      <c r="J3870" s="12"/>
    </row>
    <row r="3871" spans="1:10" x14ac:dyDescent="0.25">
      <c r="E3871" s="4" t="s">
        <v>20</v>
      </c>
      <c r="G3871" s="8">
        <f>SUM(G3858:G3870)</f>
        <v>2528.48</v>
      </c>
      <c r="H3871" s="8">
        <f>SUM(H3858:H3870)</f>
        <v>2864.58</v>
      </c>
      <c r="I3871" s="8">
        <f>G3871-H3871</f>
        <v>-336.09999999999991</v>
      </c>
    </row>
    <row r="3873" spans="1:10" x14ac:dyDescent="0.25">
      <c r="A3873" s="5">
        <v>4307315</v>
      </c>
      <c r="B3873" s="6" t="s">
        <v>4964</v>
      </c>
      <c r="C3873" s="7"/>
      <c r="D3873" s="7"/>
      <c r="E3873" s="7"/>
      <c r="F3873" s="7"/>
      <c r="G3873" s="7"/>
      <c r="H3873" s="7"/>
      <c r="I3873" s="7"/>
      <c r="J3873" s="7"/>
    </row>
    <row r="3874" spans="1:10" x14ac:dyDescent="0.25">
      <c r="E3874" s="4" t="s">
        <v>10</v>
      </c>
      <c r="G3874" s="8">
        <v>128.62</v>
      </c>
      <c r="H3874" s="8">
        <v>0</v>
      </c>
      <c r="I3874" s="8">
        <f>G3874-H3874</f>
        <v>128.62</v>
      </c>
    </row>
    <row r="3875" spans="1:10" x14ac:dyDescent="0.25">
      <c r="C3875" s="9"/>
      <c r="D3875" s="10">
        <v>45671</v>
      </c>
      <c r="E3875" t="s">
        <v>4965</v>
      </c>
      <c r="F3875" s="11" t="s">
        <v>4966</v>
      </c>
      <c r="G3875" s="8">
        <v>33.15</v>
      </c>
      <c r="H3875" s="8">
        <v>0</v>
      </c>
      <c r="I3875" s="8">
        <f>G3875-H3875+I3874</f>
        <v>161.77000000000001</v>
      </c>
      <c r="J3875" s="12"/>
    </row>
    <row r="3876" spans="1:10" x14ac:dyDescent="0.25">
      <c r="C3876" s="9"/>
      <c r="D3876" s="10">
        <v>45688</v>
      </c>
      <c r="E3876" t="s">
        <v>4967</v>
      </c>
      <c r="F3876" s="11" t="s">
        <v>4968</v>
      </c>
      <c r="G3876" s="8">
        <v>33.15</v>
      </c>
      <c r="H3876" s="8">
        <v>0</v>
      </c>
      <c r="I3876" s="8">
        <f>G3876-H3876+I3875</f>
        <v>194.92000000000002</v>
      </c>
      <c r="J3876" s="12"/>
    </row>
    <row r="3877" spans="1:10" x14ac:dyDescent="0.25">
      <c r="C3877" s="9"/>
      <c r="D3877" s="10">
        <v>45705</v>
      </c>
      <c r="E3877" t="s">
        <v>1524</v>
      </c>
      <c r="F3877" s="11" t="s">
        <v>4969</v>
      </c>
      <c r="G3877" s="8">
        <v>0</v>
      </c>
      <c r="H3877" s="8">
        <v>62.19</v>
      </c>
      <c r="I3877" s="8">
        <f>G3877-H3877+I3876</f>
        <v>132.73000000000002</v>
      </c>
      <c r="J3877" s="12"/>
    </row>
    <row r="3878" spans="1:10" x14ac:dyDescent="0.25">
      <c r="C3878" s="9"/>
      <c r="D3878" s="10">
        <v>45733</v>
      </c>
      <c r="E3878" t="s">
        <v>1524</v>
      </c>
      <c r="F3878" s="11" t="s">
        <v>4970</v>
      </c>
      <c r="G3878" s="8">
        <v>0</v>
      </c>
      <c r="H3878" s="8">
        <v>66.3</v>
      </c>
      <c r="I3878" s="8">
        <f>G3878-H3878+I3877</f>
        <v>66.430000000000021</v>
      </c>
      <c r="J3878" s="12"/>
    </row>
    <row r="3879" spans="1:10" x14ac:dyDescent="0.25">
      <c r="C3879" s="9"/>
      <c r="D3879" s="10">
        <v>45762</v>
      </c>
      <c r="E3879" t="s">
        <v>1524</v>
      </c>
      <c r="F3879" s="11" t="s">
        <v>4971</v>
      </c>
      <c r="G3879" s="8">
        <v>0</v>
      </c>
      <c r="H3879" s="8">
        <v>33.15</v>
      </c>
      <c r="I3879" s="8">
        <f>G3879-H3879+I3878</f>
        <v>33.280000000000022</v>
      </c>
      <c r="J3879" s="12"/>
    </row>
    <row r="3880" spans="1:10" x14ac:dyDescent="0.25">
      <c r="E3880" s="4" t="s">
        <v>20</v>
      </c>
      <c r="G3880" s="8">
        <f>SUM(G3874:G3879)</f>
        <v>194.92000000000002</v>
      </c>
      <c r="H3880" s="8">
        <f>SUM(H3874:H3879)</f>
        <v>161.64000000000001</v>
      </c>
      <c r="I3880" s="8">
        <f>G3880-H3880</f>
        <v>33.28</v>
      </c>
    </row>
    <row r="3882" spans="1:10" x14ac:dyDescent="0.25">
      <c r="A3882" s="5">
        <v>4307320</v>
      </c>
      <c r="B3882" s="6" t="s">
        <v>4972</v>
      </c>
      <c r="C3882" s="7"/>
      <c r="D3882" s="7"/>
      <c r="E3882" s="7"/>
      <c r="F3882" s="7"/>
      <c r="G3882" s="7"/>
      <c r="H3882" s="7"/>
      <c r="I3882" s="7"/>
      <c r="J3882" s="7"/>
    </row>
    <row r="3883" spans="1:10" x14ac:dyDescent="0.25">
      <c r="E3883" s="4" t="s">
        <v>10</v>
      </c>
      <c r="G3883" s="8">
        <v>500.97</v>
      </c>
      <c r="H3883" s="8">
        <v>0</v>
      </c>
      <c r="I3883" s="8">
        <f>G3883-H3883</f>
        <v>500.97</v>
      </c>
    </row>
    <row r="3884" spans="1:10" x14ac:dyDescent="0.25">
      <c r="C3884" s="9"/>
      <c r="D3884" s="10">
        <v>45671</v>
      </c>
      <c r="E3884" t="s">
        <v>4973</v>
      </c>
      <c r="F3884" s="11" t="s">
        <v>4974</v>
      </c>
      <c r="G3884" s="8">
        <v>440.97</v>
      </c>
      <c r="H3884" s="8">
        <v>0</v>
      </c>
      <c r="I3884" s="8">
        <f t="shared" ref="I3884:I3890" si="195">G3884-H3884+I3883</f>
        <v>941.94</v>
      </c>
      <c r="J3884" s="12"/>
    </row>
    <row r="3885" spans="1:10" x14ac:dyDescent="0.25">
      <c r="C3885" s="9"/>
      <c r="D3885" s="10">
        <v>45686</v>
      </c>
      <c r="E3885" t="s">
        <v>1524</v>
      </c>
      <c r="F3885" s="11" t="s">
        <v>4975</v>
      </c>
      <c r="G3885" s="8">
        <v>0</v>
      </c>
      <c r="H3885" s="8">
        <v>263.47000000000003</v>
      </c>
      <c r="I3885" s="8">
        <f t="shared" si="195"/>
        <v>678.47</v>
      </c>
      <c r="J3885" s="12"/>
    </row>
    <row r="3886" spans="1:10" x14ac:dyDescent="0.25">
      <c r="C3886" s="9"/>
      <c r="D3886" s="10">
        <v>45702</v>
      </c>
      <c r="E3886" t="s">
        <v>4976</v>
      </c>
      <c r="F3886" s="11" t="s">
        <v>4977</v>
      </c>
      <c r="G3886" s="8">
        <v>399.6</v>
      </c>
      <c r="H3886" s="8">
        <v>0</v>
      </c>
      <c r="I3886" s="8">
        <f t="shared" si="195"/>
        <v>1078.0700000000002</v>
      </c>
      <c r="J3886" s="12"/>
    </row>
    <row r="3887" spans="1:10" x14ac:dyDescent="0.25">
      <c r="C3887" s="9"/>
      <c r="D3887" s="10">
        <v>45714</v>
      </c>
      <c r="E3887" t="s">
        <v>4978</v>
      </c>
      <c r="F3887" s="11" t="s">
        <v>42</v>
      </c>
      <c r="G3887" s="8">
        <v>0</v>
      </c>
      <c r="H3887" s="8">
        <v>237.5</v>
      </c>
      <c r="I3887" s="8">
        <f t="shared" si="195"/>
        <v>840.57000000000016</v>
      </c>
      <c r="J3887" s="12"/>
    </row>
    <row r="3888" spans="1:10" x14ac:dyDescent="0.25">
      <c r="C3888" s="9"/>
      <c r="D3888" s="10">
        <v>45730</v>
      </c>
      <c r="E3888" t="s">
        <v>4979</v>
      </c>
      <c r="F3888" s="11" t="s">
        <v>4980</v>
      </c>
      <c r="G3888" s="8">
        <v>336.82</v>
      </c>
      <c r="H3888" s="8">
        <v>0</v>
      </c>
      <c r="I3888" s="8">
        <f t="shared" si="195"/>
        <v>1177.3900000000001</v>
      </c>
      <c r="J3888" s="12"/>
    </row>
    <row r="3889" spans="1:10" x14ac:dyDescent="0.25">
      <c r="C3889" s="9"/>
      <c r="D3889" s="10">
        <v>45742</v>
      </c>
      <c r="E3889" t="s">
        <v>1524</v>
      </c>
      <c r="F3889" s="11" t="s">
        <v>4974</v>
      </c>
      <c r="G3889" s="8">
        <v>0</v>
      </c>
      <c r="H3889" s="8">
        <v>440.97</v>
      </c>
      <c r="I3889" s="8">
        <f t="shared" si="195"/>
        <v>736.42000000000007</v>
      </c>
      <c r="J3889" s="12"/>
    </row>
    <row r="3890" spans="1:10" x14ac:dyDescent="0.25">
      <c r="C3890" s="9"/>
      <c r="D3890" s="10">
        <v>45747</v>
      </c>
      <c r="E3890" t="s">
        <v>4981</v>
      </c>
      <c r="F3890" s="11" t="s">
        <v>4982</v>
      </c>
      <c r="G3890" s="8">
        <v>241.83</v>
      </c>
      <c r="H3890" s="8">
        <v>0</v>
      </c>
      <c r="I3890" s="8">
        <f t="shared" si="195"/>
        <v>978.25000000000011</v>
      </c>
      <c r="J3890" s="12"/>
    </row>
    <row r="3891" spans="1:10" x14ac:dyDescent="0.25">
      <c r="E3891" s="4" t="s">
        <v>20</v>
      </c>
      <c r="G3891" s="8">
        <f>SUM(G3883:G3890)</f>
        <v>1920.1899999999998</v>
      </c>
      <c r="H3891" s="8">
        <f>SUM(H3883:H3890)</f>
        <v>941.94</v>
      </c>
      <c r="I3891" s="8">
        <f>G3891-H3891</f>
        <v>978.24999999999977</v>
      </c>
    </row>
    <row r="3893" spans="1:10" x14ac:dyDescent="0.25">
      <c r="A3893" s="5">
        <v>4307325</v>
      </c>
      <c r="B3893" s="6" t="s">
        <v>4983</v>
      </c>
      <c r="C3893" s="7"/>
      <c r="D3893" s="7"/>
      <c r="E3893" s="7"/>
      <c r="F3893" s="7"/>
      <c r="G3893" s="7"/>
      <c r="H3893" s="7"/>
      <c r="I3893" s="7"/>
      <c r="J3893" s="7"/>
    </row>
    <row r="3894" spans="1:10" x14ac:dyDescent="0.25">
      <c r="E3894" s="4" t="s">
        <v>10</v>
      </c>
      <c r="G3894" s="8">
        <v>58.24</v>
      </c>
      <c r="H3894" s="8">
        <v>0</v>
      </c>
      <c r="I3894" s="8">
        <f>G3894-H3894</f>
        <v>58.24</v>
      </c>
    </row>
    <row r="3895" spans="1:10" x14ac:dyDescent="0.25">
      <c r="C3895" s="9"/>
      <c r="D3895" s="10">
        <v>45730</v>
      </c>
      <c r="E3895" t="s">
        <v>4984</v>
      </c>
      <c r="F3895" s="11" t="s">
        <v>4985</v>
      </c>
      <c r="G3895" s="8">
        <v>31.31</v>
      </c>
      <c r="H3895" s="8">
        <v>0</v>
      </c>
      <c r="I3895" s="8">
        <f>G3895-H3895+I3894</f>
        <v>89.55</v>
      </c>
      <c r="J3895" s="12"/>
    </row>
    <row r="3896" spans="1:10" x14ac:dyDescent="0.25">
      <c r="E3896" s="4" t="s">
        <v>20</v>
      </c>
      <c r="G3896" s="8">
        <f>SUM(G3894:G3895)</f>
        <v>89.55</v>
      </c>
      <c r="H3896" s="8">
        <f>SUM(H3894:H3895)</f>
        <v>0</v>
      </c>
      <c r="I3896" s="8">
        <f>G3896-H3896</f>
        <v>89.55</v>
      </c>
    </row>
    <row r="3898" spans="1:10" x14ac:dyDescent="0.25">
      <c r="A3898" s="5">
        <v>4307330</v>
      </c>
      <c r="B3898" s="6" t="s">
        <v>4986</v>
      </c>
      <c r="C3898" s="7"/>
      <c r="D3898" s="7"/>
      <c r="E3898" s="7"/>
      <c r="F3898" s="7"/>
      <c r="G3898" s="7"/>
      <c r="H3898" s="7"/>
      <c r="I3898" s="7"/>
      <c r="J3898" s="7"/>
    </row>
    <row r="3899" spans="1:10" x14ac:dyDescent="0.25">
      <c r="E3899" s="4" t="s">
        <v>10</v>
      </c>
      <c r="G3899" s="8">
        <v>64.510000000000005</v>
      </c>
      <c r="H3899" s="8">
        <v>0</v>
      </c>
      <c r="I3899" s="8">
        <f>G3899-H3899</f>
        <v>64.510000000000005</v>
      </c>
    </row>
    <row r="3900" spans="1:10" x14ac:dyDescent="0.25">
      <c r="C3900" s="9"/>
      <c r="D3900" s="10">
        <v>45659</v>
      </c>
      <c r="E3900" t="s">
        <v>4987</v>
      </c>
      <c r="F3900" s="11" t="s">
        <v>42</v>
      </c>
      <c r="G3900" s="8">
        <v>0</v>
      </c>
      <c r="H3900" s="8">
        <v>64.510000000000005</v>
      </c>
      <c r="I3900" s="8">
        <f t="shared" ref="I3900:I3911" si="196">G3900-H3900+I3899</f>
        <v>0</v>
      </c>
      <c r="J3900" s="12"/>
    </row>
    <row r="3901" spans="1:10" x14ac:dyDescent="0.25">
      <c r="C3901" s="9"/>
      <c r="D3901" s="10">
        <v>45688</v>
      </c>
      <c r="E3901" t="s">
        <v>4988</v>
      </c>
      <c r="F3901" s="11" t="s">
        <v>4989</v>
      </c>
      <c r="G3901" s="8">
        <v>282.26</v>
      </c>
      <c r="H3901" s="8">
        <v>0</v>
      </c>
      <c r="I3901" s="8">
        <f t="shared" si="196"/>
        <v>282.26</v>
      </c>
      <c r="J3901" s="12"/>
    </row>
    <row r="3902" spans="1:10" x14ac:dyDescent="0.25">
      <c r="C3902" s="9"/>
      <c r="D3902" s="10">
        <v>45691</v>
      </c>
      <c r="E3902" t="s">
        <v>1524</v>
      </c>
      <c r="F3902" s="11" t="s">
        <v>4989</v>
      </c>
      <c r="G3902" s="8">
        <v>0</v>
      </c>
      <c r="H3902" s="8">
        <v>282.26</v>
      </c>
      <c r="I3902" s="8">
        <f t="shared" si="196"/>
        <v>0</v>
      </c>
      <c r="J3902" s="12"/>
    </row>
    <row r="3903" spans="1:10" x14ac:dyDescent="0.25">
      <c r="C3903" s="9"/>
      <c r="D3903" s="10">
        <v>45702</v>
      </c>
      <c r="E3903" t="s">
        <v>4990</v>
      </c>
      <c r="F3903" s="11" t="s">
        <v>4991</v>
      </c>
      <c r="G3903" s="8">
        <v>282.7</v>
      </c>
      <c r="H3903" s="8">
        <v>0</v>
      </c>
      <c r="I3903" s="8">
        <f t="shared" si="196"/>
        <v>282.7</v>
      </c>
      <c r="J3903" s="12"/>
    </row>
    <row r="3904" spans="1:10" x14ac:dyDescent="0.25">
      <c r="C3904" s="9"/>
      <c r="D3904" s="10">
        <v>45705</v>
      </c>
      <c r="E3904" t="s">
        <v>1524</v>
      </c>
      <c r="F3904" s="11" t="s">
        <v>4991</v>
      </c>
      <c r="G3904" s="8">
        <v>0</v>
      </c>
      <c r="H3904" s="8">
        <v>282.7</v>
      </c>
      <c r="I3904" s="8">
        <f t="shared" si="196"/>
        <v>0</v>
      </c>
      <c r="J3904" s="12"/>
    </row>
    <row r="3905" spans="1:10" x14ac:dyDescent="0.25">
      <c r="C3905" s="9"/>
      <c r="D3905" s="10">
        <v>45716</v>
      </c>
      <c r="E3905" t="s">
        <v>4992</v>
      </c>
      <c r="F3905" s="11" t="s">
        <v>4993</v>
      </c>
      <c r="G3905" s="8">
        <v>183.63</v>
      </c>
      <c r="H3905" s="8">
        <v>0</v>
      </c>
      <c r="I3905" s="8">
        <f t="shared" si="196"/>
        <v>183.63</v>
      </c>
      <c r="J3905" s="12"/>
    </row>
    <row r="3906" spans="1:10" x14ac:dyDescent="0.25">
      <c r="C3906" s="9" t="s">
        <v>124</v>
      </c>
      <c r="D3906" s="10">
        <v>45719</v>
      </c>
      <c r="E3906" t="s">
        <v>4994</v>
      </c>
      <c r="F3906" s="11" t="s">
        <v>4993</v>
      </c>
      <c r="G3906" s="8">
        <v>0</v>
      </c>
      <c r="H3906" s="8">
        <v>183.63</v>
      </c>
      <c r="I3906" s="8">
        <f t="shared" si="196"/>
        <v>0</v>
      </c>
      <c r="J3906" s="12"/>
    </row>
    <row r="3907" spans="1:10" x14ac:dyDescent="0.25">
      <c r="C3907" s="9"/>
      <c r="D3907" s="10">
        <v>45730</v>
      </c>
      <c r="E3907" t="s">
        <v>4995</v>
      </c>
      <c r="F3907" s="11" t="s">
        <v>4996</v>
      </c>
      <c r="G3907" s="8">
        <v>52.86</v>
      </c>
      <c r="H3907" s="8">
        <v>0</v>
      </c>
      <c r="I3907" s="8">
        <f t="shared" si="196"/>
        <v>52.86</v>
      </c>
      <c r="J3907" s="12"/>
    </row>
    <row r="3908" spans="1:10" x14ac:dyDescent="0.25">
      <c r="C3908" s="9"/>
      <c r="D3908" s="10">
        <v>45733</v>
      </c>
      <c r="E3908" t="s">
        <v>1524</v>
      </c>
      <c r="F3908" s="11" t="s">
        <v>4996</v>
      </c>
      <c r="G3908" s="8">
        <v>0</v>
      </c>
      <c r="H3908" s="8">
        <v>52.86</v>
      </c>
      <c r="I3908" s="8">
        <f t="shared" si="196"/>
        <v>0</v>
      </c>
      <c r="J3908" s="12"/>
    </row>
    <row r="3909" spans="1:10" x14ac:dyDescent="0.25">
      <c r="C3909" s="9"/>
      <c r="D3909" s="10">
        <v>45747</v>
      </c>
      <c r="E3909" t="s">
        <v>4997</v>
      </c>
      <c r="F3909" s="11" t="s">
        <v>4998</v>
      </c>
      <c r="G3909" s="8">
        <v>1581.77</v>
      </c>
      <c r="H3909" s="8">
        <v>0</v>
      </c>
      <c r="I3909" s="8">
        <f t="shared" si="196"/>
        <v>1581.77</v>
      </c>
      <c r="J3909" s="12"/>
    </row>
    <row r="3910" spans="1:10" x14ac:dyDescent="0.25">
      <c r="C3910" s="9"/>
      <c r="D3910" s="10">
        <v>45748</v>
      </c>
      <c r="E3910" t="s">
        <v>1524</v>
      </c>
      <c r="F3910" s="11" t="s">
        <v>4998</v>
      </c>
      <c r="G3910" s="8">
        <v>0</v>
      </c>
      <c r="H3910" s="8">
        <v>1581.77</v>
      </c>
      <c r="I3910" s="8">
        <f t="shared" si="196"/>
        <v>0</v>
      </c>
      <c r="J3910" s="12"/>
    </row>
    <row r="3911" spans="1:10" x14ac:dyDescent="0.25">
      <c r="C3911" s="9"/>
      <c r="D3911" s="10">
        <v>45762</v>
      </c>
      <c r="E3911" t="s">
        <v>4999</v>
      </c>
      <c r="F3911" s="11" t="s">
        <v>42</v>
      </c>
      <c r="G3911" s="8">
        <v>0</v>
      </c>
      <c r="H3911" s="8">
        <v>72.349999999999994</v>
      </c>
      <c r="I3911" s="8">
        <f t="shared" si="196"/>
        <v>-72.349999999999994</v>
      </c>
      <c r="J3911" s="12"/>
    </row>
    <row r="3912" spans="1:10" x14ac:dyDescent="0.25">
      <c r="E3912" s="4" t="s">
        <v>20</v>
      </c>
      <c r="G3912" s="8">
        <f>SUM(G3899:G3911)</f>
        <v>2447.73</v>
      </c>
      <c r="H3912" s="8">
        <f>SUM(H3899:H3911)</f>
        <v>2520.08</v>
      </c>
      <c r="I3912" s="8">
        <f>G3912-H3912</f>
        <v>-72.349999999999909</v>
      </c>
    </row>
    <row r="3914" spans="1:10" x14ac:dyDescent="0.25">
      <c r="A3914" s="5">
        <v>4307355</v>
      </c>
      <c r="B3914" s="6" t="s">
        <v>5000</v>
      </c>
      <c r="C3914" s="7"/>
      <c r="D3914" s="7"/>
      <c r="E3914" s="7"/>
      <c r="F3914" s="7"/>
      <c r="G3914" s="7"/>
      <c r="H3914" s="7"/>
      <c r="I3914" s="7"/>
      <c r="J3914" s="7"/>
    </row>
    <row r="3915" spans="1:10" x14ac:dyDescent="0.25">
      <c r="E3915" s="4" t="s">
        <v>10</v>
      </c>
      <c r="G3915" s="8">
        <v>648.28</v>
      </c>
      <c r="H3915" s="8">
        <v>0</v>
      </c>
      <c r="I3915" s="8">
        <f>G3915-H3915</f>
        <v>648.28</v>
      </c>
    </row>
    <row r="3916" spans="1:10" x14ac:dyDescent="0.25">
      <c r="C3916" s="9"/>
      <c r="D3916" s="10">
        <v>45665</v>
      </c>
      <c r="E3916" t="s">
        <v>5001</v>
      </c>
      <c r="F3916" s="11" t="s">
        <v>42</v>
      </c>
      <c r="G3916" s="8">
        <v>0</v>
      </c>
      <c r="H3916" s="8">
        <v>282.37</v>
      </c>
      <c r="I3916" s="8">
        <f t="shared" ref="I3916:I3933" si="197">G3916-H3916+I3915</f>
        <v>365.90999999999997</v>
      </c>
      <c r="J3916" s="12"/>
    </row>
    <row r="3917" spans="1:10" x14ac:dyDescent="0.25">
      <c r="C3917" s="9"/>
      <c r="D3917" s="10">
        <v>45667</v>
      </c>
      <c r="E3917" t="s">
        <v>5001</v>
      </c>
      <c r="F3917" s="11" t="s">
        <v>42</v>
      </c>
      <c r="G3917" s="8">
        <v>0</v>
      </c>
      <c r="H3917" s="8">
        <v>64.5</v>
      </c>
      <c r="I3917" s="8">
        <f t="shared" si="197"/>
        <v>301.40999999999997</v>
      </c>
      <c r="J3917" s="12"/>
    </row>
    <row r="3918" spans="1:10" x14ac:dyDescent="0.25">
      <c r="C3918" s="9"/>
      <c r="D3918" s="10">
        <v>45671</v>
      </c>
      <c r="E3918" t="s">
        <v>5002</v>
      </c>
      <c r="F3918" s="11" t="s">
        <v>5003</v>
      </c>
      <c r="G3918" s="8">
        <v>54.01</v>
      </c>
      <c r="H3918" s="8">
        <v>0</v>
      </c>
      <c r="I3918" s="8">
        <f t="shared" si="197"/>
        <v>355.41999999999996</v>
      </c>
      <c r="J3918" s="12"/>
    </row>
    <row r="3919" spans="1:10" x14ac:dyDescent="0.25">
      <c r="C3919" s="9"/>
      <c r="D3919" s="10">
        <v>45671</v>
      </c>
      <c r="E3919" t="s">
        <v>5004</v>
      </c>
      <c r="F3919" s="11" t="s">
        <v>5005</v>
      </c>
      <c r="G3919" s="8">
        <v>25.77</v>
      </c>
      <c r="H3919" s="8">
        <v>0</v>
      </c>
      <c r="I3919" s="8">
        <f t="shared" si="197"/>
        <v>381.18999999999994</v>
      </c>
      <c r="J3919" s="12"/>
    </row>
    <row r="3920" spans="1:10" x14ac:dyDescent="0.25">
      <c r="C3920" s="9"/>
      <c r="D3920" s="10">
        <v>45674</v>
      </c>
      <c r="E3920" t="s">
        <v>5001</v>
      </c>
      <c r="F3920" s="11" t="s">
        <v>5006</v>
      </c>
      <c r="G3920" s="8">
        <v>0</v>
      </c>
      <c r="H3920" s="8">
        <v>102.98</v>
      </c>
      <c r="I3920" s="8">
        <f t="shared" si="197"/>
        <v>278.20999999999992</v>
      </c>
      <c r="J3920" s="12"/>
    </row>
    <row r="3921" spans="1:10" x14ac:dyDescent="0.25">
      <c r="C3921" s="9"/>
      <c r="D3921" s="10">
        <v>45688</v>
      </c>
      <c r="E3921" t="s">
        <v>5007</v>
      </c>
      <c r="F3921" s="11" t="s">
        <v>5008</v>
      </c>
      <c r="G3921" s="8">
        <v>27.76</v>
      </c>
      <c r="H3921" s="8">
        <v>0</v>
      </c>
      <c r="I3921" s="8">
        <f t="shared" si="197"/>
        <v>305.96999999999991</v>
      </c>
      <c r="J3921" s="12"/>
    </row>
    <row r="3922" spans="1:10" x14ac:dyDescent="0.25">
      <c r="C3922" s="9"/>
      <c r="D3922" s="10">
        <v>45688</v>
      </c>
      <c r="E3922" t="s">
        <v>5009</v>
      </c>
      <c r="F3922" s="11" t="s">
        <v>5010</v>
      </c>
      <c r="G3922" s="8">
        <v>0.23</v>
      </c>
      <c r="H3922" s="8">
        <v>0</v>
      </c>
      <c r="I3922" s="8">
        <f t="shared" si="197"/>
        <v>306.19999999999993</v>
      </c>
      <c r="J3922" s="12"/>
    </row>
    <row r="3923" spans="1:10" x14ac:dyDescent="0.25">
      <c r="C3923" s="9"/>
      <c r="D3923" s="10">
        <v>45698</v>
      </c>
      <c r="E3923" t="s">
        <v>5011</v>
      </c>
      <c r="F3923" s="11" t="s">
        <v>42</v>
      </c>
      <c r="G3923" s="8">
        <v>0</v>
      </c>
      <c r="H3923" s="8">
        <v>213.59</v>
      </c>
      <c r="I3923" s="8">
        <f t="shared" si="197"/>
        <v>92.609999999999928</v>
      </c>
      <c r="J3923" s="12"/>
    </row>
    <row r="3924" spans="1:10" x14ac:dyDescent="0.25">
      <c r="C3924" s="9"/>
      <c r="D3924" s="10">
        <v>45702</v>
      </c>
      <c r="E3924" t="s">
        <v>5012</v>
      </c>
      <c r="F3924" s="11" t="s">
        <v>5013</v>
      </c>
      <c r="G3924" s="8">
        <v>175.41</v>
      </c>
      <c r="H3924" s="8">
        <v>0</v>
      </c>
      <c r="I3924" s="8">
        <f t="shared" si="197"/>
        <v>268.01999999999992</v>
      </c>
      <c r="J3924" s="12"/>
    </row>
    <row r="3925" spans="1:10" x14ac:dyDescent="0.25">
      <c r="C3925" s="9"/>
      <c r="D3925" s="10">
        <v>45702</v>
      </c>
      <c r="E3925" t="s">
        <v>5014</v>
      </c>
      <c r="F3925" s="11" t="s">
        <v>5015</v>
      </c>
      <c r="G3925" s="8">
        <v>2.3199999999999998</v>
      </c>
      <c r="H3925" s="8">
        <v>0</v>
      </c>
      <c r="I3925" s="8">
        <f t="shared" si="197"/>
        <v>270.33999999999992</v>
      </c>
      <c r="J3925" s="12"/>
    </row>
    <row r="3926" spans="1:10" x14ac:dyDescent="0.25">
      <c r="C3926" s="9"/>
      <c r="D3926" s="10">
        <v>45709</v>
      </c>
      <c r="E3926" t="s">
        <v>1524</v>
      </c>
      <c r="F3926" s="11" t="s">
        <v>5016</v>
      </c>
      <c r="G3926" s="8">
        <v>0</v>
      </c>
      <c r="H3926" s="8">
        <v>58.24</v>
      </c>
      <c r="I3926" s="8">
        <f t="shared" si="197"/>
        <v>212.09999999999991</v>
      </c>
      <c r="J3926" s="12"/>
    </row>
    <row r="3927" spans="1:10" x14ac:dyDescent="0.25">
      <c r="C3927" s="9"/>
      <c r="D3927" s="10">
        <v>45715</v>
      </c>
      <c r="E3927" t="s">
        <v>5017</v>
      </c>
      <c r="F3927" s="11" t="s">
        <v>42</v>
      </c>
      <c r="G3927" s="8">
        <v>0</v>
      </c>
      <c r="H3927" s="8">
        <v>27.99</v>
      </c>
      <c r="I3927" s="8">
        <f t="shared" si="197"/>
        <v>184.1099999999999</v>
      </c>
      <c r="J3927" s="12"/>
    </row>
    <row r="3928" spans="1:10" x14ac:dyDescent="0.25">
      <c r="C3928" s="9"/>
      <c r="D3928" s="10">
        <v>45716</v>
      </c>
      <c r="E3928" t="s">
        <v>5018</v>
      </c>
      <c r="F3928" s="11" t="s">
        <v>5019</v>
      </c>
      <c r="G3928" s="8">
        <v>2.0699999999999998</v>
      </c>
      <c r="H3928" s="8">
        <v>0</v>
      </c>
      <c r="I3928" s="8">
        <f t="shared" si="197"/>
        <v>186.17999999999989</v>
      </c>
      <c r="J3928" s="12"/>
    </row>
    <row r="3929" spans="1:10" x14ac:dyDescent="0.25">
      <c r="C3929" s="9"/>
      <c r="D3929" s="10">
        <v>45730</v>
      </c>
      <c r="E3929" t="s">
        <v>5020</v>
      </c>
      <c r="F3929" s="11" t="s">
        <v>5021</v>
      </c>
      <c r="G3929" s="8">
        <v>91.66</v>
      </c>
      <c r="H3929" s="8">
        <v>0</v>
      </c>
      <c r="I3929" s="8">
        <f t="shared" si="197"/>
        <v>277.83999999999992</v>
      </c>
      <c r="J3929" s="12"/>
    </row>
    <row r="3930" spans="1:10" x14ac:dyDescent="0.25">
      <c r="C3930" s="9"/>
      <c r="D3930" s="10">
        <v>45730</v>
      </c>
      <c r="E3930" t="s">
        <v>5022</v>
      </c>
      <c r="F3930" s="11" t="s">
        <v>5023</v>
      </c>
      <c r="G3930" s="8">
        <v>40.659999999999997</v>
      </c>
      <c r="H3930" s="8">
        <v>0</v>
      </c>
      <c r="I3930" s="8">
        <f t="shared" si="197"/>
        <v>318.49999999999989</v>
      </c>
      <c r="J3930" s="12"/>
    </row>
    <row r="3931" spans="1:10" x14ac:dyDescent="0.25">
      <c r="C3931" s="9"/>
      <c r="D3931" s="10">
        <v>45730</v>
      </c>
      <c r="E3931" t="s">
        <v>5024</v>
      </c>
      <c r="F3931" s="11" t="s">
        <v>42</v>
      </c>
      <c r="G3931" s="8">
        <v>0</v>
      </c>
      <c r="H3931" s="8">
        <v>177.73</v>
      </c>
      <c r="I3931" s="8">
        <f t="shared" si="197"/>
        <v>140.7699999999999</v>
      </c>
      <c r="J3931" s="12"/>
    </row>
    <row r="3932" spans="1:10" x14ac:dyDescent="0.25">
      <c r="C3932" s="9"/>
      <c r="D3932" s="10">
        <v>45744</v>
      </c>
      <c r="E3932" t="s">
        <v>1524</v>
      </c>
      <c r="F3932" s="11" t="s">
        <v>5025</v>
      </c>
      <c r="G3932" s="8">
        <v>0</v>
      </c>
      <c r="H3932" s="8">
        <v>8.4499999999999993</v>
      </c>
      <c r="I3932" s="8">
        <f t="shared" si="197"/>
        <v>132.31999999999991</v>
      </c>
      <c r="J3932" s="12"/>
    </row>
    <row r="3933" spans="1:10" x14ac:dyDescent="0.25">
      <c r="C3933" s="9"/>
      <c r="D3933" s="10">
        <v>45757</v>
      </c>
      <c r="E3933" t="s">
        <v>5026</v>
      </c>
      <c r="F3933" s="11" t="s">
        <v>42</v>
      </c>
      <c r="G3933" s="8">
        <v>0</v>
      </c>
      <c r="H3933" s="8">
        <v>560.1</v>
      </c>
      <c r="I3933" s="8">
        <f t="shared" si="197"/>
        <v>-427.78000000000009</v>
      </c>
      <c r="J3933" s="12"/>
    </row>
    <row r="3934" spans="1:10" x14ac:dyDescent="0.25">
      <c r="E3934" s="4" t="s">
        <v>20</v>
      </c>
      <c r="G3934" s="8">
        <f>SUM(G3915:G3933)</f>
        <v>1068.17</v>
      </c>
      <c r="H3934" s="8">
        <f>SUM(H3915:H3933)</f>
        <v>1495.9500000000003</v>
      </c>
      <c r="I3934" s="8">
        <f>G3934-H3934</f>
        <v>-427.7800000000002</v>
      </c>
    </row>
    <row r="3936" spans="1:10" x14ac:dyDescent="0.25">
      <c r="A3936" s="5">
        <v>4307357</v>
      </c>
      <c r="B3936" s="6" t="s">
        <v>5027</v>
      </c>
      <c r="C3936" s="7"/>
      <c r="D3936" s="7"/>
      <c r="E3936" s="7"/>
      <c r="F3936" s="7"/>
      <c r="G3936" s="7"/>
      <c r="H3936" s="7"/>
      <c r="I3936" s="7"/>
      <c r="J3936" s="7"/>
    </row>
    <row r="3937" spans="1:10" x14ac:dyDescent="0.25">
      <c r="E3937" s="4" t="s">
        <v>10</v>
      </c>
      <c r="G3937" s="8">
        <v>55.18</v>
      </c>
      <c r="H3937" s="8">
        <v>0</v>
      </c>
      <c r="I3937" s="8">
        <f>G3937-H3937</f>
        <v>55.18</v>
      </c>
    </row>
    <row r="3938" spans="1:10" x14ac:dyDescent="0.25">
      <c r="E3938" s="4" t="s">
        <v>20</v>
      </c>
      <c r="G3938" s="8">
        <f>G3937</f>
        <v>55.18</v>
      </c>
      <c r="H3938" s="8">
        <f>H3937</f>
        <v>0</v>
      </c>
      <c r="I3938" s="8">
        <f>G3938-H3938</f>
        <v>55.18</v>
      </c>
    </row>
    <row r="3940" spans="1:10" x14ac:dyDescent="0.25">
      <c r="A3940" s="5">
        <v>4307410</v>
      </c>
      <c r="B3940" s="6" t="s">
        <v>5028</v>
      </c>
      <c r="C3940" s="7"/>
      <c r="D3940" s="7"/>
      <c r="E3940" s="7"/>
      <c r="F3940" s="7"/>
      <c r="G3940" s="7"/>
      <c r="H3940" s="7"/>
      <c r="I3940" s="7"/>
      <c r="J3940" s="7"/>
    </row>
    <row r="3941" spans="1:10" x14ac:dyDescent="0.25">
      <c r="E3941" s="4" t="s">
        <v>10</v>
      </c>
      <c r="G3941" s="8">
        <v>446.09</v>
      </c>
      <c r="H3941" s="8">
        <v>0</v>
      </c>
      <c r="I3941" s="8">
        <f>G3941-H3941</f>
        <v>446.09</v>
      </c>
    </row>
    <row r="3942" spans="1:10" x14ac:dyDescent="0.25">
      <c r="C3942" s="9"/>
      <c r="D3942" s="10">
        <v>45684</v>
      </c>
      <c r="E3942" t="s">
        <v>5029</v>
      </c>
      <c r="F3942" s="11" t="s">
        <v>42</v>
      </c>
      <c r="G3942" s="8">
        <v>0</v>
      </c>
      <c r="H3942" s="8">
        <v>338.8</v>
      </c>
      <c r="I3942" s="8">
        <f>G3942-H3942+I3941</f>
        <v>107.28999999999996</v>
      </c>
      <c r="J3942" s="12"/>
    </row>
    <row r="3943" spans="1:10" x14ac:dyDescent="0.25">
      <c r="C3943" s="9"/>
      <c r="D3943" s="10">
        <v>45688</v>
      </c>
      <c r="E3943" t="s">
        <v>5030</v>
      </c>
      <c r="F3943" s="11" t="s">
        <v>5031</v>
      </c>
      <c r="G3943" s="8">
        <v>53.35</v>
      </c>
      <c r="H3943" s="8">
        <v>0</v>
      </c>
      <c r="I3943" s="8">
        <f>G3943-H3943+I3942</f>
        <v>160.63999999999996</v>
      </c>
      <c r="J3943" s="12"/>
    </row>
    <row r="3944" spans="1:10" x14ac:dyDescent="0.25">
      <c r="C3944" s="9"/>
      <c r="D3944" s="10">
        <v>45713</v>
      </c>
      <c r="E3944" t="s">
        <v>5032</v>
      </c>
      <c r="F3944" s="11" t="s">
        <v>42</v>
      </c>
      <c r="G3944" s="8">
        <v>0</v>
      </c>
      <c r="H3944" s="8">
        <v>30.5</v>
      </c>
      <c r="I3944" s="8">
        <f>G3944-H3944+I3943</f>
        <v>130.13999999999996</v>
      </c>
      <c r="J3944" s="12"/>
    </row>
    <row r="3945" spans="1:10" x14ac:dyDescent="0.25">
      <c r="C3945" s="9"/>
      <c r="D3945" s="10">
        <v>45742</v>
      </c>
      <c r="E3945" t="s">
        <v>1524</v>
      </c>
      <c r="F3945" s="11" t="s">
        <v>5033</v>
      </c>
      <c r="G3945" s="8">
        <v>0</v>
      </c>
      <c r="H3945" s="8">
        <v>76.790000000000006</v>
      </c>
      <c r="I3945" s="8">
        <f>G3945-H3945+I3944</f>
        <v>53.349999999999952</v>
      </c>
      <c r="J3945" s="12"/>
    </row>
    <row r="3946" spans="1:10" x14ac:dyDescent="0.25">
      <c r="C3946" s="9"/>
      <c r="D3946" s="10">
        <v>45747</v>
      </c>
      <c r="E3946" t="s">
        <v>5034</v>
      </c>
      <c r="F3946" s="11" t="s">
        <v>5035</v>
      </c>
      <c r="G3946" s="8">
        <v>134.94999999999999</v>
      </c>
      <c r="H3946" s="8">
        <v>0</v>
      </c>
      <c r="I3946" s="8">
        <f>G3946-H3946+I3945</f>
        <v>188.29999999999995</v>
      </c>
      <c r="J3946" s="12"/>
    </row>
    <row r="3947" spans="1:10" x14ac:dyDescent="0.25">
      <c r="E3947" s="4" t="s">
        <v>20</v>
      </c>
      <c r="G3947" s="8">
        <f>SUM(G3941:G3946)</f>
        <v>634.39</v>
      </c>
      <c r="H3947" s="8">
        <f>SUM(H3941:H3946)</f>
        <v>446.09000000000003</v>
      </c>
      <c r="I3947" s="8">
        <f>G3947-H3947</f>
        <v>188.29999999999995</v>
      </c>
    </row>
    <row r="3949" spans="1:10" x14ac:dyDescent="0.25">
      <c r="A3949" s="5">
        <v>4307435</v>
      </c>
      <c r="B3949" s="6" t="s">
        <v>5036</v>
      </c>
      <c r="C3949" s="7"/>
      <c r="D3949" s="7"/>
      <c r="E3949" s="7"/>
      <c r="F3949" s="7"/>
      <c r="G3949" s="7"/>
      <c r="H3949" s="7"/>
      <c r="I3949" s="7"/>
      <c r="J3949" s="7"/>
    </row>
    <row r="3950" spans="1:10" x14ac:dyDescent="0.25">
      <c r="E3950" s="4" t="s">
        <v>10</v>
      </c>
      <c r="G3950" s="8">
        <v>365.92</v>
      </c>
      <c r="H3950" s="8">
        <v>0</v>
      </c>
      <c r="I3950" s="8">
        <f>G3950-H3950</f>
        <v>365.92</v>
      </c>
    </row>
    <row r="3951" spans="1:10" x14ac:dyDescent="0.25">
      <c r="C3951" s="9"/>
      <c r="D3951" s="10">
        <v>45747</v>
      </c>
      <c r="E3951" t="s">
        <v>5037</v>
      </c>
      <c r="F3951" s="11" t="s">
        <v>5038</v>
      </c>
      <c r="G3951" s="8">
        <v>36.299999999999997</v>
      </c>
      <c r="H3951" s="8">
        <v>0</v>
      </c>
      <c r="I3951" s="8">
        <f>G3951-H3951+I3950</f>
        <v>402.22</v>
      </c>
      <c r="J3951" s="12"/>
    </row>
    <row r="3952" spans="1:10" x14ac:dyDescent="0.25">
      <c r="E3952" s="4" t="s">
        <v>20</v>
      </c>
      <c r="G3952" s="8">
        <f>SUM(G3950:G3951)</f>
        <v>402.22</v>
      </c>
      <c r="H3952" s="8">
        <f>SUM(H3950:H3951)</f>
        <v>0</v>
      </c>
      <c r="I3952" s="8">
        <f>G3952-H3952</f>
        <v>402.22</v>
      </c>
    </row>
    <row r="3954" spans="1:10" x14ac:dyDescent="0.25">
      <c r="A3954" s="5">
        <v>4307440</v>
      </c>
      <c r="B3954" s="6" t="s">
        <v>5039</v>
      </c>
      <c r="C3954" s="7"/>
      <c r="D3954" s="7"/>
      <c r="E3954" s="7"/>
      <c r="F3954" s="7"/>
      <c r="G3954" s="7"/>
      <c r="H3954" s="7"/>
      <c r="I3954" s="7"/>
      <c r="J3954" s="7"/>
    </row>
    <row r="3955" spans="1:10" x14ac:dyDescent="0.25">
      <c r="C3955" s="9"/>
      <c r="D3955" s="10">
        <v>45671</v>
      </c>
      <c r="E3955" t="s">
        <v>5040</v>
      </c>
      <c r="F3955" s="11" t="s">
        <v>5041</v>
      </c>
      <c r="G3955" s="8">
        <v>37.49</v>
      </c>
      <c r="H3955" s="8">
        <v>0</v>
      </c>
      <c r="I3955" s="8">
        <f>G3955-H3955</f>
        <v>37.49</v>
      </c>
      <c r="J3955" s="12"/>
    </row>
    <row r="3956" spans="1:10" x14ac:dyDescent="0.25">
      <c r="C3956" s="9"/>
      <c r="D3956" s="10">
        <v>45672</v>
      </c>
      <c r="E3956" t="s">
        <v>5042</v>
      </c>
      <c r="F3956" s="11" t="s">
        <v>42</v>
      </c>
      <c r="G3956" s="8">
        <v>0</v>
      </c>
      <c r="H3956" s="8">
        <v>37.49</v>
      </c>
      <c r="I3956" s="8">
        <f t="shared" ref="I3956:I3961" si="198">G3956-H3956+I3955</f>
        <v>0</v>
      </c>
      <c r="J3956" s="12"/>
    </row>
    <row r="3957" spans="1:10" x14ac:dyDescent="0.25">
      <c r="C3957" s="9"/>
      <c r="D3957" s="10">
        <v>45702</v>
      </c>
      <c r="E3957" t="s">
        <v>5043</v>
      </c>
      <c r="F3957" s="11" t="s">
        <v>5044</v>
      </c>
      <c r="G3957" s="8">
        <v>54.76</v>
      </c>
      <c r="H3957" s="8">
        <v>0</v>
      </c>
      <c r="I3957" s="8">
        <f t="shared" si="198"/>
        <v>54.76</v>
      </c>
      <c r="J3957" s="12"/>
    </row>
    <row r="3958" spans="1:10" x14ac:dyDescent="0.25">
      <c r="C3958" s="9"/>
      <c r="D3958" s="10">
        <v>45705</v>
      </c>
      <c r="E3958" t="s">
        <v>5042</v>
      </c>
      <c r="F3958" s="11" t="s">
        <v>42</v>
      </c>
      <c r="G3958" s="8">
        <v>0</v>
      </c>
      <c r="H3958" s="8">
        <v>54.76</v>
      </c>
      <c r="I3958" s="8">
        <f t="shared" si="198"/>
        <v>0</v>
      </c>
      <c r="J3958" s="12"/>
    </row>
    <row r="3959" spans="1:10" x14ac:dyDescent="0.25">
      <c r="C3959" s="9"/>
      <c r="D3959" s="10">
        <v>45730</v>
      </c>
      <c r="E3959" t="s">
        <v>5045</v>
      </c>
      <c r="F3959" s="11" t="s">
        <v>5046</v>
      </c>
      <c r="G3959" s="8">
        <v>45.29</v>
      </c>
      <c r="H3959" s="8">
        <v>0</v>
      </c>
      <c r="I3959" s="8">
        <f t="shared" si="198"/>
        <v>45.29</v>
      </c>
      <c r="J3959" s="12"/>
    </row>
    <row r="3960" spans="1:10" x14ac:dyDescent="0.25">
      <c r="C3960" s="9"/>
      <c r="D3960" s="10">
        <v>45733</v>
      </c>
      <c r="E3960" t="s">
        <v>5042</v>
      </c>
      <c r="F3960" s="11" t="s">
        <v>42</v>
      </c>
      <c r="G3960" s="8">
        <v>0</v>
      </c>
      <c r="H3960" s="8">
        <v>45.29</v>
      </c>
      <c r="I3960" s="8">
        <f t="shared" si="198"/>
        <v>0</v>
      </c>
      <c r="J3960" s="12"/>
    </row>
    <row r="3961" spans="1:10" x14ac:dyDescent="0.25">
      <c r="C3961" s="9"/>
      <c r="D3961" s="10">
        <v>45762</v>
      </c>
      <c r="E3961" t="s">
        <v>5042</v>
      </c>
      <c r="F3961" s="11" t="s">
        <v>42</v>
      </c>
      <c r="G3961" s="8">
        <v>0</v>
      </c>
      <c r="H3961" s="8">
        <v>57.31</v>
      </c>
      <c r="I3961" s="8">
        <f t="shared" si="198"/>
        <v>-57.31</v>
      </c>
      <c r="J3961" s="12"/>
    </row>
    <row r="3962" spans="1:10" x14ac:dyDescent="0.25">
      <c r="E3962" s="4" t="s">
        <v>20</v>
      </c>
      <c r="G3962" s="8">
        <f>SUM(G3955:G3961)</f>
        <v>137.54</v>
      </c>
      <c r="H3962" s="8">
        <f>SUM(H3955:H3961)</f>
        <v>194.85</v>
      </c>
      <c r="I3962" s="8">
        <f>G3962-H3962</f>
        <v>-57.31</v>
      </c>
    </row>
    <row r="3964" spans="1:10" x14ac:dyDescent="0.25">
      <c r="A3964" s="5">
        <v>4307455</v>
      </c>
      <c r="B3964" s="6" t="s">
        <v>5047</v>
      </c>
      <c r="C3964" s="7"/>
      <c r="D3964" s="7"/>
      <c r="E3964" s="7"/>
      <c r="F3964" s="7"/>
      <c r="G3964" s="7"/>
      <c r="H3964" s="7"/>
      <c r="I3964" s="7"/>
      <c r="J3964" s="7"/>
    </row>
    <row r="3965" spans="1:10" x14ac:dyDescent="0.25">
      <c r="E3965" s="4" t="s">
        <v>10</v>
      </c>
      <c r="G3965" s="8">
        <v>774.56</v>
      </c>
      <c r="H3965" s="8">
        <v>0</v>
      </c>
      <c r="I3965" s="8">
        <f>G3965-H3965</f>
        <v>774.56</v>
      </c>
    </row>
    <row r="3966" spans="1:10" x14ac:dyDescent="0.25">
      <c r="C3966" s="9"/>
      <c r="D3966" s="10">
        <v>45659</v>
      </c>
      <c r="E3966" t="s">
        <v>5048</v>
      </c>
      <c r="F3966" s="11" t="s">
        <v>42</v>
      </c>
      <c r="G3966" s="8">
        <v>0</v>
      </c>
      <c r="H3966" s="8">
        <v>774.56</v>
      </c>
      <c r="I3966" s="8">
        <f t="shared" ref="I3966:I3979" si="199">G3966-H3966+I3965</f>
        <v>0</v>
      </c>
      <c r="J3966" s="12"/>
    </row>
    <row r="3967" spans="1:10" x14ac:dyDescent="0.25">
      <c r="C3967" s="9"/>
      <c r="D3967" s="10">
        <v>45671</v>
      </c>
      <c r="E3967" t="s">
        <v>5049</v>
      </c>
      <c r="F3967" s="11" t="s">
        <v>5050</v>
      </c>
      <c r="G3967" s="8">
        <v>2249.92</v>
      </c>
      <c r="H3967" s="8">
        <v>0</v>
      </c>
      <c r="I3967" s="8">
        <f t="shared" si="199"/>
        <v>2249.92</v>
      </c>
      <c r="J3967" s="12"/>
    </row>
    <row r="3968" spans="1:10" x14ac:dyDescent="0.25">
      <c r="C3968" s="9"/>
      <c r="D3968" s="10">
        <v>45672</v>
      </c>
      <c r="E3968" t="s">
        <v>5051</v>
      </c>
      <c r="F3968" s="11" t="s">
        <v>42</v>
      </c>
      <c r="G3968" s="8">
        <v>0</v>
      </c>
      <c r="H3968" s="8">
        <v>2249.92</v>
      </c>
      <c r="I3968" s="8">
        <f t="shared" si="199"/>
        <v>0</v>
      </c>
      <c r="J3968" s="12"/>
    </row>
    <row r="3969" spans="1:10" x14ac:dyDescent="0.25">
      <c r="C3969" s="9"/>
      <c r="D3969" s="10">
        <v>45688</v>
      </c>
      <c r="E3969" t="s">
        <v>5052</v>
      </c>
      <c r="F3969" s="11" t="s">
        <v>5053</v>
      </c>
      <c r="G3969" s="8">
        <v>1916.88</v>
      </c>
      <c r="H3969" s="8">
        <v>0</v>
      </c>
      <c r="I3969" s="8">
        <f t="shared" si="199"/>
        <v>1916.88</v>
      </c>
      <c r="J3969" s="12"/>
    </row>
    <row r="3970" spans="1:10" x14ac:dyDescent="0.25">
      <c r="C3970" s="9"/>
      <c r="D3970" s="10">
        <v>45691</v>
      </c>
      <c r="E3970" t="s">
        <v>5048</v>
      </c>
      <c r="F3970" s="11" t="s">
        <v>42</v>
      </c>
      <c r="G3970" s="8">
        <v>0</v>
      </c>
      <c r="H3970" s="8">
        <v>1916.88</v>
      </c>
      <c r="I3970" s="8">
        <f t="shared" si="199"/>
        <v>0</v>
      </c>
      <c r="J3970" s="12"/>
    </row>
    <row r="3971" spans="1:10" x14ac:dyDescent="0.25">
      <c r="C3971" s="9"/>
      <c r="D3971" s="10">
        <v>45702</v>
      </c>
      <c r="E3971" t="s">
        <v>5054</v>
      </c>
      <c r="F3971" s="11" t="s">
        <v>5055</v>
      </c>
      <c r="G3971" s="8">
        <v>2124.9899999999998</v>
      </c>
      <c r="H3971" s="8">
        <v>0</v>
      </c>
      <c r="I3971" s="8">
        <f t="shared" si="199"/>
        <v>2124.9899999999998</v>
      </c>
      <c r="J3971" s="12"/>
    </row>
    <row r="3972" spans="1:10" x14ac:dyDescent="0.25">
      <c r="C3972" s="9"/>
      <c r="D3972" s="10">
        <v>45705</v>
      </c>
      <c r="E3972" t="s">
        <v>5048</v>
      </c>
      <c r="F3972" s="11" t="s">
        <v>42</v>
      </c>
      <c r="G3972" s="8">
        <v>0</v>
      </c>
      <c r="H3972" s="8">
        <v>2124.9899999999998</v>
      </c>
      <c r="I3972" s="8">
        <f t="shared" si="199"/>
        <v>0</v>
      </c>
      <c r="J3972" s="12"/>
    </row>
    <row r="3973" spans="1:10" x14ac:dyDescent="0.25">
      <c r="C3973" s="9"/>
      <c r="D3973" s="10">
        <v>45716</v>
      </c>
      <c r="E3973" t="s">
        <v>5056</v>
      </c>
      <c r="F3973" s="11" t="s">
        <v>5057</v>
      </c>
      <c r="G3973" s="8">
        <v>987.99</v>
      </c>
      <c r="H3973" s="8">
        <v>0</v>
      </c>
      <c r="I3973" s="8">
        <f t="shared" si="199"/>
        <v>987.99</v>
      </c>
      <c r="J3973" s="12"/>
    </row>
    <row r="3974" spans="1:10" x14ac:dyDescent="0.25">
      <c r="C3974" s="9" t="s">
        <v>124</v>
      </c>
      <c r="D3974" s="10">
        <v>45719</v>
      </c>
      <c r="E3974" t="s">
        <v>5051</v>
      </c>
      <c r="F3974" s="11" t="s">
        <v>42</v>
      </c>
      <c r="G3974" s="8">
        <v>0</v>
      </c>
      <c r="H3974" s="8">
        <v>987.99</v>
      </c>
      <c r="I3974" s="8">
        <f t="shared" si="199"/>
        <v>0</v>
      </c>
      <c r="J3974" s="12"/>
    </row>
    <row r="3975" spans="1:10" x14ac:dyDescent="0.25">
      <c r="C3975" s="9"/>
      <c r="D3975" s="10">
        <v>45730</v>
      </c>
      <c r="E3975" t="s">
        <v>5058</v>
      </c>
      <c r="F3975" s="11" t="s">
        <v>5059</v>
      </c>
      <c r="G3975" s="8">
        <v>4076.83</v>
      </c>
      <c r="H3975" s="8">
        <v>0</v>
      </c>
      <c r="I3975" s="8">
        <f t="shared" si="199"/>
        <v>4076.83</v>
      </c>
      <c r="J3975" s="12"/>
    </row>
    <row r="3976" spans="1:10" x14ac:dyDescent="0.25">
      <c r="C3976" s="9"/>
      <c r="D3976" s="10">
        <v>45733</v>
      </c>
      <c r="E3976" t="s">
        <v>5048</v>
      </c>
      <c r="F3976" s="11" t="s">
        <v>42</v>
      </c>
      <c r="G3976" s="8">
        <v>0</v>
      </c>
      <c r="H3976" s="8">
        <v>4076.83</v>
      </c>
      <c r="I3976" s="8">
        <f t="shared" si="199"/>
        <v>0</v>
      </c>
      <c r="J3976" s="12"/>
    </row>
    <row r="3977" spans="1:10" x14ac:dyDescent="0.25">
      <c r="C3977" s="9"/>
      <c r="D3977" s="10">
        <v>45747</v>
      </c>
      <c r="E3977" t="s">
        <v>5060</v>
      </c>
      <c r="F3977" s="11" t="s">
        <v>5061</v>
      </c>
      <c r="G3977" s="8">
        <v>2734.85</v>
      </c>
      <c r="H3977" s="8">
        <v>0</v>
      </c>
      <c r="I3977" s="8">
        <f t="shared" si="199"/>
        <v>2734.85</v>
      </c>
      <c r="J3977" s="12"/>
    </row>
    <row r="3978" spans="1:10" x14ac:dyDescent="0.25">
      <c r="C3978" s="9" t="s">
        <v>124</v>
      </c>
      <c r="D3978" s="10">
        <v>45748</v>
      </c>
      <c r="E3978" t="s">
        <v>5048</v>
      </c>
      <c r="F3978" s="11" t="s">
        <v>42</v>
      </c>
      <c r="G3978" s="8">
        <v>0</v>
      </c>
      <c r="H3978" s="8">
        <v>2734.85</v>
      </c>
      <c r="I3978" s="8">
        <f t="shared" si="199"/>
        <v>0</v>
      </c>
      <c r="J3978" s="12"/>
    </row>
    <row r="3979" spans="1:10" x14ac:dyDescent="0.25">
      <c r="C3979" s="9"/>
      <c r="D3979" s="10">
        <v>45762</v>
      </c>
      <c r="E3979" t="s">
        <v>5048</v>
      </c>
      <c r="F3979" s="11" t="s">
        <v>42</v>
      </c>
      <c r="G3979" s="8">
        <v>0</v>
      </c>
      <c r="H3979" s="8">
        <v>303.06</v>
      </c>
      <c r="I3979" s="8">
        <f t="shared" si="199"/>
        <v>-303.06</v>
      </c>
      <c r="J3979" s="12"/>
    </row>
    <row r="3980" spans="1:10" x14ac:dyDescent="0.25">
      <c r="E3980" s="4" t="s">
        <v>20</v>
      </c>
      <c r="G3980" s="8">
        <f>SUM(G3965:G3979)</f>
        <v>14866.02</v>
      </c>
      <c r="H3980" s="8">
        <f>SUM(H3965:H3979)</f>
        <v>15169.08</v>
      </c>
      <c r="I3980" s="8">
        <f>G3980-H3980</f>
        <v>-303.05999999999949</v>
      </c>
    </row>
    <row r="3982" spans="1:10" x14ac:dyDescent="0.25">
      <c r="A3982" s="5">
        <v>4307460</v>
      </c>
      <c r="B3982" s="6" t="s">
        <v>5062</v>
      </c>
      <c r="C3982" s="7"/>
      <c r="D3982" s="7"/>
      <c r="E3982" s="7"/>
      <c r="F3982" s="7"/>
      <c r="G3982" s="7"/>
      <c r="H3982" s="7"/>
      <c r="I3982" s="7"/>
      <c r="J3982" s="7"/>
    </row>
    <row r="3983" spans="1:10" x14ac:dyDescent="0.25">
      <c r="E3983" s="4" t="s">
        <v>10</v>
      </c>
      <c r="G3983" s="8">
        <v>63.08</v>
      </c>
      <c r="H3983" s="8">
        <v>0</v>
      </c>
      <c r="I3983" s="8">
        <f>G3983-H3983</f>
        <v>63.08</v>
      </c>
    </row>
    <row r="3984" spans="1:10" x14ac:dyDescent="0.25">
      <c r="E3984" s="4" t="s">
        <v>20</v>
      </c>
      <c r="G3984" s="8">
        <f>G3983</f>
        <v>63.08</v>
      </c>
      <c r="H3984" s="8">
        <f>H3983</f>
        <v>0</v>
      </c>
      <c r="I3984" s="8">
        <f>G3984-H3984</f>
        <v>63.08</v>
      </c>
    </row>
    <row r="3986" spans="1:10" x14ac:dyDescent="0.25">
      <c r="A3986" s="5">
        <v>4307480</v>
      </c>
      <c r="B3986" s="6" t="s">
        <v>5063</v>
      </c>
      <c r="C3986" s="7"/>
      <c r="D3986" s="7"/>
      <c r="E3986" s="7"/>
      <c r="F3986" s="7"/>
      <c r="G3986" s="7"/>
      <c r="H3986" s="7"/>
      <c r="I3986" s="7"/>
      <c r="J3986" s="7"/>
    </row>
    <row r="3987" spans="1:10" x14ac:dyDescent="0.25">
      <c r="E3987" s="4" t="s">
        <v>10</v>
      </c>
      <c r="G3987" s="8">
        <v>417.03</v>
      </c>
      <c r="H3987" s="8">
        <v>0</v>
      </c>
      <c r="I3987" s="8">
        <f>G3987-H3987</f>
        <v>417.03</v>
      </c>
    </row>
    <row r="3988" spans="1:10" x14ac:dyDescent="0.25">
      <c r="C3988" s="9"/>
      <c r="D3988" s="10">
        <v>45688</v>
      </c>
      <c r="E3988" t="s">
        <v>5064</v>
      </c>
      <c r="F3988" s="11" t="s">
        <v>5065</v>
      </c>
      <c r="G3988" s="8">
        <v>50.06</v>
      </c>
      <c r="H3988" s="8">
        <v>0</v>
      </c>
      <c r="I3988" s="8">
        <f>G3988-H3988+I3987</f>
        <v>467.09</v>
      </c>
      <c r="J3988" s="12"/>
    </row>
    <row r="3989" spans="1:10" x14ac:dyDescent="0.25">
      <c r="C3989" s="9"/>
      <c r="D3989" s="10">
        <v>45702</v>
      </c>
      <c r="E3989" t="s">
        <v>5066</v>
      </c>
      <c r="F3989" s="11" t="s">
        <v>5067</v>
      </c>
      <c r="G3989" s="8">
        <v>78.650000000000006</v>
      </c>
      <c r="H3989" s="8">
        <v>0</v>
      </c>
      <c r="I3989" s="8">
        <f>G3989-H3989+I3988</f>
        <v>545.74</v>
      </c>
      <c r="J3989" s="12"/>
    </row>
    <row r="3990" spans="1:10" x14ac:dyDescent="0.25">
      <c r="C3990" s="9"/>
      <c r="D3990" s="10">
        <v>45715</v>
      </c>
      <c r="E3990" t="s">
        <v>5068</v>
      </c>
      <c r="F3990" s="11" t="s">
        <v>42</v>
      </c>
      <c r="G3990" s="8">
        <v>0</v>
      </c>
      <c r="H3990" s="8">
        <v>255.48</v>
      </c>
      <c r="I3990" s="8">
        <f>G3990-H3990+I3989</f>
        <v>290.26</v>
      </c>
      <c r="J3990" s="12"/>
    </row>
    <row r="3991" spans="1:10" x14ac:dyDescent="0.25">
      <c r="E3991" s="4" t="s">
        <v>20</v>
      </c>
      <c r="G3991" s="8">
        <f>SUM(G3987:G3990)</f>
        <v>545.74</v>
      </c>
      <c r="H3991" s="8">
        <f>SUM(H3987:H3990)</f>
        <v>255.48</v>
      </c>
      <c r="I3991" s="8">
        <f>G3991-H3991</f>
        <v>290.26</v>
      </c>
    </row>
    <row r="3993" spans="1:10" x14ac:dyDescent="0.25">
      <c r="A3993" s="5">
        <v>4307485</v>
      </c>
      <c r="B3993" s="6" t="s">
        <v>5069</v>
      </c>
      <c r="C3993" s="7"/>
      <c r="D3993" s="7"/>
      <c r="E3993" s="7"/>
      <c r="F3993" s="7"/>
      <c r="G3993" s="7"/>
      <c r="H3993" s="7"/>
      <c r="I3993" s="7"/>
      <c r="J3993" s="7"/>
    </row>
    <row r="3994" spans="1:10" x14ac:dyDescent="0.25">
      <c r="E3994" s="4" t="s">
        <v>10</v>
      </c>
      <c r="G3994" s="8">
        <v>42.4</v>
      </c>
      <c r="H3994" s="8">
        <v>0</v>
      </c>
      <c r="I3994" s="8">
        <f>G3994-H3994</f>
        <v>42.4</v>
      </c>
    </row>
    <row r="3995" spans="1:10" x14ac:dyDescent="0.25">
      <c r="E3995" s="4" t="s">
        <v>20</v>
      </c>
      <c r="G3995" s="8">
        <f>G3994</f>
        <v>42.4</v>
      </c>
      <c r="H3995" s="8">
        <f>H3994</f>
        <v>0</v>
      </c>
      <c r="I3995" s="8">
        <f>G3995-H3995</f>
        <v>42.4</v>
      </c>
    </row>
    <row r="3997" spans="1:10" x14ac:dyDescent="0.25">
      <c r="A3997" s="5">
        <v>4307490</v>
      </c>
      <c r="B3997" s="6" t="s">
        <v>5070</v>
      </c>
      <c r="C3997" s="7"/>
      <c r="D3997" s="7"/>
      <c r="E3997" s="7"/>
      <c r="F3997" s="7"/>
      <c r="G3997" s="7"/>
      <c r="H3997" s="7"/>
      <c r="I3997" s="7"/>
      <c r="J3997" s="7"/>
    </row>
    <row r="3998" spans="1:10" x14ac:dyDescent="0.25">
      <c r="E3998" s="4" t="s">
        <v>10</v>
      </c>
      <c r="G3998" s="8">
        <v>100.79</v>
      </c>
      <c r="H3998" s="8">
        <v>0</v>
      </c>
      <c r="I3998" s="8">
        <f>G3998-H3998</f>
        <v>100.79</v>
      </c>
    </row>
    <row r="3999" spans="1:10" x14ac:dyDescent="0.25">
      <c r="C3999" s="9"/>
      <c r="D3999" s="10">
        <v>45671</v>
      </c>
      <c r="E3999" t="s">
        <v>5071</v>
      </c>
      <c r="F3999" s="11" t="s">
        <v>5072</v>
      </c>
      <c r="G3999" s="8">
        <v>117.9</v>
      </c>
      <c r="H3999" s="8">
        <v>0</v>
      </c>
      <c r="I3999" s="8">
        <f t="shared" ref="I3999:I4006" si="200">G3999-H3999+I3998</f>
        <v>218.69</v>
      </c>
      <c r="J3999" s="12"/>
    </row>
    <row r="4000" spans="1:10" x14ac:dyDescent="0.25">
      <c r="C4000" s="9"/>
      <c r="D4000" s="10">
        <v>45677</v>
      </c>
      <c r="E4000" t="s">
        <v>5073</v>
      </c>
      <c r="F4000" s="11" t="s">
        <v>5074</v>
      </c>
      <c r="G4000" s="8">
        <v>0</v>
      </c>
      <c r="H4000" s="8">
        <v>34.24</v>
      </c>
      <c r="I4000" s="8">
        <f t="shared" si="200"/>
        <v>184.45</v>
      </c>
      <c r="J4000" s="12"/>
    </row>
    <row r="4001" spans="1:10" x14ac:dyDescent="0.25">
      <c r="C4001" s="9"/>
      <c r="D4001" s="10">
        <v>45688</v>
      </c>
      <c r="E4001" t="s">
        <v>5075</v>
      </c>
      <c r="F4001" s="11" t="s">
        <v>5076</v>
      </c>
      <c r="G4001" s="8">
        <v>35.659999999999997</v>
      </c>
      <c r="H4001" s="8">
        <v>0</v>
      </c>
      <c r="I4001" s="8">
        <f t="shared" si="200"/>
        <v>220.10999999999999</v>
      </c>
      <c r="J4001" s="12"/>
    </row>
    <row r="4002" spans="1:10" x14ac:dyDescent="0.25">
      <c r="C4002" s="9"/>
      <c r="D4002" s="10">
        <v>45706</v>
      </c>
      <c r="E4002" t="s">
        <v>1524</v>
      </c>
      <c r="F4002" s="11" t="s">
        <v>5077</v>
      </c>
      <c r="G4002" s="8">
        <v>0</v>
      </c>
      <c r="H4002" s="8">
        <v>66.55</v>
      </c>
      <c r="I4002" s="8">
        <f t="shared" si="200"/>
        <v>153.56</v>
      </c>
      <c r="J4002" s="12"/>
    </row>
    <row r="4003" spans="1:10" x14ac:dyDescent="0.25">
      <c r="C4003" s="9"/>
      <c r="D4003" s="10">
        <v>45706</v>
      </c>
      <c r="E4003" t="s">
        <v>1524</v>
      </c>
      <c r="F4003" s="11" t="s">
        <v>5072</v>
      </c>
      <c r="G4003" s="8">
        <v>0</v>
      </c>
      <c r="H4003" s="8">
        <v>117.9</v>
      </c>
      <c r="I4003" s="8">
        <f t="shared" si="200"/>
        <v>35.659999999999997</v>
      </c>
      <c r="J4003" s="12"/>
    </row>
    <row r="4004" spans="1:10" x14ac:dyDescent="0.25">
      <c r="C4004" s="9"/>
      <c r="D4004" s="10">
        <v>45730</v>
      </c>
      <c r="E4004" t="s">
        <v>5078</v>
      </c>
      <c r="F4004" s="11" t="s">
        <v>5079</v>
      </c>
      <c r="G4004" s="8">
        <v>74.64</v>
      </c>
      <c r="H4004" s="8">
        <v>0</v>
      </c>
      <c r="I4004" s="8">
        <f t="shared" si="200"/>
        <v>110.3</v>
      </c>
      <c r="J4004" s="12"/>
    </row>
    <row r="4005" spans="1:10" x14ac:dyDescent="0.25">
      <c r="C4005" s="9"/>
      <c r="D4005" s="10">
        <v>45734</v>
      </c>
      <c r="E4005" t="s">
        <v>5080</v>
      </c>
      <c r="F4005" s="11" t="s">
        <v>42</v>
      </c>
      <c r="G4005" s="8">
        <v>0</v>
      </c>
      <c r="H4005" s="8">
        <v>35.659999999999997</v>
      </c>
      <c r="I4005" s="8">
        <f t="shared" si="200"/>
        <v>74.64</v>
      </c>
      <c r="J4005" s="12"/>
    </row>
    <row r="4006" spans="1:10" x14ac:dyDescent="0.25">
      <c r="C4006" s="9"/>
      <c r="D4006" s="10">
        <v>45747</v>
      </c>
      <c r="E4006" t="s">
        <v>5081</v>
      </c>
      <c r="F4006" s="11" t="s">
        <v>5082</v>
      </c>
      <c r="G4006" s="8">
        <v>69.150000000000006</v>
      </c>
      <c r="H4006" s="8">
        <v>0</v>
      </c>
      <c r="I4006" s="8">
        <f t="shared" si="200"/>
        <v>143.79000000000002</v>
      </c>
      <c r="J4006" s="12"/>
    </row>
    <row r="4007" spans="1:10" x14ac:dyDescent="0.25">
      <c r="E4007" s="4" t="s">
        <v>20</v>
      </c>
      <c r="G4007" s="8">
        <f>SUM(G3998:G4006)</f>
        <v>398.14</v>
      </c>
      <c r="H4007" s="8">
        <f>SUM(H3998:H4006)</f>
        <v>254.35</v>
      </c>
      <c r="I4007" s="8">
        <f>G4007-H4007</f>
        <v>143.79</v>
      </c>
    </row>
    <row r="4009" spans="1:10" x14ac:dyDescent="0.25">
      <c r="A4009" s="5">
        <v>4307505</v>
      </c>
      <c r="B4009" s="6" t="s">
        <v>5083</v>
      </c>
      <c r="C4009" s="7"/>
      <c r="D4009" s="7"/>
      <c r="E4009" s="7"/>
      <c r="F4009" s="7"/>
      <c r="G4009" s="7"/>
      <c r="H4009" s="7"/>
      <c r="I4009" s="7"/>
      <c r="J4009" s="7"/>
    </row>
    <row r="4010" spans="1:10" x14ac:dyDescent="0.25">
      <c r="C4010" s="9"/>
      <c r="D4010" s="10">
        <v>45702</v>
      </c>
      <c r="E4010" t="s">
        <v>5084</v>
      </c>
      <c r="F4010" s="11" t="s">
        <v>5085</v>
      </c>
      <c r="G4010" s="8">
        <v>120.81</v>
      </c>
      <c r="H4010" s="8">
        <v>0</v>
      </c>
      <c r="I4010" s="8">
        <f>G4010-H4010</f>
        <v>120.81</v>
      </c>
      <c r="J4010" s="12"/>
    </row>
    <row r="4011" spans="1:10" x14ac:dyDescent="0.25">
      <c r="C4011" s="9"/>
      <c r="D4011" s="10">
        <v>45705</v>
      </c>
      <c r="E4011" t="s">
        <v>5086</v>
      </c>
      <c r="F4011" s="11" t="s">
        <v>42</v>
      </c>
      <c r="G4011" s="8">
        <v>0</v>
      </c>
      <c r="H4011" s="8">
        <v>120.81</v>
      </c>
      <c r="I4011" s="8">
        <f t="shared" ref="I4011:I4018" si="201">G4011-H4011+I4010</f>
        <v>0</v>
      </c>
      <c r="J4011" s="12"/>
    </row>
    <row r="4012" spans="1:10" x14ac:dyDescent="0.25">
      <c r="C4012" s="9"/>
      <c r="D4012" s="10">
        <v>45716</v>
      </c>
      <c r="E4012" t="s">
        <v>5087</v>
      </c>
      <c r="F4012" s="11" t="s">
        <v>5088</v>
      </c>
      <c r="G4012" s="8">
        <v>79.459999999999994</v>
      </c>
      <c r="H4012" s="8">
        <v>0</v>
      </c>
      <c r="I4012" s="8">
        <f t="shared" si="201"/>
        <v>79.459999999999994</v>
      </c>
      <c r="J4012" s="12"/>
    </row>
    <row r="4013" spans="1:10" x14ac:dyDescent="0.25">
      <c r="C4013" s="9" t="s">
        <v>124</v>
      </c>
      <c r="D4013" s="10">
        <v>45719</v>
      </c>
      <c r="E4013" t="s">
        <v>5089</v>
      </c>
      <c r="F4013" s="11" t="s">
        <v>5090</v>
      </c>
      <c r="G4013" s="8">
        <v>0</v>
      </c>
      <c r="H4013" s="8">
        <v>79.459999999999994</v>
      </c>
      <c r="I4013" s="8">
        <f t="shared" si="201"/>
        <v>0</v>
      </c>
      <c r="J4013" s="12"/>
    </row>
    <row r="4014" spans="1:10" x14ac:dyDescent="0.25">
      <c r="C4014" s="9"/>
      <c r="D4014" s="10">
        <v>45730</v>
      </c>
      <c r="E4014" t="s">
        <v>5091</v>
      </c>
      <c r="F4014" s="11" t="s">
        <v>5092</v>
      </c>
      <c r="G4014" s="8">
        <v>170.37</v>
      </c>
      <c r="H4014" s="8">
        <v>0</v>
      </c>
      <c r="I4014" s="8">
        <f t="shared" si="201"/>
        <v>170.37</v>
      </c>
      <c r="J4014" s="12"/>
    </row>
    <row r="4015" spans="1:10" x14ac:dyDescent="0.25">
      <c r="C4015" s="9"/>
      <c r="D4015" s="10">
        <v>45733</v>
      </c>
      <c r="E4015" t="s">
        <v>5093</v>
      </c>
      <c r="F4015" s="11" t="s">
        <v>42</v>
      </c>
      <c r="G4015" s="8">
        <v>0</v>
      </c>
      <c r="H4015" s="8">
        <v>170.37</v>
      </c>
      <c r="I4015" s="8">
        <f t="shared" si="201"/>
        <v>0</v>
      </c>
      <c r="J4015" s="12"/>
    </row>
    <row r="4016" spans="1:10" x14ac:dyDescent="0.25">
      <c r="C4016" s="9"/>
      <c r="D4016" s="10">
        <v>45747</v>
      </c>
      <c r="E4016" t="s">
        <v>5094</v>
      </c>
      <c r="F4016" s="11" t="s">
        <v>5095</v>
      </c>
      <c r="G4016" s="8">
        <v>151.76</v>
      </c>
      <c r="H4016" s="8">
        <v>0</v>
      </c>
      <c r="I4016" s="8">
        <f t="shared" si="201"/>
        <v>151.76</v>
      </c>
      <c r="J4016" s="12"/>
    </row>
    <row r="4017" spans="1:10" x14ac:dyDescent="0.25">
      <c r="C4017" s="9" t="s">
        <v>124</v>
      </c>
      <c r="D4017" s="10">
        <v>45748</v>
      </c>
      <c r="E4017" t="s">
        <v>5096</v>
      </c>
      <c r="F4017" s="11" t="s">
        <v>3916</v>
      </c>
      <c r="G4017" s="8">
        <v>0</v>
      </c>
      <c r="H4017" s="8">
        <v>151.76</v>
      </c>
      <c r="I4017" s="8">
        <f t="shared" si="201"/>
        <v>0</v>
      </c>
      <c r="J4017" s="12"/>
    </row>
    <row r="4018" spans="1:10" x14ac:dyDescent="0.25">
      <c r="C4018" s="9"/>
      <c r="D4018" s="10">
        <v>45762</v>
      </c>
      <c r="E4018" t="s">
        <v>5097</v>
      </c>
      <c r="F4018" s="11" t="s">
        <v>42</v>
      </c>
      <c r="G4018" s="8">
        <v>0</v>
      </c>
      <c r="H4018" s="8">
        <v>200.11</v>
      </c>
      <c r="I4018" s="8">
        <f t="shared" si="201"/>
        <v>-200.11</v>
      </c>
      <c r="J4018" s="12"/>
    </row>
    <row r="4019" spans="1:10" x14ac:dyDescent="0.25">
      <c r="E4019" s="4" t="s">
        <v>20</v>
      </c>
      <c r="G4019" s="8">
        <f>SUM(G4010:G4018)</f>
        <v>522.4</v>
      </c>
      <c r="H4019" s="8">
        <f>SUM(H4010:H4018)</f>
        <v>722.51</v>
      </c>
      <c r="I4019" s="8">
        <f>G4019-H4019</f>
        <v>-200.11</v>
      </c>
    </row>
    <row r="4021" spans="1:10" x14ac:dyDescent="0.25">
      <c r="A4021" s="5">
        <v>4307510</v>
      </c>
      <c r="B4021" s="6" t="s">
        <v>5098</v>
      </c>
      <c r="C4021" s="7"/>
      <c r="D4021" s="7"/>
      <c r="E4021" s="7"/>
      <c r="F4021" s="7"/>
      <c r="G4021" s="7"/>
      <c r="H4021" s="7"/>
      <c r="I4021" s="7"/>
      <c r="J4021" s="7"/>
    </row>
    <row r="4022" spans="1:10" x14ac:dyDescent="0.25">
      <c r="E4022" s="4" t="s">
        <v>10</v>
      </c>
      <c r="G4022" s="8">
        <v>274.36</v>
      </c>
      <c r="H4022" s="8">
        <v>0</v>
      </c>
      <c r="I4022" s="8">
        <f>G4022-H4022</f>
        <v>274.36</v>
      </c>
    </row>
    <row r="4023" spans="1:10" x14ac:dyDescent="0.25">
      <c r="C4023" s="9"/>
      <c r="D4023" s="10">
        <v>45671</v>
      </c>
      <c r="E4023" t="s">
        <v>5099</v>
      </c>
      <c r="F4023" s="11" t="s">
        <v>5100</v>
      </c>
      <c r="G4023" s="8">
        <v>511.99</v>
      </c>
      <c r="H4023" s="8">
        <v>0</v>
      </c>
      <c r="I4023" s="8">
        <f>G4023-H4023+I4022</f>
        <v>786.35</v>
      </c>
      <c r="J4023" s="12"/>
    </row>
    <row r="4024" spans="1:10" x14ac:dyDescent="0.25">
      <c r="C4024" s="9"/>
      <c r="D4024" s="10">
        <v>45688</v>
      </c>
      <c r="E4024" t="s">
        <v>5101</v>
      </c>
      <c r="F4024" s="11" t="s">
        <v>5102</v>
      </c>
      <c r="G4024" s="8">
        <v>217.81</v>
      </c>
      <c r="H4024" s="8">
        <v>0</v>
      </c>
      <c r="I4024" s="8">
        <f>G4024-H4024+I4023</f>
        <v>1004.1600000000001</v>
      </c>
      <c r="J4024" s="12"/>
    </row>
    <row r="4025" spans="1:10" x14ac:dyDescent="0.25">
      <c r="C4025" s="9"/>
      <c r="D4025" s="10">
        <v>45722</v>
      </c>
      <c r="E4025" t="s">
        <v>5103</v>
      </c>
      <c r="F4025" s="11" t="s">
        <v>42</v>
      </c>
      <c r="G4025" s="8">
        <v>0</v>
      </c>
      <c r="H4025" s="8">
        <v>786.35</v>
      </c>
      <c r="I4025" s="8">
        <f>G4025-H4025+I4024</f>
        <v>217.81000000000006</v>
      </c>
      <c r="J4025" s="12"/>
    </row>
    <row r="4026" spans="1:10" x14ac:dyDescent="0.25">
      <c r="C4026" s="9"/>
      <c r="D4026" s="10">
        <v>45730</v>
      </c>
      <c r="E4026" t="s">
        <v>5104</v>
      </c>
      <c r="F4026" s="11" t="s">
        <v>5105</v>
      </c>
      <c r="G4026" s="8">
        <v>43.57</v>
      </c>
      <c r="H4026" s="8">
        <v>0</v>
      </c>
      <c r="I4026" s="8">
        <f>G4026-H4026+I4025</f>
        <v>261.38000000000005</v>
      </c>
      <c r="J4026" s="12"/>
    </row>
    <row r="4027" spans="1:10" x14ac:dyDescent="0.25">
      <c r="C4027" s="9"/>
      <c r="D4027" s="10">
        <v>45747</v>
      </c>
      <c r="E4027" t="s">
        <v>5106</v>
      </c>
      <c r="F4027" s="11" t="s">
        <v>5107</v>
      </c>
      <c r="G4027" s="8">
        <v>603.22</v>
      </c>
      <c r="H4027" s="8">
        <v>0</v>
      </c>
      <c r="I4027" s="8">
        <f>G4027-H4027+I4026</f>
        <v>864.60000000000014</v>
      </c>
      <c r="J4027" s="12"/>
    </row>
    <row r="4028" spans="1:10" x14ac:dyDescent="0.25">
      <c r="E4028" s="4" t="s">
        <v>20</v>
      </c>
      <c r="G4028" s="8">
        <f>SUM(G4022:G4027)</f>
        <v>1650.95</v>
      </c>
      <c r="H4028" s="8">
        <f>SUM(H4022:H4027)</f>
        <v>786.35</v>
      </c>
      <c r="I4028" s="8">
        <f>G4028-H4028</f>
        <v>864.6</v>
      </c>
    </row>
    <row r="4030" spans="1:10" x14ac:dyDescent="0.25">
      <c r="A4030" s="5">
        <v>4307515</v>
      </c>
      <c r="B4030" s="6" t="s">
        <v>5108</v>
      </c>
      <c r="C4030" s="7"/>
      <c r="D4030" s="7"/>
      <c r="E4030" s="7"/>
      <c r="F4030" s="7"/>
      <c r="G4030" s="7"/>
      <c r="H4030" s="7"/>
      <c r="I4030" s="7"/>
      <c r="J4030" s="7"/>
    </row>
    <row r="4031" spans="1:10" x14ac:dyDescent="0.25">
      <c r="E4031" s="4" t="s">
        <v>10</v>
      </c>
      <c r="G4031" s="8">
        <v>1722.42</v>
      </c>
      <c r="H4031" s="8">
        <v>0</v>
      </c>
      <c r="I4031" s="8">
        <f>G4031-H4031</f>
        <v>1722.42</v>
      </c>
    </row>
    <row r="4032" spans="1:10" x14ac:dyDescent="0.25">
      <c r="C4032" s="9"/>
      <c r="D4032" s="10">
        <v>45671</v>
      </c>
      <c r="E4032" t="s">
        <v>5109</v>
      </c>
      <c r="F4032" s="11" t="s">
        <v>5110</v>
      </c>
      <c r="G4032" s="8">
        <v>158.15</v>
      </c>
      <c r="H4032" s="8">
        <v>0</v>
      </c>
      <c r="I4032" s="8">
        <f t="shared" ref="I4032:I4038" si="202">G4032-H4032+I4031</f>
        <v>1880.5700000000002</v>
      </c>
      <c r="J4032" s="12"/>
    </row>
    <row r="4033" spans="1:10" x14ac:dyDescent="0.25">
      <c r="C4033" s="9"/>
      <c r="D4033" s="10">
        <v>45686</v>
      </c>
      <c r="E4033" t="s">
        <v>1524</v>
      </c>
      <c r="F4033" s="11" t="s">
        <v>5111</v>
      </c>
      <c r="G4033" s="8">
        <v>0</v>
      </c>
      <c r="H4033" s="8">
        <v>1155.32</v>
      </c>
      <c r="I4033" s="8">
        <f t="shared" si="202"/>
        <v>725.25000000000023</v>
      </c>
      <c r="J4033" s="12"/>
    </row>
    <row r="4034" spans="1:10" x14ac:dyDescent="0.25">
      <c r="C4034" s="9"/>
      <c r="D4034" s="10">
        <v>45686</v>
      </c>
      <c r="E4034" t="s">
        <v>1524</v>
      </c>
      <c r="F4034" s="11" t="s">
        <v>5112</v>
      </c>
      <c r="G4034" s="8">
        <v>0</v>
      </c>
      <c r="H4034" s="8">
        <v>149.06</v>
      </c>
      <c r="I4034" s="8">
        <f t="shared" si="202"/>
        <v>576.19000000000028</v>
      </c>
      <c r="J4034" s="12"/>
    </row>
    <row r="4035" spans="1:10" x14ac:dyDescent="0.25">
      <c r="C4035" s="9"/>
      <c r="D4035" s="10">
        <v>45688</v>
      </c>
      <c r="E4035" t="s">
        <v>5113</v>
      </c>
      <c r="F4035" s="11" t="s">
        <v>5114</v>
      </c>
      <c r="G4035" s="8">
        <v>59.73</v>
      </c>
      <c r="H4035" s="8">
        <v>0</v>
      </c>
      <c r="I4035" s="8">
        <f t="shared" si="202"/>
        <v>635.9200000000003</v>
      </c>
      <c r="J4035" s="12"/>
    </row>
    <row r="4036" spans="1:10" x14ac:dyDescent="0.25">
      <c r="C4036" s="9"/>
      <c r="D4036" s="10">
        <v>45714</v>
      </c>
      <c r="E4036" t="s">
        <v>1524</v>
      </c>
      <c r="F4036" s="11" t="s">
        <v>5115</v>
      </c>
      <c r="G4036" s="8">
        <v>0</v>
      </c>
      <c r="H4036" s="8">
        <v>176.27</v>
      </c>
      <c r="I4036" s="8">
        <f t="shared" si="202"/>
        <v>459.65000000000032</v>
      </c>
      <c r="J4036" s="12"/>
    </row>
    <row r="4037" spans="1:10" x14ac:dyDescent="0.25">
      <c r="C4037" s="9"/>
      <c r="D4037" s="10">
        <v>45714</v>
      </c>
      <c r="E4037" t="s">
        <v>1524</v>
      </c>
      <c r="F4037" s="11" t="s">
        <v>5116</v>
      </c>
      <c r="G4037" s="8">
        <v>0</v>
      </c>
      <c r="H4037" s="8">
        <v>241.77</v>
      </c>
      <c r="I4037" s="8">
        <f t="shared" si="202"/>
        <v>217.88000000000031</v>
      </c>
      <c r="J4037" s="12"/>
    </row>
    <row r="4038" spans="1:10" x14ac:dyDescent="0.25">
      <c r="C4038" s="9"/>
      <c r="D4038" s="10">
        <v>45742</v>
      </c>
      <c r="E4038" t="s">
        <v>1524</v>
      </c>
      <c r="F4038" s="11" t="s">
        <v>5110</v>
      </c>
      <c r="G4038" s="8">
        <v>0</v>
      </c>
      <c r="H4038" s="8">
        <v>158.15</v>
      </c>
      <c r="I4038" s="8">
        <f t="shared" si="202"/>
        <v>59.730000000000302</v>
      </c>
      <c r="J4038" s="12"/>
    </row>
    <row r="4039" spans="1:10" x14ac:dyDescent="0.25">
      <c r="E4039" s="4" t="s">
        <v>20</v>
      </c>
      <c r="G4039" s="8">
        <f>SUM(G4031:G4038)</f>
        <v>1940.3000000000002</v>
      </c>
      <c r="H4039" s="8">
        <f>SUM(H4031:H4038)</f>
        <v>1880.57</v>
      </c>
      <c r="I4039" s="8">
        <f>G4039-H4039</f>
        <v>59.730000000000246</v>
      </c>
    </row>
    <row r="4041" spans="1:10" x14ac:dyDescent="0.25">
      <c r="A4041" s="5">
        <v>4307520</v>
      </c>
      <c r="B4041" s="6" t="s">
        <v>5117</v>
      </c>
      <c r="C4041" s="7"/>
      <c r="D4041" s="7"/>
      <c r="E4041" s="7"/>
      <c r="F4041" s="7"/>
      <c r="G4041" s="7"/>
      <c r="H4041" s="7"/>
      <c r="I4041" s="7"/>
      <c r="J4041" s="7"/>
    </row>
    <row r="4042" spans="1:10" x14ac:dyDescent="0.25">
      <c r="E4042" s="4" t="s">
        <v>10</v>
      </c>
      <c r="G4042" s="8">
        <v>27.52</v>
      </c>
      <c r="H4042" s="8">
        <v>0</v>
      </c>
      <c r="I4042" s="8">
        <f>G4042-H4042</f>
        <v>27.52</v>
      </c>
    </row>
    <row r="4043" spans="1:10" x14ac:dyDescent="0.25">
      <c r="C4043" s="9"/>
      <c r="D4043" s="10">
        <v>45671</v>
      </c>
      <c r="E4043" t="s">
        <v>5118</v>
      </c>
      <c r="F4043" s="11" t="s">
        <v>5119</v>
      </c>
      <c r="G4043" s="8">
        <v>155.69</v>
      </c>
      <c r="H4043" s="8">
        <v>0</v>
      </c>
      <c r="I4043" s="8">
        <f t="shared" ref="I4043:I4055" si="203">G4043-H4043+I4042</f>
        <v>183.21</v>
      </c>
      <c r="J4043" s="12"/>
    </row>
    <row r="4044" spans="1:10" x14ac:dyDescent="0.25">
      <c r="C4044" s="9"/>
      <c r="D4044" s="10">
        <v>45672</v>
      </c>
      <c r="E4044" t="s">
        <v>5120</v>
      </c>
      <c r="F4044" s="11" t="s">
        <v>42</v>
      </c>
      <c r="G4044" s="8">
        <v>0</v>
      </c>
      <c r="H4044" s="8">
        <v>183.21</v>
      </c>
      <c r="I4044" s="8">
        <f t="shared" si="203"/>
        <v>0</v>
      </c>
      <c r="J4044" s="12"/>
    </row>
    <row r="4045" spans="1:10" x14ac:dyDescent="0.25">
      <c r="C4045" s="9"/>
      <c r="D4045" s="10">
        <v>45688</v>
      </c>
      <c r="E4045" t="s">
        <v>5121</v>
      </c>
      <c r="F4045" s="11" t="s">
        <v>5122</v>
      </c>
      <c r="G4045" s="8">
        <v>98.34</v>
      </c>
      <c r="H4045" s="8">
        <v>0</v>
      </c>
      <c r="I4045" s="8">
        <f t="shared" si="203"/>
        <v>98.34</v>
      </c>
      <c r="J4045" s="12"/>
    </row>
    <row r="4046" spans="1:10" x14ac:dyDescent="0.25">
      <c r="C4046" s="9"/>
      <c r="D4046" s="10">
        <v>45691</v>
      </c>
      <c r="E4046" t="s">
        <v>1524</v>
      </c>
      <c r="F4046" s="11" t="s">
        <v>5123</v>
      </c>
      <c r="G4046" s="8">
        <v>0</v>
      </c>
      <c r="H4046" s="8">
        <v>98.34</v>
      </c>
      <c r="I4046" s="8">
        <f t="shared" si="203"/>
        <v>0</v>
      </c>
      <c r="J4046" s="12"/>
    </row>
    <row r="4047" spans="1:10" x14ac:dyDescent="0.25">
      <c r="C4047" s="9"/>
      <c r="D4047" s="10">
        <v>45702</v>
      </c>
      <c r="E4047" t="s">
        <v>5124</v>
      </c>
      <c r="F4047" s="11" t="s">
        <v>5125</v>
      </c>
      <c r="G4047" s="8">
        <v>64.260000000000005</v>
      </c>
      <c r="H4047" s="8">
        <v>0</v>
      </c>
      <c r="I4047" s="8">
        <f t="shared" si="203"/>
        <v>64.260000000000005</v>
      </c>
      <c r="J4047" s="12"/>
    </row>
    <row r="4048" spans="1:10" x14ac:dyDescent="0.25">
      <c r="C4048" s="9"/>
      <c r="D4048" s="10">
        <v>45705</v>
      </c>
      <c r="E4048" t="s">
        <v>5120</v>
      </c>
      <c r="F4048" s="11" t="s">
        <v>42</v>
      </c>
      <c r="G4048" s="8">
        <v>0</v>
      </c>
      <c r="H4048" s="8">
        <v>64.260000000000005</v>
      </c>
      <c r="I4048" s="8">
        <f t="shared" si="203"/>
        <v>0</v>
      </c>
      <c r="J4048" s="12"/>
    </row>
    <row r="4049" spans="1:10" x14ac:dyDescent="0.25">
      <c r="C4049" s="9"/>
      <c r="D4049" s="10">
        <v>45716</v>
      </c>
      <c r="E4049" t="s">
        <v>5126</v>
      </c>
      <c r="F4049" s="11" t="s">
        <v>5127</v>
      </c>
      <c r="G4049" s="8">
        <v>60.04</v>
      </c>
      <c r="H4049" s="8">
        <v>0</v>
      </c>
      <c r="I4049" s="8">
        <f t="shared" si="203"/>
        <v>60.04</v>
      </c>
      <c r="J4049" s="12"/>
    </row>
    <row r="4050" spans="1:10" x14ac:dyDescent="0.25">
      <c r="C4050" s="9" t="s">
        <v>124</v>
      </c>
      <c r="D4050" s="10">
        <v>45719</v>
      </c>
      <c r="E4050" t="s">
        <v>5120</v>
      </c>
      <c r="F4050" s="11" t="s">
        <v>42</v>
      </c>
      <c r="G4050" s="8">
        <v>0</v>
      </c>
      <c r="H4050" s="8">
        <v>60.04</v>
      </c>
      <c r="I4050" s="8">
        <f t="shared" si="203"/>
        <v>0</v>
      </c>
      <c r="J4050" s="12"/>
    </row>
    <row r="4051" spans="1:10" x14ac:dyDescent="0.25">
      <c r="C4051" s="9"/>
      <c r="D4051" s="10">
        <v>45730</v>
      </c>
      <c r="E4051" t="s">
        <v>5128</v>
      </c>
      <c r="F4051" s="11" t="s">
        <v>5129</v>
      </c>
      <c r="G4051" s="8">
        <v>73.97</v>
      </c>
      <c r="H4051" s="8">
        <v>0</v>
      </c>
      <c r="I4051" s="8">
        <f t="shared" si="203"/>
        <v>73.97</v>
      </c>
      <c r="J4051" s="12"/>
    </row>
    <row r="4052" spans="1:10" x14ac:dyDescent="0.25">
      <c r="C4052" s="9"/>
      <c r="D4052" s="10">
        <v>45733</v>
      </c>
      <c r="E4052" t="s">
        <v>5120</v>
      </c>
      <c r="F4052" s="11" t="s">
        <v>42</v>
      </c>
      <c r="G4052" s="8">
        <v>0</v>
      </c>
      <c r="H4052" s="8">
        <v>73.97</v>
      </c>
      <c r="I4052" s="8">
        <f t="shared" si="203"/>
        <v>0</v>
      </c>
      <c r="J4052" s="12"/>
    </row>
    <row r="4053" spans="1:10" x14ac:dyDescent="0.25">
      <c r="C4053" s="9"/>
      <c r="D4053" s="10">
        <v>45747</v>
      </c>
      <c r="E4053" t="s">
        <v>5130</v>
      </c>
      <c r="F4053" s="11" t="s">
        <v>5131</v>
      </c>
      <c r="G4053" s="8">
        <v>452.04</v>
      </c>
      <c r="H4053" s="8">
        <v>0</v>
      </c>
      <c r="I4053" s="8">
        <f t="shared" si="203"/>
        <v>452.04</v>
      </c>
      <c r="J4053" s="12"/>
    </row>
    <row r="4054" spans="1:10" x14ac:dyDescent="0.25">
      <c r="C4054" s="9"/>
      <c r="D4054" s="10">
        <v>45748</v>
      </c>
      <c r="E4054" t="s">
        <v>1524</v>
      </c>
      <c r="F4054" s="11" t="s">
        <v>5132</v>
      </c>
      <c r="G4054" s="8">
        <v>0</v>
      </c>
      <c r="H4054" s="8">
        <v>452.04</v>
      </c>
      <c r="I4054" s="8">
        <f t="shared" si="203"/>
        <v>0</v>
      </c>
      <c r="J4054" s="12"/>
    </row>
    <row r="4055" spans="1:10" x14ac:dyDescent="0.25">
      <c r="C4055" s="9"/>
      <c r="D4055" s="10">
        <v>45762</v>
      </c>
      <c r="E4055" t="s">
        <v>5120</v>
      </c>
      <c r="F4055" s="11" t="s">
        <v>42</v>
      </c>
      <c r="G4055" s="8">
        <v>0</v>
      </c>
      <c r="H4055" s="8">
        <v>196.18</v>
      </c>
      <c r="I4055" s="8">
        <f t="shared" si="203"/>
        <v>-196.18</v>
      </c>
      <c r="J4055" s="12"/>
    </row>
    <row r="4056" spans="1:10" x14ac:dyDescent="0.25">
      <c r="E4056" s="4" t="s">
        <v>20</v>
      </c>
      <c r="G4056" s="8">
        <f>SUM(G4042:G4055)</f>
        <v>931.86000000000013</v>
      </c>
      <c r="H4056" s="8">
        <f>SUM(H4042:H4055)</f>
        <v>1128.0400000000002</v>
      </c>
      <c r="I4056" s="8">
        <f>G4056-H4056</f>
        <v>-196.18000000000006</v>
      </c>
    </row>
    <row r="4058" spans="1:10" x14ac:dyDescent="0.25">
      <c r="A4058" s="5">
        <v>4307535</v>
      </c>
      <c r="B4058" s="6" t="s">
        <v>5133</v>
      </c>
      <c r="C4058" s="7"/>
      <c r="D4058" s="7"/>
      <c r="E4058" s="7"/>
      <c r="F4058" s="7"/>
      <c r="G4058" s="7"/>
      <c r="H4058" s="7"/>
      <c r="I4058" s="7"/>
      <c r="J4058" s="7"/>
    </row>
    <row r="4059" spans="1:10" x14ac:dyDescent="0.25">
      <c r="E4059" s="4" t="s">
        <v>10</v>
      </c>
      <c r="G4059" s="8">
        <v>22.63</v>
      </c>
      <c r="H4059" s="8">
        <v>0</v>
      </c>
      <c r="I4059" s="8">
        <f>G4059-H4059</f>
        <v>22.63</v>
      </c>
    </row>
    <row r="4060" spans="1:10" x14ac:dyDescent="0.25">
      <c r="C4060" s="9"/>
      <c r="D4060" s="10">
        <v>45762</v>
      </c>
      <c r="E4060" t="s">
        <v>1524</v>
      </c>
      <c r="F4060" s="11" t="s">
        <v>5134</v>
      </c>
      <c r="G4060" s="8">
        <v>0</v>
      </c>
      <c r="H4060" s="8">
        <v>220.07</v>
      </c>
      <c r="I4060" s="8">
        <f>G4060-H4060+I4059</f>
        <v>-197.44</v>
      </c>
      <c r="J4060" s="12"/>
    </row>
    <row r="4061" spans="1:10" x14ac:dyDescent="0.25">
      <c r="E4061" s="4" t="s">
        <v>20</v>
      </c>
      <c r="G4061" s="8">
        <f>SUM(G4059:G4060)</f>
        <v>22.63</v>
      </c>
      <c r="H4061" s="8">
        <f>SUM(H4059:H4060)</f>
        <v>220.07</v>
      </c>
      <c r="I4061" s="8">
        <f>G4061-H4061</f>
        <v>-197.44</v>
      </c>
    </row>
    <row r="4063" spans="1:10" x14ac:dyDescent="0.25">
      <c r="A4063" s="5">
        <v>4307550</v>
      </c>
      <c r="B4063" s="6" t="s">
        <v>5135</v>
      </c>
      <c r="C4063" s="7"/>
      <c r="D4063" s="7"/>
      <c r="E4063" s="7"/>
      <c r="F4063" s="7"/>
      <c r="G4063" s="7"/>
      <c r="H4063" s="7"/>
      <c r="I4063" s="7"/>
      <c r="J4063" s="7"/>
    </row>
    <row r="4064" spans="1:10" x14ac:dyDescent="0.25">
      <c r="E4064" s="4" t="s">
        <v>10</v>
      </c>
      <c r="G4064" s="8">
        <v>131.13</v>
      </c>
      <c r="H4064" s="8">
        <v>0</v>
      </c>
      <c r="I4064" s="8">
        <f>G4064-H4064</f>
        <v>131.13</v>
      </c>
    </row>
    <row r="4065" spans="1:10" x14ac:dyDescent="0.25">
      <c r="C4065" s="9"/>
      <c r="D4065" s="10">
        <v>45659</v>
      </c>
      <c r="E4065" t="s">
        <v>5136</v>
      </c>
      <c r="F4065" s="11" t="s">
        <v>42</v>
      </c>
      <c r="G4065" s="8">
        <v>0</v>
      </c>
      <c r="H4065" s="8">
        <v>94.91</v>
      </c>
      <c r="I4065" s="8">
        <f t="shared" ref="I4065:I4074" si="204">G4065-H4065+I4064</f>
        <v>36.22</v>
      </c>
      <c r="J4065" s="12"/>
    </row>
    <row r="4066" spans="1:10" x14ac:dyDescent="0.25">
      <c r="C4066" s="9"/>
      <c r="D4066" s="10">
        <v>45688</v>
      </c>
      <c r="E4066" t="s">
        <v>5137</v>
      </c>
      <c r="F4066" s="11" t="s">
        <v>5138</v>
      </c>
      <c r="G4066" s="8">
        <v>67.569999999999993</v>
      </c>
      <c r="H4066" s="8">
        <v>0</v>
      </c>
      <c r="I4066" s="8">
        <f t="shared" si="204"/>
        <v>103.78999999999999</v>
      </c>
      <c r="J4066" s="12"/>
    </row>
    <row r="4067" spans="1:10" x14ac:dyDescent="0.25">
      <c r="C4067" s="9"/>
      <c r="D4067" s="10">
        <v>45691</v>
      </c>
      <c r="E4067" t="s">
        <v>1524</v>
      </c>
      <c r="F4067" s="11" t="s">
        <v>2839</v>
      </c>
      <c r="G4067" s="8">
        <v>0</v>
      </c>
      <c r="H4067" s="8">
        <v>67.569999999999993</v>
      </c>
      <c r="I4067" s="8">
        <f t="shared" si="204"/>
        <v>36.22</v>
      </c>
      <c r="J4067" s="12"/>
    </row>
    <row r="4068" spans="1:10" x14ac:dyDescent="0.25">
      <c r="C4068" s="9"/>
      <c r="D4068" s="10">
        <v>45716</v>
      </c>
      <c r="E4068" t="s">
        <v>5139</v>
      </c>
      <c r="F4068" s="11" t="s">
        <v>5140</v>
      </c>
      <c r="G4068" s="8">
        <v>49.36</v>
      </c>
      <c r="H4068" s="8">
        <v>0</v>
      </c>
      <c r="I4068" s="8">
        <f t="shared" si="204"/>
        <v>85.58</v>
      </c>
      <c r="J4068" s="12"/>
    </row>
    <row r="4069" spans="1:10" x14ac:dyDescent="0.25">
      <c r="C4069" s="9" t="s">
        <v>124</v>
      </c>
      <c r="D4069" s="10">
        <v>45719</v>
      </c>
      <c r="E4069" t="s">
        <v>5141</v>
      </c>
      <c r="F4069" s="11" t="s">
        <v>5142</v>
      </c>
      <c r="G4069" s="8">
        <v>0</v>
      </c>
      <c r="H4069" s="8">
        <v>49.36</v>
      </c>
      <c r="I4069" s="8">
        <f t="shared" si="204"/>
        <v>36.22</v>
      </c>
      <c r="J4069" s="12"/>
    </row>
    <row r="4070" spans="1:10" x14ac:dyDescent="0.25">
      <c r="C4070" s="9"/>
      <c r="D4070" s="10">
        <v>45730</v>
      </c>
      <c r="E4070" t="s">
        <v>5143</v>
      </c>
      <c r="F4070" s="11" t="s">
        <v>5144</v>
      </c>
      <c r="G4070" s="8">
        <v>61.94</v>
      </c>
      <c r="H4070" s="8">
        <v>0</v>
      </c>
      <c r="I4070" s="8">
        <f t="shared" si="204"/>
        <v>98.16</v>
      </c>
      <c r="J4070" s="12"/>
    </row>
    <row r="4071" spans="1:10" x14ac:dyDescent="0.25">
      <c r="C4071" s="9"/>
      <c r="D4071" s="10">
        <v>45733</v>
      </c>
      <c r="E4071" t="s">
        <v>5141</v>
      </c>
      <c r="F4071" s="11" t="s">
        <v>42</v>
      </c>
      <c r="G4071" s="8">
        <v>0</v>
      </c>
      <c r="H4071" s="8">
        <v>61.94</v>
      </c>
      <c r="I4071" s="8">
        <f t="shared" si="204"/>
        <v>36.22</v>
      </c>
      <c r="J4071" s="12"/>
    </row>
    <row r="4072" spans="1:10" x14ac:dyDescent="0.25">
      <c r="C4072" s="9"/>
      <c r="D4072" s="10">
        <v>45747</v>
      </c>
      <c r="E4072" t="s">
        <v>5145</v>
      </c>
      <c r="F4072" s="11" t="s">
        <v>5146</v>
      </c>
      <c r="G4072" s="8">
        <v>1272.54</v>
      </c>
      <c r="H4072" s="8">
        <v>0</v>
      </c>
      <c r="I4072" s="8">
        <f t="shared" si="204"/>
        <v>1308.76</v>
      </c>
      <c r="J4072" s="12"/>
    </row>
    <row r="4073" spans="1:10" x14ac:dyDescent="0.25">
      <c r="C4073" s="9" t="s">
        <v>124</v>
      </c>
      <c r="D4073" s="10">
        <v>45748</v>
      </c>
      <c r="E4073" t="s">
        <v>5141</v>
      </c>
      <c r="F4073" s="11" t="s">
        <v>42</v>
      </c>
      <c r="G4073" s="8">
        <v>0</v>
      </c>
      <c r="H4073" s="8">
        <v>1272.54</v>
      </c>
      <c r="I4073" s="8">
        <f t="shared" si="204"/>
        <v>36.220000000000027</v>
      </c>
      <c r="J4073" s="12"/>
    </row>
    <row r="4074" spans="1:10" x14ac:dyDescent="0.25">
      <c r="C4074" s="9"/>
      <c r="D4074" s="10">
        <v>45762</v>
      </c>
      <c r="E4074" t="s">
        <v>5141</v>
      </c>
      <c r="F4074" s="11" t="s">
        <v>42</v>
      </c>
      <c r="G4074" s="8">
        <v>0</v>
      </c>
      <c r="H4074" s="8">
        <v>60.61</v>
      </c>
      <c r="I4074" s="8">
        <f t="shared" si="204"/>
        <v>-24.389999999999972</v>
      </c>
      <c r="J4074" s="12"/>
    </row>
    <row r="4075" spans="1:10" x14ac:dyDescent="0.25">
      <c r="E4075" s="4" t="s">
        <v>20</v>
      </c>
      <c r="G4075" s="8">
        <f>SUM(G4064:G4074)</f>
        <v>1582.54</v>
      </c>
      <c r="H4075" s="8">
        <f>SUM(H4064:H4074)</f>
        <v>1606.9299999999998</v>
      </c>
      <c r="I4075" s="8">
        <f>G4075-H4075</f>
        <v>-24.389999999999873</v>
      </c>
    </row>
    <row r="4077" spans="1:10" x14ac:dyDescent="0.25">
      <c r="A4077" s="5">
        <v>4307560</v>
      </c>
      <c r="B4077" s="6" t="s">
        <v>5147</v>
      </c>
      <c r="C4077" s="7"/>
      <c r="D4077" s="7"/>
      <c r="E4077" s="7"/>
      <c r="F4077" s="7"/>
      <c r="G4077" s="7"/>
      <c r="H4077" s="7"/>
      <c r="I4077" s="7"/>
      <c r="J4077" s="7"/>
    </row>
    <row r="4078" spans="1:10" x14ac:dyDescent="0.25">
      <c r="E4078" s="4" t="s">
        <v>10</v>
      </c>
      <c r="G4078" s="8">
        <v>430.15</v>
      </c>
      <c r="H4078" s="8">
        <v>0</v>
      </c>
      <c r="I4078" s="8">
        <f>G4078-H4078</f>
        <v>430.15</v>
      </c>
    </row>
    <row r="4079" spans="1:10" x14ac:dyDescent="0.25">
      <c r="C4079" s="9"/>
      <c r="D4079" s="10">
        <v>45671</v>
      </c>
      <c r="E4079" t="s">
        <v>5148</v>
      </c>
      <c r="F4079" s="11" t="s">
        <v>5149</v>
      </c>
      <c r="G4079" s="8">
        <v>1093.0999999999999</v>
      </c>
      <c r="H4079" s="8">
        <v>0</v>
      </c>
      <c r="I4079" s="8">
        <f t="shared" ref="I4079:I4091" si="205">G4079-H4079+I4078</f>
        <v>1523.25</v>
      </c>
      <c r="J4079" s="12"/>
    </row>
    <row r="4080" spans="1:10" x14ac:dyDescent="0.25">
      <c r="C4080" s="9"/>
      <c r="D4080" s="10">
        <v>45673</v>
      </c>
      <c r="E4080" t="s">
        <v>5150</v>
      </c>
      <c r="F4080" s="11" t="s">
        <v>5151</v>
      </c>
      <c r="G4080" s="8">
        <v>0</v>
      </c>
      <c r="H4080" s="8">
        <v>381.94</v>
      </c>
      <c r="I4080" s="8">
        <f t="shared" si="205"/>
        <v>1141.31</v>
      </c>
      <c r="J4080" s="12"/>
    </row>
    <row r="4081" spans="1:10" x14ac:dyDescent="0.25">
      <c r="C4081" s="9"/>
      <c r="D4081" s="10">
        <v>45688</v>
      </c>
      <c r="E4081" t="s">
        <v>5152</v>
      </c>
      <c r="F4081" s="11" t="s">
        <v>5153</v>
      </c>
      <c r="G4081" s="8">
        <v>1021.19</v>
      </c>
      <c r="H4081" s="8">
        <v>0</v>
      </c>
      <c r="I4081" s="8">
        <f t="shared" si="205"/>
        <v>2162.5</v>
      </c>
      <c r="J4081" s="12"/>
    </row>
    <row r="4082" spans="1:10" x14ac:dyDescent="0.25">
      <c r="C4082" s="9"/>
      <c r="D4082" s="10">
        <v>45694</v>
      </c>
      <c r="E4082" t="s">
        <v>1524</v>
      </c>
      <c r="F4082" s="11" t="s">
        <v>5154</v>
      </c>
      <c r="G4082" s="8">
        <v>0</v>
      </c>
      <c r="H4082" s="8">
        <v>48.21</v>
      </c>
      <c r="I4082" s="8">
        <f t="shared" si="205"/>
        <v>2114.29</v>
      </c>
      <c r="J4082" s="12"/>
    </row>
    <row r="4083" spans="1:10" x14ac:dyDescent="0.25">
      <c r="C4083" s="9"/>
      <c r="D4083" s="10">
        <v>45702</v>
      </c>
      <c r="E4083" t="s">
        <v>5155</v>
      </c>
      <c r="F4083" s="11" t="s">
        <v>5156</v>
      </c>
      <c r="G4083" s="8">
        <v>298.74</v>
      </c>
      <c r="H4083" s="8">
        <v>0</v>
      </c>
      <c r="I4083" s="8">
        <f t="shared" si="205"/>
        <v>2413.0299999999997</v>
      </c>
      <c r="J4083" s="12"/>
    </row>
    <row r="4084" spans="1:10" x14ac:dyDescent="0.25">
      <c r="C4084" s="9"/>
      <c r="D4084" s="10">
        <v>45702</v>
      </c>
      <c r="E4084" t="s">
        <v>1524</v>
      </c>
      <c r="F4084" s="11" t="s">
        <v>5149</v>
      </c>
      <c r="G4084" s="8">
        <v>0</v>
      </c>
      <c r="H4084" s="8">
        <v>1093.0999999999999</v>
      </c>
      <c r="I4084" s="8">
        <f t="shared" si="205"/>
        <v>1319.9299999999998</v>
      </c>
      <c r="J4084" s="12"/>
    </row>
    <row r="4085" spans="1:10" x14ac:dyDescent="0.25">
      <c r="C4085" s="9"/>
      <c r="D4085" s="10">
        <v>45709</v>
      </c>
      <c r="E4085" t="s">
        <v>1524</v>
      </c>
      <c r="F4085" s="11" t="s">
        <v>5153</v>
      </c>
      <c r="G4085" s="8">
        <v>0</v>
      </c>
      <c r="H4085" s="8">
        <v>1021.19</v>
      </c>
      <c r="I4085" s="8">
        <f t="shared" si="205"/>
        <v>298.73999999999978</v>
      </c>
      <c r="J4085" s="12"/>
    </row>
    <row r="4086" spans="1:10" x14ac:dyDescent="0.25">
      <c r="C4086" s="9"/>
      <c r="D4086" s="10">
        <v>45716</v>
      </c>
      <c r="E4086" t="s">
        <v>5157</v>
      </c>
      <c r="F4086" s="11" t="s">
        <v>5158</v>
      </c>
      <c r="G4086" s="8">
        <v>404.09</v>
      </c>
      <c r="H4086" s="8">
        <v>0</v>
      </c>
      <c r="I4086" s="8">
        <f t="shared" si="205"/>
        <v>702.8299999999997</v>
      </c>
      <c r="J4086" s="12"/>
    </row>
    <row r="4087" spans="1:10" x14ac:dyDescent="0.25">
      <c r="C4087" s="9"/>
      <c r="D4087" s="10">
        <v>45730</v>
      </c>
      <c r="E4087" t="s">
        <v>5159</v>
      </c>
      <c r="F4087" s="11" t="s">
        <v>5160</v>
      </c>
      <c r="G4087" s="8">
        <v>230.63</v>
      </c>
      <c r="H4087" s="8">
        <v>0</v>
      </c>
      <c r="I4087" s="8">
        <f t="shared" si="205"/>
        <v>933.4599999999997</v>
      </c>
      <c r="J4087" s="12"/>
    </row>
    <row r="4088" spans="1:10" x14ac:dyDescent="0.25">
      <c r="C4088" s="9"/>
      <c r="D4088" s="10">
        <v>45733</v>
      </c>
      <c r="E4088" t="s">
        <v>1524</v>
      </c>
      <c r="F4088" s="11" t="s">
        <v>5156</v>
      </c>
      <c r="G4088" s="8">
        <v>0</v>
      </c>
      <c r="H4088" s="8">
        <v>298.74</v>
      </c>
      <c r="I4088" s="8">
        <f t="shared" si="205"/>
        <v>634.71999999999969</v>
      </c>
      <c r="J4088" s="12"/>
    </row>
    <row r="4089" spans="1:10" x14ac:dyDescent="0.25">
      <c r="C4089" s="9"/>
      <c r="D4089" s="10">
        <v>45744</v>
      </c>
      <c r="E4089" t="s">
        <v>1524</v>
      </c>
      <c r="F4089" s="11" t="s">
        <v>5158</v>
      </c>
      <c r="G4089" s="8">
        <v>0</v>
      </c>
      <c r="H4089" s="8">
        <v>404.09</v>
      </c>
      <c r="I4089" s="8">
        <f t="shared" si="205"/>
        <v>230.62999999999971</v>
      </c>
      <c r="J4089" s="12"/>
    </row>
    <row r="4090" spans="1:10" x14ac:dyDescent="0.25">
      <c r="C4090" s="9"/>
      <c r="D4090" s="10">
        <v>45747</v>
      </c>
      <c r="E4090" t="s">
        <v>5161</v>
      </c>
      <c r="F4090" s="11" t="s">
        <v>5162</v>
      </c>
      <c r="G4090" s="8">
        <v>219.22</v>
      </c>
      <c r="H4090" s="8">
        <v>0</v>
      </c>
      <c r="I4090" s="8">
        <f t="shared" si="205"/>
        <v>449.84999999999968</v>
      </c>
      <c r="J4090" s="12"/>
    </row>
    <row r="4091" spans="1:10" x14ac:dyDescent="0.25">
      <c r="C4091" s="9"/>
      <c r="D4091" s="10">
        <v>45757</v>
      </c>
      <c r="E4091" t="s">
        <v>1524</v>
      </c>
      <c r="F4091" s="11" t="s">
        <v>5160</v>
      </c>
      <c r="G4091" s="8">
        <v>0</v>
      </c>
      <c r="H4091" s="8">
        <v>230.63</v>
      </c>
      <c r="I4091" s="8">
        <f t="shared" si="205"/>
        <v>219.21999999999969</v>
      </c>
      <c r="J4091" s="12"/>
    </row>
    <row r="4092" spans="1:10" x14ac:dyDescent="0.25">
      <c r="E4092" s="4" t="s">
        <v>20</v>
      </c>
      <c r="G4092" s="8">
        <f>SUM(G4078:G4091)</f>
        <v>3697.1200000000003</v>
      </c>
      <c r="H4092" s="8">
        <f>SUM(H4078:H4091)</f>
        <v>3477.9000000000005</v>
      </c>
      <c r="I4092" s="8">
        <f>G4092-H4092</f>
        <v>219.2199999999998</v>
      </c>
    </row>
    <row r="4094" spans="1:10" x14ac:dyDescent="0.25">
      <c r="A4094" s="5">
        <v>4307565</v>
      </c>
      <c r="B4094" s="6" t="s">
        <v>5163</v>
      </c>
      <c r="C4094" s="7"/>
      <c r="D4094" s="7"/>
      <c r="E4094" s="7"/>
      <c r="F4094" s="7"/>
      <c r="G4094" s="7"/>
      <c r="H4094" s="7"/>
      <c r="I4094" s="7"/>
      <c r="J4094" s="7"/>
    </row>
    <row r="4095" spans="1:10" x14ac:dyDescent="0.25">
      <c r="E4095" s="4" t="s">
        <v>10</v>
      </c>
      <c r="G4095" s="8">
        <v>0</v>
      </c>
      <c r="H4095" s="8">
        <v>3.98</v>
      </c>
      <c r="I4095" s="8">
        <f>G4095-H4095</f>
        <v>-3.98</v>
      </c>
    </row>
    <row r="4096" spans="1:10" x14ac:dyDescent="0.25">
      <c r="C4096" s="9"/>
      <c r="D4096" s="10">
        <v>45659</v>
      </c>
      <c r="E4096" t="s">
        <v>5164</v>
      </c>
      <c r="F4096" s="11" t="s">
        <v>42</v>
      </c>
      <c r="G4096" s="8">
        <v>0</v>
      </c>
      <c r="H4096" s="8">
        <v>51.38</v>
      </c>
      <c r="I4096" s="8">
        <f t="shared" ref="I4096:I4104" si="206">G4096-H4096+I4095</f>
        <v>-55.36</v>
      </c>
      <c r="J4096" s="12"/>
    </row>
    <row r="4097" spans="1:10" x14ac:dyDescent="0.25">
      <c r="C4097" s="9"/>
      <c r="D4097" s="10">
        <v>45671</v>
      </c>
      <c r="E4097" t="s">
        <v>5165</v>
      </c>
      <c r="F4097" s="11" t="s">
        <v>5166</v>
      </c>
      <c r="G4097" s="8">
        <v>46.43</v>
      </c>
      <c r="H4097" s="8">
        <v>0</v>
      </c>
      <c r="I4097" s="8">
        <f t="shared" si="206"/>
        <v>-8.93</v>
      </c>
      <c r="J4097" s="12"/>
    </row>
    <row r="4098" spans="1:10" x14ac:dyDescent="0.25">
      <c r="C4098" s="9"/>
      <c r="D4098" s="10">
        <v>45672</v>
      </c>
      <c r="E4098" t="s">
        <v>5164</v>
      </c>
      <c r="F4098" s="11" t="s">
        <v>42</v>
      </c>
      <c r="G4098" s="8">
        <v>0</v>
      </c>
      <c r="H4098" s="8">
        <v>46.43</v>
      </c>
      <c r="I4098" s="8">
        <f t="shared" si="206"/>
        <v>-55.36</v>
      </c>
      <c r="J4098" s="12"/>
    </row>
    <row r="4099" spans="1:10" x14ac:dyDescent="0.25">
      <c r="C4099" s="9"/>
      <c r="D4099" s="10">
        <v>45688</v>
      </c>
      <c r="E4099" t="s">
        <v>5167</v>
      </c>
      <c r="F4099" s="11" t="s">
        <v>5168</v>
      </c>
      <c r="G4099" s="8">
        <v>96.3</v>
      </c>
      <c r="H4099" s="8">
        <v>0</v>
      </c>
      <c r="I4099" s="8">
        <f t="shared" si="206"/>
        <v>40.94</v>
      </c>
      <c r="J4099" s="12"/>
    </row>
    <row r="4100" spans="1:10" x14ac:dyDescent="0.25">
      <c r="C4100" s="9"/>
      <c r="D4100" s="10">
        <v>45691</v>
      </c>
      <c r="E4100" t="s">
        <v>5164</v>
      </c>
      <c r="F4100" s="11" t="s">
        <v>42</v>
      </c>
      <c r="G4100" s="8">
        <v>0</v>
      </c>
      <c r="H4100" s="8">
        <v>96.3</v>
      </c>
      <c r="I4100" s="8">
        <f t="shared" si="206"/>
        <v>-55.36</v>
      </c>
      <c r="J4100" s="12"/>
    </row>
    <row r="4101" spans="1:10" x14ac:dyDescent="0.25">
      <c r="C4101" s="9"/>
      <c r="D4101" s="10">
        <v>45716</v>
      </c>
      <c r="E4101" t="s">
        <v>5169</v>
      </c>
      <c r="F4101" s="11" t="s">
        <v>5170</v>
      </c>
      <c r="G4101" s="8">
        <v>130.44999999999999</v>
      </c>
      <c r="H4101" s="8">
        <v>0</v>
      </c>
      <c r="I4101" s="8">
        <f t="shared" si="206"/>
        <v>75.089999999999989</v>
      </c>
      <c r="J4101" s="12"/>
    </row>
    <row r="4102" spans="1:10" x14ac:dyDescent="0.25">
      <c r="C4102" s="9" t="s">
        <v>124</v>
      </c>
      <c r="D4102" s="10">
        <v>45719</v>
      </c>
      <c r="E4102" t="s">
        <v>5164</v>
      </c>
      <c r="F4102" s="11" t="s">
        <v>42</v>
      </c>
      <c r="G4102" s="8">
        <v>0</v>
      </c>
      <c r="H4102" s="8">
        <v>130.44999999999999</v>
      </c>
      <c r="I4102" s="8">
        <f t="shared" si="206"/>
        <v>-55.36</v>
      </c>
      <c r="J4102" s="12"/>
    </row>
    <row r="4103" spans="1:10" x14ac:dyDescent="0.25">
      <c r="C4103" s="9"/>
      <c r="D4103" s="10">
        <v>45730</v>
      </c>
      <c r="E4103" t="s">
        <v>5171</v>
      </c>
      <c r="F4103" s="11" t="s">
        <v>5172</v>
      </c>
      <c r="G4103" s="8">
        <v>73.69</v>
      </c>
      <c r="H4103" s="8">
        <v>0</v>
      </c>
      <c r="I4103" s="8">
        <f t="shared" si="206"/>
        <v>18.329999999999998</v>
      </c>
      <c r="J4103" s="12"/>
    </row>
    <row r="4104" spans="1:10" x14ac:dyDescent="0.25">
      <c r="C4104" s="9"/>
      <c r="D4104" s="10">
        <v>45733</v>
      </c>
      <c r="E4104" t="s">
        <v>5164</v>
      </c>
      <c r="F4104" s="11" t="s">
        <v>42</v>
      </c>
      <c r="G4104" s="8">
        <v>0</v>
      </c>
      <c r="H4104" s="8">
        <v>73.69</v>
      </c>
      <c r="I4104" s="8">
        <f t="shared" si="206"/>
        <v>-55.36</v>
      </c>
      <c r="J4104" s="12"/>
    </row>
    <row r="4105" spans="1:10" x14ac:dyDescent="0.25">
      <c r="E4105" s="4" t="s">
        <v>20</v>
      </c>
      <c r="G4105" s="8">
        <f>SUM(G4095:G4104)</f>
        <v>346.86999999999995</v>
      </c>
      <c r="H4105" s="8">
        <f>SUM(H4095:H4104)</f>
        <v>402.22999999999996</v>
      </c>
      <c r="I4105" s="8">
        <f>G4105-H4105</f>
        <v>-55.360000000000014</v>
      </c>
    </row>
    <row r="4107" spans="1:10" x14ac:dyDescent="0.25">
      <c r="A4107" s="5">
        <v>4307575</v>
      </c>
      <c r="B4107" s="6" t="s">
        <v>5173</v>
      </c>
      <c r="C4107" s="7"/>
      <c r="D4107" s="7"/>
      <c r="E4107" s="7"/>
      <c r="F4107" s="7"/>
      <c r="G4107" s="7"/>
      <c r="H4107" s="7"/>
      <c r="I4107" s="7"/>
      <c r="J4107" s="7"/>
    </row>
    <row r="4108" spans="1:10" x14ac:dyDescent="0.25">
      <c r="E4108" s="4" t="s">
        <v>10</v>
      </c>
      <c r="G4108" s="8">
        <v>14.1</v>
      </c>
      <c r="H4108" s="8">
        <v>0</v>
      </c>
      <c r="I4108" s="8">
        <f>G4108-H4108</f>
        <v>14.1</v>
      </c>
    </row>
    <row r="4109" spans="1:10" x14ac:dyDescent="0.25">
      <c r="C4109" s="9"/>
      <c r="D4109" s="10">
        <v>45688</v>
      </c>
      <c r="E4109" t="s">
        <v>5174</v>
      </c>
      <c r="F4109" s="11" t="s">
        <v>5175</v>
      </c>
      <c r="G4109" s="8">
        <v>53.24</v>
      </c>
      <c r="H4109" s="8">
        <v>0</v>
      </c>
      <c r="I4109" s="8">
        <f>G4109-H4109+I4108</f>
        <v>67.34</v>
      </c>
      <c r="J4109" s="12"/>
    </row>
    <row r="4110" spans="1:10" x14ac:dyDescent="0.25">
      <c r="C4110" s="9" t="s">
        <v>124</v>
      </c>
      <c r="D4110" s="10">
        <v>45691</v>
      </c>
      <c r="E4110" t="s">
        <v>5176</v>
      </c>
      <c r="F4110" s="11" t="s">
        <v>42</v>
      </c>
      <c r="G4110" s="8">
        <v>0</v>
      </c>
      <c r="H4110" s="8">
        <v>67.34</v>
      </c>
      <c r="I4110" s="8">
        <f>G4110-H4110+I4109</f>
        <v>0</v>
      </c>
      <c r="J4110" s="12"/>
    </row>
    <row r="4111" spans="1:10" x14ac:dyDescent="0.25">
      <c r="C4111" s="9"/>
      <c r="D4111" s="10">
        <v>45702</v>
      </c>
      <c r="E4111" t="s">
        <v>5177</v>
      </c>
      <c r="F4111" s="11" t="s">
        <v>5178</v>
      </c>
      <c r="G4111" s="8">
        <v>495.2</v>
      </c>
      <c r="H4111" s="8">
        <v>0</v>
      </c>
      <c r="I4111" s="8">
        <f>G4111-H4111+I4110</f>
        <v>495.2</v>
      </c>
      <c r="J4111" s="12"/>
    </row>
    <row r="4112" spans="1:10" x14ac:dyDescent="0.25">
      <c r="C4112" s="9"/>
      <c r="D4112" s="10">
        <v>45705</v>
      </c>
      <c r="E4112" t="s">
        <v>5179</v>
      </c>
      <c r="F4112" s="11" t="s">
        <v>42</v>
      </c>
      <c r="G4112" s="8">
        <v>0</v>
      </c>
      <c r="H4112" s="8">
        <v>495.2</v>
      </c>
      <c r="I4112" s="8">
        <f>G4112-H4112+I4111</f>
        <v>0</v>
      </c>
      <c r="J4112" s="12"/>
    </row>
    <row r="4113" spans="1:10" x14ac:dyDescent="0.25">
      <c r="C4113" s="9"/>
      <c r="D4113" s="10">
        <v>45762</v>
      </c>
      <c r="E4113" t="s">
        <v>5179</v>
      </c>
      <c r="F4113" s="11" t="s">
        <v>42</v>
      </c>
      <c r="G4113" s="8">
        <v>0</v>
      </c>
      <c r="H4113" s="8">
        <v>69.64</v>
      </c>
      <c r="I4113" s="8">
        <f>G4113-H4113+I4112</f>
        <v>-69.64</v>
      </c>
      <c r="J4113" s="12"/>
    </row>
    <row r="4114" spans="1:10" x14ac:dyDescent="0.25">
      <c r="E4114" s="4" t="s">
        <v>20</v>
      </c>
      <c r="G4114" s="8">
        <f>SUM(G4108:G4113)</f>
        <v>562.54</v>
      </c>
      <c r="H4114" s="8">
        <f>SUM(H4108:H4113)</f>
        <v>632.17999999999995</v>
      </c>
      <c r="I4114" s="8">
        <f>G4114-H4114</f>
        <v>-69.639999999999986</v>
      </c>
    </row>
    <row r="4116" spans="1:10" x14ac:dyDescent="0.25">
      <c r="A4116" s="5">
        <v>4307581</v>
      </c>
      <c r="B4116" s="6" t="s">
        <v>5180</v>
      </c>
      <c r="C4116" s="7"/>
      <c r="D4116" s="7"/>
      <c r="E4116" s="7"/>
      <c r="F4116" s="7"/>
      <c r="G4116" s="7"/>
      <c r="H4116" s="7"/>
      <c r="I4116" s="7"/>
      <c r="J4116" s="7"/>
    </row>
    <row r="4117" spans="1:10" x14ac:dyDescent="0.25">
      <c r="C4117" s="9"/>
      <c r="D4117" s="10">
        <v>45730</v>
      </c>
      <c r="E4117" t="s">
        <v>5181</v>
      </c>
      <c r="F4117" s="11" t="s">
        <v>5182</v>
      </c>
      <c r="G4117" s="8">
        <v>108.57</v>
      </c>
      <c r="H4117" s="8">
        <v>0</v>
      </c>
      <c r="I4117" s="8">
        <f>G4117-H4117</f>
        <v>108.57</v>
      </c>
      <c r="J4117" s="12"/>
    </row>
    <row r="4118" spans="1:10" x14ac:dyDescent="0.25">
      <c r="E4118" s="4" t="s">
        <v>20</v>
      </c>
      <c r="G4118" s="8">
        <f>G4117</f>
        <v>108.57</v>
      </c>
      <c r="H4118" s="8">
        <f>H4117</f>
        <v>0</v>
      </c>
      <c r="I4118" s="8">
        <f>G4118-H4118</f>
        <v>108.57</v>
      </c>
    </row>
    <row r="4120" spans="1:10" x14ac:dyDescent="0.25">
      <c r="A4120" s="5">
        <v>4307585</v>
      </c>
      <c r="B4120" s="6" t="s">
        <v>5183</v>
      </c>
      <c r="C4120" s="7"/>
      <c r="D4120" s="7"/>
      <c r="E4120" s="7"/>
      <c r="F4120" s="7"/>
      <c r="G4120" s="7"/>
      <c r="H4120" s="7"/>
      <c r="I4120" s="7"/>
      <c r="J4120" s="7"/>
    </row>
    <row r="4121" spans="1:10" x14ac:dyDescent="0.25">
      <c r="E4121" s="4" t="s">
        <v>10</v>
      </c>
      <c r="G4121" s="8">
        <v>378.49</v>
      </c>
      <c r="H4121" s="8">
        <v>0</v>
      </c>
      <c r="I4121" s="8">
        <f>G4121-H4121</f>
        <v>378.49</v>
      </c>
    </row>
    <row r="4122" spans="1:10" x14ac:dyDescent="0.25">
      <c r="C4122" s="9"/>
      <c r="D4122" s="10">
        <v>45671</v>
      </c>
      <c r="E4122" t="s">
        <v>5184</v>
      </c>
      <c r="F4122" s="11" t="s">
        <v>5185</v>
      </c>
      <c r="G4122" s="8">
        <v>367.45</v>
      </c>
      <c r="H4122" s="8">
        <v>0</v>
      </c>
      <c r="I4122" s="8">
        <f t="shared" ref="I4122:I4130" si="207">G4122-H4122+I4121</f>
        <v>745.94</v>
      </c>
      <c r="J4122" s="12"/>
    </row>
    <row r="4123" spans="1:10" x14ac:dyDescent="0.25">
      <c r="C4123" s="9"/>
      <c r="D4123" s="10">
        <v>45673</v>
      </c>
      <c r="E4123" t="s">
        <v>5186</v>
      </c>
      <c r="F4123" s="11" t="s">
        <v>5187</v>
      </c>
      <c r="G4123" s="8">
        <v>0</v>
      </c>
      <c r="H4123" s="8">
        <v>272.72000000000003</v>
      </c>
      <c r="I4123" s="8">
        <f t="shared" si="207"/>
        <v>473.22</v>
      </c>
      <c r="J4123" s="12"/>
    </row>
    <row r="4124" spans="1:10" x14ac:dyDescent="0.25">
      <c r="C4124" s="9"/>
      <c r="D4124" s="10">
        <v>45688</v>
      </c>
      <c r="E4124" t="s">
        <v>5188</v>
      </c>
      <c r="F4124" s="11" t="s">
        <v>5189</v>
      </c>
      <c r="G4124" s="8">
        <v>60.44</v>
      </c>
      <c r="H4124" s="8">
        <v>0</v>
      </c>
      <c r="I4124" s="8">
        <f t="shared" si="207"/>
        <v>533.66000000000008</v>
      </c>
      <c r="J4124" s="12"/>
    </row>
    <row r="4125" spans="1:10" x14ac:dyDescent="0.25">
      <c r="C4125" s="9"/>
      <c r="D4125" s="10">
        <v>45688</v>
      </c>
      <c r="E4125" t="s">
        <v>1524</v>
      </c>
      <c r="F4125" s="11" t="s">
        <v>5190</v>
      </c>
      <c r="G4125" s="8">
        <v>0</v>
      </c>
      <c r="H4125" s="8">
        <v>105.77</v>
      </c>
      <c r="I4125" s="8">
        <f t="shared" si="207"/>
        <v>427.8900000000001</v>
      </c>
      <c r="J4125" s="12"/>
    </row>
    <row r="4126" spans="1:10" x14ac:dyDescent="0.25">
      <c r="C4126" s="9"/>
      <c r="D4126" s="10">
        <v>45706</v>
      </c>
      <c r="E4126" t="s">
        <v>1524</v>
      </c>
      <c r="F4126" s="11" t="s">
        <v>5185</v>
      </c>
      <c r="G4126" s="8">
        <v>0</v>
      </c>
      <c r="H4126" s="8">
        <v>367.45</v>
      </c>
      <c r="I4126" s="8">
        <f t="shared" si="207"/>
        <v>60.440000000000111</v>
      </c>
      <c r="J4126" s="12"/>
    </row>
    <row r="4127" spans="1:10" x14ac:dyDescent="0.25">
      <c r="C4127" s="9"/>
      <c r="D4127" s="10">
        <v>45716</v>
      </c>
      <c r="E4127" t="s">
        <v>5191</v>
      </c>
      <c r="F4127" s="11" t="s">
        <v>5192</v>
      </c>
      <c r="G4127" s="8">
        <v>90.02</v>
      </c>
      <c r="H4127" s="8">
        <v>0</v>
      </c>
      <c r="I4127" s="8">
        <f t="shared" si="207"/>
        <v>150.46000000000009</v>
      </c>
      <c r="J4127" s="12"/>
    </row>
    <row r="4128" spans="1:10" x14ac:dyDescent="0.25">
      <c r="C4128" s="9"/>
      <c r="D4128" s="10">
        <v>45719</v>
      </c>
      <c r="E4128" t="s">
        <v>1524</v>
      </c>
      <c r="F4128" s="11" t="s">
        <v>5189</v>
      </c>
      <c r="G4128" s="8">
        <v>0</v>
      </c>
      <c r="H4128" s="8">
        <v>60.44</v>
      </c>
      <c r="I4128" s="8">
        <f t="shared" si="207"/>
        <v>90.020000000000095</v>
      </c>
      <c r="J4128" s="12"/>
    </row>
    <row r="4129" spans="1:10" x14ac:dyDescent="0.25">
      <c r="C4129" s="9"/>
      <c r="D4129" s="10">
        <v>45730</v>
      </c>
      <c r="E4129" t="s">
        <v>5193</v>
      </c>
      <c r="F4129" s="11" t="s">
        <v>5194</v>
      </c>
      <c r="G4129" s="8">
        <v>61.07</v>
      </c>
      <c r="H4129" s="8">
        <v>0</v>
      </c>
      <c r="I4129" s="8">
        <f t="shared" si="207"/>
        <v>151.09000000000009</v>
      </c>
      <c r="J4129" s="12"/>
    </row>
    <row r="4130" spans="1:10" x14ac:dyDescent="0.25">
      <c r="C4130" s="9"/>
      <c r="D4130" s="10">
        <v>45749</v>
      </c>
      <c r="E4130" t="s">
        <v>1524</v>
      </c>
      <c r="F4130" s="11" t="s">
        <v>5192</v>
      </c>
      <c r="G4130" s="8">
        <v>0</v>
      </c>
      <c r="H4130" s="8">
        <v>90.02</v>
      </c>
      <c r="I4130" s="8">
        <f t="shared" si="207"/>
        <v>61.070000000000093</v>
      </c>
      <c r="J4130" s="12"/>
    </row>
    <row r="4131" spans="1:10" x14ac:dyDescent="0.25">
      <c r="E4131" s="4" t="s">
        <v>20</v>
      </c>
      <c r="G4131" s="8">
        <f>SUM(G4121:G4130)</f>
        <v>957.47000000000014</v>
      </c>
      <c r="H4131" s="8">
        <f>SUM(H4121:H4130)</f>
        <v>896.40000000000009</v>
      </c>
      <c r="I4131" s="8">
        <f>G4131-H4131</f>
        <v>61.07000000000005</v>
      </c>
    </row>
    <row r="4133" spans="1:10" x14ac:dyDescent="0.25">
      <c r="A4133" s="5">
        <v>4307590</v>
      </c>
      <c r="B4133" s="6" t="s">
        <v>5195</v>
      </c>
      <c r="C4133" s="7"/>
      <c r="D4133" s="7"/>
      <c r="E4133" s="7"/>
      <c r="F4133" s="7"/>
      <c r="G4133" s="7"/>
      <c r="H4133" s="7"/>
      <c r="I4133" s="7"/>
      <c r="J4133" s="7"/>
    </row>
    <row r="4134" spans="1:10" x14ac:dyDescent="0.25">
      <c r="E4134" s="4" t="s">
        <v>10</v>
      </c>
      <c r="G4134" s="8">
        <v>305.74</v>
      </c>
      <c r="H4134" s="8">
        <v>0</v>
      </c>
      <c r="I4134" s="8">
        <f>G4134-H4134</f>
        <v>305.74</v>
      </c>
    </row>
    <row r="4135" spans="1:10" x14ac:dyDescent="0.25">
      <c r="C4135" s="9"/>
      <c r="D4135" s="10">
        <v>45666</v>
      </c>
      <c r="E4135" t="s">
        <v>5196</v>
      </c>
      <c r="F4135" s="11" t="s">
        <v>42</v>
      </c>
      <c r="G4135" s="8">
        <v>0</v>
      </c>
      <c r="H4135" s="8">
        <v>248.29</v>
      </c>
      <c r="I4135" s="8">
        <f t="shared" ref="I4135:I4145" si="208">G4135-H4135+I4134</f>
        <v>57.450000000000017</v>
      </c>
      <c r="J4135" s="12"/>
    </row>
    <row r="4136" spans="1:10" x14ac:dyDescent="0.25">
      <c r="C4136" s="9"/>
      <c r="D4136" s="10">
        <v>45671</v>
      </c>
      <c r="E4136" t="s">
        <v>5197</v>
      </c>
      <c r="F4136" s="11" t="s">
        <v>5198</v>
      </c>
      <c r="G4136" s="8">
        <v>49.84</v>
      </c>
      <c r="H4136" s="8">
        <v>0</v>
      </c>
      <c r="I4136" s="8">
        <f t="shared" si="208"/>
        <v>107.29000000000002</v>
      </c>
      <c r="J4136" s="12"/>
    </row>
    <row r="4137" spans="1:10" x14ac:dyDescent="0.25">
      <c r="C4137" s="9"/>
      <c r="D4137" s="10">
        <v>45679</v>
      </c>
      <c r="E4137" t="s">
        <v>5196</v>
      </c>
      <c r="F4137" s="11" t="s">
        <v>5199</v>
      </c>
      <c r="G4137" s="8">
        <v>0</v>
      </c>
      <c r="H4137" s="8">
        <v>45.74</v>
      </c>
      <c r="I4137" s="8">
        <f t="shared" si="208"/>
        <v>61.550000000000018</v>
      </c>
      <c r="J4137" s="12"/>
    </row>
    <row r="4138" spans="1:10" x14ac:dyDescent="0.25">
      <c r="C4138" s="9"/>
      <c r="D4138" s="10">
        <v>45688</v>
      </c>
      <c r="E4138" t="s">
        <v>5200</v>
      </c>
      <c r="F4138" s="11" t="s">
        <v>5201</v>
      </c>
      <c r="G4138" s="8">
        <v>562.42999999999995</v>
      </c>
      <c r="H4138" s="8">
        <v>0</v>
      </c>
      <c r="I4138" s="8">
        <f t="shared" si="208"/>
        <v>623.98</v>
      </c>
      <c r="J4138" s="12"/>
    </row>
    <row r="4139" spans="1:10" x14ac:dyDescent="0.25">
      <c r="C4139" s="9"/>
      <c r="D4139" s="10">
        <v>45700</v>
      </c>
      <c r="E4139" t="s">
        <v>1524</v>
      </c>
      <c r="F4139" s="11" t="s">
        <v>5202</v>
      </c>
      <c r="G4139" s="8">
        <v>0</v>
      </c>
      <c r="H4139" s="8">
        <v>11.71</v>
      </c>
      <c r="I4139" s="8">
        <f t="shared" si="208"/>
        <v>612.27</v>
      </c>
      <c r="J4139" s="12"/>
    </row>
    <row r="4140" spans="1:10" x14ac:dyDescent="0.25">
      <c r="C4140" s="9"/>
      <c r="D4140" s="10">
        <v>45702</v>
      </c>
      <c r="E4140" t="s">
        <v>5203</v>
      </c>
      <c r="F4140" s="11" t="s">
        <v>5204</v>
      </c>
      <c r="G4140" s="8">
        <v>487.63</v>
      </c>
      <c r="H4140" s="8">
        <v>0</v>
      </c>
      <c r="I4140" s="8">
        <f t="shared" si="208"/>
        <v>1099.9000000000001</v>
      </c>
      <c r="J4140" s="12"/>
    </row>
    <row r="4141" spans="1:10" x14ac:dyDescent="0.25">
      <c r="C4141" s="9"/>
      <c r="D4141" s="10">
        <v>45715</v>
      </c>
      <c r="E4141" t="s">
        <v>1524</v>
      </c>
      <c r="F4141" s="11" t="s">
        <v>5198</v>
      </c>
      <c r="G4141" s="8">
        <v>0</v>
      </c>
      <c r="H4141" s="8">
        <v>49.84</v>
      </c>
      <c r="I4141" s="8">
        <f t="shared" si="208"/>
        <v>1050.0600000000002</v>
      </c>
      <c r="J4141" s="12"/>
    </row>
    <row r="4142" spans="1:10" x14ac:dyDescent="0.25">
      <c r="C4142" s="9"/>
      <c r="D4142" s="10">
        <v>45730</v>
      </c>
      <c r="E4142" t="s">
        <v>5205</v>
      </c>
      <c r="F4142" s="11" t="s">
        <v>5206</v>
      </c>
      <c r="G4142" s="8">
        <v>1262.1500000000001</v>
      </c>
      <c r="H4142" s="8">
        <v>0</v>
      </c>
      <c r="I4142" s="8">
        <f t="shared" si="208"/>
        <v>2312.21</v>
      </c>
      <c r="J4142" s="12"/>
    </row>
    <row r="4143" spans="1:10" x14ac:dyDescent="0.25">
      <c r="C4143" s="9"/>
      <c r="D4143" s="10">
        <v>45730</v>
      </c>
      <c r="E4143" t="s">
        <v>1524</v>
      </c>
      <c r="F4143" s="11" t="s">
        <v>5201</v>
      </c>
      <c r="G4143" s="8">
        <v>0</v>
      </c>
      <c r="H4143" s="8">
        <v>562.42999999999995</v>
      </c>
      <c r="I4143" s="8">
        <f t="shared" si="208"/>
        <v>1749.7800000000002</v>
      </c>
      <c r="J4143" s="12"/>
    </row>
    <row r="4144" spans="1:10" x14ac:dyDescent="0.25">
      <c r="C4144" s="9"/>
      <c r="D4144" s="10">
        <v>45734</v>
      </c>
      <c r="E4144" t="s">
        <v>1524</v>
      </c>
      <c r="F4144" s="11" t="s">
        <v>5204</v>
      </c>
      <c r="G4144" s="8">
        <v>0</v>
      </c>
      <c r="H4144" s="8">
        <v>487.63</v>
      </c>
      <c r="I4144" s="8">
        <f t="shared" si="208"/>
        <v>1262.1500000000001</v>
      </c>
      <c r="J4144" s="12"/>
    </row>
    <row r="4145" spans="1:10" x14ac:dyDescent="0.25">
      <c r="C4145" s="9"/>
      <c r="D4145" s="10">
        <v>45747</v>
      </c>
      <c r="E4145" t="s">
        <v>5207</v>
      </c>
      <c r="F4145" s="11" t="s">
        <v>5208</v>
      </c>
      <c r="G4145" s="8">
        <v>169.35</v>
      </c>
      <c r="H4145" s="8">
        <v>0</v>
      </c>
      <c r="I4145" s="8">
        <f t="shared" si="208"/>
        <v>1431.5</v>
      </c>
      <c r="J4145" s="12"/>
    </row>
    <row r="4146" spans="1:10" x14ac:dyDescent="0.25">
      <c r="E4146" s="4" t="s">
        <v>20</v>
      </c>
      <c r="G4146" s="8">
        <f>SUM(G4134:G4145)</f>
        <v>2837.14</v>
      </c>
      <c r="H4146" s="8">
        <f>SUM(H4134:H4145)</f>
        <v>1405.6399999999999</v>
      </c>
      <c r="I4146" s="8">
        <f>G4146-H4146</f>
        <v>1431.5</v>
      </c>
    </row>
    <row r="4148" spans="1:10" x14ac:dyDescent="0.25">
      <c r="A4148" s="5">
        <v>4307591</v>
      </c>
      <c r="B4148" s="6" t="s">
        <v>5209</v>
      </c>
      <c r="C4148" s="7"/>
      <c r="D4148" s="7"/>
      <c r="E4148" s="7"/>
      <c r="F4148" s="7"/>
      <c r="G4148" s="7"/>
      <c r="H4148" s="7"/>
      <c r="I4148" s="7"/>
      <c r="J4148" s="7"/>
    </row>
    <row r="4149" spans="1:10" x14ac:dyDescent="0.25">
      <c r="C4149" s="9"/>
      <c r="D4149" s="10">
        <v>45747</v>
      </c>
      <c r="E4149" t="s">
        <v>5210</v>
      </c>
      <c r="F4149" s="11" t="s">
        <v>5211</v>
      </c>
      <c r="G4149" s="8">
        <v>645.83000000000004</v>
      </c>
      <c r="H4149" s="8">
        <v>0</v>
      </c>
      <c r="I4149" s="8">
        <f>G4149-H4149</f>
        <v>645.83000000000004</v>
      </c>
      <c r="J4149" s="12"/>
    </row>
    <row r="4150" spans="1:10" x14ac:dyDescent="0.25">
      <c r="E4150" s="4" t="s">
        <v>20</v>
      </c>
      <c r="G4150" s="8">
        <f>G4149</f>
        <v>645.83000000000004</v>
      </c>
      <c r="H4150" s="8">
        <f>H4149</f>
        <v>0</v>
      </c>
      <c r="I4150" s="8">
        <f>G4150-H4150</f>
        <v>645.83000000000004</v>
      </c>
    </row>
    <row r="4152" spans="1:10" x14ac:dyDescent="0.25">
      <c r="A4152" s="5">
        <v>4307595</v>
      </c>
      <c r="B4152" s="6" t="s">
        <v>5212</v>
      </c>
      <c r="C4152" s="7"/>
      <c r="D4152" s="7"/>
      <c r="E4152" s="7"/>
      <c r="F4152" s="7"/>
      <c r="G4152" s="7"/>
      <c r="H4152" s="7"/>
      <c r="I4152" s="7"/>
      <c r="J4152" s="7"/>
    </row>
    <row r="4153" spans="1:10" x14ac:dyDescent="0.25">
      <c r="E4153" s="4" t="s">
        <v>10</v>
      </c>
      <c r="G4153" s="8">
        <v>121.46</v>
      </c>
      <c r="H4153" s="8">
        <v>0</v>
      </c>
      <c r="I4153" s="8">
        <f>G4153-H4153</f>
        <v>121.46</v>
      </c>
    </row>
    <row r="4154" spans="1:10" x14ac:dyDescent="0.25">
      <c r="C4154" s="9" t="s">
        <v>124</v>
      </c>
      <c r="D4154" s="10">
        <v>45663</v>
      </c>
      <c r="E4154" t="s">
        <v>5213</v>
      </c>
      <c r="F4154" s="11" t="s">
        <v>5214</v>
      </c>
      <c r="G4154" s="8">
        <v>831.09</v>
      </c>
      <c r="H4154" s="8">
        <v>0</v>
      </c>
      <c r="I4154" s="8">
        <f t="shared" ref="I4154:I4167" si="209">G4154-H4154+I4153</f>
        <v>952.55000000000007</v>
      </c>
      <c r="J4154" s="12"/>
    </row>
    <row r="4155" spans="1:10" x14ac:dyDescent="0.25">
      <c r="C4155" s="9"/>
      <c r="D4155" s="10">
        <v>45687</v>
      </c>
      <c r="E4155" t="s">
        <v>4850</v>
      </c>
      <c r="F4155" s="11" t="s">
        <v>42</v>
      </c>
      <c r="G4155" s="8">
        <v>79.38</v>
      </c>
      <c r="H4155" s="8">
        <v>0</v>
      </c>
      <c r="I4155" s="8">
        <f t="shared" si="209"/>
        <v>1031.93</v>
      </c>
      <c r="J4155" s="12"/>
    </row>
    <row r="4156" spans="1:10" x14ac:dyDescent="0.25">
      <c r="C4156" s="9"/>
      <c r="D4156" s="10">
        <v>45698</v>
      </c>
      <c r="E4156" t="s">
        <v>1524</v>
      </c>
      <c r="F4156" s="11" t="s">
        <v>5215</v>
      </c>
      <c r="G4156" s="8">
        <v>0</v>
      </c>
      <c r="H4156" s="8">
        <v>79.38</v>
      </c>
      <c r="I4156" s="8">
        <f t="shared" si="209"/>
        <v>952.55000000000007</v>
      </c>
      <c r="J4156" s="12"/>
    </row>
    <row r="4157" spans="1:10" x14ac:dyDescent="0.25">
      <c r="C4157" s="9"/>
      <c r="D4157" s="10">
        <v>45698</v>
      </c>
      <c r="E4157" t="s">
        <v>5216</v>
      </c>
      <c r="F4157" s="11" t="s">
        <v>42</v>
      </c>
      <c r="G4157" s="8">
        <v>0</v>
      </c>
      <c r="H4157" s="8">
        <v>134.88999999999999</v>
      </c>
      <c r="I4157" s="8">
        <f t="shared" si="209"/>
        <v>817.66000000000008</v>
      </c>
      <c r="J4157" s="12"/>
    </row>
    <row r="4158" spans="1:10" x14ac:dyDescent="0.25">
      <c r="C4158" s="9"/>
      <c r="D4158" s="10">
        <v>45702</v>
      </c>
      <c r="E4158" t="s">
        <v>5217</v>
      </c>
      <c r="F4158" s="11" t="s">
        <v>5218</v>
      </c>
      <c r="G4158" s="8">
        <v>39.39</v>
      </c>
      <c r="H4158" s="8">
        <v>0</v>
      </c>
      <c r="I4158" s="8">
        <f t="shared" si="209"/>
        <v>857.05000000000007</v>
      </c>
      <c r="J4158" s="12"/>
    </row>
    <row r="4159" spans="1:10" x14ac:dyDescent="0.25">
      <c r="C4159" s="9"/>
      <c r="D4159" s="10">
        <v>45705</v>
      </c>
      <c r="E4159" t="s">
        <v>5219</v>
      </c>
      <c r="F4159" s="11" t="s">
        <v>42</v>
      </c>
      <c r="G4159" s="8">
        <v>0</v>
      </c>
      <c r="H4159" s="8">
        <v>39.39</v>
      </c>
      <c r="I4159" s="8">
        <f t="shared" si="209"/>
        <v>817.66000000000008</v>
      </c>
      <c r="J4159" s="12"/>
    </row>
    <row r="4160" spans="1:10" x14ac:dyDescent="0.25">
      <c r="C4160" s="9" t="s">
        <v>124</v>
      </c>
      <c r="D4160" s="10">
        <v>45715</v>
      </c>
      <c r="E4160" t="s">
        <v>5220</v>
      </c>
      <c r="F4160" s="11" t="s">
        <v>42</v>
      </c>
      <c r="G4160" s="8">
        <v>102.33</v>
      </c>
      <c r="H4160" s="8">
        <v>0</v>
      </c>
      <c r="I4160" s="8">
        <f t="shared" si="209"/>
        <v>919.99000000000012</v>
      </c>
      <c r="J4160" s="12"/>
    </row>
    <row r="4161" spans="1:10" x14ac:dyDescent="0.25">
      <c r="C4161" s="9"/>
      <c r="D4161" s="10">
        <v>45716</v>
      </c>
      <c r="E4161" t="s">
        <v>5221</v>
      </c>
      <c r="F4161" s="11" t="s">
        <v>5222</v>
      </c>
      <c r="G4161" s="8">
        <v>55.26</v>
      </c>
      <c r="H4161" s="8">
        <v>0</v>
      </c>
      <c r="I4161" s="8">
        <f t="shared" si="209"/>
        <v>975.25000000000011</v>
      </c>
      <c r="J4161" s="12"/>
    </row>
    <row r="4162" spans="1:10" x14ac:dyDescent="0.25">
      <c r="C4162" s="9"/>
      <c r="D4162" s="10">
        <v>45716</v>
      </c>
      <c r="E4162" t="s">
        <v>3260</v>
      </c>
      <c r="F4162" s="11" t="s">
        <v>42</v>
      </c>
      <c r="G4162" s="8">
        <v>103.56</v>
      </c>
      <c r="H4162" s="8">
        <v>0</v>
      </c>
      <c r="I4162" s="8">
        <f t="shared" si="209"/>
        <v>1078.8100000000002</v>
      </c>
      <c r="J4162" s="12"/>
    </row>
    <row r="4163" spans="1:10" x14ac:dyDescent="0.25">
      <c r="C4163" s="9"/>
      <c r="D4163" s="10">
        <v>45730</v>
      </c>
      <c r="E4163" t="s">
        <v>5223</v>
      </c>
      <c r="F4163" s="11" t="s">
        <v>5224</v>
      </c>
      <c r="G4163" s="8">
        <v>226.92</v>
      </c>
      <c r="H4163" s="8">
        <v>0</v>
      </c>
      <c r="I4163" s="8">
        <f t="shared" si="209"/>
        <v>1305.7300000000002</v>
      </c>
      <c r="J4163" s="12"/>
    </row>
    <row r="4164" spans="1:10" x14ac:dyDescent="0.25">
      <c r="C4164" s="9"/>
      <c r="D4164" s="10">
        <v>45733</v>
      </c>
      <c r="E4164" t="s">
        <v>5219</v>
      </c>
      <c r="F4164" s="11" t="s">
        <v>42</v>
      </c>
      <c r="G4164" s="8">
        <v>0</v>
      </c>
      <c r="H4164" s="8">
        <v>55.26</v>
      </c>
      <c r="I4164" s="8">
        <f t="shared" si="209"/>
        <v>1250.4700000000003</v>
      </c>
      <c r="J4164" s="12"/>
    </row>
    <row r="4165" spans="1:10" x14ac:dyDescent="0.25">
      <c r="C4165" s="9"/>
      <c r="D4165" s="10">
        <v>45733</v>
      </c>
      <c r="E4165" t="s">
        <v>5219</v>
      </c>
      <c r="F4165" s="11" t="s">
        <v>42</v>
      </c>
      <c r="G4165" s="8">
        <v>0</v>
      </c>
      <c r="H4165" s="8">
        <v>226.92</v>
      </c>
      <c r="I4165" s="8">
        <f t="shared" si="209"/>
        <v>1023.5500000000003</v>
      </c>
      <c r="J4165" s="12"/>
    </row>
    <row r="4166" spans="1:10" x14ac:dyDescent="0.25">
      <c r="C4166" s="9"/>
      <c r="D4166" s="10">
        <v>45750</v>
      </c>
      <c r="E4166" t="s">
        <v>5216</v>
      </c>
      <c r="F4166" s="11" t="s">
        <v>42</v>
      </c>
      <c r="G4166" s="8">
        <v>0</v>
      </c>
      <c r="H4166" s="8">
        <v>259.08999999999997</v>
      </c>
      <c r="I4166" s="8">
        <f t="shared" si="209"/>
        <v>764.46000000000026</v>
      </c>
      <c r="J4166" s="12"/>
    </row>
    <row r="4167" spans="1:10" x14ac:dyDescent="0.25">
      <c r="C4167" s="9"/>
      <c r="D4167" s="10">
        <v>45762</v>
      </c>
      <c r="E4167" t="s">
        <v>5219</v>
      </c>
      <c r="F4167" s="11" t="s">
        <v>42</v>
      </c>
      <c r="G4167" s="8">
        <v>0</v>
      </c>
      <c r="H4167" s="8">
        <v>70.02</v>
      </c>
      <c r="I4167" s="8">
        <f t="shared" si="209"/>
        <v>694.44000000000028</v>
      </c>
      <c r="J4167" s="12"/>
    </row>
    <row r="4168" spans="1:10" x14ac:dyDescent="0.25">
      <c r="E4168" s="4" t="s">
        <v>20</v>
      </c>
      <c r="G4168" s="8">
        <f>SUM(G4153:G4167)</f>
        <v>1559.39</v>
      </c>
      <c r="H4168" s="8">
        <f>SUM(H4153:H4167)</f>
        <v>864.94999999999982</v>
      </c>
      <c r="I4168" s="8">
        <f>G4168-H4168</f>
        <v>694.44000000000028</v>
      </c>
    </row>
    <row r="4170" spans="1:10" x14ac:dyDescent="0.25">
      <c r="A4170" s="5">
        <v>4307600</v>
      </c>
      <c r="B4170" s="6" t="s">
        <v>5225</v>
      </c>
      <c r="C4170" s="7"/>
      <c r="D4170" s="7"/>
      <c r="E4170" s="7"/>
      <c r="F4170" s="7"/>
      <c r="G4170" s="7"/>
      <c r="H4170" s="7"/>
      <c r="I4170" s="7"/>
      <c r="J4170" s="7"/>
    </row>
    <row r="4171" spans="1:10" x14ac:dyDescent="0.25">
      <c r="E4171" s="4" t="s">
        <v>10</v>
      </c>
      <c r="G4171" s="8">
        <v>258.14999999999998</v>
      </c>
      <c r="H4171" s="8">
        <v>0</v>
      </c>
      <c r="I4171" s="8">
        <f>G4171-H4171</f>
        <v>258.14999999999998</v>
      </c>
    </row>
    <row r="4172" spans="1:10" x14ac:dyDescent="0.25">
      <c r="C4172" s="9"/>
      <c r="D4172" s="10">
        <v>45670</v>
      </c>
      <c r="E4172" t="s">
        <v>5226</v>
      </c>
      <c r="F4172" s="11" t="s">
        <v>5227</v>
      </c>
      <c r="G4172" s="8">
        <v>0</v>
      </c>
      <c r="H4172" s="8">
        <v>96.52</v>
      </c>
      <c r="I4172" s="8">
        <f t="shared" ref="I4172:I4180" si="210">G4172-H4172+I4171</f>
        <v>161.63</v>
      </c>
      <c r="J4172" s="12"/>
    </row>
    <row r="4173" spans="1:10" x14ac:dyDescent="0.25">
      <c r="C4173" s="9"/>
      <c r="D4173" s="10">
        <v>45671</v>
      </c>
      <c r="E4173" t="s">
        <v>5228</v>
      </c>
      <c r="F4173" s="11" t="s">
        <v>5229</v>
      </c>
      <c r="G4173" s="8">
        <v>44.87</v>
      </c>
      <c r="H4173" s="8">
        <v>0</v>
      </c>
      <c r="I4173" s="8">
        <f t="shared" si="210"/>
        <v>206.5</v>
      </c>
      <c r="J4173" s="12"/>
    </row>
    <row r="4174" spans="1:10" x14ac:dyDescent="0.25">
      <c r="C4174" s="9"/>
      <c r="D4174" s="10">
        <v>45688</v>
      </c>
      <c r="E4174" t="s">
        <v>1524</v>
      </c>
      <c r="F4174" s="11" t="s">
        <v>5230</v>
      </c>
      <c r="G4174" s="8">
        <v>0</v>
      </c>
      <c r="H4174" s="8">
        <v>161.63</v>
      </c>
      <c r="I4174" s="8">
        <f t="shared" si="210"/>
        <v>44.870000000000005</v>
      </c>
      <c r="J4174" s="12"/>
    </row>
    <row r="4175" spans="1:10" x14ac:dyDescent="0.25">
      <c r="C4175" s="9"/>
      <c r="D4175" s="10">
        <v>45702</v>
      </c>
      <c r="E4175" t="s">
        <v>5231</v>
      </c>
      <c r="F4175" s="11" t="s">
        <v>5232</v>
      </c>
      <c r="G4175" s="8">
        <v>38.049999999999997</v>
      </c>
      <c r="H4175" s="8">
        <v>0</v>
      </c>
      <c r="I4175" s="8">
        <f t="shared" si="210"/>
        <v>82.92</v>
      </c>
      <c r="J4175" s="12"/>
    </row>
    <row r="4176" spans="1:10" x14ac:dyDescent="0.25">
      <c r="C4176" s="9"/>
      <c r="D4176" s="10">
        <v>45705</v>
      </c>
      <c r="E4176" t="s">
        <v>1524</v>
      </c>
      <c r="F4176" s="11" t="s">
        <v>5229</v>
      </c>
      <c r="G4176" s="8">
        <v>0</v>
      </c>
      <c r="H4176" s="8">
        <v>44.87</v>
      </c>
      <c r="I4176" s="8">
        <f t="shared" si="210"/>
        <v>38.050000000000004</v>
      </c>
      <c r="J4176" s="12"/>
    </row>
    <row r="4177" spans="1:10" x14ac:dyDescent="0.25">
      <c r="C4177" s="9"/>
      <c r="D4177" s="10">
        <v>45716</v>
      </c>
      <c r="E4177" t="s">
        <v>5233</v>
      </c>
      <c r="F4177" s="11" t="s">
        <v>5234</v>
      </c>
      <c r="G4177" s="8">
        <v>442.19</v>
      </c>
      <c r="H4177" s="8">
        <v>0</v>
      </c>
      <c r="I4177" s="8">
        <f t="shared" si="210"/>
        <v>480.24</v>
      </c>
      <c r="J4177" s="12"/>
    </row>
    <row r="4178" spans="1:10" x14ac:dyDescent="0.25">
      <c r="C4178" s="9"/>
      <c r="D4178" s="10">
        <v>45730</v>
      </c>
      <c r="E4178" t="s">
        <v>5235</v>
      </c>
      <c r="F4178" s="11" t="s">
        <v>5236</v>
      </c>
      <c r="G4178" s="8">
        <v>482.81</v>
      </c>
      <c r="H4178" s="8">
        <v>0</v>
      </c>
      <c r="I4178" s="8">
        <f t="shared" si="210"/>
        <v>963.05</v>
      </c>
      <c r="J4178" s="12"/>
    </row>
    <row r="4179" spans="1:10" x14ac:dyDescent="0.25">
      <c r="C4179" s="9"/>
      <c r="D4179" s="10">
        <v>45741</v>
      </c>
      <c r="E4179" t="s">
        <v>1524</v>
      </c>
      <c r="F4179" s="11" t="s">
        <v>5232</v>
      </c>
      <c r="G4179" s="8">
        <v>0</v>
      </c>
      <c r="H4179" s="8">
        <v>38.049999999999997</v>
      </c>
      <c r="I4179" s="8">
        <f t="shared" si="210"/>
        <v>925</v>
      </c>
      <c r="J4179" s="12"/>
    </row>
    <row r="4180" spans="1:10" x14ac:dyDescent="0.25">
      <c r="C4180" s="9"/>
      <c r="D4180" s="10">
        <v>45744</v>
      </c>
      <c r="E4180" t="s">
        <v>1524</v>
      </c>
      <c r="F4180" s="11" t="s">
        <v>5234</v>
      </c>
      <c r="G4180" s="8">
        <v>0</v>
      </c>
      <c r="H4180" s="8">
        <v>442.19</v>
      </c>
      <c r="I4180" s="8">
        <f t="shared" si="210"/>
        <v>482.81</v>
      </c>
      <c r="J4180" s="12"/>
    </row>
    <row r="4181" spans="1:10" x14ac:dyDescent="0.25">
      <c r="E4181" s="4" t="s">
        <v>20</v>
      </c>
      <c r="G4181" s="8">
        <f>SUM(G4171:G4180)</f>
        <v>1266.07</v>
      </c>
      <c r="H4181" s="8">
        <f>SUM(H4171:H4180)</f>
        <v>783.26</v>
      </c>
      <c r="I4181" s="8">
        <f>G4181-H4181</f>
        <v>482.80999999999995</v>
      </c>
    </row>
    <row r="4183" spans="1:10" x14ac:dyDescent="0.25">
      <c r="A4183" s="5">
        <v>4307601</v>
      </c>
      <c r="B4183" s="6" t="s">
        <v>5237</v>
      </c>
      <c r="C4183" s="7"/>
      <c r="D4183" s="7"/>
      <c r="E4183" s="7"/>
      <c r="F4183" s="7"/>
      <c r="G4183" s="7"/>
      <c r="H4183" s="7"/>
      <c r="I4183" s="7"/>
      <c r="J4183" s="7"/>
    </row>
    <row r="4184" spans="1:10" x14ac:dyDescent="0.25">
      <c r="E4184" s="4" t="s">
        <v>10</v>
      </c>
      <c r="G4184" s="8">
        <v>154.16999999999999</v>
      </c>
      <c r="H4184" s="8">
        <v>0</v>
      </c>
      <c r="I4184" s="8">
        <f>G4184-H4184</f>
        <v>154.16999999999999</v>
      </c>
    </row>
    <row r="4185" spans="1:10" x14ac:dyDescent="0.25">
      <c r="C4185" s="9"/>
      <c r="D4185" s="10">
        <v>45671</v>
      </c>
      <c r="E4185" t="s">
        <v>5238</v>
      </c>
      <c r="F4185" s="11" t="s">
        <v>5239</v>
      </c>
      <c r="G4185" s="8">
        <v>227.12</v>
      </c>
      <c r="H4185" s="8">
        <v>0</v>
      </c>
      <c r="I4185" s="8">
        <f t="shared" ref="I4185:I4193" si="211">G4185-H4185+I4184</f>
        <v>381.28999999999996</v>
      </c>
      <c r="J4185" s="12"/>
    </row>
    <row r="4186" spans="1:10" x14ac:dyDescent="0.25">
      <c r="C4186" s="9"/>
      <c r="D4186" s="10">
        <v>45688</v>
      </c>
      <c r="E4186" t="s">
        <v>5240</v>
      </c>
      <c r="F4186" s="11" t="s">
        <v>5241</v>
      </c>
      <c r="G4186" s="8">
        <v>421.44</v>
      </c>
      <c r="H4186" s="8">
        <v>0</v>
      </c>
      <c r="I4186" s="8">
        <f t="shared" si="211"/>
        <v>802.73</v>
      </c>
      <c r="J4186" s="12"/>
    </row>
    <row r="4187" spans="1:10" x14ac:dyDescent="0.25">
      <c r="C4187" s="9"/>
      <c r="D4187" s="10">
        <v>45702</v>
      </c>
      <c r="E4187" t="s">
        <v>5242</v>
      </c>
      <c r="F4187" s="11" t="s">
        <v>5243</v>
      </c>
      <c r="G4187" s="8">
        <v>65.81</v>
      </c>
      <c r="H4187" s="8">
        <v>0</v>
      </c>
      <c r="I4187" s="8">
        <f t="shared" si="211"/>
        <v>868.54</v>
      </c>
      <c r="J4187" s="12"/>
    </row>
    <row r="4188" spans="1:10" x14ac:dyDescent="0.25">
      <c r="C4188" s="9"/>
      <c r="D4188" s="10">
        <v>45713</v>
      </c>
      <c r="E4188" t="s">
        <v>1524</v>
      </c>
      <c r="F4188" s="11" t="s">
        <v>5239</v>
      </c>
      <c r="G4188" s="8">
        <v>0</v>
      </c>
      <c r="H4188" s="8">
        <v>227.12</v>
      </c>
      <c r="I4188" s="8">
        <f t="shared" si="211"/>
        <v>641.41999999999996</v>
      </c>
      <c r="J4188" s="12"/>
    </row>
    <row r="4189" spans="1:10" x14ac:dyDescent="0.25">
      <c r="C4189" s="9"/>
      <c r="D4189" s="10">
        <v>45713</v>
      </c>
      <c r="E4189" t="s">
        <v>1524</v>
      </c>
      <c r="F4189" s="11" t="s">
        <v>5244</v>
      </c>
      <c r="G4189" s="8">
        <v>0</v>
      </c>
      <c r="H4189" s="8">
        <v>154.16999999999999</v>
      </c>
      <c r="I4189" s="8">
        <f t="shared" si="211"/>
        <v>487.25</v>
      </c>
      <c r="J4189" s="12"/>
    </row>
    <row r="4190" spans="1:10" x14ac:dyDescent="0.25">
      <c r="C4190" s="9"/>
      <c r="D4190" s="10">
        <v>45716</v>
      </c>
      <c r="E4190" t="s">
        <v>5245</v>
      </c>
      <c r="F4190" s="11" t="s">
        <v>5246</v>
      </c>
      <c r="G4190" s="8">
        <v>712.35</v>
      </c>
      <c r="H4190" s="8">
        <v>0</v>
      </c>
      <c r="I4190" s="8">
        <f t="shared" si="211"/>
        <v>1199.5999999999999</v>
      </c>
      <c r="J4190" s="12"/>
    </row>
    <row r="4191" spans="1:10" x14ac:dyDescent="0.25">
      <c r="C4191" s="9"/>
      <c r="D4191" s="10">
        <v>45741</v>
      </c>
      <c r="E4191" t="s">
        <v>1524</v>
      </c>
      <c r="F4191" s="11" t="s">
        <v>5243</v>
      </c>
      <c r="G4191" s="8">
        <v>0</v>
      </c>
      <c r="H4191" s="8">
        <v>65.81</v>
      </c>
      <c r="I4191" s="8">
        <f t="shared" si="211"/>
        <v>1133.79</v>
      </c>
      <c r="J4191" s="12"/>
    </row>
    <row r="4192" spans="1:10" x14ac:dyDescent="0.25">
      <c r="C4192" s="9"/>
      <c r="D4192" s="10">
        <v>45741</v>
      </c>
      <c r="E4192" t="s">
        <v>1524</v>
      </c>
      <c r="F4192" s="11" t="s">
        <v>5241</v>
      </c>
      <c r="G4192" s="8">
        <v>0</v>
      </c>
      <c r="H4192" s="8">
        <v>421.44</v>
      </c>
      <c r="I4192" s="8">
        <f t="shared" si="211"/>
        <v>712.34999999999991</v>
      </c>
      <c r="J4192" s="12"/>
    </row>
    <row r="4193" spans="1:10" x14ac:dyDescent="0.25">
      <c r="C4193" s="9"/>
      <c r="D4193" s="10">
        <v>45747</v>
      </c>
      <c r="E4193" t="s">
        <v>5247</v>
      </c>
      <c r="F4193" s="11" t="s">
        <v>5248</v>
      </c>
      <c r="G4193" s="8">
        <v>422.97</v>
      </c>
      <c r="H4193" s="8">
        <v>0</v>
      </c>
      <c r="I4193" s="8">
        <f t="shared" si="211"/>
        <v>1135.32</v>
      </c>
      <c r="J4193" s="12"/>
    </row>
    <row r="4194" spans="1:10" x14ac:dyDescent="0.25">
      <c r="E4194" s="4" t="s">
        <v>20</v>
      </c>
      <c r="G4194" s="8">
        <f>SUM(G4184:G4193)</f>
        <v>2003.86</v>
      </c>
      <c r="H4194" s="8">
        <f>SUM(H4184:H4193)</f>
        <v>868.54</v>
      </c>
      <c r="I4194" s="8">
        <f>G4194-H4194</f>
        <v>1135.32</v>
      </c>
    </row>
    <row r="4196" spans="1:10" x14ac:dyDescent="0.25">
      <c r="A4196" s="5">
        <v>4307625</v>
      </c>
      <c r="B4196" s="6" t="s">
        <v>5249</v>
      </c>
      <c r="C4196" s="7"/>
      <c r="D4196" s="7"/>
      <c r="E4196" s="7"/>
      <c r="F4196" s="7"/>
      <c r="G4196" s="7"/>
      <c r="H4196" s="7"/>
      <c r="I4196" s="7"/>
      <c r="J4196" s="7"/>
    </row>
    <row r="4197" spans="1:10" x14ac:dyDescent="0.25">
      <c r="E4197" s="4" t="s">
        <v>10</v>
      </c>
      <c r="G4197" s="8">
        <v>434.4</v>
      </c>
      <c r="H4197" s="8">
        <v>0</v>
      </c>
      <c r="I4197" s="8">
        <f>G4197-H4197</f>
        <v>434.4</v>
      </c>
    </row>
    <row r="4198" spans="1:10" x14ac:dyDescent="0.25">
      <c r="C4198" s="9"/>
      <c r="D4198" s="10">
        <v>45659</v>
      </c>
      <c r="E4198" t="s">
        <v>5250</v>
      </c>
      <c r="F4198" s="11" t="s">
        <v>42</v>
      </c>
      <c r="G4198" s="8">
        <v>0</v>
      </c>
      <c r="H4198" s="8">
        <v>434.4</v>
      </c>
      <c r="I4198" s="8">
        <f t="shared" ref="I4198:I4203" si="212">G4198-H4198+I4197</f>
        <v>0</v>
      </c>
      <c r="J4198" s="12"/>
    </row>
    <row r="4199" spans="1:10" x14ac:dyDescent="0.25">
      <c r="C4199" s="9"/>
      <c r="D4199" s="10">
        <v>45671</v>
      </c>
      <c r="E4199" t="s">
        <v>5251</v>
      </c>
      <c r="F4199" s="11" t="s">
        <v>5252</v>
      </c>
      <c r="G4199" s="8">
        <v>44.87</v>
      </c>
      <c r="H4199" s="8">
        <v>0</v>
      </c>
      <c r="I4199" s="8">
        <f t="shared" si="212"/>
        <v>44.87</v>
      </c>
      <c r="J4199" s="12"/>
    </row>
    <row r="4200" spans="1:10" x14ac:dyDescent="0.25">
      <c r="C4200" s="9"/>
      <c r="D4200" s="10">
        <v>45672</v>
      </c>
      <c r="E4200" t="s">
        <v>5253</v>
      </c>
      <c r="F4200" s="11" t="s">
        <v>42</v>
      </c>
      <c r="G4200" s="8">
        <v>0</v>
      </c>
      <c r="H4200" s="8">
        <v>44.87</v>
      </c>
      <c r="I4200" s="8">
        <f t="shared" si="212"/>
        <v>0</v>
      </c>
      <c r="J4200" s="12"/>
    </row>
    <row r="4201" spans="1:10" x14ac:dyDescent="0.25">
      <c r="C4201" s="9"/>
      <c r="D4201" s="10">
        <v>45688</v>
      </c>
      <c r="E4201" t="s">
        <v>5254</v>
      </c>
      <c r="F4201" s="11" t="s">
        <v>5255</v>
      </c>
      <c r="G4201" s="8">
        <v>427.7</v>
      </c>
      <c r="H4201" s="8">
        <v>0</v>
      </c>
      <c r="I4201" s="8">
        <f t="shared" si="212"/>
        <v>427.7</v>
      </c>
      <c r="J4201" s="12"/>
    </row>
    <row r="4202" spans="1:10" x14ac:dyDescent="0.25">
      <c r="C4202" s="9"/>
      <c r="D4202" s="10">
        <v>45691</v>
      </c>
      <c r="E4202" t="s">
        <v>1524</v>
      </c>
      <c r="F4202" s="11" t="s">
        <v>5256</v>
      </c>
      <c r="G4202" s="8">
        <v>0</v>
      </c>
      <c r="H4202" s="8">
        <v>427.7</v>
      </c>
      <c r="I4202" s="8">
        <f t="shared" si="212"/>
        <v>0</v>
      </c>
      <c r="J4202" s="12"/>
    </row>
    <row r="4203" spans="1:10" x14ac:dyDescent="0.25">
      <c r="C4203" s="9"/>
      <c r="D4203" s="10">
        <v>45762</v>
      </c>
      <c r="E4203" t="s">
        <v>5253</v>
      </c>
      <c r="F4203" s="11" t="s">
        <v>42</v>
      </c>
      <c r="G4203" s="8">
        <v>0</v>
      </c>
      <c r="H4203" s="8">
        <v>263.73</v>
      </c>
      <c r="I4203" s="8">
        <f t="shared" si="212"/>
        <v>-263.73</v>
      </c>
      <c r="J4203" s="12"/>
    </row>
    <row r="4204" spans="1:10" x14ac:dyDescent="0.25">
      <c r="E4204" s="4" t="s">
        <v>20</v>
      </c>
      <c r="G4204" s="8">
        <f>SUM(G4197:G4203)</f>
        <v>906.97</v>
      </c>
      <c r="H4204" s="8">
        <f>SUM(H4197:H4203)</f>
        <v>1170.7</v>
      </c>
      <c r="I4204" s="8">
        <f>G4204-H4204</f>
        <v>-263.73</v>
      </c>
    </row>
    <row r="4206" spans="1:10" x14ac:dyDescent="0.25">
      <c r="A4206" s="5">
        <v>4307630</v>
      </c>
      <c r="B4206" s="6" t="s">
        <v>5257</v>
      </c>
      <c r="C4206" s="7"/>
      <c r="D4206" s="7"/>
      <c r="E4206" s="7"/>
      <c r="F4206" s="7"/>
      <c r="G4206" s="7"/>
      <c r="H4206" s="7"/>
      <c r="I4206" s="7"/>
      <c r="J4206" s="7"/>
    </row>
    <row r="4207" spans="1:10" x14ac:dyDescent="0.25">
      <c r="C4207" s="9"/>
      <c r="D4207" s="10">
        <v>45671</v>
      </c>
      <c r="E4207" t="s">
        <v>5258</v>
      </c>
      <c r="F4207" s="11" t="s">
        <v>5259</v>
      </c>
      <c r="G4207" s="8">
        <v>55.1</v>
      </c>
      <c r="H4207" s="8">
        <v>0</v>
      </c>
      <c r="I4207" s="8">
        <f>G4207-H4207</f>
        <v>55.1</v>
      </c>
      <c r="J4207" s="12"/>
    </row>
    <row r="4208" spans="1:10" x14ac:dyDescent="0.25">
      <c r="C4208" s="9"/>
      <c r="D4208" s="10">
        <v>45672</v>
      </c>
      <c r="E4208" t="s">
        <v>1524</v>
      </c>
      <c r="F4208" s="11" t="s">
        <v>5260</v>
      </c>
      <c r="G4208" s="8">
        <v>0</v>
      </c>
      <c r="H4208" s="8">
        <v>55.1</v>
      </c>
      <c r="I4208" s="8">
        <f t="shared" ref="I4208:I4217" si="213">G4208-H4208+I4207</f>
        <v>0</v>
      </c>
      <c r="J4208" s="12"/>
    </row>
    <row r="4209" spans="1:10" x14ac:dyDescent="0.25">
      <c r="C4209" s="9"/>
      <c r="D4209" s="10">
        <v>45688</v>
      </c>
      <c r="E4209" t="s">
        <v>5261</v>
      </c>
      <c r="F4209" s="11" t="s">
        <v>5262</v>
      </c>
      <c r="G4209" s="8">
        <v>173.7</v>
      </c>
      <c r="H4209" s="8">
        <v>0</v>
      </c>
      <c r="I4209" s="8">
        <f t="shared" si="213"/>
        <v>173.7</v>
      </c>
      <c r="J4209" s="12"/>
    </row>
    <row r="4210" spans="1:10" x14ac:dyDescent="0.25">
      <c r="C4210" s="9"/>
      <c r="D4210" s="10">
        <v>45691</v>
      </c>
      <c r="E4210" t="s">
        <v>5263</v>
      </c>
      <c r="F4210" s="11" t="s">
        <v>42</v>
      </c>
      <c r="G4210" s="8">
        <v>0</v>
      </c>
      <c r="H4210" s="8">
        <v>173.7</v>
      </c>
      <c r="I4210" s="8">
        <f t="shared" si="213"/>
        <v>0</v>
      </c>
      <c r="J4210" s="12"/>
    </row>
    <row r="4211" spans="1:10" x14ac:dyDescent="0.25">
      <c r="C4211" s="9"/>
      <c r="D4211" s="10">
        <v>45716</v>
      </c>
      <c r="E4211" t="s">
        <v>5264</v>
      </c>
      <c r="F4211" s="11" t="s">
        <v>5265</v>
      </c>
      <c r="G4211" s="8">
        <v>172.62</v>
      </c>
      <c r="H4211" s="8">
        <v>0</v>
      </c>
      <c r="I4211" s="8">
        <f t="shared" si="213"/>
        <v>172.62</v>
      </c>
      <c r="J4211" s="12"/>
    </row>
    <row r="4212" spans="1:10" x14ac:dyDescent="0.25">
      <c r="C4212" s="9"/>
      <c r="D4212" s="10">
        <v>45720</v>
      </c>
      <c r="E4212" t="s">
        <v>5263</v>
      </c>
      <c r="F4212" s="11" t="s">
        <v>42</v>
      </c>
      <c r="G4212" s="8">
        <v>0</v>
      </c>
      <c r="H4212" s="8">
        <v>172.62</v>
      </c>
      <c r="I4212" s="8">
        <f t="shared" si="213"/>
        <v>0</v>
      </c>
      <c r="J4212" s="12"/>
    </row>
    <row r="4213" spans="1:10" x14ac:dyDescent="0.25">
      <c r="C4213" s="9"/>
      <c r="D4213" s="10">
        <v>45730</v>
      </c>
      <c r="E4213" t="s">
        <v>5266</v>
      </c>
      <c r="F4213" s="11" t="s">
        <v>5267</v>
      </c>
      <c r="G4213" s="8">
        <v>133.94999999999999</v>
      </c>
      <c r="H4213" s="8">
        <v>0</v>
      </c>
      <c r="I4213" s="8">
        <f t="shared" si="213"/>
        <v>133.94999999999999</v>
      </c>
      <c r="J4213" s="12"/>
    </row>
    <row r="4214" spans="1:10" x14ac:dyDescent="0.25">
      <c r="C4214" s="9"/>
      <c r="D4214" s="10">
        <v>45733</v>
      </c>
      <c r="E4214" t="s">
        <v>5268</v>
      </c>
      <c r="F4214" s="11" t="s">
        <v>42</v>
      </c>
      <c r="G4214" s="8">
        <v>0</v>
      </c>
      <c r="H4214" s="8">
        <v>133.94999999999999</v>
      </c>
      <c r="I4214" s="8">
        <f t="shared" si="213"/>
        <v>0</v>
      </c>
      <c r="J4214" s="12"/>
    </row>
    <row r="4215" spans="1:10" x14ac:dyDescent="0.25">
      <c r="C4215" s="9"/>
      <c r="D4215" s="10">
        <v>45747</v>
      </c>
      <c r="E4215" t="s">
        <v>5269</v>
      </c>
      <c r="F4215" s="11" t="s">
        <v>5270</v>
      </c>
      <c r="G4215" s="8">
        <v>215.5</v>
      </c>
      <c r="H4215" s="8">
        <v>0</v>
      </c>
      <c r="I4215" s="8">
        <f t="shared" si="213"/>
        <v>215.5</v>
      </c>
      <c r="J4215" s="12"/>
    </row>
    <row r="4216" spans="1:10" x14ac:dyDescent="0.25">
      <c r="C4216" s="9"/>
      <c r="D4216" s="10">
        <v>45748</v>
      </c>
      <c r="E4216" t="s">
        <v>5263</v>
      </c>
      <c r="F4216" s="11" t="s">
        <v>42</v>
      </c>
      <c r="G4216" s="8">
        <v>0</v>
      </c>
      <c r="H4216" s="8">
        <v>215.5</v>
      </c>
      <c r="I4216" s="8">
        <f t="shared" si="213"/>
        <v>0</v>
      </c>
      <c r="J4216" s="12"/>
    </row>
    <row r="4217" spans="1:10" x14ac:dyDescent="0.25">
      <c r="C4217" s="9"/>
      <c r="D4217" s="10">
        <v>45762</v>
      </c>
      <c r="E4217" t="s">
        <v>5268</v>
      </c>
      <c r="F4217" s="11" t="s">
        <v>42</v>
      </c>
      <c r="G4217" s="8">
        <v>0</v>
      </c>
      <c r="H4217" s="8">
        <v>287.87</v>
      </c>
      <c r="I4217" s="8">
        <f t="shared" si="213"/>
        <v>-287.87</v>
      </c>
      <c r="J4217" s="12"/>
    </row>
    <row r="4218" spans="1:10" x14ac:dyDescent="0.25">
      <c r="E4218" s="4" t="s">
        <v>20</v>
      </c>
      <c r="G4218" s="8">
        <f>SUM(G4207:G4217)</f>
        <v>750.86999999999989</v>
      </c>
      <c r="H4218" s="8">
        <f>SUM(H4207:H4217)</f>
        <v>1038.7399999999998</v>
      </c>
      <c r="I4218" s="8">
        <f>G4218-H4218</f>
        <v>-287.86999999999989</v>
      </c>
    </row>
    <row r="4220" spans="1:10" x14ac:dyDescent="0.25">
      <c r="A4220" s="5">
        <v>4307640</v>
      </c>
      <c r="B4220" s="6" t="s">
        <v>5271</v>
      </c>
      <c r="C4220" s="7"/>
      <c r="D4220" s="7"/>
      <c r="E4220" s="7"/>
      <c r="F4220" s="7"/>
      <c r="G4220" s="7"/>
      <c r="H4220" s="7"/>
      <c r="I4220" s="7"/>
      <c r="J4220" s="7"/>
    </row>
    <row r="4221" spans="1:10" x14ac:dyDescent="0.25">
      <c r="C4221" s="9"/>
      <c r="D4221" s="10">
        <v>45671</v>
      </c>
      <c r="E4221" t="s">
        <v>5272</v>
      </c>
      <c r="F4221" s="11" t="s">
        <v>5273</v>
      </c>
      <c r="G4221" s="8">
        <v>32.4</v>
      </c>
      <c r="H4221" s="8">
        <v>0</v>
      </c>
      <c r="I4221" s="8">
        <f>G4221-H4221</f>
        <v>32.4</v>
      </c>
      <c r="J4221" s="12"/>
    </row>
    <row r="4222" spans="1:10" x14ac:dyDescent="0.25">
      <c r="C4222" s="9"/>
      <c r="D4222" s="10">
        <v>45672</v>
      </c>
      <c r="E4222" t="s">
        <v>5274</v>
      </c>
      <c r="F4222" s="11" t="s">
        <v>42</v>
      </c>
      <c r="G4222" s="8">
        <v>0</v>
      </c>
      <c r="H4222" s="8">
        <v>32.4</v>
      </c>
      <c r="I4222" s="8">
        <f t="shared" ref="I4222:I4233" si="214">G4222-H4222+I4221</f>
        <v>0</v>
      </c>
      <c r="J4222" s="12"/>
    </row>
    <row r="4223" spans="1:10" x14ac:dyDescent="0.25">
      <c r="C4223" s="9"/>
      <c r="D4223" s="10">
        <v>45688</v>
      </c>
      <c r="E4223" t="s">
        <v>5275</v>
      </c>
      <c r="F4223" s="11" t="s">
        <v>5276</v>
      </c>
      <c r="G4223" s="8">
        <v>132</v>
      </c>
      <c r="H4223" s="8">
        <v>0</v>
      </c>
      <c r="I4223" s="8">
        <f t="shared" si="214"/>
        <v>132</v>
      </c>
      <c r="J4223" s="12"/>
    </row>
    <row r="4224" spans="1:10" x14ac:dyDescent="0.25">
      <c r="C4224" s="9"/>
      <c r="D4224" s="10">
        <v>45691</v>
      </c>
      <c r="E4224" t="s">
        <v>5274</v>
      </c>
      <c r="F4224" s="11" t="s">
        <v>42</v>
      </c>
      <c r="G4224" s="8">
        <v>0</v>
      </c>
      <c r="H4224" s="8">
        <v>132</v>
      </c>
      <c r="I4224" s="8">
        <f t="shared" si="214"/>
        <v>0</v>
      </c>
      <c r="J4224" s="12"/>
    </row>
    <row r="4225" spans="1:10" x14ac:dyDescent="0.25">
      <c r="C4225" s="9"/>
      <c r="D4225" s="10">
        <v>45702</v>
      </c>
      <c r="E4225" t="s">
        <v>5277</v>
      </c>
      <c r="F4225" s="11" t="s">
        <v>5278</v>
      </c>
      <c r="G4225" s="8">
        <v>65.78</v>
      </c>
      <c r="H4225" s="8">
        <v>0</v>
      </c>
      <c r="I4225" s="8">
        <f t="shared" si="214"/>
        <v>65.78</v>
      </c>
      <c r="J4225" s="12"/>
    </row>
    <row r="4226" spans="1:10" x14ac:dyDescent="0.25">
      <c r="C4226" s="9"/>
      <c r="D4226" s="10">
        <v>45705</v>
      </c>
      <c r="E4226" t="s">
        <v>5274</v>
      </c>
      <c r="F4226" s="11" t="s">
        <v>42</v>
      </c>
      <c r="G4226" s="8">
        <v>0</v>
      </c>
      <c r="H4226" s="8">
        <v>65.78</v>
      </c>
      <c r="I4226" s="8">
        <f t="shared" si="214"/>
        <v>0</v>
      </c>
      <c r="J4226" s="12"/>
    </row>
    <row r="4227" spans="1:10" x14ac:dyDescent="0.25">
      <c r="C4227" s="9"/>
      <c r="D4227" s="10">
        <v>45716</v>
      </c>
      <c r="E4227" t="s">
        <v>5279</v>
      </c>
      <c r="F4227" s="11" t="s">
        <v>5280</v>
      </c>
      <c r="G4227" s="8">
        <v>519.66999999999996</v>
      </c>
      <c r="H4227" s="8">
        <v>0</v>
      </c>
      <c r="I4227" s="8">
        <f t="shared" si="214"/>
        <v>519.66999999999996</v>
      </c>
      <c r="J4227" s="12"/>
    </row>
    <row r="4228" spans="1:10" x14ac:dyDescent="0.25">
      <c r="C4228" s="9"/>
      <c r="D4228" s="10">
        <v>45720</v>
      </c>
      <c r="E4228" t="s">
        <v>1524</v>
      </c>
      <c r="F4228" s="11" t="s">
        <v>4582</v>
      </c>
      <c r="G4228" s="8">
        <v>0</v>
      </c>
      <c r="H4228" s="8">
        <v>519.66999999999996</v>
      </c>
      <c r="I4228" s="8">
        <f t="shared" si="214"/>
        <v>0</v>
      </c>
      <c r="J4228" s="12"/>
    </row>
    <row r="4229" spans="1:10" x14ac:dyDescent="0.25">
      <c r="C4229" s="9"/>
      <c r="D4229" s="10">
        <v>45730</v>
      </c>
      <c r="E4229" t="s">
        <v>5281</v>
      </c>
      <c r="F4229" s="11" t="s">
        <v>5282</v>
      </c>
      <c r="G4229" s="8">
        <v>62.92</v>
      </c>
      <c r="H4229" s="8">
        <v>0</v>
      </c>
      <c r="I4229" s="8">
        <f t="shared" si="214"/>
        <v>62.92</v>
      </c>
      <c r="J4229" s="12"/>
    </row>
    <row r="4230" spans="1:10" x14ac:dyDescent="0.25">
      <c r="C4230" s="9"/>
      <c r="D4230" s="10">
        <v>45733</v>
      </c>
      <c r="E4230" t="s">
        <v>1524</v>
      </c>
      <c r="F4230" s="11" t="s">
        <v>5283</v>
      </c>
      <c r="G4230" s="8">
        <v>0</v>
      </c>
      <c r="H4230" s="8">
        <v>62.92</v>
      </c>
      <c r="I4230" s="8">
        <f t="shared" si="214"/>
        <v>0</v>
      </c>
      <c r="J4230" s="12"/>
    </row>
    <row r="4231" spans="1:10" x14ac:dyDescent="0.25">
      <c r="C4231" s="9"/>
      <c r="D4231" s="10">
        <v>45747</v>
      </c>
      <c r="E4231" t="s">
        <v>5284</v>
      </c>
      <c r="F4231" s="11" t="s">
        <v>5285</v>
      </c>
      <c r="G4231" s="8">
        <v>107.99</v>
      </c>
      <c r="H4231" s="8">
        <v>0</v>
      </c>
      <c r="I4231" s="8">
        <f t="shared" si="214"/>
        <v>107.99</v>
      </c>
      <c r="J4231" s="12"/>
    </row>
    <row r="4232" spans="1:10" x14ac:dyDescent="0.25">
      <c r="C4232" s="9"/>
      <c r="D4232" s="10">
        <v>45748</v>
      </c>
      <c r="E4232" t="s">
        <v>5274</v>
      </c>
      <c r="F4232" s="11" t="s">
        <v>42</v>
      </c>
      <c r="G4232" s="8">
        <v>0</v>
      </c>
      <c r="H4232" s="8">
        <v>107.99</v>
      </c>
      <c r="I4232" s="8">
        <f t="shared" si="214"/>
        <v>0</v>
      </c>
      <c r="J4232" s="12"/>
    </row>
    <row r="4233" spans="1:10" x14ac:dyDescent="0.25">
      <c r="C4233" s="9"/>
      <c r="D4233" s="10">
        <v>45762</v>
      </c>
      <c r="E4233" t="s">
        <v>1524</v>
      </c>
      <c r="F4233" s="11" t="s">
        <v>5286</v>
      </c>
      <c r="G4233" s="8">
        <v>0</v>
      </c>
      <c r="H4233" s="8">
        <v>31.76</v>
      </c>
      <c r="I4233" s="8">
        <f t="shared" si="214"/>
        <v>-31.76</v>
      </c>
      <c r="J4233" s="12"/>
    </row>
    <row r="4234" spans="1:10" x14ac:dyDescent="0.25">
      <c r="E4234" s="4" t="s">
        <v>20</v>
      </c>
      <c r="G4234" s="8">
        <f>SUM(G4221:G4233)</f>
        <v>920.75999999999988</v>
      </c>
      <c r="H4234" s="8">
        <f>SUM(H4221:H4233)</f>
        <v>952.51999999999987</v>
      </c>
      <c r="I4234" s="8">
        <f>G4234-H4234</f>
        <v>-31.759999999999991</v>
      </c>
    </row>
    <row r="4236" spans="1:10" x14ac:dyDescent="0.25">
      <c r="A4236" s="5">
        <v>4307645</v>
      </c>
      <c r="B4236" s="6" t="s">
        <v>5287</v>
      </c>
      <c r="C4236" s="7"/>
      <c r="D4236" s="7"/>
      <c r="E4236" s="7"/>
      <c r="F4236" s="7"/>
      <c r="G4236" s="7"/>
      <c r="H4236" s="7"/>
      <c r="I4236" s="7"/>
      <c r="J4236" s="7"/>
    </row>
    <row r="4237" spans="1:10" x14ac:dyDescent="0.25">
      <c r="C4237" s="9"/>
      <c r="D4237" s="10">
        <v>45762</v>
      </c>
      <c r="E4237" t="s">
        <v>5288</v>
      </c>
      <c r="F4237" s="11" t="s">
        <v>42</v>
      </c>
      <c r="G4237" s="8">
        <v>0</v>
      </c>
      <c r="H4237" s="8">
        <v>53.98</v>
      </c>
      <c r="I4237" s="8">
        <f>G4237-H4237</f>
        <v>-53.98</v>
      </c>
      <c r="J4237" s="12"/>
    </row>
    <row r="4238" spans="1:10" x14ac:dyDescent="0.25">
      <c r="E4238" s="4" t="s">
        <v>20</v>
      </c>
      <c r="G4238" s="8">
        <f>G4237</f>
        <v>0</v>
      </c>
      <c r="H4238" s="8">
        <f>H4237</f>
        <v>53.98</v>
      </c>
      <c r="I4238" s="8">
        <f>G4238-H4238</f>
        <v>-53.98</v>
      </c>
    </row>
    <row r="4240" spans="1:10" x14ac:dyDescent="0.25">
      <c r="A4240" s="5">
        <v>4307655</v>
      </c>
      <c r="B4240" s="6" t="s">
        <v>5289</v>
      </c>
      <c r="C4240" s="7"/>
      <c r="D4240" s="7"/>
      <c r="E4240" s="7"/>
      <c r="F4240" s="7"/>
      <c r="G4240" s="7"/>
      <c r="H4240" s="7"/>
      <c r="I4240" s="7"/>
      <c r="J4240" s="7"/>
    </row>
    <row r="4241" spans="1:10" x14ac:dyDescent="0.25">
      <c r="E4241" s="4" t="s">
        <v>10</v>
      </c>
      <c r="G4241" s="8">
        <v>774.95</v>
      </c>
      <c r="H4241" s="8">
        <v>0</v>
      </c>
      <c r="I4241" s="8">
        <f>G4241-H4241</f>
        <v>774.95</v>
      </c>
    </row>
    <row r="4242" spans="1:10" x14ac:dyDescent="0.25">
      <c r="C4242" s="9"/>
      <c r="D4242" s="10">
        <v>45666</v>
      </c>
      <c r="E4242" t="s">
        <v>5290</v>
      </c>
      <c r="F4242" s="11" t="s">
        <v>42</v>
      </c>
      <c r="G4242" s="8">
        <v>0</v>
      </c>
      <c r="H4242" s="8">
        <v>117.02</v>
      </c>
      <c r="I4242" s="8">
        <f t="shared" ref="I4242:I4250" si="215">G4242-H4242+I4241</f>
        <v>657.93000000000006</v>
      </c>
      <c r="J4242" s="12"/>
    </row>
    <row r="4243" spans="1:10" x14ac:dyDescent="0.25">
      <c r="C4243" s="9"/>
      <c r="D4243" s="10">
        <v>45671</v>
      </c>
      <c r="E4243" t="s">
        <v>5291</v>
      </c>
      <c r="F4243" s="11" t="s">
        <v>5292</v>
      </c>
      <c r="G4243" s="8">
        <v>86.42</v>
      </c>
      <c r="H4243" s="8">
        <v>0</v>
      </c>
      <c r="I4243" s="8">
        <f t="shared" si="215"/>
        <v>744.35</v>
      </c>
      <c r="J4243" s="12"/>
    </row>
    <row r="4244" spans="1:10" x14ac:dyDescent="0.25">
      <c r="C4244" s="9"/>
      <c r="D4244" s="10">
        <v>45685</v>
      </c>
      <c r="E4244" t="s">
        <v>1524</v>
      </c>
      <c r="F4244" s="11" t="s">
        <v>4069</v>
      </c>
      <c r="G4244" s="8">
        <v>0</v>
      </c>
      <c r="H4244" s="8">
        <v>350.06</v>
      </c>
      <c r="I4244" s="8">
        <f t="shared" si="215"/>
        <v>394.29</v>
      </c>
      <c r="J4244" s="12"/>
    </row>
    <row r="4245" spans="1:10" x14ac:dyDescent="0.25">
      <c r="C4245" s="9"/>
      <c r="D4245" s="10">
        <v>45688</v>
      </c>
      <c r="E4245" t="s">
        <v>5293</v>
      </c>
      <c r="F4245" s="11" t="s">
        <v>5294</v>
      </c>
      <c r="G4245" s="8">
        <v>69.12</v>
      </c>
      <c r="H4245" s="8">
        <v>0</v>
      </c>
      <c r="I4245" s="8">
        <f t="shared" si="215"/>
        <v>463.41</v>
      </c>
      <c r="J4245" s="12"/>
    </row>
    <row r="4246" spans="1:10" x14ac:dyDescent="0.25">
      <c r="C4246" s="9"/>
      <c r="D4246" s="10">
        <v>45702</v>
      </c>
      <c r="E4246" t="s">
        <v>5295</v>
      </c>
      <c r="F4246" s="11" t="s">
        <v>5296</v>
      </c>
      <c r="G4246" s="8">
        <v>636.64</v>
      </c>
      <c r="H4246" s="8">
        <v>0</v>
      </c>
      <c r="I4246" s="8">
        <f t="shared" si="215"/>
        <v>1100.05</v>
      </c>
      <c r="J4246" s="12"/>
    </row>
    <row r="4247" spans="1:10" x14ac:dyDescent="0.25">
      <c r="C4247" s="9"/>
      <c r="D4247" s="10">
        <v>45715</v>
      </c>
      <c r="E4247" t="s">
        <v>1524</v>
      </c>
      <c r="F4247" s="11" t="s">
        <v>5297</v>
      </c>
      <c r="G4247" s="8">
        <v>0</v>
      </c>
      <c r="H4247" s="8">
        <v>298.72000000000003</v>
      </c>
      <c r="I4247" s="8">
        <f t="shared" si="215"/>
        <v>801.32999999999993</v>
      </c>
      <c r="J4247" s="12"/>
    </row>
    <row r="4248" spans="1:10" x14ac:dyDescent="0.25">
      <c r="C4248" s="9"/>
      <c r="D4248" s="10">
        <v>45716</v>
      </c>
      <c r="E4248" t="s">
        <v>5298</v>
      </c>
      <c r="F4248" s="11" t="s">
        <v>5299</v>
      </c>
      <c r="G4248" s="8">
        <v>257.17</v>
      </c>
      <c r="H4248" s="8">
        <v>0</v>
      </c>
      <c r="I4248" s="8">
        <f t="shared" si="215"/>
        <v>1058.5</v>
      </c>
      <c r="J4248" s="12"/>
    </row>
    <row r="4249" spans="1:10" x14ac:dyDescent="0.25">
      <c r="C4249" s="9"/>
      <c r="D4249" s="10">
        <v>45730</v>
      </c>
      <c r="E4249" t="s">
        <v>5300</v>
      </c>
      <c r="F4249" s="11" t="s">
        <v>5301</v>
      </c>
      <c r="G4249" s="8">
        <v>274.49</v>
      </c>
      <c r="H4249" s="8">
        <v>0</v>
      </c>
      <c r="I4249" s="8">
        <f t="shared" si="215"/>
        <v>1332.99</v>
      </c>
      <c r="J4249" s="12"/>
    </row>
    <row r="4250" spans="1:10" x14ac:dyDescent="0.25">
      <c r="C4250" s="9"/>
      <c r="D4250" s="10">
        <v>45742</v>
      </c>
      <c r="E4250" t="s">
        <v>5302</v>
      </c>
      <c r="F4250" s="11" t="s">
        <v>42</v>
      </c>
      <c r="G4250" s="8">
        <v>0</v>
      </c>
      <c r="H4250" s="8">
        <v>95.58</v>
      </c>
      <c r="I4250" s="8">
        <f t="shared" si="215"/>
        <v>1237.4100000000001</v>
      </c>
      <c r="J4250" s="12"/>
    </row>
    <row r="4251" spans="1:10" x14ac:dyDescent="0.25">
      <c r="E4251" s="4" t="s">
        <v>20</v>
      </c>
      <c r="G4251" s="8">
        <f>SUM(G4241:G4250)</f>
        <v>2098.79</v>
      </c>
      <c r="H4251" s="8">
        <f>SUM(H4241:H4250)</f>
        <v>861.38</v>
      </c>
      <c r="I4251" s="8">
        <f>G4251-H4251</f>
        <v>1237.4099999999999</v>
      </c>
    </row>
    <row r="4253" spans="1:10" x14ac:dyDescent="0.25">
      <c r="A4253" s="5">
        <v>4307675</v>
      </c>
      <c r="B4253" s="6" t="s">
        <v>5303</v>
      </c>
      <c r="C4253" s="7"/>
      <c r="D4253" s="7"/>
      <c r="E4253" s="7"/>
      <c r="F4253" s="7"/>
      <c r="G4253" s="7"/>
      <c r="H4253" s="7"/>
      <c r="I4253" s="7"/>
      <c r="J4253" s="7"/>
    </row>
    <row r="4254" spans="1:10" x14ac:dyDescent="0.25">
      <c r="E4254" s="4" t="s">
        <v>10</v>
      </c>
      <c r="G4254" s="8">
        <v>57.83</v>
      </c>
      <c r="H4254" s="8">
        <v>0</v>
      </c>
      <c r="I4254" s="8">
        <f>G4254-H4254</f>
        <v>57.83</v>
      </c>
    </row>
    <row r="4255" spans="1:10" x14ac:dyDescent="0.25">
      <c r="C4255" s="9"/>
      <c r="D4255" s="10">
        <v>45671</v>
      </c>
      <c r="E4255" t="s">
        <v>5304</v>
      </c>
      <c r="F4255" s="11" t="s">
        <v>5305</v>
      </c>
      <c r="G4255" s="8">
        <v>220.1</v>
      </c>
      <c r="H4255" s="8">
        <v>0</v>
      </c>
      <c r="I4255" s="8">
        <f t="shared" ref="I4255:I4265" si="216">G4255-H4255+I4254</f>
        <v>277.93</v>
      </c>
      <c r="J4255" s="12"/>
    </row>
    <row r="4256" spans="1:10" x14ac:dyDescent="0.25">
      <c r="C4256" s="9"/>
      <c r="D4256" s="10">
        <v>45672</v>
      </c>
      <c r="E4256" t="s">
        <v>5306</v>
      </c>
      <c r="F4256" s="11" t="s">
        <v>5307</v>
      </c>
      <c r="G4256" s="8">
        <v>0</v>
      </c>
      <c r="H4256" s="8">
        <v>57.83</v>
      </c>
      <c r="I4256" s="8">
        <f t="shared" si="216"/>
        <v>220.10000000000002</v>
      </c>
      <c r="J4256" s="12"/>
    </row>
    <row r="4257" spans="1:10" x14ac:dyDescent="0.25">
      <c r="C4257" s="9"/>
      <c r="D4257" s="10">
        <v>45688</v>
      </c>
      <c r="E4257" t="s">
        <v>5308</v>
      </c>
      <c r="F4257" s="11" t="s">
        <v>5309</v>
      </c>
      <c r="G4257" s="8">
        <v>969</v>
      </c>
      <c r="H4257" s="8">
        <v>0</v>
      </c>
      <c r="I4257" s="8">
        <f t="shared" si="216"/>
        <v>1189.0999999999999</v>
      </c>
      <c r="J4257" s="12"/>
    </row>
    <row r="4258" spans="1:10" x14ac:dyDescent="0.25">
      <c r="C4258" s="9"/>
      <c r="D4258" s="10">
        <v>45701</v>
      </c>
      <c r="E4258" t="s">
        <v>1524</v>
      </c>
      <c r="F4258" s="11" t="s">
        <v>5305</v>
      </c>
      <c r="G4258" s="8">
        <v>0</v>
      </c>
      <c r="H4258" s="8">
        <v>220.1</v>
      </c>
      <c r="I4258" s="8">
        <f t="shared" si="216"/>
        <v>968.99999999999989</v>
      </c>
      <c r="J4258" s="12"/>
    </row>
    <row r="4259" spans="1:10" x14ac:dyDescent="0.25">
      <c r="C4259" s="9"/>
      <c r="D4259" s="10">
        <v>45702</v>
      </c>
      <c r="E4259" t="s">
        <v>5310</v>
      </c>
      <c r="F4259" s="11" t="s">
        <v>5311</v>
      </c>
      <c r="G4259" s="8">
        <v>279.27</v>
      </c>
      <c r="H4259" s="8">
        <v>0</v>
      </c>
      <c r="I4259" s="8">
        <f t="shared" si="216"/>
        <v>1248.27</v>
      </c>
      <c r="J4259" s="12"/>
    </row>
    <row r="4260" spans="1:10" x14ac:dyDescent="0.25">
      <c r="C4260" s="9"/>
      <c r="D4260" s="10">
        <v>45716</v>
      </c>
      <c r="E4260" t="s">
        <v>5312</v>
      </c>
      <c r="F4260" s="11" t="s">
        <v>5313</v>
      </c>
      <c r="G4260" s="8">
        <v>56.85</v>
      </c>
      <c r="H4260" s="8">
        <v>0</v>
      </c>
      <c r="I4260" s="8">
        <f t="shared" si="216"/>
        <v>1305.1199999999999</v>
      </c>
      <c r="J4260" s="12"/>
    </row>
    <row r="4261" spans="1:10" x14ac:dyDescent="0.25">
      <c r="C4261" s="9"/>
      <c r="D4261" s="10">
        <v>45716</v>
      </c>
      <c r="E4261" t="s">
        <v>1524</v>
      </c>
      <c r="F4261" s="11" t="s">
        <v>5309</v>
      </c>
      <c r="G4261" s="8">
        <v>0</v>
      </c>
      <c r="H4261" s="8">
        <v>969</v>
      </c>
      <c r="I4261" s="8">
        <f t="shared" si="216"/>
        <v>336.11999999999989</v>
      </c>
      <c r="J4261" s="12"/>
    </row>
    <row r="4262" spans="1:10" x14ac:dyDescent="0.25">
      <c r="C4262" s="9"/>
      <c r="D4262" s="10">
        <v>45730</v>
      </c>
      <c r="E4262" t="s">
        <v>5314</v>
      </c>
      <c r="F4262" s="11" t="s">
        <v>5315</v>
      </c>
      <c r="G4262" s="8">
        <v>464.12</v>
      </c>
      <c r="H4262" s="8">
        <v>0</v>
      </c>
      <c r="I4262" s="8">
        <f t="shared" si="216"/>
        <v>800.2399999999999</v>
      </c>
      <c r="J4262" s="12"/>
    </row>
    <row r="4263" spans="1:10" x14ac:dyDescent="0.25">
      <c r="C4263" s="9"/>
      <c r="D4263" s="10">
        <v>45730</v>
      </c>
      <c r="E4263" t="s">
        <v>1524</v>
      </c>
      <c r="F4263" s="11" t="s">
        <v>5311</v>
      </c>
      <c r="G4263" s="8">
        <v>0</v>
      </c>
      <c r="H4263" s="8">
        <v>279.27</v>
      </c>
      <c r="I4263" s="8">
        <f t="shared" si="216"/>
        <v>520.96999999999991</v>
      </c>
      <c r="J4263" s="12"/>
    </row>
    <row r="4264" spans="1:10" x14ac:dyDescent="0.25">
      <c r="C4264" s="9"/>
      <c r="D4264" s="10">
        <v>45747</v>
      </c>
      <c r="E4264" t="s">
        <v>5316</v>
      </c>
      <c r="F4264" s="11" t="s">
        <v>5317</v>
      </c>
      <c r="G4264" s="8">
        <v>885.24</v>
      </c>
      <c r="H4264" s="8">
        <v>0</v>
      </c>
      <c r="I4264" s="8">
        <f t="shared" si="216"/>
        <v>1406.21</v>
      </c>
      <c r="J4264" s="12"/>
    </row>
    <row r="4265" spans="1:10" x14ac:dyDescent="0.25">
      <c r="C4265" s="9"/>
      <c r="D4265" s="10">
        <v>45747</v>
      </c>
      <c r="E4265" t="s">
        <v>1524</v>
      </c>
      <c r="F4265" s="11" t="s">
        <v>5313</v>
      </c>
      <c r="G4265" s="8">
        <v>0</v>
      </c>
      <c r="H4265" s="8">
        <v>56.85</v>
      </c>
      <c r="I4265" s="8">
        <f t="shared" si="216"/>
        <v>1349.3600000000001</v>
      </c>
      <c r="J4265" s="12"/>
    </row>
    <row r="4266" spans="1:10" x14ac:dyDescent="0.25">
      <c r="E4266" s="4" t="s">
        <v>20</v>
      </c>
      <c r="G4266" s="8">
        <f>SUM(G4254:G4265)</f>
        <v>2932.41</v>
      </c>
      <c r="H4266" s="8">
        <f>SUM(H4254:H4265)</f>
        <v>1583.05</v>
      </c>
      <c r="I4266" s="8">
        <f>G4266-H4266</f>
        <v>1349.36</v>
      </c>
    </row>
    <row r="4268" spans="1:10" x14ac:dyDescent="0.25">
      <c r="A4268" s="5">
        <v>4307680</v>
      </c>
      <c r="B4268" s="6" t="s">
        <v>5318</v>
      </c>
      <c r="C4268" s="7"/>
      <c r="D4268" s="7"/>
      <c r="E4268" s="7"/>
      <c r="F4268" s="7"/>
      <c r="G4268" s="7"/>
      <c r="H4268" s="7"/>
      <c r="I4268" s="7"/>
      <c r="J4268" s="7"/>
    </row>
    <row r="4269" spans="1:10" x14ac:dyDescent="0.25">
      <c r="C4269" s="9"/>
      <c r="D4269" s="10">
        <v>45688</v>
      </c>
      <c r="E4269" t="s">
        <v>5319</v>
      </c>
      <c r="F4269" s="11" t="s">
        <v>5320</v>
      </c>
      <c r="G4269" s="8">
        <v>34.409999999999997</v>
      </c>
      <c r="H4269" s="8">
        <v>0</v>
      </c>
      <c r="I4269" s="8">
        <f>G4269-H4269</f>
        <v>34.409999999999997</v>
      </c>
      <c r="J4269" s="12"/>
    </row>
    <row r="4270" spans="1:10" x14ac:dyDescent="0.25">
      <c r="C4270" s="9"/>
      <c r="D4270" s="10">
        <v>45691</v>
      </c>
      <c r="E4270" t="s">
        <v>1524</v>
      </c>
      <c r="F4270" s="11" t="s">
        <v>5320</v>
      </c>
      <c r="G4270" s="8">
        <v>0</v>
      </c>
      <c r="H4270" s="8">
        <v>34.409999999999997</v>
      </c>
      <c r="I4270" s="8">
        <f>G4270-H4270+I4269</f>
        <v>0</v>
      </c>
      <c r="J4270" s="12"/>
    </row>
    <row r="4271" spans="1:10" x14ac:dyDescent="0.25">
      <c r="C4271" s="9"/>
      <c r="D4271" s="10">
        <v>45720</v>
      </c>
      <c r="E4271" t="s">
        <v>3260</v>
      </c>
      <c r="F4271" s="11" t="s">
        <v>42</v>
      </c>
      <c r="G4271" s="8">
        <v>34.409999999999997</v>
      </c>
      <c r="H4271" s="8">
        <v>0</v>
      </c>
      <c r="I4271" s="8">
        <f>G4271-H4271+I4270</f>
        <v>34.409999999999997</v>
      </c>
      <c r="J4271" s="12"/>
    </row>
    <row r="4272" spans="1:10" x14ac:dyDescent="0.25">
      <c r="E4272" s="4" t="s">
        <v>20</v>
      </c>
      <c r="G4272" s="8">
        <f>SUM(G4269:G4271)</f>
        <v>68.819999999999993</v>
      </c>
      <c r="H4272" s="8">
        <f>SUM(H4269:H4271)</f>
        <v>34.409999999999997</v>
      </c>
      <c r="I4272" s="8">
        <f>G4272-H4272</f>
        <v>34.409999999999997</v>
      </c>
    </row>
    <row r="4274" spans="1:10" x14ac:dyDescent="0.25">
      <c r="A4274" s="5">
        <v>4307690</v>
      </c>
      <c r="B4274" s="6" t="s">
        <v>5321</v>
      </c>
      <c r="C4274" s="7"/>
      <c r="D4274" s="7"/>
      <c r="E4274" s="7"/>
      <c r="F4274" s="7"/>
      <c r="G4274" s="7"/>
      <c r="H4274" s="7"/>
      <c r="I4274" s="7"/>
      <c r="J4274" s="7"/>
    </row>
    <row r="4275" spans="1:10" x14ac:dyDescent="0.25">
      <c r="E4275" s="4" t="s">
        <v>10</v>
      </c>
      <c r="G4275" s="8">
        <v>4260.25</v>
      </c>
      <c r="H4275" s="8">
        <v>0</v>
      </c>
      <c r="I4275" s="8">
        <f>G4275-H4275</f>
        <v>4260.25</v>
      </c>
    </row>
    <row r="4276" spans="1:10" x14ac:dyDescent="0.25">
      <c r="E4276" s="4" t="s">
        <v>20</v>
      </c>
      <c r="G4276" s="8">
        <f>G4275</f>
        <v>4260.25</v>
      </c>
      <c r="H4276" s="8">
        <f>H4275</f>
        <v>0</v>
      </c>
      <c r="I4276" s="8">
        <f>G4276-H4276</f>
        <v>4260.25</v>
      </c>
    </row>
    <row r="4278" spans="1:10" x14ac:dyDescent="0.25">
      <c r="A4278" s="5">
        <v>4307701</v>
      </c>
      <c r="B4278" s="6" t="s">
        <v>2689</v>
      </c>
      <c r="C4278" s="7"/>
      <c r="D4278" s="7"/>
      <c r="E4278" s="7"/>
      <c r="F4278" s="7"/>
      <c r="G4278" s="7"/>
      <c r="H4278" s="7"/>
      <c r="I4278" s="7"/>
      <c r="J4278" s="7"/>
    </row>
    <row r="4279" spans="1:10" x14ac:dyDescent="0.25">
      <c r="E4279" s="4" t="s">
        <v>10</v>
      </c>
      <c r="G4279" s="8">
        <v>204.27</v>
      </c>
      <c r="H4279" s="8">
        <v>0</v>
      </c>
      <c r="I4279" s="8">
        <f>G4279-H4279</f>
        <v>204.27</v>
      </c>
    </row>
    <row r="4280" spans="1:10" x14ac:dyDescent="0.25">
      <c r="E4280" s="4" t="s">
        <v>20</v>
      </c>
      <c r="G4280" s="8">
        <f>G4279</f>
        <v>204.27</v>
      </c>
      <c r="H4280" s="8">
        <f>H4279</f>
        <v>0</v>
      </c>
      <c r="I4280" s="8">
        <f>G4280-H4280</f>
        <v>204.27</v>
      </c>
    </row>
    <row r="4282" spans="1:10" x14ac:dyDescent="0.25">
      <c r="A4282" s="5">
        <v>4307710</v>
      </c>
      <c r="B4282" s="6" t="s">
        <v>5322</v>
      </c>
      <c r="C4282" s="7"/>
      <c r="D4282" s="7"/>
      <c r="E4282" s="7"/>
      <c r="F4282" s="7"/>
      <c r="G4282" s="7"/>
      <c r="H4282" s="7"/>
      <c r="I4282" s="7"/>
      <c r="J4282" s="7"/>
    </row>
    <row r="4283" spans="1:10" x14ac:dyDescent="0.25">
      <c r="C4283" s="9"/>
      <c r="D4283" s="10">
        <v>45688</v>
      </c>
      <c r="E4283" t="s">
        <v>5323</v>
      </c>
      <c r="F4283" s="11" t="s">
        <v>5324</v>
      </c>
      <c r="G4283" s="8">
        <v>148.25</v>
      </c>
      <c r="H4283" s="8">
        <v>0</v>
      </c>
      <c r="I4283" s="8">
        <f>G4283-H4283</f>
        <v>148.25</v>
      </c>
      <c r="J4283" s="12"/>
    </row>
    <row r="4284" spans="1:10" x14ac:dyDescent="0.25">
      <c r="C4284" s="9"/>
      <c r="D4284" s="10">
        <v>45691</v>
      </c>
      <c r="E4284" t="s">
        <v>5325</v>
      </c>
      <c r="F4284" s="11" t="s">
        <v>42</v>
      </c>
      <c r="G4284" s="8">
        <v>0</v>
      </c>
      <c r="H4284" s="8">
        <v>148.25</v>
      </c>
      <c r="I4284" s="8">
        <f t="shared" ref="I4284:I4293" si="217">G4284-H4284+I4283</f>
        <v>0</v>
      </c>
      <c r="J4284" s="12"/>
    </row>
    <row r="4285" spans="1:10" x14ac:dyDescent="0.25">
      <c r="C4285" s="9"/>
      <c r="D4285" s="10">
        <v>45702</v>
      </c>
      <c r="E4285" t="s">
        <v>5326</v>
      </c>
      <c r="F4285" s="11" t="s">
        <v>5327</v>
      </c>
      <c r="G4285" s="8">
        <v>55.03</v>
      </c>
      <c r="H4285" s="8">
        <v>0</v>
      </c>
      <c r="I4285" s="8">
        <f t="shared" si="217"/>
        <v>55.03</v>
      </c>
      <c r="J4285" s="12"/>
    </row>
    <row r="4286" spans="1:10" x14ac:dyDescent="0.25">
      <c r="C4286" s="9"/>
      <c r="D4286" s="10">
        <v>45705</v>
      </c>
      <c r="E4286" t="s">
        <v>1524</v>
      </c>
      <c r="F4286" s="11" t="s">
        <v>5328</v>
      </c>
      <c r="G4286" s="8">
        <v>0</v>
      </c>
      <c r="H4286" s="8">
        <v>55.03</v>
      </c>
      <c r="I4286" s="8">
        <f t="shared" si="217"/>
        <v>0</v>
      </c>
      <c r="J4286" s="12"/>
    </row>
    <row r="4287" spans="1:10" x14ac:dyDescent="0.25">
      <c r="C4287" s="9"/>
      <c r="D4287" s="10">
        <v>45716</v>
      </c>
      <c r="E4287" t="s">
        <v>5329</v>
      </c>
      <c r="F4287" s="11" t="s">
        <v>5330</v>
      </c>
      <c r="G4287" s="8">
        <v>57.87</v>
      </c>
      <c r="H4287" s="8">
        <v>0</v>
      </c>
      <c r="I4287" s="8">
        <f t="shared" si="217"/>
        <v>57.87</v>
      </c>
      <c r="J4287" s="12"/>
    </row>
    <row r="4288" spans="1:10" x14ac:dyDescent="0.25">
      <c r="C4288" s="9" t="s">
        <v>124</v>
      </c>
      <c r="D4288" s="10">
        <v>45719</v>
      </c>
      <c r="E4288" t="s">
        <v>5331</v>
      </c>
      <c r="F4288" s="11" t="s">
        <v>5332</v>
      </c>
      <c r="G4288" s="8">
        <v>0</v>
      </c>
      <c r="H4288" s="8">
        <v>57.87</v>
      </c>
      <c r="I4288" s="8">
        <f t="shared" si="217"/>
        <v>0</v>
      </c>
      <c r="J4288" s="12"/>
    </row>
    <row r="4289" spans="1:10" x14ac:dyDescent="0.25">
      <c r="C4289" s="9"/>
      <c r="D4289" s="10">
        <v>45730</v>
      </c>
      <c r="E4289" t="s">
        <v>5333</v>
      </c>
      <c r="F4289" s="11" t="s">
        <v>5334</v>
      </c>
      <c r="G4289" s="8">
        <v>94.72</v>
      </c>
      <c r="H4289" s="8">
        <v>0</v>
      </c>
      <c r="I4289" s="8">
        <f t="shared" si="217"/>
        <v>94.72</v>
      </c>
      <c r="J4289" s="12"/>
    </row>
    <row r="4290" spans="1:10" x14ac:dyDescent="0.25">
      <c r="C4290" s="9"/>
      <c r="D4290" s="10">
        <v>45733</v>
      </c>
      <c r="E4290" t="s">
        <v>5335</v>
      </c>
      <c r="F4290" s="11" t="s">
        <v>42</v>
      </c>
      <c r="G4290" s="8">
        <v>0</v>
      </c>
      <c r="H4290" s="8">
        <v>94.72</v>
      </c>
      <c r="I4290" s="8">
        <f t="shared" si="217"/>
        <v>0</v>
      </c>
      <c r="J4290" s="12"/>
    </row>
    <row r="4291" spans="1:10" x14ac:dyDescent="0.25">
      <c r="C4291" s="9"/>
      <c r="D4291" s="10">
        <v>45747</v>
      </c>
      <c r="E4291" t="s">
        <v>5336</v>
      </c>
      <c r="F4291" s="11" t="s">
        <v>5337</v>
      </c>
      <c r="G4291" s="8">
        <v>32.51</v>
      </c>
      <c r="H4291" s="8">
        <v>0</v>
      </c>
      <c r="I4291" s="8">
        <f t="shared" si="217"/>
        <v>32.51</v>
      </c>
      <c r="J4291" s="12"/>
    </row>
    <row r="4292" spans="1:10" x14ac:dyDescent="0.25">
      <c r="C4292" s="9" t="s">
        <v>124</v>
      </c>
      <c r="D4292" s="10">
        <v>45748</v>
      </c>
      <c r="E4292" t="s">
        <v>5325</v>
      </c>
      <c r="F4292" s="11" t="s">
        <v>42</v>
      </c>
      <c r="G4292" s="8">
        <v>0</v>
      </c>
      <c r="H4292" s="8">
        <v>32.51</v>
      </c>
      <c r="I4292" s="8">
        <f t="shared" si="217"/>
        <v>0</v>
      </c>
      <c r="J4292" s="12"/>
    </row>
    <row r="4293" spans="1:10" x14ac:dyDescent="0.25">
      <c r="C4293" s="9"/>
      <c r="D4293" s="10">
        <v>45762</v>
      </c>
      <c r="E4293" t="s">
        <v>5335</v>
      </c>
      <c r="F4293" s="11" t="s">
        <v>42</v>
      </c>
      <c r="G4293" s="8">
        <v>0</v>
      </c>
      <c r="H4293" s="8">
        <v>148.32</v>
      </c>
      <c r="I4293" s="8">
        <f t="shared" si="217"/>
        <v>-148.32</v>
      </c>
      <c r="J4293" s="12"/>
    </row>
    <row r="4294" spans="1:10" x14ac:dyDescent="0.25">
      <c r="E4294" s="4" t="s">
        <v>20</v>
      </c>
      <c r="G4294" s="8">
        <f>SUM(G4283:G4293)</f>
        <v>388.38</v>
      </c>
      <c r="H4294" s="8">
        <f>SUM(H4283:H4293)</f>
        <v>536.70000000000005</v>
      </c>
      <c r="I4294" s="8">
        <f>G4294-H4294</f>
        <v>-148.32000000000005</v>
      </c>
    </row>
    <row r="4296" spans="1:10" x14ac:dyDescent="0.25">
      <c r="A4296" s="5">
        <v>4307725</v>
      </c>
      <c r="B4296" s="6" t="s">
        <v>5338</v>
      </c>
      <c r="C4296" s="7"/>
      <c r="D4296" s="7"/>
      <c r="E4296" s="7"/>
      <c r="F4296" s="7"/>
      <c r="G4296" s="7"/>
      <c r="H4296" s="7"/>
      <c r="I4296" s="7"/>
      <c r="J4296" s="7"/>
    </row>
    <row r="4297" spans="1:10" x14ac:dyDescent="0.25">
      <c r="E4297" s="4" t="s">
        <v>10</v>
      </c>
      <c r="G4297" s="8">
        <v>21.99</v>
      </c>
      <c r="H4297" s="8">
        <v>0</v>
      </c>
      <c r="I4297" s="8">
        <f>G4297-H4297</f>
        <v>21.99</v>
      </c>
    </row>
    <row r="4298" spans="1:10" x14ac:dyDescent="0.25">
      <c r="C4298" s="9"/>
      <c r="D4298" s="10">
        <v>45716</v>
      </c>
      <c r="E4298" t="s">
        <v>1524</v>
      </c>
      <c r="F4298" s="11" t="s">
        <v>5339</v>
      </c>
      <c r="G4298" s="8">
        <v>0</v>
      </c>
      <c r="H4298" s="8">
        <v>21.99</v>
      </c>
      <c r="I4298" s="8">
        <f>G4298-H4298+I4297</f>
        <v>0</v>
      </c>
      <c r="J4298" s="12"/>
    </row>
    <row r="4299" spans="1:10" x14ac:dyDescent="0.25">
      <c r="C4299" s="9"/>
      <c r="D4299" s="10">
        <v>45747</v>
      </c>
      <c r="E4299" t="s">
        <v>5340</v>
      </c>
      <c r="F4299" s="11" t="s">
        <v>5341</v>
      </c>
      <c r="G4299" s="8">
        <v>56.75</v>
      </c>
      <c r="H4299" s="8">
        <v>0</v>
      </c>
      <c r="I4299" s="8">
        <f>G4299-H4299+I4298</f>
        <v>56.75</v>
      </c>
      <c r="J4299" s="12"/>
    </row>
    <row r="4300" spans="1:10" x14ac:dyDescent="0.25">
      <c r="E4300" s="4" t="s">
        <v>20</v>
      </c>
      <c r="G4300" s="8">
        <f>SUM(G4297:G4299)</f>
        <v>78.739999999999995</v>
      </c>
      <c r="H4300" s="8">
        <f>SUM(H4297:H4299)</f>
        <v>21.99</v>
      </c>
      <c r="I4300" s="8">
        <f>G4300-H4300</f>
        <v>56.75</v>
      </c>
    </row>
    <row r="4302" spans="1:10" x14ac:dyDescent="0.25">
      <c r="A4302" s="5">
        <v>4307735</v>
      </c>
      <c r="B4302" s="6" t="s">
        <v>5342</v>
      </c>
      <c r="C4302" s="7"/>
      <c r="D4302" s="7"/>
      <c r="E4302" s="7"/>
      <c r="F4302" s="7"/>
      <c r="G4302" s="7"/>
      <c r="H4302" s="7"/>
      <c r="I4302" s="7"/>
      <c r="J4302" s="7"/>
    </row>
    <row r="4303" spans="1:10" x14ac:dyDescent="0.25">
      <c r="E4303" s="4" t="s">
        <v>10</v>
      </c>
      <c r="G4303" s="8">
        <v>2258.3000000000002</v>
      </c>
      <c r="H4303" s="8">
        <v>0</v>
      </c>
      <c r="I4303" s="8">
        <f>G4303-H4303</f>
        <v>2258.3000000000002</v>
      </c>
    </row>
    <row r="4304" spans="1:10" x14ac:dyDescent="0.25">
      <c r="C4304" s="9"/>
      <c r="D4304" s="10">
        <v>45666</v>
      </c>
      <c r="E4304" t="s">
        <v>5343</v>
      </c>
      <c r="F4304" s="11" t="s">
        <v>5344</v>
      </c>
      <c r="G4304" s="8">
        <v>0</v>
      </c>
      <c r="H4304" s="8">
        <v>713.08</v>
      </c>
      <c r="I4304" s="8">
        <f t="shared" ref="I4304:I4316" si="218">G4304-H4304+I4303</f>
        <v>1545.2200000000003</v>
      </c>
      <c r="J4304" s="12"/>
    </row>
    <row r="4305" spans="1:10" x14ac:dyDescent="0.25">
      <c r="C4305" s="9"/>
      <c r="D4305" s="10">
        <v>45671</v>
      </c>
      <c r="E4305" t="s">
        <v>5345</v>
      </c>
      <c r="F4305" s="11" t="s">
        <v>5346</v>
      </c>
      <c r="G4305" s="8">
        <v>550.04999999999995</v>
      </c>
      <c r="H4305" s="8">
        <v>0</v>
      </c>
      <c r="I4305" s="8">
        <f t="shared" si="218"/>
        <v>2095.2700000000004</v>
      </c>
      <c r="J4305" s="12"/>
    </row>
    <row r="4306" spans="1:10" x14ac:dyDescent="0.25">
      <c r="C4306" s="9"/>
      <c r="D4306" s="10">
        <v>45674</v>
      </c>
      <c r="E4306" t="s">
        <v>5343</v>
      </c>
      <c r="F4306" s="11" t="s">
        <v>5347</v>
      </c>
      <c r="G4306" s="8">
        <v>0</v>
      </c>
      <c r="H4306" s="8">
        <v>549.34</v>
      </c>
      <c r="I4306" s="8">
        <f t="shared" si="218"/>
        <v>1545.9300000000003</v>
      </c>
      <c r="J4306" s="12"/>
    </row>
    <row r="4307" spans="1:10" x14ac:dyDescent="0.25">
      <c r="C4307" s="9"/>
      <c r="D4307" s="10">
        <v>45688</v>
      </c>
      <c r="E4307" t="s">
        <v>5348</v>
      </c>
      <c r="F4307" s="11" t="s">
        <v>5349</v>
      </c>
      <c r="G4307" s="8">
        <v>1025.6600000000001</v>
      </c>
      <c r="H4307" s="8">
        <v>0</v>
      </c>
      <c r="I4307" s="8">
        <f t="shared" si="218"/>
        <v>2571.59</v>
      </c>
      <c r="J4307" s="12"/>
    </row>
    <row r="4308" spans="1:10" x14ac:dyDescent="0.25">
      <c r="C4308" s="9"/>
      <c r="D4308" s="10">
        <v>45693</v>
      </c>
      <c r="E4308" t="s">
        <v>1524</v>
      </c>
      <c r="F4308" s="11" t="s">
        <v>5350</v>
      </c>
      <c r="G4308" s="8">
        <v>0</v>
      </c>
      <c r="H4308" s="8">
        <v>504.47</v>
      </c>
      <c r="I4308" s="8">
        <f t="shared" si="218"/>
        <v>2067.12</v>
      </c>
      <c r="J4308" s="12"/>
    </row>
    <row r="4309" spans="1:10" x14ac:dyDescent="0.25">
      <c r="C4309" s="9"/>
      <c r="D4309" s="10">
        <v>45702</v>
      </c>
      <c r="E4309" t="s">
        <v>5351</v>
      </c>
      <c r="F4309" s="11" t="s">
        <v>5352</v>
      </c>
      <c r="G4309" s="8">
        <v>448.46</v>
      </c>
      <c r="H4309" s="8">
        <v>0</v>
      </c>
      <c r="I4309" s="8">
        <f t="shared" si="218"/>
        <v>2515.58</v>
      </c>
      <c r="J4309" s="12"/>
    </row>
    <row r="4310" spans="1:10" x14ac:dyDescent="0.25">
      <c r="C4310" s="9"/>
      <c r="D4310" s="10">
        <v>45713</v>
      </c>
      <c r="E4310" t="s">
        <v>1524</v>
      </c>
      <c r="F4310" s="11" t="s">
        <v>5353</v>
      </c>
      <c r="G4310" s="8">
        <v>0</v>
      </c>
      <c r="H4310" s="8">
        <v>469.87</v>
      </c>
      <c r="I4310" s="8">
        <f t="shared" si="218"/>
        <v>2045.71</v>
      </c>
      <c r="J4310" s="12"/>
    </row>
    <row r="4311" spans="1:10" x14ac:dyDescent="0.25">
      <c r="C4311" s="9"/>
      <c r="D4311" s="10">
        <v>45716</v>
      </c>
      <c r="E4311" t="s">
        <v>5354</v>
      </c>
      <c r="F4311" s="11" t="s">
        <v>5355</v>
      </c>
      <c r="G4311" s="8">
        <v>594.66999999999996</v>
      </c>
      <c r="H4311" s="8">
        <v>0</v>
      </c>
      <c r="I4311" s="8">
        <f t="shared" si="218"/>
        <v>2640.38</v>
      </c>
      <c r="J4311" s="12"/>
    </row>
    <row r="4312" spans="1:10" x14ac:dyDescent="0.25">
      <c r="C4312" s="9"/>
      <c r="D4312" s="10">
        <v>45729</v>
      </c>
      <c r="E4312" t="s">
        <v>1524</v>
      </c>
      <c r="F4312" s="11" t="s">
        <v>5346</v>
      </c>
      <c r="G4312" s="8">
        <v>0</v>
      </c>
      <c r="H4312" s="8">
        <v>550.04999999999995</v>
      </c>
      <c r="I4312" s="8">
        <f t="shared" si="218"/>
        <v>2090.33</v>
      </c>
      <c r="J4312" s="12"/>
    </row>
    <row r="4313" spans="1:10" x14ac:dyDescent="0.25">
      <c r="C4313" s="9"/>
      <c r="D4313" s="10">
        <v>45730</v>
      </c>
      <c r="E4313" t="s">
        <v>5356</v>
      </c>
      <c r="F4313" s="11" t="s">
        <v>5357</v>
      </c>
      <c r="G4313" s="8">
        <v>264.69</v>
      </c>
      <c r="H4313" s="8">
        <v>0</v>
      </c>
      <c r="I4313" s="8">
        <f t="shared" si="218"/>
        <v>2355.02</v>
      </c>
      <c r="J4313" s="12"/>
    </row>
    <row r="4314" spans="1:10" x14ac:dyDescent="0.25">
      <c r="C4314" s="9"/>
      <c r="D4314" s="10">
        <v>45747</v>
      </c>
      <c r="E4314" t="s">
        <v>5358</v>
      </c>
      <c r="F4314" s="11" t="s">
        <v>5359</v>
      </c>
      <c r="G4314" s="8">
        <v>439.31</v>
      </c>
      <c r="H4314" s="8">
        <v>0</v>
      </c>
      <c r="I4314" s="8">
        <f t="shared" si="218"/>
        <v>2794.33</v>
      </c>
      <c r="J4314" s="12"/>
    </row>
    <row r="4315" spans="1:10" x14ac:dyDescent="0.25">
      <c r="C4315" s="9"/>
      <c r="D4315" s="10">
        <v>45751</v>
      </c>
      <c r="E4315" t="s">
        <v>1524</v>
      </c>
      <c r="F4315" s="11" t="s">
        <v>5349</v>
      </c>
      <c r="G4315" s="8">
        <v>0</v>
      </c>
      <c r="H4315" s="8">
        <v>1025.6600000000001</v>
      </c>
      <c r="I4315" s="8">
        <f t="shared" si="218"/>
        <v>1768.6699999999998</v>
      </c>
      <c r="J4315" s="12"/>
    </row>
    <row r="4316" spans="1:10" x14ac:dyDescent="0.25">
      <c r="C4316" s="9"/>
      <c r="D4316" s="10">
        <v>45762</v>
      </c>
      <c r="E4316" t="s">
        <v>1524</v>
      </c>
      <c r="F4316" s="11" t="s">
        <v>5352</v>
      </c>
      <c r="G4316" s="8">
        <v>0</v>
      </c>
      <c r="H4316" s="8">
        <v>448.46</v>
      </c>
      <c r="I4316" s="8">
        <f t="shared" si="218"/>
        <v>1320.2099999999998</v>
      </c>
      <c r="J4316" s="12"/>
    </row>
    <row r="4317" spans="1:10" x14ac:dyDescent="0.25">
      <c r="E4317" s="4" t="s">
        <v>20</v>
      </c>
      <c r="G4317" s="8">
        <f>SUM(G4303:G4316)</f>
        <v>5581.14</v>
      </c>
      <c r="H4317" s="8">
        <f>SUM(H4303:H4316)</f>
        <v>4260.93</v>
      </c>
      <c r="I4317" s="8">
        <f>G4317-H4317</f>
        <v>1320.21</v>
      </c>
    </row>
    <row r="4319" spans="1:10" x14ac:dyDescent="0.25">
      <c r="A4319" s="5">
        <v>4307740</v>
      </c>
      <c r="B4319" s="6" t="s">
        <v>5360</v>
      </c>
      <c r="C4319" s="7"/>
      <c r="D4319" s="7"/>
      <c r="E4319" s="7"/>
      <c r="F4319" s="7"/>
      <c r="G4319" s="7"/>
      <c r="H4319" s="7"/>
      <c r="I4319" s="7"/>
      <c r="J4319" s="7"/>
    </row>
    <row r="4320" spans="1:10" x14ac:dyDescent="0.25">
      <c r="E4320" s="4" t="s">
        <v>10</v>
      </c>
      <c r="G4320" s="8">
        <v>57.28</v>
      </c>
      <c r="H4320" s="8">
        <v>0</v>
      </c>
      <c r="I4320" s="8">
        <f>G4320-H4320</f>
        <v>57.28</v>
      </c>
    </row>
    <row r="4321" spans="1:10" x14ac:dyDescent="0.25">
      <c r="C4321" s="9"/>
      <c r="D4321" s="10">
        <v>45659</v>
      </c>
      <c r="E4321" t="s">
        <v>5361</v>
      </c>
      <c r="F4321" s="11" t="s">
        <v>42</v>
      </c>
      <c r="G4321" s="8">
        <v>0</v>
      </c>
      <c r="H4321" s="8">
        <v>57.28</v>
      </c>
      <c r="I4321" s="8">
        <f t="shared" ref="I4321:I4326" si="219">G4321-H4321+I4320</f>
        <v>0</v>
      </c>
      <c r="J4321" s="12"/>
    </row>
    <row r="4322" spans="1:10" x14ac:dyDescent="0.25">
      <c r="C4322" s="9"/>
      <c r="D4322" s="10">
        <v>45688</v>
      </c>
      <c r="E4322" t="s">
        <v>5362</v>
      </c>
      <c r="F4322" s="11" t="s">
        <v>5363</v>
      </c>
      <c r="G4322" s="8">
        <v>140.36000000000001</v>
      </c>
      <c r="H4322" s="8">
        <v>0</v>
      </c>
      <c r="I4322" s="8">
        <f t="shared" si="219"/>
        <v>140.36000000000001</v>
      </c>
      <c r="J4322" s="12"/>
    </row>
    <row r="4323" spans="1:10" x14ac:dyDescent="0.25">
      <c r="C4323" s="9"/>
      <c r="D4323" s="10">
        <v>45691</v>
      </c>
      <c r="E4323" t="s">
        <v>1524</v>
      </c>
      <c r="F4323" s="11" t="s">
        <v>5364</v>
      </c>
      <c r="G4323" s="8">
        <v>0</v>
      </c>
      <c r="H4323" s="8">
        <v>140.36000000000001</v>
      </c>
      <c r="I4323" s="8">
        <f t="shared" si="219"/>
        <v>0</v>
      </c>
      <c r="J4323" s="12"/>
    </row>
    <row r="4324" spans="1:10" x14ac:dyDescent="0.25">
      <c r="C4324" s="9"/>
      <c r="D4324" s="10">
        <v>45730</v>
      </c>
      <c r="E4324" t="s">
        <v>5365</v>
      </c>
      <c r="F4324" s="11" t="s">
        <v>5366</v>
      </c>
      <c r="G4324" s="8">
        <v>44.62</v>
      </c>
      <c r="H4324" s="8">
        <v>0</v>
      </c>
      <c r="I4324" s="8">
        <f t="shared" si="219"/>
        <v>44.62</v>
      </c>
      <c r="J4324" s="12"/>
    </row>
    <row r="4325" spans="1:10" x14ac:dyDescent="0.25">
      <c r="C4325" s="9"/>
      <c r="D4325" s="10">
        <v>45733</v>
      </c>
      <c r="E4325" t="s">
        <v>1524</v>
      </c>
      <c r="F4325" s="11" t="s">
        <v>5367</v>
      </c>
      <c r="G4325" s="8">
        <v>0</v>
      </c>
      <c r="H4325" s="8">
        <v>44.62</v>
      </c>
      <c r="I4325" s="8">
        <f t="shared" si="219"/>
        <v>0</v>
      </c>
      <c r="J4325" s="12"/>
    </row>
    <row r="4326" spans="1:10" x14ac:dyDescent="0.25">
      <c r="C4326" s="9"/>
      <c r="D4326" s="10">
        <v>45762</v>
      </c>
      <c r="E4326" t="s">
        <v>5368</v>
      </c>
      <c r="F4326" s="11" t="s">
        <v>42</v>
      </c>
      <c r="G4326" s="8">
        <v>0</v>
      </c>
      <c r="H4326" s="8">
        <v>176.09</v>
      </c>
      <c r="I4326" s="8">
        <f t="shared" si="219"/>
        <v>-176.09</v>
      </c>
      <c r="J4326" s="12"/>
    </row>
    <row r="4327" spans="1:10" x14ac:dyDescent="0.25">
      <c r="E4327" s="4" t="s">
        <v>20</v>
      </c>
      <c r="G4327" s="8">
        <f>SUM(G4320:G4326)</f>
        <v>242.26000000000002</v>
      </c>
      <c r="H4327" s="8">
        <f>SUM(H4320:H4326)</f>
        <v>418.35</v>
      </c>
      <c r="I4327" s="8">
        <f>G4327-H4327</f>
        <v>-176.09</v>
      </c>
    </row>
    <row r="4329" spans="1:10" x14ac:dyDescent="0.25">
      <c r="A4329" s="5">
        <v>4307745</v>
      </c>
      <c r="B4329" s="6" t="s">
        <v>5369</v>
      </c>
      <c r="C4329" s="7"/>
      <c r="D4329" s="7"/>
      <c r="E4329" s="7"/>
      <c r="F4329" s="7"/>
      <c r="G4329" s="7"/>
      <c r="H4329" s="7"/>
      <c r="I4329" s="7"/>
      <c r="J4329" s="7"/>
    </row>
    <row r="4330" spans="1:10" x14ac:dyDescent="0.25">
      <c r="C4330" s="9"/>
      <c r="D4330" s="10">
        <v>45672</v>
      </c>
      <c r="E4330" t="s">
        <v>5370</v>
      </c>
      <c r="F4330" s="11" t="s">
        <v>42</v>
      </c>
      <c r="G4330" s="8">
        <v>9633.44</v>
      </c>
      <c r="H4330" s="8">
        <v>0</v>
      </c>
      <c r="I4330" s="8">
        <f>G4330-H4330</f>
        <v>9633.44</v>
      </c>
      <c r="J4330" s="12"/>
    </row>
    <row r="4331" spans="1:10" x14ac:dyDescent="0.25">
      <c r="C4331" s="9"/>
      <c r="D4331" s="10">
        <v>45705</v>
      </c>
      <c r="E4331" t="s">
        <v>5371</v>
      </c>
      <c r="F4331" s="11" t="s">
        <v>42</v>
      </c>
      <c r="G4331" s="8">
        <v>11068.98</v>
      </c>
      <c r="H4331" s="8">
        <v>0</v>
      </c>
      <c r="I4331" s="8">
        <f>G4331-H4331+I4330</f>
        <v>20702.419999999998</v>
      </c>
      <c r="J4331" s="12"/>
    </row>
    <row r="4332" spans="1:10" x14ac:dyDescent="0.25">
      <c r="C4332" s="9"/>
      <c r="D4332" s="10">
        <v>45733</v>
      </c>
      <c r="E4332" t="s">
        <v>5372</v>
      </c>
      <c r="F4332" s="11" t="s">
        <v>42</v>
      </c>
      <c r="G4332" s="8">
        <v>7290.22</v>
      </c>
      <c r="H4332" s="8">
        <v>0</v>
      </c>
      <c r="I4332" s="8">
        <f>G4332-H4332+I4331</f>
        <v>27992.639999999999</v>
      </c>
      <c r="J4332" s="12"/>
    </row>
    <row r="4333" spans="1:10" x14ac:dyDescent="0.25">
      <c r="C4333" s="9"/>
      <c r="D4333" s="10">
        <v>45747</v>
      </c>
      <c r="E4333" t="s">
        <v>5373</v>
      </c>
      <c r="F4333" s="11" t="s">
        <v>5374</v>
      </c>
      <c r="G4333" s="8">
        <v>151.1</v>
      </c>
      <c r="H4333" s="8">
        <v>0</v>
      </c>
      <c r="I4333" s="8">
        <f>G4333-H4333+I4332</f>
        <v>28143.739999999998</v>
      </c>
      <c r="J4333" s="12"/>
    </row>
    <row r="4334" spans="1:10" x14ac:dyDescent="0.25">
      <c r="C4334" s="9"/>
      <c r="D4334" s="10">
        <v>45748</v>
      </c>
      <c r="E4334" t="s">
        <v>1524</v>
      </c>
      <c r="F4334" s="11" t="s">
        <v>5375</v>
      </c>
      <c r="G4334" s="8">
        <v>0</v>
      </c>
      <c r="H4334" s="8">
        <v>151.1</v>
      </c>
      <c r="I4334" s="8">
        <f>G4334-H4334+I4333</f>
        <v>27992.639999999999</v>
      </c>
      <c r="J4334" s="12"/>
    </row>
    <row r="4335" spans="1:10" x14ac:dyDescent="0.25">
      <c r="E4335" s="4" t="s">
        <v>20</v>
      </c>
      <c r="G4335" s="8">
        <f>SUM(G4330:G4334)</f>
        <v>28143.739999999998</v>
      </c>
      <c r="H4335" s="8">
        <f>SUM(H4330:H4334)</f>
        <v>151.1</v>
      </c>
      <c r="I4335" s="8">
        <f>G4335-H4335</f>
        <v>27992.639999999999</v>
      </c>
    </row>
    <row r="4337" spans="1:10" x14ac:dyDescent="0.25">
      <c r="A4337" s="5">
        <v>4307755</v>
      </c>
      <c r="B4337" s="6" t="s">
        <v>5376</v>
      </c>
      <c r="C4337" s="7"/>
      <c r="D4337" s="7"/>
      <c r="E4337" s="7"/>
      <c r="F4337" s="7"/>
      <c r="G4337" s="7"/>
      <c r="H4337" s="7"/>
      <c r="I4337" s="7"/>
      <c r="J4337" s="7"/>
    </row>
    <row r="4338" spans="1:10" x14ac:dyDescent="0.25">
      <c r="E4338" s="4" t="s">
        <v>10</v>
      </c>
      <c r="G4338" s="8">
        <v>15.58</v>
      </c>
      <c r="H4338" s="8">
        <v>0</v>
      </c>
      <c r="I4338" s="8">
        <f>G4338-H4338</f>
        <v>15.58</v>
      </c>
    </row>
    <row r="4339" spans="1:10" x14ac:dyDescent="0.25">
      <c r="C4339" s="9"/>
      <c r="D4339" s="10">
        <v>45688</v>
      </c>
      <c r="E4339" t="s">
        <v>5377</v>
      </c>
      <c r="F4339" s="11" t="s">
        <v>5378</v>
      </c>
      <c r="G4339" s="8">
        <v>92.59</v>
      </c>
      <c r="H4339" s="8">
        <v>0</v>
      </c>
      <c r="I4339" s="8">
        <f>G4339-H4339+I4338</f>
        <v>108.17</v>
      </c>
      <c r="J4339" s="12"/>
    </row>
    <row r="4340" spans="1:10" x14ac:dyDescent="0.25">
      <c r="C4340" s="9"/>
      <c r="D4340" s="10">
        <v>45713</v>
      </c>
      <c r="E4340" t="s">
        <v>5379</v>
      </c>
      <c r="F4340" s="11" t="s">
        <v>42</v>
      </c>
      <c r="G4340" s="8">
        <v>0</v>
      </c>
      <c r="H4340" s="8">
        <v>108.17</v>
      </c>
      <c r="I4340" s="8">
        <f>G4340-H4340+I4339</f>
        <v>0</v>
      </c>
      <c r="J4340" s="12"/>
    </row>
    <row r="4341" spans="1:10" x14ac:dyDescent="0.25">
      <c r="C4341" s="9"/>
      <c r="D4341" s="10">
        <v>45747</v>
      </c>
      <c r="E4341" t="s">
        <v>5380</v>
      </c>
      <c r="F4341" s="11" t="s">
        <v>5381</v>
      </c>
      <c r="G4341" s="8">
        <v>80.8</v>
      </c>
      <c r="H4341" s="8">
        <v>0</v>
      </c>
      <c r="I4341" s="8">
        <f>G4341-H4341+I4340</f>
        <v>80.8</v>
      </c>
      <c r="J4341" s="12"/>
    </row>
    <row r="4342" spans="1:10" x14ac:dyDescent="0.25">
      <c r="E4342" s="4" t="s">
        <v>20</v>
      </c>
      <c r="G4342" s="8">
        <f>SUM(G4338:G4341)</f>
        <v>188.97</v>
      </c>
      <c r="H4342" s="8">
        <f>SUM(H4338:H4341)</f>
        <v>108.17</v>
      </c>
      <c r="I4342" s="8">
        <f>G4342-H4342</f>
        <v>80.8</v>
      </c>
    </row>
    <row r="4344" spans="1:10" x14ac:dyDescent="0.25">
      <c r="A4344" s="5">
        <v>4307760</v>
      </c>
      <c r="B4344" s="6" t="s">
        <v>5382</v>
      </c>
      <c r="C4344" s="7"/>
      <c r="D4344" s="7"/>
      <c r="E4344" s="7"/>
      <c r="F4344" s="7"/>
      <c r="G4344" s="7"/>
      <c r="H4344" s="7"/>
      <c r="I4344" s="7"/>
      <c r="J4344" s="7"/>
    </row>
    <row r="4345" spans="1:10" x14ac:dyDescent="0.25">
      <c r="E4345" s="4" t="s">
        <v>10</v>
      </c>
      <c r="G4345" s="8">
        <v>0</v>
      </c>
      <c r="H4345" s="8">
        <v>1.29</v>
      </c>
      <c r="I4345" s="8">
        <f>G4345-H4345</f>
        <v>-1.29</v>
      </c>
    </row>
    <row r="4346" spans="1:10" x14ac:dyDescent="0.25">
      <c r="E4346" s="4" t="s">
        <v>20</v>
      </c>
      <c r="G4346" s="8">
        <f>G4345</f>
        <v>0</v>
      </c>
      <c r="H4346" s="8">
        <f>H4345</f>
        <v>1.29</v>
      </c>
      <c r="I4346" s="8">
        <f>G4346-H4346</f>
        <v>-1.29</v>
      </c>
    </row>
    <row r="4348" spans="1:10" x14ac:dyDescent="0.25">
      <c r="A4348" s="5">
        <v>4307770</v>
      </c>
      <c r="B4348" s="6" t="s">
        <v>5383</v>
      </c>
      <c r="C4348" s="7"/>
      <c r="D4348" s="7"/>
      <c r="E4348" s="7"/>
      <c r="F4348" s="7"/>
      <c r="G4348" s="7"/>
      <c r="H4348" s="7"/>
      <c r="I4348" s="7"/>
      <c r="J4348" s="7"/>
    </row>
    <row r="4349" spans="1:10" x14ac:dyDescent="0.25">
      <c r="E4349" s="4" t="s">
        <v>10</v>
      </c>
      <c r="G4349" s="8">
        <v>6057.09</v>
      </c>
      <c r="H4349" s="8">
        <v>0</v>
      </c>
      <c r="I4349" s="8">
        <f>G4349-H4349</f>
        <v>6057.09</v>
      </c>
    </row>
    <row r="4350" spans="1:10" x14ac:dyDescent="0.25">
      <c r="C4350" s="9"/>
      <c r="D4350" s="10">
        <v>45678</v>
      </c>
      <c r="E4350" t="s">
        <v>5384</v>
      </c>
      <c r="F4350" s="11" t="s">
        <v>5385</v>
      </c>
      <c r="G4350" s="8">
        <v>0</v>
      </c>
      <c r="H4350" s="8">
        <v>4089.75</v>
      </c>
      <c r="I4350" s="8">
        <f t="shared" ref="I4350:I4356" si="220">G4350-H4350+I4349</f>
        <v>1967.3400000000001</v>
      </c>
      <c r="J4350" s="12"/>
    </row>
    <row r="4351" spans="1:10" x14ac:dyDescent="0.25">
      <c r="C4351" s="9"/>
      <c r="D4351" s="10">
        <v>45688</v>
      </c>
      <c r="E4351" t="s">
        <v>5386</v>
      </c>
      <c r="F4351" s="11" t="s">
        <v>5387</v>
      </c>
      <c r="G4351" s="8">
        <v>1283.0999999999999</v>
      </c>
      <c r="H4351" s="8">
        <v>0</v>
      </c>
      <c r="I4351" s="8">
        <f t="shared" si="220"/>
        <v>3250.44</v>
      </c>
      <c r="J4351" s="12"/>
    </row>
    <row r="4352" spans="1:10" x14ac:dyDescent="0.25">
      <c r="C4352" s="9"/>
      <c r="D4352" s="10">
        <v>45716</v>
      </c>
      <c r="E4352" t="s">
        <v>5388</v>
      </c>
      <c r="F4352" s="11" t="s">
        <v>5389</v>
      </c>
      <c r="G4352" s="8">
        <v>847.91</v>
      </c>
      <c r="H4352" s="8">
        <v>0</v>
      </c>
      <c r="I4352" s="8">
        <f t="shared" si="220"/>
        <v>4098.3500000000004</v>
      </c>
      <c r="J4352" s="12"/>
    </row>
    <row r="4353" spans="1:10" x14ac:dyDescent="0.25">
      <c r="C4353" s="9"/>
      <c r="D4353" s="10">
        <v>45719</v>
      </c>
      <c r="E4353" t="s">
        <v>1524</v>
      </c>
      <c r="F4353" s="11" t="s">
        <v>5390</v>
      </c>
      <c r="G4353" s="8">
        <v>0</v>
      </c>
      <c r="H4353" s="8">
        <v>1676.94</v>
      </c>
      <c r="I4353" s="8">
        <f t="shared" si="220"/>
        <v>2421.4100000000003</v>
      </c>
      <c r="J4353" s="12"/>
    </row>
    <row r="4354" spans="1:10" x14ac:dyDescent="0.25">
      <c r="C4354" s="9"/>
      <c r="D4354" s="10">
        <v>45747</v>
      </c>
      <c r="E4354" t="s">
        <v>5391</v>
      </c>
      <c r="F4354" s="11" t="s">
        <v>5392</v>
      </c>
      <c r="G4354" s="8">
        <v>4120.2</v>
      </c>
      <c r="H4354" s="8">
        <v>0</v>
      </c>
      <c r="I4354" s="8">
        <f t="shared" si="220"/>
        <v>6541.6100000000006</v>
      </c>
      <c r="J4354" s="12"/>
    </row>
    <row r="4355" spans="1:10" x14ac:dyDescent="0.25">
      <c r="C4355" s="9"/>
      <c r="D4355" s="10">
        <v>45748</v>
      </c>
      <c r="E4355" t="s">
        <v>1524</v>
      </c>
      <c r="F4355" s="11" t="s">
        <v>5387</v>
      </c>
      <c r="G4355" s="8">
        <v>0</v>
      </c>
      <c r="H4355" s="8">
        <v>1283.0999999999999</v>
      </c>
      <c r="I4355" s="8">
        <f t="shared" si="220"/>
        <v>5258.51</v>
      </c>
      <c r="J4355" s="12"/>
    </row>
    <row r="4356" spans="1:10" x14ac:dyDescent="0.25">
      <c r="C4356" s="9"/>
      <c r="D4356" s="10">
        <v>45748</v>
      </c>
      <c r="E4356" t="s">
        <v>1524</v>
      </c>
      <c r="F4356" s="11" t="s">
        <v>5393</v>
      </c>
      <c r="G4356" s="8">
        <v>0</v>
      </c>
      <c r="H4356" s="8">
        <v>290.39999999999998</v>
      </c>
      <c r="I4356" s="8">
        <f t="shared" si="220"/>
        <v>4968.1100000000006</v>
      </c>
      <c r="J4356" s="12"/>
    </row>
    <row r="4357" spans="1:10" x14ac:dyDescent="0.25">
      <c r="E4357" s="4" t="s">
        <v>20</v>
      </c>
      <c r="G4357" s="8">
        <f>SUM(G4349:G4356)</f>
        <v>12308.3</v>
      </c>
      <c r="H4357" s="8">
        <f>SUM(H4349:H4356)</f>
        <v>7340.1900000000005</v>
      </c>
      <c r="I4357" s="8">
        <f>G4357-H4357</f>
        <v>4968.1099999999988</v>
      </c>
    </row>
    <row r="4359" spans="1:10" x14ac:dyDescent="0.25">
      <c r="A4359" s="5">
        <v>4307790</v>
      </c>
      <c r="B4359" s="6" t="s">
        <v>5394</v>
      </c>
      <c r="C4359" s="7"/>
      <c r="D4359" s="7"/>
      <c r="E4359" s="7"/>
      <c r="F4359" s="7"/>
      <c r="G4359" s="7"/>
      <c r="H4359" s="7"/>
      <c r="I4359" s="7"/>
      <c r="J4359" s="7"/>
    </row>
    <row r="4360" spans="1:10" x14ac:dyDescent="0.25">
      <c r="C4360" s="9"/>
      <c r="D4360" s="10">
        <v>45671</v>
      </c>
      <c r="E4360" t="s">
        <v>5395</v>
      </c>
      <c r="F4360" s="11" t="s">
        <v>5396</v>
      </c>
      <c r="G4360" s="8">
        <v>65.63</v>
      </c>
      <c r="H4360" s="8">
        <v>0</v>
      </c>
      <c r="I4360" s="8">
        <f>G4360-H4360</f>
        <v>65.63</v>
      </c>
      <c r="J4360" s="12"/>
    </row>
    <row r="4361" spans="1:10" x14ac:dyDescent="0.25">
      <c r="C4361" s="9"/>
      <c r="D4361" s="10">
        <v>45672</v>
      </c>
      <c r="E4361" t="s">
        <v>5397</v>
      </c>
      <c r="F4361" s="11" t="s">
        <v>42</v>
      </c>
      <c r="G4361" s="8">
        <v>0</v>
      </c>
      <c r="H4361" s="8">
        <v>65.63</v>
      </c>
      <c r="I4361" s="8">
        <f t="shared" ref="I4361:I4366" si="221">G4361-H4361+I4360</f>
        <v>0</v>
      </c>
      <c r="J4361" s="12"/>
    </row>
    <row r="4362" spans="1:10" x14ac:dyDescent="0.25">
      <c r="C4362" s="9"/>
      <c r="D4362" s="10">
        <v>45702</v>
      </c>
      <c r="E4362" t="s">
        <v>5398</v>
      </c>
      <c r="F4362" s="11" t="s">
        <v>5399</v>
      </c>
      <c r="G4362" s="8">
        <v>2639.62</v>
      </c>
      <c r="H4362" s="8">
        <v>0</v>
      </c>
      <c r="I4362" s="8">
        <f t="shared" si="221"/>
        <v>2639.62</v>
      </c>
      <c r="J4362" s="12"/>
    </row>
    <row r="4363" spans="1:10" x14ac:dyDescent="0.25">
      <c r="C4363" s="9"/>
      <c r="D4363" s="10">
        <v>45705</v>
      </c>
      <c r="E4363" t="s">
        <v>5397</v>
      </c>
      <c r="F4363" s="11" t="s">
        <v>42</v>
      </c>
      <c r="G4363" s="8">
        <v>0</v>
      </c>
      <c r="H4363" s="8">
        <v>2639.62</v>
      </c>
      <c r="I4363" s="8">
        <f t="shared" si="221"/>
        <v>0</v>
      </c>
      <c r="J4363" s="12"/>
    </row>
    <row r="4364" spans="1:10" x14ac:dyDescent="0.25">
      <c r="C4364" s="9"/>
      <c r="D4364" s="10">
        <v>45716</v>
      </c>
      <c r="E4364" t="s">
        <v>5400</v>
      </c>
      <c r="F4364" s="11" t="s">
        <v>5401</v>
      </c>
      <c r="G4364" s="8">
        <v>90.01</v>
      </c>
      <c r="H4364" s="8">
        <v>0</v>
      </c>
      <c r="I4364" s="8">
        <f t="shared" si="221"/>
        <v>90.01</v>
      </c>
      <c r="J4364" s="12"/>
    </row>
    <row r="4365" spans="1:10" x14ac:dyDescent="0.25">
      <c r="C4365" s="9" t="s">
        <v>124</v>
      </c>
      <c r="D4365" s="10">
        <v>45719</v>
      </c>
      <c r="E4365" t="s">
        <v>5397</v>
      </c>
      <c r="F4365" s="11" t="s">
        <v>42</v>
      </c>
      <c r="G4365" s="8">
        <v>0</v>
      </c>
      <c r="H4365" s="8">
        <v>90.01</v>
      </c>
      <c r="I4365" s="8">
        <f t="shared" si="221"/>
        <v>0</v>
      </c>
      <c r="J4365" s="12"/>
    </row>
    <row r="4366" spans="1:10" x14ac:dyDescent="0.25">
      <c r="C4366" s="9"/>
      <c r="D4366" s="10">
        <v>45762</v>
      </c>
      <c r="E4366" t="s">
        <v>5397</v>
      </c>
      <c r="F4366" s="11" t="s">
        <v>42</v>
      </c>
      <c r="G4366" s="8">
        <v>0</v>
      </c>
      <c r="H4366" s="8">
        <v>35.74</v>
      </c>
      <c r="I4366" s="8">
        <f t="shared" si="221"/>
        <v>-35.74</v>
      </c>
      <c r="J4366" s="12"/>
    </row>
    <row r="4367" spans="1:10" x14ac:dyDescent="0.25">
      <c r="E4367" s="4" t="s">
        <v>20</v>
      </c>
      <c r="G4367" s="8">
        <f>SUM(G4360:G4366)</f>
        <v>2795.26</v>
      </c>
      <c r="H4367" s="8">
        <f>SUM(H4360:H4366)</f>
        <v>2831</v>
      </c>
      <c r="I4367" s="8">
        <f>G4367-H4367</f>
        <v>-35.739999999999782</v>
      </c>
    </row>
    <row r="4369" spans="1:10" x14ac:dyDescent="0.25">
      <c r="A4369" s="5">
        <v>4307795</v>
      </c>
      <c r="B4369" s="6" t="s">
        <v>5402</v>
      </c>
      <c r="C4369" s="7"/>
      <c r="D4369" s="7"/>
      <c r="E4369" s="7"/>
      <c r="F4369" s="7"/>
      <c r="G4369" s="7"/>
      <c r="H4369" s="7"/>
      <c r="I4369" s="7"/>
      <c r="J4369" s="7"/>
    </row>
    <row r="4370" spans="1:10" x14ac:dyDescent="0.25">
      <c r="E4370" s="4" t="s">
        <v>10</v>
      </c>
      <c r="G4370" s="8">
        <v>262.17</v>
      </c>
      <c r="H4370" s="8">
        <v>0</v>
      </c>
      <c r="I4370" s="8">
        <f>G4370-H4370</f>
        <v>262.17</v>
      </c>
    </row>
    <row r="4371" spans="1:10" x14ac:dyDescent="0.25">
      <c r="C4371" s="9"/>
      <c r="D4371" s="10">
        <v>45667</v>
      </c>
      <c r="E4371" t="s">
        <v>5403</v>
      </c>
      <c r="F4371" s="11" t="s">
        <v>5404</v>
      </c>
      <c r="G4371" s="8">
        <v>0</v>
      </c>
      <c r="H4371" s="8">
        <v>139.38999999999999</v>
      </c>
      <c r="I4371" s="8">
        <f t="shared" ref="I4371:I4381" si="222">G4371-H4371+I4370</f>
        <v>122.78000000000003</v>
      </c>
      <c r="J4371" s="12"/>
    </row>
    <row r="4372" spans="1:10" x14ac:dyDescent="0.25">
      <c r="C4372" s="9"/>
      <c r="D4372" s="10">
        <v>45671</v>
      </c>
      <c r="E4372" t="s">
        <v>5405</v>
      </c>
      <c r="F4372" s="11" t="s">
        <v>5406</v>
      </c>
      <c r="G4372" s="8">
        <v>203.89</v>
      </c>
      <c r="H4372" s="8">
        <v>0</v>
      </c>
      <c r="I4372" s="8">
        <f t="shared" si="222"/>
        <v>326.67</v>
      </c>
      <c r="J4372" s="12"/>
    </row>
    <row r="4373" spans="1:10" x14ac:dyDescent="0.25">
      <c r="C4373" s="9"/>
      <c r="D4373" s="10">
        <v>45688</v>
      </c>
      <c r="E4373" t="s">
        <v>5407</v>
      </c>
      <c r="F4373" s="11" t="s">
        <v>5408</v>
      </c>
      <c r="G4373" s="8">
        <v>84.24</v>
      </c>
      <c r="H4373" s="8">
        <v>0</v>
      </c>
      <c r="I4373" s="8">
        <f t="shared" si="222"/>
        <v>410.91</v>
      </c>
      <c r="J4373" s="12"/>
    </row>
    <row r="4374" spans="1:10" x14ac:dyDescent="0.25">
      <c r="C4374" s="9"/>
      <c r="D4374" s="10">
        <v>45691</v>
      </c>
      <c r="E4374" t="s">
        <v>1524</v>
      </c>
      <c r="F4374" s="11" t="s">
        <v>5409</v>
      </c>
      <c r="G4374" s="8">
        <v>0</v>
      </c>
      <c r="H4374" s="8">
        <v>122.78</v>
      </c>
      <c r="I4374" s="8">
        <f t="shared" si="222"/>
        <v>288.13</v>
      </c>
      <c r="J4374" s="12"/>
    </row>
    <row r="4375" spans="1:10" x14ac:dyDescent="0.25">
      <c r="C4375" s="9"/>
      <c r="D4375" s="10">
        <v>45702</v>
      </c>
      <c r="E4375" t="s">
        <v>5410</v>
      </c>
      <c r="F4375" s="11" t="s">
        <v>5411</v>
      </c>
      <c r="G4375" s="8">
        <v>31.61</v>
      </c>
      <c r="H4375" s="8">
        <v>0</v>
      </c>
      <c r="I4375" s="8">
        <f t="shared" si="222"/>
        <v>319.74</v>
      </c>
      <c r="J4375" s="12"/>
    </row>
    <row r="4376" spans="1:10" x14ac:dyDescent="0.25">
      <c r="C4376" s="9"/>
      <c r="D4376" s="10">
        <v>45705</v>
      </c>
      <c r="E4376" t="s">
        <v>1524</v>
      </c>
      <c r="F4376" s="11" t="s">
        <v>5406</v>
      </c>
      <c r="G4376" s="8">
        <v>0</v>
      </c>
      <c r="H4376" s="8">
        <v>203.89</v>
      </c>
      <c r="I4376" s="8">
        <f t="shared" si="222"/>
        <v>115.85000000000002</v>
      </c>
      <c r="J4376" s="12"/>
    </row>
    <row r="4377" spans="1:10" x14ac:dyDescent="0.25">
      <c r="C4377" s="9"/>
      <c r="D4377" s="10">
        <v>45719</v>
      </c>
      <c r="E4377" t="s">
        <v>1524</v>
      </c>
      <c r="F4377" s="11" t="s">
        <v>5408</v>
      </c>
      <c r="G4377" s="8">
        <v>0</v>
      </c>
      <c r="H4377" s="8">
        <v>84.24</v>
      </c>
      <c r="I4377" s="8">
        <f t="shared" si="222"/>
        <v>31.610000000000028</v>
      </c>
      <c r="J4377" s="12"/>
    </row>
    <row r="4378" spans="1:10" x14ac:dyDescent="0.25">
      <c r="C4378" s="9"/>
      <c r="D4378" s="10">
        <v>45723</v>
      </c>
      <c r="E4378" t="s">
        <v>1524</v>
      </c>
      <c r="F4378" s="11" t="s">
        <v>5411</v>
      </c>
      <c r="G4378" s="8">
        <v>0</v>
      </c>
      <c r="H4378" s="8">
        <v>31.61</v>
      </c>
      <c r="I4378" s="8">
        <f t="shared" si="222"/>
        <v>2.8421709430404007E-14</v>
      </c>
      <c r="J4378" s="12"/>
    </row>
    <row r="4379" spans="1:10" x14ac:dyDescent="0.25">
      <c r="C4379" s="9"/>
      <c r="D4379" s="10">
        <v>45730</v>
      </c>
      <c r="E4379" t="s">
        <v>5412</v>
      </c>
      <c r="F4379" s="11" t="s">
        <v>5413</v>
      </c>
      <c r="G4379" s="8">
        <v>123.2</v>
      </c>
      <c r="H4379" s="8">
        <v>0</v>
      </c>
      <c r="I4379" s="8">
        <f t="shared" si="222"/>
        <v>123.20000000000003</v>
      </c>
      <c r="J4379" s="12"/>
    </row>
    <row r="4380" spans="1:10" x14ac:dyDescent="0.25">
      <c r="C4380" s="9"/>
      <c r="D4380" s="10">
        <v>45747</v>
      </c>
      <c r="E4380" t="s">
        <v>5414</v>
      </c>
      <c r="F4380" s="11" t="s">
        <v>5415</v>
      </c>
      <c r="G4380" s="8">
        <v>154.6</v>
      </c>
      <c r="H4380" s="8">
        <v>0</v>
      </c>
      <c r="I4380" s="8">
        <f t="shared" si="222"/>
        <v>277.8</v>
      </c>
      <c r="J4380" s="12"/>
    </row>
    <row r="4381" spans="1:10" x14ac:dyDescent="0.25">
      <c r="C4381" s="9"/>
      <c r="D4381" s="10">
        <v>45757</v>
      </c>
      <c r="E4381" t="s">
        <v>1524</v>
      </c>
      <c r="F4381" s="11" t="s">
        <v>5413</v>
      </c>
      <c r="G4381" s="8">
        <v>0</v>
      </c>
      <c r="H4381" s="8">
        <v>123.2</v>
      </c>
      <c r="I4381" s="8">
        <f t="shared" si="222"/>
        <v>154.60000000000002</v>
      </c>
      <c r="J4381" s="12"/>
    </row>
    <row r="4382" spans="1:10" x14ac:dyDescent="0.25">
      <c r="E4382" s="4" t="s">
        <v>20</v>
      </c>
      <c r="G4382" s="8">
        <f>SUM(G4370:G4381)</f>
        <v>859.71</v>
      </c>
      <c r="H4382" s="8">
        <f>SUM(H4370:H4381)</f>
        <v>705.11</v>
      </c>
      <c r="I4382" s="8">
        <f>G4382-H4382</f>
        <v>154.60000000000002</v>
      </c>
    </row>
    <row r="4384" spans="1:10" x14ac:dyDescent="0.25">
      <c r="A4384" s="5">
        <v>4307800</v>
      </c>
      <c r="B4384" s="6" t="s">
        <v>5416</v>
      </c>
      <c r="C4384" s="7"/>
      <c r="D4384" s="7"/>
      <c r="E4384" s="7"/>
      <c r="F4384" s="7"/>
      <c r="G4384" s="7"/>
      <c r="H4384" s="7"/>
      <c r="I4384" s="7"/>
      <c r="J4384" s="7"/>
    </row>
    <row r="4385" spans="1:10" x14ac:dyDescent="0.25">
      <c r="E4385" s="4" t="s">
        <v>10</v>
      </c>
      <c r="G4385" s="8">
        <v>21.99</v>
      </c>
      <c r="H4385" s="8">
        <v>0</v>
      </c>
      <c r="I4385" s="8">
        <f>G4385-H4385</f>
        <v>21.99</v>
      </c>
    </row>
    <row r="4386" spans="1:10" x14ac:dyDescent="0.25">
      <c r="E4386" s="4" t="s">
        <v>20</v>
      </c>
      <c r="G4386" s="8">
        <f>G4385</f>
        <v>21.99</v>
      </c>
      <c r="H4386" s="8">
        <f>H4385</f>
        <v>0</v>
      </c>
      <c r="I4386" s="8">
        <f>G4386-H4386</f>
        <v>21.99</v>
      </c>
    </row>
    <row r="4388" spans="1:10" x14ac:dyDescent="0.25">
      <c r="A4388" s="5">
        <v>4307815</v>
      </c>
      <c r="B4388" s="6" t="s">
        <v>5417</v>
      </c>
      <c r="C4388" s="7"/>
      <c r="D4388" s="7"/>
      <c r="E4388" s="7"/>
      <c r="F4388" s="7"/>
      <c r="G4388" s="7"/>
      <c r="H4388" s="7"/>
      <c r="I4388" s="7"/>
      <c r="J4388" s="7"/>
    </row>
    <row r="4389" spans="1:10" x14ac:dyDescent="0.25">
      <c r="E4389" s="4" t="s">
        <v>10</v>
      </c>
      <c r="G4389" s="8">
        <v>691.98</v>
      </c>
      <c r="H4389" s="8">
        <v>0</v>
      </c>
      <c r="I4389" s="8">
        <f>G4389-H4389</f>
        <v>691.98</v>
      </c>
    </row>
    <row r="4390" spans="1:10" x14ac:dyDescent="0.25">
      <c r="C4390" s="9"/>
      <c r="D4390" s="10">
        <v>45695</v>
      </c>
      <c r="E4390" t="s">
        <v>1524</v>
      </c>
      <c r="F4390" s="11" t="s">
        <v>5418</v>
      </c>
      <c r="G4390" s="8">
        <v>0</v>
      </c>
      <c r="H4390" s="8">
        <v>202.01</v>
      </c>
      <c r="I4390" s="8">
        <f>G4390-H4390+I4389</f>
        <v>489.97</v>
      </c>
      <c r="J4390" s="12"/>
    </row>
    <row r="4391" spans="1:10" x14ac:dyDescent="0.25">
      <c r="C4391" s="9"/>
      <c r="D4391" s="10">
        <v>45723</v>
      </c>
      <c r="E4391" t="s">
        <v>1524</v>
      </c>
      <c r="F4391" s="11" t="s">
        <v>5419</v>
      </c>
      <c r="G4391" s="8">
        <v>0</v>
      </c>
      <c r="H4391" s="8">
        <v>489.97</v>
      </c>
      <c r="I4391" s="8">
        <f>G4391-H4391+I4390</f>
        <v>0</v>
      </c>
      <c r="J4391" s="12"/>
    </row>
    <row r="4392" spans="1:10" x14ac:dyDescent="0.25">
      <c r="C4392" s="9"/>
      <c r="D4392" s="10">
        <v>45747</v>
      </c>
      <c r="E4392" t="s">
        <v>5420</v>
      </c>
      <c r="F4392" s="11" t="s">
        <v>5421</v>
      </c>
      <c r="G4392" s="8">
        <v>759.02</v>
      </c>
      <c r="H4392" s="8">
        <v>0</v>
      </c>
      <c r="I4392" s="8">
        <f>G4392-H4392+I4391</f>
        <v>759.02</v>
      </c>
      <c r="J4392" s="12"/>
    </row>
    <row r="4393" spans="1:10" x14ac:dyDescent="0.25">
      <c r="E4393" s="4" t="s">
        <v>20</v>
      </c>
      <c r="G4393" s="8">
        <f>SUM(G4389:G4392)</f>
        <v>1451</v>
      </c>
      <c r="H4393" s="8">
        <f>SUM(H4389:H4392)</f>
        <v>691.98</v>
      </c>
      <c r="I4393" s="8">
        <f>G4393-H4393</f>
        <v>759.02</v>
      </c>
    </row>
    <row r="4395" spans="1:10" x14ac:dyDescent="0.25">
      <c r="A4395" s="5">
        <v>4307825</v>
      </c>
      <c r="B4395" s="6" t="s">
        <v>5422</v>
      </c>
      <c r="C4395" s="7"/>
      <c r="D4395" s="7"/>
      <c r="E4395" s="7"/>
      <c r="F4395" s="7"/>
      <c r="G4395" s="7"/>
      <c r="H4395" s="7"/>
      <c r="I4395" s="7"/>
      <c r="J4395" s="7"/>
    </row>
    <row r="4396" spans="1:10" x14ac:dyDescent="0.25">
      <c r="E4396" s="4" t="s">
        <v>10</v>
      </c>
      <c r="G4396" s="8">
        <v>0</v>
      </c>
      <c r="H4396" s="8">
        <v>222.97</v>
      </c>
      <c r="I4396" s="8">
        <f>G4396-H4396</f>
        <v>-222.97</v>
      </c>
    </row>
    <row r="4397" spans="1:10" x14ac:dyDescent="0.25">
      <c r="C4397" s="9"/>
      <c r="D4397" s="10">
        <v>45730</v>
      </c>
      <c r="E4397" t="s">
        <v>5423</v>
      </c>
      <c r="F4397" s="11" t="s">
        <v>5424</v>
      </c>
      <c r="G4397" s="8">
        <v>196.35</v>
      </c>
      <c r="H4397" s="8">
        <v>0</v>
      </c>
      <c r="I4397" s="8">
        <f>G4397-H4397+I4396</f>
        <v>-26.620000000000005</v>
      </c>
      <c r="J4397" s="12"/>
    </row>
    <row r="4398" spans="1:10" x14ac:dyDescent="0.25">
      <c r="E4398" s="4" t="s">
        <v>20</v>
      </c>
      <c r="G4398" s="8">
        <f>SUM(G4396:G4397)</f>
        <v>196.35</v>
      </c>
      <c r="H4398" s="8">
        <f>SUM(H4396:H4397)</f>
        <v>222.97</v>
      </c>
      <c r="I4398" s="8">
        <f>G4398-H4398</f>
        <v>-26.620000000000005</v>
      </c>
    </row>
    <row r="4400" spans="1:10" x14ac:dyDescent="0.25">
      <c r="A4400" s="5">
        <v>4307830</v>
      </c>
      <c r="B4400" s="6" t="s">
        <v>5425</v>
      </c>
      <c r="C4400" s="7"/>
      <c r="D4400" s="7"/>
      <c r="E4400" s="7"/>
      <c r="F4400" s="7"/>
      <c r="G4400" s="7"/>
      <c r="H4400" s="7"/>
      <c r="I4400" s="7"/>
      <c r="J4400" s="7"/>
    </row>
    <row r="4401" spans="1:10" x14ac:dyDescent="0.25">
      <c r="C4401" s="9"/>
      <c r="D4401" s="10">
        <v>45762</v>
      </c>
      <c r="E4401" t="s">
        <v>5426</v>
      </c>
      <c r="F4401" s="11" t="s">
        <v>5427</v>
      </c>
      <c r="G4401" s="8">
        <v>0</v>
      </c>
      <c r="H4401" s="8">
        <v>42.4</v>
      </c>
      <c r="I4401" s="8">
        <f>G4401-H4401</f>
        <v>-42.4</v>
      </c>
      <c r="J4401" s="12"/>
    </row>
    <row r="4402" spans="1:10" x14ac:dyDescent="0.25">
      <c r="E4402" s="4" t="s">
        <v>20</v>
      </c>
      <c r="G4402" s="8">
        <f>G4401</f>
        <v>0</v>
      </c>
      <c r="H4402" s="8">
        <f>H4401</f>
        <v>42.4</v>
      </c>
      <c r="I4402" s="8">
        <f>G4402-H4402</f>
        <v>-42.4</v>
      </c>
    </row>
    <row r="4404" spans="1:10" x14ac:dyDescent="0.25">
      <c r="A4404" s="5">
        <v>4307835</v>
      </c>
      <c r="B4404" s="6" t="s">
        <v>5428</v>
      </c>
      <c r="C4404" s="7"/>
      <c r="D4404" s="7"/>
      <c r="E4404" s="7"/>
      <c r="F4404" s="7"/>
      <c r="G4404" s="7"/>
      <c r="H4404" s="7"/>
      <c r="I4404" s="7"/>
      <c r="J4404" s="7"/>
    </row>
    <row r="4405" spans="1:10" x14ac:dyDescent="0.25">
      <c r="E4405" s="4" t="s">
        <v>10</v>
      </c>
      <c r="G4405" s="8">
        <v>323.29000000000002</v>
      </c>
      <c r="H4405" s="8">
        <v>0</v>
      </c>
      <c r="I4405" s="8">
        <f>G4405-H4405</f>
        <v>323.29000000000002</v>
      </c>
    </row>
    <row r="4406" spans="1:10" x14ac:dyDescent="0.25">
      <c r="C4406" s="9"/>
      <c r="D4406" s="10">
        <v>45688</v>
      </c>
      <c r="E4406" t="s">
        <v>5429</v>
      </c>
      <c r="F4406" s="11" t="s">
        <v>5430</v>
      </c>
      <c r="G4406" s="8">
        <v>275.11</v>
      </c>
      <c r="H4406" s="8">
        <v>0</v>
      </c>
      <c r="I4406" s="8">
        <f t="shared" ref="I4406:I4412" si="223">G4406-H4406+I4405</f>
        <v>598.40000000000009</v>
      </c>
      <c r="J4406" s="12"/>
    </row>
    <row r="4407" spans="1:10" x14ac:dyDescent="0.25">
      <c r="C4407" s="9"/>
      <c r="D4407" s="10">
        <v>45691</v>
      </c>
      <c r="E4407" t="s">
        <v>1524</v>
      </c>
      <c r="F4407" s="11" t="s">
        <v>5431</v>
      </c>
      <c r="G4407" s="8">
        <v>0</v>
      </c>
      <c r="H4407" s="8">
        <v>293.55</v>
      </c>
      <c r="I4407" s="8">
        <f t="shared" si="223"/>
        <v>304.85000000000008</v>
      </c>
      <c r="J4407" s="12"/>
    </row>
    <row r="4408" spans="1:10" x14ac:dyDescent="0.25">
      <c r="C4408" s="9"/>
      <c r="D4408" s="10">
        <v>45716</v>
      </c>
      <c r="E4408" t="s">
        <v>5432</v>
      </c>
      <c r="F4408" s="11" t="s">
        <v>5433</v>
      </c>
      <c r="G4408" s="8">
        <v>58.52</v>
      </c>
      <c r="H4408" s="8">
        <v>0</v>
      </c>
      <c r="I4408" s="8">
        <f t="shared" si="223"/>
        <v>363.37000000000006</v>
      </c>
      <c r="J4408" s="12"/>
    </row>
    <row r="4409" spans="1:10" x14ac:dyDescent="0.25">
      <c r="C4409" s="9" t="s">
        <v>124</v>
      </c>
      <c r="D4409" s="10">
        <v>45719</v>
      </c>
      <c r="E4409" t="s">
        <v>5434</v>
      </c>
      <c r="F4409" s="11" t="s">
        <v>42</v>
      </c>
      <c r="G4409" s="8">
        <v>0</v>
      </c>
      <c r="H4409" s="8">
        <v>58.52</v>
      </c>
      <c r="I4409" s="8">
        <f t="shared" si="223"/>
        <v>304.85000000000008</v>
      </c>
      <c r="J4409" s="12"/>
    </row>
    <row r="4410" spans="1:10" x14ac:dyDescent="0.25">
      <c r="C4410" s="9"/>
      <c r="D4410" s="10">
        <v>45747</v>
      </c>
      <c r="E4410" t="s">
        <v>5435</v>
      </c>
      <c r="F4410" s="11" t="s">
        <v>5436</v>
      </c>
      <c r="G4410" s="8">
        <v>42.75</v>
      </c>
      <c r="H4410" s="8">
        <v>0</v>
      </c>
      <c r="I4410" s="8">
        <f t="shared" si="223"/>
        <v>347.60000000000008</v>
      </c>
      <c r="J4410" s="12"/>
    </row>
    <row r="4411" spans="1:10" x14ac:dyDescent="0.25">
      <c r="C4411" s="9" t="s">
        <v>124</v>
      </c>
      <c r="D4411" s="10">
        <v>45748</v>
      </c>
      <c r="E4411" t="s">
        <v>5434</v>
      </c>
      <c r="F4411" s="11" t="s">
        <v>42</v>
      </c>
      <c r="G4411" s="8">
        <v>0</v>
      </c>
      <c r="H4411" s="8">
        <v>42.75</v>
      </c>
      <c r="I4411" s="8">
        <f t="shared" si="223"/>
        <v>304.85000000000008</v>
      </c>
      <c r="J4411" s="12"/>
    </row>
    <row r="4412" spans="1:10" x14ac:dyDescent="0.25">
      <c r="C4412" s="9"/>
      <c r="D4412" s="10">
        <v>45762</v>
      </c>
      <c r="E4412" t="s">
        <v>5434</v>
      </c>
      <c r="F4412" s="11" t="s">
        <v>42</v>
      </c>
      <c r="G4412" s="8">
        <v>0</v>
      </c>
      <c r="H4412" s="8">
        <v>30.4</v>
      </c>
      <c r="I4412" s="8">
        <f t="shared" si="223"/>
        <v>274.4500000000001</v>
      </c>
      <c r="J4412" s="12"/>
    </row>
    <row r="4413" spans="1:10" x14ac:dyDescent="0.25">
      <c r="E4413" s="4" t="s">
        <v>20</v>
      </c>
      <c r="G4413" s="8">
        <f>SUM(G4405:G4412)</f>
        <v>699.67000000000007</v>
      </c>
      <c r="H4413" s="8">
        <f>SUM(H4405:H4412)</f>
        <v>425.21999999999997</v>
      </c>
      <c r="I4413" s="8">
        <f>G4413-H4413</f>
        <v>274.4500000000001</v>
      </c>
    </row>
    <row r="4415" spans="1:10" x14ac:dyDescent="0.25">
      <c r="A4415" s="5">
        <v>4307850</v>
      </c>
      <c r="B4415" s="6" t="s">
        <v>5437</v>
      </c>
      <c r="C4415" s="7"/>
      <c r="D4415" s="7"/>
      <c r="E4415" s="7"/>
      <c r="F4415" s="7"/>
      <c r="G4415" s="7"/>
      <c r="H4415" s="7"/>
      <c r="I4415" s="7"/>
      <c r="J4415" s="7"/>
    </row>
    <row r="4416" spans="1:10" x14ac:dyDescent="0.25">
      <c r="E4416" s="4" t="s">
        <v>10</v>
      </c>
      <c r="G4416" s="8">
        <v>137.80000000000001</v>
      </c>
      <c r="H4416" s="8">
        <v>0</v>
      </c>
      <c r="I4416" s="8">
        <f>G4416-H4416</f>
        <v>137.80000000000001</v>
      </c>
    </row>
    <row r="4417" spans="1:10" x14ac:dyDescent="0.25">
      <c r="C4417" s="9"/>
      <c r="D4417" s="10">
        <v>45659</v>
      </c>
      <c r="E4417" t="s">
        <v>1524</v>
      </c>
      <c r="F4417" s="11" t="s">
        <v>5438</v>
      </c>
      <c r="G4417" s="8">
        <v>0</v>
      </c>
      <c r="H4417" s="8">
        <v>61.27</v>
      </c>
      <c r="I4417" s="8">
        <f t="shared" ref="I4417:I4424" si="224">G4417-H4417+I4416</f>
        <v>76.53</v>
      </c>
      <c r="J4417" s="12"/>
    </row>
    <row r="4418" spans="1:10" x14ac:dyDescent="0.25">
      <c r="C4418" s="9"/>
      <c r="D4418" s="10">
        <v>45702</v>
      </c>
      <c r="E4418" t="s">
        <v>5439</v>
      </c>
      <c r="F4418" s="11" t="s">
        <v>5440</v>
      </c>
      <c r="G4418" s="8">
        <v>57.32</v>
      </c>
      <c r="H4418" s="8">
        <v>0</v>
      </c>
      <c r="I4418" s="8">
        <f t="shared" si="224"/>
        <v>133.85</v>
      </c>
      <c r="J4418" s="12"/>
    </row>
    <row r="4419" spans="1:10" x14ac:dyDescent="0.25">
      <c r="C4419" s="9"/>
      <c r="D4419" s="10">
        <v>45705</v>
      </c>
      <c r="E4419" t="s">
        <v>5441</v>
      </c>
      <c r="F4419" s="11" t="s">
        <v>42</v>
      </c>
      <c r="G4419" s="8">
        <v>0</v>
      </c>
      <c r="H4419" s="8">
        <v>57.32</v>
      </c>
      <c r="I4419" s="8">
        <f t="shared" si="224"/>
        <v>76.53</v>
      </c>
      <c r="J4419" s="12"/>
    </row>
    <row r="4420" spans="1:10" x14ac:dyDescent="0.25">
      <c r="C4420" s="9"/>
      <c r="D4420" s="10">
        <v>45730</v>
      </c>
      <c r="E4420" t="s">
        <v>5442</v>
      </c>
      <c r="F4420" s="11" t="s">
        <v>5443</v>
      </c>
      <c r="G4420" s="8">
        <v>39</v>
      </c>
      <c r="H4420" s="8">
        <v>0</v>
      </c>
      <c r="I4420" s="8">
        <f t="shared" si="224"/>
        <v>115.53</v>
      </c>
      <c r="J4420" s="12"/>
    </row>
    <row r="4421" spans="1:10" x14ac:dyDescent="0.25">
      <c r="C4421" s="9"/>
      <c r="D4421" s="10">
        <v>45733</v>
      </c>
      <c r="E4421" t="s">
        <v>5441</v>
      </c>
      <c r="F4421" s="11" t="s">
        <v>42</v>
      </c>
      <c r="G4421" s="8">
        <v>0</v>
      </c>
      <c r="H4421" s="8">
        <v>39</v>
      </c>
      <c r="I4421" s="8">
        <f t="shared" si="224"/>
        <v>76.53</v>
      </c>
      <c r="J4421" s="12"/>
    </row>
    <row r="4422" spans="1:10" x14ac:dyDescent="0.25">
      <c r="C4422" s="9"/>
      <c r="D4422" s="10">
        <v>45747</v>
      </c>
      <c r="E4422" t="s">
        <v>5444</v>
      </c>
      <c r="F4422" s="11" t="s">
        <v>5445</v>
      </c>
      <c r="G4422" s="8">
        <v>68.7</v>
      </c>
      <c r="H4422" s="8">
        <v>0</v>
      </c>
      <c r="I4422" s="8">
        <f t="shared" si="224"/>
        <v>145.23000000000002</v>
      </c>
      <c r="J4422" s="12"/>
    </row>
    <row r="4423" spans="1:10" x14ac:dyDescent="0.25">
      <c r="C4423" s="9" t="s">
        <v>124</v>
      </c>
      <c r="D4423" s="10">
        <v>45748</v>
      </c>
      <c r="E4423" t="s">
        <v>5446</v>
      </c>
      <c r="F4423" s="11" t="s">
        <v>5445</v>
      </c>
      <c r="G4423" s="8">
        <v>0</v>
      </c>
      <c r="H4423" s="8">
        <v>68.7</v>
      </c>
      <c r="I4423" s="8">
        <f t="shared" si="224"/>
        <v>76.530000000000015</v>
      </c>
      <c r="J4423" s="12"/>
    </row>
    <row r="4424" spans="1:10" x14ac:dyDescent="0.25">
      <c r="C4424" s="9"/>
      <c r="D4424" s="10">
        <v>45762</v>
      </c>
      <c r="E4424" t="s">
        <v>5447</v>
      </c>
      <c r="F4424" s="11" t="s">
        <v>42</v>
      </c>
      <c r="G4424" s="8">
        <v>0</v>
      </c>
      <c r="H4424" s="8">
        <v>151.03</v>
      </c>
      <c r="I4424" s="8">
        <f t="shared" si="224"/>
        <v>-74.499999999999986</v>
      </c>
      <c r="J4424" s="12"/>
    </row>
    <row r="4425" spans="1:10" x14ac:dyDescent="0.25">
      <c r="E4425" s="4" t="s">
        <v>20</v>
      </c>
      <c r="G4425" s="8">
        <f>SUM(G4416:G4424)</f>
        <v>302.82</v>
      </c>
      <c r="H4425" s="8">
        <f>SUM(H4416:H4424)</f>
        <v>377.32000000000005</v>
      </c>
      <c r="I4425" s="8">
        <f>G4425-H4425</f>
        <v>-74.500000000000057</v>
      </c>
    </row>
    <row r="4427" spans="1:10" x14ac:dyDescent="0.25">
      <c r="A4427" s="5">
        <v>4307860</v>
      </c>
      <c r="B4427" s="6" t="s">
        <v>5448</v>
      </c>
      <c r="C4427" s="7"/>
      <c r="D4427" s="7"/>
      <c r="E4427" s="7"/>
      <c r="F4427" s="7"/>
      <c r="G4427" s="7"/>
      <c r="H4427" s="7"/>
      <c r="I4427" s="7"/>
      <c r="J4427" s="7"/>
    </row>
    <row r="4428" spans="1:10" x14ac:dyDescent="0.25">
      <c r="C4428" s="9"/>
      <c r="D4428" s="10">
        <v>45688</v>
      </c>
      <c r="E4428" t="s">
        <v>5449</v>
      </c>
      <c r="F4428" s="11" t="s">
        <v>5450</v>
      </c>
      <c r="G4428" s="8">
        <v>103.81</v>
      </c>
      <c r="H4428" s="8">
        <v>0</v>
      </c>
      <c r="I4428" s="8">
        <f>G4428-H4428</f>
        <v>103.81</v>
      </c>
      <c r="J4428" s="12"/>
    </row>
    <row r="4429" spans="1:10" x14ac:dyDescent="0.25">
      <c r="C4429" s="9"/>
      <c r="D4429" s="10">
        <v>45691</v>
      </c>
      <c r="E4429" t="s">
        <v>5451</v>
      </c>
      <c r="F4429" s="11" t="s">
        <v>42</v>
      </c>
      <c r="G4429" s="8">
        <v>0</v>
      </c>
      <c r="H4429" s="8">
        <v>103.81</v>
      </c>
      <c r="I4429" s="8">
        <f t="shared" ref="I4429:I4434" si="225">G4429-H4429+I4428</f>
        <v>0</v>
      </c>
      <c r="J4429" s="12"/>
    </row>
    <row r="4430" spans="1:10" x14ac:dyDescent="0.25">
      <c r="C4430" s="9"/>
      <c r="D4430" s="10">
        <v>45702</v>
      </c>
      <c r="E4430" t="s">
        <v>5452</v>
      </c>
      <c r="F4430" s="11" t="s">
        <v>5453</v>
      </c>
      <c r="G4430" s="8">
        <v>127.98</v>
      </c>
      <c r="H4430" s="8">
        <v>0</v>
      </c>
      <c r="I4430" s="8">
        <f t="shared" si="225"/>
        <v>127.98</v>
      </c>
      <c r="J4430" s="12"/>
    </row>
    <row r="4431" spans="1:10" x14ac:dyDescent="0.25">
      <c r="C4431" s="9"/>
      <c r="D4431" s="10">
        <v>45705</v>
      </c>
      <c r="E4431" t="s">
        <v>5454</v>
      </c>
      <c r="F4431" s="11" t="s">
        <v>42</v>
      </c>
      <c r="G4431" s="8">
        <v>0</v>
      </c>
      <c r="H4431" s="8">
        <v>127.98</v>
      </c>
      <c r="I4431" s="8">
        <f t="shared" si="225"/>
        <v>0</v>
      </c>
      <c r="J4431" s="12"/>
    </row>
    <row r="4432" spans="1:10" x14ac:dyDescent="0.25">
      <c r="C4432" s="9"/>
      <c r="D4432" s="10">
        <v>45747</v>
      </c>
      <c r="E4432" t="s">
        <v>5455</v>
      </c>
      <c r="F4432" s="11" t="s">
        <v>5456</v>
      </c>
      <c r="G4432" s="8">
        <v>41.41</v>
      </c>
      <c r="H4432" s="8">
        <v>0</v>
      </c>
      <c r="I4432" s="8">
        <f t="shared" si="225"/>
        <v>41.41</v>
      </c>
      <c r="J4432" s="12"/>
    </row>
    <row r="4433" spans="1:10" x14ac:dyDescent="0.25">
      <c r="C4433" s="9" t="s">
        <v>124</v>
      </c>
      <c r="D4433" s="10">
        <v>45748</v>
      </c>
      <c r="E4433" t="s">
        <v>5457</v>
      </c>
      <c r="F4433" s="11" t="s">
        <v>5458</v>
      </c>
      <c r="G4433" s="8">
        <v>0</v>
      </c>
      <c r="H4433" s="8">
        <v>41.41</v>
      </c>
      <c r="I4433" s="8">
        <f t="shared" si="225"/>
        <v>0</v>
      </c>
      <c r="J4433" s="12"/>
    </row>
    <row r="4434" spans="1:10" x14ac:dyDescent="0.25">
      <c r="C4434" s="9"/>
      <c r="D4434" s="10">
        <v>45762</v>
      </c>
      <c r="E4434" t="s">
        <v>5451</v>
      </c>
      <c r="F4434" s="11" t="s">
        <v>42</v>
      </c>
      <c r="G4434" s="8">
        <v>0</v>
      </c>
      <c r="H4434" s="8">
        <v>39.75</v>
      </c>
      <c r="I4434" s="8">
        <f t="shared" si="225"/>
        <v>-39.75</v>
      </c>
      <c r="J4434" s="12"/>
    </row>
    <row r="4435" spans="1:10" x14ac:dyDescent="0.25">
      <c r="E4435" s="4" t="s">
        <v>20</v>
      </c>
      <c r="G4435" s="8">
        <f>SUM(G4428:G4434)</f>
        <v>273.20000000000005</v>
      </c>
      <c r="H4435" s="8">
        <f>SUM(H4428:H4434)</f>
        <v>312.95000000000005</v>
      </c>
      <c r="I4435" s="8">
        <f>G4435-H4435</f>
        <v>-39.75</v>
      </c>
    </row>
    <row r="4437" spans="1:10" x14ac:dyDescent="0.25">
      <c r="A4437" s="5">
        <v>4307870</v>
      </c>
      <c r="B4437" s="6" t="s">
        <v>5459</v>
      </c>
      <c r="C4437" s="7"/>
      <c r="D4437" s="7"/>
      <c r="E4437" s="7"/>
      <c r="F4437" s="7"/>
      <c r="G4437" s="7"/>
      <c r="H4437" s="7"/>
      <c r="I4437" s="7"/>
      <c r="J4437" s="7"/>
    </row>
    <row r="4438" spans="1:10" x14ac:dyDescent="0.25">
      <c r="C4438" s="9"/>
      <c r="D4438" s="10">
        <v>45762</v>
      </c>
      <c r="E4438" t="s">
        <v>5460</v>
      </c>
      <c r="F4438" s="11" t="s">
        <v>42</v>
      </c>
      <c r="G4438" s="8">
        <v>0</v>
      </c>
      <c r="H4438" s="8">
        <v>179.62</v>
      </c>
      <c r="I4438" s="8">
        <f>G4438-H4438</f>
        <v>-179.62</v>
      </c>
      <c r="J4438" s="12"/>
    </row>
    <row r="4439" spans="1:10" x14ac:dyDescent="0.25">
      <c r="E4439" s="4" t="s">
        <v>20</v>
      </c>
      <c r="G4439" s="8">
        <f>G4438</f>
        <v>0</v>
      </c>
      <c r="H4439" s="8">
        <f>H4438</f>
        <v>179.62</v>
      </c>
      <c r="I4439" s="8">
        <f>G4439-H4439</f>
        <v>-179.62</v>
      </c>
    </row>
    <row r="4441" spans="1:10" x14ac:dyDescent="0.25">
      <c r="A4441" s="5">
        <v>4307875</v>
      </c>
      <c r="B4441" s="6" t="s">
        <v>5461</v>
      </c>
      <c r="C4441" s="7"/>
      <c r="D4441" s="7"/>
      <c r="E4441" s="7"/>
      <c r="F4441" s="7"/>
      <c r="G4441" s="7"/>
      <c r="H4441" s="7"/>
      <c r="I4441" s="7"/>
      <c r="J4441" s="7"/>
    </row>
    <row r="4442" spans="1:10" x14ac:dyDescent="0.25">
      <c r="E4442" s="4" t="s">
        <v>10</v>
      </c>
      <c r="G4442" s="8">
        <v>316.72000000000003</v>
      </c>
      <c r="H4442" s="8">
        <v>0</v>
      </c>
      <c r="I4442" s="8">
        <f>G4442-H4442</f>
        <v>316.72000000000003</v>
      </c>
    </row>
    <row r="4443" spans="1:10" x14ac:dyDescent="0.25">
      <c r="C4443" s="9"/>
      <c r="D4443" s="10">
        <v>45667</v>
      </c>
      <c r="E4443" t="s">
        <v>1524</v>
      </c>
      <c r="F4443" s="11" t="s">
        <v>5462</v>
      </c>
      <c r="G4443" s="8">
        <v>0</v>
      </c>
      <c r="H4443" s="8">
        <v>53.24</v>
      </c>
      <c r="I4443" s="8">
        <f t="shared" ref="I4443:I4453" si="226">G4443-H4443+I4442</f>
        <v>263.48</v>
      </c>
      <c r="J4443" s="12"/>
    </row>
    <row r="4444" spans="1:10" x14ac:dyDescent="0.25">
      <c r="C4444" s="9"/>
      <c r="D4444" s="10">
        <v>45671</v>
      </c>
      <c r="E4444" t="s">
        <v>5463</v>
      </c>
      <c r="F4444" s="11" t="s">
        <v>5464</v>
      </c>
      <c r="G4444" s="8">
        <v>46.31</v>
      </c>
      <c r="H4444" s="8">
        <v>0</v>
      </c>
      <c r="I4444" s="8">
        <f t="shared" si="226"/>
        <v>309.79000000000002</v>
      </c>
      <c r="J4444" s="12"/>
    </row>
    <row r="4445" spans="1:10" x14ac:dyDescent="0.25">
      <c r="C4445" s="9"/>
      <c r="D4445" s="10">
        <v>45684</v>
      </c>
      <c r="E4445" t="s">
        <v>5465</v>
      </c>
      <c r="F4445" s="11" t="s">
        <v>42</v>
      </c>
      <c r="G4445" s="8">
        <v>0</v>
      </c>
      <c r="H4445" s="8">
        <v>109.06</v>
      </c>
      <c r="I4445" s="8">
        <f t="shared" si="226"/>
        <v>200.73000000000002</v>
      </c>
      <c r="J4445" s="12"/>
    </row>
    <row r="4446" spans="1:10" x14ac:dyDescent="0.25">
      <c r="C4446" s="9"/>
      <c r="D4446" s="10">
        <v>45688</v>
      </c>
      <c r="E4446" t="s">
        <v>5466</v>
      </c>
      <c r="F4446" s="11" t="s">
        <v>5467</v>
      </c>
      <c r="G4446" s="8">
        <v>87.64</v>
      </c>
      <c r="H4446" s="8">
        <v>0</v>
      </c>
      <c r="I4446" s="8">
        <f t="shared" si="226"/>
        <v>288.37</v>
      </c>
      <c r="J4446" s="12"/>
    </row>
    <row r="4447" spans="1:10" x14ac:dyDescent="0.25">
      <c r="C4447" s="9"/>
      <c r="D4447" s="10">
        <v>45698</v>
      </c>
      <c r="E4447" t="s">
        <v>5465</v>
      </c>
      <c r="F4447" s="11" t="s">
        <v>42</v>
      </c>
      <c r="G4447" s="8">
        <v>0</v>
      </c>
      <c r="H4447" s="8">
        <v>103.31</v>
      </c>
      <c r="I4447" s="8">
        <f t="shared" si="226"/>
        <v>185.06</v>
      </c>
      <c r="J4447" s="12"/>
    </row>
    <row r="4448" spans="1:10" x14ac:dyDescent="0.25">
      <c r="C4448" s="9"/>
      <c r="D4448" s="10">
        <v>45702</v>
      </c>
      <c r="E4448" t="s">
        <v>5468</v>
      </c>
      <c r="F4448" s="11" t="s">
        <v>5469</v>
      </c>
      <c r="G4448" s="8">
        <v>79.8</v>
      </c>
      <c r="H4448" s="8">
        <v>0</v>
      </c>
      <c r="I4448" s="8">
        <f t="shared" si="226"/>
        <v>264.86</v>
      </c>
      <c r="J4448" s="12"/>
    </row>
    <row r="4449" spans="1:10" x14ac:dyDescent="0.25">
      <c r="C4449" s="9"/>
      <c r="D4449" s="10">
        <v>45713</v>
      </c>
      <c r="E4449" t="s">
        <v>1524</v>
      </c>
      <c r="F4449" s="11" t="s">
        <v>5470</v>
      </c>
      <c r="G4449" s="8">
        <v>0</v>
      </c>
      <c r="H4449" s="8">
        <v>35.33</v>
      </c>
      <c r="I4449" s="8">
        <f t="shared" si="226"/>
        <v>229.53000000000003</v>
      </c>
      <c r="J4449" s="12"/>
    </row>
    <row r="4450" spans="1:10" x14ac:dyDescent="0.25">
      <c r="C4450" s="9"/>
      <c r="D4450" s="10">
        <v>45726</v>
      </c>
      <c r="E4450" t="s">
        <v>1524</v>
      </c>
      <c r="F4450" s="11" t="s">
        <v>5471</v>
      </c>
      <c r="G4450" s="8">
        <v>0</v>
      </c>
      <c r="H4450" s="8">
        <v>46.31</v>
      </c>
      <c r="I4450" s="8">
        <f t="shared" si="226"/>
        <v>183.22000000000003</v>
      </c>
      <c r="J4450" s="12"/>
    </row>
    <row r="4451" spans="1:10" x14ac:dyDescent="0.25">
      <c r="C4451" s="9"/>
      <c r="D4451" s="10">
        <v>45730</v>
      </c>
      <c r="E4451" t="s">
        <v>5472</v>
      </c>
      <c r="F4451" s="11" t="s">
        <v>5473</v>
      </c>
      <c r="G4451" s="8">
        <v>139.30000000000001</v>
      </c>
      <c r="H4451" s="8">
        <v>0</v>
      </c>
      <c r="I4451" s="8">
        <f t="shared" si="226"/>
        <v>322.52000000000004</v>
      </c>
      <c r="J4451" s="12"/>
    </row>
    <row r="4452" spans="1:10" x14ac:dyDescent="0.25">
      <c r="C4452" s="9"/>
      <c r="D4452" s="10">
        <v>45741</v>
      </c>
      <c r="E4452" t="s">
        <v>5465</v>
      </c>
      <c r="F4452" s="11" t="s">
        <v>42</v>
      </c>
      <c r="G4452" s="8">
        <v>0</v>
      </c>
      <c r="H4452" s="8">
        <v>87.64</v>
      </c>
      <c r="I4452" s="8">
        <f t="shared" si="226"/>
        <v>234.88000000000005</v>
      </c>
      <c r="J4452" s="12"/>
    </row>
    <row r="4453" spans="1:10" x14ac:dyDescent="0.25">
      <c r="C4453" s="9"/>
      <c r="D4453" s="10">
        <v>45757</v>
      </c>
      <c r="E4453" t="s">
        <v>5465</v>
      </c>
      <c r="F4453" s="11" t="s">
        <v>42</v>
      </c>
      <c r="G4453" s="8">
        <v>0</v>
      </c>
      <c r="H4453" s="8">
        <v>79.8</v>
      </c>
      <c r="I4453" s="8">
        <f t="shared" si="226"/>
        <v>155.08000000000004</v>
      </c>
      <c r="J4453" s="12"/>
    </row>
    <row r="4454" spans="1:10" x14ac:dyDescent="0.25">
      <c r="E4454" s="4" t="s">
        <v>20</v>
      </c>
      <c r="G4454" s="8">
        <f>SUM(G4442:G4453)</f>
        <v>669.77</v>
      </c>
      <c r="H4454" s="8">
        <f>SUM(H4442:H4453)</f>
        <v>514.68999999999994</v>
      </c>
      <c r="I4454" s="8">
        <f>G4454-H4454</f>
        <v>155.08000000000004</v>
      </c>
    </row>
    <row r="4456" spans="1:10" x14ac:dyDescent="0.25">
      <c r="A4456" s="5">
        <v>4307895</v>
      </c>
      <c r="B4456" s="6" t="s">
        <v>5474</v>
      </c>
      <c r="C4456" s="7"/>
      <c r="D4456" s="7"/>
      <c r="E4456" s="7"/>
      <c r="F4456" s="7"/>
      <c r="G4456" s="7"/>
      <c r="H4456" s="7"/>
      <c r="I4456" s="7"/>
      <c r="J4456" s="7"/>
    </row>
    <row r="4457" spans="1:10" x14ac:dyDescent="0.25">
      <c r="E4457" s="4" t="s">
        <v>10</v>
      </c>
      <c r="G4457" s="8">
        <v>604.49</v>
      </c>
      <c r="H4457" s="8">
        <v>0</v>
      </c>
      <c r="I4457" s="8">
        <f>G4457-H4457</f>
        <v>604.49</v>
      </c>
    </row>
    <row r="4458" spans="1:10" x14ac:dyDescent="0.25">
      <c r="C4458" s="9"/>
      <c r="D4458" s="10">
        <v>45659</v>
      </c>
      <c r="E4458" t="s">
        <v>5475</v>
      </c>
      <c r="F4458" s="11" t="s">
        <v>42</v>
      </c>
      <c r="G4458" s="8">
        <v>0</v>
      </c>
      <c r="H4458" s="8">
        <v>604.49</v>
      </c>
      <c r="I4458" s="8">
        <f t="shared" ref="I4458:I4469" si="227">G4458-H4458+I4457</f>
        <v>0</v>
      </c>
      <c r="J4458" s="12"/>
    </row>
    <row r="4459" spans="1:10" x14ac:dyDescent="0.25">
      <c r="C4459" s="9"/>
      <c r="D4459" s="10">
        <v>45688</v>
      </c>
      <c r="E4459" t="s">
        <v>5476</v>
      </c>
      <c r="F4459" s="11" t="s">
        <v>5477</v>
      </c>
      <c r="G4459" s="8">
        <v>74.12</v>
      </c>
      <c r="H4459" s="8">
        <v>0</v>
      </c>
      <c r="I4459" s="8">
        <f t="shared" si="227"/>
        <v>74.12</v>
      </c>
      <c r="J4459" s="12"/>
    </row>
    <row r="4460" spans="1:10" x14ac:dyDescent="0.25">
      <c r="C4460" s="9"/>
      <c r="D4460" s="10">
        <v>45691</v>
      </c>
      <c r="E4460" t="s">
        <v>5475</v>
      </c>
      <c r="F4460" s="11" t="s">
        <v>42</v>
      </c>
      <c r="G4460" s="8">
        <v>0</v>
      </c>
      <c r="H4460" s="8">
        <v>74.12</v>
      </c>
      <c r="I4460" s="8">
        <f t="shared" si="227"/>
        <v>0</v>
      </c>
      <c r="J4460" s="12"/>
    </row>
    <row r="4461" spans="1:10" x14ac:dyDescent="0.25">
      <c r="C4461" s="9"/>
      <c r="D4461" s="10">
        <v>45702</v>
      </c>
      <c r="E4461" t="s">
        <v>5478</v>
      </c>
      <c r="F4461" s="11" t="s">
        <v>5479</v>
      </c>
      <c r="G4461" s="8">
        <v>1759.46</v>
      </c>
      <c r="H4461" s="8">
        <v>0</v>
      </c>
      <c r="I4461" s="8">
        <f t="shared" si="227"/>
        <v>1759.46</v>
      </c>
      <c r="J4461" s="12"/>
    </row>
    <row r="4462" spans="1:10" x14ac:dyDescent="0.25">
      <c r="C4462" s="9"/>
      <c r="D4462" s="10">
        <v>45705</v>
      </c>
      <c r="E4462" t="s">
        <v>5475</v>
      </c>
      <c r="F4462" s="11" t="s">
        <v>42</v>
      </c>
      <c r="G4462" s="8">
        <v>0</v>
      </c>
      <c r="H4462" s="8">
        <v>1759.46</v>
      </c>
      <c r="I4462" s="8">
        <f t="shared" si="227"/>
        <v>0</v>
      </c>
      <c r="J4462" s="12"/>
    </row>
    <row r="4463" spans="1:10" x14ac:dyDescent="0.25">
      <c r="C4463" s="9"/>
      <c r="D4463" s="10">
        <v>45743</v>
      </c>
      <c r="E4463" t="s">
        <v>5480</v>
      </c>
      <c r="F4463" s="11" t="s">
        <v>42</v>
      </c>
      <c r="G4463" s="8">
        <v>845.79</v>
      </c>
      <c r="H4463" s="8">
        <v>0</v>
      </c>
      <c r="I4463" s="8">
        <f t="shared" si="227"/>
        <v>845.79</v>
      </c>
      <c r="J4463" s="12"/>
    </row>
    <row r="4464" spans="1:10" x14ac:dyDescent="0.25">
      <c r="C4464" s="9"/>
      <c r="D4464" s="10">
        <v>45743</v>
      </c>
      <c r="E4464" t="s">
        <v>5480</v>
      </c>
      <c r="F4464" s="11" t="s">
        <v>42</v>
      </c>
      <c r="G4464" s="8">
        <v>913.67</v>
      </c>
      <c r="H4464" s="8">
        <v>0</v>
      </c>
      <c r="I4464" s="8">
        <f t="shared" si="227"/>
        <v>1759.46</v>
      </c>
      <c r="J4464" s="12"/>
    </row>
    <row r="4465" spans="1:10" x14ac:dyDescent="0.25">
      <c r="C4465" s="9"/>
      <c r="D4465" s="10">
        <v>45744</v>
      </c>
      <c r="E4465" t="s">
        <v>5481</v>
      </c>
      <c r="F4465" s="11" t="s">
        <v>5482</v>
      </c>
      <c r="G4465" s="8">
        <v>-845.79</v>
      </c>
      <c r="H4465" s="8">
        <v>0</v>
      </c>
      <c r="I4465" s="8">
        <f t="shared" si="227"/>
        <v>913.67000000000007</v>
      </c>
      <c r="J4465" s="12"/>
    </row>
    <row r="4466" spans="1:10" x14ac:dyDescent="0.25">
      <c r="C4466" s="9"/>
      <c r="D4466" s="10">
        <v>45744</v>
      </c>
      <c r="E4466" t="s">
        <v>5483</v>
      </c>
      <c r="F4466" s="11" t="s">
        <v>42</v>
      </c>
      <c r="G4466" s="8">
        <v>0</v>
      </c>
      <c r="H4466" s="8">
        <v>913.67</v>
      </c>
      <c r="I4466" s="8">
        <f t="shared" si="227"/>
        <v>0</v>
      </c>
      <c r="J4466" s="12"/>
    </row>
    <row r="4467" spans="1:10" x14ac:dyDescent="0.25">
      <c r="C4467" s="9"/>
      <c r="D4467" s="10">
        <v>45747</v>
      </c>
      <c r="E4467" t="s">
        <v>5484</v>
      </c>
      <c r="F4467" s="11" t="s">
        <v>5485</v>
      </c>
      <c r="G4467" s="8">
        <v>1089.83</v>
      </c>
      <c r="H4467" s="8">
        <v>0</v>
      </c>
      <c r="I4467" s="8">
        <f t="shared" si="227"/>
        <v>1089.83</v>
      </c>
      <c r="J4467" s="12"/>
    </row>
    <row r="4468" spans="1:10" x14ac:dyDescent="0.25">
      <c r="C4468" s="9" t="s">
        <v>124</v>
      </c>
      <c r="D4468" s="10">
        <v>45748</v>
      </c>
      <c r="E4468" t="s">
        <v>5486</v>
      </c>
      <c r="F4468" s="11" t="s">
        <v>5487</v>
      </c>
      <c r="G4468" s="8">
        <v>0</v>
      </c>
      <c r="H4468" s="8">
        <v>1089.83</v>
      </c>
      <c r="I4468" s="8">
        <f t="shared" si="227"/>
        <v>0</v>
      </c>
      <c r="J4468" s="12"/>
    </row>
    <row r="4469" spans="1:10" x14ac:dyDescent="0.25">
      <c r="C4469" s="9"/>
      <c r="D4469" s="10">
        <v>45762</v>
      </c>
      <c r="E4469" t="s">
        <v>1524</v>
      </c>
      <c r="F4469" s="11" t="s">
        <v>5488</v>
      </c>
      <c r="G4469" s="8">
        <v>0</v>
      </c>
      <c r="H4469" s="8">
        <v>728.5</v>
      </c>
      <c r="I4469" s="8">
        <f t="shared" si="227"/>
        <v>-728.5</v>
      </c>
      <c r="J4469" s="12"/>
    </row>
    <row r="4470" spans="1:10" x14ac:dyDescent="0.25">
      <c r="E4470" s="4" t="s">
        <v>20</v>
      </c>
      <c r="G4470" s="8">
        <f>SUM(G4457:G4469)</f>
        <v>4441.57</v>
      </c>
      <c r="H4470" s="8">
        <f>SUM(H4457:H4469)</f>
        <v>5170.07</v>
      </c>
      <c r="I4470" s="8">
        <f>G4470-H4470</f>
        <v>-728.5</v>
      </c>
    </row>
    <row r="4472" spans="1:10" x14ac:dyDescent="0.25">
      <c r="A4472" s="5">
        <v>4307905</v>
      </c>
      <c r="B4472" s="6" t="s">
        <v>5489</v>
      </c>
      <c r="C4472" s="7"/>
      <c r="D4472" s="7"/>
      <c r="E4472" s="7"/>
      <c r="F4472" s="7"/>
      <c r="G4472" s="7"/>
      <c r="H4472" s="7"/>
      <c r="I4472" s="7"/>
      <c r="J4472" s="7"/>
    </row>
    <row r="4473" spans="1:10" x14ac:dyDescent="0.25">
      <c r="C4473" s="9"/>
      <c r="D4473" s="10">
        <v>45702</v>
      </c>
      <c r="E4473" t="s">
        <v>5490</v>
      </c>
      <c r="F4473" s="11" t="s">
        <v>5491</v>
      </c>
      <c r="G4473" s="8">
        <v>82</v>
      </c>
      <c r="H4473" s="8">
        <v>0</v>
      </c>
      <c r="I4473" s="8">
        <f>G4473-H4473</f>
        <v>82</v>
      </c>
      <c r="J4473" s="12"/>
    </row>
    <row r="4474" spans="1:10" x14ac:dyDescent="0.25">
      <c r="C4474" s="9"/>
      <c r="D4474" s="10">
        <v>45705</v>
      </c>
      <c r="E4474" t="s">
        <v>5492</v>
      </c>
      <c r="F4474" s="11" t="s">
        <v>42</v>
      </c>
      <c r="G4474" s="8">
        <v>0</v>
      </c>
      <c r="H4474" s="8">
        <v>82</v>
      </c>
      <c r="I4474" s="8">
        <f>G4474-H4474+I4473</f>
        <v>0</v>
      </c>
      <c r="J4474" s="12"/>
    </row>
    <row r="4475" spans="1:10" x14ac:dyDescent="0.25">
      <c r="C4475" s="9"/>
      <c r="D4475" s="10">
        <v>45762</v>
      </c>
      <c r="E4475" t="s">
        <v>5493</v>
      </c>
      <c r="F4475" s="11" t="s">
        <v>42</v>
      </c>
      <c r="G4475" s="8">
        <v>0</v>
      </c>
      <c r="H4475" s="8">
        <v>60.5</v>
      </c>
      <c r="I4475" s="8">
        <f>G4475-H4475+I4474</f>
        <v>-60.5</v>
      </c>
      <c r="J4475" s="12"/>
    </row>
    <row r="4476" spans="1:10" x14ac:dyDescent="0.25">
      <c r="E4476" s="4" t="s">
        <v>20</v>
      </c>
      <c r="G4476" s="8">
        <f>SUM(G4473:G4475)</f>
        <v>82</v>
      </c>
      <c r="H4476" s="8">
        <f>SUM(H4473:H4475)</f>
        <v>142.5</v>
      </c>
      <c r="I4476" s="8">
        <f>G4476-H4476</f>
        <v>-60.5</v>
      </c>
    </row>
    <row r="4478" spans="1:10" x14ac:dyDescent="0.25">
      <c r="A4478" s="5">
        <v>4307920</v>
      </c>
      <c r="B4478" s="6" t="s">
        <v>5494</v>
      </c>
      <c r="C4478" s="7"/>
      <c r="D4478" s="7"/>
      <c r="E4478" s="7"/>
      <c r="F4478" s="7"/>
      <c r="G4478" s="7"/>
      <c r="H4478" s="7"/>
      <c r="I4478" s="7"/>
      <c r="J4478" s="7"/>
    </row>
    <row r="4479" spans="1:10" x14ac:dyDescent="0.25">
      <c r="E4479" s="4" t="s">
        <v>10</v>
      </c>
      <c r="G4479" s="8">
        <v>448.61</v>
      </c>
      <c r="H4479" s="8">
        <v>0</v>
      </c>
      <c r="I4479" s="8">
        <f>G4479-H4479</f>
        <v>448.61</v>
      </c>
    </row>
    <row r="4480" spans="1:10" x14ac:dyDescent="0.25">
      <c r="C4480" s="9"/>
      <c r="D4480" s="10">
        <v>45673</v>
      </c>
      <c r="E4480" t="s">
        <v>5495</v>
      </c>
      <c r="F4480" s="11" t="s">
        <v>5496</v>
      </c>
      <c r="G4480" s="8">
        <v>0</v>
      </c>
      <c r="H4480" s="8">
        <v>256.05</v>
      </c>
      <c r="I4480" s="8">
        <f t="shared" ref="I4480:I4487" si="228">G4480-H4480+I4479</f>
        <v>192.56</v>
      </c>
      <c r="J4480" s="12"/>
    </row>
    <row r="4481" spans="1:10" x14ac:dyDescent="0.25">
      <c r="C4481" s="9"/>
      <c r="D4481" s="10">
        <v>45688</v>
      </c>
      <c r="E4481" t="s">
        <v>5497</v>
      </c>
      <c r="F4481" s="11" t="s">
        <v>5498</v>
      </c>
      <c r="G4481" s="8">
        <v>1365.21</v>
      </c>
      <c r="H4481" s="8">
        <v>0</v>
      </c>
      <c r="I4481" s="8">
        <f t="shared" si="228"/>
        <v>1557.77</v>
      </c>
      <c r="J4481" s="12"/>
    </row>
    <row r="4482" spans="1:10" x14ac:dyDescent="0.25">
      <c r="C4482" s="9"/>
      <c r="D4482" s="10">
        <v>45692</v>
      </c>
      <c r="E4482" t="s">
        <v>1524</v>
      </c>
      <c r="F4482" s="11" t="s">
        <v>5499</v>
      </c>
      <c r="G4482" s="8">
        <v>0</v>
      </c>
      <c r="H4482" s="8">
        <v>168.72</v>
      </c>
      <c r="I4482" s="8">
        <f t="shared" si="228"/>
        <v>1389.05</v>
      </c>
      <c r="J4482" s="12"/>
    </row>
    <row r="4483" spans="1:10" x14ac:dyDescent="0.25">
      <c r="C4483" s="9"/>
      <c r="D4483" s="10">
        <v>45692</v>
      </c>
      <c r="E4483" t="s">
        <v>1524</v>
      </c>
      <c r="F4483" s="11" t="s">
        <v>5500</v>
      </c>
      <c r="G4483" s="8">
        <v>0</v>
      </c>
      <c r="H4483" s="8">
        <v>23.84</v>
      </c>
      <c r="I4483" s="8">
        <f t="shared" si="228"/>
        <v>1365.21</v>
      </c>
      <c r="J4483" s="12"/>
    </row>
    <row r="4484" spans="1:10" x14ac:dyDescent="0.25">
      <c r="C4484" s="9"/>
      <c r="D4484" s="10">
        <v>45716</v>
      </c>
      <c r="E4484" t="s">
        <v>5501</v>
      </c>
      <c r="F4484" s="11" t="s">
        <v>5502</v>
      </c>
      <c r="G4484" s="8">
        <v>731.58</v>
      </c>
      <c r="H4484" s="8">
        <v>0</v>
      </c>
      <c r="I4484" s="8">
        <f t="shared" si="228"/>
        <v>2096.79</v>
      </c>
      <c r="J4484" s="12"/>
    </row>
    <row r="4485" spans="1:10" x14ac:dyDescent="0.25">
      <c r="C4485" s="9"/>
      <c r="D4485" s="10">
        <v>45740</v>
      </c>
      <c r="E4485" t="s">
        <v>1524</v>
      </c>
      <c r="F4485" s="11" t="s">
        <v>5498</v>
      </c>
      <c r="G4485" s="8">
        <v>0</v>
      </c>
      <c r="H4485" s="8">
        <v>1365.21</v>
      </c>
      <c r="I4485" s="8">
        <f t="shared" si="228"/>
        <v>731.57999999999993</v>
      </c>
      <c r="J4485" s="12"/>
    </row>
    <row r="4486" spans="1:10" x14ac:dyDescent="0.25">
      <c r="C4486" s="9"/>
      <c r="D4486" s="10">
        <v>45747</v>
      </c>
      <c r="E4486" t="s">
        <v>5503</v>
      </c>
      <c r="F4486" s="11" t="s">
        <v>5504</v>
      </c>
      <c r="G4486" s="8">
        <v>550.62</v>
      </c>
      <c r="H4486" s="8">
        <v>0</v>
      </c>
      <c r="I4486" s="8">
        <f t="shared" si="228"/>
        <v>1282.1999999999998</v>
      </c>
      <c r="J4486" s="12"/>
    </row>
    <row r="4487" spans="1:10" x14ac:dyDescent="0.25">
      <c r="C4487" s="9"/>
      <c r="D4487" s="10">
        <v>45758</v>
      </c>
      <c r="E4487" t="s">
        <v>1524</v>
      </c>
      <c r="F4487" s="11" t="s">
        <v>5502</v>
      </c>
      <c r="G4487" s="8">
        <v>0</v>
      </c>
      <c r="H4487" s="8">
        <v>731.58</v>
      </c>
      <c r="I4487" s="8">
        <f t="shared" si="228"/>
        <v>550.61999999999978</v>
      </c>
      <c r="J4487" s="12"/>
    </row>
    <row r="4488" spans="1:10" x14ac:dyDescent="0.25">
      <c r="E4488" s="4" t="s">
        <v>20</v>
      </c>
      <c r="G4488" s="8">
        <f>SUM(G4479:G4487)</f>
        <v>3096.02</v>
      </c>
      <c r="H4488" s="8">
        <f>SUM(H4479:H4487)</f>
        <v>2545.4</v>
      </c>
      <c r="I4488" s="8">
        <f>G4488-H4488</f>
        <v>550.61999999999989</v>
      </c>
    </row>
    <row r="4490" spans="1:10" x14ac:dyDescent="0.25">
      <c r="A4490" s="5">
        <v>4307925</v>
      </c>
      <c r="B4490" s="6" t="s">
        <v>5505</v>
      </c>
      <c r="C4490" s="7"/>
      <c r="D4490" s="7"/>
      <c r="E4490" s="7"/>
      <c r="F4490" s="7"/>
      <c r="G4490" s="7"/>
      <c r="H4490" s="7"/>
      <c r="I4490" s="7"/>
      <c r="J4490" s="7"/>
    </row>
    <row r="4491" spans="1:10" x14ac:dyDescent="0.25">
      <c r="E4491" s="4" t="s">
        <v>10</v>
      </c>
      <c r="G4491" s="8">
        <v>2846.85</v>
      </c>
      <c r="H4491" s="8">
        <v>0</v>
      </c>
      <c r="I4491" s="8">
        <f>G4491-H4491</f>
        <v>2846.85</v>
      </c>
    </row>
    <row r="4492" spans="1:10" x14ac:dyDescent="0.25">
      <c r="C4492" s="9"/>
      <c r="D4492" s="10">
        <v>45688</v>
      </c>
      <c r="E4492" t="s">
        <v>5506</v>
      </c>
      <c r="F4492" s="11" t="s">
        <v>5507</v>
      </c>
      <c r="G4492" s="8">
        <v>118.3</v>
      </c>
      <c r="H4492" s="8">
        <v>0</v>
      </c>
      <c r="I4492" s="8">
        <f t="shared" ref="I4492:I4497" si="229">G4492-H4492+I4491</f>
        <v>2965.15</v>
      </c>
      <c r="J4492" s="12"/>
    </row>
    <row r="4493" spans="1:10" x14ac:dyDescent="0.25">
      <c r="C4493" s="9"/>
      <c r="D4493" s="10">
        <v>45702</v>
      </c>
      <c r="E4493" t="s">
        <v>5508</v>
      </c>
      <c r="F4493" s="11" t="s">
        <v>5509</v>
      </c>
      <c r="G4493" s="8">
        <v>723.82</v>
      </c>
      <c r="H4493" s="8">
        <v>0</v>
      </c>
      <c r="I4493" s="8">
        <f t="shared" si="229"/>
        <v>3688.9700000000003</v>
      </c>
      <c r="J4493" s="12"/>
    </row>
    <row r="4494" spans="1:10" x14ac:dyDescent="0.25">
      <c r="C4494" s="9"/>
      <c r="D4494" s="10">
        <v>45716</v>
      </c>
      <c r="E4494" t="s">
        <v>5510</v>
      </c>
      <c r="F4494" s="11" t="s">
        <v>5511</v>
      </c>
      <c r="G4494" s="8">
        <v>128.37</v>
      </c>
      <c r="H4494" s="8">
        <v>0</v>
      </c>
      <c r="I4494" s="8">
        <f t="shared" si="229"/>
        <v>3817.34</v>
      </c>
      <c r="J4494" s="12"/>
    </row>
    <row r="4495" spans="1:10" x14ac:dyDescent="0.25">
      <c r="C4495" s="9"/>
      <c r="D4495" s="10">
        <v>45719</v>
      </c>
      <c r="E4495" t="s">
        <v>1524</v>
      </c>
      <c r="F4495" s="11" t="s">
        <v>5512</v>
      </c>
      <c r="G4495" s="8">
        <v>0</v>
      </c>
      <c r="H4495" s="8">
        <v>1291.32</v>
      </c>
      <c r="I4495" s="8">
        <f t="shared" si="229"/>
        <v>2526.0200000000004</v>
      </c>
      <c r="J4495" s="12"/>
    </row>
    <row r="4496" spans="1:10" x14ac:dyDescent="0.25">
      <c r="C4496" s="9"/>
      <c r="D4496" s="10">
        <v>45747</v>
      </c>
      <c r="E4496" t="s">
        <v>5513</v>
      </c>
      <c r="F4496" s="11" t="s">
        <v>5514</v>
      </c>
      <c r="G4496" s="8">
        <v>129.51</v>
      </c>
      <c r="H4496" s="8">
        <v>0</v>
      </c>
      <c r="I4496" s="8">
        <f t="shared" si="229"/>
        <v>2655.5300000000007</v>
      </c>
      <c r="J4496" s="12"/>
    </row>
    <row r="4497" spans="1:10" x14ac:dyDescent="0.25">
      <c r="C4497" s="9"/>
      <c r="D4497" s="10">
        <v>45747</v>
      </c>
      <c r="E4497" t="s">
        <v>1524</v>
      </c>
      <c r="F4497" s="11" t="s">
        <v>5507</v>
      </c>
      <c r="G4497" s="8">
        <v>0</v>
      </c>
      <c r="H4497" s="8">
        <v>118.3</v>
      </c>
      <c r="I4497" s="8">
        <f t="shared" si="229"/>
        <v>2537.2300000000005</v>
      </c>
      <c r="J4497" s="12"/>
    </row>
    <row r="4498" spans="1:10" x14ac:dyDescent="0.25">
      <c r="E4498" s="4" t="s">
        <v>20</v>
      </c>
      <c r="G4498" s="8">
        <f>SUM(G4491:G4497)</f>
        <v>3946.8500000000004</v>
      </c>
      <c r="H4498" s="8">
        <f>SUM(H4491:H4497)</f>
        <v>1409.62</v>
      </c>
      <c r="I4498" s="8">
        <f>G4498-H4498</f>
        <v>2537.2300000000005</v>
      </c>
    </row>
    <row r="4500" spans="1:10" x14ac:dyDescent="0.25">
      <c r="A4500" s="5">
        <v>4307930</v>
      </c>
      <c r="B4500" s="6" t="s">
        <v>5515</v>
      </c>
      <c r="C4500" s="7"/>
      <c r="D4500" s="7"/>
      <c r="E4500" s="7"/>
      <c r="F4500" s="7"/>
      <c r="G4500" s="7"/>
      <c r="H4500" s="7"/>
      <c r="I4500" s="7"/>
      <c r="J4500" s="7"/>
    </row>
    <row r="4501" spans="1:10" x14ac:dyDescent="0.25">
      <c r="E4501" s="4" t="s">
        <v>10</v>
      </c>
      <c r="G4501" s="8">
        <v>15.65</v>
      </c>
      <c r="H4501" s="8">
        <v>0</v>
      </c>
      <c r="I4501" s="8">
        <f>G4501-H4501</f>
        <v>15.65</v>
      </c>
    </row>
    <row r="4502" spans="1:10" x14ac:dyDescent="0.25">
      <c r="E4502" s="4" t="s">
        <v>20</v>
      </c>
      <c r="G4502" s="8">
        <f>G4501</f>
        <v>15.65</v>
      </c>
      <c r="H4502" s="8">
        <f>H4501</f>
        <v>0</v>
      </c>
      <c r="I4502" s="8">
        <f>G4502-H4502</f>
        <v>15.65</v>
      </c>
    </row>
    <row r="4504" spans="1:10" x14ac:dyDescent="0.25">
      <c r="A4504" s="5">
        <v>4307935</v>
      </c>
      <c r="B4504" s="6" t="s">
        <v>5516</v>
      </c>
      <c r="C4504" s="7"/>
      <c r="D4504" s="7"/>
      <c r="E4504" s="7"/>
      <c r="F4504" s="7"/>
      <c r="G4504" s="7"/>
      <c r="H4504" s="7"/>
      <c r="I4504" s="7"/>
      <c r="J4504" s="7"/>
    </row>
    <row r="4505" spans="1:10" x14ac:dyDescent="0.25">
      <c r="E4505" s="4" t="s">
        <v>10</v>
      </c>
      <c r="G4505" s="8">
        <v>1429.96</v>
      </c>
      <c r="H4505" s="8">
        <v>0</v>
      </c>
      <c r="I4505" s="8">
        <f>G4505-H4505</f>
        <v>1429.96</v>
      </c>
    </row>
    <row r="4506" spans="1:10" x14ac:dyDescent="0.25">
      <c r="C4506" s="9"/>
      <c r="D4506" s="10">
        <v>45659</v>
      </c>
      <c r="E4506" t="s">
        <v>5517</v>
      </c>
      <c r="F4506" s="11" t="s">
        <v>42</v>
      </c>
      <c r="G4506" s="8">
        <v>0</v>
      </c>
      <c r="H4506" s="8">
        <v>612.29999999999995</v>
      </c>
      <c r="I4506" s="8">
        <f t="shared" ref="I4506:I4517" si="230">G4506-H4506+I4505</f>
        <v>817.66000000000008</v>
      </c>
      <c r="J4506" s="12"/>
    </row>
    <row r="4507" spans="1:10" x14ac:dyDescent="0.25">
      <c r="C4507" s="9"/>
      <c r="D4507" s="10">
        <v>45688</v>
      </c>
      <c r="E4507" t="s">
        <v>5518</v>
      </c>
      <c r="F4507" s="11" t="s">
        <v>5519</v>
      </c>
      <c r="G4507" s="8">
        <v>342.5</v>
      </c>
      <c r="H4507" s="8">
        <v>0</v>
      </c>
      <c r="I4507" s="8">
        <f t="shared" si="230"/>
        <v>1160.1600000000001</v>
      </c>
      <c r="J4507" s="12"/>
    </row>
    <row r="4508" spans="1:10" x14ac:dyDescent="0.25">
      <c r="C4508" s="9"/>
      <c r="D4508" s="10">
        <v>45691</v>
      </c>
      <c r="E4508" t="s">
        <v>5517</v>
      </c>
      <c r="F4508" s="11" t="s">
        <v>5520</v>
      </c>
      <c r="G4508" s="8">
        <v>0</v>
      </c>
      <c r="H4508" s="8">
        <v>342.5</v>
      </c>
      <c r="I4508" s="8">
        <f t="shared" si="230"/>
        <v>817.66000000000008</v>
      </c>
      <c r="J4508" s="12"/>
    </row>
    <row r="4509" spans="1:10" x14ac:dyDescent="0.25">
      <c r="C4509" s="9"/>
      <c r="D4509" s="10">
        <v>45702</v>
      </c>
      <c r="E4509" t="s">
        <v>5521</v>
      </c>
      <c r="F4509" s="11" t="s">
        <v>5522</v>
      </c>
      <c r="G4509" s="8">
        <v>259.58</v>
      </c>
      <c r="H4509" s="8">
        <v>0</v>
      </c>
      <c r="I4509" s="8">
        <f t="shared" si="230"/>
        <v>1077.24</v>
      </c>
      <c r="J4509" s="12"/>
    </row>
    <row r="4510" spans="1:10" x14ac:dyDescent="0.25">
      <c r="C4510" s="9"/>
      <c r="D4510" s="10">
        <v>45705</v>
      </c>
      <c r="E4510" t="s">
        <v>5517</v>
      </c>
      <c r="F4510" s="11" t="s">
        <v>5520</v>
      </c>
      <c r="G4510" s="8">
        <v>0</v>
      </c>
      <c r="H4510" s="8">
        <v>259.58</v>
      </c>
      <c r="I4510" s="8">
        <f t="shared" si="230"/>
        <v>817.66000000000008</v>
      </c>
      <c r="J4510" s="12"/>
    </row>
    <row r="4511" spans="1:10" x14ac:dyDescent="0.25">
      <c r="C4511" s="9"/>
      <c r="D4511" s="10">
        <v>45716</v>
      </c>
      <c r="E4511" t="s">
        <v>5523</v>
      </c>
      <c r="F4511" s="11" t="s">
        <v>5524</v>
      </c>
      <c r="G4511" s="8">
        <v>86.01</v>
      </c>
      <c r="H4511" s="8">
        <v>0</v>
      </c>
      <c r="I4511" s="8">
        <f t="shared" si="230"/>
        <v>903.67000000000007</v>
      </c>
      <c r="J4511" s="12"/>
    </row>
    <row r="4512" spans="1:10" x14ac:dyDescent="0.25">
      <c r="C4512" s="9" t="s">
        <v>124</v>
      </c>
      <c r="D4512" s="10">
        <v>45719</v>
      </c>
      <c r="E4512" t="s">
        <v>5517</v>
      </c>
      <c r="F4512" s="11" t="s">
        <v>42</v>
      </c>
      <c r="G4512" s="8">
        <v>0</v>
      </c>
      <c r="H4512" s="8">
        <v>86.01</v>
      </c>
      <c r="I4512" s="8">
        <f t="shared" si="230"/>
        <v>817.66000000000008</v>
      </c>
      <c r="J4512" s="12"/>
    </row>
    <row r="4513" spans="1:10" x14ac:dyDescent="0.25">
      <c r="C4513" s="9"/>
      <c r="D4513" s="10">
        <v>45730</v>
      </c>
      <c r="E4513" t="s">
        <v>5525</v>
      </c>
      <c r="F4513" s="11" t="s">
        <v>5526</v>
      </c>
      <c r="G4513" s="8">
        <v>536.04999999999995</v>
      </c>
      <c r="H4513" s="8">
        <v>0</v>
      </c>
      <c r="I4513" s="8">
        <f t="shared" si="230"/>
        <v>1353.71</v>
      </c>
      <c r="J4513" s="12"/>
    </row>
    <row r="4514" spans="1:10" x14ac:dyDescent="0.25">
      <c r="C4514" s="9"/>
      <c r="D4514" s="10">
        <v>45733</v>
      </c>
      <c r="E4514" t="s">
        <v>5517</v>
      </c>
      <c r="F4514" s="11" t="s">
        <v>5520</v>
      </c>
      <c r="G4514" s="8">
        <v>0</v>
      </c>
      <c r="H4514" s="8">
        <v>536.04999999999995</v>
      </c>
      <c r="I4514" s="8">
        <f t="shared" si="230"/>
        <v>817.66000000000008</v>
      </c>
      <c r="J4514" s="12"/>
    </row>
    <row r="4515" spans="1:10" x14ac:dyDescent="0.25">
      <c r="C4515" s="9"/>
      <c r="D4515" s="10">
        <v>45747</v>
      </c>
      <c r="E4515" t="s">
        <v>5527</v>
      </c>
      <c r="F4515" s="11" t="s">
        <v>5528</v>
      </c>
      <c r="G4515" s="8">
        <v>177.62</v>
      </c>
      <c r="H4515" s="8">
        <v>0</v>
      </c>
      <c r="I4515" s="8">
        <f t="shared" si="230"/>
        <v>995.28000000000009</v>
      </c>
      <c r="J4515" s="12"/>
    </row>
    <row r="4516" spans="1:10" x14ac:dyDescent="0.25">
      <c r="C4516" s="9" t="s">
        <v>124</v>
      </c>
      <c r="D4516" s="10">
        <v>45748</v>
      </c>
      <c r="E4516" t="s">
        <v>5517</v>
      </c>
      <c r="F4516" s="11" t="s">
        <v>42</v>
      </c>
      <c r="G4516" s="8">
        <v>0</v>
      </c>
      <c r="H4516" s="8">
        <v>177.62</v>
      </c>
      <c r="I4516" s="8">
        <f t="shared" si="230"/>
        <v>817.66000000000008</v>
      </c>
      <c r="J4516" s="12"/>
    </row>
    <row r="4517" spans="1:10" x14ac:dyDescent="0.25">
      <c r="C4517" s="9"/>
      <c r="D4517" s="10">
        <v>45762</v>
      </c>
      <c r="E4517" t="s">
        <v>5517</v>
      </c>
      <c r="F4517" s="11" t="s">
        <v>5520</v>
      </c>
      <c r="G4517" s="8">
        <v>0</v>
      </c>
      <c r="H4517" s="8">
        <v>129.85</v>
      </c>
      <c r="I4517" s="8">
        <f t="shared" si="230"/>
        <v>687.81000000000006</v>
      </c>
      <c r="J4517" s="12"/>
    </row>
    <row r="4518" spans="1:10" x14ac:dyDescent="0.25">
      <c r="E4518" s="4" t="s">
        <v>20</v>
      </c>
      <c r="G4518" s="8">
        <f>SUM(G4505:G4517)</f>
        <v>2831.7200000000003</v>
      </c>
      <c r="H4518" s="8">
        <f>SUM(H4505:H4517)</f>
        <v>2143.91</v>
      </c>
      <c r="I4518" s="8">
        <f>G4518-H4518</f>
        <v>687.8100000000004</v>
      </c>
    </row>
    <row r="4520" spans="1:10" x14ac:dyDescent="0.25">
      <c r="A4520" s="5">
        <v>4307940</v>
      </c>
      <c r="B4520" s="6" t="s">
        <v>5529</v>
      </c>
      <c r="C4520" s="7"/>
      <c r="D4520" s="7"/>
      <c r="E4520" s="7"/>
      <c r="F4520" s="7"/>
      <c r="G4520" s="7"/>
      <c r="H4520" s="7"/>
      <c r="I4520" s="7"/>
      <c r="J4520" s="7"/>
    </row>
    <row r="4521" spans="1:10" x14ac:dyDescent="0.25">
      <c r="E4521" s="4" t="s">
        <v>10</v>
      </c>
      <c r="G4521" s="8">
        <v>38.39</v>
      </c>
      <c r="H4521" s="8">
        <v>0</v>
      </c>
      <c r="I4521" s="8">
        <f>G4521-H4521</f>
        <v>38.39</v>
      </c>
    </row>
    <row r="4522" spans="1:10" x14ac:dyDescent="0.25">
      <c r="C4522" s="9"/>
      <c r="D4522" s="10">
        <v>45660</v>
      </c>
      <c r="E4522" t="s">
        <v>5530</v>
      </c>
      <c r="F4522" s="11" t="s">
        <v>42</v>
      </c>
      <c r="G4522" s="8">
        <v>0</v>
      </c>
      <c r="H4522" s="8">
        <v>38.39</v>
      </c>
      <c r="I4522" s="8">
        <f t="shared" ref="I4522:I4533" si="231">G4522-H4522+I4521</f>
        <v>0</v>
      </c>
      <c r="J4522" s="12"/>
    </row>
    <row r="4523" spans="1:10" x14ac:dyDescent="0.25">
      <c r="C4523" s="9"/>
      <c r="D4523" s="10">
        <v>45688</v>
      </c>
      <c r="E4523" t="s">
        <v>5531</v>
      </c>
      <c r="F4523" s="11" t="s">
        <v>5532</v>
      </c>
      <c r="G4523" s="8">
        <v>101.99</v>
      </c>
      <c r="H4523" s="8">
        <v>0</v>
      </c>
      <c r="I4523" s="8">
        <f t="shared" si="231"/>
        <v>101.99</v>
      </c>
      <c r="J4523" s="12"/>
    </row>
    <row r="4524" spans="1:10" x14ac:dyDescent="0.25">
      <c r="C4524" s="9" t="s">
        <v>124</v>
      </c>
      <c r="D4524" s="10">
        <v>45691</v>
      </c>
      <c r="E4524" t="s">
        <v>5530</v>
      </c>
      <c r="F4524" s="11" t="s">
        <v>42</v>
      </c>
      <c r="G4524" s="8">
        <v>0</v>
      </c>
      <c r="H4524" s="8">
        <v>101.99</v>
      </c>
      <c r="I4524" s="8">
        <f t="shared" si="231"/>
        <v>0</v>
      </c>
      <c r="J4524" s="12"/>
    </row>
    <row r="4525" spans="1:10" x14ac:dyDescent="0.25">
      <c r="C4525" s="9"/>
      <c r="D4525" s="10">
        <v>45702</v>
      </c>
      <c r="E4525" t="s">
        <v>5533</v>
      </c>
      <c r="F4525" s="11" t="s">
        <v>5534</v>
      </c>
      <c r="G4525" s="8">
        <v>46.27</v>
      </c>
      <c r="H4525" s="8">
        <v>0</v>
      </c>
      <c r="I4525" s="8">
        <f t="shared" si="231"/>
        <v>46.27</v>
      </c>
      <c r="J4525" s="12"/>
    </row>
    <row r="4526" spans="1:10" x14ac:dyDescent="0.25">
      <c r="C4526" s="9"/>
      <c r="D4526" s="10">
        <v>45705</v>
      </c>
      <c r="E4526" t="s">
        <v>5535</v>
      </c>
      <c r="F4526" s="11" t="s">
        <v>42</v>
      </c>
      <c r="G4526" s="8">
        <v>0</v>
      </c>
      <c r="H4526" s="8">
        <v>46.27</v>
      </c>
      <c r="I4526" s="8">
        <f t="shared" si="231"/>
        <v>0</v>
      </c>
      <c r="J4526" s="12"/>
    </row>
    <row r="4527" spans="1:10" x14ac:dyDescent="0.25">
      <c r="C4527" s="9"/>
      <c r="D4527" s="10">
        <v>45716</v>
      </c>
      <c r="E4527" t="s">
        <v>5536</v>
      </c>
      <c r="F4527" s="11" t="s">
        <v>5537</v>
      </c>
      <c r="G4527" s="8">
        <v>126.93</v>
      </c>
      <c r="H4527" s="8">
        <v>0</v>
      </c>
      <c r="I4527" s="8">
        <f t="shared" si="231"/>
        <v>126.93</v>
      </c>
      <c r="J4527" s="12"/>
    </row>
    <row r="4528" spans="1:10" x14ac:dyDescent="0.25">
      <c r="C4528" s="9"/>
      <c r="D4528" s="10">
        <v>45720</v>
      </c>
      <c r="E4528" t="s">
        <v>5530</v>
      </c>
      <c r="F4528" s="11" t="s">
        <v>42</v>
      </c>
      <c r="G4528" s="8">
        <v>0</v>
      </c>
      <c r="H4528" s="8">
        <v>126.93</v>
      </c>
      <c r="I4528" s="8">
        <f t="shared" si="231"/>
        <v>0</v>
      </c>
      <c r="J4528" s="12"/>
    </row>
    <row r="4529" spans="1:10" x14ac:dyDescent="0.25">
      <c r="C4529" s="9"/>
      <c r="D4529" s="10">
        <v>45730</v>
      </c>
      <c r="E4529" t="s">
        <v>5538</v>
      </c>
      <c r="F4529" s="11" t="s">
        <v>5539</v>
      </c>
      <c r="G4529" s="8">
        <v>70.36</v>
      </c>
      <c r="H4529" s="8">
        <v>0</v>
      </c>
      <c r="I4529" s="8">
        <f t="shared" si="231"/>
        <v>70.36</v>
      </c>
      <c r="J4529" s="12"/>
    </row>
    <row r="4530" spans="1:10" x14ac:dyDescent="0.25">
      <c r="C4530" s="9"/>
      <c r="D4530" s="10">
        <v>45733</v>
      </c>
      <c r="E4530" t="s">
        <v>5535</v>
      </c>
      <c r="F4530" s="11" t="s">
        <v>42</v>
      </c>
      <c r="G4530" s="8">
        <v>0</v>
      </c>
      <c r="H4530" s="8">
        <v>70.36</v>
      </c>
      <c r="I4530" s="8">
        <f t="shared" si="231"/>
        <v>0</v>
      </c>
      <c r="J4530" s="12"/>
    </row>
    <row r="4531" spans="1:10" x14ac:dyDescent="0.25">
      <c r="C4531" s="9"/>
      <c r="D4531" s="10">
        <v>45747</v>
      </c>
      <c r="E4531" t="s">
        <v>5540</v>
      </c>
      <c r="F4531" s="11" t="s">
        <v>5541</v>
      </c>
      <c r="G4531" s="8">
        <v>247.88</v>
      </c>
      <c r="H4531" s="8">
        <v>0</v>
      </c>
      <c r="I4531" s="8">
        <f t="shared" si="231"/>
        <v>247.88</v>
      </c>
      <c r="J4531" s="12"/>
    </row>
    <row r="4532" spans="1:10" x14ac:dyDescent="0.25">
      <c r="C4532" s="9"/>
      <c r="D4532" s="10">
        <v>45748</v>
      </c>
      <c r="E4532" t="s">
        <v>5530</v>
      </c>
      <c r="F4532" s="11" t="s">
        <v>42</v>
      </c>
      <c r="G4532" s="8">
        <v>0</v>
      </c>
      <c r="H4532" s="8">
        <v>247.88</v>
      </c>
      <c r="I4532" s="8">
        <f t="shared" si="231"/>
        <v>0</v>
      </c>
      <c r="J4532" s="12"/>
    </row>
    <row r="4533" spans="1:10" x14ac:dyDescent="0.25">
      <c r="C4533" s="9"/>
      <c r="D4533" s="10">
        <v>45762</v>
      </c>
      <c r="E4533" t="s">
        <v>5535</v>
      </c>
      <c r="F4533" s="11" t="s">
        <v>42</v>
      </c>
      <c r="G4533" s="8">
        <v>0</v>
      </c>
      <c r="H4533" s="8">
        <v>40.11</v>
      </c>
      <c r="I4533" s="8">
        <f t="shared" si="231"/>
        <v>-40.11</v>
      </c>
      <c r="J4533" s="12"/>
    </row>
    <row r="4534" spans="1:10" x14ac:dyDescent="0.25">
      <c r="E4534" s="4" t="s">
        <v>20</v>
      </c>
      <c r="G4534" s="8">
        <f>SUM(G4521:G4533)</f>
        <v>631.82000000000005</v>
      </c>
      <c r="H4534" s="8">
        <f>SUM(H4521:H4533)</f>
        <v>671.93000000000006</v>
      </c>
      <c r="I4534" s="8">
        <f>G4534-H4534</f>
        <v>-40.110000000000014</v>
      </c>
    </row>
    <row r="4536" spans="1:10" x14ac:dyDescent="0.25">
      <c r="A4536" s="5">
        <v>4307945</v>
      </c>
      <c r="B4536" s="6" t="s">
        <v>5542</v>
      </c>
      <c r="C4536" s="7"/>
      <c r="D4536" s="7"/>
      <c r="E4536" s="7"/>
      <c r="F4536" s="7"/>
      <c r="G4536" s="7"/>
      <c r="H4536" s="7"/>
      <c r="I4536" s="7"/>
      <c r="J4536" s="7"/>
    </row>
    <row r="4537" spans="1:10" x14ac:dyDescent="0.25">
      <c r="E4537" s="4" t="s">
        <v>10</v>
      </c>
      <c r="G4537" s="8">
        <v>339.22</v>
      </c>
      <c r="H4537" s="8">
        <v>0</v>
      </c>
      <c r="I4537" s="8">
        <f>G4537-H4537</f>
        <v>339.22</v>
      </c>
    </row>
    <row r="4538" spans="1:10" x14ac:dyDescent="0.25">
      <c r="C4538" s="9"/>
      <c r="D4538" s="10">
        <v>45659</v>
      </c>
      <c r="E4538" t="s">
        <v>5543</v>
      </c>
      <c r="F4538" s="11" t="s">
        <v>42</v>
      </c>
      <c r="G4538" s="8">
        <v>0</v>
      </c>
      <c r="H4538" s="8">
        <v>339.22</v>
      </c>
      <c r="I4538" s="8">
        <f t="shared" ref="I4538:I4547" si="232">G4538-H4538+I4537</f>
        <v>0</v>
      </c>
      <c r="J4538" s="12"/>
    </row>
    <row r="4539" spans="1:10" x14ac:dyDescent="0.25">
      <c r="C4539" s="9"/>
      <c r="D4539" s="10">
        <v>45671</v>
      </c>
      <c r="E4539" t="s">
        <v>5544</v>
      </c>
      <c r="F4539" s="11" t="s">
        <v>5545</v>
      </c>
      <c r="G4539" s="8">
        <v>60.5</v>
      </c>
      <c r="H4539" s="8">
        <v>0</v>
      </c>
      <c r="I4539" s="8">
        <f t="shared" si="232"/>
        <v>60.5</v>
      </c>
      <c r="J4539" s="12"/>
    </row>
    <row r="4540" spans="1:10" x14ac:dyDescent="0.25">
      <c r="C4540" s="9"/>
      <c r="D4540" s="10">
        <v>45672</v>
      </c>
      <c r="E4540" t="s">
        <v>5543</v>
      </c>
      <c r="F4540" s="11" t="s">
        <v>42</v>
      </c>
      <c r="G4540" s="8">
        <v>0</v>
      </c>
      <c r="H4540" s="8">
        <v>60.5</v>
      </c>
      <c r="I4540" s="8">
        <f t="shared" si="232"/>
        <v>0</v>
      </c>
      <c r="J4540" s="12"/>
    </row>
    <row r="4541" spans="1:10" x14ac:dyDescent="0.25">
      <c r="C4541" s="9"/>
      <c r="D4541" s="10">
        <v>45688</v>
      </c>
      <c r="E4541" t="s">
        <v>5546</v>
      </c>
      <c r="F4541" s="11" t="s">
        <v>5547</v>
      </c>
      <c r="G4541" s="8">
        <v>112.4</v>
      </c>
      <c r="H4541" s="8">
        <v>0</v>
      </c>
      <c r="I4541" s="8">
        <f t="shared" si="232"/>
        <v>112.4</v>
      </c>
      <c r="J4541" s="12"/>
    </row>
    <row r="4542" spans="1:10" x14ac:dyDescent="0.25">
      <c r="C4542" s="9"/>
      <c r="D4542" s="10">
        <v>45691</v>
      </c>
      <c r="E4542" t="s">
        <v>5543</v>
      </c>
      <c r="F4542" s="11" t="s">
        <v>42</v>
      </c>
      <c r="G4542" s="8">
        <v>0</v>
      </c>
      <c r="H4542" s="8">
        <v>112.4</v>
      </c>
      <c r="I4542" s="8">
        <f t="shared" si="232"/>
        <v>0</v>
      </c>
      <c r="J4542" s="12"/>
    </row>
    <row r="4543" spans="1:10" x14ac:dyDescent="0.25">
      <c r="C4543" s="9"/>
      <c r="D4543" s="10">
        <v>45716</v>
      </c>
      <c r="E4543" t="s">
        <v>5548</v>
      </c>
      <c r="F4543" s="11" t="s">
        <v>5549</v>
      </c>
      <c r="G4543" s="8">
        <v>1217.83</v>
      </c>
      <c r="H4543" s="8">
        <v>0</v>
      </c>
      <c r="I4543" s="8">
        <f t="shared" si="232"/>
        <v>1217.83</v>
      </c>
      <c r="J4543" s="12"/>
    </row>
    <row r="4544" spans="1:10" x14ac:dyDescent="0.25">
      <c r="C4544" s="9" t="s">
        <v>124</v>
      </c>
      <c r="D4544" s="10">
        <v>45719</v>
      </c>
      <c r="E4544" t="s">
        <v>5543</v>
      </c>
      <c r="F4544" s="11" t="s">
        <v>42</v>
      </c>
      <c r="G4544" s="8">
        <v>0</v>
      </c>
      <c r="H4544" s="8">
        <v>1217.83</v>
      </c>
      <c r="I4544" s="8">
        <f t="shared" si="232"/>
        <v>0</v>
      </c>
      <c r="J4544" s="12"/>
    </row>
    <row r="4545" spans="1:10" x14ac:dyDescent="0.25">
      <c r="C4545" s="9"/>
      <c r="D4545" s="10">
        <v>45730</v>
      </c>
      <c r="E4545" t="s">
        <v>5550</v>
      </c>
      <c r="F4545" s="11" t="s">
        <v>5551</v>
      </c>
      <c r="G4545" s="8">
        <v>852.52</v>
      </c>
      <c r="H4545" s="8">
        <v>0</v>
      </c>
      <c r="I4545" s="8">
        <f t="shared" si="232"/>
        <v>852.52</v>
      </c>
      <c r="J4545" s="12"/>
    </row>
    <row r="4546" spans="1:10" x14ac:dyDescent="0.25">
      <c r="C4546" s="9"/>
      <c r="D4546" s="10">
        <v>45733</v>
      </c>
      <c r="E4546" t="s">
        <v>5543</v>
      </c>
      <c r="F4546" s="11" t="s">
        <v>42</v>
      </c>
      <c r="G4546" s="8">
        <v>0</v>
      </c>
      <c r="H4546" s="8">
        <v>852.52</v>
      </c>
      <c r="I4546" s="8">
        <f t="shared" si="232"/>
        <v>0</v>
      </c>
      <c r="J4546" s="12"/>
    </row>
    <row r="4547" spans="1:10" x14ac:dyDescent="0.25">
      <c r="C4547" s="9"/>
      <c r="D4547" s="10">
        <v>45762</v>
      </c>
      <c r="E4547" t="s">
        <v>1524</v>
      </c>
      <c r="F4547" s="11" t="s">
        <v>3872</v>
      </c>
      <c r="G4547" s="8">
        <v>0</v>
      </c>
      <c r="H4547" s="8">
        <v>851.37</v>
      </c>
      <c r="I4547" s="8">
        <f t="shared" si="232"/>
        <v>-851.37</v>
      </c>
      <c r="J4547" s="12"/>
    </row>
    <row r="4548" spans="1:10" x14ac:dyDescent="0.25">
      <c r="E4548" s="4" t="s">
        <v>20</v>
      </c>
      <c r="G4548" s="8">
        <f>SUM(G4537:G4547)</f>
        <v>2582.4699999999998</v>
      </c>
      <c r="H4548" s="8">
        <f>SUM(H4537:H4547)</f>
        <v>3433.8399999999997</v>
      </c>
      <c r="I4548" s="8">
        <f>G4548-H4548</f>
        <v>-851.36999999999989</v>
      </c>
    </row>
    <row r="4550" spans="1:10" x14ac:dyDescent="0.25">
      <c r="A4550" s="5">
        <v>4307960</v>
      </c>
      <c r="B4550" s="6" t="s">
        <v>5552</v>
      </c>
      <c r="C4550" s="7"/>
      <c r="D4550" s="7"/>
      <c r="E4550" s="7"/>
      <c r="F4550" s="7"/>
      <c r="G4550" s="7"/>
      <c r="H4550" s="7"/>
      <c r="I4550" s="7"/>
      <c r="J4550" s="7"/>
    </row>
    <row r="4551" spans="1:10" x14ac:dyDescent="0.25">
      <c r="C4551" s="9"/>
      <c r="D4551" s="10">
        <v>45716</v>
      </c>
      <c r="E4551" t="s">
        <v>5553</v>
      </c>
      <c r="F4551" s="11" t="s">
        <v>5554</v>
      </c>
      <c r="G4551" s="8">
        <v>41.32</v>
      </c>
      <c r="H4551" s="8">
        <v>0</v>
      </c>
      <c r="I4551" s="8">
        <f>G4551-H4551</f>
        <v>41.32</v>
      </c>
      <c r="J4551" s="12"/>
    </row>
    <row r="4552" spans="1:10" x14ac:dyDescent="0.25">
      <c r="C4552" s="9" t="s">
        <v>124</v>
      </c>
      <c r="D4552" s="10">
        <v>45719</v>
      </c>
      <c r="E4552" t="s">
        <v>5555</v>
      </c>
      <c r="F4552" s="11" t="s">
        <v>42</v>
      </c>
      <c r="G4552" s="8">
        <v>0</v>
      </c>
      <c r="H4552" s="8">
        <v>41.32</v>
      </c>
      <c r="I4552" s="8">
        <f>G4552-H4552+I4551</f>
        <v>0</v>
      </c>
      <c r="J4552" s="12"/>
    </row>
    <row r="4553" spans="1:10" x14ac:dyDescent="0.25">
      <c r="C4553" s="9"/>
      <c r="D4553" s="10">
        <v>45730</v>
      </c>
      <c r="E4553" t="s">
        <v>5556</v>
      </c>
      <c r="F4553" s="11" t="s">
        <v>5557</v>
      </c>
      <c r="G4553" s="8">
        <v>30.3</v>
      </c>
      <c r="H4553" s="8">
        <v>0</v>
      </c>
      <c r="I4553" s="8">
        <f>G4553-H4553+I4552</f>
        <v>30.3</v>
      </c>
      <c r="J4553" s="12"/>
    </row>
    <row r="4554" spans="1:10" x14ac:dyDescent="0.25">
      <c r="C4554" s="9"/>
      <c r="D4554" s="10">
        <v>45733</v>
      </c>
      <c r="E4554" t="s">
        <v>5555</v>
      </c>
      <c r="F4554" s="11" t="s">
        <v>42</v>
      </c>
      <c r="G4554" s="8">
        <v>0</v>
      </c>
      <c r="H4554" s="8">
        <v>30.3</v>
      </c>
      <c r="I4554" s="8">
        <f>G4554-H4554+I4553</f>
        <v>0</v>
      </c>
      <c r="J4554" s="12"/>
    </row>
    <row r="4555" spans="1:10" x14ac:dyDescent="0.25">
      <c r="C4555" s="9"/>
      <c r="D4555" s="10">
        <v>45762</v>
      </c>
      <c r="E4555" t="s">
        <v>1524</v>
      </c>
      <c r="F4555" s="11" t="s">
        <v>5558</v>
      </c>
      <c r="G4555" s="8">
        <v>0</v>
      </c>
      <c r="H4555" s="8">
        <v>215.07</v>
      </c>
      <c r="I4555" s="8">
        <f>G4555-H4555+I4554</f>
        <v>-215.07</v>
      </c>
      <c r="J4555" s="12"/>
    </row>
    <row r="4556" spans="1:10" x14ac:dyDescent="0.25">
      <c r="E4556" s="4" t="s">
        <v>20</v>
      </c>
      <c r="G4556" s="8">
        <f>SUM(G4551:G4555)</f>
        <v>71.62</v>
      </c>
      <c r="H4556" s="8">
        <f>SUM(H4551:H4555)</f>
        <v>286.69</v>
      </c>
      <c r="I4556" s="8">
        <f>G4556-H4556</f>
        <v>-215.07</v>
      </c>
    </row>
    <row r="4558" spans="1:10" x14ac:dyDescent="0.25">
      <c r="A4558" s="5">
        <v>4307970</v>
      </c>
      <c r="B4558" s="6" t="s">
        <v>5559</v>
      </c>
      <c r="C4558" s="7"/>
      <c r="D4558" s="7"/>
      <c r="E4558" s="7"/>
      <c r="F4558" s="7"/>
      <c r="G4558" s="7"/>
      <c r="H4558" s="7"/>
      <c r="I4558" s="7"/>
      <c r="J4558" s="7"/>
    </row>
    <row r="4559" spans="1:10" x14ac:dyDescent="0.25">
      <c r="E4559" s="4" t="s">
        <v>10</v>
      </c>
      <c r="G4559" s="8">
        <v>944.61</v>
      </c>
      <c r="H4559" s="8">
        <v>0</v>
      </c>
      <c r="I4559" s="8">
        <f>G4559-H4559</f>
        <v>944.61</v>
      </c>
    </row>
    <row r="4560" spans="1:10" x14ac:dyDescent="0.25">
      <c r="C4560" s="9"/>
      <c r="D4560" s="10">
        <v>45674</v>
      </c>
      <c r="E4560" t="s">
        <v>5560</v>
      </c>
      <c r="F4560" s="11" t="s">
        <v>42</v>
      </c>
      <c r="G4560" s="8">
        <v>0</v>
      </c>
      <c r="H4560" s="8">
        <v>930.45</v>
      </c>
      <c r="I4560" s="8">
        <f t="shared" ref="I4560:I4568" si="233">G4560-H4560+I4559</f>
        <v>14.159999999999968</v>
      </c>
      <c r="J4560" s="12"/>
    </row>
    <row r="4561" spans="1:10" x14ac:dyDescent="0.25">
      <c r="C4561" s="9"/>
      <c r="D4561" s="10">
        <v>45688</v>
      </c>
      <c r="E4561" t="s">
        <v>5561</v>
      </c>
      <c r="F4561" s="11" t="s">
        <v>5562</v>
      </c>
      <c r="G4561" s="8">
        <v>1248.6400000000001</v>
      </c>
      <c r="H4561" s="8">
        <v>0</v>
      </c>
      <c r="I4561" s="8">
        <f t="shared" si="233"/>
        <v>1262.8000000000002</v>
      </c>
      <c r="J4561" s="12"/>
    </row>
    <row r="4562" spans="1:10" x14ac:dyDescent="0.25">
      <c r="C4562" s="9"/>
      <c r="D4562" s="10">
        <v>45702</v>
      </c>
      <c r="E4562" t="s">
        <v>5563</v>
      </c>
      <c r="F4562" s="11" t="s">
        <v>5564</v>
      </c>
      <c r="G4562" s="8">
        <v>481.81</v>
      </c>
      <c r="H4562" s="8">
        <v>0</v>
      </c>
      <c r="I4562" s="8">
        <f t="shared" si="233"/>
        <v>1744.6100000000001</v>
      </c>
      <c r="J4562" s="12"/>
    </row>
    <row r="4563" spans="1:10" x14ac:dyDescent="0.25">
      <c r="C4563" s="9"/>
      <c r="D4563" s="10">
        <v>45706</v>
      </c>
      <c r="E4563" t="s">
        <v>1524</v>
      </c>
      <c r="F4563" s="11" t="s">
        <v>5565</v>
      </c>
      <c r="G4563" s="8">
        <v>0</v>
      </c>
      <c r="H4563" s="8">
        <v>14.16</v>
      </c>
      <c r="I4563" s="8">
        <f t="shared" si="233"/>
        <v>1730.45</v>
      </c>
      <c r="J4563" s="12"/>
    </row>
    <row r="4564" spans="1:10" x14ac:dyDescent="0.25">
      <c r="C4564" s="9"/>
      <c r="D4564" s="10">
        <v>45716</v>
      </c>
      <c r="E4564" t="s">
        <v>5566</v>
      </c>
      <c r="F4564" s="11" t="s">
        <v>5567</v>
      </c>
      <c r="G4564" s="8">
        <v>228.25</v>
      </c>
      <c r="H4564" s="8">
        <v>0</v>
      </c>
      <c r="I4564" s="8">
        <f t="shared" si="233"/>
        <v>1958.7</v>
      </c>
      <c r="J4564" s="12"/>
    </row>
    <row r="4565" spans="1:10" x14ac:dyDescent="0.25">
      <c r="C4565" s="9"/>
      <c r="D4565" s="10">
        <v>45730</v>
      </c>
      <c r="E4565" t="s">
        <v>5568</v>
      </c>
      <c r="F4565" s="11" t="s">
        <v>5569</v>
      </c>
      <c r="G4565" s="8">
        <v>35.450000000000003</v>
      </c>
      <c r="H4565" s="8">
        <v>0</v>
      </c>
      <c r="I4565" s="8">
        <f t="shared" si="233"/>
        <v>1994.15</v>
      </c>
      <c r="J4565" s="12"/>
    </row>
    <row r="4566" spans="1:10" x14ac:dyDescent="0.25">
      <c r="C4566" s="9"/>
      <c r="D4566" s="10">
        <v>45734</v>
      </c>
      <c r="E4566" t="s">
        <v>1524</v>
      </c>
      <c r="F4566" s="11" t="s">
        <v>5562</v>
      </c>
      <c r="G4566" s="8">
        <v>0</v>
      </c>
      <c r="H4566" s="8">
        <v>1248.6400000000001</v>
      </c>
      <c r="I4566" s="8">
        <f t="shared" si="233"/>
        <v>745.51</v>
      </c>
      <c r="J4566" s="12"/>
    </row>
    <row r="4567" spans="1:10" x14ac:dyDescent="0.25">
      <c r="C4567" s="9"/>
      <c r="D4567" s="10">
        <v>45747</v>
      </c>
      <c r="E4567" t="s">
        <v>5570</v>
      </c>
      <c r="F4567" s="11" t="s">
        <v>5571</v>
      </c>
      <c r="G4567" s="8">
        <v>184.78</v>
      </c>
      <c r="H4567" s="8">
        <v>0</v>
      </c>
      <c r="I4567" s="8">
        <f t="shared" si="233"/>
        <v>930.29</v>
      </c>
      <c r="J4567" s="12"/>
    </row>
    <row r="4568" spans="1:10" x14ac:dyDescent="0.25">
      <c r="C4568" s="9"/>
      <c r="D4568" s="10">
        <v>45756</v>
      </c>
      <c r="E4568" t="s">
        <v>5572</v>
      </c>
      <c r="F4568" s="11" t="s">
        <v>42</v>
      </c>
      <c r="G4568" s="8">
        <v>0</v>
      </c>
      <c r="H4568" s="8">
        <v>481.81</v>
      </c>
      <c r="I4568" s="8">
        <f t="shared" si="233"/>
        <v>448.47999999999996</v>
      </c>
      <c r="J4568" s="12"/>
    </row>
    <row r="4569" spans="1:10" x14ac:dyDescent="0.25">
      <c r="E4569" s="4" t="s">
        <v>20</v>
      </c>
      <c r="G4569" s="8">
        <f>SUM(G4559:G4568)</f>
        <v>3123.54</v>
      </c>
      <c r="H4569" s="8">
        <f>SUM(H4559:H4568)</f>
        <v>2675.06</v>
      </c>
      <c r="I4569" s="8">
        <f>G4569-H4569</f>
        <v>448.48</v>
      </c>
    </row>
    <row r="4571" spans="1:10" x14ac:dyDescent="0.25">
      <c r="A4571" s="5">
        <v>4307975</v>
      </c>
      <c r="B4571" s="6" t="s">
        <v>5573</v>
      </c>
      <c r="C4571" s="7"/>
      <c r="D4571" s="7"/>
      <c r="E4571" s="7"/>
      <c r="F4571" s="7"/>
      <c r="G4571" s="7"/>
      <c r="H4571" s="7"/>
      <c r="I4571" s="7"/>
      <c r="J4571" s="7"/>
    </row>
    <row r="4572" spans="1:10" x14ac:dyDescent="0.25">
      <c r="E4572" s="4" t="s">
        <v>10</v>
      </c>
      <c r="G4572" s="8">
        <v>17.28</v>
      </c>
      <c r="H4572" s="8">
        <v>0</v>
      </c>
      <c r="I4572" s="8">
        <f>G4572-H4572</f>
        <v>17.28</v>
      </c>
    </row>
    <row r="4573" spans="1:10" x14ac:dyDescent="0.25">
      <c r="E4573" s="4" t="s">
        <v>20</v>
      </c>
      <c r="G4573" s="8">
        <f>G4572</f>
        <v>17.28</v>
      </c>
      <c r="H4573" s="8">
        <f>H4572</f>
        <v>0</v>
      </c>
      <c r="I4573" s="8">
        <f>G4573-H4573</f>
        <v>17.28</v>
      </c>
    </row>
    <row r="4575" spans="1:10" x14ac:dyDescent="0.25">
      <c r="A4575" s="5">
        <v>4307980</v>
      </c>
      <c r="B4575" s="6" t="s">
        <v>5574</v>
      </c>
      <c r="C4575" s="7"/>
      <c r="D4575" s="7"/>
      <c r="E4575" s="7"/>
      <c r="F4575" s="7"/>
      <c r="G4575" s="7"/>
      <c r="H4575" s="7"/>
      <c r="I4575" s="7"/>
      <c r="J4575" s="7"/>
    </row>
    <row r="4576" spans="1:10" x14ac:dyDescent="0.25">
      <c r="E4576" s="4" t="s">
        <v>10</v>
      </c>
      <c r="G4576" s="8">
        <v>74.72</v>
      </c>
      <c r="H4576" s="8">
        <v>0</v>
      </c>
      <c r="I4576" s="8">
        <f>G4576-H4576</f>
        <v>74.72</v>
      </c>
    </row>
    <row r="4577" spans="1:10" x14ac:dyDescent="0.25">
      <c r="E4577" s="4" t="s">
        <v>20</v>
      </c>
      <c r="G4577" s="8">
        <f>G4576</f>
        <v>74.72</v>
      </c>
      <c r="H4577" s="8">
        <f>H4576</f>
        <v>0</v>
      </c>
      <c r="I4577" s="8">
        <f>G4577-H4577</f>
        <v>74.72</v>
      </c>
    </row>
    <row r="4579" spans="1:10" x14ac:dyDescent="0.25">
      <c r="A4579" s="5">
        <v>4307995</v>
      </c>
      <c r="B4579" s="6" t="s">
        <v>5575</v>
      </c>
      <c r="C4579" s="7"/>
      <c r="D4579" s="7"/>
      <c r="E4579" s="7"/>
      <c r="F4579" s="7"/>
      <c r="G4579" s="7"/>
      <c r="H4579" s="7"/>
      <c r="I4579" s="7"/>
      <c r="J4579" s="7"/>
    </row>
    <row r="4580" spans="1:10" x14ac:dyDescent="0.25">
      <c r="E4580" s="4" t="s">
        <v>10</v>
      </c>
      <c r="G4580" s="8">
        <v>24.77</v>
      </c>
      <c r="H4580" s="8">
        <v>0</v>
      </c>
      <c r="I4580" s="8">
        <f>G4580-H4580</f>
        <v>24.77</v>
      </c>
    </row>
    <row r="4581" spans="1:10" x14ac:dyDescent="0.25">
      <c r="C4581" s="9"/>
      <c r="D4581" s="10">
        <v>45671</v>
      </c>
      <c r="E4581" t="s">
        <v>5576</v>
      </c>
      <c r="F4581" s="11" t="s">
        <v>5577</v>
      </c>
      <c r="G4581" s="8">
        <v>368.11</v>
      </c>
      <c r="H4581" s="8">
        <v>0</v>
      </c>
      <c r="I4581" s="8">
        <f t="shared" ref="I4581:I4591" si="234">G4581-H4581+I4580</f>
        <v>392.88</v>
      </c>
      <c r="J4581" s="12"/>
    </row>
    <row r="4582" spans="1:10" x14ac:dyDescent="0.25">
      <c r="C4582" s="9"/>
      <c r="D4582" s="10">
        <v>45672</v>
      </c>
      <c r="E4582" t="s">
        <v>5578</v>
      </c>
      <c r="F4582" s="11" t="s">
        <v>42</v>
      </c>
      <c r="G4582" s="8">
        <v>0</v>
      </c>
      <c r="H4582" s="8">
        <v>392.88</v>
      </c>
      <c r="I4582" s="8">
        <f t="shared" si="234"/>
        <v>0</v>
      </c>
      <c r="J4582" s="12"/>
    </row>
    <row r="4583" spans="1:10" x14ac:dyDescent="0.25">
      <c r="C4583" s="9"/>
      <c r="D4583" s="10">
        <v>45688</v>
      </c>
      <c r="E4583" t="s">
        <v>5579</v>
      </c>
      <c r="F4583" s="11" t="s">
        <v>5580</v>
      </c>
      <c r="G4583" s="8">
        <v>140.86000000000001</v>
      </c>
      <c r="H4583" s="8">
        <v>0</v>
      </c>
      <c r="I4583" s="8">
        <f t="shared" si="234"/>
        <v>140.86000000000001</v>
      </c>
      <c r="J4583" s="12"/>
    </row>
    <row r="4584" spans="1:10" x14ac:dyDescent="0.25">
      <c r="C4584" s="9"/>
      <c r="D4584" s="10">
        <v>45691</v>
      </c>
      <c r="E4584" t="s">
        <v>5578</v>
      </c>
      <c r="F4584" s="11" t="s">
        <v>42</v>
      </c>
      <c r="G4584" s="8">
        <v>0</v>
      </c>
      <c r="H4584" s="8">
        <v>140.86000000000001</v>
      </c>
      <c r="I4584" s="8">
        <f t="shared" si="234"/>
        <v>0</v>
      </c>
      <c r="J4584" s="12"/>
    </row>
    <row r="4585" spans="1:10" x14ac:dyDescent="0.25">
      <c r="C4585" s="9"/>
      <c r="D4585" s="10">
        <v>45702</v>
      </c>
      <c r="E4585" t="s">
        <v>5581</v>
      </c>
      <c r="F4585" s="11" t="s">
        <v>5582</v>
      </c>
      <c r="G4585" s="8">
        <v>109.66</v>
      </c>
      <c r="H4585" s="8">
        <v>0</v>
      </c>
      <c r="I4585" s="8">
        <f t="shared" si="234"/>
        <v>109.66</v>
      </c>
      <c r="J4585" s="12"/>
    </row>
    <row r="4586" spans="1:10" x14ac:dyDescent="0.25">
      <c r="C4586" s="9"/>
      <c r="D4586" s="10">
        <v>45705</v>
      </c>
      <c r="E4586" t="s">
        <v>1524</v>
      </c>
      <c r="F4586" s="11" t="s">
        <v>5583</v>
      </c>
      <c r="G4586" s="8">
        <v>0</v>
      </c>
      <c r="H4586" s="8">
        <v>109.66</v>
      </c>
      <c r="I4586" s="8">
        <f t="shared" si="234"/>
        <v>0</v>
      </c>
      <c r="J4586" s="12"/>
    </row>
    <row r="4587" spans="1:10" x14ac:dyDescent="0.25">
      <c r="C4587" s="9"/>
      <c r="D4587" s="10">
        <v>45730</v>
      </c>
      <c r="E4587" t="s">
        <v>5584</v>
      </c>
      <c r="F4587" s="11" t="s">
        <v>5585</v>
      </c>
      <c r="G4587" s="8">
        <v>106.78</v>
      </c>
      <c r="H4587" s="8">
        <v>0</v>
      </c>
      <c r="I4587" s="8">
        <f t="shared" si="234"/>
        <v>106.78</v>
      </c>
      <c r="J4587" s="12"/>
    </row>
    <row r="4588" spans="1:10" x14ac:dyDescent="0.25">
      <c r="C4588" s="9"/>
      <c r="D4588" s="10">
        <v>45733</v>
      </c>
      <c r="E4588" t="s">
        <v>5578</v>
      </c>
      <c r="F4588" s="11" t="s">
        <v>42</v>
      </c>
      <c r="G4588" s="8">
        <v>0</v>
      </c>
      <c r="H4588" s="8">
        <v>106.78</v>
      </c>
      <c r="I4588" s="8">
        <f t="shared" si="234"/>
        <v>0</v>
      </c>
      <c r="J4588" s="12"/>
    </row>
    <row r="4589" spans="1:10" x14ac:dyDescent="0.25">
      <c r="C4589" s="9"/>
      <c r="D4589" s="10">
        <v>45747</v>
      </c>
      <c r="E4589" t="s">
        <v>5586</v>
      </c>
      <c r="F4589" s="11" t="s">
        <v>5587</v>
      </c>
      <c r="G4589" s="8">
        <v>615.62</v>
      </c>
      <c r="H4589" s="8">
        <v>0</v>
      </c>
      <c r="I4589" s="8">
        <f t="shared" si="234"/>
        <v>615.62</v>
      </c>
      <c r="J4589" s="12"/>
    </row>
    <row r="4590" spans="1:10" x14ac:dyDescent="0.25">
      <c r="C4590" s="9" t="s">
        <v>124</v>
      </c>
      <c r="D4590" s="10">
        <v>45748</v>
      </c>
      <c r="E4590" t="s">
        <v>5578</v>
      </c>
      <c r="F4590" s="11" t="s">
        <v>42</v>
      </c>
      <c r="G4590" s="8">
        <v>0</v>
      </c>
      <c r="H4590" s="8">
        <v>615.62</v>
      </c>
      <c r="I4590" s="8">
        <f t="shared" si="234"/>
        <v>0</v>
      </c>
      <c r="J4590" s="12"/>
    </row>
    <row r="4591" spans="1:10" x14ac:dyDescent="0.25">
      <c r="C4591" s="9"/>
      <c r="D4591" s="10">
        <v>45762</v>
      </c>
      <c r="E4591" t="s">
        <v>1524</v>
      </c>
      <c r="F4591" s="11" t="s">
        <v>5588</v>
      </c>
      <c r="G4591" s="8">
        <v>0</v>
      </c>
      <c r="H4591" s="8">
        <v>148.79</v>
      </c>
      <c r="I4591" s="8">
        <f t="shared" si="234"/>
        <v>-148.79</v>
      </c>
      <c r="J4591" s="12"/>
    </row>
    <row r="4592" spans="1:10" x14ac:dyDescent="0.25">
      <c r="E4592" s="4" t="s">
        <v>20</v>
      </c>
      <c r="G4592" s="8">
        <f>SUM(G4580:G4591)</f>
        <v>1365.8</v>
      </c>
      <c r="H4592" s="8">
        <f>SUM(H4580:H4591)</f>
        <v>1514.59</v>
      </c>
      <c r="I4592" s="8">
        <f>G4592-H4592</f>
        <v>-148.78999999999996</v>
      </c>
    </row>
    <row r="4594" spans="1:10" x14ac:dyDescent="0.25">
      <c r="A4594" s="5">
        <v>4308000</v>
      </c>
      <c r="B4594" s="6" t="s">
        <v>5589</v>
      </c>
      <c r="C4594" s="7"/>
      <c r="D4594" s="7"/>
      <c r="E4594" s="7"/>
      <c r="F4594" s="7"/>
      <c r="G4594" s="7"/>
      <c r="H4594" s="7"/>
      <c r="I4594" s="7"/>
      <c r="J4594" s="7"/>
    </row>
    <row r="4595" spans="1:10" x14ac:dyDescent="0.25">
      <c r="E4595" s="4" t="s">
        <v>10</v>
      </c>
      <c r="G4595" s="8">
        <v>0</v>
      </c>
      <c r="H4595" s="8">
        <v>1727.88</v>
      </c>
      <c r="I4595" s="8">
        <f>G4595-H4595</f>
        <v>-1727.88</v>
      </c>
    </row>
    <row r="4596" spans="1:10" x14ac:dyDescent="0.25">
      <c r="C4596" s="9"/>
      <c r="D4596" s="10">
        <v>45671</v>
      </c>
      <c r="E4596" t="s">
        <v>5590</v>
      </c>
      <c r="F4596" s="11" t="s">
        <v>5591</v>
      </c>
      <c r="G4596" s="8">
        <v>107.36</v>
      </c>
      <c r="H4596" s="8">
        <v>0</v>
      </c>
      <c r="I4596" s="8">
        <f t="shared" ref="I4596:I4601" si="235">G4596-H4596+I4595</f>
        <v>-1620.5200000000002</v>
      </c>
      <c r="J4596" s="12"/>
    </row>
    <row r="4597" spans="1:10" x14ac:dyDescent="0.25">
      <c r="C4597" s="9"/>
      <c r="D4597" s="10">
        <v>45688</v>
      </c>
      <c r="E4597" t="s">
        <v>5592</v>
      </c>
      <c r="F4597" s="11" t="s">
        <v>5593</v>
      </c>
      <c r="G4597" s="8">
        <v>336</v>
      </c>
      <c r="H4597" s="8">
        <v>0</v>
      </c>
      <c r="I4597" s="8">
        <f t="shared" si="235"/>
        <v>-1284.5200000000002</v>
      </c>
      <c r="J4597" s="12"/>
    </row>
    <row r="4598" spans="1:10" x14ac:dyDescent="0.25">
      <c r="C4598" s="9"/>
      <c r="D4598" s="10">
        <v>45702</v>
      </c>
      <c r="E4598" t="s">
        <v>5594</v>
      </c>
      <c r="F4598" s="11" t="s">
        <v>5595</v>
      </c>
      <c r="G4598" s="8">
        <v>148.5</v>
      </c>
      <c r="H4598" s="8">
        <v>0</v>
      </c>
      <c r="I4598" s="8">
        <f t="shared" si="235"/>
        <v>-1136.0200000000002</v>
      </c>
      <c r="J4598" s="12"/>
    </row>
    <row r="4599" spans="1:10" x14ac:dyDescent="0.25">
      <c r="C4599" s="9"/>
      <c r="D4599" s="10">
        <v>45742</v>
      </c>
      <c r="E4599" t="s">
        <v>1524</v>
      </c>
      <c r="F4599" s="11" t="s">
        <v>5596</v>
      </c>
      <c r="G4599" s="8">
        <v>0</v>
      </c>
      <c r="H4599" s="8">
        <v>524.22</v>
      </c>
      <c r="I4599" s="8">
        <f t="shared" si="235"/>
        <v>-1660.2400000000002</v>
      </c>
      <c r="J4599" s="12"/>
    </row>
    <row r="4600" spans="1:10" x14ac:dyDescent="0.25">
      <c r="C4600" s="9"/>
      <c r="D4600" s="10">
        <v>45742</v>
      </c>
      <c r="E4600" t="s">
        <v>1524</v>
      </c>
      <c r="F4600" s="11" t="s">
        <v>5591</v>
      </c>
      <c r="G4600" s="8">
        <v>0</v>
      </c>
      <c r="H4600" s="8">
        <v>107.36</v>
      </c>
      <c r="I4600" s="8">
        <f t="shared" si="235"/>
        <v>-1767.6000000000001</v>
      </c>
      <c r="J4600" s="12"/>
    </row>
    <row r="4601" spans="1:10" x14ac:dyDescent="0.25">
      <c r="C4601" s="9"/>
      <c r="D4601" s="10">
        <v>45747</v>
      </c>
      <c r="E4601" t="s">
        <v>5597</v>
      </c>
      <c r="F4601" s="11" t="s">
        <v>5598</v>
      </c>
      <c r="G4601" s="8">
        <v>76.680000000000007</v>
      </c>
      <c r="H4601" s="8">
        <v>0</v>
      </c>
      <c r="I4601" s="8">
        <f t="shared" si="235"/>
        <v>-1690.92</v>
      </c>
      <c r="J4601" s="12"/>
    </row>
    <row r="4602" spans="1:10" x14ac:dyDescent="0.25">
      <c r="E4602" s="4" t="s">
        <v>20</v>
      </c>
      <c r="G4602" s="8">
        <f>SUM(G4595:G4601)</f>
        <v>668.54</v>
      </c>
      <c r="H4602" s="8">
        <f>SUM(H4595:H4601)</f>
        <v>2359.4600000000005</v>
      </c>
      <c r="I4602" s="8">
        <f>G4602-H4602</f>
        <v>-1690.9200000000005</v>
      </c>
    </row>
    <row r="4604" spans="1:10" x14ac:dyDescent="0.25">
      <c r="A4604" s="5">
        <v>4308045</v>
      </c>
      <c r="B4604" s="6" t="s">
        <v>5599</v>
      </c>
      <c r="C4604" s="7"/>
      <c r="D4604" s="7"/>
      <c r="E4604" s="7"/>
      <c r="F4604" s="7"/>
      <c r="G4604" s="7"/>
      <c r="H4604" s="7"/>
      <c r="I4604" s="7"/>
      <c r="J4604" s="7"/>
    </row>
    <row r="4605" spans="1:10" x14ac:dyDescent="0.25">
      <c r="E4605" s="4" t="s">
        <v>10</v>
      </c>
      <c r="G4605" s="8">
        <v>59.65</v>
      </c>
      <c r="H4605" s="8">
        <v>0</v>
      </c>
      <c r="I4605" s="8">
        <f>G4605-H4605</f>
        <v>59.65</v>
      </c>
    </row>
    <row r="4606" spans="1:10" x14ac:dyDescent="0.25">
      <c r="C4606" s="9"/>
      <c r="D4606" s="10">
        <v>45671</v>
      </c>
      <c r="E4606" t="s">
        <v>5600</v>
      </c>
      <c r="F4606" s="11" t="s">
        <v>5601</v>
      </c>
      <c r="G4606" s="8">
        <v>91.39</v>
      </c>
      <c r="H4606" s="8">
        <v>0</v>
      </c>
      <c r="I4606" s="8">
        <f>G4606-H4606+I4605</f>
        <v>151.04</v>
      </c>
      <c r="J4606" s="12"/>
    </row>
    <row r="4607" spans="1:10" x14ac:dyDescent="0.25">
      <c r="C4607" s="9"/>
      <c r="D4607" s="10">
        <v>45688</v>
      </c>
      <c r="E4607" t="s">
        <v>5602</v>
      </c>
      <c r="F4607" s="11" t="s">
        <v>5603</v>
      </c>
      <c r="G4607" s="8">
        <v>895.55</v>
      </c>
      <c r="H4607" s="8">
        <v>0</v>
      </c>
      <c r="I4607" s="8">
        <f>G4607-H4607+I4606</f>
        <v>1046.5899999999999</v>
      </c>
      <c r="J4607" s="12"/>
    </row>
    <row r="4608" spans="1:10" x14ac:dyDescent="0.25">
      <c r="C4608" s="9"/>
      <c r="D4608" s="10">
        <v>45714</v>
      </c>
      <c r="E4608" t="s">
        <v>5604</v>
      </c>
      <c r="F4608" s="11" t="s">
        <v>42</v>
      </c>
      <c r="G4608" s="8">
        <v>0</v>
      </c>
      <c r="H4608" s="8">
        <v>151.04</v>
      </c>
      <c r="I4608" s="8">
        <f>G4608-H4608+I4607</f>
        <v>895.55</v>
      </c>
      <c r="J4608" s="12"/>
    </row>
    <row r="4609" spans="1:10" x14ac:dyDescent="0.25">
      <c r="C4609" s="9"/>
      <c r="D4609" s="10">
        <v>45742</v>
      </c>
      <c r="E4609" t="s">
        <v>1524</v>
      </c>
      <c r="F4609" s="11" t="s">
        <v>5603</v>
      </c>
      <c r="G4609" s="8">
        <v>0</v>
      </c>
      <c r="H4609" s="8">
        <v>895.55</v>
      </c>
      <c r="I4609" s="8">
        <f>G4609-H4609+I4608</f>
        <v>0</v>
      </c>
      <c r="J4609" s="12"/>
    </row>
    <row r="4610" spans="1:10" x14ac:dyDescent="0.25">
      <c r="C4610" s="9"/>
      <c r="D4610" s="10">
        <v>45747</v>
      </c>
      <c r="E4610" t="s">
        <v>5605</v>
      </c>
      <c r="F4610" s="11" t="s">
        <v>5606</v>
      </c>
      <c r="G4610" s="8">
        <v>127.36</v>
      </c>
      <c r="H4610" s="8">
        <v>0</v>
      </c>
      <c r="I4610" s="8">
        <f>G4610-H4610+I4609</f>
        <v>127.36</v>
      </c>
      <c r="J4610" s="12"/>
    </row>
    <row r="4611" spans="1:10" x14ac:dyDescent="0.25">
      <c r="E4611" s="4" t="s">
        <v>20</v>
      </c>
      <c r="G4611" s="8">
        <f>SUM(G4605:G4610)</f>
        <v>1173.9499999999998</v>
      </c>
      <c r="H4611" s="8">
        <f>SUM(H4605:H4610)</f>
        <v>1046.5899999999999</v>
      </c>
      <c r="I4611" s="8">
        <f>G4611-H4611</f>
        <v>127.3599999999999</v>
      </c>
    </row>
    <row r="4613" spans="1:10" x14ac:dyDescent="0.25">
      <c r="A4613" s="5">
        <v>4308085</v>
      </c>
      <c r="B4613" s="6" t="s">
        <v>5607</v>
      </c>
      <c r="C4613" s="7"/>
      <c r="D4613" s="7"/>
      <c r="E4613" s="7"/>
      <c r="F4613" s="7"/>
      <c r="G4613" s="7"/>
      <c r="H4613" s="7"/>
      <c r="I4613" s="7"/>
      <c r="J4613" s="7"/>
    </row>
    <row r="4614" spans="1:10" x14ac:dyDescent="0.25">
      <c r="C4614" s="9"/>
      <c r="D4614" s="10">
        <v>45688</v>
      </c>
      <c r="E4614" t="s">
        <v>5608</v>
      </c>
      <c r="F4614" s="11" t="s">
        <v>5609</v>
      </c>
      <c r="G4614" s="8">
        <v>1715.78</v>
      </c>
      <c r="H4614" s="8">
        <v>0</v>
      </c>
      <c r="I4614" s="8">
        <f>G4614-H4614</f>
        <v>1715.78</v>
      </c>
      <c r="J4614" s="12"/>
    </row>
    <row r="4615" spans="1:10" x14ac:dyDescent="0.25">
      <c r="E4615" s="4" t="s">
        <v>20</v>
      </c>
      <c r="G4615" s="8">
        <f>G4614</f>
        <v>1715.78</v>
      </c>
      <c r="H4615" s="8">
        <f>H4614</f>
        <v>0</v>
      </c>
      <c r="I4615" s="8">
        <f>G4615-H4615</f>
        <v>1715.78</v>
      </c>
    </row>
    <row r="4617" spans="1:10" x14ac:dyDescent="0.25">
      <c r="A4617" s="5">
        <v>4308105</v>
      </c>
      <c r="B4617" s="6" t="s">
        <v>5610</v>
      </c>
      <c r="C4617" s="7"/>
      <c r="D4617" s="7"/>
      <c r="E4617" s="7"/>
      <c r="F4617" s="7"/>
      <c r="G4617" s="7"/>
      <c r="H4617" s="7"/>
      <c r="I4617" s="7"/>
      <c r="J4617" s="7"/>
    </row>
    <row r="4618" spans="1:10" x14ac:dyDescent="0.25">
      <c r="C4618" s="9"/>
      <c r="D4618" s="10">
        <v>45716</v>
      </c>
      <c r="E4618" t="s">
        <v>5611</v>
      </c>
      <c r="F4618" s="11" t="s">
        <v>5612</v>
      </c>
      <c r="G4618" s="8">
        <v>691.48</v>
      </c>
      <c r="H4618" s="8">
        <v>0</v>
      </c>
      <c r="I4618" s="8">
        <f>G4618-H4618</f>
        <v>691.48</v>
      </c>
      <c r="J4618" s="12"/>
    </row>
    <row r="4619" spans="1:10" x14ac:dyDescent="0.25">
      <c r="C4619" s="9"/>
      <c r="D4619" s="10">
        <v>45733</v>
      </c>
      <c r="E4619" t="s">
        <v>5613</v>
      </c>
      <c r="F4619" s="11" t="s">
        <v>42</v>
      </c>
      <c r="G4619" s="8">
        <v>0</v>
      </c>
      <c r="H4619" s="8">
        <v>691.48</v>
      </c>
      <c r="I4619" s="8">
        <f>G4619-H4619+I4618</f>
        <v>0</v>
      </c>
      <c r="J4619" s="12"/>
    </row>
    <row r="4620" spans="1:10" x14ac:dyDescent="0.25">
      <c r="C4620" s="9"/>
      <c r="D4620" s="10">
        <v>45747</v>
      </c>
      <c r="E4620" t="s">
        <v>5614</v>
      </c>
      <c r="F4620" s="11" t="s">
        <v>5615</v>
      </c>
      <c r="G4620" s="8">
        <v>107.63</v>
      </c>
      <c r="H4620" s="8">
        <v>0</v>
      </c>
      <c r="I4620" s="8">
        <f>G4620-H4620+I4619</f>
        <v>107.63</v>
      </c>
      <c r="J4620" s="12"/>
    </row>
    <row r="4621" spans="1:10" x14ac:dyDescent="0.25">
      <c r="C4621" s="9"/>
      <c r="D4621" s="10">
        <v>45748</v>
      </c>
      <c r="E4621" t="s">
        <v>1524</v>
      </c>
      <c r="F4621" s="11" t="s">
        <v>5616</v>
      </c>
      <c r="G4621" s="8">
        <v>0</v>
      </c>
      <c r="H4621" s="8">
        <v>107.63</v>
      </c>
      <c r="I4621" s="8">
        <f>G4621-H4621+I4620</f>
        <v>0</v>
      </c>
      <c r="J4621" s="12"/>
    </row>
    <row r="4622" spans="1:10" x14ac:dyDescent="0.25">
      <c r="C4622" s="9"/>
      <c r="D4622" s="10">
        <v>45762</v>
      </c>
      <c r="E4622" t="s">
        <v>5613</v>
      </c>
      <c r="F4622" s="11" t="s">
        <v>42</v>
      </c>
      <c r="G4622" s="8">
        <v>0</v>
      </c>
      <c r="H4622" s="8">
        <v>78.959999999999994</v>
      </c>
      <c r="I4622" s="8">
        <f>G4622-H4622+I4621</f>
        <v>-78.959999999999994</v>
      </c>
      <c r="J4622" s="12"/>
    </row>
    <row r="4623" spans="1:10" x14ac:dyDescent="0.25">
      <c r="E4623" s="4" t="s">
        <v>20</v>
      </c>
      <c r="G4623" s="8">
        <f>SUM(G4618:G4622)</f>
        <v>799.11</v>
      </c>
      <c r="H4623" s="8">
        <f>SUM(H4618:H4622)</f>
        <v>878.07</v>
      </c>
      <c r="I4623" s="8">
        <f>G4623-H4623</f>
        <v>-78.960000000000036</v>
      </c>
    </row>
    <row r="4625" spans="1:10" x14ac:dyDescent="0.25">
      <c r="A4625" s="5">
        <v>4308120</v>
      </c>
      <c r="B4625" s="6" t="s">
        <v>5617</v>
      </c>
      <c r="C4625" s="7"/>
      <c r="D4625" s="7"/>
      <c r="E4625" s="7"/>
      <c r="F4625" s="7"/>
      <c r="G4625" s="7"/>
      <c r="H4625" s="7"/>
      <c r="I4625" s="7"/>
      <c r="J4625" s="7"/>
    </row>
    <row r="4626" spans="1:10" x14ac:dyDescent="0.25">
      <c r="C4626" s="9"/>
      <c r="D4626" s="10">
        <v>45730</v>
      </c>
      <c r="E4626" t="s">
        <v>5618</v>
      </c>
      <c r="F4626" s="11" t="s">
        <v>5619</v>
      </c>
      <c r="G4626" s="8">
        <v>31.88</v>
      </c>
      <c r="H4626" s="8">
        <v>0</v>
      </c>
      <c r="I4626" s="8">
        <f>G4626-H4626</f>
        <v>31.88</v>
      </c>
      <c r="J4626" s="12"/>
    </row>
    <row r="4627" spans="1:10" x14ac:dyDescent="0.25">
      <c r="C4627" s="9"/>
      <c r="D4627" s="10">
        <v>45747</v>
      </c>
      <c r="E4627" t="s">
        <v>5620</v>
      </c>
      <c r="F4627" s="11" t="s">
        <v>5621</v>
      </c>
      <c r="G4627" s="8">
        <v>767.26</v>
      </c>
      <c r="H4627" s="8">
        <v>0</v>
      </c>
      <c r="I4627" s="8">
        <f>G4627-H4627+I4626</f>
        <v>799.14</v>
      </c>
      <c r="J4627" s="12"/>
    </row>
    <row r="4628" spans="1:10" x14ac:dyDescent="0.25">
      <c r="E4628" s="4" t="s">
        <v>20</v>
      </c>
      <c r="G4628" s="8">
        <f>SUM(G4626:G4627)</f>
        <v>799.14</v>
      </c>
      <c r="H4628" s="8">
        <f>SUM(H4626:H4627)</f>
        <v>0</v>
      </c>
      <c r="I4628" s="8">
        <f>G4628-H4628</f>
        <v>799.14</v>
      </c>
    </row>
    <row r="4630" spans="1:10" x14ac:dyDescent="0.25">
      <c r="A4630" s="5">
        <v>4308140</v>
      </c>
      <c r="B4630" s="6" t="s">
        <v>5622</v>
      </c>
      <c r="C4630" s="7"/>
      <c r="D4630" s="7"/>
      <c r="E4630" s="7"/>
      <c r="F4630" s="7"/>
      <c r="G4630" s="7"/>
      <c r="H4630" s="7"/>
      <c r="I4630" s="7"/>
      <c r="J4630" s="7"/>
    </row>
    <row r="4631" spans="1:10" x14ac:dyDescent="0.25">
      <c r="C4631" s="9"/>
      <c r="D4631" s="10">
        <v>45747</v>
      </c>
      <c r="E4631" t="s">
        <v>5623</v>
      </c>
      <c r="F4631" s="11" t="s">
        <v>5624</v>
      </c>
      <c r="G4631" s="8">
        <v>35.08</v>
      </c>
      <c r="H4631" s="8">
        <v>0</v>
      </c>
      <c r="I4631" s="8">
        <f>G4631-H4631</f>
        <v>35.08</v>
      </c>
      <c r="J4631" s="12"/>
    </row>
    <row r="4632" spans="1:10" x14ac:dyDescent="0.25">
      <c r="E4632" s="4" t="s">
        <v>20</v>
      </c>
      <c r="G4632" s="8">
        <f>G4631</f>
        <v>35.08</v>
      </c>
      <c r="H4632" s="8">
        <f>H4631</f>
        <v>0</v>
      </c>
      <c r="I4632" s="8">
        <f>G4632-H4632</f>
        <v>35.08</v>
      </c>
    </row>
    <row r="4634" spans="1:10" x14ac:dyDescent="0.25">
      <c r="A4634" s="5">
        <v>4310310</v>
      </c>
      <c r="B4634" s="6" t="s">
        <v>5625</v>
      </c>
      <c r="C4634" s="7"/>
      <c r="D4634" s="7"/>
      <c r="E4634" s="7"/>
      <c r="F4634" s="7"/>
      <c r="G4634" s="7"/>
      <c r="H4634" s="7"/>
      <c r="I4634" s="7"/>
      <c r="J4634" s="7"/>
    </row>
    <row r="4635" spans="1:10" x14ac:dyDescent="0.25">
      <c r="E4635" s="4" t="s">
        <v>10</v>
      </c>
      <c r="G4635" s="8">
        <v>0</v>
      </c>
      <c r="H4635" s="8">
        <v>1825.01</v>
      </c>
      <c r="I4635" s="8">
        <f>G4635-H4635</f>
        <v>-1825.01</v>
      </c>
    </row>
    <row r="4636" spans="1:10" x14ac:dyDescent="0.25">
      <c r="C4636" s="9"/>
      <c r="D4636" s="10">
        <v>45658</v>
      </c>
      <c r="E4636" t="s">
        <v>2575</v>
      </c>
      <c r="F4636" s="11" t="s">
        <v>5626</v>
      </c>
      <c r="G4636" s="8">
        <v>-17.670000000000002</v>
      </c>
      <c r="H4636" s="8">
        <v>0</v>
      </c>
      <c r="I4636" s="8">
        <f t="shared" ref="I4636:I4699" si="236">G4636-H4636+I4635</f>
        <v>-1842.68</v>
      </c>
      <c r="J4636" s="12"/>
    </row>
    <row r="4637" spans="1:10" x14ac:dyDescent="0.25">
      <c r="C4637" s="9"/>
      <c r="D4637" s="10">
        <v>45658</v>
      </c>
      <c r="E4637" t="s">
        <v>2575</v>
      </c>
      <c r="F4637" s="11" t="s">
        <v>5627</v>
      </c>
      <c r="G4637" s="8">
        <v>17.670000000000002</v>
      </c>
      <c r="H4637" s="8">
        <v>0</v>
      </c>
      <c r="I4637" s="8">
        <f t="shared" si="236"/>
        <v>-1825.01</v>
      </c>
      <c r="J4637" s="12"/>
    </row>
    <row r="4638" spans="1:10" x14ac:dyDescent="0.25">
      <c r="C4638" s="9"/>
      <c r="D4638" s="10">
        <v>45659</v>
      </c>
      <c r="E4638" t="s">
        <v>5628</v>
      </c>
      <c r="F4638" s="11" t="s">
        <v>5629</v>
      </c>
      <c r="G4638" s="8">
        <v>100.67</v>
      </c>
      <c r="H4638" s="8">
        <v>0</v>
      </c>
      <c r="I4638" s="8">
        <f t="shared" si="236"/>
        <v>-1724.34</v>
      </c>
      <c r="J4638" s="12"/>
    </row>
    <row r="4639" spans="1:10" x14ac:dyDescent="0.25">
      <c r="C4639" s="9"/>
      <c r="D4639" s="10">
        <v>45659</v>
      </c>
      <c r="E4639" t="s">
        <v>5630</v>
      </c>
      <c r="F4639" s="11" t="s">
        <v>5631</v>
      </c>
      <c r="G4639" s="8">
        <v>4.55</v>
      </c>
      <c r="H4639" s="8">
        <v>0</v>
      </c>
      <c r="I4639" s="8">
        <f t="shared" si="236"/>
        <v>-1719.79</v>
      </c>
      <c r="J4639" s="12"/>
    </row>
    <row r="4640" spans="1:10" x14ac:dyDescent="0.25">
      <c r="C4640" s="9"/>
      <c r="D4640" s="10">
        <v>45659</v>
      </c>
      <c r="E4640" t="s">
        <v>5630</v>
      </c>
      <c r="F4640" s="11" t="s">
        <v>5631</v>
      </c>
      <c r="G4640" s="8">
        <v>0</v>
      </c>
      <c r="H4640" s="8">
        <v>4.55</v>
      </c>
      <c r="I4640" s="8">
        <f t="shared" si="236"/>
        <v>-1724.34</v>
      </c>
      <c r="J4640" s="12"/>
    </row>
    <row r="4641" spans="3:10" x14ac:dyDescent="0.25">
      <c r="C4641" s="9"/>
      <c r="D4641" s="10">
        <v>45659</v>
      </c>
      <c r="E4641" t="s">
        <v>5632</v>
      </c>
      <c r="F4641" s="11" t="s">
        <v>5633</v>
      </c>
      <c r="G4641" s="8">
        <v>10.73</v>
      </c>
      <c r="H4641" s="8">
        <v>0</v>
      </c>
      <c r="I4641" s="8">
        <f t="shared" si="236"/>
        <v>-1713.61</v>
      </c>
      <c r="J4641" s="12"/>
    </row>
    <row r="4642" spans="3:10" x14ac:dyDescent="0.25">
      <c r="C4642" s="9"/>
      <c r="D4642" s="10">
        <v>45659</v>
      </c>
      <c r="E4642" t="s">
        <v>5634</v>
      </c>
      <c r="F4642" s="11" t="s">
        <v>5635</v>
      </c>
      <c r="G4642" s="8">
        <v>0.63</v>
      </c>
      <c r="H4642" s="8">
        <v>0</v>
      </c>
      <c r="I4642" s="8">
        <f t="shared" si="236"/>
        <v>-1712.9799999999998</v>
      </c>
      <c r="J4642" s="12"/>
    </row>
    <row r="4643" spans="3:10" x14ac:dyDescent="0.25">
      <c r="C4643" s="9"/>
      <c r="D4643" s="10">
        <v>45659</v>
      </c>
      <c r="E4643" t="s">
        <v>5636</v>
      </c>
      <c r="F4643" s="11" t="s">
        <v>5637</v>
      </c>
      <c r="G4643" s="8">
        <v>71.52</v>
      </c>
      <c r="H4643" s="8">
        <v>0</v>
      </c>
      <c r="I4643" s="8">
        <f t="shared" si="236"/>
        <v>-1641.4599999999998</v>
      </c>
      <c r="J4643" s="12"/>
    </row>
    <row r="4644" spans="3:10" x14ac:dyDescent="0.25">
      <c r="C4644" s="9"/>
      <c r="D4644" s="10">
        <v>45659</v>
      </c>
      <c r="E4644" t="s">
        <v>5638</v>
      </c>
      <c r="F4644" s="11" t="s">
        <v>5639</v>
      </c>
      <c r="G4644" s="8">
        <v>2.54</v>
      </c>
      <c r="H4644" s="8">
        <v>0</v>
      </c>
      <c r="I4644" s="8">
        <f t="shared" si="236"/>
        <v>-1638.9199999999998</v>
      </c>
      <c r="J4644" s="12"/>
    </row>
    <row r="4645" spans="3:10" x14ac:dyDescent="0.25">
      <c r="C4645" s="9"/>
      <c r="D4645" s="10">
        <v>45659</v>
      </c>
      <c r="E4645" t="s">
        <v>5640</v>
      </c>
      <c r="F4645" s="11" t="s">
        <v>5641</v>
      </c>
      <c r="G4645" s="8">
        <v>25.48</v>
      </c>
      <c r="H4645" s="8">
        <v>0</v>
      </c>
      <c r="I4645" s="8">
        <f t="shared" si="236"/>
        <v>-1613.4399999999998</v>
      </c>
      <c r="J4645" s="12"/>
    </row>
    <row r="4646" spans="3:10" x14ac:dyDescent="0.25">
      <c r="C4646" s="9"/>
      <c r="D4646" s="10">
        <v>45659</v>
      </c>
      <c r="E4646" t="s">
        <v>5640</v>
      </c>
      <c r="F4646" s="11" t="s">
        <v>5641</v>
      </c>
      <c r="G4646" s="8">
        <v>0</v>
      </c>
      <c r="H4646" s="8">
        <v>25.48</v>
      </c>
      <c r="I4646" s="8">
        <f t="shared" si="236"/>
        <v>-1638.9199999999998</v>
      </c>
      <c r="J4646" s="12"/>
    </row>
    <row r="4647" spans="3:10" x14ac:dyDescent="0.25">
      <c r="C4647" s="9"/>
      <c r="D4647" s="10">
        <v>45659</v>
      </c>
      <c r="E4647" t="s">
        <v>5642</v>
      </c>
      <c r="F4647" s="11" t="s">
        <v>5643</v>
      </c>
      <c r="G4647" s="8">
        <v>18.98</v>
      </c>
      <c r="H4647" s="8">
        <v>0</v>
      </c>
      <c r="I4647" s="8">
        <f t="shared" si="236"/>
        <v>-1619.9399999999998</v>
      </c>
      <c r="J4647" s="12"/>
    </row>
    <row r="4648" spans="3:10" x14ac:dyDescent="0.25">
      <c r="C4648" s="9"/>
      <c r="D4648" s="10">
        <v>45659</v>
      </c>
      <c r="E4648" t="s">
        <v>5644</v>
      </c>
      <c r="F4648" s="11" t="s">
        <v>5645</v>
      </c>
      <c r="G4648" s="8">
        <v>12.45</v>
      </c>
      <c r="H4648" s="8">
        <v>0</v>
      </c>
      <c r="I4648" s="8">
        <f t="shared" si="236"/>
        <v>-1607.4899999999998</v>
      </c>
      <c r="J4648" s="12"/>
    </row>
    <row r="4649" spans="3:10" x14ac:dyDescent="0.25">
      <c r="C4649" s="9"/>
      <c r="D4649" s="10">
        <v>45659</v>
      </c>
      <c r="E4649" t="s">
        <v>5644</v>
      </c>
      <c r="F4649" s="11" t="s">
        <v>5645</v>
      </c>
      <c r="G4649" s="8">
        <v>0</v>
      </c>
      <c r="H4649" s="8">
        <v>12.45</v>
      </c>
      <c r="I4649" s="8">
        <f t="shared" si="236"/>
        <v>-1619.9399999999998</v>
      </c>
      <c r="J4649" s="12"/>
    </row>
    <row r="4650" spans="3:10" x14ac:dyDescent="0.25">
      <c r="C4650" s="9"/>
      <c r="D4650" s="10">
        <v>45659</v>
      </c>
      <c r="E4650" t="s">
        <v>5646</v>
      </c>
      <c r="F4650" s="11" t="s">
        <v>5647</v>
      </c>
      <c r="G4650" s="8">
        <v>37.01</v>
      </c>
      <c r="H4650" s="8">
        <v>0</v>
      </c>
      <c r="I4650" s="8">
        <f t="shared" si="236"/>
        <v>-1582.9299999999998</v>
      </c>
      <c r="J4650" s="12"/>
    </row>
    <row r="4651" spans="3:10" x14ac:dyDescent="0.25">
      <c r="C4651" s="9"/>
      <c r="D4651" s="10">
        <v>45659</v>
      </c>
      <c r="E4651" t="s">
        <v>5648</v>
      </c>
      <c r="F4651" s="11" t="s">
        <v>5649</v>
      </c>
      <c r="G4651" s="8">
        <v>68.62</v>
      </c>
      <c r="H4651" s="8">
        <v>0</v>
      </c>
      <c r="I4651" s="8">
        <f t="shared" si="236"/>
        <v>-1514.31</v>
      </c>
      <c r="J4651" s="12"/>
    </row>
    <row r="4652" spans="3:10" x14ac:dyDescent="0.25">
      <c r="C4652" s="9"/>
      <c r="D4652" s="10">
        <v>45659</v>
      </c>
      <c r="E4652" t="s">
        <v>5650</v>
      </c>
      <c r="F4652" s="11" t="s">
        <v>5651</v>
      </c>
      <c r="G4652" s="8">
        <v>5</v>
      </c>
      <c r="H4652" s="8">
        <v>0</v>
      </c>
      <c r="I4652" s="8">
        <f t="shared" si="236"/>
        <v>-1509.31</v>
      </c>
      <c r="J4652" s="12"/>
    </row>
    <row r="4653" spans="3:10" x14ac:dyDescent="0.25">
      <c r="C4653" s="9"/>
      <c r="D4653" s="10">
        <v>45659</v>
      </c>
      <c r="E4653" t="s">
        <v>5652</v>
      </c>
      <c r="F4653" s="11" t="s">
        <v>5653</v>
      </c>
      <c r="G4653" s="8">
        <v>18.71</v>
      </c>
      <c r="H4653" s="8">
        <v>0</v>
      </c>
      <c r="I4653" s="8">
        <f t="shared" si="236"/>
        <v>-1490.6</v>
      </c>
      <c r="J4653" s="12"/>
    </row>
    <row r="4654" spans="3:10" x14ac:dyDescent="0.25">
      <c r="C4654" s="9"/>
      <c r="D4654" s="10">
        <v>45659</v>
      </c>
      <c r="E4654" t="s">
        <v>5654</v>
      </c>
      <c r="F4654" s="11" t="s">
        <v>5655</v>
      </c>
      <c r="G4654" s="8">
        <v>14.13</v>
      </c>
      <c r="H4654" s="8">
        <v>0</v>
      </c>
      <c r="I4654" s="8">
        <f t="shared" si="236"/>
        <v>-1476.4699999999998</v>
      </c>
      <c r="J4654" s="12"/>
    </row>
    <row r="4655" spans="3:10" x14ac:dyDescent="0.25">
      <c r="C4655" s="9"/>
      <c r="D4655" s="10">
        <v>45659</v>
      </c>
      <c r="E4655" t="s">
        <v>5656</v>
      </c>
      <c r="F4655" s="11" t="s">
        <v>5657</v>
      </c>
      <c r="G4655" s="8">
        <v>5.8</v>
      </c>
      <c r="H4655" s="8">
        <v>0</v>
      </c>
      <c r="I4655" s="8">
        <f t="shared" si="236"/>
        <v>-1470.6699999999998</v>
      </c>
      <c r="J4655" s="12"/>
    </row>
    <row r="4656" spans="3:10" x14ac:dyDescent="0.25">
      <c r="C4656" s="9"/>
      <c r="D4656" s="10">
        <v>45659</v>
      </c>
      <c r="E4656" t="s">
        <v>5658</v>
      </c>
      <c r="F4656" s="11" t="s">
        <v>5659</v>
      </c>
      <c r="G4656" s="8">
        <v>39.18</v>
      </c>
      <c r="H4656" s="8">
        <v>0</v>
      </c>
      <c r="I4656" s="8">
        <f t="shared" si="236"/>
        <v>-1431.4899999999998</v>
      </c>
      <c r="J4656" s="12"/>
    </row>
    <row r="4657" spans="3:10" x14ac:dyDescent="0.25">
      <c r="C4657" s="9"/>
      <c r="D4657" s="10">
        <v>45659</v>
      </c>
      <c r="E4657" t="s">
        <v>5660</v>
      </c>
      <c r="F4657" s="11" t="s">
        <v>5661</v>
      </c>
      <c r="G4657" s="8">
        <v>1.86</v>
      </c>
      <c r="H4657" s="8">
        <v>0</v>
      </c>
      <c r="I4657" s="8">
        <f t="shared" si="236"/>
        <v>-1429.6299999999999</v>
      </c>
      <c r="J4657" s="12"/>
    </row>
    <row r="4658" spans="3:10" x14ac:dyDescent="0.25">
      <c r="C4658" s="9"/>
      <c r="D4658" s="10">
        <v>45659</v>
      </c>
      <c r="E4658" t="s">
        <v>5662</v>
      </c>
      <c r="F4658" s="11" t="s">
        <v>5663</v>
      </c>
      <c r="G4658" s="8">
        <v>56.37</v>
      </c>
      <c r="H4658" s="8">
        <v>0</v>
      </c>
      <c r="I4658" s="8">
        <f t="shared" si="236"/>
        <v>-1373.26</v>
      </c>
      <c r="J4658" s="12"/>
    </row>
    <row r="4659" spans="3:10" x14ac:dyDescent="0.25">
      <c r="C4659" s="9"/>
      <c r="D4659" s="10">
        <v>45659</v>
      </c>
      <c r="E4659" t="s">
        <v>5664</v>
      </c>
      <c r="F4659" s="11" t="s">
        <v>5665</v>
      </c>
      <c r="G4659" s="8">
        <v>25.57</v>
      </c>
      <c r="H4659" s="8">
        <v>0</v>
      </c>
      <c r="I4659" s="8">
        <f t="shared" si="236"/>
        <v>-1347.69</v>
      </c>
      <c r="J4659" s="12"/>
    </row>
    <row r="4660" spans="3:10" x14ac:dyDescent="0.25">
      <c r="C4660" s="9"/>
      <c r="D4660" s="10">
        <v>45659</v>
      </c>
      <c r="E4660" t="s">
        <v>5666</v>
      </c>
      <c r="F4660" s="11" t="s">
        <v>42</v>
      </c>
      <c r="G4660" s="8">
        <v>0</v>
      </c>
      <c r="H4660" s="8">
        <v>355.19</v>
      </c>
      <c r="I4660" s="8">
        <f t="shared" si="236"/>
        <v>-1702.88</v>
      </c>
      <c r="J4660" s="12"/>
    </row>
    <row r="4661" spans="3:10" x14ac:dyDescent="0.25">
      <c r="C4661" s="9"/>
      <c r="D4661" s="10">
        <v>45660</v>
      </c>
      <c r="E4661" t="s">
        <v>5667</v>
      </c>
      <c r="F4661" s="11" t="s">
        <v>5668</v>
      </c>
      <c r="G4661" s="8">
        <v>103.73</v>
      </c>
      <c r="H4661" s="8">
        <v>0</v>
      </c>
      <c r="I4661" s="8">
        <f t="shared" si="236"/>
        <v>-1599.15</v>
      </c>
      <c r="J4661" s="12"/>
    </row>
    <row r="4662" spans="3:10" x14ac:dyDescent="0.25">
      <c r="C4662" s="9"/>
      <c r="D4662" s="10">
        <v>45660</v>
      </c>
      <c r="E4662" t="s">
        <v>5669</v>
      </c>
      <c r="F4662" s="11" t="s">
        <v>5670</v>
      </c>
      <c r="G4662" s="8">
        <v>9.4600000000000009</v>
      </c>
      <c r="H4662" s="8">
        <v>0</v>
      </c>
      <c r="I4662" s="8">
        <f t="shared" si="236"/>
        <v>-1589.69</v>
      </c>
      <c r="J4662" s="12"/>
    </row>
    <row r="4663" spans="3:10" x14ac:dyDescent="0.25">
      <c r="C4663" s="9"/>
      <c r="D4663" s="10">
        <v>45660</v>
      </c>
      <c r="E4663" t="s">
        <v>5671</v>
      </c>
      <c r="F4663" s="11" t="s">
        <v>5672</v>
      </c>
      <c r="G4663" s="8">
        <v>3.41</v>
      </c>
      <c r="H4663" s="8">
        <v>0</v>
      </c>
      <c r="I4663" s="8">
        <f t="shared" si="236"/>
        <v>-1586.28</v>
      </c>
      <c r="J4663" s="12"/>
    </row>
    <row r="4664" spans="3:10" x14ac:dyDescent="0.25">
      <c r="C4664" s="9"/>
      <c r="D4664" s="10">
        <v>45660</v>
      </c>
      <c r="E4664" t="s">
        <v>5673</v>
      </c>
      <c r="F4664" s="11" t="s">
        <v>5674</v>
      </c>
      <c r="G4664" s="8">
        <v>36.869999999999997</v>
      </c>
      <c r="H4664" s="8">
        <v>0</v>
      </c>
      <c r="I4664" s="8">
        <f t="shared" si="236"/>
        <v>-1549.41</v>
      </c>
      <c r="J4664" s="12"/>
    </row>
    <row r="4665" spans="3:10" x14ac:dyDescent="0.25">
      <c r="C4665" s="9"/>
      <c r="D4665" s="10">
        <v>45660</v>
      </c>
      <c r="E4665" t="s">
        <v>5675</v>
      </c>
      <c r="F4665" s="11" t="s">
        <v>5676</v>
      </c>
      <c r="G4665" s="8">
        <v>11.13</v>
      </c>
      <c r="H4665" s="8">
        <v>0</v>
      </c>
      <c r="I4665" s="8">
        <f t="shared" si="236"/>
        <v>-1538.28</v>
      </c>
      <c r="J4665" s="12"/>
    </row>
    <row r="4666" spans="3:10" x14ac:dyDescent="0.25">
      <c r="C4666" s="9"/>
      <c r="D4666" s="10">
        <v>45660</v>
      </c>
      <c r="E4666" t="s">
        <v>5677</v>
      </c>
      <c r="F4666" s="11" t="s">
        <v>5678</v>
      </c>
      <c r="G4666" s="8">
        <v>13.69</v>
      </c>
      <c r="H4666" s="8">
        <v>0</v>
      </c>
      <c r="I4666" s="8">
        <f t="shared" si="236"/>
        <v>-1524.59</v>
      </c>
      <c r="J4666" s="12"/>
    </row>
    <row r="4667" spans="3:10" x14ac:dyDescent="0.25">
      <c r="C4667" s="9"/>
      <c r="D4667" s="10">
        <v>45660</v>
      </c>
      <c r="E4667" t="s">
        <v>5677</v>
      </c>
      <c r="F4667" s="11" t="s">
        <v>5678</v>
      </c>
      <c r="G4667" s="8">
        <v>0</v>
      </c>
      <c r="H4667" s="8">
        <v>13.69</v>
      </c>
      <c r="I4667" s="8">
        <f t="shared" si="236"/>
        <v>-1538.28</v>
      </c>
      <c r="J4667" s="12"/>
    </row>
    <row r="4668" spans="3:10" x14ac:dyDescent="0.25">
      <c r="C4668" s="9"/>
      <c r="D4668" s="10">
        <v>45660</v>
      </c>
      <c r="E4668" t="s">
        <v>5679</v>
      </c>
      <c r="F4668" s="11" t="s">
        <v>5680</v>
      </c>
      <c r="G4668" s="8">
        <v>10.16</v>
      </c>
      <c r="H4668" s="8">
        <v>0</v>
      </c>
      <c r="I4668" s="8">
        <f t="shared" si="236"/>
        <v>-1528.12</v>
      </c>
      <c r="J4668" s="12"/>
    </row>
    <row r="4669" spans="3:10" x14ac:dyDescent="0.25">
      <c r="C4669" s="9"/>
      <c r="D4669" s="10">
        <v>45660</v>
      </c>
      <c r="E4669" t="s">
        <v>5681</v>
      </c>
      <c r="F4669" s="11" t="s">
        <v>5682</v>
      </c>
      <c r="G4669" s="8">
        <v>76.02</v>
      </c>
      <c r="H4669" s="8">
        <v>0</v>
      </c>
      <c r="I4669" s="8">
        <f t="shared" si="236"/>
        <v>-1452.1</v>
      </c>
      <c r="J4669" s="12"/>
    </row>
    <row r="4670" spans="3:10" x14ac:dyDescent="0.25">
      <c r="C4670" s="9"/>
      <c r="D4670" s="10">
        <v>45660</v>
      </c>
      <c r="E4670" t="s">
        <v>5683</v>
      </c>
      <c r="F4670" s="11" t="s">
        <v>5684</v>
      </c>
      <c r="G4670" s="8">
        <v>82.82</v>
      </c>
      <c r="H4670" s="8">
        <v>0</v>
      </c>
      <c r="I4670" s="8">
        <f t="shared" si="236"/>
        <v>-1369.28</v>
      </c>
      <c r="J4670" s="12"/>
    </row>
    <row r="4671" spans="3:10" x14ac:dyDescent="0.25">
      <c r="C4671" s="9"/>
      <c r="D4671" s="10">
        <v>45660</v>
      </c>
      <c r="E4671" t="s">
        <v>5685</v>
      </c>
      <c r="F4671" s="11" t="s">
        <v>5686</v>
      </c>
      <c r="G4671" s="8">
        <v>112.7</v>
      </c>
      <c r="H4671" s="8">
        <v>0</v>
      </c>
      <c r="I4671" s="8">
        <f t="shared" si="236"/>
        <v>-1256.58</v>
      </c>
      <c r="J4671" s="12"/>
    </row>
    <row r="4672" spans="3:10" x14ac:dyDescent="0.25">
      <c r="C4672" s="9"/>
      <c r="D4672" s="10">
        <v>45660</v>
      </c>
      <c r="E4672" t="s">
        <v>5687</v>
      </c>
      <c r="F4672" s="11" t="s">
        <v>5688</v>
      </c>
      <c r="G4672" s="8">
        <v>123.7</v>
      </c>
      <c r="H4672" s="8">
        <v>0</v>
      </c>
      <c r="I4672" s="8">
        <f t="shared" si="236"/>
        <v>-1132.8799999999999</v>
      </c>
      <c r="J4672" s="12"/>
    </row>
    <row r="4673" spans="3:10" x14ac:dyDescent="0.25">
      <c r="C4673" s="9"/>
      <c r="D4673" s="10">
        <v>45660</v>
      </c>
      <c r="E4673" t="s">
        <v>5689</v>
      </c>
      <c r="F4673" s="11" t="s">
        <v>5690</v>
      </c>
      <c r="G4673" s="8">
        <v>12.85</v>
      </c>
      <c r="H4673" s="8">
        <v>0</v>
      </c>
      <c r="I4673" s="8">
        <f t="shared" si="236"/>
        <v>-1120.03</v>
      </c>
      <c r="J4673" s="12"/>
    </row>
    <row r="4674" spans="3:10" x14ac:dyDescent="0.25">
      <c r="C4674" s="9"/>
      <c r="D4674" s="10">
        <v>45660</v>
      </c>
      <c r="E4674" t="s">
        <v>5689</v>
      </c>
      <c r="F4674" s="11" t="s">
        <v>5690</v>
      </c>
      <c r="G4674" s="8">
        <v>0</v>
      </c>
      <c r="H4674" s="8">
        <v>12.85</v>
      </c>
      <c r="I4674" s="8">
        <f t="shared" si="236"/>
        <v>-1132.8799999999999</v>
      </c>
      <c r="J4674" s="12"/>
    </row>
    <row r="4675" spans="3:10" x14ac:dyDescent="0.25">
      <c r="C4675" s="9"/>
      <c r="D4675" s="10">
        <v>45660</v>
      </c>
      <c r="E4675" t="s">
        <v>5691</v>
      </c>
      <c r="F4675" s="11" t="s">
        <v>5692</v>
      </c>
      <c r="G4675" s="8">
        <v>47.6</v>
      </c>
      <c r="H4675" s="8">
        <v>0</v>
      </c>
      <c r="I4675" s="8">
        <f t="shared" si="236"/>
        <v>-1085.28</v>
      </c>
      <c r="J4675" s="12"/>
    </row>
    <row r="4676" spans="3:10" x14ac:dyDescent="0.25">
      <c r="C4676" s="9"/>
      <c r="D4676" s="10">
        <v>45660</v>
      </c>
      <c r="E4676" t="s">
        <v>5693</v>
      </c>
      <c r="F4676" s="11" t="s">
        <v>5694</v>
      </c>
      <c r="G4676" s="8">
        <v>8.43</v>
      </c>
      <c r="H4676" s="8">
        <v>0</v>
      </c>
      <c r="I4676" s="8">
        <f t="shared" si="236"/>
        <v>-1076.8499999999999</v>
      </c>
      <c r="J4676" s="12"/>
    </row>
    <row r="4677" spans="3:10" x14ac:dyDescent="0.25">
      <c r="C4677" s="9"/>
      <c r="D4677" s="10">
        <v>45660</v>
      </c>
      <c r="E4677" t="s">
        <v>5695</v>
      </c>
      <c r="F4677" s="11" t="s">
        <v>5696</v>
      </c>
      <c r="G4677" s="8">
        <v>73.349999999999994</v>
      </c>
      <c r="H4677" s="8">
        <v>0</v>
      </c>
      <c r="I4677" s="8">
        <f t="shared" si="236"/>
        <v>-1003.4999999999999</v>
      </c>
      <c r="J4677" s="12"/>
    </row>
    <row r="4678" spans="3:10" x14ac:dyDescent="0.25">
      <c r="C4678" s="9"/>
      <c r="D4678" s="10">
        <v>45660</v>
      </c>
      <c r="E4678" t="s">
        <v>5697</v>
      </c>
      <c r="F4678" s="11" t="s">
        <v>5698</v>
      </c>
      <c r="G4678" s="8">
        <v>6.01</v>
      </c>
      <c r="H4678" s="8">
        <v>0</v>
      </c>
      <c r="I4678" s="8">
        <f t="shared" si="236"/>
        <v>-997.4899999999999</v>
      </c>
      <c r="J4678" s="12"/>
    </row>
    <row r="4679" spans="3:10" x14ac:dyDescent="0.25">
      <c r="C4679" s="9"/>
      <c r="D4679" s="10">
        <v>45660</v>
      </c>
      <c r="E4679" t="s">
        <v>5699</v>
      </c>
      <c r="F4679" s="11" t="s">
        <v>5700</v>
      </c>
      <c r="G4679" s="8">
        <v>43.73</v>
      </c>
      <c r="H4679" s="8">
        <v>0</v>
      </c>
      <c r="I4679" s="8">
        <f t="shared" si="236"/>
        <v>-953.75999999999988</v>
      </c>
      <c r="J4679" s="12"/>
    </row>
    <row r="4680" spans="3:10" x14ac:dyDescent="0.25">
      <c r="C4680" s="9"/>
      <c r="D4680" s="10">
        <v>45660</v>
      </c>
      <c r="E4680" t="s">
        <v>5701</v>
      </c>
      <c r="F4680" s="11" t="s">
        <v>5702</v>
      </c>
      <c r="G4680" s="8">
        <v>18.739999999999998</v>
      </c>
      <c r="H4680" s="8">
        <v>0</v>
      </c>
      <c r="I4680" s="8">
        <f t="shared" si="236"/>
        <v>-935.01999999999987</v>
      </c>
      <c r="J4680" s="12"/>
    </row>
    <row r="4681" spans="3:10" x14ac:dyDescent="0.25">
      <c r="C4681" s="9"/>
      <c r="D4681" s="10">
        <v>45660</v>
      </c>
      <c r="E4681" t="s">
        <v>5703</v>
      </c>
      <c r="F4681" s="11" t="s">
        <v>5704</v>
      </c>
      <c r="G4681" s="8">
        <v>23.57</v>
      </c>
      <c r="H4681" s="8">
        <v>0</v>
      </c>
      <c r="I4681" s="8">
        <f t="shared" si="236"/>
        <v>-911.44999999999982</v>
      </c>
      <c r="J4681" s="12"/>
    </row>
    <row r="4682" spans="3:10" x14ac:dyDescent="0.25">
      <c r="C4682" s="9"/>
      <c r="D4682" s="10">
        <v>45660</v>
      </c>
      <c r="E4682" t="s">
        <v>11</v>
      </c>
      <c r="F4682" s="11" t="s">
        <v>5705</v>
      </c>
      <c r="G4682" s="8">
        <v>0</v>
      </c>
      <c r="H4682" s="8">
        <v>474.63</v>
      </c>
      <c r="I4682" s="8">
        <f t="shared" si="236"/>
        <v>-1386.08</v>
      </c>
      <c r="J4682" s="12"/>
    </row>
    <row r="4683" spans="3:10" x14ac:dyDescent="0.25">
      <c r="C4683" s="9"/>
      <c r="D4683" s="10">
        <v>45661</v>
      </c>
      <c r="E4683" t="s">
        <v>5666</v>
      </c>
      <c r="F4683" s="11" t="s">
        <v>42</v>
      </c>
      <c r="G4683" s="8">
        <v>0</v>
      </c>
      <c r="H4683" s="8">
        <v>786.74</v>
      </c>
      <c r="I4683" s="8">
        <f t="shared" si="236"/>
        <v>-2172.8199999999997</v>
      </c>
      <c r="J4683" s="12"/>
    </row>
    <row r="4684" spans="3:10" x14ac:dyDescent="0.25">
      <c r="C4684" s="9"/>
      <c r="D4684" s="10">
        <v>45664</v>
      </c>
      <c r="E4684" t="s">
        <v>5706</v>
      </c>
      <c r="F4684" s="11" t="s">
        <v>5707</v>
      </c>
      <c r="G4684" s="8">
        <v>26.14</v>
      </c>
      <c r="H4684" s="8">
        <v>0</v>
      </c>
      <c r="I4684" s="8">
        <f t="shared" si="236"/>
        <v>-2146.6799999999998</v>
      </c>
      <c r="J4684" s="12"/>
    </row>
    <row r="4685" spans="3:10" x14ac:dyDescent="0.25">
      <c r="C4685" s="9"/>
      <c r="D4685" s="10">
        <v>45664</v>
      </c>
      <c r="E4685" t="s">
        <v>5708</v>
      </c>
      <c r="F4685" s="11" t="s">
        <v>5709</v>
      </c>
      <c r="G4685" s="8">
        <v>165.76</v>
      </c>
      <c r="H4685" s="8">
        <v>0</v>
      </c>
      <c r="I4685" s="8">
        <f t="shared" si="236"/>
        <v>-1980.9199999999998</v>
      </c>
      <c r="J4685" s="12"/>
    </row>
    <row r="4686" spans="3:10" x14ac:dyDescent="0.25">
      <c r="C4686" s="9"/>
      <c r="D4686" s="10">
        <v>45664</v>
      </c>
      <c r="E4686" t="s">
        <v>5710</v>
      </c>
      <c r="F4686" s="11" t="s">
        <v>5711</v>
      </c>
      <c r="G4686" s="8">
        <v>-28.94</v>
      </c>
      <c r="H4686" s="8">
        <v>0</v>
      </c>
      <c r="I4686" s="8">
        <f t="shared" si="236"/>
        <v>-2009.86</v>
      </c>
      <c r="J4686" s="12"/>
    </row>
    <row r="4687" spans="3:10" x14ac:dyDescent="0.25">
      <c r="C4687" s="9"/>
      <c r="D4687" s="10">
        <v>45664</v>
      </c>
      <c r="E4687" t="s">
        <v>5710</v>
      </c>
      <c r="F4687" s="11" t="s">
        <v>5711</v>
      </c>
      <c r="G4687" s="8">
        <v>0</v>
      </c>
      <c r="H4687" s="8">
        <v>-28.94</v>
      </c>
      <c r="I4687" s="8">
        <f t="shared" si="236"/>
        <v>-1980.9199999999998</v>
      </c>
      <c r="J4687" s="12"/>
    </row>
    <row r="4688" spans="3:10" x14ac:dyDescent="0.25">
      <c r="C4688" s="9"/>
      <c r="D4688" s="10">
        <v>45664</v>
      </c>
      <c r="E4688" t="s">
        <v>5712</v>
      </c>
      <c r="F4688" s="11" t="s">
        <v>5713</v>
      </c>
      <c r="G4688" s="8">
        <v>2.86</v>
      </c>
      <c r="H4688" s="8">
        <v>0</v>
      </c>
      <c r="I4688" s="8">
        <f t="shared" si="236"/>
        <v>-1978.06</v>
      </c>
      <c r="J4688" s="12"/>
    </row>
    <row r="4689" spans="3:10" x14ac:dyDescent="0.25">
      <c r="C4689" s="9"/>
      <c r="D4689" s="10">
        <v>45664</v>
      </c>
      <c r="E4689" t="s">
        <v>5714</v>
      </c>
      <c r="F4689" s="11" t="s">
        <v>5715</v>
      </c>
      <c r="G4689" s="8">
        <v>23.47</v>
      </c>
      <c r="H4689" s="8">
        <v>0</v>
      </c>
      <c r="I4689" s="8">
        <f t="shared" si="236"/>
        <v>-1954.59</v>
      </c>
      <c r="J4689" s="12"/>
    </row>
    <row r="4690" spans="3:10" x14ac:dyDescent="0.25">
      <c r="C4690" s="9"/>
      <c r="D4690" s="10">
        <v>45664</v>
      </c>
      <c r="E4690" t="s">
        <v>5716</v>
      </c>
      <c r="F4690" s="11" t="s">
        <v>5717</v>
      </c>
      <c r="G4690" s="8">
        <v>56.95</v>
      </c>
      <c r="H4690" s="8">
        <v>0</v>
      </c>
      <c r="I4690" s="8">
        <f t="shared" si="236"/>
        <v>-1897.6399999999999</v>
      </c>
      <c r="J4690" s="12"/>
    </row>
    <row r="4691" spans="3:10" x14ac:dyDescent="0.25">
      <c r="C4691" s="9"/>
      <c r="D4691" s="10">
        <v>45664</v>
      </c>
      <c r="E4691" t="s">
        <v>5718</v>
      </c>
      <c r="F4691" s="11" t="s">
        <v>5719</v>
      </c>
      <c r="G4691" s="8">
        <v>13.46</v>
      </c>
      <c r="H4691" s="8">
        <v>0</v>
      </c>
      <c r="I4691" s="8">
        <f t="shared" si="236"/>
        <v>-1884.1799999999998</v>
      </c>
      <c r="J4691" s="12"/>
    </row>
    <row r="4692" spans="3:10" x14ac:dyDescent="0.25">
      <c r="C4692" s="9"/>
      <c r="D4692" s="10">
        <v>45664</v>
      </c>
      <c r="E4692" t="s">
        <v>5720</v>
      </c>
      <c r="F4692" s="11" t="s">
        <v>5721</v>
      </c>
      <c r="G4692" s="8">
        <v>5.32</v>
      </c>
      <c r="H4692" s="8">
        <v>0</v>
      </c>
      <c r="I4692" s="8">
        <f t="shared" si="236"/>
        <v>-1878.86</v>
      </c>
      <c r="J4692" s="12"/>
    </row>
    <row r="4693" spans="3:10" x14ac:dyDescent="0.25">
      <c r="C4693" s="9"/>
      <c r="D4693" s="10">
        <v>45664</v>
      </c>
      <c r="E4693" t="s">
        <v>5722</v>
      </c>
      <c r="F4693" s="11" t="s">
        <v>5723</v>
      </c>
      <c r="G4693" s="8">
        <v>22.16</v>
      </c>
      <c r="H4693" s="8">
        <v>0</v>
      </c>
      <c r="I4693" s="8">
        <f t="shared" si="236"/>
        <v>-1856.6999999999998</v>
      </c>
      <c r="J4693" s="12"/>
    </row>
    <row r="4694" spans="3:10" x14ac:dyDescent="0.25">
      <c r="C4694" s="9"/>
      <c r="D4694" s="10">
        <v>45664</v>
      </c>
      <c r="E4694" t="s">
        <v>5724</v>
      </c>
      <c r="F4694" s="11" t="s">
        <v>5725</v>
      </c>
      <c r="G4694" s="8">
        <v>8.99</v>
      </c>
      <c r="H4694" s="8">
        <v>0</v>
      </c>
      <c r="I4694" s="8">
        <f t="shared" si="236"/>
        <v>-1847.7099999999998</v>
      </c>
      <c r="J4694" s="12"/>
    </row>
    <row r="4695" spans="3:10" x14ac:dyDescent="0.25">
      <c r="C4695" s="9"/>
      <c r="D4695" s="10">
        <v>45664</v>
      </c>
      <c r="E4695" t="s">
        <v>5726</v>
      </c>
      <c r="F4695" s="11" t="s">
        <v>5727</v>
      </c>
      <c r="G4695" s="8">
        <v>4.63</v>
      </c>
      <c r="H4695" s="8">
        <v>0</v>
      </c>
      <c r="I4695" s="8">
        <f t="shared" si="236"/>
        <v>-1843.0799999999997</v>
      </c>
      <c r="J4695" s="12"/>
    </row>
    <row r="4696" spans="3:10" x14ac:dyDescent="0.25">
      <c r="C4696" s="9"/>
      <c r="D4696" s="10">
        <v>45664</v>
      </c>
      <c r="E4696" t="s">
        <v>5728</v>
      </c>
      <c r="F4696" s="11" t="s">
        <v>5729</v>
      </c>
      <c r="G4696" s="8">
        <v>23.24</v>
      </c>
      <c r="H4696" s="8">
        <v>0</v>
      </c>
      <c r="I4696" s="8">
        <f t="shared" si="236"/>
        <v>-1819.8399999999997</v>
      </c>
      <c r="J4696" s="12"/>
    </row>
    <row r="4697" spans="3:10" x14ac:dyDescent="0.25">
      <c r="C4697" s="9"/>
      <c r="D4697" s="10">
        <v>45664</v>
      </c>
      <c r="E4697" t="s">
        <v>5730</v>
      </c>
      <c r="F4697" s="11" t="s">
        <v>5731</v>
      </c>
      <c r="G4697" s="8">
        <v>14.34</v>
      </c>
      <c r="H4697" s="8">
        <v>0</v>
      </c>
      <c r="I4697" s="8">
        <f t="shared" si="236"/>
        <v>-1805.4999999999998</v>
      </c>
      <c r="J4697" s="12"/>
    </row>
    <row r="4698" spans="3:10" x14ac:dyDescent="0.25">
      <c r="C4698" s="9"/>
      <c r="D4698" s="10">
        <v>45664</v>
      </c>
      <c r="E4698" t="s">
        <v>5732</v>
      </c>
      <c r="F4698" s="11" t="s">
        <v>5733</v>
      </c>
      <c r="G4698" s="8">
        <v>90.75</v>
      </c>
      <c r="H4698" s="8">
        <v>0</v>
      </c>
      <c r="I4698" s="8">
        <f t="shared" si="236"/>
        <v>-1714.7499999999998</v>
      </c>
      <c r="J4698" s="12"/>
    </row>
    <row r="4699" spans="3:10" x14ac:dyDescent="0.25">
      <c r="C4699" s="9"/>
      <c r="D4699" s="10">
        <v>45664</v>
      </c>
      <c r="E4699" t="s">
        <v>5734</v>
      </c>
      <c r="F4699" s="11" t="s">
        <v>5735</v>
      </c>
      <c r="G4699" s="8">
        <v>126.66</v>
      </c>
      <c r="H4699" s="8">
        <v>0</v>
      </c>
      <c r="I4699" s="8">
        <f t="shared" si="236"/>
        <v>-1588.0899999999997</v>
      </c>
      <c r="J4699" s="12"/>
    </row>
    <row r="4700" spans="3:10" x14ac:dyDescent="0.25">
      <c r="C4700" s="9"/>
      <c r="D4700" s="10">
        <v>45664</v>
      </c>
      <c r="E4700" t="s">
        <v>5736</v>
      </c>
      <c r="F4700" s="11" t="s">
        <v>5737</v>
      </c>
      <c r="G4700" s="8">
        <v>37.130000000000003</v>
      </c>
      <c r="H4700" s="8">
        <v>0</v>
      </c>
      <c r="I4700" s="8">
        <f t="shared" ref="I4700:I4763" si="237">G4700-H4700+I4699</f>
        <v>-1550.9599999999996</v>
      </c>
      <c r="J4700" s="12"/>
    </row>
    <row r="4701" spans="3:10" x14ac:dyDescent="0.25">
      <c r="C4701" s="9"/>
      <c r="D4701" s="10">
        <v>45664</v>
      </c>
      <c r="E4701" t="s">
        <v>5738</v>
      </c>
      <c r="F4701" s="11" t="s">
        <v>5739</v>
      </c>
      <c r="G4701" s="8">
        <v>71.8</v>
      </c>
      <c r="H4701" s="8">
        <v>0</v>
      </c>
      <c r="I4701" s="8">
        <f t="shared" si="237"/>
        <v>-1479.1599999999996</v>
      </c>
      <c r="J4701" s="12"/>
    </row>
    <row r="4702" spans="3:10" x14ac:dyDescent="0.25">
      <c r="C4702" s="9"/>
      <c r="D4702" s="10">
        <v>45665</v>
      </c>
      <c r="E4702" t="s">
        <v>5740</v>
      </c>
      <c r="F4702" s="11" t="s">
        <v>5741</v>
      </c>
      <c r="G4702" s="8">
        <v>24.2</v>
      </c>
      <c r="H4702" s="8">
        <v>0</v>
      </c>
      <c r="I4702" s="8">
        <f t="shared" si="237"/>
        <v>-1454.9599999999996</v>
      </c>
      <c r="J4702" s="12"/>
    </row>
    <row r="4703" spans="3:10" x14ac:dyDescent="0.25">
      <c r="C4703" s="9"/>
      <c r="D4703" s="10">
        <v>45665</v>
      </c>
      <c r="E4703" t="s">
        <v>5742</v>
      </c>
      <c r="F4703" s="11" t="s">
        <v>5743</v>
      </c>
      <c r="G4703" s="8">
        <v>-111.32</v>
      </c>
      <c r="H4703" s="8">
        <v>0</v>
      </c>
      <c r="I4703" s="8">
        <f t="shared" si="237"/>
        <v>-1566.2799999999995</v>
      </c>
      <c r="J4703" s="12"/>
    </row>
    <row r="4704" spans="3:10" x14ac:dyDescent="0.25">
      <c r="C4704" s="9"/>
      <c r="D4704" s="10">
        <v>45665</v>
      </c>
      <c r="E4704" t="s">
        <v>5742</v>
      </c>
      <c r="F4704" s="11" t="s">
        <v>5743</v>
      </c>
      <c r="G4704" s="8">
        <v>0</v>
      </c>
      <c r="H4704" s="8">
        <v>-111.32</v>
      </c>
      <c r="I4704" s="8">
        <f t="shared" si="237"/>
        <v>-1454.9599999999996</v>
      </c>
      <c r="J4704" s="12"/>
    </row>
    <row r="4705" spans="3:10" x14ac:dyDescent="0.25">
      <c r="C4705" s="9"/>
      <c r="D4705" s="10">
        <v>45665</v>
      </c>
      <c r="E4705" t="s">
        <v>5744</v>
      </c>
      <c r="F4705" s="11" t="s">
        <v>4635</v>
      </c>
      <c r="G4705" s="8">
        <v>125.54</v>
      </c>
      <c r="H4705" s="8">
        <v>0</v>
      </c>
      <c r="I4705" s="8">
        <f t="shared" si="237"/>
        <v>-1329.4199999999996</v>
      </c>
      <c r="J4705" s="12"/>
    </row>
    <row r="4706" spans="3:10" x14ac:dyDescent="0.25">
      <c r="C4706" s="9"/>
      <c r="D4706" s="10">
        <v>45665</v>
      </c>
      <c r="E4706" t="s">
        <v>5744</v>
      </c>
      <c r="F4706" s="11" t="s">
        <v>4635</v>
      </c>
      <c r="G4706" s="8">
        <v>0</v>
      </c>
      <c r="H4706" s="8">
        <v>125.54</v>
      </c>
      <c r="I4706" s="8">
        <f t="shared" si="237"/>
        <v>-1454.9599999999996</v>
      </c>
      <c r="J4706" s="12"/>
    </row>
    <row r="4707" spans="3:10" x14ac:dyDescent="0.25">
      <c r="C4707" s="9"/>
      <c r="D4707" s="10">
        <v>45665</v>
      </c>
      <c r="E4707" t="s">
        <v>5745</v>
      </c>
      <c r="F4707" s="11" t="s">
        <v>5746</v>
      </c>
      <c r="G4707" s="8">
        <v>7.08</v>
      </c>
      <c r="H4707" s="8">
        <v>0</v>
      </c>
      <c r="I4707" s="8">
        <f t="shared" si="237"/>
        <v>-1447.8799999999997</v>
      </c>
      <c r="J4707" s="12"/>
    </row>
    <row r="4708" spans="3:10" x14ac:dyDescent="0.25">
      <c r="C4708" s="9"/>
      <c r="D4708" s="10">
        <v>45665</v>
      </c>
      <c r="E4708" t="s">
        <v>5747</v>
      </c>
      <c r="F4708" s="11" t="s">
        <v>5748</v>
      </c>
      <c r="G4708" s="8">
        <v>27.7</v>
      </c>
      <c r="H4708" s="8">
        <v>0</v>
      </c>
      <c r="I4708" s="8">
        <f t="shared" si="237"/>
        <v>-1420.1799999999996</v>
      </c>
      <c r="J4708" s="12"/>
    </row>
    <row r="4709" spans="3:10" x14ac:dyDescent="0.25">
      <c r="C4709" s="9"/>
      <c r="D4709" s="10">
        <v>45665</v>
      </c>
      <c r="E4709" t="s">
        <v>5749</v>
      </c>
      <c r="F4709" s="11" t="s">
        <v>5750</v>
      </c>
      <c r="G4709" s="8">
        <v>53.53</v>
      </c>
      <c r="H4709" s="8">
        <v>0</v>
      </c>
      <c r="I4709" s="8">
        <f t="shared" si="237"/>
        <v>-1366.6499999999996</v>
      </c>
      <c r="J4709" s="12"/>
    </row>
    <row r="4710" spans="3:10" x14ac:dyDescent="0.25">
      <c r="C4710" s="9"/>
      <c r="D4710" s="10">
        <v>45665</v>
      </c>
      <c r="E4710" t="s">
        <v>5751</v>
      </c>
      <c r="F4710" s="11" t="s">
        <v>5752</v>
      </c>
      <c r="G4710" s="8">
        <v>86.97</v>
      </c>
      <c r="H4710" s="8">
        <v>0</v>
      </c>
      <c r="I4710" s="8">
        <f t="shared" si="237"/>
        <v>-1279.6799999999996</v>
      </c>
      <c r="J4710" s="12"/>
    </row>
    <row r="4711" spans="3:10" x14ac:dyDescent="0.25">
      <c r="C4711" s="9"/>
      <c r="D4711" s="10">
        <v>45665</v>
      </c>
      <c r="E4711" t="s">
        <v>5753</v>
      </c>
      <c r="F4711" s="11" t="s">
        <v>5754</v>
      </c>
      <c r="G4711" s="8">
        <v>16.559999999999999</v>
      </c>
      <c r="H4711" s="8">
        <v>0</v>
      </c>
      <c r="I4711" s="8">
        <f t="shared" si="237"/>
        <v>-1263.1199999999997</v>
      </c>
      <c r="J4711" s="12"/>
    </row>
    <row r="4712" spans="3:10" x14ac:dyDescent="0.25">
      <c r="C4712" s="9"/>
      <c r="D4712" s="10">
        <v>45665</v>
      </c>
      <c r="E4712" t="s">
        <v>5755</v>
      </c>
      <c r="F4712" s="11" t="s">
        <v>5756</v>
      </c>
      <c r="G4712" s="8">
        <v>8.25</v>
      </c>
      <c r="H4712" s="8">
        <v>0</v>
      </c>
      <c r="I4712" s="8">
        <f t="shared" si="237"/>
        <v>-1254.8699999999997</v>
      </c>
      <c r="J4712" s="12"/>
    </row>
    <row r="4713" spans="3:10" x14ac:dyDescent="0.25">
      <c r="C4713" s="9"/>
      <c r="D4713" s="10">
        <v>45665</v>
      </c>
      <c r="E4713" t="s">
        <v>5757</v>
      </c>
      <c r="F4713" s="11" t="s">
        <v>5758</v>
      </c>
      <c r="G4713" s="8">
        <v>14.86</v>
      </c>
      <c r="H4713" s="8">
        <v>0</v>
      </c>
      <c r="I4713" s="8">
        <f t="shared" si="237"/>
        <v>-1240.0099999999998</v>
      </c>
      <c r="J4713" s="12"/>
    </row>
    <row r="4714" spans="3:10" x14ac:dyDescent="0.25">
      <c r="C4714" s="9"/>
      <c r="D4714" s="10">
        <v>45665</v>
      </c>
      <c r="E4714" t="s">
        <v>5759</v>
      </c>
      <c r="F4714" s="11" t="s">
        <v>5760</v>
      </c>
      <c r="G4714" s="8">
        <v>15.32</v>
      </c>
      <c r="H4714" s="8">
        <v>0</v>
      </c>
      <c r="I4714" s="8">
        <f t="shared" si="237"/>
        <v>-1224.6899999999998</v>
      </c>
      <c r="J4714" s="12"/>
    </row>
    <row r="4715" spans="3:10" x14ac:dyDescent="0.25">
      <c r="C4715" s="9"/>
      <c r="D4715" s="10">
        <v>45665</v>
      </c>
      <c r="E4715" t="s">
        <v>5759</v>
      </c>
      <c r="F4715" s="11" t="s">
        <v>5760</v>
      </c>
      <c r="G4715" s="8">
        <v>0</v>
      </c>
      <c r="H4715" s="8">
        <v>15.32</v>
      </c>
      <c r="I4715" s="8">
        <f t="shared" si="237"/>
        <v>-1240.0099999999998</v>
      </c>
      <c r="J4715" s="12"/>
    </row>
    <row r="4716" spans="3:10" x14ac:dyDescent="0.25">
      <c r="C4716" s="9"/>
      <c r="D4716" s="10">
        <v>45665</v>
      </c>
      <c r="E4716" t="s">
        <v>5761</v>
      </c>
      <c r="F4716" s="11" t="s">
        <v>5762</v>
      </c>
      <c r="G4716" s="8">
        <v>23.23</v>
      </c>
      <c r="H4716" s="8">
        <v>0</v>
      </c>
      <c r="I4716" s="8">
        <f t="shared" si="237"/>
        <v>-1216.7799999999997</v>
      </c>
      <c r="J4716" s="12"/>
    </row>
    <row r="4717" spans="3:10" x14ac:dyDescent="0.25">
      <c r="C4717" s="9"/>
      <c r="D4717" s="10">
        <v>45665</v>
      </c>
      <c r="E4717" t="s">
        <v>5763</v>
      </c>
      <c r="F4717" s="11" t="s">
        <v>5764</v>
      </c>
      <c r="G4717" s="8">
        <v>6.95</v>
      </c>
      <c r="H4717" s="8">
        <v>0</v>
      </c>
      <c r="I4717" s="8">
        <f t="shared" si="237"/>
        <v>-1209.8299999999997</v>
      </c>
      <c r="J4717" s="12"/>
    </row>
    <row r="4718" spans="3:10" x14ac:dyDescent="0.25">
      <c r="C4718" s="9"/>
      <c r="D4718" s="10">
        <v>45665</v>
      </c>
      <c r="E4718" t="s">
        <v>5765</v>
      </c>
      <c r="F4718" s="11" t="s">
        <v>5766</v>
      </c>
      <c r="G4718" s="8">
        <v>47.07</v>
      </c>
      <c r="H4718" s="8">
        <v>0</v>
      </c>
      <c r="I4718" s="8">
        <f t="shared" si="237"/>
        <v>-1162.7599999999998</v>
      </c>
      <c r="J4718" s="12"/>
    </row>
    <row r="4719" spans="3:10" x14ac:dyDescent="0.25">
      <c r="C4719" s="9"/>
      <c r="D4719" s="10">
        <v>45665</v>
      </c>
      <c r="E4719" t="s">
        <v>5767</v>
      </c>
      <c r="F4719" s="11" t="s">
        <v>5768</v>
      </c>
      <c r="G4719" s="8">
        <v>13.58</v>
      </c>
      <c r="H4719" s="8">
        <v>0</v>
      </c>
      <c r="I4719" s="8">
        <f t="shared" si="237"/>
        <v>-1149.1799999999998</v>
      </c>
      <c r="J4719" s="12"/>
    </row>
    <row r="4720" spans="3:10" x14ac:dyDescent="0.25">
      <c r="C4720" s="9"/>
      <c r="D4720" s="10">
        <v>45665</v>
      </c>
      <c r="E4720" t="s">
        <v>5769</v>
      </c>
      <c r="F4720" s="11" t="s">
        <v>5770</v>
      </c>
      <c r="G4720" s="8">
        <v>17.47</v>
      </c>
      <c r="H4720" s="8">
        <v>0</v>
      </c>
      <c r="I4720" s="8">
        <f t="shared" si="237"/>
        <v>-1131.7099999999998</v>
      </c>
      <c r="J4720" s="12"/>
    </row>
    <row r="4721" spans="3:10" x14ac:dyDescent="0.25">
      <c r="C4721" s="9"/>
      <c r="D4721" s="10">
        <v>45665</v>
      </c>
      <c r="E4721" t="s">
        <v>5771</v>
      </c>
      <c r="F4721" s="11" t="s">
        <v>42</v>
      </c>
      <c r="G4721" s="8">
        <v>0</v>
      </c>
      <c r="H4721" s="8">
        <v>693.66</v>
      </c>
      <c r="I4721" s="8">
        <f t="shared" si="237"/>
        <v>-1825.37</v>
      </c>
      <c r="J4721" s="12"/>
    </row>
    <row r="4722" spans="3:10" x14ac:dyDescent="0.25">
      <c r="C4722" s="9"/>
      <c r="D4722" s="10">
        <v>45666</v>
      </c>
      <c r="E4722" t="s">
        <v>5772</v>
      </c>
      <c r="F4722" s="11" t="s">
        <v>5773</v>
      </c>
      <c r="G4722" s="8">
        <v>14.08</v>
      </c>
      <c r="H4722" s="8">
        <v>0</v>
      </c>
      <c r="I4722" s="8">
        <f t="shared" si="237"/>
        <v>-1811.29</v>
      </c>
      <c r="J4722" s="12"/>
    </row>
    <row r="4723" spans="3:10" x14ac:dyDescent="0.25">
      <c r="C4723" s="9"/>
      <c r="D4723" s="10">
        <v>45666</v>
      </c>
      <c r="E4723" t="s">
        <v>5774</v>
      </c>
      <c r="F4723" s="11" t="s">
        <v>5775</v>
      </c>
      <c r="G4723" s="8">
        <v>22</v>
      </c>
      <c r="H4723" s="8">
        <v>0</v>
      </c>
      <c r="I4723" s="8">
        <f t="shared" si="237"/>
        <v>-1789.29</v>
      </c>
      <c r="J4723" s="12"/>
    </row>
    <row r="4724" spans="3:10" x14ac:dyDescent="0.25">
      <c r="C4724" s="9"/>
      <c r="D4724" s="10">
        <v>45666</v>
      </c>
      <c r="E4724" t="s">
        <v>5776</v>
      </c>
      <c r="F4724" s="11" t="s">
        <v>5777</v>
      </c>
      <c r="G4724" s="8">
        <v>142.05000000000001</v>
      </c>
      <c r="H4724" s="8">
        <v>0</v>
      </c>
      <c r="I4724" s="8">
        <f t="shared" si="237"/>
        <v>-1647.24</v>
      </c>
      <c r="J4724" s="12"/>
    </row>
    <row r="4725" spans="3:10" x14ac:dyDescent="0.25">
      <c r="C4725" s="9"/>
      <c r="D4725" s="10">
        <v>45666</v>
      </c>
      <c r="E4725" t="s">
        <v>5778</v>
      </c>
      <c r="F4725" s="11" t="s">
        <v>5779</v>
      </c>
      <c r="G4725" s="8">
        <v>19.989999999999998</v>
      </c>
      <c r="H4725" s="8">
        <v>0</v>
      </c>
      <c r="I4725" s="8">
        <f t="shared" si="237"/>
        <v>-1627.25</v>
      </c>
      <c r="J4725" s="12"/>
    </row>
    <row r="4726" spans="3:10" x14ac:dyDescent="0.25">
      <c r="C4726" s="9"/>
      <c r="D4726" s="10">
        <v>45666</v>
      </c>
      <c r="E4726" t="s">
        <v>5780</v>
      </c>
      <c r="F4726" s="11" t="s">
        <v>5781</v>
      </c>
      <c r="G4726" s="8">
        <v>6.59</v>
      </c>
      <c r="H4726" s="8">
        <v>0</v>
      </c>
      <c r="I4726" s="8">
        <f t="shared" si="237"/>
        <v>-1620.66</v>
      </c>
      <c r="J4726" s="12"/>
    </row>
    <row r="4727" spans="3:10" x14ac:dyDescent="0.25">
      <c r="C4727" s="9"/>
      <c r="D4727" s="10">
        <v>45666</v>
      </c>
      <c r="E4727" t="s">
        <v>5782</v>
      </c>
      <c r="F4727" s="11" t="s">
        <v>5783</v>
      </c>
      <c r="G4727" s="8">
        <v>14.4</v>
      </c>
      <c r="H4727" s="8">
        <v>0</v>
      </c>
      <c r="I4727" s="8">
        <f t="shared" si="237"/>
        <v>-1606.26</v>
      </c>
      <c r="J4727" s="12"/>
    </row>
    <row r="4728" spans="3:10" x14ac:dyDescent="0.25">
      <c r="C4728" s="9"/>
      <c r="D4728" s="10">
        <v>45666</v>
      </c>
      <c r="E4728" t="s">
        <v>5784</v>
      </c>
      <c r="F4728" s="11" t="s">
        <v>5785</v>
      </c>
      <c r="G4728" s="8">
        <v>29.2</v>
      </c>
      <c r="H4728" s="8">
        <v>0</v>
      </c>
      <c r="I4728" s="8">
        <f t="shared" si="237"/>
        <v>-1577.06</v>
      </c>
      <c r="J4728" s="12"/>
    </row>
    <row r="4729" spans="3:10" x14ac:dyDescent="0.25">
      <c r="C4729" s="9"/>
      <c r="D4729" s="10">
        <v>45666</v>
      </c>
      <c r="E4729" t="s">
        <v>5786</v>
      </c>
      <c r="F4729" s="11" t="s">
        <v>5787</v>
      </c>
      <c r="G4729" s="8">
        <v>26.8</v>
      </c>
      <c r="H4729" s="8">
        <v>0</v>
      </c>
      <c r="I4729" s="8">
        <f t="shared" si="237"/>
        <v>-1550.26</v>
      </c>
      <c r="J4729" s="12"/>
    </row>
    <row r="4730" spans="3:10" x14ac:dyDescent="0.25">
      <c r="C4730" s="9"/>
      <c r="D4730" s="10">
        <v>45666</v>
      </c>
      <c r="E4730" t="s">
        <v>5788</v>
      </c>
      <c r="F4730" s="11" t="s">
        <v>5789</v>
      </c>
      <c r="G4730" s="8">
        <v>68.400000000000006</v>
      </c>
      <c r="H4730" s="8">
        <v>0</v>
      </c>
      <c r="I4730" s="8">
        <f t="shared" si="237"/>
        <v>-1481.86</v>
      </c>
      <c r="J4730" s="12"/>
    </row>
    <row r="4731" spans="3:10" x14ac:dyDescent="0.25">
      <c r="C4731" s="9"/>
      <c r="D4731" s="10">
        <v>45666</v>
      </c>
      <c r="E4731" t="s">
        <v>5790</v>
      </c>
      <c r="F4731" s="11" t="s">
        <v>5791</v>
      </c>
      <c r="G4731" s="8">
        <v>3.91</v>
      </c>
      <c r="H4731" s="8">
        <v>0</v>
      </c>
      <c r="I4731" s="8">
        <f t="shared" si="237"/>
        <v>-1477.9499999999998</v>
      </c>
      <c r="J4731" s="12"/>
    </row>
    <row r="4732" spans="3:10" x14ac:dyDescent="0.25">
      <c r="C4732" s="9"/>
      <c r="D4732" s="10">
        <v>45666</v>
      </c>
      <c r="E4732" t="s">
        <v>5792</v>
      </c>
      <c r="F4732" s="11" t="s">
        <v>5793</v>
      </c>
      <c r="G4732" s="8">
        <v>35.76</v>
      </c>
      <c r="H4732" s="8">
        <v>0</v>
      </c>
      <c r="I4732" s="8">
        <f t="shared" si="237"/>
        <v>-1442.1899999999998</v>
      </c>
      <c r="J4732" s="12"/>
    </row>
    <row r="4733" spans="3:10" x14ac:dyDescent="0.25">
      <c r="C4733" s="9"/>
      <c r="D4733" s="10">
        <v>45666</v>
      </c>
      <c r="E4733" t="s">
        <v>5794</v>
      </c>
      <c r="F4733" s="11" t="s">
        <v>5795</v>
      </c>
      <c r="G4733" s="8">
        <v>3.36</v>
      </c>
      <c r="H4733" s="8">
        <v>0</v>
      </c>
      <c r="I4733" s="8">
        <f t="shared" si="237"/>
        <v>-1438.83</v>
      </c>
      <c r="J4733" s="12"/>
    </row>
    <row r="4734" spans="3:10" x14ac:dyDescent="0.25">
      <c r="C4734" s="9"/>
      <c r="D4734" s="10">
        <v>45666</v>
      </c>
      <c r="E4734" t="s">
        <v>5796</v>
      </c>
      <c r="F4734" s="11" t="s">
        <v>5797</v>
      </c>
      <c r="G4734" s="8">
        <v>14.75</v>
      </c>
      <c r="H4734" s="8">
        <v>0</v>
      </c>
      <c r="I4734" s="8">
        <f t="shared" si="237"/>
        <v>-1424.08</v>
      </c>
      <c r="J4734" s="12"/>
    </row>
    <row r="4735" spans="3:10" x14ac:dyDescent="0.25">
      <c r="C4735" s="9"/>
      <c r="D4735" s="10">
        <v>45666</v>
      </c>
      <c r="E4735" t="s">
        <v>5798</v>
      </c>
      <c r="F4735" s="11" t="s">
        <v>5799</v>
      </c>
      <c r="G4735" s="8">
        <v>39.65</v>
      </c>
      <c r="H4735" s="8">
        <v>0</v>
      </c>
      <c r="I4735" s="8">
        <f t="shared" si="237"/>
        <v>-1384.4299999999998</v>
      </c>
      <c r="J4735" s="12"/>
    </row>
    <row r="4736" spans="3:10" x14ac:dyDescent="0.25">
      <c r="C4736" s="9"/>
      <c r="D4736" s="10">
        <v>45666</v>
      </c>
      <c r="E4736" t="s">
        <v>5800</v>
      </c>
      <c r="F4736" s="11" t="s">
        <v>5801</v>
      </c>
      <c r="G4736" s="8">
        <v>1.27</v>
      </c>
      <c r="H4736" s="8">
        <v>0</v>
      </c>
      <c r="I4736" s="8">
        <f t="shared" si="237"/>
        <v>-1383.1599999999999</v>
      </c>
      <c r="J4736" s="12"/>
    </row>
    <row r="4737" spans="3:10" x14ac:dyDescent="0.25">
      <c r="C4737" s="9"/>
      <c r="D4737" s="10">
        <v>45666</v>
      </c>
      <c r="E4737" t="s">
        <v>5802</v>
      </c>
      <c r="F4737" s="11" t="s">
        <v>5803</v>
      </c>
      <c r="G4737" s="8">
        <v>13.37</v>
      </c>
      <c r="H4737" s="8">
        <v>0</v>
      </c>
      <c r="I4737" s="8">
        <f t="shared" si="237"/>
        <v>-1369.79</v>
      </c>
      <c r="J4737" s="12"/>
    </row>
    <row r="4738" spans="3:10" x14ac:dyDescent="0.25">
      <c r="C4738" s="9"/>
      <c r="D4738" s="10">
        <v>45666</v>
      </c>
      <c r="E4738" t="s">
        <v>5804</v>
      </c>
      <c r="F4738" s="11" t="s">
        <v>5805</v>
      </c>
      <c r="G4738" s="8">
        <v>7.05</v>
      </c>
      <c r="H4738" s="8">
        <v>0</v>
      </c>
      <c r="I4738" s="8">
        <f t="shared" si="237"/>
        <v>-1362.74</v>
      </c>
      <c r="J4738" s="12"/>
    </row>
    <row r="4739" spans="3:10" x14ac:dyDescent="0.25">
      <c r="C4739" s="9"/>
      <c r="D4739" s="10">
        <v>45666</v>
      </c>
      <c r="E4739" t="s">
        <v>5806</v>
      </c>
      <c r="F4739" s="11" t="s">
        <v>42</v>
      </c>
      <c r="G4739" s="8">
        <v>0</v>
      </c>
      <c r="H4739" s="8">
        <v>347.45</v>
      </c>
      <c r="I4739" s="8">
        <f t="shared" si="237"/>
        <v>-1710.19</v>
      </c>
      <c r="J4739" s="12"/>
    </row>
    <row r="4740" spans="3:10" x14ac:dyDescent="0.25">
      <c r="C4740" s="9"/>
      <c r="D4740" s="10">
        <v>45667</v>
      </c>
      <c r="E4740" t="s">
        <v>5807</v>
      </c>
      <c r="F4740" s="11" t="s">
        <v>5808</v>
      </c>
      <c r="G4740" s="8">
        <v>203.3</v>
      </c>
      <c r="H4740" s="8">
        <v>0</v>
      </c>
      <c r="I4740" s="8">
        <f t="shared" si="237"/>
        <v>-1506.89</v>
      </c>
      <c r="J4740" s="12"/>
    </row>
    <row r="4741" spans="3:10" x14ac:dyDescent="0.25">
      <c r="C4741" s="9"/>
      <c r="D4741" s="10">
        <v>45667</v>
      </c>
      <c r="E4741" t="s">
        <v>5809</v>
      </c>
      <c r="F4741" s="11" t="s">
        <v>5810</v>
      </c>
      <c r="G4741" s="8">
        <v>76.61</v>
      </c>
      <c r="H4741" s="8">
        <v>0</v>
      </c>
      <c r="I4741" s="8">
        <f t="shared" si="237"/>
        <v>-1430.2800000000002</v>
      </c>
      <c r="J4741" s="12"/>
    </row>
    <row r="4742" spans="3:10" x14ac:dyDescent="0.25">
      <c r="C4742" s="9"/>
      <c r="D4742" s="10">
        <v>45667</v>
      </c>
      <c r="E4742" t="s">
        <v>5811</v>
      </c>
      <c r="F4742" s="11" t="s">
        <v>5812</v>
      </c>
      <c r="G4742" s="8">
        <v>27.1</v>
      </c>
      <c r="H4742" s="8">
        <v>0</v>
      </c>
      <c r="I4742" s="8">
        <f t="shared" si="237"/>
        <v>-1403.1800000000003</v>
      </c>
      <c r="J4742" s="12"/>
    </row>
    <row r="4743" spans="3:10" x14ac:dyDescent="0.25">
      <c r="C4743" s="9"/>
      <c r="D4743" s="10">
        <v>45667</v>
      </c>
      <c r="E4743" t="s">
        <v>5813</v>
      </c>
      <c r="F4743" s="11" t="s">
        <v>5814</v>
      </c>
      <c r="G4743" s="8">
        <v>43.29</v>
      </c>
      <c r="H4743" s="8">
        <v>0</v>
      </c>
      <c r="I4743" s="8">
        <f t="shared" si="237"/>
        <v>-1359.8900000000003</v>
      </c>
      <c r="J4743" s="12"/>
    </row>
    <row r="4744" spans="3:10" x14ac:dyDescent="0.25">
      <c r="C4744" s="9"/>
      <c r="D4744" s="10">
        <v>45667</v>
      </c>
      <c r="E4744" t="s">
        <v>5815</v>
      </c>
      <c r="F4744" s="11" t="s">
        <v>5816</v>
      </c>
      <c r="G4744" s="8">
        <v>45.7</v>
      </c>
      <c r="H4744" s="8">
        <v>0</v>
      </c>
      <c r="I4744" s="8">
        <f t="shared" si="237"/>
        <v>-1314.1900000000003</v>
      </c>
      <c r="J4744" s="12"/>
    </row>
    <row r="4745" spans="3:10" x14ac:dyDescent="0.25">
      <c r="C4745" s="9"/>
      <c r="D4745" s="10">
        <v>45667</v>
      </c>
      <c r="E4745" t="s">
        <v>5817</v>
      </c>
      <c r="F4745" s="11" t="s">
        <v>5818</v>
      </c>
      <c r="G4745" s="8">
        <v>60.19</v>
      </c>
      <c r="H4745" s="8">
        <v>0</v>
      </c>
      <c r="I4745" s="8">
        <f t="shared" si="237"/>
        <v>-1254.0000000000002</v>
      </c>
      <c r="J4745" s="12"/>
    </row>
    <row r="4746" spans="3:10" x14ac:dyDescent="0.25">
      <c r="C4746" s="9"/>
      <c r="D4746" s="10">
        <v>45667</v>
      </c>
      <c r="E4746" t="s">
        <v>5819</v>
      </c>
      <c r="F4746" s="11" t="s">
        <v>5820</v>
      </c>
      <c r="G4746" s="8">
        <v>31.16</v>
      </c>
      <c r="H4746" s="8">
        <v>0</v>
      </c>
      <c r="I4746" s="8">
        <f t="shared" si="237"/>
        <v>-1222.8400000000001</v>
      </c>
      <c r="J4746" s="12"/>
    </row>
    <row r="4747" spans="3:10" x14ac:dyDescent="0.25">
      <c r="C4747" s="9"/>
      <c r="D4747" s="10">
        <v>45667</v>
      </c>
      <c r="E4747" t="s">
        <v>5821</v>
      </c>
      <c r="F4747" s="11" t="s">
        <v>5822</v>
      </c>
      <c r="G4747" s="8">
        <v>69.8</v>
      </c>
      <c r="H4747" s="8">
        <v>0</v>
      </c>
      <c r="I4747" s="8">
        <f t="shared" si="237"/>
        <v>-1153.0400000000002</v>
      </c>
      <c r="J4747" s="12"/>
    </row>
    <row r="4748" spans="3:10" x14ac:dyDescent="0.25">
      <c r="C4748" s="9"/>
      <c r="D4748" s="10">
        <v>45667</v>
      </c>
      <c r="E4748" t="s">
        <v>5823</v>
      </c>
      <c r="F4748" s="11" t="s">
        <v>5824</v>
      </c>
      <c r="G4748" s="8">
        <v>5.55</v>
      </c>
      <c r="H4748" s="8">
        <v>0</v>
      </c>
      <c r="I4748" s="8">
        <f t="shared" si="237"/>
        <v>-1147.4900000000002</v>
      </c>
      <c r="J4748" s="12"/>
    </row>
    <row r="4749" spans="3:10" x14ac:dyDescent="0.25">
      <c r="C4749" s="9"/>
      <c r="D4749" s="10">
        <v>45667</v>
      </c>
      <c r="E4749" t="s">
        <v>5825</v>
      </c>
      <c r="F4749" s="11" t="s">
        <v>5826</v>
      </c>
      <c r="G4749" s="8">
        <v>18.559999999999999</v>
      </c>
      <c r="H4749" s="8">
        <v>0</v>
      </c>
      <c r="I4749" s="8">
        <f t="shared" si="237"/>
        <v>-1128.9300000000003</v>
      </c>
      <c r="J4749" s="12"/>
    </row>
    <row r="4750" spans="3:10" x14ac:dyDescent="0.25">
      <c r="C4750" s="9"/>
      <c r="D4750" s="10">
        <v>45667</v>
      </c>
      <c r="E4750" t="s">
        <v>5827</v>
      </c>
      <c r="F4750" s="11" t="s">
        <v>42</v>
      </c>
      <c r="G4750" s="8">
        <v>0</v>
      </c>
      <c r="H4750" s="8">
        <v>462.63</v>
      </c>
      <c r="I4750" s="8">
        <f t="shared" si="237"/>
        <v>-1591.5600000000004</v>
      </c>
      <c r="J4750" s="12"/>
    </row>
    <row r="4751" spans="3:10" x14ac:dyDescent="0.25">
      <c r="C4751" s="9"/>
      <c r="D4751" s="10">
        <v>45668</v>
      </c>
      <c r="E4751" t="s">
        <v>5828</v>
      </c>
      <c r="F4751" s="11" t="s">
        <v>42</v>
      </c>
      <c r="G4751" s="8">
        <v>0</v>
      </c>
      <c r="H4751" s="8">
        <v>581.26</v>
      </c>
      <c r="I4751" s="8">
        <f t="shared" si="237"/>
        <v>-2172.8200000000006</v>
      </c>
      <c r="J4751" s="12"/>
    </row>
    <row r="4752" spans="3:10" x14ac:dyDescent="0.25">
      <c r="C4752" s="9"/>
      <c r="D4752" s="10">
        <v>45670</v>
      </c>
      <c r="E4752" t="s">
        <v>5829</v>
      </c>
      <c r="F4752" s="11" t="s">
        <v>5830</v>
      </c>
      <c r="G4752" s="8">
        <v>54.28</v>
      </c>
      <c r="H4752" s="8">
        <v>0</v>
      </c>
      <c r="I4752" s="8">
        <f t="shared" si="237"/>
        <v>-2118.5400000000004</v>
      </c>
      <c r="J4752" s="12"/>
    </row>
    <row r="4753" spans="3:10" x14ac:dyDescent="0.25">
      <c r="C4753" s="9"/>
      <c r="D4753" s="10">
        <v>45670</v>
      </c>
      <c r="E4753" t="s">
        <v>5831</v>
      </c>
      <c r="F4753" s="11" t="s">
        <v>5832</v>
      </c>
      <c r="G4753" s="8">
        <v>21.43</v>
      </c>
      <c r="H4753" s="8">
        <v>0</v>
      </c>
      <c r="I4753" s="8">
        <f t="shared" si="237"/>
        <v>-2097.1100000000006</v>
      </c>
      <c r="J4753" s="12"/>
    </row>
    <row r="4754" spans="3:10" x14ac:dyDescent="0.25">
      <c r="C4754" s="9"/>
      <c r="D4754" s="10">
        <v>45670</v>
      </c>
      <c r="E4754" t="s">
        <v>5833</v>
      </c>
      <c r="F4754" s="11" t="s">
        <v>5834</v>
      </c>
      <c r="G4754" s="8">
        <v>11.04</v>
      </c>
      <c r="H4754" s="8">
        <v>0</v>
      </c>
      <c r="I4754" s="8">
        <f t="shared" si="237"/>
        <v>-2086.0700000000006</v>
      </c>
      <c r="J4754" s="12"/>
    </row>
    <row r="4755" spans="3:10" x14ac:dyDescent="0.25">
      <c r="C4755" s="9"/>
      <c r="D4755" s="10">
        <v>45670</v>
      </c>
      <c r="E4755" t="s">
        <v>5835</v>
      </c>
      <c r="F4755" s="11" t="s">
        <v>5836</v>
      </c>
      <c r="G4755" s="8">
        <v>29.04</v>
      </c>
      <c r="H4755" s="8">
        <v>0</v>
      </c>
      <c r="I4755" s="8">
        <f t="shared" si="237"/>
        <v>-2057.0300000000007</v>
      </c>
      <c r="J4755" s="12"/>
    </row>
    <row r="4756" spans="3:10" x14ac:dyDescent="0.25">
      <c r="C4756" s="9"/>
      <c r="D4756" s="10">
        <v>45670</v>
      </c>
      <c r="E4756" t="s">
        <v>5837</v>
      </c>
      <c r="F4756" s="11" t="s">
        <v>5838</v>
      </c>
      <c r="G4756" s="8">
        <v>42.92</v>
      </c>
      <c r="H4756" s="8">
        <v>0</v>
      </c>
      <c r="I4756" s="8">
        <f t="shared" si="237"/>
        <v>-2014.1100000000006</v>
      </c>
      <c r="J4756" s="12"/>
    </row>
    <row r="4757" spans="3:10" x14ac:dyDescent="0.25">
      <c r="C4757" s="9"/>
      <c r="D4757" s="10">
        <v>45670</v>
      </c>
      <c r="E4757" t="s">
        <v>5839</v>
      </c>
      <c r="F4757" s="11" t="s">
        <v>5840</v>
      </c>
      <c r="G4757" s="8">
        <v>13.58</v>
      </c>
      <c r="H4757" s="8">
        <v>0</v>
      </c>
      <c r="I4757" s="8">
        <f t="shared" si="237"/>
        <v>-2000.5300000000007</v>
      </c>
      <c r="J4757" s="12"/>
    </row>
    <row r="4758" spans="3:10" x14ac:dyDescent="0.25">
      <c r="C4758" s="9"/>
      <c r="D4758" s="10">
        <v>45670</v>
      </c>
      <c r="E4758" t="s">
        <v>5841</v>
      </c>
      <c r="F4758" s="11" t="s">
        <v>5842</v>
      </c>
      <c r="G4758" s="8">
        <v>23.11</v>
      </c>
      <c r="H4758" s="8">
        <v>0</v>
      </c>
      <c r="I4758" s="8">
        <f t="shared" si="237"/>
        <v>-1977.4200000000008</v>
      </c>
      <c r="J4758" s="12"/>
    </row>
    <row r="4759" spans="3:10" x14ac:dyDescent="0.25">
      <c r="C4759" s="9"/>
      <c r="D4759" s="10">
        <v>45670</v>
      </c>
      <c r="E4759" t="s">
        <v>5841</v>
      </c>
      <c r="F4759" s="11" t="s">
        <v>5842</v>
      </c>
      <c r="G4759" s="8">
        <v>0</v>
      </c>
      <c r="H4759" s="8">
        <v>23.11</v>
      </c>
      <c r="I4759" s="8">
        <f t="shared" si="237"/>
        <v>-2000.5300000000007</v>
      </c>
      <c r="J4759" s="12"/>
    </row>
    <row r="4760" spans="3:10" x14ac:dyDescent="0.25">
      <c r="C4760" s="9"/>
      <c r="D4760" s="10">
        <v>45670</v>
      </c>
      <c r="E4760" t="s">
        <v>5843</v>
      </c>
      <c r="F4760" s="11" t="s">
        <v>5844</v>
      </c>
      <c r="G4760" s="8">
        <v>28.1</v>
      </c>
      <c r="H4760" s="8">
        <v>0</v>
      </c>
      <c r="I4760" s="8">
        <f t="shared" si="237"/>
        <v>-1972.4300000000007</v>
      </c>
      <c r="J4760" s="12"/>
    </row>
    <row r="4761" spans="3:10" x14ac:dyDescent="0.25">
      <c r="C4761" s="9"/>
      <c r="D4761" s="10">
        <v>45670</v>
      </c>
      <c r="E4761" t="s">
        <v>5845</v>
      </c>
      <c r="F4761" s="11" t="s">
        <v>5846</v>
      </c>
      <c r="G4761" s="8">
        <v>44.69</v>
      </c>
      <c r="H4761" s="8">
        <v>0</v>
      </c>
      <c r="I4761" s="8">
        <f t="shared" si="237"/>
        <v>-1927.7400000000007</v>
      </c>
      <c r="J4761" s="12"/>
    </row>
    <row r="4762" spans="3:10" x14ac:dyDescent="0.25">
      <c r="C4762" s="9"/>
      <c r="D4762" s="10">
        <v>45670</v>
      </c>
      <c r="E4762" t="s">
        <v>5845</v>
      </c>
      <c r="F4762" s="11" t="s">
        <v>5846</v>
      </c>
      <c r="G4762" s="8">
        <v>0</v>
      </c>
      <c r="H4762" s="8">
        <v>44.69</v>
      </c>
      <c r="I4762" s="8">
        <f t="shared" si="237"/>
        <v>-1972.4300000000007</v>
      </c>
      <c r="J4762" s="12"/>
    </row>
    <row r="4763" spans="3:10" x14ac:dyDescent="0.25">
      <c r="C4763" s="9"/>
      <c r="D4763" s="10">
        <v>45670</v>
      </c>
      <c r="E4763" t="s">
        <v>5847</v>
      </c>
      <c r="F4763" s="11" t="s">
        <v>5848</v>
      </c>
      <c r="G4763" s="8">
        <v>4.08</v>
      </c>
      <c r="H4763" s="8">
        <v>0</v>
      </c>
      <c r="I4763" s="8">
        <f t="shared" si="237"/>
        <v>-1968.3500000000008</v>
      </c>
      <c r="J4763" s="12"/>
    </row>
    <row r="4764" spans="3:10" x14ac:dyDescent="0.25">
      <c r="C4764" s="9"/>
      <c r="D4764" s="10">
        <v>45670</v>
      </c>
      <c r="E4764" t="s">
        <v>5849</v>
      </c>
      <c r="F4764" s="11" t="s">
        <v>5850</v>
      </c>
      <c r="G4764" s="8">
        <v>1.6</v>
      </c>
      <c r="H4764" s="8">
        <v>0</v>
      </c>
      <c r="I4764" s="8">
        <f t="shared" ref="I4764:I4827" si="238">G4764-H4764+I4763</f>
        <v>-1966.7500000000009</v>
      </c>
      <c r="J4764" s="12"/>
    </row>
    <row r="4765" spans="3:10" x14ac:dyDescent="0.25">
      <c r="C4765" s="9"/>
      <c r="D4765" s="10">
        <v>45670</v>
      </c>
      <c r="E4765" t="s">
        <v>5851</v>
      </c>
      <c r="F4765" s="11" t="s">
        <v>5852</v>
      </c>
      <c r="G4765" s="8">
        <v>14.39</v>
      </c>
      <c r="H4765" s="8">
        <v>0</v>
      </c>
      <c r="I4765" s="8">
        <f t="shared" si="238"/>
        <v>-1952.3600000000008</v>
      </c>
      <c r="J4765" s="12"/>
    </row>
    <row r="4766" spans="3:10" x14ac:dyDescent="0.25">
      <c r="C4766" s="9"/>
      <c r="D4766" s="10">
        <v>45670</v>
      </c>
      <c r="E4766" t="s">
        <v>5853</v>
      </c>
      <c r="F4766" s="11" t="s">
        <v>5854</v>
      </c>
      <c r="G4766" s="8">
        <v>-11.04</v>
      </c>
      <c r="H4766" s="8">
        <v>0</v>
      </c>
      <c r="I4766" s="8">
        <f t="shared" si="238"/>
        <v>-1963.4000000000008</v>
      </c>
      <c r="J4766" s="12"/>
    </row>
    <row r="4767" spans="3:10" x14ac:dyDescent="0.25">
      <c r="C4767" s="9"/>
      <c r="D4767" s="10">
        <v>45670</v>
      </c>
      <c r="E4767" t="s">
        <v>5853</v>
      </c>
      <c r="F4767" s="11" t="s">
        <v>5854</v>
      </c>
      <c r="G4767" s="8">
        <v>0</v>
      </c>
      <c r="H4767" s="8">
        <v>-11.04</v>
      </c>
      <c r="I4767" s="8">
        <f t="shared" si="238"/>
        <v>-1952.3600000000008</v>
      </c>
      <c r="J4767" s="12"/>
    </row>
    <row r="4768" spans="3:10" x14ac:dyDescent="0.25">
      <c r="C4768" s="9"/>
      <c r="D4768" s="10">
        <v>45670</v>
      </c>
      <c r="E4768" t="s">
        <v>5855</v>
      </c>
      <c r="F4768" s="11" t="s">
        <v>5856</v>
      </c>
      <c r="G4768" s="8">
        <v>3.48</v>
      </c>
      <c r="H4768" s="8">
        <v>0</v>
      </c>
      <c r="I4768" s="8">
        <f t="shared" si="238"/>
        <v>-1948.8800000000008</v>
      </c>
      <c r="J4768" s="12"/>
    </row>
    <row r="4769" spans="3:10" x14ac:dyDescent="0.25">
      <c r="C4769" s="9"/>
      <c r="D4769" s="10">
        <v>45670</v>
      </c>
      <c r="E4769" t="s">
        <v>5855</v>
      </c>
      <c r="F4769" s="11" t="s">
        <v>5856</v>
      </c>
      <c r="G4769" s="8">
        <v>0</v>
      </c>
      <c r="H4769" s="8">
        <v>3.48</v>
      </c>
      <c r="I4769" s="8">
        <f t="shared" si="238"/>
        <v>-1952.3600000000008</v>
      </c>
      <c r="J4769" s="12"/>
    </row>
    <row r="4770" spans="3:10" x14ac:dyDescent="0.25">
      <c r="C4770" s="9"/>
      <c r="D4770" s="10">
        <v>45670</v>
      </c>
      <c r="E4770" t="s">
        <v>5857</v>
      </c>
      <c r="F4770" s="11" t="s">
        <v>5858</v>
      </c>
      <c r="G4770" s="8">
        <v>86.02</v>
      </c>
      <c r="H4770" s="8">
        <v>0</v>
      </c>
      <c r="I4770" s="8">
        <f t="shared" si="238"/>
        <v>-1866.3400000000008</v>
      </c>
      <c r="J4770" s="12"/>
    </row>
    <row r="4771" spans="3:10" x14ac:dyDescent="0.25">
      <c r="C4771" s="9"/>
      <c r="D4771" s="10">
        <v>45670</v>
      </c>
      <c r="E4771" t="s">
        <v>5857</v>
      </c>
      <c r="F4771" s="11" t="s">
        <v>5858</v>
      </c>
      <c r="G4771" s="8">
        <v>0</v>
      </c>
      <c r="H4771" s="8">
        <v>86.02</v>
      </c>
      <c r="I4771" s="8">
        <f t="shared" si="238"/>
        <v>-1952.3600000000008</v>
      </c>
      <c r="J4771" s="12"/>
    </row>
    <row r="4772" spans="3:10" x14ac:dyDescent="0.25">
      <c r="C4772" s="9"/>
      <c r="D4772" s="10">
        <v>45670</v>
      </c>
      <c r="E4772" t="s">
        <v>5859</v>
      </c>
      <c r="F4772" s="11" t="s">
        <v>5860</v>
      </c>
      <c r="G4772" s="8">
        <v>94.94</v>
      </c>
      <c r="H4772" s="8">
        <v>0</v>
      </c>
      <c r="I4772" s="8">
        <f t="shared" si="238"/>
        <v>-1857.4200000000008</v>
      </c>
      <c r="J4772" s="12"/>
    </row>
    <row r="4773" spans="3:10" x14ac:dyDescent="0.25">
      <c r="C4773" s="9"/>
      <c r="D4773" s="10">
        <v>45670</v>
      </c>
      <c r="E4773" t="s">
        <v>5859</v>
      </c>
      <c r="F4773" s="11" t="s">
        <v>5860</v>
      </c>
      <c r="G4773" s="8">
        <v>0</v>
      </c>
      <c r="H4773" s="8">
        <v>94.94</v>
      </c>
      <c r="I4773" s="8">
        <f t="shared" si="238"/>
        <v>-1952.3600000000008</v>
      </c>
      <c r="J4773" s="12"/>
    </row>
    <row r="4774" spans="3:10" x14ac:dyDescent="0.25">
      <c r="C4774" s="9"/>
      <c r="D4774" s="10">
        <v>45670</v>
      </c>
      <c r="E4774" t="s">
        <v>5861</v>
      </c>
      <c r="F4774" s="11" t="s">
        <v>5862</v>
      </c>
      <c r="G4774" s="8">
        <v>264.08999999999997</v>
      </c>
      <c r="H4774" s="8">
        <v>0</v>
      </c>
      <c r="I4774" s="8">
        <f t="shared" si="238"/>
        <v>-1688.2700000000009</v>
      </c>
      <c r="J4774" s="12"/>
    </row>
    <row r="4775" spans="3:10" x14ac:dyDescent="0.25">
      <c r="C4775" s="9"/>
      <c r="D4775" s="10">
        <v>45670</v>
      </c>
      <c r="E4775" t="s">
        <v>5863</v>
      </c>
      <c r="F4775" s="11" t="s">
        <v>5864</v>
      </c>
      <c r="G4775" s="8">
        <v>83.99</v>
      </c>
      <c r="H4775" s="8">
        <v>0</v>
      </c>
      <c r="I4775" s="8">
        <f t="shared" si="238"/>
        <v>-1604.2800000000009</v>
      </c>
      <c r="J4775" s="12"/>
    </row>
    <row r="4776" spans="3:10" x14ac:dyDescent="0.25">
      <c r="C4776" s="9"/>
      <c r="D4776" s="10">
        <v>45670</v>
      </c>
      <c r="E4776" t="s">
        <v>5865</v>
      </c>
      <c r="F4776" s="11" t="s">
        <v>5866</v>
      </c>
      <c r="G4776" s="8">
        <v>89.96</v>
      </c>
      <c r="H4776" s="8">
        <v>0</v>
      </c>
      <c r="I4776" s="8">
        <f t="shared" si="238"/>
        <v>-1514.3200000000008</v>
      </c>
      <c r="J4776" s="12"/>
    </row>
    <row r="4777" spans="3:10" x14ac:dyDescent="0.25">
      <c r="C4777" s="9"/>
      <c r="D4777" s="10">
        <v>45670</v>
      </c>
      <c r="E4777" t="s">
        <v>5867</v>
      </c>
      <c r="F4777" s="11" t="s">
        <v>4970</v>
      </c>
      <c r="G4777" s="8">
        <v>66.38</v>
      </c>
      <c r="H4777" s="8">
        <v>0</v>
      </c>
      <c r="I4777" s="8">
        <f t="shared" si="238"/>
        <v>-1447.940000000001</v>
      </c>
      <c r="J4777" s="12"/>
    </row>
    <row r="4778" spans="3:10" x14ac:dyDescent="0.25">
      <c r="C4778" s="9"/>
      <c r="D4778" s="10">
        <v>45670</v>
      </c>
      <c r="E4778" t="s">
        <v>5868</v>
      </c>
      <c r="F4778" s="11" t="s">
        <v>5869</v>
      </c>
      <c r="G4778" s="8">
        <v>30.3</v>
      </c>
      <c r="H4778" s="8">
        <v>0</v>
      </c>
      <c r="I4778" s="8">
        <f t="shared" si="238"/>
        <v>-1417.640000000001</v>
      </c>
      <c r="J4778" s="12"/>
    </row>
    <row r="4779" spans="3:10" x14ac:dyDescent="0.25">
      <c r="C4779" s="9"/>
      <c r="D4779" s="10">
        <v>45670</v>
      </c>
      <c r="E4779" t="s">
        <v>5870</v>
      </c>
      <c r="F4779" s="11" t="s">
        <v>5871</v>
      </c>
      <c r="G4779" s="8">
        <v>53.71</v>
      </c>
      <c r="H4779" s="8">
        <v>0</v>
      </c>
      <c r="I4779" s="8">
        <f t="shared" si="238"/>
        <v>-1363.930000000001</v>
      </c>
      <c r="J4779" s="12"/>
    </row>
    <row r="4780" spans="3:10" x14ac:dyDescent="0.25">
      <c r="C4780" s="9"/>
      <c r="D4780" s="10">
        <v>45670</v>
      </c>
      <c r="E4780" t="s">
        <v>5872</v>
      </c>
      <c r="F4780" s="11" t="s">
        <v>5873</v>
      </c>
      <c r="G4780" s="8">
        <v>24.2</v>
      </c>
      <c r="H4780" s="8">
        <v>0</v>
      </c>
      <c r="I4780" s="8">
        <f t="shared" si="238"/>
        <v>-1339.7300000000009</v>
      </c>
      <c r="J4780" s="12"/>
    </row>
    <row r="4781" spans="3:10" x14ac:dyDescent="0.25">
      <c r="C4781" s="9"/>
      <c r="D4781" s="10">
        <v>45671</v>
      </c>
      <c r="E4781" t="s">
        <v>5874</v>
      </c>
      <c r="F4781" s="11" t="s">
        <v>5462</v>
      </c>
      <c r="G4781" s="8">
        <v>53.24</v>
      </c>
      <c r="H4781" s="8">
        <v>0</v>
      </c>
      <c r="I4781" s="8">
        <f t="shared" si="238"/>
        <v>-1286.4900000000009</v>
      </c>
      <c r="J4781" s="12"/>
    </row>
    <row r="4782" spans="3:10" x14ac:dyDescent="0.25">
      <c r="C4782" s="9"/>
      <c r="D4782" s="10">
        <v>45671</v>
      </c>
      <c r="E4782" t="s">
        <v>5875</v>
      </c>
      <c r="F4782" s="11" t="s">
        <v>5876</v>
      </c>
      <c r="G4782" s="8">
        <v>11</v>
      </c>
      <c r="H4782" s="8">
        <v>0</v>
      </c>
      <c r="I4782" s="8">
        <f t="shared" si="238"/>
        <v>-1275.4900000000009</v>
      </c>
      <c r="J4782" s="12"/>
    </row>
    <row r="4783" spans="3:10" x14ac:dyDescent="0.25">
      <c r="C4783" s="9"/>
      <c r="D4783" s="10">
        <v>45671</v>
      </c>
      <c r="E4783" t="s">
        <v>5877</v>
      </c>
      <c r="F4783" s="11" t="s">
        <v>5878</v>
      </c>
      <c r="G4783" s="8">
        <v>0.54</v>
      </c>
      <c r="H4783" s="8">
        <v>0</v>
      </c>
      <c r="I4783" s="8">
        <f t="shared" si="238"/>
        <v>-1274.950000000001</v>
      </c>
      <c r="J4783" s="12"/>
    </row>
    <row r="4784" spans="3:10" x14ac:dyDescent="0.25">
      <c r="C4784" s="9"/>
      <c r="D4784" s="10">
        <v>45671</v>
      </c>
      <c r="E4784" t="s">
        <v>5879</v>
      </c>
      <c r="F4784" s="11" t="s">
        <v>5880</v>
      </c>
      <c r="G4784" s="8">
        <v>4.7300000000000004</v>
      </c>
      <c r="H4784" s="8">
        <v>0</v>
      </c>
      <c r="I4784" s="8">
        <f t="shared" si="238"/>
        <v>-1270.2200000000009</v>
      </c>
      <c r="J4784" s="12"/>
    </row>
    <row r="4785" spans="3:10" x14ac:dyDescent="0.25">
      <c r="C4785" s="9"/>
      <c r="D4785" s="10">
        <v>45671</v>
      </c>
      <c r="E4785" t="s">
        <v>5879</v>
      </c>
      <c r="F4785" s="11" t="s">
        <v>5880</v>
      </c>
      <c r="G4785" s="8">
        <v>0</v>
      </c>
      <c r="H4785" s="8">
        <v>4.7300000000000004</v>
      </c>
      <c r="I4785" s="8">
        <f t="shared" si="238"/>
        <v>-1274.950000000001</v>
      </c>
      <c r="J4785" s="12"/>
    </row>
    <row r="4786" spans="3:10" x14ac:dyDescent="0.25">
      <c r="C4786" s="9"/>
      <c r="D4786" s="10">
        <v>45671</v>
      </c>
      <c r="E4786" t="s">
        <v>5881</v>
      </c>
      <c r="F4786" s="11" t="s">
        <v>5882</v>
      </c>
      <c r="G4786" s="8">
        <v>1.6</v>
      </c>
      <c r="H4786" s="8">
        <v>0</v>
      </c>
      <c r="I4786" s="8">
        <f t="shared" si="238"/>
        <v>-1273.350000000001</v>
      </c>
      <c r="J4786" s="12"/>
    </row>
    <row r="4787" spans="3:10" x14ac:dyDescent="0.25">
      <c r="C4787" s="9"/>
      <c r="D4787" s="10">
        <v>45671</v>
      </c>
      <c r="E4787" t="s">
        <v>5883</v>
      </c>
      <c r="F4787" s="11" t="s">
        <v>5884</v>
      </c>
      <c r="G4787" s="8">
        <v>26.91</v>
      </c>
      <c r="H4787" s="8">
        <v>0</v>
      </c>
      <c r="I4787" s="8">
        <f t="shared" si="238"/>
        <v>-1246.440000000001</v>
      </c>
      <c r="J4787" s="12"/>
    </row>
    <row r="4788" spans="3:10" x14ac:dyDescent="0.25">
      <c r="C4788" s="9"/>
      <c r="D4788" s="10">
        <v>45671</v>
      </c>
      <c r="E4788" t="s">
        <v>5883</v>
      </c>
      <c r="F4788" s="11" t="s">
        <v>5884</v>
      </c>
      <c r="G4788" s="8">
        <v>0</v>
      </c>
      <c r="H4788" s="8">
        <v>26.91</v>
      </c>
      <c r="I4788" s="8">
        <f t="shared" si="238"/>
        <v>-1273.350000000001</v>
      </c>
      <c r="J4788" s="12"/>
    </row>
    <row r="4789" spans="3:10" x14ac:dyDescent="0.25">
      <c r="C4789" s="9"/>
      <c r="D4789" s="10">
        <v>45671</v>
      </c>
      <c r="E4789" t="s">
        <v>5885</v>
      </c>
      <c r="F4789" s="11" t="s">
        <v>5886</v>
      </c>
      <c r="G4789" s="8">
        <v>14.92</v>
      </c>
      <c r="H4789" s="8">
        <v>0</v>
      </c>
      <c r="I4789" s="8">
        <f t="shared" si="238"/>
        <v>-1258.430000000001</v>
      </c>
      <c r="J4789" s="12"/>
    </row>
    <row r="4790" spans="3:10" x14ac:dyDescent="0.25">
      <c r="C4790" s="9"/>
      <c r="D4790" s="10">
        <v>45671</v>
      </c>
      <c r="E4790" t="s">
        <v>5885</v>
      </c>
      <c r="F4790" s="11" t="s">
        <v>5886</v>
      </c>
      <c r="G4790" s="8">
        <v>0</v>
      </c>
      <c r="H4790" s="8">
        <v>14.92</v>
      </c>
      <c r="I4790" s="8">
        <f t="shared" si="238"/>
        <v>-1273.350000000001</v>
      </c>
      <c r="J4790" s="12"/>
    </row>
    <row r="4791" spans="3:10" x14ac:dyDescent="0.25">
      <c r="C4791" s="9"/>
      <c r="D4791" s="10">
        <v>45671</v>
      </c>
      <c r="E4791" t="s">
        <v>5887</v>
      </c>
      <c r="F4791" s="11" t="s">
        <v>5888</v>
      </c>
      <c r="G4791" s="8">
        <v>4.5999999999999996</v>
      </c>
      <c r="H4791" s="8">
        <v>0</v>
      </c>
      <c r="I4791" s="8">
        <f t="shared" si="238"/>
        <v>-1268.7500000000011</v>
      </c>
      <c r="J4791" s="12"/>
    </row>
    <row r="4792" spans="3:10" x14ac:dyDescent="0.25">
      <c r="C4792" s="9"/>
      <c r="D4792" s="10">
        <v>45671</v>
      </c>
      <c r="E4792" t="s">
        <v>5889</v>
      </c>
      <c r="F4792" s="11" t="s">
        <v>5890</v>
      </c>
      <c r="G4792" s="8">
        <v>288.70999999999998</v>
      </c>
      <c r="H4792" s="8">
        <v>0</v>
      </c>
      <c r="I4792" s="8">
        <f t="shared" si="238"/>
        <v>-980.0400000000011</v>
      </c>
      <c r="J4792" s="12"/>
    </row>
    <row r="4793" spans="3:10" x14ac:dyDescent="0.25">
      <c r="C4793" s="9"/>
      <c r="D4793" s="10">
        <v>45671</v>
      </c>
      <c r="E4793" t="s">
        <v>5891</v>
      </c>
      <c r="F4793" s="11" t="s">
        <v>5892</v>
      </c>
      <c r="G4793" s="8">
        <v>8.0299999999999994</v>
      </c>
      <c r="H4793" s="8">
        <v>0</v>
      </c>
      <c r="I4793" s="8">
        <f t="shared" si="238"/>
        <v>-972.01000000000113</v>
      </c>
      <c r="J4793" s="12"/>
    </row>
    <row r="4794" spans="3:10" x14ac:dyDescent="0.25">
      <c r="C4794" s="9"/>
      <c r="D4794" s="10">
        <v>45671</v>
      </c>
      <c r="E4794" t="s">
        <v>5893</v>
      </c>
      <c r="F4794" s="11" t="s">
        <v>5894</v>
      </c>
      <c r="G4794" s="8">
        <v>25.12</v>
      </c>
      <c r="H4794" s="8">
        <v>0</v>
      </c>
      <c r="I4794" s="8">
        <f t="shared" si="238"/>
        <v>-946.89000000000112</v>
      </c>
      <c r="J4794" s="12"/>
    </row>
    <row r="4795" spans="3:10" x14ac:dyDescent="0.25">
      <c r="C4795" s="9"/>
      <c r="D4795" s="10">
        <v>45671</v>
      </c>
      <c r="E4795" t="s">
        <v>5895</v>
      </c>
      <c r="F4795" s="11" t="s">
        <v>5896</v>
      </c>
      <c r="G4795" s="8">
        <v>30.43</v>
      </c>
      <c r="H4795" s="8">
        <v>0</v>
      </c>
      <c r="I4795" s="8">
        <f t="shared" si="238"/>
        <v>-916.46000000000117</v>
      </c>
      <c r="J4795" s="12"/>
    </row>
    <row r="4796" spans="3:10" x14ac:dyDescent="0.25">
      <c r="C4796" s="9"/>
      <c r="D4796" s="10">
        <v>45671</v>
      </c>
      <c r="E4796" t="s">
        <v>5897</v>
      </c>
      <c r="F4796" s="11" t="s">
        <v>5898</v>
      </c>
      <c r="G4796" s="8">
        <v>13.14</v>
      </c>
      <c r="H4796" s="8">
        <v>0</v>
      </c>
      <c r="I4796" s="8">
        <f t="shared" si="238"/>
        <v>-903.32000000000119</v>
      </c>
      <c r="J4796" s="12"/>
    </row>
    <row r="4797" spans="3:10" x14ac:dyDescent="0.25">
      <c r="C4797" s="9"/>
      <c r="D4797" s="10">
        <v>45671</v>
      </c>
      <c r="E4797" t="s">
        <v>5899</v>
      </c>
      <c r="F4797" s="11" t="s">
        <v>5900</v>
      </c>
      <c r="G4797" s="8">
        <v>22.39</v>
      </c>
      <c r="H4797" s="8">
        <v>0</v>
      </c>
      <c r="I4797" s="8">
        <f t="shared" si="238"/>
        <v>-880.9300000000012</v>
      </c>
      <c r="J4797" s="12"/>
    </row>
    <row r="4798" spans="3:10" x14ac:dyDescent="0.25">
      <c r="C4798" s="9"/>
      <c r="D4798" s="10">
        <v>45671</v>
      </c>
      <c r="E4798" t="s">
        <v>5901</v>
      </c>
      <c r="F4798" s="11" t="s">
        <v>5902</v>
      </c>
      <c r="G4798" s="8">
        <v>1.23</v>
      </c>
      <c r="H4798" s="8">
        <v>0</v>
      </c>
      <c r="I4798" s="8">
        <f t="shared" si="238"/>
        <v>-879.70000000000118</v>
      </c>
      <c r="J4798" s="12"/>
    </row>
    <row r="4799" spans="3:10" x14ac:dyDescent="0.25">
      <c r="C4799" s="9"/>
      <c r="D4799" s="10">
        <v>45671</v>
      </c>
      <c r="E4799" t="s">
        <v>5903</v>
      </c>
      <c r="F4799" s="11" t="s">
        <v>5904</v>
      </c>
      <c r="G4799" s="8">
        <v>162.13999999999999</v>
      </c>
      <c r="H4799" s="8">
        <v>0</v>
      </c>
      <c r="I4799" s="8">
        <f t="shared" si="238"/>
        <v>-717.5600000000012</v>
      </c>
      <c r="J4799" s="12"/>
    </row>
    <row r="4800" spans="3:10" x14ac:dyDescent="0.25">
      <c r="C4800" s="9"/>
      <c r="D4800" s="10">
        <v>45671</v>
      </c>
      <c r="E4800" t="s">
        <v>5905</v>
      </c>
      <c r="F4800" s="11" t="s">
        <v>5906</v>
      </c>
      <c r="G4800" s="8">
        <v>22.45</v>
      </c>
      <c r="H4800" s="8">
        <v>0</v>
      </c>
      <c r="I4800" s="8">
        <f t="shared" si="238"/>
        <v>-695.11000000000115</v>
      </c>
      <c r="J4800" s="12"/>
    </row>
    <row r="4801" spans="3:10" x14ac:dyDescent="0.25">
      <c r="C4801" s="9"/>
      <c r="D4801" s="10">
        <v>45671</v>
      </c>
      <c r="E4801" t="s">
        <v>5907</v>
      </c>
      <c r="F4801" s="11" t="s">
        <v>5908</v>
      </c>
      <c r="G4801" s="8">
        <v>7.8</v>
      </c>
      <c r="H4801" s="8">
        <v>0</v>
      </c>
      <c r="I4801" s="8">
        <f t="shared" si="238"/>
        <v>-687.3100000000012</v>
      </c>
      <c r="J4801" s="12"/>
    </row>
    <row r="4802" spans="3:10" x14ac:dyDescent="0.25">
      <c r="C4802" s="9"/>
      <c r="D4802" s="10">
        <v>45671</v>
      </c>
      <c r="E4802" t="s">
        <v>5909</v>
      </c>
      <c r="F4802" s="11" t="s">
        <v>5910</v>
      </c>
      <c r="G4802" s="8">
        <v>59.02</v>
      </c>
      <c r="H4802" s="8">
        <v>0</v>
      </c>
      <c r="I4802" s="8">
        <f t="shared" si="238"/>
        <v>-628.29000000000121</v>
      </c>
      <c r="J4802" s="12"/>
    </row>
    <row r="4803" spans="3:10" x14ac:dyDescent="0.25">
      <c r="C4803" s="9"/>
      <c r="D4803" s="10">
        <v>45671</v>
      </c>
      <c r="E4803" t="s">
        <v>5911</v>
      </c>
      <c r="F4803" s="11" t="s">
        <v>42</v>
      </c>
      <c r="G4803" s="8">
        <v>0</v>
      </c>
      <c r="H4803" s="8">
        <v>833.09</v>
      </c>
      <c r="I4803" s="8">
        <f t="shared" si="238"/>
        <v>-1461.3800000000012</v>
      </c>
      <c r="J4803" s="12"/>
    </row>
    <row r="4804" spans="3:10" x14ac:dyDescent="0.25">
      <c r="C4804" s="9"/>
      <c r="D4804" s="10">
        <v>45672</v>
      </c>
      <c r="E4804" t="s">
        <v>5912</v>
      </c>
      <c r="F4804" s="11" t="s">
        <v>5913</v>
      </c>
      <c r="G4804" s="8">
        <v>10.19</v>
      </c>
      <c r="H4804" s="8">
        <v>0</v>
      </c>
      <c r="I4804" s="8">
        <f t="shared" si="238"/>
        <v>-1451.1900000000012</v>
      </c>
      <c r="J4804" s="12"/>
    </row>
    <row r="4805" spans="3:10" x14ac:dyDescent="0.25">
      <c r="C4805" s="9"/>
      <c r="D4805" s="10">
        <v>45672</v>
      </c>
      <c r="E4805" t="s">
        <v>5914</v>
      </c>
      <c r="F4805" s="11" t="s">
        <v>5915</v>
      </c>
      <c r="G4805" s="8">
        <v>31.39</v>
      </c>
      <c r="H4805" s="8">
        <v>0</v>
      </c>
      <c r="I4805" s="8">
        <f t="shared" si="238"/>
        <v>-1419.8000000000011</v>
      </c>
      <c r="J4805" s="12"/>
    </row>
    <row r="4806" spans="3:10" x14ac:dyDescent="0.25">
      <c r="C4806" s="9"/>
      <c r="D4806" s="10">
        <v>45672</v>
      </c>
      <c r="E4806" t="s">
        <v>5916</v>
      </c>
      <c r="F4806" s="11" t="s">
        <v>5917</v>
      </c>
      <c r="G4806" s="8">
        <v>124.4</v>
      </c>
      <c r="H4806" s="8">
        <v>0</v>
      </c>
      <c r="I4806" s="8">
        <f t="shared" si="238"/>
        <v>-1295.400000000001</v>
      </c>
      <c r="J4806" s="12"/>
    </row>
    <row r="4807" spans="3:10" x14ac:dyDescent="0.25">
      <c r="C4807" s="9"/>
      <c r="D4807" s="10">
        <v>45672</v>
      </c>
      <c r="E4807" t="s">
        <v>5918</v>
      </c>
      <c r="F4807" s="11" t="s">
        <v>5919</v>
      </c>
      <c r="G4807" s="8">
        <v>17.100000000000001</v>
      </c>
      <c r="H4807" s="8">
        <v>0</v>
      </c>
      <c r="I4807" s="8">
        <f t="shared" si="238"/>
        <v>-1278.3000000000011</v>
      </c>
      <c r="J4807" s="12"/>
    </row>
    <row r="4808" spans="3:10" x14ac:dyDescent="0.25">
      <c r="C4808" s="9"/>
      <c r="D4808" s="10">
        <v>45672</v>
      </c>
      <c r="E4808" t="s">
        <v>5920</v>
      </c>
      <c r="F4808" s="11" t="s">
        <v>5921</v>
      </c>
      <c r="G4808" s="8">
        <v>17.55</v>
      </c>
      <c r="H4808" s="8">
        <v>0</v>
      </c>
      <c r="I4808" s="8">
        <f t="shared" si="238"/>
        <v>-1260.7500000000011</v>
      </c>
      <c r="J4808" s="12"/>
    </row>
    <row r="4809" spans="3:10" x14ac:dyDescent="0.25">
      <c r="C4809" s="9"/>
      <c r="D4809" s="10">
        <v>45672</v>
      </c>
      <c r="E4809" t="s">
        <v>5920</v>
      </c>
      <c r="F4809" s="11" t="s">
        <v>5921</v>
      </c>
      <c r="G4809" s="8">
        <v>0</v>
      </c>
      <c r="H4809" s="8">
        <v>17.55</v>
      </c>
      <c r="I4809" s="8">
        <f t="shared" si="238"/>
        <v>-1278.3000000000011</v>
      </c>
      <c r="J4809" s="12"/>
    </row>
    <row r="4810" spans="3:10" x14ac:dyDescent="0.25">
      <c r="C4810" s="9"/>
      <c r="D4810" s="10">
        <v>45672</v>
      </c>
      <c r="E4810" t="s">
        <v>5922</v>
      </c>
      <c r="F4810" s="11" t="s">
        <v>5923</v>
      </c>
      <c r="G4810" s="8">
        <v>11.37</v>
      </c>
      <c r="H4810" s="8">
        <v>0</v>
      </c>
      <c r="I4810" s="8">
        <f t="shared" si="238"/>
        <v>-1266.9300000000012</v>
      </c>
      <c r="J4810" s="12"/>
    </row>
    <row r="4811" spans="3:10" x14ac:dyDescent="0.25">
      <c r="C4811" s="9"/>
      <c r="D4811" s="10">
        <v>45672</v>
      </c>
      <c r="E4811" t="s">
        <v>5922</v>
      </c>
      <c r="F4811" s="11" t="s">
        <v>5923</v>
      </c>
      <c r="G4811" s="8">
        <v>0</v>
      </c>
      <c r="H4811" s="8">
        <v>11.37</v>
      </c>
      <c r="I4811" s="8">
        <f t="shared" si="238"/>
        <v>-1278.3000000000011</v>
      </c>
      <c r="J4811" s="12"/>
    </row>
    <row r="4812" spans="3:10" x14ac:dyDescent="0.25">
      <c r="C4812" s="9"/>
      <c r="D4812" s="10">
        <v>45672</v>
      </c>
      <c r="E4812" t="s">
        <v>5924</v>
      </c>
      <c r="F4812" s="11" t="s">
        <v>5925</v>
      </c>
      <c r="G4812" s="8">
        <v>168.72</v>
      </c>
      <c r="H4812" s="8">
        <v>0</v>
      </c>
      <c r="I4812" s="8">
        <f t="shared" si="238"/>
        <v>-1109.5800000000011</v>
      </c>
      <c r="J4812" s="12"/>
    </row>
    <row r="4813" spans="3:10" x14ac:dyDescent="0.25">
      <c r="C4813" s="9"/>
      <c r="D4813" s="10">
        <v>45672</v>
      </c>
      <c r="E4813" t="s">
        <v>5926</v>
      </c>
      <c r="F4813" s="11" t="s">
        <v>5927</v>
      </c>
      <c r="G4813" s="8">
        <v>37.26</v>
      </c>
      <c r="H4813" s="8">
        <v>0</v>
      </c>
      <c r="I4813" s="8">
        <f t="shared" si="238"/>
        <v>-1072.3200000000011</v>
      </c>
      <c r="J4813" s="12"/>
    </row>
    <row r="4814" spans="3:10" x14ac:dyDescent="0.25">
      <c r="C4814" s="9"/>
      <c r="D4814" s="10">
        <v>45672</v>
      </c>
      <c r="E4814" t="s">
        <v>5926</v>
      </c>
      <c r="F4814" s="11" t="s">
        <v>5927</v>
      </c>
      <c r="G4814" s="8">
        <v>0</v>
      </c>
      <c r="H4814" s="8">
        <v>37.26</v>
      </c>
      <c r="I4814" s="8">
        <f t="shared" si="238"/>
        <v>-1109.5800000000011</v>
      </c>
      <c r="J4814" s="12"/>
    </row>
    <row r="4815" spans="3:10" x14ac:dyDescent="0.25">
      <c r="C4815" s="9"/>
      <c r="D4815" s="10">
        <v>45672</v>
      </c>
      <c r="E4815" t="s">
        <v>5928</v>
      </c>
      <c r="F4815" s="11" t="s">
        <v>5929</v>
      </c>
      <c r="G4815" s="8">
        <v>48.74</v>
      </c>
      <c r="H4815" s="8">
        <v>0</v>
      </c>
      <c r="I4815" s="8">
        <f t="shared" si="238"/>
        <v>-1060.8400000000011</v>
      </c>
      <c r="J4815" s="12"/>
    </row>
    <row r="4816" spans="3:10" x14ac:dyDescent="0.25">
      <c r="C4816" s="9"/>
      <c r="D4816" s="10">
        <v>45672</v>
      </c>
      <c r="E4816" t="s">
        <v>5930</v>
      </c>
      <c r="F4816" s="11" t="s">
        <v>5931</v>
      </c>
      <c r="G4816" s="8">
        <v>20.3</v>
      </c>
      <c r="H4816" s="8">
        <v>0</v>
      </c>
      <c r="I4816" s="8">
        <f t="shared" si="238"/>
        <v>-1040.5400000000011</v>
      </c>
      <c r="J4816" s="12"/>
    </row>
    <row r="4817" spans="3:10" x14ac:dyDescent="0.25">
      <c r="C4817" s="9"/>
      <c r="D4817" s="10">
        <v>45672</v>
      </c>
      <c r="E4817" t="s">
        <v>5932</v>
      </c>
      <c r="F4817" s="11" t="s">
        <v>5933</v>
      </c>
      <c r="G4817" s="8">
        <v>16.55</v>
      </c>
      <c r="H4817" s="8">
        <v>0</v>
      </c>
      <c r="I4817" s="8">
        <f t="shared" si="238"/>
        <v>-1023.9900000000011</v>
      </c>
      <c r="J4817" s="12"/>
    </row>
    <row r="4818" spans="3:10" x14ac:dyDescent="0.25">
      <c r="C4818" s="9"/>
      <c r="D4818" s="10">
        <v>45672</v>
      </c>
      <c r="E4818" t="s">
        <v>5934</v>
      </c>
      <c r="F4818" s="11" t="s">
        <v>5935</v>
      </c>
      <c r="G4818" s="8">
        <v>223.84</v>
      </c>
      <c r="H4818" s="8">
        <v>0</v>
      </c>
      <c r="I4818" s="8">
        <f t="shared" si="238"/>
        <v>-800.15000000000111</v>
      </c>
      <c r="J4818" s="12"/>
    </row>
    <row r="4819" spans="3:10" x14ac:dyDescent="0.25">
      <c r="C4819" s="9"/>
      <c r="D4819" s="10">
        <v>45672</v>
      </c>
      <c r="E4819" t="s">
        <v>5936</v>
      </c>
      <c r="F4819" s="11" t="s">
        <v>5937</v>
      </c>
      <c r="G4819" s="8">
        <v>70.59</v>
      </c>
      <c r="H4819" s="8">
        <v>0</v>
      </c>
      <c r="I4819" s="8">
        <f t="shared" si="238"/>
        <v>-729.56000000000108</v>
      </c>
      <c r="J4819" s="12"/>
    </row>
    <row r="4820" spans="3:10" x14ac:dyDescent="0.25">
      <c r="C4820" s="9"/>
      <c r="D4820" s="10">
        <v>45672</v>
      </c>
      <c r="E4820" t="s">
        <v>5936</v>
      </c>
      <c r="F4820" s="11" t="s">
        <v>5937</v>
      </c>
      <c r="G4820" s="8">
        <v>0</v>
      </c>
      <c r="H4820" s="8">
        <v>70.59</v>
      </c>
      <c r="I4820" s="8">
        <f t="shared" si="238"/>
        <v>-800.15000000000111</v>
      </c>
      <c r="J4820" s="12"/>
    </row>
    <row r="4821" spans="3:10" x14ac:dyDescent="0.25">
      <c r="C4821" s="9"/>
      <c r="D4821" s="10">
        <v>45672</v>
      </c>
      <c r="E4821" t="s">
        <v>5938</v>
      </c>
      <c r="F4821" s="11" t="s">
        <v>5939</v>
      </c>
      <c r="G4821" s="8">
        <v>469</v>
      </c>
      <c r="H4821" s="8">
        <v>0</v>
      </c>
      <c r="I4821" s="8">
        <f t="shared" si="238"/>
        <v>-331.15000000000111</v>
      </c>
      <c r="J4821" s="12"/>
    </row>
    <row r="4822" spans="3:10" x14ac:dyDescent="0.25">
      <c r="C4822" s="9"/>
      <c r="D4822" s="10">
        <v>45672</v>
      </c>
      <c r="E4822" t="s">
        <v>5940</v>
      </c>
      <c r="F4822" s="11" t="s">
        <v>42</v>
      </c>
      <c r="G4822" s="8">
        <v>0</v>
      </c>
      <c r="H4822" s="8">
        <v>711.43</v>
      </c>
      <c r="I4822" s="8">
        <f t="shared" si="238"/>
        <v>-1042.5800000000011</v>
      </c>
      <c r="J4822" s="12"/>
    </row>
    <row r="4823" spans="3:10" x14ac:dyDescent="0.25">
      <c r="C4823" s="9"/>
      <c r="D4823" s="10">
        <v>45673</v>
      </c>
      <c r="E4823" t="s">
        <v>5941</v>
      </c>
      <c r="F4823" s="11" t="s">
        <v>5942</v>
      </c>
      <c r="G4823" s="8">
        <v>6.53</v>
      </c>
      <c r="H4823" s="8">
        <v>0</v>
      </c>
      <c r="I4823" s="8">
        <f t="shared" si="238"/>
        <v>-1036.0500000000011</v>
      </c>
      <c r="J4823" s="12"/>
    </row>
    <row r="4824" spans="3:10" x14ac:dyDescent="0.25">
      <c r="C4824" s="9"/>
      <c r="D4824" s="10">
        <v>45673</v>
      </c>
      <c r="E4824" t="s">
        <v>5943</v>
      </c>
      <c r="F4824" s="11" t="s">
        <v>5944</v>
      </c>
      <c r="G4824" s="8">
        <v>28.29</v>
      </c>
      <c r="H4824" s="8">
        <v>0</v>
      </c>
      <c r="I4824" s="8">
        <f t="shared" si="238"/>
        <v>-1007.7600000000011</v>
      </c>
      <c r="J4824" s="12"/>
    </row>
    <row r="4825" spans="3:10" x14ac:dyDescent="0.25">
      <c r="C4825" s="9"/>
      <c r="D4825" s="10">
        <v>45673</v>
      </c>
      <c r="E4825" t="s">
        <v>5943</v>
      </c>
      <c r="F4825" s="11" t="s">
        <v>5944</v>
      </c>
      <c r="G4825" s="8">
        <v>0</v>
      </c>
      <c r="H4825" s="8">
        <v>28.29</v>
      </c>
      <c r="I4825" s="8">
        <f t="shared" si="238"/>
        <v>-1036.0500000000011</v>
      </c>
      <c r="J4825" s="12"/>
    </row>
    <row r="4826" spans="3:10" x14ac:dyDescent="0.25">
      <c r="C4826" s="9"/>
      <c r="D4826" s="10">
        <v>45673</v>
      </c>
      <c r="E4826" t="s">
        <v>5945</v>
      </c>
      <c r="F4826" s="11" t="s">
        <v>5946</v>
      </c>
      <c r="G4826" s="8">
        <v>5.69</v>
      </c>
      <c r="H4826" s="8">
        <v>0</v>
      </c>
      <c r="I4826" s="8">
        <f t="shared" si="238"/>
        <v>-1030.360000000001</v>
      </c>
      <c r="J4826" s="12"/>
    </row>
    <row r="4827" spans="3:10" x14ac:dyDescent="0.25">
      <c r="C4827" s="9"/>
      <c r="D4827" s="10">
        <v>45673</v>
      </c>
      <c r="E4827" t="s">
        <v>5945</v>
      </c>
      <c r="F4827" s="11" t="s">
        <v>5946</v>
      </c>
      <c r="G4827" s="8">
        <v>0</v>
      </c>
      <c r="H4827" s="8">
        <v>5.69</v>
      </c>
      <c r="I4827" s="8">
        <f t="shared" si="238"/>
        <v>-1036.0500000000011</v>
      </c>
      <c r="J4827" s="12"/>
    </row>
    <row r="4828" spans="3:10" x14ac:dyDescent="0.25">
      <c r="C4828" s="9"/>
      <c r="D4828" s="10">
        <v>45673</v>
      </c>
      <c r="E4828" t="s">
        <v>5947</v>
      </c>
      <c r="F4828" s="11" t="s">
        <v>5948</v>
      </c>
      <c r="G4828" s="8">
        <v>8.43</v>
      </c>
      <c r="H4828" s="8">
        <v>0</v>
      </c>
      <c r="I4828" s="8">
        <f t="shared" ref="I4828:I4891" si="239">G4828-H4828+I4827</f>
        <v>-1027.620000000001</v>
      </c>
      <c r="J4828" s="12"/>
    </row>
    <row r="4829" spans="3:10" x14ac:dyDescent="0.25">
      <c r="C4829" s="9"/>
      <c r="D4829" s="10">
        <v>45673</v>
      </c>
      <c r="E4829" t="s">
        <v>5949</v>
      </c>
      <c r="F4829" s="11" t="s">
        <v>5950</v>
      </c>
      <c r="G4829" s="8">
        <v>9.92</v>
      </c>
      <c r="H4829" s="8">
        <v>0</v>
      </c>
      <c r="I4829" s="8">
        <f t="shared" si="239"/>
        <v>-1017.7000000000011</v>
      </c>
      <c r="J4829" s="12"/>
    </row>
    <row r="4830" spans="3:10" x14ac:dyDescent="0.25">
      <c r="C4830" s="9"/>
      <c r="D4830" s="10">
        <v>45673</v>
      </c>
      <c r="E4830" t="s">
        <v>5949</v>
      </c>
      <c r="F4830" s="11" t="s">
        <v>5950</v>
      </c>
      <c r="G4830" s="8">
        <v>0</v>
      </c>
      <c r="H4830" s="8">
        <v>9.92</v>
      </c>
      <c r="I4830" s="8">
        <f t="shared" si="239"/>
        <v>-1027.620000000001</v>
      </c>
      <c r="J4830" s="12"/>
    </row>
    <row r="4831" spans="3:10" x14ac:dyDescent="0.25">
      <c r="C4831" s="9"/>
      <c r="D4831" s="10">
        <v>45673</v>
      </c>
      <c r="E4831" t="s">
        <v>5951</v>
      </c>
      <c r="F4831" s="11" t="s">
        <v>5952</v>
      </c>
      <c r="G4831" s="8">
        <v>118.82</v>
      </c>
      <c r="H4831" s="8">
        <v>0</v>
      </c>
      <c r="I4831" s="8">
        <f t="shared" si="239"/>
        <v>-908.80000000000109</v>
      </c>
      <c r="J4831" s="12"/>
    </row>
    <row r="4832" spans="3:10" x14ac:dyDescent="0.25">
      <c r="C4832" s="9"/>
      <c r="D4832" s="10">
        <v>45673</v>
      </c>
      <c r="E4832" t="s">
        <v>5953</v>
      </c>
      <c r="F4832" s="11" t="s">
        <v>5954</v>
      </c>
      <c r="G4832" s="8">
        <v>99.27</v>
      </c>
      <c r="H4832" s="8">
        <v>0</v>
      </c>
      <c r="I4832" s="8">
        <f t="shared" si="239"/>
        <v>-809.53000000000111</v>
      </c>
      <c r="J4832" s="12"/>
    </row>
    <row r="4833" spans="3:10" x14ac:dyDescent="0.25">
      <c r="C4833" s="9"/>
      <c r="D4833" s="10">
        <v>45673</v>
      </c>
      <c r="E4833" t="s">
        <v>5955</v>
      </c>
      <c r="F4833" s="11" t="s">
        <v>5956</v>
      </c>
      <c r="G4833" s="8">
        <v>78.06</v>
      </c>
      <c r="H4833" s="8">
        <v>0</v>
      </c>
      <c r="I4833" s="8">
        <f t="shared" si="239"/>
        <v>-731.47000000000116</v>
      </c>
      <c r="J4833" s="12"/>
    </row>
    <row r="4834" spans="3:10" x14ac:dyDescent="0.25">
      <c r="C4834" s="9"/>
      <c r="D4834" s="10">
        <v>45673</v>
      </c>
      <c r="E4834" t="s">
        <v>5955</v>
      </c>
      <c r="F4834" s="11" t="s">
        <v>5956</v>
      </c>
      <c r="G4834" s="8">
        <v>0</v>
      </c>
      <c r="H4834" s="8">
        <v>78.06</v>
      </c>
      <c r="I4834" s="8">
        <f t="shared" si="239"/>
        <v>-809.53000000000111</v>
      </c>
      <c r="J4834" s="12"/>
    </row>
    <row r="4835" spans="3:10" x14ac:dyDescent="0.25">
      <c r="C4835" s="9"/>
      <c r="D4835" s="10">
        <v>45673</v>
      </c>
      <c r="E4835" t="s">
        <v>5957</v>
      </c>
      <c r="F4835" s="11" t="s">
        <v>5958</v>
      </c>
      <c r="G4835" s="8">
        <v>118.34</v>
      </c>
      <c r="H4835" s="8">
        <v>0</v>
      </c>
      <c r="I4835" s="8">
        <f t="shared" si="239"/>
        <v>-691.19000000000108</v>
      </c>
      <c r="J4835" s="12"/>
    </row>
    <row r="4836" spans="3:10" x14ac:dyDescent="0.25">
      <c r="C4836" s="9"/>
      <c r="D4836" s="10">
        <v>45673</v>
      </c>
      <c r="E4836" t="s">
        <v>5959</v>
      </c>
      <c r="F4836" s="11" t="s">
        <v>5960</v>
      </c>
      <c r="G4836" s="8">
        <v>76.5</v>
      </c>
      <c r="H4836" s="8">
        <v>0</v>
      </c>
      <c r="I4836" s="8">
        <f t="shared" si="239"/>
        <v>-614.69000000000108</v>
      </c>
      <c r="J4836" s="12"/>
    </row>
    <row r="4837" spans="3:10" x14ac:dyDescent="0.25">
      <c r="C4837" s="9"/>
      <c r="D4837" s="10">
        <v>45673</v>
      </c>
      <c r="E4837" t="s">
        <v>5961</v>
      </c>
      <c r="F4837" s="11" t="s">
        <v>4642</v>
      </c>
      <c r="G4837" s="8">
        <v>184.82</v>
      </c>
      <c r="H4837" s="8">
        <v>0</v>
      </c>
      <c r="I4837" s="8">
        <f t="shared" si="239"/>
        <v>-429.87000000000108</v>
      </c>
      <c r="J4837" s="12"/>
    </row>
    <row r="4838" spans="3:10" x14ac:dyDescent="0.25">
      <c r="C4838" s="9"/>
      <c r="D4838" s="10">
        <v>45673</v>
      </c>
      <c r="E4838" t="s">
        <v>5962</v>
      </c>
      <c r="F4838" s="11" t="s">
        <v>5963</v>
      </c>
      <c r="G4838" s="8">
        <v>60.32</v>
      </c>
      <c r="H4838" s="8">
        <v>0</v>
      </c>
      <c r="I4838" s="8">
        <f t="shared" si="239"/>
        <v>-369.55000000000109</v>
      </c>
      <c r="J4838" s="12"/>
    </row>
    <row r="4839" spans="3:10" x14ac:dyDescent="0.25">
      <c r="C4839" s="9"/>
      <c r="D4839" s="10">
        <v>45673</v>
      </c>
      <c r="E4839" t="s">
        <v>5964</v>
      </c>
      <c r="F4839" s="11" t="s">
        <v>5965</v>
      </c>
      <c r="G4839" s="8">
        <v>3.81</v>
      </c>
      <c r="H4839" s="8">
        <v>0</v>
      </c>
      <c r="I4839" s="8">
        <f t="shared" si="239"/>
        <v>-365.74000000000109</v>
      </c>
      <c r="J4839" s="12"/>
    </row>
    <row r="4840" spans="3:10" x14ac:dyDescent="0.25">
      <c r="C4840" s="9"/>
      <c r="D4840" s="10">
        <v>45673</v>
      </c>
      <c r="E4840" t="s">
        <v>5964</v>
      </c>
      <c r="F4840" s="11" t="s">
        <v>5965</v>
      </c>
      <c r="G4840" s="8">
        <v>0</v>
      </c>
      <c r="H4840" s="8">
        <v>3.81</v>
      </c>
      <c r="I4840" s="8">
        <f t="shared" si="239"/>
        <v>-369.55000000000109</v>
      </c>
      <c r="J4840" s="12"/>
    </row>
    <row r="4841" spans="3:10" x14ac:dyDescent="0.25">
      <c r="C4841" s="9"/>
      <c r="D4841" s="10">
        <v>45673</v>
      </c>
      <c r="E4841" t="s">
        <v>5966</v>
      </c>
      <c r="F4841" s="11" t="s">
        <v>5967</v>
      </c>
      <c r="G4841" s="8">
        <v>7.65</v>
      </c>
      <c r="H4841" s="8">
        <v>0</v>
      </c>
      <c r="I4841" s="8">
        <f t="shared" si="239"/>
        <v>-361.90000000000111</v>
      </c>
      <c r="J4841" s="12"/>
    </row>
    <row r="4842" spans="3:10" x14ac:dyDescent="0.25">
      <c r="C4842" s="9"/>
      <c r="D4842" s="10">
        <v>45673</v>
      </c>
      <c r="E4842" t="s">
        <v>5968</v>
      </c>
      <c r="F4842" s="11" t="s">
        <v>5969</v>
      </c>
      <c r="G4842" s="8">
        <v>79.760000000000005</v>
      </c>
      <c r="H4842" s="8">
        <v>0</v>
      </c>
      <c r="I4842" s="8">
        <f t="shared" si="239"/>
        <v>-282.14000000000112</v>
      </c>
      <c r="J4842" s="12"/>
    </row>
    <row r="4843" spans="3:10" x14ac:dyDescent="0.25">
      <c r="C4843" s="9"/>
      <c r="D4843" s="10">
        <v>45673</v>
      </c>
      <c r="E4843" t="s">
        <v>5968</v>
      </c>
      <c r="F4843" s="11" t="s">
        <v>5969</v>
      </c>
      <c r="G4843" s="8">
        <v>0</v>
      </c>
      <c r="H4843" s="8">
        <v>79.760000000000005</v>
      </c>
      <c r="I4843" s="8">
        <f t="shared" si="239"/>
        <v>-361.90000000000111</v>
      </c>
      <c r="J4843" s="12"/>
    </row>
    <row r="4844" spans="3:10" x14ac:dyDescent="0.25">
      <c r="C4844" s="9"/>
      <c r="D4844" s="10">
        <v>45673</v>
      </c>
      <c r="E4844" t="s">
        <v>5970</v>
      </c>
      <c r="F4844" s="11" t="s">
        <v>5971</v>
      </c>
      <c r="G4844" s="8">
        <v>22.23</v>
      </c>
      <c r="H4844" s="8">
        <v>0</v>
      </c>
      <c r="I4844" s="8">
        <f t="shared" si="239"/>
        <v>-339.6700000000011</v>
      </c>
      <c r="J4844" s="12"/>
    </row>
    <row r="4845" spans="3:10" x14ac:dyDescent="0.25">
      <c r="C4845" s="9"/>
      <c r="D4845" s="10">
        <v>45673</v>
      </c>
      <c r="E4845" t="s">
        <v>5970</v>
      </c>
      <c r="F4845" s="11" t="s">
        <v>5971</v>
      </c>
      <c r="G4845" s="8">
        <v>0</v>
      </c>
      <c r="H4845" s="8">
        <v>22.23</v>
      </c>
      <c r="I4845" s="8">
        <f t="shared" si="239"/>
        <v>-361.90000000000111</v>
      </c>
      <c r="J4845" s="12"/>
    </row>
    <row r="4846" spans="3:10" x14ac:dyDescent="0.25">
      <c r="C4846" s="9"/>
      <c r="D4846" s="10">
        <v>45673</v>
      </c>
      <c r="E4846" t="s">
        <v>5972</v>
      </c>
      <c r="F4846" s="11" t="s">
        <v>42</v>
      </c>
      <c r="G4846" s="8">
        <v>0</v>
      </c>
      <c r="H4846" s="8">
        <v>1130.23</v>
      </c>
      <c r="I4846" s="8">
        <f t="shared" si="239"/>
        <v>-1492.130000000001</v>
      </c>
      <c r="J4846" s="12"/>
    </row>
    <row r="4847" spans="3:10" x14ac:dyDescent="0.25">
      <c r="C4847" s="9"/>
      <c r="D4847" s="10">
        <v>45674</v>
      </c>
      <c r="E4847" t="s">
        <v>5973</v>
      </c>
      <c r="F4847" s="11" t="s">
        <v>5974</v>
      </c>
      <c r="G4847" s="8">
        <v>11.85</v>
      </c>
      <c r="H4847" s="8">
        <v>0</v>
      </c>
      <c r="I4847" s="8">
        <f t="shared" si="239"/>
        <v>-1480.2800000000011</v>
      </c>
      <c r="J4847" s="12"/>
    </row>
    <row r="4848" spans="3:10" x14ac:dyDescent="0.25">
      <c r="C4848" s="9"/>
      <c r="D4848" s="10">
        <v>45674</v>
      </c>
      <c r="E4848" t="s">
        <v>5975</v>
      </c>
      <c r="F4848" s="11" t="s">
        <v>5976</v>
      </c>
      <c r="G4848" s="8">
        <v>38.049999999999997</v>
      </c>
      <c r="H4848" s="8">
        <v>0</v>
      </c>
      <c r="I4848" s="8">
        <f t="shared" si="239"/>
        <v>-1442.2300000000012</v>
      </c>
      <c r="J4848" s="12"/>
    </row>
    <row r="4849" spans="3:10" x14ac:dyDescent="0.25">
      <c r="C4849" s="9"/>
      <c r="D4849" s="10">
        <v>45674</v>
      </c>
      <c r="E4849" t="s">
        <v>5977</v>
      </c>
      <c r="F4849" s="11" t="s">
        <v>5978</v>
      </c>
      <c r="G4849" s="8">
        <v>43</v>
      </c>
      <c r="H4849" s="8">
        <v>0</v>
      </c>
      <c r="I4849" s="8">
        <f t="shared" si="239"/>
        <v>-1399.2300000000012</v>
      </c>
      <c r="J4849" s="12"/>
    </row>
    <row r="4850" spans="3:10" x14ac:dyDescent="0.25">
      <c r="C4850" s="9"/>
      <c r="D4850" s="10">
        <v>45674</v>
      </c>
      <c r="E4850" t="s">
        <v>5979</v>
      </c>
      <c r="F4850" s="11" t="s">
        <v>5980</v>
      </c>
      <c r="G4850" s="8">
        <v>10.87</v>
      </c>
      <c r="H4850" s="8">
        <v>0</v>
      </c>
      <c r="I4850" s="8">
        <f t="shared" si="239"/>
        <v>-1388.3600000000013</v>
      </c>
      <c r="J4850" s="12"/>
    </row>
    <row r="4851" spans="3:10" x14ac:dyDescent="0.25">
      <c r="C4851" s="9"/>
      <c r="D4851" s="10">
        <v>45674</v>
      </c>
      <c r="E4851" t="s">
        <v>5981</v>
      </c>
      <c r="F4851" s="11" t="s">
        <v>5982</v>
      </c>
      <c r="G4851" s="8">
        <v>5.17</v>
      </c>
      <c r="H4851" s="8">
        <v>0</v>
      </c>
      <c r="I4851" s="8">
        <f t="shared" si="239"/>
        <v>-1383.1900000000012</v>
      </c>
      <c r="J4851" s="12"/>
    </row>
    <row r="4852" spans="3:10" x14ac:dyDescent="0.25">
      <c r="C4852" s="9"/>
      <c r="D4852" s="10">
        <v>45674</v>
      </c>
      <c r="E4852" t="s">
        <v>5981</v>
      </c>
      <c r="F4852" s="11" t="s">
        <v>5982</v>
      </c>
      <c r="G4852" s="8">
        <v>0</v>
      </c>
      <c r="H4852" s="8">
        <v>5.17</v>
      </c>
      <c r="I4852" s="8">
        <f t="shared" si="239"/>
        <v>-1388.3600000000013</v>
      </c>
      <c r="J4852" s="12"/>
    </row>
    <row r="4853" spans="3:10" x14ac:dyDescent="0.25">
      <c r="C4853" s="9"/>
      <c r="D4853" s="10">
        <v>45674</v>
      </c>
      <c r="E4853" t="s">
        <v>5983</v>
      </c>
      <c r="F4853" s="11" t="s">
        <v>5984</v>
      </c>
      <c r="G4853" s="8">
        <v>166.69</v>
      </c>
      <c r="H4853" s="8">
        <v>0</v>
      </c>
      <c r="I4853" s="8">
        <f t="shared" si="239"/>
        <v>-1221.6700000000012</v>
      </c>
      <c r="J4853" s="12"/>
    </row>
    <row r="4854" spans="3:10" x14ac:dyDescent="0.25">
      <c r="C4854" s="9"/>
      <c r="D4854" s="10">
        <v>45674</v>
      </c>
      <c r="E4854" t="s">
        <v>5985</v>
      </c>
      <c r="F4854" s="11" t="s">
        <v>5986</v>
      </c>
      <c r="G4854" s="8">
        <v>151.01</v>
      </c>
      <c r="H4854" s="8">
        <v>0</v>
      </c>
      <c r="I4854" s="8">
        <f t="shared" si="239"/>
        <v>-1070.6600000000012</v>
      </c>
      <c r="J4854" s="12"/>
    </row>
    <row r="4855" spans="3:10" x14ac:dyDescent="0.25">
      <c r="C4855" s="9"/>
      <c r="D4855" s="10">
        <v>45674</v>
      </c>
      <c r="E4855" t="s">
        <v>5987</v>
      </c>
      <c r="F4855" s="11" t="s">
        <v>5988</v>
      </c>
      <c r="G4855" s="8">
        <v>38.97</v>
      </c>
      <c r="H4855" s="8">
        <v>0</v>
      </c>
      <c r="I4855" s="8">
        <f t="shared" si="239"/>
        <v>-1031.6900000000012</v>
      </c>
      <c r="J4855" s="12"/>
    </row>
    <row r="4856" spans="3:10" x14ac:dyDescent="0.25">
      <c r="C4856" s="9"/>
      <c r="D4856" s="10">
        <v>45674</v>
      </c>
      <c r="E4856" t="s">
        <v>5989</v>
      </c>
      <c r="F4856" s="11" t="s">
        <v>5990</v>
      </c>
      <c r="G4856" s="8">
        <v>93.96</v>
      </c>
      <c r="H4856" s="8">
        <v>0</v>
      </c>
      <c r="I4856" s="8">
        <f t="shared" si="239"/>
        <v>-937.73000000000116</v>
      </c>
      <c r="J4856" s="12"/>
    </row>
    <row r="4857" spans="3:10" x14ac:dyDescent="0.25">
      <c r="C4857" s="9"/>
      <c r="D4857" s="10">
        <v>45674</v>
      </c>
      <c r="E4857" t="s">
        <v>5989</v>
      </c>
      <c r="F4857" s="11" t="s">
        <v>5990</v>
      </c>
      <c r="G4857" s="8">
        <v>0</v>
      </c>
      <c r="H4857" s="8">
        <v>93.96</v>
      </c>
      <c r="I4857" s="8">
        <f t="shared" si="239"/>
        <v>-1031.6900000000012</v>
      </c>
      <c r="J4857" s="12"/>
    </row>
    <row r="4858" spans="3:10" x14ac:dyDescent="0.25">
      <c r="C4858" s="9"/>
      <c r="D4858" s="10">
        <v>45674</v>
      </c>
      <c r="E4858" t="s">
        <v>5991</v>
      </c>
      <c r="F4858" s="11" t="s">
        <v>5992</v>
      </c>
      <c r="G4858" s="8">
        <v>14.05</v>
      </c>
      <c r="H4858" s="8">
        <v>0</v>
      </c>
      <c r="I4858" s="8">
        <f t="shared" si="239"/>
        <v>-1017.6400000000012</v>
      </c>
      <c r="J4858" s="12"/>
    </row>
    <row r="4859" spans="3:10" x14ac:dyDescent="0.25">
      <c r="C4859" s="9"/>
      <c r="D4859" s="10">
        <v>45674</v>
      </c>
      <c r="E4859" t="s">
        <v>5993</v>
      </c>
      <c r="F4859" s="11" t="s">
        <v>5994</v>
      </c>
      <c r="G4859" s="8">
        <v>22.53</v>
      </c>
      <c r="H4859" s="8">
        <v>0</v>
      </c>
      <c r="I4859" s="8">
        <f t="shared" si="239"/>
        <v>-995.11000000000126</v>
      </c>
      <c r="J4859" s="12"/>
    </row>
    <row r="4860" spans="3:10" x14ac:dyDescent="0.25">
      <c r="C4860" s="9"/>
      <c r="D4860" s="10">
        <v>45674</v>
      </c>
      <c r="E4860" t="s">
        <v>5993</v>
      </c>
      <c r="F4860" s="11" t="s">
        <v>5994</v>
      </c>
      <c r="G4860" s="8">
        <v>0</v>
      </c>
      <c r="H4860" s="8">
        <v>22.53</v>
      </c>
      <c r="I4860" s="8">
        <f t="shared" si="239"/>
        <v>-1017.6400000000012</v>
      </c>
      <c r="J4860" s="12"/>
    </row>
    <row r="4861" spans="3:10" x14ac:dyDescent="0.25">
      <c r="C4861" s="9"/>
      <c r="D4861" s="10">
        <v>45674</v>
      </c>
      <c r="E4861" t="s">
        <v>5995</v>
      </c>
      <c r="F4861" s="11" t="s">
        <v>5996</v>
      </c>
      <c r="G4861" s="8">
        <v>3.92</v>
      </c>
      <c r="H4861" s="8">
        <v>0</v>
      </c>
      <c r="I4861" s="8">
        <f t="shared" si="239"/>
        <v>-1013.7200000000013</v>
      </c>
      <c r="J4861" s="12"/>
    </row>
    <row r="4862" spans="3:10" x14ac:dyDescent="0.25">
      <c r="C4862" s="9"/>
      <c r="D4862" s="10">
        <v>45674</v>
      </c>
      <c r="E4862" t="s">
        <v>5997</v>
      </c>
      <c r="F4862" s="11" t="s">
        <v>5998</v>
      </c>
      <c r="G4862" s="8">
        <v>1.78</v>
      </c>
      <c r="H4862" s="8">
        <v>0</v>
      </c>
      <c r="I4862" s="8">
        <f t="shared" si="239"/>
        <v>-1011.9400000000013</v>
      </c>
      <c r="J4862" s="12"/>
    </row>
    <row r="4863" spans="3:10" x14ac:dyDescent="0.25">
      <c r="C4863" s="9"/>
      <c r="D4863" s="10">
        <v>45674</v>
      </c>
      <c r="E4863" t="s">
        <v>5999</v>
      </c>
      <c r="F4863" s="11" t="s">
        <v>6000</v>
      </c>
      <c r="G4863" s="8">
        <v>63.16</v>
      </c>
      <c r="H4863" s="8">
        <v>0</v>
      </c>
      <c r="I4863" s="8">
        <f t="shared" si="239"/>
        <v>-948.78000000000134</v>
      </c>
      <c r="J4863" s="12"/>
    </row>
    <row r="4864" spans="3:10" x14ac:dyDescent="0.25">
      <c r="C4864" s="9"/>
      <c r="D4864" s="10">
        <v>45674</v>
      </c>
      <c r="E4864" t="s">
        <v>6001</v>
      </c>
      <c r="F4864" s="11" t="s">
        <v>6002</v>
      </c>
      <c r="G4864" s="8">
        <v>55.85</v>
      </c>
      <c r="H4864" s="8">
        <v>0</v>
      </c>
      <c r="I4864" s="8">
        <f t="shared" si="239"/>
        <v>-892.93000000000131</v>
      </c>
      <c r="J4864" s="12"/>
    </row>
    <row r="4865" spans="3:10" x14ac:dyDescent="0.25">
      <c r="C4865" s="9"/>
      <c r="D4865" s="10">
        <v>45674</v>
      </c>
      <c r="E4865" t="s">
        <v>6003</v>
      </c>
      <c r="F4865" s="11" t="s">
        <v>6004</v>
      </c>
      <c r="G4865" s="8">
        <v>2.11</v>
      </c>
      <c r="H4865" s="8">
        <v>0</v>
      </c>
      <c r="I4865" s="8">
        <f t="shared" si="239"/>
        <v>-890.8200000000013</v>
      </c>
      <c r="J4865" s="12"/>
    </row>
    <row r="4866" spans="3:10" x14ac:dyDescent="0.25">
      <c r="C4866" s="9"/>
      <c r="D4866" s="10">
        <v>45674</v>
      </c>
      <c r="E4866" t="s">
        <v>6005</v>
      </c>
      <c r="F4866" s="11" t="s">
        <v>6006</v>
      </c>
      <c r="G4866" s="8">
        <v>207.66</v>
      </c>
      <c r="H4866" s="8">
        <v>0</v>
      </c>
      <c r="I4866" s="8">
        <f t="shared" si="239"/>
        <v>-683.16000000000133</v>
      </c>
      <c r="J4866" s="12"/>
    </row>
    <row r="4867" spans="3:10" x14ac:dyDescent="0.25">
      <c r="C4867" s="9"/>
      <c r="D4867" s="10">
        <v>45674</v>
      </c>
      <c r="E4867" t="s">
        <v>6005</v>
      </c>
      <c r="F4867" s="11" t="s">
        <v>6006</v>
      </c>
      <c r="G4867" s="8">
        <v>0</v>
      </c>
      <c r="H4867" s="8">
        <v>207.66</v>
      </c>
      <c r="I4867" s="8">
        <f t="shared" si="239"/>
        <v>-890.8200000000013</v>
      </c>
      <c r="J4867" s="12"/>
    </row>
    <row r="4868" spans="3:10" x14ac:dyDescent="0.25">
      <c r="C4868" s="9"/>
      <c r="D4868" s="10">
        <v>45674</v>
      </c>
      <c r="E4868" t="s">
        <v>6007</v>
      </c>
      <c r="F4868" s="11" t="s">
        <v>6008</v>
      </c>
      <c r="G4868" s="8">
        <v>6.43</v>
      </c>
      <c r="H4868" s="8">
        <v>0</v>
      </c>
      <c r="I4868" s="8">
        <f t="shared" si="239"/>
        <v>-884.39000000000135</v>
      </c>
      <c r="J4868" s="12"/>
    </row>
    <row r="4869" spans="3:10" x14ac:dyDescent="0.25">
      <c r="C4869" s="9"/>
      <c r="D4869" s="10">
        <v>45674</v>
      </c>
      <c r="E4869" t="s">
        <v>6009</v>
      </c>
      <c r="F4869" s="11" t="s">
        <v>6010</v>
      </c>
      <c r="G4869" s="8">
        <v>205.58</v>
      </c>
      <c r="H4869" s="8">
        <v>0</v>
      </c>
      <c r="I4869" s="8">
        <f t="shared" si="239"/>
        <v>-678.81000000000131</v>
      </c>
      <c r="J4869" s="12"/>
    </row>
    <row r="4870" spans="3:10" x14ac:dyDescent="0.25">
      <c r="C4870" s="9"/>
      <c r="D4870" s="10">
        <v>45674</v>
      </c>
      <c r="E4870" t="s">
        <v>6011</v>
      </c>
      <c r="F4870" s="11" t="s">
        <v>6012</v>
      </c>
      <c r="G4870" s="8">
        <v>70.260000000000005</v>
      </c>
      <c r="H4870" s="8">
        <v>0</v>
      </c>
      <c r="I4870" s="8">
        <f t="shared" si="239"/>
        <v>-608.55000000000132</v>
      </c>
      <c r="J4870" s="12"/>
    </row>
    <row r="4871" spans="3:10" x14ac:dyDescent="0.25">
      <c r="C4871" s="9"/>
      <c r="D4871" s="10">
        <v>45674</v>
      </c>
      <c r="E4871" t="s">
        <v>6013</v>
      </c>
      <c r="F4871" s="11" t="s">
        <v>42</v>
      </c>
      <c r="G4871" s="8">
        <v>0</v>
      </c>
      <c r="H4871" s="8">
        <v>680.68</v>
      </c>
      <c r="I4871" s="8">
        <f t="shared" si="239"/>
        <v>-1289.2300000000014</v>
      </c>
      <c r="J4871" s="12"/>
    </row>
    <row r="4872" spans="3:10" x14ac:dyDescent="0.25">
      <c r="C4872" s="9"/>
      <c r="D4872" s="10">
        <v>45675</v>
      </c>
      <c r="E4872" t="s">
        <v>6014</v>
      </c>
      <c r="F4872" s="11" t="s">
        <v>42</v>
      </c>
      <c r="G4872" s="8">
        <v>0</v>
      </c>
      <c r="H4872" s="8">
        <v>883.58</v>
      </c>
      <c r="I4872" s="8">
        <f t="shared" si="239"/>
        <v>-2172.8100000000013</v>
      </c>
      <c r="J4872" s="12"/>
    </row>
    <row r="4873" spans="3:10" x14ac:dyDescent="0.25">
      <c r="C4873" s="9"/>
      <c r="D4873" s="10">
        <v>45677</v>
      </c>
      <c r="E4873" t="s">
        <v>6015</v>
      </c>
      <c r="F4873" s="11" t="s">
        <v>6016</v>
      </c>
      <c r="G4873" s="8">
        <v>19.010000000000002</v>
      </c>
      <c r="H4873" s="8">
        <v>0</v>
      </c>
      <c r="I4873" s="8">
        <f t="shared" si="239"/>
        <v>-2153.8000000000011</v>
      </c>
      <c r="J4873" s="12"/>
    </row>
    <row r="4874" spans="3:10" x14ac:dyDescent="0.25">
      <c r="C4874" s="9"/>
      <c r="D4874" s="10">
        <v>45677</v>
      </c>
      <c r="E4874" t="s">
        <v>6017</v>
      </c>
      <c r="F4874" s="11" t="s">
        <v>6018</v>
      </c>
      <c r="G4874" s="8">
        <v>46.19</v>
      </c>
      <c r="H4874" s="8">
        <v>0</v>
      </c>
      <c r="I4874" s="8">
        <f t="shared" si="239"/>
        <v>-2107.610000000001</v>
      </c>
      <c r="J4874" s="12"/>
    </row>
    <row r="4875" spans="3:10" x14ac:dyDescent="0.25">
      <c r="C4875" s="9"/>
      <c r="D4875" s="10">
        <v>45677</v>
      </c>
      <c r="E4875" t="s">
        <v>6019</v>
      </c>
      <c r="F4875" s="11" t="s">
        <v>6020</v>
      </c>
      <c r="G4875" s="8">
        <v>35.19</v>
      </c>
      <c r="H4875" s="8">
        <v>0</v>
      </c>
      <c r="I4875" s="8">
        <f t="shared" si="239"/>
        <v>-2072.420000000001</v>
      </c>
      <c r="J4875" s="12"/>
    </row>
    <row r="4876" spans="3:10" x14ac:dyDescent="0.25">
      <c r="C4876" s="9"/>
      <c r="D4876" s="10">
        <v>45677</v>
      </c>
      <c r="E4876" t="s">
        <v>6019</v>
      </c>
      <c r="F4876" s="11" t="s">
        <v>6020</v>
      </c>
      <c r="G4876" s="8">
        <v>0</v>
      </c>
      <c r="H4876" s="8">
        <v>35.19</v>
      </c>
      <c r="I4876" s="8">
        <f t="shared" si="239"/>
        <v>-2107.610000000001</v>
      </c>
      <c r="J4876" s="12"/>
    </row>
    <row r="4877" spans="3:10" x14ac:dyDescent="0.25">
      <c r="C4877" s="9"/>
      <c r="D4877" s="10">
        <v>45677</v>
      </c>
      <c r="E4877" t="s">
        <v>6021</v>
      </c>
      <c r="F4877" s="11" t="s">
        <v>6022</v>
      </c>
      <c r="G4877" s="8">
        <v>-4.45</v>
      </c>
      <c r="H4877" s="8">
        <v>0</v>
      </c>
      <c r="I4877" s="8">
        <f t="shared" si="239"/>
        <v>-2112.0600000000009</v>
      </c>
      <c r="J4877" s="12"/>
    </row>
    <row r="4878" spans="3:10" x14ac:dyDescent="0.25">
      <c r="C4878" s="9"/>
      <c r="D4878" s="10">
        <v>45677</v>
      </c>
      <c r="E4878" t="s">
        <v>6021</v>
      </c>
      <c r="F4878" s="11" t="s">
        <v>6022</v>
      </c>
      <c r="G4878" s="8">
        <v>0</v>
      </c>
      <c r="H4878" s="8">
        <v>-4.45</v>
      </c>
      <c r="I4878" s="8">
        <f t="shared" si="239"/>
        <v>-2107.610000000001</v>
      </c>
      <c r="J4878" s="12"/>
    </row>
    <row r="4879" spans="3:10" x14ac:dyDescent="0.25">
      <c r="C4879" s="9"/>
      <c r="D4879" s="10">
        <v>45677</v>
      </c>
      <c r="E4879" t="s">
        <v>6023</v>
      </c>
      <c r="F4879" s="11" t="s">
        <v>6024</v>
      </c>
      <c r="G4879" s="8">
        <v>19.079999999999998</v>
      </c>
      <c r="H4879" s="8">
        <v>0</v>
      </c>
      <c r="I4879" s="8">
        <f t="shared" si="239"/>
        <v>-2088.5300000000011</v>
      </c>
      <c r="J4879" s="12"/>
    </row>
    <row r="4880" spans="3:10" x14ac:dyDescent="0.25">
      <c r="C4880" s="9"/>
      <c r="D4880" s="10">
        <v>45677</v>
      </c>
      <c r="E4880" t="s">
        <v>6025</v>
      </c>
      <c r="F4880" s="11" t="s">
        <v>6026</v>
      </c>
      <c r="G4880" s="8">
        <v>14.39</v>
      </c>
      <c r="H4880" s="8">
        <v>0</v>
      </c>
      <c r="I4880" s="8">
        <f t="shared" si="239"/>
        <v>-2074.1400000000012</v>
      </c>
      <c r="J4880" s="12"/>
    </row>
    <row r="4881" spans="3:10" x14ac:dyDescent="0.25">
      <c r="C4881" s="9"/>
      <c r="D4881" s="10">
        <v>45677</v>
      </c>
      <c r="E4881" t="s">
        <v>6025</v>
      </c>
      <c r="F4881" s="11" t="s">
        <v>6026</v>
      </c>
      <c r="G4881" s="8">
        <v>0</v>
      </c>
      <c r="H4881" s="8">
        <v>14.39</v>
      </c>
      <c r="I4881" s="8">
        <f t="shared" si="239"/>
        <v>-2088.5300000000011</v>
      </c>
      <c r="J4881" s="12"/>
    </row>
    <row r="4882" spans="3:10" x14ac:dyDescent="0.25">
      <c r="C4882" s="9"/>
      <c r="D4882" s="10">
        <v>45677</v>
      </c>
      <c r="E4882" t="s">
        <v>6027</v>
      </c>
      <c r="F4882" s="11" t="s">
        <v>6028</v>
      </c>
      <c r="G4882" s="8">
        <v>2.78</v>
      </c>
      <c r="H4882" s="8">
        <v>0</v>
      </c>
      <c r="I4882" s="8">
        <f t="shared" si="239"/>
        <v>-2085.7500000000009</v>
      </c>
      <c r="J4882" s="12"/>
    </row>
    <row r="4883" spans="3:10" x14ac:dyDescent="0.25">
      <c r="C4883" s="9"/>
      <c r="D4883" s="10">
        <v>45677</v>
      </c>
      <c r="E4883" t="s">
        <v>6029</v>
      </c>
      <c r="F4883" s="11" t="s">
        <v>6030</v>
      </c>
      <c r="G4883" s="8">
        <v>26.73</v>
      </c>
      <c r="H4883" s="8">
        <v>0</v>
      </c>
      <c r="I4883" s="8">
        <f t="shared" si="239"/>
        <v>-2059.0200000000009</v>
      </c>
      <c r="J4883" s="12"/>
    </row>
    <row r="4884" spans="3:10" x14ac:dyDescent="0.25">
      <c r="C4884" s="9"/>
      <c r="D4884" s="10">
        <v>45677</v>
      </c>
      <c r="E4884" t="s">
        <v>6031</v>
      </c>
      <c r="F4884" s="11" t="s">
        <v>6032</v>
      </c>
      <c r="G4884" s="8">
        <v>5.46</v>
      </c>
      <c r="H4884" s="8">
        <v>0</v>
      </c>
      <c r="I4884" s="8">
        <f t="shared" si="239"/>
        <v>-2053.5600000000009</v>
      </c>
      <c r="J4884" s="12"/>
    </row>
    <row r="4885" spans="3:10" x14ac:dyDescent="0.25">
      <c r="C4885" s="9"/>
      <c r="D4885" s="10">
        <v>45677</v>
      </c>
      <c r="E4885" t="s">
        <v>6031</v>
      </c>
      <c r="F4885" s="11" t="s">
        <v>6032</v>
      </c>
      <c r="G4885" s="8">
        <v>0</v>
      </c>
      <c r="H4885" s="8">
        <v>5.46</v>
      </c>
      <c r="I4885" s="8">
        <f t="shared" si="239"/>
        <v>-2059.0200000000009</v>
      </c>
      <c r="J4885" s="12"/>
    </row>
    <row r="4886" spans="3:10" x14ac:dyDescent="0.25">
      <c r="C4886" s="9"/>
      <c r="D4886" s="10">
        <v>45677</v>
      </c>
      <c r="E4886" t="s">
        <v>6033</v>
      </c>
      <c r="F4886" s="11" t="s">
        <v>6034</v>
      </c>
      <c r="G4886" s="8">
        <v>26.62</v>
      </c>
      <c r="H4886" s="8">
        <v>0</v>
      </c>
      <c r="I4886" s="8">
        <f t="shared" si="239"/>
        <v>-2032.400000000001</v>
      </c>
      <c r="J4886" s="12"/>
    </row>
    <row r="4887" spans="3:10" x14ac:dyDescent="0.25">
      <c r="C4887" s="9"/>
      <c r="D4887" s="10">
        <v>45677</v>
      </c>
      <c r="E4887" t="s">
        <v>6035</v>
      </c>
      <c r="F4887" s="11" t="s">
        <v>6036</v>
      </c>
      <c r="G4887" s="8">
        <v>159.30000000000001</v>
      </c>
      <c r="H4887" s="8">
        <v>0</v>
      </c>
      <c r="I4887" s="8">
        <f t="shared" si="239"/>
        <v>-1873.100000000001</v>
      </c>
      <c r="J4887" s="12"/>
    </row>
    <row r="4888" spans="3:10" x14ac:dyDescent="0.25">
      <c r="C4888" s="9"/>
      <c r="D4888" s="10">
        <v>45677</v>
      </c>
      <c r="E4888" t="s">
        <v>6037</v>
      </c>
      <c r="F4888" s="11" t="s">
        <v>6038</v>
      </c>
      <c r="G4888" s="8">
        <v>14.25</v>
      </c>
      <c r="H4888" s="8">
        <v>0</v>
      </c>
      <c r="I4888" s="8">
        <f t="shared" si="239"/>
        <v>-1858.850000000001</v>
      </c>
      <c r="J4888" s="12"/>
    </row>
    <row r="4889" spans="3:10" x14ac:dyDescent="0.25">
      <c r="C4889" s="9"/>
      <c r="D4889" s="10">
        <v>45677</v>
      </c>
      <c r="E4889" t="s">
        <v>6039</v>
      </c>
      <c r="F4889" s="11" t="s">
        <v>6040</v>
      </c>
      <c r="G4889" s="8">
        <v>14.81</v>
      </c>
      <c r="H4889" s="8">
        <v>0</v>
      </c>
      <c r="I4889" s="8">
        <f t="shared" si="239"/>
        <v>-1844.0400000000011</v>
      </c>
      <c r="J4889" s="12"/>
    </row>
    <row r="4890" spans="3:10" x14ac:dyDescent="0.25">
      <c r="C4890" s="9"/>
      <c r="D4890" s="10">
        <v>45677</v>
      </c>
      <c r="E4890" t="s">
        <v>6039</v>
      </c>
      <c r="F4890" s="11" t="s">
        <v>6040</v>
      </c>
      <c r="G4890" s="8">
        <v>0</v>
      </c>
      <c r="H4890" s="8">
        <v>14.81</v>
      </c>
      <c r="I4890" s="8">
        <f t="shared" si="239"/>
        <v>-1858.850000000001</v>
      </c>
      <c r="J4890" s="12"/>
    </row>
    <row r="4891" spans="3:10" x14ac:dyDescent="0.25">
      <c r="C4891" s="9"/>
      <c r="D4891" s="10">
        <v>45677</v>
      </c>
      <c r="E4891" t="s">
        <v>6041</v>
      </c>
      <c r="F4891" s="11" t="s">
        <v>6042</v>
      </c>
      <c r="G4891" s="8">
        <v>0.56999999999999995</v>
      </c>
      <c r="H4891" s="8">
        <v>0</v>
      </c>
      <c r="I4891" s="8">
        <f t="shared" si="239"/>
        <v>-1858.2800000000011</v>
      </c>
      <c r="J4891" s="12"/>
    </row>
    <row r="4892" spans="3:10" x14ac:dyDescent="0.25">
      <c r="C4892" s="9"/>
      <c r="D4892" s="10">
        <v>45677</v>
      </c>
      <c r="E4892" t="s">
        <v>6041</v>
      </c>
      <c r="F4892" s="11" t="s">
        <v>6042</v>
      </c>
      <c r="G4892" s="8">
        <v>0</v>
      </c>
      <c r="H4892" s="8">
        <v>0.56999999999999995</v>
      </c>
      <c r="I4892" s="8">
        <f t="shared" ref="I4892:I4955" si="240">G4892-H4892+I4891</f>
        <v>-1858.850000000001</v>
      </c>
      <c r="J4892" s="12"/>
    </row>
    <row r="4893" spans="3:10" x14ac:dyDescent="0.25">
      <c r="C4893" s="9"/>
      <c r="D4893" s="10">
        <v>45677</v>
      </c>
      <c r="E4893" t="s">
        <v>6043</v>
      </c>
      <c r="F4893" s="11" t="s">
        <v>6044</v>
      </c>
      <c r="G4893" s="8">
        <v>7.79</v>
      </c>
      <c r="H4893" s="8">
        <v>0</v>
      </c>
      <c r="I4893" s="8">
        <f t="shared" si="240"/>
        <v>-1851.0600000000011</v>
      </c>
      <c r="J4893" s="12"/>
    </row>
    <row r="4894" spans="3:10" x14ac:dyDescent="0.25">
      <c r="C4894" s="9"/>
      <c r="D4894" s="10">
        <v>45677</v>
      </c>
      <c r="E4894" t="s">
        <v>6045</v>
      </c>
      <c r="F4894" s="11" t="s">
        <v>6046</v>
      </c>
      <c r="G4894" s="8">
        <v>1.57</v>
      </c>
      <c r="H4894" s="8">
        <v>0</v>
      </c>
      <c r="I4894" s="8">
        <f t="shared" si="240"/>
        <v>-1849.4900000000011</v>
      </c>
      <c r="J4894" s="12"/>
    </row>
    <row r="4895" spans="3:10" x14ac:dyDescent="0.25">
      <c r="C4895" s="9"/>
      <c r="D4895" s="10">
        <v>45677</v>
      </c>
      <c r="E4895" t="s">
        <v>6047</v>
      </c>
      <c r="F4895" s="11" t="s">
        <v>6048</v>
      </c>
      <c r="G4895" s="8">
        <v>-6.79</v>
      </c>
      <c r="H4895" s="8">
        <v>0</v>
      </c>
      <c r="I4895" s="8">
        <f t="shared" si="240"/>
        <v>-1856.2800000000011</v>
      </c>
      <c r="J4895" s="12"/>
    </row>
    <row r="4896" spans="3:10" x14ac:dyDescent="0.25">
      <c r="C4896" s="9"/>
      <c r="D4896" s="10">
        <v>45677</v>
      </c>
      <c r="E4896" t="s">
        <v>6047</v>
      </c>
      <c r="F4896" s="11" t="s">
        <v>6048</v>
      </c>
      <c r="G4896" s="8">
        <v>0</v>
      </c>
      <c r="H4896" s="8">
        <v>-6.79</v>
      </c>
      <c r="I4896" s="8">
        <f t="shared" si="240"/>
        <v>-1849.4900000000011</v>
      </c>
      <c r="J4896" s="12"/>
    </row>
    <row r="4897" spans="3:10" x14ac:dyDescent="0.25">
      <c r="C4897" s="9"/>
      <c r="D4897" s="10">
        <v>45677</v>
      </c>
      <c r="E4897" t="s">
        <v>6049</v>
      </c>
      <c r="F4897" s="11" t="s">
        <v>6050</v>
      </c>
      <c r="G4897" s="8">
        <v>58.54</v>
      </c>
      <c r="H4897" s="8">
        <v>0</v>
      </c>
      <c r="I4897" s="8">
        <f t="shared" si="240"/>
        <v>-1790.9500000000012</v>
      </c>
      <c r="J4897" s="12"/>
    </row>
    <row r="4898" spans="3:10" x14ac:dyDescent="0.25">
      <c r="C4898" s="9"/>
      <c r="D4898" s="10">
        <v>45677</v>
      </c>
      <c r="E4898" t="s">
        <v>6051</v>
      </c>
      <c r="F4898" s="11" t="s">
        <v>6052</v>
      </c>
      <c r="G4898" s="8">
        <v>107.84</v>
      </c>
      <c r="H4898" s="8">
        <v>0</v>
      </c>
      <c r="I4898" s="8">
        <f t="shared" si="240"/>
        <v>-1683.1100000000013</v>
      </c>
      <c r="J4898" s="12"/>
    </row>
    <row r="4899" spans="3:10" x14ac:dyDescent="0.25">
      <c r="C4899" s="9"/>
      <c r="D4899" s="10">
        <v>45677</v>
      </c>
      <c r="E4899" t="s">
        <v>6053</v>
      </c>
      <c r="F4899" s="11" t="s">
        <v>6054</v>
      </c>
      <c r="G4899" s="8">
        <v>4.3099999999999996</v>
      </c>
      <c r="H4899" s="8">
        <v>0</v>
      </c>
      <c r="I4899" s="8">
        <f t="shared" si="240"/>
        <v>-1678.8000000000013</v>
      </c>
      <c r="J4899" s="12"/>
    </row>
    <row r="4900" spans="3:10" x14ac:dyDescent="0.25">
      <c r="C4900" s="9"/>
      <c r="D4900" s="10">
        <v>45677</v>
      </c>
      <c r="E4900" t="s">
        <v>6055</v>
      </c>
      <c r="F4900" s="11" t="s">
        <v>6056</v>
      </c>
      <c r="G4900" s="8">
        <v>30.14</v>
      </c>
      <c r="H4900" s="8">
        <v>0</v>
      </c>
      <c r="I4900" s="8">
        <f t="shared" si="240"/>
        <v>-1648.6600000000012</v>
      </c>
      <c r="J4900" s="12"/>
    </row>
    <row r="4901" spans="3:10" x14ac:dyDescent="0.25">
      <c r="C4901" s="9"/>
      <c r="D4901" s="10">
        <v>45677</v>
      </c>
      <c r="E4901" t="s">
        <v>6057</v>
      </c>
      <c r="F4901" s="11" t="s">
        <v>6058</v>
      </c>
      <c r="G4901" s="8">
        <v>65.7</v>
      </c>
      <c r="H4901" s="8">
        <v>0</v>
      </c>
      <c r="I4901" s="8">
        <f t="shared" si="240"/>
        <v>-1582.9600000000012</v>
      </c>
      <c r="J4901" s="12"/>
    </row>
    <row r="4902" spans="3:10" x14ac:dyDescent="0.25">
      <c r="C4902" s="9"/>
      <c r="D4902" s="10">
        <v>45677</v>
      </c>
      <c r="E4902" t="s">
        <v>6059</v>
      </c>
      <c r="F4902" s="11" t="s">
        <v>6060</v>
      </c>
      <c r="G4902" s="8">
        <v>97.34</v>
      </c>
      <c r="H4902" s="8">
        <v>0</v>
      </c>
      <c r="I4902" s="8">
        <f t="shared" si="240"/>
        <v>-1485.6200000000013</v>
      </c>
      <c r="J4902" s="12"/>
    </row>
    <row r="4903" spans="3:10" x14ac:dyDescent="0.25">
      <c r="C4903" s="9"/>
      <c r="D4903" s="10">
        <v>45678</v>
      </c>
      <c r="E4903" t="s">
        <v>6061</v>
      </c>
      <c r="F4903" s="11" t="s">
        <v>6062</v>
      </c>
      <c r="G4903" s="8">
        <v>2.81</v>
      </c>
      <c r="H4903" s="8">
        <v>0</v>
      </c>
      <c r="I4903" s="8">
        <f t="shared" si="240"/>
        <v>-1482.8100000000013</v>
      </c>
      <c r="J4903" s="12"/>
    </row>
    <row r="4904" spans="3:10" x14ac:dyDescent="0.25">
      <c r="C4904" s="9"/>
      <c r="D4904" s="10">
        <v>45678</v>
      </c>
      <c r="E4904" t="s">
        <v>6063</v>
      </c>
      <c r="F4904" s="11" t="s">
        <v>6064</v>
      </c>
      <c r="G4904" s="8">
        <v>69.48</v>
      </c>
      <c r="H4904" s="8">
        <v>0</v>
      </c>
      <c r="I4904" s="8">
        <f t="shared" si="240"/>
        <v>-1413.3300000000013</v>
      </c>
      <c r="J4904" s="12"/>
    </row>
    <row r="4905" spans="3:10" x14ac:dyDescent="0.25">
      <c r="C4905" s="9"/>
      <c r="D4905" s="10">
        <v>45678</v>
      </c>
      <c r="E4905" t="s">
        <v>6065</v>
      </c>
      <c r="F4905" s="11" t="s">
        <v>6066</v>
      </c>
      <c r="G4905" s="8">
        <v>96.78</v>
      </c>
      <c r="H4905" s="8">
        <v>0</v>
      </c>
      <c r="I4905" s="8">
        <f t="shared" si="240"/>
        <v>-1316.5500000000013</v>
      </c>
      <c r="J4905" s="12"/>
    </row>
    <row r="4906" spans="3:10" x14ac:dyDescent="0.25">
      <c r="C4906" s="9"/>
      <c r="D4906" s="10">
        <v>45678</v>
      </c>
      <c r="E4906" t="s">
        <v>6067</v>
      </c>
      <c r="F4906" s="11" t="s">
        <v>6068</v>
      </c>
      <c r="G4906" s="8">
        <v>25.88</v>
      </c>
      <c r="H4906" s="8">
        <v>0</v>
      </c>
      <c r="I4906" s="8">
        <f t="shared" si="240"/>
        <v>-1290.6700000000012</v>
      </c>
      <c r="J4906" s="12"/>
    </row>
    <row r="4907" spans="3:10" x14ac:dyDescent="0.25">
      <c r="C4907" s="9"/>
      <c r="D4907" s="10">
        <v>45678</v>
      </c>
      <c r="E4907" t="s">
        <v>6069</v>
      </c>
      <c r="F4907" s="11" t="s">
        <v>6070</v>
      </c>
      <c r="G4907" s="8">
        <v>24.09</v>
      </c>
      <c r="H4907" s="8">
        <v>0</v>
      </c>
      <c r="I4907" s="8">
        <f t="shared" si="240"/>
        <v>-1266.5800000000013</v>
      </c>
      <c r="J4907" s="12"/>
    </row>
    <row r="4908" spans="3:10" x14ac:dyDescent="0.25">
      <c r="C4908" s="9"/>
      <c r="D4908" s="10">
        <v>45678</v>
      </c>
      <c r="E4908" t="s">
        <v>6071</v>
      </c>
      <c r="F4908" s="11" t="s">
        <v>6072</v>
      </c>
      <c r="G4908" s="8">
        <v>38.56</v>
      </c>
      <c r="H4908" s="8">
        <v>0</v>
      </c>
      <c r="I4908" s="8">
        <f t="shared" si="240"/>
        <v>-1228.0200000000013</v>
      </c>
      <c r="J4908" s="12"/>
    </row>
    <row r="4909" spans="3:10" x14ac:dyDescent="0.25">
      <c r="C4909" s="9"/>
      <c r="D4909" s="10">
        <v>45678</v>
      </c>
      <c r="E4909" t="s">
        <v>6073</v>
      </c>
      <c r="F4909" s="11" t="s">
        <v>6074</v>
      </c>
      <c r="G4909" s="8">
        <v>79.98</v>
      </c>
      <c r="H4909" s="8">
        <v>0</v>
      </c>
      <c r="I4909" s="8">
        <f t="shared" si="240"/>
        <v>-1148.0400000000013</v>
      </c>
      <c r="J4909" s="12"/>
    </row>
    <row r="4910" spans="3:10" x14ac:dyDescent="0.25">
      <c r="C4910" s="9"/>
      <c r="D4910" s="10">
        <v>45678</v>
      </c>
      <c r="E4910" t="s">
        <v>6073</v>
      </c>
      <c r="F4910" s="11" t="s">
        <v>6074</v>
      </c>
      <c r="G4910" s="8">
        <v>0</v>
      </c>
      <c r="H4910" s="8">
        <v>79.98</v>
      </c>
      <c r="I4910" s="8">
        <f t="shared" si="240"/>
        <v>-1228.0200000000013</v>
      </c>
      <c r="J4910" s="12"/>
    </row>
    <row r="4911" spans="3:10" x14ac:dyDescent="0.25">
      <c r="C4911" s="9"/>
      <c r="D4911" s="10">
        <v>45678</v>
      </c>
      <c r="E4911" t="s">
        <v>6075</v>
      </c>
      <c r="F4911" s="11" t="s">
        <v>6076</v>
      </c>
      <c r="G4911" s="8">
        <v>1.23</v>
      </c>
      <c r="H4911" s="8">
        <v>0</v>
      </c>
      <c r="I4911" s="8">
        <f t="shared" si="240"/>
        <v>-1226.7900000000013</v>
      </c>
      <c r="J4911" s="12"/>
    </row>
    <row r="4912" spans="3:10" x14ac:dyDescent="0.25">
      <c r="C4912" s="9"/>
      <c r="D4912" s="10">
        <v>45678</v>
      </c>
      <c r="E4912" t="s">
        <v>6077</v>
      </c>
      <c r="F4912" s="11" t="s">
        <v>6078</v>
      </c>
      <c r="G4912" s="8">
        <v>52.28</v>
      </c>
      <c r="H4912" s="8">
        <v>0</v>
      </c>
      <c r="I4912" s="8">
        <f t="shared" si="240"/>
        <v>-1174.5100000000014</v>
      </c>
      <c r="J4912" s="12"/>
    </row>
    <row r="4913" spans="3:10" x14ac:dyDescent="0.25">
      <c r="C4913" s="9"/>
      <c r="D4913" s="10">
        <v>45678</v>
      </c>
      <c r="E4913" t="s">
        <v>6077</v>
      </c>
      <c r="F4913" s="11" t="s">
        <v>6078</v>
      </c>
      <c r="G4913" s="8">
        <v>0</v>
      </c>
      <c r="H4913" s="8">
        <v>52.28</v>
      </c>
      <c r="I4913" s="8">
        <f t="shared" si="240"/>
        <v>-1226.7900000000013</v>
      </c>
      <c r="J4913" s="12"/>
    </row>
    <row r="4914" spans="3:10" x14ac:dyDescent="0.25">
      <c r="C4914" s="9"/>
      <c r="D4914" s="10">
        <v>45678</v>
      </c>
      <c r="E4914" t="s">
        <v>6079</v>
      </c>
      <c r="F4914" s="11" t="s">
        <v>6080</v>
      </c>
      <c r="G4914" s="8">
        <v>106.46</v>
      </c>
      <c r="H4914" s="8">
        <v>0</v>
      </c>
      <c r="I4914" s="8">
        <f t="shared" si="240"/>
        <v>-1120.3300000000013</v>
      </c>
      <c r="J4914" s="12"/>
    </row>
    <row r="4915" spans="3:10" x14ac:dyDescent="0.25">
      <c r="C4915" s="9"/>
      <c r="D4915" s="10">
        <v>45678</v>
      </c>
      <c r="E4915" t="s">
        <v>6081</v>
      </c>
      <c r="F4915" s="11" t="s">
        <v>6082</v>
      </c>
      <c r="G4915" s="8">
        <v>67.75</v>
      </c>
      <c r="H4915" s="8">
        <v>0</v>
      </c>
      <c r="I4915" s="8">
        <f t="shared" si="240"/>
        <v>-1052.5800000000013</v>
      </c>
      <c r="J4915" s="12"/>
    </row>
    <row r="4916" spans="3:10" x14ac:dyDescent="0.25">
      <c r="C4916" s="9"/>
      <c r="D4916" s="10">
        <v>45678</v>
      </c>
      <c r="E4916" t="s">
        <v>6083</v>
      </c>
      <c r="F4916" s="11" t="s">
        <v>6084</v>
      </c>
      <c r="G4916" s="8">
        <v>33.94</v>
      </c>
      <c r="H4916" s="8">
        <v>0</v>
      </c>
      <c r="I4916" s="8">
        <f t="shared" si="240"/>
        <v>-1018.6400000000012</v>
      </c>
      <c r="J4916" s="12"/>
    </row>
    <row r="4917" spans="3:10" x14ac:dyDescent="0.25">
      <c r="C4917" s="9"/>
      <c r="D4917" s="10">
        <v>45678</v>
      </c>
      <c r="E4917" t="s">
        <v>6085</v>
      </c>
      <c r="F4917" s="11" t="s">
        <v>6086</v>
      </c>
      <c r="G4917" s="8">
        <v>9.1</v>
      </c>
      <c r="H4917" s="8">
        <v>0</v>
      </c>
      <c r="I4917" s="8">
        <f t="shared" si="240"/>
        <v>-1009.5400000000012</v>
      </c>
      <c r="J4917" s="12"/>
    </row>
    <row r="4918" spans="3:10" x14ac:dyDescent="0.25">
      <c r="C4918" s="9"/>
      <c r="D4918" s="10">
        <v>45678</v>
      </c>
      <c r="E4918" t="s">
        <v>6087</v>
      </c>
      <c r="F4918" s="11" t="s">
        <v>42</v>
      </c>
      <c r="G4918" s="8">
        <v>0</v>
      </c>
      <c r="H4918" s="8">
        <v>687.19</v>
      </c>
      <c r="I4918" s="8">
        <f t="shared" si="240"/>
        <v>-1696.7300000000014</v>
      </c>
      <c r="J4918" s="12"/>
    </row>
    <row r="4919" spans="3:10" x14ac:dyDescent="0.25">
      <c r="C4919" s="9"/>
      <c r="D4919" s="10">
        <v>45679</v>
      </c>
      <c r="E4919" t="s">
        <v>6088</v>
      </c>
      <c r="F4919" s="11" t="s">
        <v>6089</v>
      </c>
      <c r="G4919" s="8">
        <v>63.66</v>
      </c>
      <c r="H4919" s="8">
        <v>0</v>
      </c>
      <c r="I4919" s="8">
        <f t="shared" si="240"/>
        <v>-1633.0700000000013</v>
      </c>
      <c r="J4919" s="12"/>
    </row>
    <row r="4920" spans="3:10" x14ac:dyDescent="0.25">
      <c r="C4920" s="9"/>
      <c r="D4920" s="10">
        <v>45679</v>
      </c>
      <c r="E4920" t="s">
        <v>6090</v>
      </c>
      <c r="F4920" s="11" t="s">
        <v>6091</v>
      </c>
      <c r="G4920" s="8">
        <v>51.84</v>
      </c>
      <c r="H4920" s="8">
        <v>0</v>
      </c>
      <c r="I4920" s="8">
        <f t="shared" si="240"/>
        <v>-1581.2300000000014</v>
      </c>
      <c r="J4920" s="12"/>
    </row>
    <row r="4921" spans="3:10" x14ac:dyDescent="0.25">
      <c r="C4921" s="9"/>
      <c r="D4921" s="10">
        <v>45679</v>
      </c>
      <c r="E4921" t="s">
        <v>6092</v>
      </c>
      <c r="F4921" s="11" t="s">
        <v>6093</v>
      </c>
      <c r="G4921" s="8">
        <v>74.849999999999994</v>
      </c>
      <c r="H4921" s="8">
        <v>0</v>
      </c>
      <c r="I4921" s="8">
        <f t="shared" si="240"/>
        <v>-1506.3800000000015</v>
      </c>
      <c r="J4921" s="12"/>
    </row>
    <row r="4922" spans="3:10" x14ac:dyDescent="0.25">
      <c r="C4922" s="9"/>
      <c r="D4922" s="10">
        <v>45679</v>
      </c>
      <c r="E4922" t="s">
        <v>6094</v>
      </c>
      <c r="F4922" s="11" t="s">
        <v>6095</v>
      </c>
      <c r="G4922" s="8">
        <v>4.26</v>
      </c>
      <c r="H4922" s="8">
        <v>0</v>
      </c>
      <c r="I4922" s="8">
        <f t="shared" si="240"/>
        <v>-1502.1200000000015</v>
      </c>
      <c r="J4922" s="12"/>
    </row>
    <row r="4923" spans="3:10" x14ac:dyDescent="0.25">
      <c r="C4923" s="9"/>
      <c r="D4923" s="10">
        <v>45679</v>
      </c>
      <c r="E4923" t="s">
        <v>6096</v>
      </c>
      <c r="F4923" s="11" t="s">
        <v>6097</v>
      </c>
      <c r="G4923" s="8">
        <v>8.4700000000000006</v>
      </c>
      <c r="H4923" s="8">
        <v>0</v>
      </c>
      <c r="I4923" s="8">
        <f t="shared" si="240"/>
        <v>-1493.6500000000015</v>
      </c>
      <c r="J4923" s="12"/>
    </row>
    <row r="4924" spans="3:10" x14ac:dyDescent="0.25">
      <c r="C4924" s="9"/>
      <c r="D4924" s="10">
        <v>45679</v>
      </c>
      <c r="E4924" t="s">
        <v>6098</v>
      </c>
      <c r="F4924" s="11" t="s">
        <v>6099</v>
      </c>
      <c r="G4924" s="8">
        <v>24.56</v>
      </c>
      <c r="H4924" s="8">
        <v>0</v>
      </c>
      <c r="I4924" s="8">
        <f t="shared" si="240"/>
        <v>-1469.0900000000015</v>
      </c>
      <c r="J4924" s="12"/>
    </row>
    <row r="4925" spans="3:10" x14ac:dyDescent="0.25">
      <c r="C4925" s="9"/>
      <c r="D4925" s="10">
        <v>45679</v>
      </c>
      <c r="E4925" t="s">
        <v>6100</v>
      </c>
      <c r="F4925" s="11" t="s">
        <v>6101</v>
      </c>
      <c r="G4925" s="8">
        <v>29.58</v>
      </c>
      <c r="H4925" s="8">
        <v>0</v>
      </c>
      <c r="I4925" s="8">
        <f t="shared" si="240"/>
        <v>-1439.5100000000016</v>
      </c>
      <c r="J4925" s="12"/>
    </row>
    <row r="4926" spans="3:10" x14ac:dyDescent="0.25">
      <c r="C4926" s="9"/>
      <c r="D4926" s="10">
        <v>45679</v>
      </c>
      <c r="E4926" t="s">
        <v>6100</v>
      </c>
      <c r="F4926" s="11" t="s">
        <v>6101</v>
      </c>
      <c r="G4926" s="8">
        <v>0</v>
      </c>
      <c r="H4926" s="8">
        <v>29.58</v>
      </c>
      <c r="I4926" s="8">
        <f t="shared" si="240"/>
        <v>-1469.0900000000015</v>
      </c>
      <c r="J4926" s="12"/>
    </row>
    <row r="4927" spans="3:10" x14ac:dyDescent="0.25">
      <c r="C4927" s="9"/>
      <c r="D4927" s="10">
        <v>45679</v>
      </c>
      <c r="E4927" t="s">
        <v>6102</v>
      </c>
      <c r="F4927" s="11" t="s">
        <v>6103</v>
      </c>
      <c r="G4927" s="8">
        <v>5.87</v>
      </c>
      <c r="H4927" s="8">
        <v>0</v>
      </c>
      <c r="I4927" s="8">
        <f t="shared" si="240"/>
        <v>-1463.2200000000016</v>
      </c>
      <c r="J4927" s="12"/>
    </row>
    <row r="4928" spans="3:10" x14ac:dyDescent="0.25">
      <c r="C4928" s="9"/>
      <c r="D4928" s="10">
        <v>45679</v>
      </c>
      <c r="E4928" t="s">
        <v>6102</v>
      </c>
      <c r="F4928" s="11" t="s">
        <v>6103</v>
      </c>
      <c r="G4928" s="8">
        <v>0</v>
      </c>
      <c r="H4928" s="8">
        <v>5.87</v>
      </c>
      <c r="I4928" s="8">
        <f t="shared" si="240"/>
        <v>-1469.0900000000015</v>
      </c>
      <c r="J4928" s="12"/>
    </row>
    <row r="4929" spans="3:10" x14ac:dyDescent="0.25">
      <c r="C4929" s="9"/>
      <c r="D4929" s="10">
        <v>45679</v>
      </c>
      <c r="E4929" t="s">
        <v>6104</v>
      </c>
      <c r="F4929" s="11" t="s">
        <v>6105</v>
      </c>
      <c r="G4929" s="8">
        <v>1.8</v>
      </c>
      <c r="H4929" s="8">
        <v>0</v>
      </c>
      <c r="I4929" s="8">
        <f t="shared" si="240"/>
        <v>-1467.2900000000016</v>
      </c>
      <c r="J4929" s="12"/>
    </row>
    <row r="4930" spans="3:10" x14ac:dyDescent="0.25">
      <c r="C4930" s="9"/>
      <c r="D4930" s="10">
        <v>45679</v>
      </c>
      <c r="E4930" t="s">
        <v>6104</v>
      </c>
      <c r="F4930" s="11" t="s">
        <v>6105</v>
      </c>
      <c r="G4930" s="8">
        <v>0</v>
      </c>
      <c r="H4930" s="8">
        <v>1.8</v>
      </c>
      <c r="I4930" s="8">
        <f t="shared" si="240"/>
        <v>-1469.0900000000015</v>
      </c>
      <c r="J4930" s="12"/>
    </row>
    <row r="4931" spans="3:10" x14ac:dyDescent="0.25">
      <c r="C4931" s="9"/>
      <c r="D4931" s="10">
        <v>45679</v>
      </c>
      <c r="E4931" t="s">
        <v>6106</v>
      </c>
      <c r="F4931" s="11" t="s">
        <v>6107</v>
      </c>
      <c r="G4931" s="8">
        <v>140.47999999999999</v>
      </c>
      <c r="H4931" s="8">
        <v>0</v>
      </c>
      <c r="I4931" s="8">
        <f t="shared" si="240"/>
        <v>-1328.6100000000015</v>
      </c>
      <c r="J4931" s="12"/>
    </row>
    <row r="4932" spans="3:10" x14ac:dyDescent="0.25">
      <c r="C4932" s="9"/>
      <c r="D4932" s="10">
        <v>45679</v>
      </c>
      <c r="E4932" t="s">
        <v>6108</v>
      </c>
      <c r="F4932" s="11" t="s">
        <v>6109</v>
      </c>
      <c r="G4932" s="8">
        <v>37.700000000000003</v>
      </c>
      <c r="H4932" s="8">
        <v>0</v>
      </c>
      <c r="I4932" s="8">
        <f t="shared" si="240"/>
        <v>-1290.9100000000014</v>
      </c>
      <c r="J4932" s="12"/>
    </row>
    <row r="4933" spans="3:10" x14ac:dyDescent="0.25">
      <c r="C4933" s="9"/>
      <c r="D4933" s="10">
        <v>45679</v>
      </c>
      <c r="E4933" t="s">
        <v>6110</v>
      </c>
      <c r="F4933" s="11" t="s">
        <v>6111</v>
      </c>
      <c r="G4933" s="8">
        <v>91.21</v>
      </c>
      <c r="H4933" s="8">
        <v>0</v>
      </c>
      <c r="I4933" s="8">
        <f t="shared" si="240"/>
        <v>-1199.7000000000014</v>
      </c>
      <c r="J4933" s="12"/>
    </row>
    <row r="4934" spans="3:10" x14ac:dyDescent="0.25">
      <c r="C4934" s="9"/>
      <c r="D4934" s="10">
        <v>45679</v>
      </c>
      <c r="E4934" t="s">
        <v>6112</v>
      </c>
      <c r="F4934" s="11" t="s">
        <v>6113</v>
      </c>
      <c r="G4934" s="8">
        <v>81.819999999999993</v>
      </c>
      <c r="H4934" s="8">
        <v>0</v>
      </c>
      <c r="I4934" s="8">
        <f t="shared" si="240"/>
        <v>-1117.8800000000015</v>
      </c>
      <c r="J4934" s="12"/>
    </row>
    <row r="4935" spans="3:10" x14ac:dyDescent="0.25">
      <c r="C4935" s="9"/>
      <c r="D4935" s="10">
        <v>45679</v>
      </c>
      <c r="E4935" t="s">
        <v>6112</v>
      </c>
      <c r="F4935" s="11" t="s">
        <v>6113</v>
      </c>
      <c r="G4935" s="8">
        <v>0</v>
      </c>
      <c r="H4935" s="8">
        <v>81.819999999999993</v>
      </c>
      <c r="I4935" s="8">
        <f t="shared" si="240"/>
        <v>-1199.7000000000014</v>
      </c>
      <c r="J4935" s="12"/>
    </row>
    <row r="4936" spans="3:10" x14ac:dyDescent="0.25">
      <c r="C4936" s="9"/>
      <c r="D4936" s="10">
        <v>45679</v>
      </c>
      <c r="E4936" t="s">
        <v>6114</v>
      </c>
      <c r="F4936" s="11" t="s">
        <v>6115</v>
      </c>
      <c r="G4936" s="8">
        <v>3.48</v>
      </c>
      <c r="H4936" s="8">
        <v>0</v>
      </c>
      <c r="I4936" s="8">
        <f t="shared" si="240"/>
        <v>-1196.2200000000014</v>
      </c>
      <c r="J4936" s="12"/>
    </row>
    <row r="4937" spans="3:10" x14ac:dyDescent="0.25">
      <c r="C4937" s="9"/>
      <c r="D4937" s="10">
        <v>45679</v>
      </c>
      <c r="E4937" t="s">
        <v>6116</v>
      </c>
      <c r="F4937" s="11" t="s">
        <v>6117</v>
      </c>
      <c r="G4937" s="8">
        <v>62.74</v>
      </c>
      <c r="H4937" s="8">
        <v>0</v>
      </c>
      <c r="I4937" s="8">
        <f t="shared" si="240"/>
        <v>-1133.4800000000014</v>
      </c>
      <c r="J4937" s="12"/>
    </row>
    <row r="4938" spans="3:10" x14ac:dyDescent="0.25">
      <c r="C4938" s="9"/>
      <c r="D4938" s="10">
        <v>45679</v>
      </c>
      <c r="E4938" t="s">
        <v>6118</v>
      </c>
      <c r="F4938" s="11" t="s">
        <v>6119</v>
      </c>
      <c r="G4938" s="8">
        <v>13.56</v>
      </c>
      <c r="H4938" s="8">
        <v>0</v>
      </c>
      <c r="I4938" s="8">
        <f t="shared" si="240"/>
        <v>-1119.9200000000014</v>
      </c>
      <c r="J4938" s="12"/>
    </row>
    <row r="4939" spans="3:10" x14ac:dyDescent="0.25">
      <c r="C4939" s="9"/>
      <c r="D4939" s="10">
        <v>45679</v>
      </c>
      <c r="E4939" t="s">
        <v>6120</v>
      </c>
      <c r="F4939" s="11" t="s">
        <v>6121</v>
      </c>
      <c r="G4939" s="8">
        <v>140.44</v>
      </c>
      <c r="H4939" s="8">
        <v>0</v>
      </c>
      <c r="I4939" s="8">
        <f t="shared" si="240"/>
        <v>-979.48000000000138</v>
      </c>
      <c r="J4939" s="12"/>
    </row>
    <row r="4940" spans="3:10" x14ac:dyDescent="0.25">
      <c r="C4940" s="9"/>
      <c r="D4940" s="10">
        <v>45679</v>
      </c>
      <c r="E4940" t="s">
        <v>6120</v>
      </c>
      <c r="F4940" s="11" t="s">
        <v>6121</v>
      </c>
      <c r="G4940" s="8">
        <v>0</v>
      </c>
      <c r="H4940" s="8">
        <v>140.44</v>
      </c>
      <c r="I4940" s="8">
        <f t="shared" si="240"/>
        <v>-1119.9200000000014</v>
      </c>
      <c r="J4940" s="12"/>
    </row>
    <row r="4941" spans="3:10" x14ac:dyDescent="0.25">
      <c r="C4941" s="9"/>
      <c r="D4941" s="10">
        <v>45679</v>
      </c>
      <c r="E4941" t="s">
        <v>6122</v>
      </c>
      <c r="F4941" s="11" t="s">
        <v>6123</v>
      </c>
      <c r="G4941" s="8">
        <v>3.99</v>
      </c>
      <c r="H4941" s="8">
        <v>0</v>
      </c>
      <c r="I4941" s="8">
        <f t="shared" si="240"/>
        <v>-1115.9300000000014</v>
      </c>
      <c r="J4941" s="12"/>
    </row>
    <row r="4942" spans="3:10" x14ac:dyDescent="0.25">
      <c r="C4942" s="9"/>
      <c r="D4942" s="10">
        <v>45679</v>
      </c>
      <c r="E4942" t="s">
        <v>6124</v>
      </c>
      <c r="F4942" s="11" t="s">
        <v>6125</v>
      </c>
      <c r="G4942" s="8">
        <v>42.92</v>
      </c>
      <c r="H4942" s="8">
        <v>0</v>
      </c>
      <c r="I4942" s="8">
        <f t="shared" si="240"/>
        <v>-1073.0100000000014</v>
      </c>
      <c r="J4942" s="12"/>
    </row>
    <row r="4943" spans="3:10" x14ac:dyDescent="0.25">
      <c r="C4943" s="9"/>
      <c r="D4943" s="10">
        <v>45679</v>
      </c>
      <c r="E4943" t="s">
        <v>6126</v>
      </c>
      <c r="F4943" s="11" t="s">
        <v>42</v>
      </c>
      <c r="G4943" s="8">
        <v>0</v>
      </c>
      <c r="H4943" s="8">
        <v>476.08</v>
      </c>
      <c r="I4943" s="8">
        <f t="shared" si="240"/>
        <v>-1549.0900000000013</v>
      </c>
      <c r="J4943" s="12"/>
    </row>
    <row r="4944" spans="3:10" x14ac:dyDescent="0.25">
      <c r="C4944" s="9"/>
      <c r="D4944" s="10">
        <v>45680</v>
      </c>
      <c r="E4944" t="s">
        <v>6127</v>
      </c>
      <c r="F4944" s="11" t="s">
        <v>6128</v>
      </c>
      <c r="G4944" s="8">
        <v>23.15</v>
      </c>
      <c r="H4944" s="8">
        <v>0</v>
      </c>
      <c r="I4944" s="8">
        <f t="shared" si="240"/>
        <v>-1525.9400000000012</v>
      </c>
      <c r="J4944" s="12"/>
    </row>
    <row r="4945" spans="3:10" x14ac:dyDescent="0.25">
      <c r="C4945" s="9"/>
      <c r="D4945" s="10">
        <v>45680</v>
      </c>
      <c r="E4945" t="s">
        <v>6127</v>
      </c>
      <c r="F4945" s="11" t="s">
        <v>6128</v>
      </c>
      <c r="G4945" s="8">
        <v>0</v>
      </c>
      <c r="H4945" s="8">
        <v>23.15</v>
      </c>
      <c r="I4945" s="8">
        <f t="shared" si="240"/>
        <v>-1549.0900000000013</v>
      </c>
      <c r="J4945" s="12"/>
    </row>
    <row r="4946" spans="3:10" x14ac:dyDescent="0.25">
      <c r="C4946" s="9"/>
      <c r="D4946" s="10">
        <v>45680</v>
      </c>
      <c r="E4946" t="s">
        <v>6129</v>
      </c>
      <c r="F4946" s="11" t="s">
        <v>6130</v>
      </c>
      <c r="G4946" s="8">
        <v>15.35</v>
      </c>
      <c r="H4946" s="8">
        <v>0</v>
      </c>
      <c r="I4946" s="8">
        <f t="shared" si="240"/>
        <v>-1533.7400000000014</v>
      </c>
      <c r="J4946" s="12"/>
    </row>
    <row r="4947" spans="3:10" x14ac:dyDescent="0.25">
      <c r="C4947" s="9"/>
      <c r="D4947" s="10">
        <v>45680</v>
      </c>
      <c r="E4947" t="s">
        <v>6131</v>
      </c>
      <c r="F4947" s="11" t="s">
        <v>6132</v>
      </c>
      <c r="G4947" s="8">
        <v>43.6</v>
      </c>
      <c r="H4947" s="8">
        <v>0</v>
      </c>
      <c r="I4947" s="8">
        <f t="shared" si="240"/>
        <v>-1490.1400000000015</v>
      </c>
      <c r="J4947" s="12"/>
    </row>
    <row r="4948" spans="3:10" x14ac:dyDescent="0.25">
      <c r="C4948" s="9"/>
      <c r="D4948" s="10">
        <v>45680</v>
      </c>
      <c r="E4948" t="s">
        <v>6133</v>
      </c>
      <c r="F4948" s="11" t="s">
        <v>6134</v>
      </c>
      <c r="G4948" s="8">
        <v>10.66</v>
      </c>
      <c r="H4948" s="8">
        <v>0</v>
      </c>
      <c r="I4948" s="8">
        <f t="shared" si="240"/>
        <v>-1479.4800000000014</v>
      </c>
      <c r="J4948" s="12"/>
    </row>
    <row r="4949" spans="3:10" x14ac:dyDescent="0.25">
      <c r="C4949" s="9"/>
      <c r="D4949" s="10">
        <v>45680</v>
      </c>
      <c r="E4949" t="s">
        <v>6133</v>
      </c>
      <c r="F4949" s="11" t="s">
        <v>6134</v>
      </c>
      <c r="G4949" s="8">
        <v>0</v>
      </c>
      <c r="H4949" s="8">
        <v>10.66</v>
      </c>
      <c r="I4949" s="8">
        <f t="shared" si="240"/>
        <v>-1490.1400000000015</v>
      </c>
      <c r="J4949" s="12"/>
    </row>
    <row r="4950" spans="3:10" x14ac:dyDescent="0.25">
      <c r="C4950" s="9"/>
      <c r="D4950" s="10">
        <v>45680</v>
      </c>
      <c r="E4950" t="s">
        <v>6135</v>
      </c>
      <c r="F4950" s="11" t="s">
        <v>6136</v>
      </c>
      <c r="G4950" s="8">
        <v>21.42</v>
      </c>
      <c r="H4950" s="8">
        <v>0</v>
      </c>
      <c r="I4950" s="8">
        <f t="shared" si="240"/>
        <v>-1468.7200000000014</v>
      </c>
      <c r="J4950" s="12"/>
    </row>
    <row r="4951" spans="3:10" x14ac:dyDescent="0.25">
      <c r="C4951" s="9"/>
      <c r="D4951" s="10">
        <v>45680</v>
      </c>
      <c r="E4951" t="s">
        <v>6137</v>
      </c>
      <c r="F4951" s="11" t="s">
        <v>6138</v>
      </c>
      <c r="G4951" s="8">
        <v>22.39</v>
      </c>
      <c r="H4951" s="8">
        <v>0</v>
      </c>
      <c r="I4951" s="8">
        <f t="shared" si="240"/>
        <v>-1446.3300000000013</v>
      </c>
      <c r="J4951" s="12"/>
    </row>
    <row r="4952" spans="3:10" x14ac:dyDescent="0.25">
      <c r="C4952" s="9"/>
      <c r="D4952" s="10">
        <v>45680</v>
      </c>
      <c r="E4952" t="s">
        <v>6139</v>
      </c>
      <c r="F4952" s="11" t="s">
        <v>6140</v>
      </c>
      <c r="G4952" s="8">
        <v>6.43</v>
      </c>
      <c r="H4952" s="8">
        <v>0</v>
      </c>
      <c r="I4952" s="8">
        <f t="shared" si="240"/>
        <v>-1439.9000000000012</v>
      </c>
      <c r="J4952" s="12"/>
    </row>
    <row r="4953" spans="3:10" x14ac:dyDescent="0.25">
      <c r="C4953" s="9"/>
      <c r="D4953" s="10">
        <v>45680</v>
      </c>
      <c r="E4953" t="s">
        <v>6141</v>
      </c>
      <c r="F4953" s="11" t="s">
        <v>6142</v>
      </c>
      <c r="G4953" s="8">
        <v>24.04</v>
      </c>
      <c r="H4953" s="8">
        <v>0</v>
      </c>
      <c r="I4953" s="8">
        <f t="shared" si="240"/>
        <v>-1415.8600000000013</v>
      </c>
      <c r="J4953" s="12"/>
    </row>
    <row r="4954" spans="3:10" x14ac:dyDescent="0.25">
      <c r="C4954" s="9"/>
      <c r="D4954" s="10">
        <v>45680</v>
      </c>
      <c r="E4954" t="s">
        <v>6143</v>
      </c>
      <c r="F4954" s="11" t="s">
        <v>6144</v>
      </c>
      <c r="G4954" s="8">
        <v>11.13</v>
      </c>
      <c r="H4954" s="8">
        <v>0</v>
      </c>
      <c r="I4954" s="8">
        <f t="shared" si="240"/>
        <v>-1404.7300000000012</v>
      </c>
      <c r="J4954" s="12"/>
    </row>
    <row r="4955" spans="3:10" x14ac:dyDescent="0.25">
      <c r="C4955" s="9"/>
      <c r="D4955" s="10">
        <v>45680</v>
      </c>
      <c r="E4955" t="s">
        <v>6145</v>
      </c>
      <c r="F4955" s="11" t="s">
        <v>6146</v>
      </c>
      <c r="G4955" s="8">
        <v>6.4</v>
      </c>
      <c r="H4955" s="8">
        <v>0</v>
      </c>
      <c r="I4955" s="8">
        <f t="shared" si="240"/>
        <v>-1398.3300000000011</v>
      </c>
      <c r="J4955" s="12"/>
    </row>
    <row r="4956" spans="3:10" x14ac:dyDescent="0.25">
      <c r="C4956" s="9"/>
      <c r="D4956" s="10">
        <v>45680</v>
      </c>
      <c r="E4956" t="s">
        <v>6147</v>
      </c>
      <c r="F4956" s="11" t="s">
        <v>6148</v>
      </c>
      <c r="G4956" s="8">
        <v>52.68</v>
      </c>
      <c r="H4956" s="8">
        <v>0</v>
      </c>
      <c r="I4956" s="8">
        <f t="shared" ref="I4956:I5019" si="241">G4956-H4956+I4955</f>
        <v>-1345.650000000001</v>
      </c>
      <c r="J4956" s="12"/>
    </row>
    <row r="4957" spans="3:10" x14ac:dyDescent="0.25">
      <c r="C4957" s="9"/>
      <c r="D4957" s="10">
        <v>45680</v>
      </c>
      <c r="E4957" t="s">
        <v>6147</v>
      </c>
      <c r="F4957" s="11" t="s">
        <v>6148</v>
      </c>
      <c r="G4957" s="8">
        <v>0</v>
      </c>
      <c r="H4957" s="8">
        <v>52.68</v>
      </c>
      <c r="I4957" s="8">
        <f t="shared" si="241"/>
        <v>-1398.3300000000011</v>
      </c>
      <c r="J4957" s="12"/>
    </row>
    <row r="4958" spans="3:10" x14ac:dyDescent="0.25">
      <c r="C4958" s="9"/>
      <c r="D4958" s="10">
        <v>45680</v>
      </c>
      <c r="E4958" t="s">
        <v>6149</v>
      </c>
      <c r="F4958" s="11" t="s">
        <v>6150</v>
      </c>
      <c r="G4958" s="8">
        <v>21.09</v>
      </c>
      <c r="H4958" s="8">
        <v>0</v>
      </c>
      <c r="I4958" s="8">
        <f t="shared" si="241"/>
        <v>-1377.2400000000011</v>
      </c>
      <c r="J4958" s="12"/>
    </row>
    <row r="4959" spans="3:10" x14ac:dyDescent="0.25">
      <c r="C4959" s="9"/>
      <c r="D4959" s="10">
        <v>45680</v>
      </c>
      <c r="E4959" t="s">
        <v>6151</v>
      </c>
      <c r="F4959" s="11" t="s">
        <v>6152</v>
      </c>
      <c r="G4959" s="8">
        <v>23.61</v>
      </c>
      <c r="H4959" s="8">
        <v>0</v>
      </c>
      <c r="I4959" s="8">
        <f t="shared" si="241"/>
        <v>-1353.6300000000012</v>
      </c>
      <c r="J4959" s="12"/>
    </row>
    <row r="4960" spans="3:10" x14ac:dyDescent="0.25">
      <c r="C4960" s="9"/>
      <c r="D4960" s="10">
        <v>45680</v>
      </c>
      <c r="E4960" t="s">
        <v>6153</v>
      </c>
      <c r="F4960" s="11" t="s">
        <v>6154</v>
      </c>
      <c r="G4960" s="8">
        <v>2.59</v>
      </c>
      <c r="H4960" s="8">
        <v>0</v>
      </c>
      <c r="I4960" s="8">
        <f t="shared" si="241"/>
        <v>-1351.0400000000013</v>
      </c>
      <c r="J4960" s="12"/>
    </row>
    <row r="4961" spans="3:10" x14ac:dyDescent="0.25">
      <c r="C4961" s="9"/>
      <c r="D4961" s="10">
        <v>45680</v>
      </c>
      <c r="E4961" t="s">
        <v>6155</v>
      </c>
      <c r="F4961" s="11" t="s">
        <v>6156</v>
      </c>
      <c r="G4961" s="8">
        <v>15.1</v>
      </c>
      <c r="H4961" s="8">
        <v>0</v>
      </c>
      <c r="I4961" s="8">
        <f t="shared" si="241"/>
        <v>-1335.9400000000014</v>
      </c>
      <c r="J4961" s="12"/>
    </row>
    <row r="4962" spans="3:10" x14ac:dyDescent="0.25">
      <c r="C4962" s="9"/>
      <c r="D4962" s="10">
        <v>45680</v>
      </c>
      <c r="E4962" t="s">
        <v>6157</v>
      </c>
      <c r="F4962" s="11" t="s">
        <v>6158</v>
      </c>
      <c r="G4962" s="8">
        <v>74.150000000000006</v>
      </c>
      <c r="H4962" s="8">
        <v>0</v>
      </c>
      <c r="I4962" s="8">
        <f t="shared" si="241"/>
        <v>-1261.7900000000013</v>
      </c>
      <c r="J4962" s="12"/>
    </row>
    <row r="4963" spans="3:10" x14ac:dyDescent="0.25">
      <c r="C4963" s="9"/>
      <c r="D4963" s="10">
        <v>45680</v>
      </c>
      <c r="E4963" t="s">
        <v>6159</v>
      </c>
      <c r="F4963" s="11" t="s">
        <v>6160</v>
      </c>
      <c r="G4963" s="8">
        <v>6.66</v>
      </c>
      <c r="H4963" s="8">
        <v>0</v>
      </c>
      <c r="I4963" s="8">
        <f t="shared" si="241"/>
        <v>-1255.1300000000012</v>
      </c>
      <c r="J4963" s="12"/>
    </row>
    <row r="4964" spans="3:10" x14ac:dyDescent="0.25">
      <c r="C4964" s="9"/>
      <c r="D4964" s="10">
        <v>45680</v>
      </c>
      <c r="E4964" t="s">
        <v>6161</v>
      </c>
      <c r="F4964" s="11" t="s">
        <v>6162</v>
      </c>
      <c r="G4964" s="8">
        <v>-98.74</v>
      </c>
      <c r="H4964" s="8">
        <v>0</v>
      </c>
      <c r="I4964" s="8">
        <f t="shared" si="241"/>
        <v>-1353.8700000000013</v>
      </c>
      <c r="J4964" s="12"/>
    </row>
    <row r="4965" spans="3:10" x14ac:dyDescent="0.25">
      <c r="C4965" s="9"/>
      <c r="D4965" s="10">
        <v>45680</v>
      </c>
      <c r="E4965" t="s">
        <v>6161</v>
      </c>
      <c r="F4965" s="11" t="s">
        <v>6162</v>
      </c>
      <c r="G4965" s="8">
        <v>0</v>
      </c>
      <c r="H4965" s="8">
        <v>-98.74</v>
      </c>
      <c r="I4965" s="8">
        <f t="shared" si="241"/>
        <v>-1255.1300000000012</v>
      </c>
      <c r="J4965" s="12"/>
    </row>
    <row r="4966" spans="3:10" x14ac:dyDescent="0.25">
      <c r="C4966" s="9"/>
      <c r="D4966" s="10">
        <v>45680</v>
      </c>
      <c r="E4966" t="s">
        <v>6163</v>
      </c>
      <c r="F4966" s="11" t="s">
        <v>6164</v>
      </c>
      <c r="G4966" s="8">
        <v>24.2</v>
      </c>
      <c r="H4966" s="8">
        <v>0</v>
      </c>
      <c r="I4966" s="8">
        <f t="shared" si="241"/>
        <v>-1230.9300000000012</v>
      </c>
      <c r="J4966" s="12"/>
    </row>
    <row r="4967" spans="3:10" x14ac:dyDescent="0.25">
      <c r="C4967" s="9"/>
      <c r="D4967" s="10">
        <v>45680</v>
      </c>
      <c r="E4967" t="s">
        <v>6165</v>
      </c>
      <c r="F4967" s="11" t="s">
        <v>6166</v>
      </c>
      <c r="G4967" s="8">
        <v>19.8</v>
      </c>
      <c r="H4967" s="8">
        <v>0</v>
      </c>
      <c r="I4967" s="8">
        <f t="shared" si="241"/>
        <v>-1211.1300000000012</v>
      </c>
      <c r="J4967" s="12"/>
    </row>
    <row r="4968" spans="3:10" x14ac:dyDescent="0.25">
      <c r="C4968" s="9"/>
      <c r="D4968" s="10">
        <v>45680</v>
      </c>
      <c r="E4968" t="s">
        <v>6165</v>
      </c>
      <c r="F4968" s="11" t="s">
        <v>6166</v>
      </c>
      <c r="G4968" s="8">
        <v>0</v>
      </c>
      <c r="H4968" s="8">
        <v>19.8</v>
      </c>
      <c r="I4968" s="8">
        <f t="shared" si="241"/>
        <v>-1230.9300000000012</v>
      </c>
      <c r="J4968" s="12"/>
    </row>
    <row r="4969" spans="3:10" x14ac:dyDescent="0.25">
      <c r="C4969" s="9"/>
      <c r="D4969" s="10">
        <v>45680</v>
      </c>
      <c r="E4969" t="s">
        <v>6167</v>
      </c>
      <c r="F4969" s="11" t="s">
        <v>6168</v>
      </c>
      <c r="G4969" s="8">
        <v>80.959999999999994</v>
      </c>
      <c r="H4969" s="8">
        <v>0</v>
      </c>
      <c r="I4969" s="8">
        <f t="shared" si="241"/>
        <v>-1149.9700000000012</v>
      </c>
      <c r="J4969" s="12"/>
    </row>
    <row r="4970" spans="3:10" x14ac:dyDescent="0.25">
      <c r="C4970" s="9"/>
      <c r="D4970" s="10">
        <v>45680</v>
      </c>
      <c r="E4970" t="s">
        <v>6169</v>
      </c>
      <c r="F4970" s="11" t="s">
        <v>6170</v>
      </c>
      <c r="G4970" s="8">
        <v>10.3</v>
      </c>
      <c r="H4970" s="8">
        <v>0</v>
      </c>
      <c r="I4970" s="8">
        <f t="shared" si="241"/>
        <v>-1139.6700000000012</v>
      </c>
      <c r="J4970" s="12"/>
    </row>
    <row r="4971" spans="3:10" x14ac:dyDescent="0.25">
      <c r="C4971" s="9"/>
      <c r="D4971" s="10">
        <v>45680</v>
      </c>
      <c r="E4971" t="s">
        <v>6171</v>
      </c>
      <c r="F4971" s="11" t="s">
        <v>42</v>
      </c>
      <c r="G4971" s="8">
        <v>0</v>
      </c>
      <c r="H4971" s="8">
        <v>623.72</v>
      </c>
      <c r="I4971" s="8">
        <f t="shared" si="241"/>
        <v>-1763.3900000000012</v>
      </c>
      <c r="J4971" s="12"/>
    </row>
    <row r="4972" spans="3:10" x14ac:dyDescent="0.25">
      <c r="C4972" s="9"/>
      <c r="D4972" s="10">
        <v>45681</v>
      </c>
      <c r="E4972" t="s">
        <v>6172</v>
      </c>
      <c r="F4972" s="11" t="s">
        <v>6173</v>
      </c>
      <c r="G4972" s="8">
        <v>21.37</v>
      </c>
      <c r="H4972" s="8">
        <v>0</v>
      </c>
      <c r="I4972" s="8">
        <f t="shared" si="241"/>
        <v>-1742.0200000000013</v>
      </c>
      <c r="J4972" s="12"/>
    </row>
    <row r="4973" spans="3:10" x14ac:dyDescent="0.25">
      <c r="C4973" s="9"/>
      <c r="D4973" s="10">
        <v>45681</v>
      </c>
      <c r="E4973" t="s">
        <v>6174</v>
      </c>
      <c r="F4973" s="11" t="s">
        <v>6175</v>
      </c>
      <c r="G4973" s="8">
        <v>85.7</v>
      </c>
      <c r="H4973" s="8">
        <v>0</v>
      </c>
      <c r="I4973" s="8">
        <f t="shared" si="241"/>
        <v>-1656.3200000000013</v>
      </c>
      <c r="J4973" s="12"/>
    </row>
    <row r="4974" spans="3:10" x14ac:dyDescent="0.25">
      <c r="C4974" s="9"/>
      <c r="D4974" s="10">
        <v>45681</v>
      </c>
      <c r="E4974" t="s">
        <v>6176</v>
      </c>
      <c r="F4974" s="11" t="s">
        <v>6177</v>
      </c>
      <c r="G4974" s="8">
        <v>14.87</v>
      </c>
      <c r="H4974" s="8">
        <v>0</v>
      </c>
      <c r="I4974" s="8">
        <f t="shared" si="241"/>
        <v>-1641.4500000000014</v>
      </c>
      <c r="J4974" s="12"/>
    </row>
    <row r="4975" spans="3:10" x14ac:dyDescent="0.25">
      <c r="C4975" s="9"/>
      <c r="D4975" s="10">
        <v>45681</v>
      </c>
      <c r="E4975" t="s">
        <v>6178</v>
      </c>
      <c r="F4975" s="11" t="s">
        <v>6179</v>
      </c>
      <c r="G4975" s="8">
        <v>11.79</v>
      </c>
      <c r="H4975" s="8">
        <v>0</v>
      </c>
      <c r="I4975" s="8">
        <f t="shared" si="241"/>
        <v>-1629.6600000000014</v>
      </c>
      <c r="J4975" s="12"/>
    </row>
    <row r="4976" spans="3:10" x14ac:dyDescent="0.25">
      <c r="C4976" s="9"/>
      <c r="D4976" s="10">
        <v>45681</v>
      </c>
      <c r="E4976" t="s">
        <v>6180</v>
      </c>
      <c r="F4976" s="11" t="s">
        <v>6181</v>
      </c>
      <c r="G4976" s="8">
        <v>65.52</v>
      </c>
      <c r="H4976" s="8">
        <v>0</v>
      </c>
      <c r="I4976" s="8">
        <f t="shared" si="241"/>
        <v>-1564.1400000000015</v>
      </c>
      <c r="J4976" s="12"/>
    </row>
    <row r="4977" spans="3:10" x14ac:dyDescent="0.25">
      <c r="C4977" s="9"/>
      <c r="D4977" s="10">
        <v>45681</v>
      </c>
      <c r="E4977" t="s">
        <v>6182</v>
      </c>
      <c r="F4977" s="11" t="s">
        <v>6183</v>
      </c>
      <c r="G4977" s="8">
        <v>87.8</v>
      </c>
      <c r="H4977" s="8">
        <v>0</v>
      </c>
      <c r="I4977" s="8">
        <f t="shared" si="241"/>
        <v>-1476.3400000000015</v>
      </c>
      <c r="J4977" s="12"/>
    </row>
    <row r="4978" spans="3:10" x14ac:dyDescent="0.25">
      <c r="C4978" s="9"/>
      <c r="D4978" s="10">
        <v>45681</v>
      </c>
      <c r="E4978" t="s">
        <v>6184</v>
      </c>
      <c r="F4978" s="11" t="s">
        <v>6185</v>
      </c>
      <c r="G4978" s="8">
        <v>12.97</v>
      </c>
      <c r="H4978" s="8">
        <v>0</v>
      </c>
      <c r="I4978" s="8">
        <f t="shared" si="241"/>
        <v>-1463.3700000000015</v>
      </c>
      <c r="J4978" s="12"/>
    </row>
    <row r="4979" spans="3:10" x14ac:dyDescent="0.25">
      <c r="C4979" s="9"/>
      <c r="D4979" s="10">
        <v>45681</v>
      </c>
      <c r="E4979" t="s">
        <v>6186</v>
      </c>
      <c r="F4979" s="11" t="s">
        <v>6187</v>
      </c>
      <c r="G4979" s="8">
        <v>5.64</v>
      </c>
      <c r="H4979" s="8">
        <v>0</v>
      </c>
      <c r="I4979" s="8">
        <f t="shared" si="241"/>
        <v>-1457.7300000000014</v>
      </c>
      <c r="J4979" s="12"/>
    </row>
    <row r="4980" spans="3:10" x14ac:dyDescent="0.25">
      <c r="C4980" s="9"/>
      <c r="D4980" s="10">
        <v>45681</v>
      </c>
      <c r="E4980" t="s">
        <v>6188</v>
      </c>
      <c r="F4980" s="11" t="s">
        <v>6189</v>
      </c>
      <c r="G4980" s="8">
        <v>144.33000000000001</v>
      </c>
      <c r="H4980" s="8">
        <v>0</v>
      </c>
      <c r="I4980" s="8">
        <f t="shared" si="241"/>
        <v>-1313.4000000000015</v>
      </c>
      <c r="J4980" s="12"/>
    </row>
    <row r="4981" spans="3:10" x14ac:dyDescent="0.25">
      <c r="C4981" s="9"/>
      <c r="D4981" s="10">
        <v>45681</v>
      </c>
      <c r="E4981" t="s">
        <v>6190</v>
      </c>
      <c r="F4981" s="11" t="s">
        <v>6191</v>
      </c>
      <c r="G4981" s="8">
        <v>14.77</v>
      </c>
      <c r="H4981" s="8">
        <v>0</v>
      </c>
      <c r="I4981" s="8">
        <f t="shared" si="241"/>
        <v>-1298.6300000000015</v>
      </c>
      <c r="J4981" s="12"/>
    </row>
    <row r="4982" spans="3:10" x14ac:dyDescent="0.25">
      <c r="C4982" s="9"/>
      <c r="D4982" s="10">
        <v>45681</v>
      </c>
      <c r="E4982" t="s">
        <v>6192</v>
      </c>
      <c r="F4982" s="11" t="s">
        <v>6193</v>
      </c>
      <c r="G4982" s="8">
        <v>34.61</v>
      </c>
      <c r="H4982" s="8">
        <v>0</v>
      </c>
      <c r="I4982" s="8">
        <f t="shared" si="241"/>
        <v>-1264.0200000000016</v>
      </c>
      <c r="J4982" s="12"/>
    </row>
    <row r="4983" spans="3:10" x14ac:dyDescent="0.25">
      <c r="C4983" s="9"/>
      <c r="D4983" s="10">
        <v>45681</v>
      </c>
      <c r="E4983" t="s">
        <v>6192</v>
      </c>
      <c r="F4983" s="11" t="s">
        <v>6193</v>
      </c>
      <c r="G4983" s="8">
        <v>0</v>
      </c>
      <c r="H4983" s="8">
        <v>34.61</v>
      </c>
      <c r="I4983" s="8">
        <f t="shared" si="241"/>
        <v>-1298.6300000000015</v>
      </c>
      <c r="J4983" s="12"/>
    </row>
    <row r="4984" spans="3:10" x14ac:dyDescent="0.25">
      <c r="C4984" s="9"/>
      <c r="D4984" s="10">
        <v>45681</v>
      </c>
      <c r="E4984" t="s">
        <v>6194</v>
      </c>
      <c r="F4984" s="11" t="s">
        <v>6195</v>
      </c>
      <c r="G4984" s="8">
        <v>14.41</v>
      </c>
      <c r="H4984" s="8">
        <v>0</v>
      </c>
      <c r="I4984" s="8">
        <f t="shared" si="241"/>
        <v>-1284.2200000000014</v>
      </c>
      <c r="J4984" s="12"/>
    </row>
    <row r="4985" spans="3:10" x14ac:dyDescent="0.25">
      <c r="C4985" s="9"/>
      <c r="D4985" s="10">
        <v>45681</v>
      </c>
      <c r="E4985" t="s">
        <v>6196</v>
      </c>
      <c r="F4985" s="11" t="s">
        <v>6197</v>
      </c>
      <c r="G4985" s="8">
        <v>51.43</v>
      </c>
      <c r="H4985" s="8">
        <v>0</v>
      </c>
      <c r="I4985" s="8">
        <f t="shared" si="241"/>
        <v>-1232.7900000000013</v>
      </c>
      <c r="J4985" s="12"/>
    </row>
    <row r="4986" spans="3:10" x14ac:dyDescent="0.25">
      <c r="C4986" s="9"/>
      <c r="D4986" s="10">
        <v>45681</v>
      </c>
      <c r="E4986" t="s">
        <v>6198</v>
      </c>
      <c r="F4986" s="11" t="s">
        <v>6199</v>
      </c>
      <c r="G4986" s="8">
        <v>27.55</v>
      </c>
      <c r="H4986" s="8">
        <v>0</v>
      </c>
      <c r="I4986" s="8">
        <f t="shared" si="241"/>
        <v>-1205.2400000000014</v>
      </c>
      <c r="J4986" s="12"/>
    </row>
    <row r="4987" spans="3:10" x14ac:dyDescent="0.25">
      <c r="C4987" s="9"/>
      <c r="D4987" s="10">
        <v>45681</v>
      </c>
      <c r="E4987" t="s">
        <v>6200</v>
      </c>
      <c r="F4987" s="11" t="s">
        <v>6201</v>
      </c>
      <c r="G4987" s="8">
        <v>145.19999999999999</v>
      </c>
      <c r="H4987" s="8">
        <v>0</v>
      </c>
      <c r="I4987" s="8">
        <f t="shared" si="241"/>
        <v>-1060.0400000000013</v>
      </c>
      <c r="J4987" s="12"/>
    </row>
    <row r="4988" spans="3:10" x14ac:dyDescent="0.25">
      <c r="C4988" s="9"/>
      <c r="D4988" s="10">
        <v>45681</v>
      </c>
      <c r="E4988" t="s">
        <v>6202</v>
      </c>
      <c r="F4988" s="11" t="s">
        <v>6203</v>
      </c>
      <c r="G4988" s="8">
        <v>3.75</v>
      </c>
      <c r="H4988" s="8">
        <v>0</v>
      </c>
      <c r="I4988" s="8">
        <f t="shared" si="241"/>
        <v>-1056.2900000000013</v>
      </c>
      <c r="J4988" s="12"/>
    </row>
    <row r="4989" spans="3:10" x14ac:dyDescent="0.25">
      <c r="C4989" s="9"/>
      <c r="D4989" s="10">
        <v>45681</v>
      </c>
      <c r="E4989" t="s">
        <v>6204</v>
      </c>
      <c r="F4989" s="11" t="s">
        <v>6205</v>
      </c>
      <c r="G4989" s="8">
        <v>63.11</v>
      </c>
      <c r="H4989" s="8">
        <v>0</v>
      </c>
      <c r="I4989" s="8">
        <f t="shared" si="241"/>
        <v>-993.18000000000131</v>
      </c>
      <c r="J4989" s="12"/>
    </row>
    <row r="4990" spans="3:10" x14ac:dyDescent="0.25">
      <c r="C4990" s="9"/>
      <c r="D4990" s="10">
        <v>45681</v>
      </c>
      <c r="E4990" t="s">
        <v>6206</v>
      </c>
      <c r="F4990" s="11" t="s">
        <v>6207</v>
      </c>
      <c r="G4990" s="8">
        <v>15.22</v>
      </c>
      <c r="H4990" s="8">
        <v>0</v>
      </c>
      <c r="I4990" s="8">
        <f t="shared" si="241"/>
        <v>-977.96000000000129</v>
      </c>
      <c r="J4990" s="12"/>
    </row>
    <row r="4991" spans="3:10" x14ac:dyDescent="0.25">
      <c r="C4991" s="9"/>
      <c r="D4991" s="10">
        <v>45681</v>
      </c>
      <c r="E4991" t="s">
        <v>6208</v>
      </c>
      <c r="F4991" s="11" t="s">
        <v>6209</v>
      </c>
      <c r="G4991" s="8">
        <v>16.75</v>
      </c>
      <c r="H4991" s="8">
        <v>0</v>
      </c>
      <c r="I4991" s="8">
        <f t="shared" si="241"/>
        <v>-961.21000000000129</v>
      </c>
      <c r="J4991" s="12"/>
    </row>
    <row r="4992" spans="3:10" x14ac:dyDescent="0.25">
      <c r="C4992" s="9"/>
      <c r="D4992" s="10">
        <v>45681</v>
      </c>
      <c r="E4992" t="s">
        <v>6210</v>
      </c>
      <c r="F4992" s="11" t="s">
        <v>42</v>
      </c>
      <c r="G4992" s="8">
        <v>0</v>
      </c>
      <c r="H4992" s="8">
        <v>409.41</v>
      </c>
      <c r="I4992" s="8">
        <f t="shared" si="241"/>
        <v>-1370.6200000000013</v>
      </c>
      <c r="J4992" s="12"/>
    </row>
    <row r="4993" spans="3:10" x14ac:dyDescent="0.25">
      <c r="C4993" s="9"/>
      <c r="D4993" s="10">
        <v>45682</v>
      </c>
      <c r="E4993" t="s">
        <v>6211</v>
      </c>
      <c r="F4993" s="11" t="s">
        <v>42</v>
      </c>
      <c r="G4993" s="8">
        <v>0</v>
      </c>
      <c r="H4993" s="8">
        <v>802.18</v>
      </c>
      <c r="I4993" s="8">
        <f t="shared" si="241"/>
        <v>-2172.8000000000011</v>
      </c>
      <c r="J4993" s="12"/>
    </row>
    <row r="4994" spans="3:10" x14ac:dyDescent="0.25">
      <c r="C4994" s="9"/>
      <c r="D4994" s="10">
        <v>45684</v>
      </c>
      <c r="E4994" t="s">
        <v>6212</v>
      </c>
      <c r="F4994" s="11" t="s">
        <v>6213</v>
      </c>
      <c r="G4994" s="8">
        <v>26.72</v>
      </c>
      <c r="H4994" s="8">
        <v>0</v>
      </c>
      <c r="I4994" s="8">
        <f t="shared" si="241"/>
        <v>-2146.0800000000013</v>
      </c>
      <c r="J4994" s="12"/>
    </row>
    <row r="4995" spans="3:10" x14ac:dyDescent="0.25">
      <c r="C4995" s="9"/>
      <c r="D4995" s="10">
        <v>45684</v>
      </c>
      <c r="E4995" t="s">
        <v>6214</v>
      </c>
      <c r="F4995" s="11" t="s">
        <v>6215</v>
      </c>
      <c r="G4995" s="8">
        <v>146.47</v>
      </c>
      <c r="H4995" s="8">
        <v>0</v>
      </c>
      <c r="I4995" s="8">
        <f t="shared" si="241"/>
        <v>-1999.6100000000013</v>
      </c>
      <c r="J4995" s="12"/>
    </row>
    <row r="4996" spans="3:10" x14ac:dyDescent="0.25">
      <c r="C4996" s="9"/>
      <c r="D4996" s="10">
        <v>45684</v>
      </c>
      <c r="E4996" t="s">
        <v>6216</v>
      </c>
      <c r="F4996" s="11" t="s">
        <v>6217</v>
      </c>
      <c r="G4996" s="8">
        <v>20.18</v>
      </c>
      <c r="H4996" s="8">
        <v>0</v>
      </c>
      <c r="I4996" s="8">
        <f t="shared" si="241"/>
        <v>-1979.4300000000012</v>
      </c>
      <c r="J4996" s="12"/>
    </row>
    <row r="4997" spans="3:10" x14ac:dyDescent="0.25">
      <c r="C4997" s="9"/>
      <c r="D4997" s="10">
        <v>45684</v>
      </c>
      <c r="E4997" t="s">
        <v>6218</v>
      </c>
      <c r="F4997" s="11" t="s">
        <v>6219</v>
      </c>
      <c r="G4997" s="8">
        <v>75.55</v>
      </c>
      <c r="H4997" s="8">
        <v>0</v>
      </c>
      <c r="I4997" s="8">
        <f t="shared" si="241"/>
        <v>-1903.8800000000012</v>
      </c>
      <c r="J4997" s="12"/>
    </row>
    <row r="4998" spans="3:10" x14ac:dyDescent="0.25">
      <c r="C4998" s="9"/>
      <c r="D4998" s="10">
        <v>45684</v>
      </c>
      <c r="E4998" t="s">
        <v>6220</v>
      </c>
      <c r="F4998" s="11" t="s">
        <v>6221</v>
      </c>
      <c r="G4998" s="8">
        <v>13.32</v>
      </c>
      <c r="H4998" s="8">
        <v>0</v>
      </c>
      <c r="I4998" s="8">
        <f t="shared" si="241"/>
        <v>-1890.5600000000013</v>
      </c>
      <c r="J4998" s="12"/>
    </row>
    <row r="4999" spans="3:10" x14ac:dyDescent="0.25">
      <c r="C4999" s="9"/>
      <c r="D4999" s="10">
        <v>45684</v>
      </c>
      <c r="E4999" t="s">
        <v>6222</v>
      </c>
      <c r="F4999" s="11" t="s">
        <v>6223</v>
      </c>
      <c r="G4999" s="8">
        <v>3.46</v>
      </c>
      <c r="H4999" s="8">
        <v>0</v>
      </c>
      <c r="I4999" s="8">
        <f t="shared" si="241"/>
        <v>-1887.1000000000013</v>
      </c>
      <c r="J4999" s="12"/>
    </row>
    <row r="5000" spans="3:10" x14ac:dyDescent="0.25">
      <c r="C5000" s="9"/>
      <c r="D5000" s="10">
        <v>45684</v>
      </c>
      <c r="E5000" t="s">
        <v>6224</v>
      </c>
      <c r="F5000" s="11" t="s">
        <v>6225</v>
      </c>
      <c r="G5000" s="8">
        <v>3.73</v>
      </c>
      <c r="H5000" s="8">
        <v>0</v>
      </c>
      <c r="I5000" s="8">
        <f t="shared" si="241"/>
        <v>-1883.3700000000013</v>
      </c>
      <c r="J5000" s="12"/>
    </row>
    <row r="5001" spans="3:10" x14ac:dyDescent="0.25">
      <c r="C5001" s="9"/>
      <c r="D5001" s="10">
        <v>45684</v>
      </c>
      <c r="E5001" t="s">
        <v>6226</v>
      </c>
      <c r="F5001" s="11" t="s">
        <v>6227</v>
      </c>
      <c r="G5001" s="8">
        <v>31.92</v>
      </c>
      <c r="H5001" s="8">
        <v>0</v>
      </c>
      <c r="I5001" s="8">
        <f t="shared" si="241"/>
        <v>-1851.4500000000012</v>
      </c>
      <c r="J5001" s="12"/>
    </row>
    <row r="5002" spans="3:10" x14ac:dyDescent="0.25">
      <c r="C5002" s="9"/>
      <c r="D5002" s="10">
        <v>45684</v>
      </c>
      <c r="E5002" t="s">
        <v>6228</v>
      </c>
      <c r="F5002" s="11" t="s">
        <v>6229</v>
      </c>
      <c r="G5002" s="8">
        <v>43.8</v>
      </c>
      <c r="H5002" s="8">
        <v>0</v>
      </c>
      <c r="I5002" s="8">
        <f t="shared" si="241"/>
        <v>-1807.6500000000012</v>
      </c>
      <c r="J5002" s="12"/>
    </row>
    <row r="5003" spans="3:10" x14ac:dyDescent="0.25">
      <c r="C5003" s="9"/>
      <c r="D5003" s="10">
        <v>45684</v>
      </c>
      <c r="E5003" t="s">
        <v>6230</v>
      </c>
      <c r="F5003" s="11" t="s">
        <v>6231</v>
      </c>
      <c r="G5003" s="8">
        <v>1.91</v>
      </c>
      <c r="H5003" s="8">
        <v>0</v>
      </c>
      <c r="I5003" s="8">
        <f t="shared" si="241"/>
        <v>-1805.7400000000011</v>
      </c>
      <c r="J5003" s="12"/>
    </row>
    <row r="5004" spans="3:10" x14ac:dyDescent="0.25">
      <c r="C5004" s="9"/>
      <c r="D5004" s="10">
        <v>45684</v>
      </c>
      <c r="E5004" t="s">
        <v>6232</v>
      </c>
      <c r="F5004" s="11" t="s">
        <v>6233</v>
      </c>
      <c r="G5004" s="8">
        <v>3.99</v>
      </c>
      <c r="H5004" s="8">
        <v>0</v>
      </c>
      <c r="I5004" s="8">
        <f t="shared" si="241"/>
        <v>-1801.7500000000011</v>
      </c>
      <c r="J5004" s="12"/>
    </row>
    <row r="5005" spans="3:10" x14ac:dyDescent="0.25">
      <c r="C5005" s="9"/>
      <c r="D5005" s="10">
        <v>45684</v>
      </c>
      <c r="E5005" t="s">
        <v>6234</v>
      </c>
      <c r="F5005" s="11" t="s">
        <v>6235</v>
      </c>
      <c r="G5005" s="8">
        <v>7.08</v>
      </c>
      <c r="H5005" s="8">
        <v>0</v>
      </c>
      <c r="I5005" s="8">
        <f t="shared" si="241"/>
        <v>-1794.6700000000012</v>
      </c>
      <c r="J5005" s="12"/>
    </row>
    <row r="5006" spans="3:10" x14ac:dyDescent="0.25">
      <c r="C5006" s="9"/>
      <c r="D5006" s="10">
        <v>45684</v>
      </c>
      <c r="E5006" t="s">
        <v>6236</v>
      </c>
      <c r="F5006" s="11" t="s">
        <v>6237</v>
      </c>
      <c r="G5006" s="8">
        <v>16.239999999999998</v>
      </c>
      <c r="H5006" s="8">
        <v>0</v>
      </c>
      <c r="I5006" s="8">
        <f t="shared" si="241"/>
        <v>-1778.4300000000012</v>
      </c>
      <c r="J5006" s="12"/>
    </row>
    <row r="5007" spans="3:10" x14ac:dyDescent="0.25">
      <c r="C5007" s="9"/>
      <c r="D5007" s="10">
        <v>45684</v>
      </c>
      <c r="E5007" t="s">
        <v>6236</v>
      </c>
      <c r="F5007" s="11" t="s">
        <v>6237</v>
      </c>
      <c r="G5007" s="8">
        <v>0</v>
      </c>
      <c r="H5007" s="8">
        <v>16.239999999999998</v>
      </c>
      <c r="I5007" s="8">
        <f t="shared" si="241"/>
        <v>-1794.6700000000012</v>
      </c>
      <c r="J5007" s="12"/>
    </row>
    <row r="5008" spans="3:10" x14ac:dyDescent="0.25">
      <c r="C5008" s="9"/>
      <c r="D5008" s="10">
        <v>45684</v>
      </c>
      <c r="E5008" t="s">
        <v>6238</v>
      </c>
      <c r="F5008" s="11" t="s">
        <v>6239</v>
      </c>
      <c r="G5008" s="8">
        <v>3.7</v>
      </c>
      <c r="H5008" s="8">
        <v>0</v>
      </c>
      <c r="I5008" s="8">
        <f t="shared" si="241"/>
        <v>-1790.9700000000012</v>
      </c>
      <c r="J5008" s="12"/>
    </row>
    <row r="5009" spans="3:10" x14ac:dyDescent="0.25">
      <c r="C5009" s="9"/>
      <c r="D5009" s="10">
        <v>45685</v>
      </c>
      <c r="E5009" t="s">
        <v>6240</v>
      </c>
      <c r="F5009" s="11" t="s">
        <v>6241</v>
      </c>
      <c r="G5009" s="8">
        <v>112</v>
      </c>
      <c r="H5009" s="8">
        <v>0</v>
      </c>
      <c r="I5009" s="8">
        <f t="shared" si="241"/>
        <v>-1678.9700000000012</v>
      </c>
      <c r="J5009" s="12"/>
    </row>
    <row r="5010" spans="3:10" x14ac:dyDescent="0.25">
      <c r="C5010" s="9"/>
      <c r="D5010" s="10">
        <v>45685</v>
      </c>
      <c r="E5010" t="s">
        <v>6242</v>
      </c>
      <c r="F5010" s="11" t="s">
        <v>6243</v>
      </c>
      <c r="G5010" s="8">
        <v>25.86</v>
      </c>
      <c r="H5010" s="8">
        <v>0</v>
      </c>
      <c r="I5010" s="8">
        <f t="shared" si="241"/>
        <v>-1653.1100000000013</v>
      </c>
      <c r="J5010" s="12"/>
    </row>
    <row r="5011" spans="3:10" x14ac:dyDescent="0.25">
      <c r="C5011" s="9"/>
      <c r="D5011" s="10">
        <v>45685</v>
      </c>
      <c r="E5011" t="s">
        <v>6244</v>
      </c>
      <c r="F5011" s="11" t="s">
        <v>6245</v>
      </c>
      <c r="G5011" s="8">
        <v>58.01</v>
      </c>
      <c r="H5011" s="8">
        <v>0</v>
      </c>
      <c r="I5011" s="8">
        <f t="shared" si="241"/>
        <v>-1595.1000000000013</v>
      </c>
      <c r="J5011" s="12"/>
    </row>
    <row r="5012" spans="3:10" x14ac:dyDescent="0.25">
      <c r="C5012" s="9"/>
      <c r="D5012" s="10">
        <v>45685</v>
      </c>
      <c r="E5012" t="s">
        <v>6246</v>
      </c>
      <c r="F5012" s="11" t="s">
        <v>6247</v>
      </c>
      <c r="G5012" s="8">
        <v>4.83</v>
      </c>
      <c r="H5012" s="8">
        <v>0</v>
      </c>
      <c r="I5012" s="8">
        <f t="shared" si="241"/>
        <v>-1590.2700000000013</v>
      </c>
      <c r="J5012" s="12"/>
    </row>
    <row r="5013" spans="3:10" x14ac:dyDescent="0.25">
      <c r="C5013" s="9"/>
      <c r="D5013" s="10">
        <v>45685</v>
      </c>
      <c r="E5013" t="s">
        <v>6248</v>
      </c>
      <c r="F5013" s="11" t="s">
        <v>6249</v>
      </c>
      <c r="G5013" s="8">
        <v>163.01</v>
      </c>
      <c r="H5013" s="8">
        <v>0</v>
      </c>
      <c r="I5013" s="8">
        <f t="shared" si="241"/>
        <v>-1427.2600000000014</v>
      </c>
      <c r="J5013" s="12"/>
    </row>
    <row r="5014" spans="3:10" x14ac:dyDescent="0.25">
      <c r="C5014" s="9"/>
      <c r="D5014" s="10">
        <v>45685</v>
      </c>
      <c r="E5014" t="s">
        <v>6250</v>
      </c>
      <c r="F5014" s="11" t="s">
        <v>6251</v>
      </c>
      <c r="G5014" s="8">
        <v>223.27</v>
      </c>
      <c r="H5014" s="8">
        <v>0</v>
      </c>
      <c r="I5014" s="8">
        <f t="shared" si="241"/>
        <v>-1203.9900000000014</v>
      </c>
      <c r="J5014" s="12"/>
    </row>
    <row r="5015" spans="3:10" x14ac:dyDescent="0.25">
      <c r="C5015" s="9"/>
      <c r="D5015" s="10">
        <v>45685</v>
      </c>
      <c r="E5015" t="s">
        <v>6252</v>
      </c>
      <c r="F5015" s="11" t="s">
        <v>6253</v>
      </c>
      <c r="G5015" s="8">
        <v>11.86</v>
      </c>
      <c r="H5015" s="8">
        <v>0</v>
      </c>
      <c r="I5015" s="8">
        <f t="shared" si="241"/>
        <v>-1192.1300000000015</v>
      </c>
      <c r="J5015" s="12"/>
    </row>
    <row r="5016" spans="3:10" x14ac:dyDescent="0.25">
      <c r="C5016" s="9"/>
      <c r="D5016" s="10">
        <v>45685</v>
      </c>
      <c r="E5016" t="s">
        <v>6254</v>
      </c>
      <c r="F5016" s="11" t="s">
        <v>6255</v>
      </c>
      <c r="G5016" s="8">
        <v>3.84</v>
      </c>
      <c r="H5016" s="8">
        <v>0</v>
      </c>
      <c r="I5016" s="8">
        <f t="shared" si="241"/>
        <v>-1188.2900000000016</v>
      </c>
      <c r="J5016" s="12"/>
    </row>
    <row r="5017" spans="3:10" x14ac:dyDescent="0.25">
      <c r="C5017" s="9"/>
      <c r="D5017" s="10">
        <v>45685</v>
      </c>
      <c r="E5017" t="s">
        <v>6256</v>
      </c>
      <c r="F5017" s="11" t="s">
        <v>6257</v>
      </c>
      <c r="G5017" s="8">
        <v>2.54</v>
      </c>
      <c r="H5017" s="8">
        <v>0</v>
      </c>
      <c r="I5017" s="8">
        <f t="shared" si="241"/>
        <v>-1185.7500000000016</v>
      </c>
      <c r="J5017" s="12"/>
    </row>
    <row r="5018" spans="3:10" x14ac:dyDescent="0.25">
      <c r="C5018" s="9"/>
      <c r="D5018" s="10">
        <v>45685</v>
      </c>
      <c r="E5018" t="s">
        <v>6258</v>
      </c>
      <c r="F5018" s="11" t="s">
        <v>6259</v>
      </c>
      <c r="G5018" s="8">
        <v>93.28</v>
      </c>
      <c r="H5018" s="8">
        <v>0</v>
      </c>
      <c r="I5018" s="8">
        <f t="shared" si="241"/>
        <v>-1092.4700000000016</v>
      </c>
      <c r="J5018" s="12"/>
    </row>
    <row r="5019" spans="3:10" x14ac:dyDescent="0.25">
      <c r="C5019" s="9"/>
      <c r="D5019" s="10">
        <v>45685</v>
      </c>
      <c r="E5019" t="s">
        <v>6260</v>
      </c>
      <c r="F5019" s="11" t="s">
        <v>6261</v>
      </c>
      <c r="G5019" s="8">
        <v>225.45</v>
      </c>
      <c r="H5019" s="8">
        <v>0</v>
      </c>
      <c r="I5019" s="8">
        <f t="shared" si="241"/>
        <v>-867.02000000000157</v>
      </c>
      <c r="J5019" s="12"/>
    </row>
    <row r="5020" spans="3:10" x14ac:dyDescent="0.25">
      <c r="C5020" s="9"/>
      <c r="D5020" s="10">
        <v>45685</v>
      </c>
      <c r="E5020" t="s">
        <v>6260</v>
      </c>
      <c r="F5020" s="11" t="s">
        <v>6261</v>
      </c>
      <c r="G5020" s="8">
        <v>0</v>
      </c>
      <c r="H5020" s="8">
        <v>225.45</v>
      </c>
      <c r="I5020" s="8">
        <f t="shared" ref="I5020:I5083" si="242">G5020-H5020+I5019</f>
        <v>-1092.4700000000016</v>
      </c>
      <c r="J5020" s="12"/>
    </row>
    <row r="5021" spans="3:10" x14ac:dyDescent="0.25">
      <c r="C5021" s="9"/>
      <c r="D5021" s="10">
        <v>45685</v>
      </c>
      <c r="E5021" t="s">
        <v>6262</v>
      </c>
      <c r="F5021" s="11" t="s">
        <v>6263</v>
      </c>
      <c r="G5021" s="8">
        <v>9.35</v>
      </c>
      <c r="H5021" s="8">
        <v>0</v>
      </c>
      <c r="I5021" s="8">
        <f t="shared" si="242"/>
        <v>-1083.1200000000017</v>
      </c>
      <c r="J5021" s="12"/>
    </row>
    <row r="5022" spans="3:10" x14ac:dyDescent="0.25">
      <c r="C5022" s="9"/>
      <c r="D5022" s="10">
        <v>45685</v>
      </c>
      <c r="E5022" t="s">
        <v>6262</v>
      </c>
      <c r="F5022" s="11" t="s">
        <v>6263</v>
      </c>
      <c r="G5022" s="8">
        <v>0</v>
      </c>
      <c r="H5022" s="8">
        <v>9.35</v>
      </c>
      <c r="I5022" s="8">
        <f t="shared" si="242"/>
        <v>-1092.4700000000016</v>
      </c>
      <c r="J5022" s="12"/>
    </row>
    <row r="5023" spans="3:10" x14ac:dyDescent="0.25">
      <c r="C5023" s="9"/>
      <c r="D5023" s="10">
        <v>45685</v>
      </c>
      <c r="E5023" t="s">
        <v>6264</v>
      </c>
      <c r="F5023" s="11" t="s">
        <v>42</v>
      </c>
      <c r="G5023" s="8">
        <v>0</v>
      </c>
      <c r="H5023" s="8">
        <v>381.83</v>
      </c>
      <c r="I5023" s="8">
        <f t="shared" si="242"/>
        <v>-1474.3000000000015</v>
      </c>
      <c r="J5023" s="12"/>
    </row>
    <row r="5024" spans="3:10" x14ac:dyDescent="0.25">
      <c r="C5024" s="9"/>
      <c r="D5024" s="10">
        <v>45686</v>
      </c>
      <c r="E5024" t="s">
        <v>6265</v>
      </c>
      <c r="F5024" s="11" t="s">
        <v>6266</v>
      </c>
      <c r="G5024" s="8">
        <v>10.199999999999999</v>
      </c>
      <c r="H5024" s="8">
        <v>0</v>
      </c>
      <c r="I5024" s="8">
        <f t="shared" si="242"/>
        <v>-1464.1000000000015</v>
      </c>
      <c r="J5024" s="12"/>
    </row>
    <row r="5025" spans="3:10" x14ac:dyDescent="0.25">
      <c r="C5025" s="9"/>
      <c r="D5025" s="10">
        <v>45686</v>
      </c>
      <c r="E5025" t="s">
        <v>6265</v>
      </c>
      <c r="F5025" s="11" t="s">
        <v>6266</v>
      </c>
      <c r="G5025" s="8">
        <v>0</v>
      </c>
      <c r="H5025" s="8">
        <v>10.199999999999999</v>
      </c>
      <c r="I5025" s="8">
        <f t="shared" si="242"/>
        <v>-1474.3000000000015</v>
      </c>
      <c r="J5025" s="12"/>
    </row>
    <row r="5026" spans="3:10" x14ac:dyDescent="0.25">
      <c r="C5026" s="9"/>
      <c r="D5026" s="10">
        <v>45686</v>
      </c>
      <c r="E5026" t="s">
        <v>6267</v>
      </c>
      <c r="F5026" s="11" t="s">
        <v>6268</v>
      </c>
      <c r="G5026" s="8">
        <v>21.88</v>
      </c>
      <c r="H5026" s="8">
        <v>0</v>
      </c>
      <c r="I5026" s="8">
        <f t="shared" si="242"/>
        <v>-1452.4200000000014</v>
      </c>
      <c r="J5026" s="12"/>
    </row>
    <row r="5027" spans="3:10" x14ac:dyDescent="0.25">
      <c r="C5027" s="9"/>
      <c r="D5027" s="10">
        <v>45686</v>
      </c>
      <c r="E5027" t="s">
        <v>6269</v>
      </c>
      <c r="F5027" s="11" t="s">
        <v>6270</v>
      </c>
      <c r="G5027" s="8">
        <v>28.7</v>
      </c>
      <c r="H5027" s="8">
        <v>0</v>
      </c>
      <c r="I5027" s="8">
        <f t="shared" si="242"/>
        <v>-1423.7200000000014</v>
      </c>
      <c r="J5027" s="12"/>
    </row>
    <row r="5028" spans="3:10" x14ac:dyDescent="0.25">
      <c r="C5028" s="9"/>
      <c r="D5028" s="10">
        <v>45686</v>
      </c>
      <c r="E5028" t="s">
        <v>6271</v>
      </c>
      <c r="F5028" s="11" t="s">
        <v>6272</v>
      </c>
      <c r="G5028" s="8">
        <v>264.54000000000002</v>
      </c>
      <c r="H5028" s="8">
        <v>0</v>
      </c>
      <c r="I5028" s="8">
        <f t="shared" si="242"/>
        <v>-1159.1800000000014</v>
      </c>
      <c r="J5028" s="12"/>
    </row>
    <row r="5029" spans="3:10" x14ac:dyDescent="0.25">
      <c r="C5029" s="9"/>
      <c r="D5029" s="10">
        <v>45686</v>
      </c>
      <c r="E5029" t="s">
        <v>6273</v>
      </c>
      <c r="F5029" s="11" t="s">
        <v>6274</v>
      </c>
      <c r="G5029" s="8">
        <v>103.44</v>
      </c>
      <c r="H5029" s="8">
        <v>0</v>
      </c>
      <c r="I5029" s="8">
        <f t="shared" si="242"/>
        <v>-1055.7400000000014</v>
      </c>
      <c r="J5029" s="12"/>
    </row>
    <row r="5030" spans="3:10" x14ac:dyDescent="0.25">
      <c r="C5030" s="9"/>
      <c r="D5030" s="10">
        <v>45686</v>
      </c>
      <c r="E5030" t="s">
        <v>6275</v>
      </c>
      <c r="F5030" s="11" t="s">
        <v>6276</v>
      </c>
      <c r="G5030" s="8">
        <v>21.38</v>
      </c>
      <c r="H5030" s="8">
        <v>0</v>
      </c>
      <c r="I5030" s="8">
        <f t="shared" si="242"/>
        <v>-1034.3600000000013</v>
      </c>
      <c r="J5030" s="12"/>
    </row>
    <row r="5031" spans="3:10" x14ac:dyDescent="0.25">
      <c r="C5031" s="9"/>
      <c r="D5031" s="10">
        <v>45686</v>
      </c>
      <c r="E5031" t="s">
        <v>6277</v>
      </c>
      <c r="F5031" s="11" t="s">
        <v>6278</v>
      </c>
      <c r="G5031" s="8">
        <v>101.62</v>
      </c>
      <c r="H5031" s="8">
        <v>0</v>
      </c>
      <c r="I5031" s="8">
        <f t="shared" si="242"/>
        <v>-932.74000000000126</v>
      </c>
      <c r="J5031" s="12"/>
    </row>
    <row r="5032" spans="3:10" x14ac:dyDescent="0.25">
      <c r="C5032" s="9"/>
      <c r="D5032" s="10">
        <v>45686</v>
      </c>
      <c r="E5032" t="s">
        <v>6279</v>
      </c>
      <c r="F5032" s="11" t="s">
        <v>6280</v>
      </c>
      <c r="G5032" s="8">
        <v>2.4</v>
      </c>
      <c r="H5032" s="8">
        <v>0</v>
      </c>
      <c r="I5032" s="8">
        <f t="shared" si="242"/>
        <v>-930.34000000000128</v>
      </c>
      <c r="J5032" s="12"/>
    </row>
    <row r="5033" spans="3:10" x14ac:dyDescent="0.25">
      <c r="C5033" s="9"/>
      <c r="D5033" s="10">
        <v>45686</v>
      </c>
      <c r="E5033" t="s">
        <v>6279</v>
      </c>
      <c r="F5033" s="11" t="s">
        <v>6280</v>
      </c>
      <c r="G5033" s="8">
        <v>0</v>
      </c>
      <c r="H5033" s="8">
        <v>2.4</v>
      </c>
      <c r="I5033" s="8">
        <f t="shared" si="242"/>
        <v>-932.74000000000126</v>
      </c>
      <c r="J5033" s="12"/>
    </row>
    <row r="5034" spans="3:10" x14ac:dyDescent="0.25">
      <c r="C5034" s="9"/>
      <c r="D5034" s="10">
        <v>45686</v>
      </c>
      <c r="E5034" t="s">
        <v>6281</v>
      </c>
      <c r="F5034" s="11" t="s">
        <v>6282</v>
      </c>
      <c r="G5034" s="8">
        <v>17.48</v>
      </c>
      <c r="H5034" s="8">
        <v>0</v>
      </c>
      <c r="I5034" s="8">
        <f t="shared" si="242"/>
        <v>-915.26000000000124</v>
      </c>
      <c r="J5034" s="12"/>
    </row>
    <row r="5035" spans="3:10" x14ac:dyDescent="0.25">
      <c r="C5035" s="9"/>
      <c r="D5035" s="10">
        <v>45686</v>
      </c>
      <c r="E5035" t="s">
        <v>6283</v>
      </c>
      <c r="F5035" s="11" t="s">
        <v>6284</v>
      </c>
      <c r="G5035" s="8">
        <v>65.45</v>
      </c>
      <c r="H5035" s="8">
        <v>0</v>
      </c>
      <c r="I5035" s="8">
        <f t="shared" si="242"/>
        <v>-849.8100000000012</v>
      </c>
      <c r="J5035" s="12"/>
    </row>
    <row r="5036" spans="3:10" x14ac:dyDescent="0.25">
      <c r="C5036" s="9"/>
      <c r="D5036" s="10">
        <v>45686</v>
      </c>
      <c r="E5036" t="s">
        <v>6285</v>
      </c>
      <c r="F5036" s="11" t="s">
        <v>6286</v>
      </c>
      <c r="G5036" s="8">
        <v>28.16</v>
      </c>
      <c r="H5036" s="8">
        <v>0</v>
      </c>
      <c r="I5036" s="8">
        <f t="shared" si="242"/>
        <v>-821.65000000000123</v>
      </c>
      <c r="J5036" s="12"/>
    </row>
    <row r="5037" spans="3:10" x14ac:dyDescent="0.25">
      <c r="C5037" s="9"/>
      <c r="D5037" s="10">
        <v>45686</v>
      </c>
      <c r="E5037" t="s">
        <v>6287</v>
      </c>
      <c r="F5037" s="11" t="s">
        <v>6288</v>
      </c>
      <c r="G5037" s="8">
        <v>13.79</v>
      </c>
      <c r="H5037" s="8">
        <v>0</v>
      </c>
      <c r="I5037" s="8">
        <f t="shared" si="242"/>
        <v>-807.86000000000126</v>
      </c>
      <c r="J5037" s="12"/>
    </row>
    <row r="5038" spans="3:10" x14ac:dyDescent="0.25">
      <c r="C5038" s="9"/>
      <c r="D5038" s="10">
        <v>45686</v>
      </c>
      <c r="E5038" t="s">
        <v>6289</v>
      </c>
      <c r="F5038" s="11" t="s">
        <v>6290</v>
      </c>
      <c r="G5038" s="8">
        <v>21.63</v>
      </c>
      <c r="H5038" s="8">
        <v>0</v>
      </c>
      <c r="I5038" s="8">
        <f t="shared" si="242"/>
        <v>-786.23000000000127</v>
      </c>
      <c r="J5038" s="12"/>
    </row>
    <row r="5039" spans="3:10" x14ac:dyDescent="0.25">
      <c r="C5039" s="9"/>
      <c r="D5039" s="10">
        <v>45686</v>
      </c>
      <c r="E5039" t="s">
        <v>6291</v>
      </c>
      <c r="F5039" s="11" t="s">
        <v>6292</v>
      </c>
      <c r="G5039" s="8">
        <v>21.53</v>
      </c>
      <c r="H5039" s="8">
        <v>0</v>
      </c>
      <c r="I5039" s="8">
        <f t="shared" si="242"/>
        <v>-764.7000000000013</v>
      </c>
      <c r="J5039" s="12"/>
    </row>
    <row r="5040" spans="3:10" x14ac:dyDescent="0.25">
      <c r="C5040" s="9"/>
      <c r="D5040" s="10">
        <v>45686</v>
      </c>
      <c r="E5040" t="s">
        <v>6293</v>
      </c>
      <c r="F5040" s="11" t="s">
        <v>6294</v>
      </c>
      <c r="G5040" s="8">
        <v>17.64</v>
      </c>
      <c r="H5040" s="8">
        <v>0</v>
      </c>
      <c r="I5040" s="8">
        <f t="shared" si="242"/>
        <v>-747.06000000000131</v>
      </c>
      <c r="J5040" s="12"/>
    </row>
    <row r="5041" spans="3:10" x14ac:dyDescent="0.25">
      <c r="C5041" s="9"/>
      <c r="D5041" s="10">
        <v>45686</v>
      </c>
      <c r="E5041" t="s">
        <v>6295</v>
      </c>
      <c r="F5041" s="11" t="s">
        <v>6296</v>
      </c>
      <c r="G5041" s="8">
        <v>11.36</v>
      </c>
      <c r="H5041" s="8">
        <v>0</v>
      </c>
      <c r="I5041" s="8">
        <f t="shared" si="242"/>
        <v>-735.7000000000013</v>
      </c>
      <c r="J5041" s="12"/>
    </row>
    <row r="5042" spans="3:10" x14ac:dyDescent="0.25">
      <c r="C5042" s="9"/>
      <c r="D5042" s="10">
        <v>45686</v>
      </c>
      <c r="E5042" t="s">
        <v>6295</v>
      </c>
      <c r="F5042" s="11" t="s">
        <v>6296</v>
      </c>
      <c r="G5042" s="8">
        <v>0</v>
      </c>
      <c r="H5042" s="8">
        <v>11.36</v>
      </c>
      <c r="I5042" s="8">
        <f t="shared" si="242"/>
        <v>-747.06000000000131</v>
      </c>
      <c r="J5042" s="12"/>
    </row>
    <row r="5043" spans="3:10" x14ac:dyDescent="0.25">
      <c r="C5043" s="9"/>
      <c r="D5043" s="10">
        <v>45686</v>
      </c>
      <c r="E5043" t="s">
        <v>6297</v>
      </c>
      <c r="F5043" s="11" t="s">
        <v>42</v>
      </c>
      <c r="G5043" s="8">
        <v>0</v>
      </c>
      <c r="H5043" s="8">
        <v>698.5</v>
      </c>
      <c r="I5043" s="8">
        <f t="shared" si="242"/>
        <v>-1445.5600000000013</v>
      </c>
      <c r="J5043" s="12"/>
    </row>
    <row r="5044" spans="3:10" x14ac:dyDescent="0.25">
      <c r="C5044" s="9"/>
      <c r="D5044" s="10">
        <v>45687</v>
      </c>
      <c r="E5044" t="s">
        <v>6298</v>
      </c>
      <c r="F5044" s="11" t="s">
        <v>6299</v>
      </c>
      <c r="G5044" s="8">
        <v>41.85</v>
      </c>
      <c r="H5044" s="8">
        <v>0</v>
      </c>
      <c r="I5044" s="8">
        <f t="shared" si="242"/>
        <v>-1403.7100000000014</v>
      </c>
      <c r="J5044" s="12"/>
    </row>
    <row r="5045" spans="3:10" x14ac:dyDescent="0.25">
      <c r="C5045" s="9"/>
      <c r="D5045" s="10">
        <v>45687</v>
      </c>
      <c r="E5045" t="s">
        <v>6300</v>
      </c>
      <c r="F5045" s="11" t="s">
        <v>6301</v>
      </c>
      <c r="G5045" s="8">
        <v>0.83</v>
      </c>
      <c r="H5045" s="8">
        <v>0</v>
      </c>
      <c r="I5045" s="8">
        <f t="shared" si="242"/>
        <v>-1402.8800000000015</v>
      </c>
      <c r="J5045" s="12"/>
    </row>
    <row r="5046" spans="3:10" x14ac:dyDescent="0.25">
      <c r="C5046" s="9"/>
      <c r="D5046" s="10">
        <v>45687</v>
      </c>
      <c r="E5046" t="s">
        <v>6302</v>
      </c>
      <c r="F5046" s="11" t="s">
        <v>6303</v>
      </c>
      <c r="G5046" s="8">
        <v>50.98</v>
      </c>
      <c r="H5046" s="8">
        <v>0</v>
      </c>
      <c r="I5046" s="8">
        <f t="shared" si="242"/>
        <v>-1351.9000000000015</v>
      </c>
      <c r="J5046" s="12"/>
    </row>
    <row r="5047" spans="3:10" x14ac:dyDescent="0.25">
      <c r="C5047" s="9"/>
      <c r="D5047" s="10">
        <v>45687</v>
      </c>
      <c r="E5047" t="s">
        <v>6304</v>
      </c>
      <c r="F5047" s="11" t="s">
        <v>6305</v>
      </c>
      <c r="G5047" s="8">
        <v>7.32</v>
      </c>
      <c r="H5047" s="8">
        <v>0</v>
      </c>
      <c r="I5047" s="8">
        <f t="shared" si="242"/>
        <v>-1344.5800000000015</v>
      </c>
      <c r="J5047" s="12"/>
    </row>
    <row r="5048" spans="3:10" x14ac:dyDescent="0.25">
      <c r="C5048" s="9"/>
      <c r="D5048" s="10">
        <v>45687</v>
      </c>
      <c r="E5048" t="s">
        <v>6306</v>
      </c>
      <c r="F5048" s="11" t="s">
        <v>6307</v>
      </c>
      <c r="G5048" s="8">
        <v>4.22</v>
      </c>
      <c r="H5048" s="8">
        <v>0</v>
      </c>
      <c r="I5048" s="8">
        <f t="shared" si="242"/>
        <v>-1340.3600000000015</v>
      </c>
      <c r="J5048" s="12"/>
    </row>
    <row r="5049" spans="3:10" x14ac:dyDescent="0.25">
      <c r="C5049" s="9"/>
      <c r="D5049" s="10">
        <v>45687</v>
      </c>
      <c r="E5049" t="s">
        <v>6308</v>
      </c>
      <c r="F5049" s="11" t="s">
        <v>6309</v>
      </c>
      <c r="G5049" s="8">
        <v>3.06</v>
      </c>
      <c r="H5049" s="8">
        <v>0</v>
      </c>
      <c r="I5049" s="8">
        <f t="shared" si="242"/>
        <v>-1337.3000000000015</v>
      </c>
      <c r="J5049" s="12"/>
    </row>
    <row r="5050" spans="3:10" x14ac:dyDescent="0.25">
      <c r="C5050" s="9"/>
      <c r="D5050" s="10">
        <v>45687</v>
      </c>
      <c r="E5050" t="s">
        <v>6310</v>
      </c>
      <c r="F5050" s="11" t="s">
        <v>6311</v>
      </c>
      <c r="G5050" s="8">
        <v>6.74</v>
      </c>
      <c r="H5050" s="8">
        <v>0</v>
      </c>
      <c r="I5050" s="8">
        <f t="shared" si="242"/>
        <v>-1330.5600000000015</v>
      </c>
      <c r="J5050" s="12"/>
    </row>
    <row r="5051" spans="3:10" x14ac:dyDescent="0.25">
      <c r="C5051" s="9"/>
      <c r="D5051" s="10">
        <v>45687</v>
      </c>
      <c r="E5051" t="s">
        <v>6312</v>
      </c>
      <c r="F5051" s="11" t="s">
        <v>6313</v>
      </c>
      <c r="G5051" s="8">
        <v>-41.85</v>
      </c>
      <c r="H5051" s="8">
        <v>0</v>
      </c>
      <c r="I5051" s="8">
        <f t="shared" si="242"/>
        <v>-1372.4100000000014</v>
      </c>
      <c r="J5051" s="12"/>
    </row>
    <row r="5052" spans="3:10" x14ac:dyDescent="0.25">
      <c r="C5052" s="9"/>
      <c r="D5052" s="10">
        <v>45687</v>
      </c>
      <c r="E5052" t="s">
        <v>6312</v>
      </c>
      <c r="F5052" s="11" t="s">
        <v>6313</v>
      </c>
      <c r="G5052" s="8">
        <v>0</v>
      </c>
      <c r="H5052" s="8">
        <v>-41.85</v>
      </c>
      <c r="I5052" s="8">
        <f t="shared" si="242"/>
        <v>-1330.5600000000015</v>
      </c>
      <c r="J5052" s="12"/>
    </row>
    <row r="5053" spans="3:10" x14ac:dyDescent="0.25">
      <c r="C5053" s="9"/>
      <c r="D5053" s="10">
        <v>45687</v>
      </c>
      <c r="E5053" t="s">
        <v>6314</v>
      </c>
      <c r="F5053" s="11" t="s">
        <v>6315</v>
      </c>
      <c r="G5053" s="8">
        <v>40.159999999999997</v>
      </c>
      <c r="H5053" s="8">
        <v>0</v>
      </c>
      <c r="I5053" s="8">
        <f t="shared" si="242"/>
        <v>-1290.4000000000015</v>
      </c>
      <c r="J5053" s="12"/>
    </row>
    <row r="5054" spans="3:10" x14ac:dyDescent="0.25">
      <c r="C5054" s="9"/>
      <c r="D5054" s="10">
        <v>45687</v>
      </c>
      <c r="E5054" t="s">
        <v>6316</v>
      </c>
      <c r="F5054" s="11" t="s">
        <v>6317</v>
      </c>
      <c r="G5054" s="8">
        <v>38.14</v>
      </c>
      <c r="H5054" s="8">
        <v>0</v>
      </c>
      <c r="I5054" s="8">
        <f t="shared" si="242"/>
        <v>-1252.2600000000014</v>
      </c>
      <c r="J5054" s="12"/>
    </row>
    <row r="5055" spans="3:10" x14ac:dyDescent="0.25">
      <c r="C5055" s="9"/>
      <c r="D5055" s="10">
        <v>45687</v>
      </c>
      <c r="E5055" t="s">
        <v>6316</v>
      </c>
      <c r="F5055" s="11" t="s">
        <v>6317</v>
      </c>
      <c r="G5055" s="8">
        <v>0</v>
      </c>
      <c r="H5055" s="8">
        <v>38.14</v>
      </c>
      <c r="I5055" s="8">
        <f t="shared" si="242"/>
        <v>-1290.4000000000015</v>
      </c>
      <c r="J5055" s="12"/>
    </row>
    <row r="5056" spans="3:10" x14ac:dyDescent="0.25">
      <c r="C5056" s="9"/>
      <c r="D5056" s="10">
        <v>45687</v>
      </c>
      <c r="E5056" t="s">
        <v>6318</v>
      </c>
      <c r="F5056" s="11" t="s">
        <v>6319</v>
      </c>
      <c r="G5056" s="8">
        <v>3.21</v>
      </c>
      <c r="H5056" s="8">
        <v>0</v>
      </c>
      <c r="I5056" s="8">
        <f t="shared" si="242"/>
        <v>-1287.1900000000014</v>
      </c>
      <c r="J5056" s="12"/>
    </row>
    <row r="5057" spans="3:10" x14ac:dyDescent="0.25">
      <c r="C5057" s="9"/>
      <c r="D5057" s="10">
        <v>45687</v>
      </c>
      <c r="E5057" t="s">
        <v>6318</v>
      </c>
      <c r="F5057" s="11" t="s">
        <v>6319</v>
      </c>
      <c r="G5057" s="8">
        <v>0</v>
      </c>
      <c r="H5057" s="8">
        <v>3.21</v>
      </c>
      <c r="I5057" s="8">
        <f t="shared" si="242"/>
        <v>-1290.4000000000015</v>
      </c>
      <c r="J5057" s="12"/>
    </row>
    <row r="5058" spans="3:10" x14ac:dyDescent="0.25">
      <c r="C5058" s="9"/>
      <c r="D5058" s="10">
        <v>45687</v>
      </c>
      <c r="E5058" t="s">
        <v>6320</v>
      </c>
      <c r="F5058" s="11" t="s">
        <v>6321</v>
      </c>
      <c r="G5058" s="8">
        <v>0.96</v>
      </c>
      <c r="H5058" s="8">
        <v>0</v>
      </c>
      <c r="I5058" s="8">
        <f t="shared" si="242"/>
        <v>-1289.4400000000014</v>
      </c>
      <c r="J5058" s="12"/>
    </row>
    <row r="5059" spans="3:10" x14ac:dyDescent="0.25">
      <c r="C5059" s="9"/>
      <c r="D5059" s="10">
        <v>45687</v>
      </c>
      <c r="E5059" t="s">
        <v>6322</v>
      </c>
      <c r="F5059" s="11" t="s">
        <v>6323</v>
      </c>
      <c r="G5059" s="8">
        <v>18.11</v>
      </c>
      <c r="H5059" s="8">
        <v>0</v>
      </c>
      <c r="I5059" s="8">
        <f t="shared" si="242"/>
        <v>-1271.3300000000015</v>
      </c>
      <c r="J5059" s="12"/>
    </row>
    <row r="5060" spans="3:10" x14ac:dyDescent="0.25">
      <c r="C5060" s="9"/>
      <c r="D5060" s="10">
        <v>45687</v>
      </c>
      <c r="E5060" t="s">
        <v>6324</v>
      </c>
      <c r="F5060" s="11" t="s">
        <v>6325</v>
      </c>
      <c r="G5060" s="8">
        <v>130.94999999999999</v>
      </c>
      <c r="H5060" s="8">
        <v>0</v>
      </c>
      <c r="I5060" s="8">
        <f t="shared" si="242"/>
        <v>-1140.3800000000015</v>
      </c>
      <c r="J5060" s="12"/>
    </row>
    <row r="5061" spans="3:10" x14ac:dyDescent="0.25">
      <c r="C5061" s="9"/>
      <c r="D5061" s="10">
        <v>45687</v>
      </c>
      <c r="E5061" t="s">
        <v>6326</v>
      </c>
      <c r="F5061" s="11" t="s">
        <v>6327</v>
      </c>
      <c r="G5061" s="8">
        <v>9.6300000000000008</v>
      </c>
      <c r="H5061" s="8">
        <v>0</v>
      </c>
      <c r="I5061" s="8">
        <f t="shared" si="242"/>
        <v>-1130.7500000000014</v>
      </c>
      <c r="J5061" s="12"/>
    </row>
    <row r="5062" spans="3:10" x14ac:dyDescent="0.25">
      <c r="C5062" s="9"/>
      <c r="D5062" s="10">
        <v>45687</v>
      </c>
      <c r="E5062" t="s">
        <v>6328</v>
      </c>
      <c r="F5062" s="11" t="s">
        <v>42</v>
      </c>
      <c r="G5062" s="8">
        <v>0</v>
      </c>
      <c r="H5062" s="8">
        <v>727.24</v>
      </c>
      <c r="I5062" s="8">
        <f t="shared" si="242"/>
        <v>-1857.9900000000014</v>
      </c>
      <c r="J5062" s="12"/>
    </row>
    <row r="5063" spans="3:10" x14ac:dyDescent="0.25">
      <c r="C5063" s="9"/>
      <c r="D5063" s="10">
        <v>45688</v>
      </c>
      <c r="E5063" t="s">
        <v>6329</v>
      </c>
      <c r="F5063" s="11" t="s">
        <v>6330</v>
      </c>
      <c r="G5063" s="8">
        <v>4.4400000000000004</v>
      </c>
      <c r="H5063" s="8">
        <v>0</v>
      </c>
      <c r="I5063" s="8">
        <f t="shared" si="242"/>
        <v>-1853.5500000000013</v>
      </c>
      <c r="J5063" s="12"/>
    </row>
    <row r="5064" spans="3:10" x14ac:dyDescent="0.25">
      <c r="C5064" s="9"/>
      <c r="D5064" s="10">
        <v>45688</v>
      </c>
      <c r="E5064" t="s">
        <v>6331</v>
      </c>
      <c r="F5064" s="11" t="s">
        <v>6332</v>
      </c>
      <c r="G5064" s="8">
        <v>16.149999999999999</v>
      </c>
      <c r="H5064" s="8">
        <v>0</v>
      </c>
      <c r="I5064" s="8">
        <f t="shared" si="242"/>
        <v>-1837.4000000000012</v>
      </c>
      <c r="J5064" s="12"/>
    </row>
    <row r="5065" spans="3:10" x14ac:dyDescent="0.25">
      <c r="C5065" s="9"/>
      <c r="D5065" s="10">
        <v>45688</v>
      </c>
      <c r="E5065" t="s">
        <v>6333</v>
      </c>
      <c r="F5065" s="11" t="s">
        <v>6334</v>
      </c>
      <c r="G5065" s="8">
        <v>26.68</v>
      </c>
      <c r="H5065" s="8">
        <v>0</v>
      </c>
      <c r="I5065" s="8">
        <f t="shared" si="242"/>
        <v>-1810.7200000000012</v>
      </c>
      <c r="J5065" s="12"/>
    </row>
    <row r="5066" spans="3:10" x14ac:dyDescent="0.25">
      <c r="C5066" s="9"/>
      <c r="D5066" s="10">
        <v>45688</v>
      </c>
      <c r="E5066" t="s">
        <v>6335</v>
      </c>
      <c r="F5066" s="11" t="s">
        <v>6336</v>
      </c>
      <c r="G5066" s="8">
        <v>38.299999999999997</v>
      </c>
      <c r="H5066" s="8">
        <v>0</v>
      </c>
      <c r="I5066" s="8">
        <f t="shared" si="242"/>
        <v>-1772.4200000000012</v>
      </c>
      <c r="J5066" s="12"/>
    </row>
    <row r="5067" spans="3:10" x14ac:dyDescent="0.25">
      <c r="C5067" s="9"/>
      <c r="D5067" s="10">
        <v>45688</v>
      </c>
      <c r="E5067" t="s">
        <v>6337</v>
      </c>
      <c r="F5067" s="11" t="s">
        <v>6338</v>
      </c>
      <c r="G5067" s="8">
        <v>47.52</v>
      </c>
      <c r="H5067" s="8">
        <v>0</v>
      </c>
      <c r="I5067" s="8">
        <f t="shared" si="242"/>
        <v>-1724.9000000000012</v>
      </c>
      <c r="J5067" s="12"/>
    </row>
    <row r="5068" spans="3:10" x14ac:dyDescent="0.25">
      <c r="C5068" s="9"/>
      <c r="D5068" s="10">
        <v>45688</v>
      </c>
      <c r="E5068" t="s">
        <v>6339</v>
      </c>
      <c r="F5068" s="11" t="s">
        <v>6340</v>
      </c>
      <c r="G5068" s="8">
        <v>112.61</v>
      </c>
      <c r="H5068" s="8">
        <v>0</v>
      </c>
      <c r="I5068" s="8">
        <f t="shared" si="242"/>
        <v>-1612.2900000000013</v>
      </c>
      <c r="J5068" s="12"/>
    </row>
    <row r="5069" spans="3:10" x14ac:dyDescent="0.25">
      <c r="C5069" s="9"/>
      <c r="D5069" s="10">
        <v>45688</v>
      </c>
      <c r="E5069" t="s">
        <v>6339</v>
      </c>
      <c r="F5069" s="11" t="s">
        <v>6340</v>
      </c>
      <c r="G5069" s="8">
        <v>0</v>
      </c>
      <c r="H5069" s="8">
        <v>112.61</v>
      </c>
      <c r="I5069" s="8">
        <f t="shared" si="242"/>
        <v>-1724.9000000000012</v>
      </c>
      <c r="J5069" s="12"/>
    </row>
    <row r="5070" spans="3:10" x14ac:dyDescent="0.25">
      <c r="C5070" s="9"/>
      <c r="D5070" s="10">
        <v>45688</v>
      </c>
      <c r="E5070" t="s">
        <v>6341</v>
      </c>
      <c r="F5070" s="11" t="s">
        <v>6342</v>
      </c>
      <c r="G5070" s="8">
        <v>10.5</v>
      </c>
      <c r="H5070" s="8">
        <v>0</v>
      </c>
      <c r="I5070" s="8">
        <f t="shared" si="242"/>
        <v>-1714.4000000000012</v>
      </c>
      <c r="J5070" s="12"/>
    </row>
    <row r="5071" spans="3:10" x14ac:dyDescent="0.25">
      <c r="C5071" s="9"/>
      <c r="D5071" s="10">
        <v>45688</v>
      </c>
      <c r="E5071" t="s">
        <v>6341</v>
      </c>
      <c r="F5071" s="11" t="s">
        <v>6342</v>
      </c>
      <c r="G5071" s="8">
        <v>0</v>
      </c>
      <c r="H5071" s="8">
        <v>10.5</v>
      </c>
      <c r="I5071" s="8">
        <f t="shared" si="242"/>
        <v>-1724.9000000000012</v>
      </c>
      <c r="J5071" s="12"/>
    </row>
    <row r="5072" spans="3:10" x14ac:dyDescent="0.25">
      <c r="C5072" s="9"/>
      <c r="D5072" s="10">
        <v>45688</v>
      </c>
      <c r="E5072" t="s">
        <v>6343</v>
      </c>
      <c r="F5072" s="11" t="s">
        <v>6344</v>
      </c>
      <c r="G5072" s="8">
        <v>17.23</v>
      </c>
      <c r="H5072" s="8">
        <v>0</v>
      </c>
      <c r="I5072" s="8">
        <f t="shared" si="242"/>
        <v>-1707.6700000000012</v>
      </c>
      <c r="J5072" s="12"/>
    </row>
    <row r="5073" spans="3:10" x14ac:dyDescent="0.25">
      <c r="C5073" s="9"/>
      <c r="D5073" s="10">
        <v>45688</v>
      </c>
      <c r="E5073" t="s">
        <v>6345</v>
      </c>
      <c r="F5073" s="11" t="s">
        <v>6346</v>
      </c>
      <c r="G5073" s="8">
        <v>10.31</v>
      </c>
      <c r="H5073" s="8">
        <v>0</v>
      </c>
      <c r="I5073" s="8">
        <f t="shared" si="242"/>
        <v>-1697.3600000000013</v>
      </c>
      <c r="J5073" s="12"/>
    </row>
    <row r="5074" spans="3:10" x14ac:dyDescent="0.25">
      <c r="C5074" s="9"/>
      <c r="D5074" s="10">
        <v>45688</v>
      </c>
      <c r="E5074" t="s">
        <v>6347</v>
      </c>
      <c r="F5074" s="11" t="s">
        <v>6348</v>
      </c>
      <c r="G5074" s="8">
        <v>51.43</v>
      </c>
      <c r="H5074" s="8">
        <v>0</v>
      </c>
      <c r="I5074" s="8">
        <f t="shared" si="242"/>
        <v>-1645.9300000000012</v>
      </c>
      <c r="J5074" s="12"/>
    </row>
    <row r="5075" spans="3:10" x14ac:dyDescent="0.25">
      <c r="C5075" s="9"/>
      <c r="D5075" s="10">
        <v>45688</v>
      </c>
      <c r="E5075" t="s">
        <v>6347</v>
      </c>
      <c r="F5075" s="11" t="s">
        <v>6348</v>
      </c>
      <c r="G5075" s="8">
        <v>0</v>
      </c>
      <c r="H5075" s="8">
        <v>51.43</v>
      </c>
      <c r="I5075" s="8">
        <f t="shared" si="242"/>
        <v>-1697.3600000000013</v>
      </c>
      <c r="J5075" s="12"/>
    </row>
    <row r="5076" spans="3:10" x14ac:dyDescent="0.25">
      <c r="C5076" s="9"/>
      <c r="D5076" s="10">
        <v>45688</v>
      </c>
      <c r="E5076" t="s">
        <v>6349</v>
      </c>
      <c r="F5076" s="11" t="s">
        <v>6350</v>
      </c>
      <c r="G5076" s="8">
        <v>11.56</v>
      </c>
      <c r="H5076" s="8">
        <v>0</v>
      </c>
      <c r="I5076" s="8">
        <f t="shared" si="242"/>
        <v>-1685.8000000000013</v>
      </c>
      <c r="J5076" s="12"/>
    </row>
    <row r="5077" spans="3:10" x14ac:dyDescent="0.25">
      <c r="C5077" s="9"/>
      <c r="D5077" s="10">
        <v>45688</v>
      </c>
      <c r="E5077" t="s">
        <v>6351</v>
      </c>
      <c r="F5077" s="11" t="s">
        <v>6352</v>
      </c>
      <c r="G5077" s="8">
        <v>10.119999999999999</v>
      </c>
      <c r="H5077" s="8">
        <v>0</v>
      </c>
      <c r="I5077" s="8">
        <f t="shared" si="242"/>
        <v>-1675.6800000000014</v>
      </c>
      <c r="J5077" s="12"/>
    </row>
    <row r="5078" spans="3:10" x14ac:dyDescent="0.25">
      <c r="C5078" s="9"/>
      <c r="D5078" s="10">
        <v>45688</v>
      </c>
      <c r="E5078" t="s">
        <v>6353</v>
      </c>
      <c r="F5078" s="11" t="s">
        <v>6354</v>
      </c>
      <c r="G5078" s="8">
        <v>30.93</v>
      </c>
      <c r="H5078" s="8">
        <v>0</v>
      </c>
      <c r="I5078" s="8">
        <f t="shared" si="242"/>
        <v>-1644.7500000000014</v>
      </c>
      <c r="J5078" s="12"/>
    </row>
    <row r="5079" spans="3:10" x14ac:dyDescent="0.25">
      <c r="C5079" s="9"/>
      <c r="D5079" s="10">
        <v>45688</v>
      </c>
      <c r="E5079" t="s">
        <v>6355</v>
      </c>
      <c r="F5079" s="11" t="s">
        <v>6356</v>
      </c>
      <c r="G5079" s="8">
        <v>10.5</v>
      </c>
      <c r="H5079" s="8">
        <v>0</v>
      </c>
      <c r="I5079" s="8">
        <f t="shared" si="242"/>
        <v>-1634.2500000000014</v>
      </c>
      <c r="J5079" s="12"/>
    </row>
    <row r="5080" spans="3:10" x14ac:dyDescent="0.25">
      <c r="C5080" s="9"/>
      <c r="D5080" s="10">
        <v>45688</v>
      </c>
      <c r="E5080" t="s">
        <v>6357</v>
      </c>
      <c r="F5080" s="11" t="s">
        <v>6358</v>
      </c>
      <c r="G5080" s="8">
        <v>8.75</v>
      </c>
      <c r="H5080" s="8">
        <v>0</v>
      </c>
      <c r="I5080" s="8">
        <f t="shared" si="242"/>
        <v>-1625.5000000000014</v>
      </c>
      <c r="J5080" s="12"/>
    </row>
    <row r="5081" spans="3:10" x14ac:dyDescent="0.25">
      <c r="C5081" s="9"/>
      <c r="D5081" s="10">
        <v>45688</v>
      </c>
      <c r="E5081" t="s">
        <v>6359</v>
      </c>
      <c r="F5081" s="11" t="s">
        <v>42</v>
      </c>
      <c r="G5081" s="8">
        <v>0</v>
      </c>
      <c r="H5081" s="8">
        <v>314.81</v>
      </c>
      <c r="I5081" s="8">
        <f t="shared" si="242"/>
        <v>-1940.3100000000013</v>
      </c>
      <c r="J5081" s="12"/>
    </row>
    <row r="5082" spans="3:10" x14ac:dyDescent="0.25">
      <c r="C5082" s="9"/>
      <c r="D5082" s="10">
        <v>45689</v>
      </c>
      <c r="E5082" t="s">
        <v>6360</v>
      </c>
      <c r="F5082" s="11" t="s">
        <v>42</v>
      </c>
      <c r="G5082" s="8">
        <v>0</v>
      </c>
      <c r="H5082" s="8">
        <v>232.49</v>
      </c>
      <c r="I5082" s="8">
        <f t="shared" si="242"/>
        <v>-2172.8000000000011</v>
      </c>
      <c r="J5082" s="12"/>
    </row>
    <row r="5083" spans="3:10" x14ac:dyDescent="0.25">
      <c r="C5083" s="9"/>
      <c r="D5083" s="10">
        <v>45691</v>
      </c>
      <c r="E5083" t="s">
        <v>6361</v>
      </c>
      <c r="F5083" s="11" t="s">
        <v>6362</v>
      </c>
      <c r="G5083" s="8">
        <v>239.58</v>
      </c>
      <c r="H5083" s="8">
        <v>0</v>
      </c>
      <c r="I5083" s="8">
        <f t="shared" si="242"/>
        <v>-1933.2200000000012</v>
      </c>
      <c r="J5083" s="12"/>
    </row>
    <row r="5084" spans="3:10" x14ac:dyDescent="0.25">
      <c r="C5084" s="9"/>
      <c r="D5084" s="10">
        <v>45691</v>
      </c>
      <c r="E5084" t="s">
        <v>6363</v>
      </c>
      <c r="F5084" s="11" t="s">
        <v>6364</v>
      </c>
      <c r="G5084" s="8">
        <v>44.99</v>
      </c>
      <c r="H5084" s="8">
        <v>0</v>
      </c>
      <c r="I5084" s="8">
        <f t="shared" ref="I5084:I5147" si="243">G5084-H5084+I5083</f>
        <v>-1888.2300000000012</v>
      </c>
      <c r="J5084" s="12"/>
    </row>
    <row r="5085" spans="3:10" x14ac:dyDescent="0.25">
      <c r="C5085" s="9"/>
      <c r="D5085" s="10">
        <v>45691</v>
      </c>
      <c r="E5085" t="s">
        <v>6365</v>
      </c>
      <c r="F5085" s="11" t="s">
        <v>6366</v>
      </c>
      <c r="G5085" s="8">
        <v>60.09</v>
      </c>
      <c r="H5085" s="8">
        <v>0</v>
      </c>
      <c r="I5085" s="8">
        <f t="shared" si="243"/>
        <v>-1828.1400000000012</v>
      </c>
      <c r="J5085" s="12"/>
    </row>
    <row r="5086" spans="3:10" x14ac:dyDescent="0.25">
      <c r="C5086" s="9"/>
      <c r="D5086" s="10">
        <v>45691</v>
      </c>
      <c r="E5086" t="s">
        <v>6367</v>
      </c>
      <c r="F5086" s="11" t="s">
        <v>6368</v>
      </c>
      <c r="G5086" s="8">
        <v>40.46</v>
      </c>
      <c r="H5086" s="8">
        <v>0</v>
      </c>
      <c r="I5086" s="8">
        <f t="shared" si="243"/>
        <v>-1787.6800000000012</v>
      </c>
      <c r="J5086" s="12"/>
    </row>
    <row r="5087" spans="3:10" x14ac:dyDescent="0.25">
      <c r="C5087" s="9"/>
      <c r="D5087" s="10">
        <v>45691</v>
      </c>
      <c r="E5087" t="s">
        <v>6369</v>
      </c>
      <c r="F5087" s="11" t="s">
        <v>6370</v>
      </c>
      <c r="G5087" s="8">
        <v>188.76</v>
      </c>
      <c r="H5087" s="8">
        <v>0</v>
      </c>
      <c r="I5087" s="8">
        <f t="shared" si="243"/>
        <v>-1598.9200000000012</v>
      </c>
      <c r="J5087" s="12"/>
    </row>
    <row r="5088" spans="3:10" x14ac:dyDescent="0.25">
      <c r="C5088" s="9"/>
      <c r="D5088" s="10">
        <v>45691</v>
      </c>
      <c r="E5088" t="s">
        <v>6371</v>
      </c>
      <c r="F5088" s="11" t="s">
        <v>6372</v>
      </c>
      <c r="G5088" s="8">
        <v>38.24</v>
      </c>
      <c r="H5088" s="8">
        <v>0</v>
      </c>
      <c r="I5088" s="8">
        <f t="shared" si="243"/>
        <v>-1560.6800000000012</v>
      </c>
      <c r="J5088" s="12"/>
    </row>
    <row r="5089" spans="3:10" x14ac:dyDescent="0.25">
      <c r="C5089" s="9"/>
      <c r="D5089" s="10">
        <v>45691</v>
      </c>
      <c r="E5089" t="s">
        <v>6373</v>
      </c>
      <c r="F5089" s="11" t="s">
        <v>6374</v>
      </c>
      <c r="G5089" s="8">
        <v>7.59</v>
      </c>
      <c r="H5089" s="8">
        <v>0</v>
      </c>
      <c r="I5089" s="8">
        <f t="shared" si="243"/>
        <v>-1553.0900000000013</v>
      </c>
      <c r="J5089" s="12"/>
    </row>
    <row r="5090" spans="3:10" x14ac:dyDescent="0.25">
      <c r="C5090" s="9"/>
      <c r="D5090" s="10">
        <v>45691</v>
      </c>
      <c r="E5090" t="s">
        <v>6373</v>
      </c>
      <c r="F5090" s="11" t="s">
        <v>6374</v>
      </c>
      <c r="G5090" s="8">
        <v>0</v>
      </c>
      <c r="H5090" s="8">
        <v>7.59</v>
      </c>
      <c r="I5090" s="8">
        <f t="shared" si="243"/>
        <v>-1560.6800000000012</v>
      </c>
      <c r="J5090" s="12"/>
    </row>
    <row r="5091" spans="3:10" x14ac:dyDescent="0.25">
      <c r="C5091" s="9"/>
      <c r="D5091" s="10">
        <v>45691</v>
      </c>
      <c r="E5091" t="s">
        <v>6375</v>
      </c>
      <c r="F5091" s="11" t="s">
        <v>6376</v>
      </c>
      <c r="G5091" s="8">
        <v>4.55</v>
      </c>
      <c r="H5091" s="8">
        <v>0</v>
      </c>
      <c r="I5091" s="8">
        <f t="shared" si="243"/>
        <v>-1556.1300000000012</v>
      </c>
      <c r="J5091" s="12"/>
    </row>
    <row r="5092" spans="3:10" x14ac:dyDescent="0.25">
      <c r="C5092" s="9"/>
      <c r="D5092" s="10">
        <v>45691</v>
      </c>
      <c r="E5092" t="s">
        <v>6377</v>
      </c>
      <c r="F5092" s="11" t="s">
        <v>6378</v>
      </c>
      <c r="G5092" s="8">
        <v>10.029999999999999</v>
      </c>
      <c r="H5092" s="8">
        <v>0</v>
      </c>
      <c r="I5092" s="8">
        <f t="shared" si="243"/>
        <v>-1546.1000000000013</v>
      </c>
      <c r="J5092" s="12"/>
    </row>
    <row r="5093" spans="3:10" x14ac:dyDescent="0.25">
      <c r="C5093" s="9"/>
      <c r="D5093" s="10">
        <v>45691</v>
      </c>
      <c r="E5093" t="s">
        <v>6379</v>
      </c>
      <c r="F5093" s="11" t="s">
        <v>6380</v>
      </c>
      <c r="G5093" s="8">
        <v>7.57</v>
      </c>
      <c r="H5093" s="8">
        <v>0</v>
      </c>
      <c r="I5093" s="8">
        <f t="shared" si="243"/>
        <v>-1538.5300000000013</v>
      </c>
      <c r="J5093" s="12"/>
    </row>
    <row r="5094" spans="3:10" x14ac:dyDescent="0.25">
      <c r="C5094" s="9"/>
      <c r="D5094" s="10">
        <v>45691</v>
      </c>
      <c r="E5094" t="s">
        <v>6381</v>
      </c>
      <c r="F5094" s="11" t="s">
        <v>6382</v>
      </c>
      <c r="G5094" s="8">
        <v>3.59</v>
      </c>
      <c r="H5094" s="8">
        <v>0</v>
      </c>
      <c r="I5094" s="8">
        <f t="shared" si="243"/>
        <v>-1534.9400000000014</v>
      </c>
      <c r="J5094" s="12"/>
    </row>
    <row r="5095" spans="3:10" x14ac:dyDescent="0.25">
      <c r="C5095" s="9"/>
      <c r="D5095" s="10">
        <v>45691</v>
      </c>
      <c r="E5095" t="s">
        <v>6381</v>
      </c>
      <c r="F5095" s="11" t="s">
        <v>6382</v>
      </c>
      <c r="G5095" s="8">
        <v>0</v>
      </c>
      <c r="H5095" s="8">
        <v>3.59</v>
      </c>
      <c r="I5095" s="8">
        <f t="shared" si="243"/>
        <v>-1538.5300000000013</v>
      </c>
      <c r="J5095" s="12"/>
    </row>
    <row r="5096" spans="3:10" x14ac:dyDescent="0.25">
      <c r="C5096" s="9"/>
      <c r="D5096" s="10">
        <v>45691</v>
      </c>
      <c r="E5096" t="s">
        <v>6383</v>
      </c>
      <c r="F5096" s="11" t="s">
        <v>6384</v>
      </c>
      <c r="G5096" s="8">
        <v>3.88</v>
      </c>
      <c r="H5096" s="8">
        <v>0</v>
      </c>
      <c r="I5096" s="8">
        <f t="shared" si="243"/>
        <v>-1534.6500000000012</v>
      </c>
      <c r="J5096" s="12"/>
    </row>
    <row r="5097" spans="3:10" x14ac:dyDescent="0.25">
      <c r="C5097" s="9"/>
      <c r="D5097" s="10">
        <v>45691</v>
      </c>
      <c r="E5097" t="s">
        <v>6385</v>
      </c>
      <c r="F5097" s="11" t="s">
        <v>6386</v>
      </c>
      <c r="G5097" s="8">
        <v>49.61</v>
      </c>
      <c r="H5097" s="8">
        <v>0</v>
      </c>
      <c r="I5097" s="8">
        <f t="shared" si="243"/>
        <v>-1485.0400000000013</v>
      </c>
      <c r="J5097" s="12"/>
    </row>
    <row r="5098" spans="3:10" x14ac:dyDescent="0.25">
      <c r="C5098" s="9"/>
      <c r="D5098" s="10">
        <v>45691</v>
      </c>
      <c r="E5098" t="s">
        <v>6387</v>
      </c>
      <c r="F5098" s="11" t="s">
        <v>6388</v>
      </c>
      <c r="G5098" s="8">
        <v>160.43</v>
      </c>
      <c r="H5098" s="8">
        <v>0</v>
      </c>
      <c r="I5098" s="8">
        <f t="shared" si="243"/>
        <v>-1324.6100000000013</v>
      </c>
      <c r="J5098" s="12"/>
    </row>
    <row r="5099" spans="3:10" x14ac:dyDescent="0.25">
      <c r="C5099" s="9"/>
      <c r="D5099" s="10">
        <v>45691</v>
      </c>
      <c r="E5099" t="s">
        <v>6389</v>
      </c>
      <c r="F5099" s="11" t="s">
        <v>6390</v>
      </c>
      <c r="G5099" s="8">
        <v>-48.85</v>
      </c>
      <c r="H5099" s="8">
        <v>0</v>
      </c>
      <c r="I5099" s="8">
        <f t="shared" si="243"/>
        <v>-1373.4600000000012</v>
      </c>
      <c r="J5099" s="12"/>
    </row>
    <row r="5100" spans="3:10" x14ac:dyDescent="0.25">
      <c r="C5100" s="9"/>
      <c r="D5100" s="10">
        <v>45691</v>
      </c>
      <c r="E5100" t="s">
        <v>6391</v>
      </c>
      <c r="F5100" s="11" t="s">
        <v>6392</v>
      </c>
      <c r="G5100" s="8">
        <v>25.05</v>
      </c>
      <c r="H5100" s="8">
        <v>0</v>
      </c>
      <c r="I5100" s="8">
        <f t="shared" si="243"/>
        <v>-1348.4100000000012</v>
      </c>
      <c r="J5100" s="12"/>
    </row>
    <row r="5101" spans="3:10" x14ac:dyDescent="0.25">
      <c r="C5101" s="9"/>
      <c r="D5101" s="10">
        <v>45691</v>
      </c>
      <c r="E5101" t="s">
        <v>6393</v>
      </c>
      <c r="F5101" s="11" t="s">
        <v>6394</v>
      </c>
      <c r="G5101" s="8">
        <v>79.61</v>
      </c>
      <c r="H5101" s="8">
        <v>0</v>
      </c>
      <c r="I5101" s="8">
        <f t="shared" si="243"/>
        <v>-1268.8000000000013</v>
      </c>
      <c r="J5101" s="12"/>
    </row>
    <row r="5102" spans="3:10" x14ac:dyDescent="0.25">
      <c r="C5102" s="9"/>
      <c r="D5102" s="10">
        <v>45692</v>
      </c>
      <c r="E5102" t="s">
        <v>6395</v>
      </c>
      <c r="F5102" s="11" t="s">
        <v>6396</v>
      </c>
      <c r="G5102" s="8">
        <v>45.33</v>
      </c>
      <c r="H5102" s="8">
        <v>0</v>
      </c>
      <c r="I5102" s="8">
        <f t="shared" si="243"/>
        <v>-1223.4700000000014</v>
      </c>
      <c r="J5102" s="12"/>
    </row>
    <row r="5103" spans="3:10" x14ac:dyDescent="0.25">
      <c r="C5103" s="9"/>
      <c r="D5103" s="10">
        <v>45692</v>
      </c>
      <c r="E5103" t="s">
        <v>6397</v>
      </c>
      <c r="F5103" s="11" t="s">
        <v>6398</v>
      </c>
      <c r="G5103" s="8">
        <v>0.82</v>
      </c>
      <c r="H5103" s="8">
        <v>0</v>
      </c>
      <c r="I5103" s="8">
        <f t="shared" si="243"/>
        <v>-1222.6500000000015</v>
      </c>
      <c r="J5103" s="12"/>
    </row>
    <row r="5104" spans="3:10" x14ac:dyDescent="0.25">
      <c r="C5104" s="9"/>
      <c r="D5104" s="10">
        <v>45692</v>
      </c>
      <c r="E5104" t="s">
        <v>6399</v>
      </c>
      <c r="F5104" s="11" t="s">
        <v>6400</v>
      </c>
      <c r="G5104" s="8">
        <v>19.239999999999998</v>
      </c>
      <c r="H5104" s="8">
        <v>0</v>
      </c>
      <c r="I5104" s="8">
        <f t="shared" si="243"/>
        <v>-1203.4100000000014</v>
      </c>
      <c r="J5104" s="12"/>
    </row>
    <row r="5105" spans="3:10" x14ac:dyDescent="0.25">
      <c r="C5105" s="9"/>
      <c r="D5105" s="10">
        <v>45692</v>
      </c>
      <c r="E5105" t="s">
        <v>6401</v>
      </c>
      <c r="F5105" s="11" t="s">
        <v>6402</v>
      </c>
      <c r="G5105" s="8">
        <v>47.03</v>
      </c>
      <c r="H5105" s="8">
        <v>0</v>
      </c>
      <c r="I5105" s="8">
        <f t="shared" si="243"/>
        <v>-1156.3800000000015</v>
      </c>
      <c r="J5105" s="12"/>
    </row>
    <row r="5106" spans="3:10" x14ac:dyDescent="0.25">
      <c r="C5106" s="9"/>
      <c r="D5106" s="10">
        <v>45692</v>
      </c>
      <c r="E5106" t="s">
        <v>6401</v>
      </c>
      <c r="F5106" s="11" t="s">
        <v>6402</v>
      </c>
      <c r="G5106" s="8">
        <v>0</v>
      </c>
      <c r="H5106" s="8">
        <v>47.03</v>
      </c>
      <c r="I5106" s="8">
        <f t="shared" si="243"/>
        <v>-1203.4100000000014</v>
      </c>
      <c r="J5106" s="12"/>
    </row>
    <row r="5107" spans="3:10" x14ac:dyDescent="0.25">
      <c r="C5107" s="9"/>
      <c r="D5107" s="10">
        <v>45692</v>
      </c>
      <c r="E5107" t="s">
        <v>6403</v>
      </c>
      <c r="F5107" s="11" t="s">
        <v>6404</v>
      </c>
      <c r="G5107" s="8">
        <v>3.8</v>
      </c>
      <c r="H5107" s="8">
        <v>0</v>
      </c>
      <c r="I5107" s="8">
        <f t="shared" si="243"/>
        <v>-1199.6100000000015</v>
      </c>
      <c r="J5107" s="12"/>
    </row>
    <row r="5108" spans="3:10" x14ac:dyDescent="0.25">
      <c r="C5108" s="9"/>
      <c r="D5108" s="10">
        <v>45692</v>
      </c>
      <c r="E5108" t="s">
        <v>6405</v>
      </c>
      <c r="F5108" s="11" t="s">
        <v>6406</v>
      </c>
      <c r="G5108" s="8">
        <v>23.26</v>
      </c>
      <c r="H5108" s="8">
        <v>0</v>
      </c>
      <c r="I5108" s="8">
        <f t="shared" si="243"/>
        <v>-1176.3500000000015</v>
      </c>
      <c r="J5108" s="12"/>
    </row>
    <row r="5109" spans="3:10" x14ac:dyDescent="0.25">
      <c r="C5109" s="9"/>
      <c r="D5109" s="10">
        <v>45692</v>
      </c>
      <c r="E5109" t="s">
        <v>6407</v>
      </c>
      <c r="F5109" s="11" t="s">
        <v>6408</v>
      </c>
      <c r="G5109" s="8">
        <v>93.48</v>
      </c>
      <c r="H5109" s="8">
        <v>0</v>
      </c>
      <c r="I5109" s="8">
        <f t="shared" si="243"/>
        <v>-1082.8700000000015</v>
      </c>
      <c r="J5109" s="12"/>
    </row>
    <row r="5110" spans="3:10" x14ac:dyDescent="0.25">
      <c r="C5110" s="9"/>
      <c r="D5110" s="10">
        <v>45692</v>
      </c>
      <c r="E5110" t="s">
        <v>6407</v>
      </c>
      <c r="F5110" s="11" t="s">
        <v>6408</v>
      </c>
      <c r="G5110" s="8">
        <v>0</v>
      </c>
      <c r="H5110" s="8">
        <v>93.48</v>
      </c>
      <c r="I5110" s="8">
        <f t="shared" si="243"/>
        <v>-1176.3500000000015</v>
      </c>
      <c r="J5110" s="12"/>
    </row>
    <row r="5111" spans="3:10" x14ac:dyDescent="0.25">
      <c r="C5111" s="9"/>
      <c r="D5111" s="10">
        <v>45692</v>
      </c>
      <c r="E5111" t="s">
        <v>6409</v>
      </c>
      <c r="F5111" s="11" t="s">
        <v>6410</v>
      </c>
      <c r="G5111" s="8">
        <v>48.19</v>
      </c>
      <c r="H5111" s="8">
        <v>0</v>
      </c>
      <c r="I5111" s="8">
        <f t="shared" si="243"/>
        <v>-1128.1600000000014</v>
      </c>
      <c r="J5111" s="12"/>
    </row>
    <row r="5112" spans="3:10" x14ac:dyDescent="0.25">
      <c r="C5112" s="9"/>
      <c r="D5112" s="10">
        <v>45692</v>
      </c>
      <c r="E5112" t="s">
        <v>6409</v>
      </c>
      <c r="F5112" s="11" t="s">
        <v>6410</v>
      </c>
      <c r="G5112" s="8">
        <v>0</v>
      </c>
      <c r="H5112" s="8">
        <v>48.19</v>
      </c>
      <c r="I5112" s="8">
        <f t="shared" si="243"/>
        <v>-1176.3500000000015</v>
      </c>
      <c r="J5112" s="12"/>
    </row>
    <row r="5113" spans="3:10" x14ac:dyDescent="0.25">
      <c r="C5113" s="9"/>
      <c r="D5113" s="10">
        <v>45692</v>
      </c>
      <c r="E5113" t="s">
        <v>6411</v>
      </c>
      <c r="F5113" s="11" t="s">
        <v>6412</v>
      </c>
      <c r="G5113" s="8">
        <v>12.86</v>
      </c>
      <c r="H5113" s="8">
        <v>0</v>
      </c>
      <c r="I5113" s="8">
        <f t="shared" si="243"/>
        <v>-1163.4900000000016</v>
      </c>
      <c r="J5113" s="12"/>
    </row>
    <row r="5114" spans="3:10" x14ac:dyDescent="0.25">
      <c r="C5114" s="9"/>
      <c r="D5114" s="10">
        <v>45692</v>
      </c>
      <c r="E5114" t="s">
        <v>6413</v>
      </c>
      <c r="F5114" s="11" t="s">
        <v>6414</v>
      </c>
      <c r="G5114" s="8">
        <v>1.05</v>
      </c>
      <c r="H5114" s="8">
        <v>0</v>
      </c>
      <c r="I5114" s="8">
        <f t="shared" si="243"/>
        <v>-1162.4400000000016</v>
      </c>
      <c r="J5114" s="12"/>
    </row>
    <row r="5115" spans="3:10" x14ac:dyDescent="0.25">
      <c r="C5115" s="9"/>
      <c r="D5115" s="10">
        <v>45692</v>
      </c>
      <c r="E5115" t="s">
        <v>6415</v>
      </c>
      <c r="F5115" s="11" t="s">
        <v>6416</v>
      </c>
      <c r="G5115" s="8">
        <v>22.13</v>
      </c>
      <c r="H5115" s="8">
        <v>0</v>
      </c>
      <c r="I5115" s="8">
        <f t="shared" si="243"/>
        <v>-1140.3100000000015</v>
      </c>
      <c r="J5115" s="12"/>
    </row>
    <row r="5116" spans="3:10" x14ac:dyDescent="0.25">
      <c r="C5116" s="9"/>
      <c r="D5116" s="10">
        <v>45692</v>
      </c>
      <c r="E5116" t="s">
        <v>6417</v>
      </c>
      <c r="F5116" s="11" t="s">
        <v>6418</v>
      </c>
      <c r="G5116" s="8">
        <v>39.549999999999997</v>
      </c>
      <c r="H5116" s="8">
        <v>0</v>
      </c>
      <c r="I5116" s="8">
        <f t="shared" si="243"/>
        <v>-1100.7600000000016</v>
      </c>
      <c r="J5116" s="12"/>
    </row>
    <row r="5117" spans="3:10" x14ac:dyDescent="0.25">
      <c r="C5117" s="9"/>
      <c r="D5117" s="10">
        <v>45692</v>
      </c>
      <c r="E5117" t="s">
        <v>6417</v>
      </c>
      <c r="F5117" s="11" t="s">
        <v>6418</v>
      </c>
      <c r="G5117" s="8">
        <v>0</v>
      </c>
      <c r="H5117" s="8">
        <v>39.549999999999997</v>
      </c>
      <c r="I5117" s="8">
        <f t="shared" si="243"/>
        <v>-1140.3100000000015</v>
      </c>
      <c r="J5117" s="12"/>
    </row>
    <row r="5118" spans="3:10" x14ac:dyDescent="0.25">
      <c r="C5118" s="9"/>
      <c r="D5118" s="10">
        <v>45692</v>
      </c>
      <c r="E5118" t="s">
        <v>6419</v>
      </c>
      <c r="F5118" s="11" t="s">
        <v>6420</v>
      </c>
      <c r="G5118" s="8">
        <v>12.86</v>
      </c>
      <c r="H5118" s="8">
        <v>0</v>
      </c>
      <c r="I5118" s="8">
        <f t="shared" si="243"/>
        <v>-1127.4500000000016</v>
      </c>
      <c r="J5118" s="12"/>
    </row>
    <row r="5119" spans="3:10" x14ac:dyDescent="0.25">
      <c r="C5119" s="9"/>
      <c r="D5119" s="10">
        <v>45692</v>
      </c>
      <c r="E5119" t="s">
        <v>6421</v>
      </c>
      <c r="F5119" s="11" t="s">
        <v>6422</v>
      </c>
      <c r="G5119" s="8">
        <v>24.2</v>
      </c>
      <c r="H5119" s="8">
        <v>0</v>
      </c>
      <c r="I5119" s="8">
        <f t="shared" si="243"/>
        <v>-1103.2500000000016</v>
      </c>
      <c r="J5119" s="12"/>
    </row>
    <row r="5120" spans="3:10" x14ac:dyDescent="0.25">
      <c r="C5120" s="9"/>
      <c r="D5120" s="10">
        <v>45692</v>
      </c>
      <c r="E5120" t="s">
        <v>6421</v>
      </c>
      <c r="F5120" s="11" t="s">
        <v>6422</v>
      </c>
      <c r="G5120" s="8">
        <v>0</v>
      </c>
      <c r="H5120" s="8">
        <v>24.2</v>
      </c>
      <c r="I5120" s="8">
        <f t="shared" si="243"/>
        <v>-1127.4500000000016</v>
      </c>
      <c r="J5120" s="12"/>
    </row>
    <row r="5121" spans="3:10" x14ac:dyDescent="0.25">
      <c r="C5121" s="9"/>
      <c r="D5121" s="10">
        <v>45692</v>
      </c>
      <c r="E5121" t="s">
        <v>6423</v>
      </c>
      <c r="F5121" s="11" t="s">
        <v>6424</v>
      </c>
      <c r="G5121" s="8">
        <v>2.86</v>
      </c>
      <c r="H5121" s="8">
        <v>0</v>
      </c>
      <c r="I5121" s="8">
        <f t="shared" si="243"/>
        <v>-1124.5900000000017</v>
      </c>
      <c r="J5121" s="12"/>
    </row>
    <row r="5122" spans="3:10" x14ac:dyDescent="0.25">
      <c r="C5122" s="9"/>
      <c r="D5122" s="10">
        <v>45692</v>
      </c>
      <c r="E5122" t="s">
        <v>6425</v>
      </c>
      <c r="F5122" s="11" t="s">
        <v>6426</v>
      </c>
      <c r="G5122" s="8">
        <v>14.52</v>
      </c>
      <c r="H5122" s="8">
        <v>0</v>
      </c>
      <c r="I5122" s="8">
        <f t="shared" si="243"/>
        <v>-1110.0700000000018</v>
      </c>
      <c r="J5122" s="12"/>
    </row>
    <row r="5123" spans="3:10" x14ac:dyDescent="0.25">
      <c r="C5123" s="9"/>
      <c r="D5123" s="10">
        <v>45692</v>
      </c>
      <c r="E5123" t="s">
        <v>6425</v>
      </c>
      <c r="F5123" s="11" t="s">
        <v>6426</v>
      </c>
      <c r="G5123" s="8">
        <v>0</v>
      </c>
      <c r="H5123" s="8">
        <v>14.52</v>
      </c>
      <c r="I5123" s="8">
        <f t="shared" si="243"/>
        <v>-1124.5900000000017</v>
      </c>
      <c r="J5123" s="12"/>
    </row>
    <row r="5124" spans="3:10" x14ac:dyDescent="0.25">
      <c r="C5124" s="9"/>
      <c r="D5124" s="10">
        <v>45692</v>
      </c>
      <c r="E5124" t="s">
        <v>6427</v>
      </c>
      <c r="F5124" s="11" t="s">
        <v>42</v>
      </c>
      <c r="G5124" s="8">
        <v>0</v>
      </c>
      <c r="H5124" s="8">
        <v>904.01</v>
      </c>
      <c r="I5124" s="8">
        <f t="shared" si="243"/>
        <v>-2028.6000000000017</v>
      </c>
      <c r="J5124" s="12"/>
    </row>
    <row r="5125" spans="3:10" x14ac:dyDescent="0.25">
      <c r="C5125" s="9"/>
      <c r="D5125" s="10">
        <v>45693</v>
      </c>
      <c r="E5125" t="s">
        <v>6428</v>
      </c>
      <c r="F5125" s="11" t="s">
        <v>6429</v>
      </c>
      <c r="G5125" s="8">
        <v>135.38999999999999</v>
      </c>
      <c r="H5125" s="8">
        <v>0</v>
      </c>
      <c r="I5125" s="8">
        <f t="shared" si="243"/>
        <v>-1893.2100000000019</v>
      </c>
      <c r="J5125" s="12"/>
    </row>
    <row r="5126" spans="3:10" x14ac:dyDescent="0.25">
      <c r="C5126" s="9"/>
      <c r="D5126" s="10">
        <v>45693</v>
      </c>
      <c r="E5126" t="s">
        <v>6430</v>
      </c>
      <c r="F5126" s="11" t="s">
        <v>6431</v>
      </c>
      <c r="G5126" s="8">
        <v>3.24</v>
      </c>
      <c r="H5126" s="8">
        <v>0</v>
      </c>
      <c r="I5126" s="8">
        <f t="shared" si="243"/>
        <v>-1889.9700000000018</v>
      </c>
      <c r="J5126" s="12"/>
    </row>
    <row r="5127" spans="3:10" x14ac:dyDescent="0.25">
      <c r="C5127" s="9"/>
      <c r="D5127" s="10">
        <v>45693</v>
      </c>
      <c r="E5127" t="s">
        <v>6432</v>
      </c>
      <c r="F5127" s="11" t="s">
        <v>6433</v>
      </c>
      <c r="G5127" s="8">
        <v>92.08</v>
      </c>
      <c r="H5127" s="8">
        <v>0</v>
      </c>
      <c r="I5127" s="8">
        <f t="shared" si="243"/>
        <v>-1797.8900000000019</v>
      </c>
      <c r="J5127" s="12"/>
    </row>
    <row r="5128" spans="3:10" x14ac:dyDescent="0.25">
      <c r="C5128" s="9"/>
      <c r="D5128" s="10">
        <v>45693</v>
      </c>
      <c r="E5128" t="s">
        <v>6432</v>
      </c>
      <c r="F5128" s="11" t="s">
        <v>6433</v>
      </c>
      <c r="G5128" s="8">
        <v>0</v>
      </c>
      <c r="H5128" s="8">
        <v>92.08</v>
      </c>
      <c r="I5128" s="8">
        <f t="shared" si="243"/>
        <v>-1889.9700000000018</v>
      </c>
      <c r="J5128" s="12"/>
    </row>
    <row r="5129" spans="3:10" x14ac:dyDescent="0.25">
      <c r="C5129" s="9"/>
      <c r="D5129" s="10">
        <v>45693</v>
      </c>
      <c r="E5129" t="s">
        <v>6434</v>
      </c>
      <c r="F5129" s="11" t="s">
        <v>6435</v>
      </c>
      <c r="G5129" s="8">
        <v>32.69</v>
      </c>
      <c r="H5129" s="8">
        <v>0</v>
      </c>
      <c r="I5129" s="8">
        <f t="shared" si="243"/>
        <v>-1857.2800000000018</v>
      </c>
      <c r="J5129" s="12"/>
    </row>
    <row r="5130" spans="3:10" x14ac:dyDescent="0.25">
      <c r="C5130" s="9"/>
      <c r="D5130" s="10">
        <v>45693</v>
      </c>
      <c r="E5130" t="s">
        <v>6436</v>
      </c>
      <c r="F5130" s="11" t="s">
        <v>6437</v>
      </c>
      <c r="G5130" s="8">
        <v>8.9499999999999993</v>
      </c>
      <c r="H5130" s="8">
        <v>0</v>
      </c>
      <c r="I5130" s="8">
        <f t="shared" si="243"/>
        <v>-1848.3300000000017</v>
      </c>
      <c r="J5130" s="12"/>
    </row>
    <row r="5131" spans="3:10" x14ac:dyDescent="0.25">
      <c r="C5131" s="9"/>
      <c r="D5131" s="10">
        <v>45693</v>
      </c>
      <c r="E5131" t="s">
        <v>6438</v>
      </c>
      <c r="F5131" s="11" t="s">
        <v>6439</v>
      </c>
      <c r="G5131" s="8">
        <v>6.05</v>
      </c>
      <c r="H5131" s="8">
        <v>0</v>
      </c>
      <c r="I5131" s="8">
        <f t="shared" si="243"/>
        <v>-1842.2800000000018</v>
      </c>
      <c r="J5131" s="12"/>
    </row>
    <row r="5132" spans="3:10" x14ac:dyDescent="0.25">
      <c r="C5132" s="9"/>
      <c r="D5132" s="10">
        <v>45693</v>
      </c>
      <c r="E5132" t="s">
        <v>6440</v>
      </c>
      <c r="F5132" s="11" t="s">
        <v>6441</v>
      </c>
      <c r="G5132" s="8">
        <v>43.03</v>
      </c>
      <c r="H5132" s="8">
        <v>0</v>
      </c>
      <c r="I5132" s="8">
        <f t="shared" si="243"/>
        <v>-1799.2500000000018</v>
      </c>
      <c r="J5132" s="12"/>
    </row>
    <row r="5133" spans="3:10" x14ac:dyDescent="0.25">
      <c r="C5133" s="9"/>
      <c r="D5133" s="10">
        <v>45693</v>
      </c>
      <c r="E5133" t="s">
        <v>6442</v>
      </c>
      <c r="F5133" s="11" t="s">
        <v>6443</v>
      </c>
      <c r="G5133" s="8">
        <v>15.9</v>
      </c>
      <c r="H5133" s="8">
        <v>0</v>
      </c>
      <c r="I5133" s="8">
        <f t="shared" si="243"/>
        <v>-1783.3500000000017</v>
      </c>
      <c r="J5133" s="12"/>
    </row>
    <row r="5134" spans="3:10" x14ac:dyDescent="0.25">
      <c r="C5134" s="9"/>
      <c r="D5134" s="10">
        <v>45693</v>
      </c>
      <c r="E5134" t="s">
        <v>6444</v>
      </c>
      <c r="F5134" s="11" t="s">
        <v>6445</v>
      </c>
      <c r="G5134" s="8">
        <v>19.3</v>
      </c>
      <c r="H5134" s="8">
        <v>0</v>
      </c>
      <c r="I5134" s="8">
        <f t="shared" si="243"/>
        <v>-1764.0500000000018</v>
      </c>
      <c r="J5134" s="12"/>
    </row>
    <row r="5135" spans="3:10" x14ac:dyDescent="0.25">
      <c r="C5135" s="9"/>
      <c r="D5135" s="10">
        <v>45693</v>
      </c>
      <c r="E5135" t="s">
        <v>6446</v>
      </c>
      <c r="F5135" s="11" t="s">
        <v>6447</v>
      </c>
      <c r="G5135" s="8">
        <v>0.77</v>
      </c>
      <c r="H5135" s="8">
        <v>0</v>
      </c>
      <c r="I5135" s="8">
        <f t="shared" si="243"/>
        <v>-1763.2800000000018</v>
      </c>
      <c r="J5135" s="12"/>
    </row>
    <row r="5136" spans="3:10" x14ac:dyDescent="0.25">
      <c r="C5136" s="9"/>
      <c r="D5136" s="10">
        <v>45693</v>
      </c>
      <c r="E5136" t="s">
        <v>6446</v>
      </c>
      <c r="F5136" s="11" t="s">
        <v>6447</v>
      </c>
      <c r="G5136" s="8">
        <v>0</v>
      </c>
      <c r="H5136" s="8">
        <v>0.77</v>
      </c>
      <c r="I5136" s="8">
        <f t="shared" si="243"/>
        <v>-1764.0500000000018</v>
      </c>
      <c r="J5136" s="12"/>
    </row>
    <row r="5137" spans="3:10" x14ac:dyDescent="0.25">
      <c r="C5137" s="9"/>
      <c r="D5137" s="10">
        <v>45693</v>
      </c>
      <c r="E5137" t="s">
        <v>6448</v>
      </c>
      <c r="F5137" s="11" t="s">
        <v>6449</v>
      </c>
      <c r="G5137" s="8">
        <v>3.12</v>
      </c>
      <c r="H5137" s="8">
        <v>0</v>
      </c>
      <c r="I5137" s="8">
        <f t="shared" si="243"/>
        <v>-1760.9300000000019</v>
      </c>
      <c r="J5137" s="12"/>
    </row>
    <row r="5138" spans="3:10" x14ac:dyDescent="0.25">
      <c r="C5138" s="9"/>
      <c r="D5138" s="10">
        <v>45693</v>
      </c>
      <c r="E5138" t="s">
        <v>6450</v>
      </c>
      <c r="F5138" s="11" t="s">
        <v>6451</v>
      </c>
      <c r="G5138" s="8">
        <v>1.31</v>
      </c>
      <c r="H5138" s="8">
        <v>0</v>
      </c>
      <c r="I5138" s="8">
        <f t="shared" si="243"/>
        <v>-1759.6200000000019</v>
      </c>
      <c r="J5138" s="12"/>
    </row>
    <row r="5139" spans="3:10" x14ac:dyDescent="0.25">
      <c r="C5139" s="9"/>
      <c r="D5139" s="10">
        <v>45693</v>
      </c>
      <c r="E5139" t="s">
        <v>6452</v>
      </c>
      <c r="F5139" s="11" t="s">
        <v>6453</v>
      </c>
      <c r="G5139" s="8">
        <v>16.21</v>
      </c>
      <c r="H5139" s="8">
        <v>0</v>
      </c>
      <c r="I5139" s="8">
        <f t="shared" si="243"/>
        <v>-1743.4100000000019</v>
      </c>
      <c r="J5139" s="12"/>
    </row>
    <row r="5140" spans="3:10" x14ac:dyDescent="0.25">
      <c r="C5140" s="9"/>
      <c r="D5140" s="10">
        <v>45693</v>
      </c>
      <c r="E5140" t="s">
        <v>6454</v>
      </c>
      <c r="F5140" s="11" t="s">
        <v>6455</v>
      </c>
      <c r="G5140" s="8">
        <v>59.22</v>
      </c>
      <c r="H5140" s="8">
        <v>0</v>
      </c>
      <c r="I5140" s="8">
        <f t="shared" si="243"/>
        <v>-1684.1900000000019</v>
      </c>
      <c r="J5140" s="12"/>
    </row>
    <row r="5141" spans="3:10" x14ac:dyDescent="0.25">
      <c r="C5141" s="9"/>
      <c r="D5141" s="10">
        <v>45693</v>
      </c>
      <c r="E5141" t="s">
        <v>6456</v>
      </c>
      <c r="F5141" s="11" t="s">
        <v>6457</v>
      </c>
      <c r="G5141" s="8">
        <v>44.1</v>
      </c>
      <c r="H5141" s="8">
        <v>0</v>
      </c>
      <c r="I5141" s="8">
        <f t="shared" si="243"/>
        <v>-1640.090000000002</v>
      </c>
      <c r="J5141" s="12"/>
    </row>
    <row r="5142" spans="3:10" x14ac:dyDescent="0.25">
      <c r="C5142" s="9"/>
      <c r="D5142" s="10">
        <v>45693</v>
      </c>
      <c r="E5142" t="s">
        <v>6458</v>
      </c>
      <c r="F5142" s="11" t="s">
        <v>42</v>
      </c>
      <c r="G5142" s="8">
        <v>0</v>
      </c>
      <c r="H5142" s="8">
        <v>144.21</v>
      </c>
      <c r="I5142" s="8">
        <f t="shared" si="243"/>
        <v>-1784.300000000002</v>
      </c>
      <c r="J5142" s="12"/>
    </row>
    <row r="5143" spans="3:10" x14ac:dyDescent="0.25">
      <c r="C5143" s="9"/>
      <c r="D5143" s="10">
        <v>45694</v>
      </c>
      <c r="E5143" t="s">
        <v>6459</v>
      </c>
      <c r="F5143" s="11" t="s">
        <v>6460</v>
      </c>
      <c r="G5143" s="8">
        <v>4.6500000000000004</v>
      </c>
      <c r="H5143" s="8">
        <v>0</v>
      </c>
      <c r="I5143" s="8">
        <f t="shared" si="243"/>
        <v>-1779.6500000000019</v>
      </c>
      <c r="J5143" s="12"/>
    </row>
    <row r="5144" spans="3:10" x14ac:dyDescent="0.25">
      <c r="C5144" s="9"/>
      <c r="D5144" s="10">
        <v>45694</v>
      </c>
      <c r="E5144" t="s">
        <v>6461</v>
      </c>
      <c r="F5144" s="11" t="s">
        <v>6462</v>
      </c>
      <c r="G5144" s="8">
        <v>8.3000000000000007</v>
      </c>
      <c r="H5144" s="8">
        <v>0</v>
      </c>
      <c r="I5144" s="8">
        <f t="shared" si="243"/>
        <v>-1771.350000000002</v>
      </c>
      <c r="J5144" s="12"/>
    </row>
    <row r="5145" spans="3:10" x14ac:dyDescent="0.25">
      <c r="C5145" s="9"/>
      <c r="D5145" s="10">
        <v>45694</v>
      </c>
      <c r="E5145" t="s">
        <v>6463</v>
      </c>
      <c r="F5145" s="11" t="s">
        <v>6464</v>
      </c>
      <c r="G5145" s="8">
        <v>7.31</v>
      </c>
      <c r="H5145" s="8">
        <v>0</v>
      </c>
      <c r="I5145" s="8">
        <f t="shared" si="243"/>
        <v>-1764.040000000002</v>
      </c>
      <c r="J5145" s="12"/>
    </row>
    <row r="5146" spans="3:10" x14ac:dyDescent="0.25">
      <c r="C5146" s="9"/>
      <c r="D5146" s="10">
        <v>45694</v>
      </c>
      <c r="E5146" t="s">
        <v>6465</v>
      </c>
      <c r="F5146" s="11" t="s">
        <v>6466</v>
      </c>
      <c r="G5146" s="8">
        <v>42.47</v>
      </c>
      <c r="H5146" s="8">
        <v>0</v>
      </c>
      <c r="I5146" s="8">
        <f t="shared" si="243"/>
        <v>-1721.570000000002</v>
      </c>
      <c r="J5146" s="12"/>
    </row>
    <row r="5147" spans="3:10" x14ac:dyDescent="0.25">
      <c r="C5147" s="9"/>
      <c r="D5147" s="10">
        <v>45694</v>
      </c>
      <c r="E5147" t="s">
        <v>6465</v>
      </c>
      <c r="F5147" s="11" t="s">
        <v>6466</v>
      </c>
      <c r="G5147" s="8">
        <v>0</v>
      </c>
      <c r="H5147" s="8">
        <v>42.47</v>
      </c>
      <c r="I5147" s="8">
        <f t="shared" si="243"/>
        <v>-1764.040000000002</v>
      </c>
      <c r="J5147" s="12"/>
    </row>
    <row r="5148" spans="3:10" x14ac:dyDescent="0.25">
      <c r="C5148" s="9"/>
      <c r="D5148" s="10">
        <v>45694</v>
      </c>
      <c r="E5148" t="s">
        <v>6467</v>
      </c>
      <c r="F5148" s="11" t="s">
        <v>6468</v>
      </c>
      <c r="G5148" s="8">
        <v>1.49</v>
      </c>
      <c r="H5148" s="8">
        <v>0</v>
      </c>
      <c r="I5148" s="8">
        <f t="shared" ref="I5148:I5211" si="244">G5148-H5148+I5147</f>
        <v>-1762.550000000002</v>
      </c>
      <c r="J5148" s="12"/>
    </row>
    <row r="5149" spans="3:10" x14ac:dyDescent="0.25">
      <c r="C5149" s="9"/>
      <c r="D5149" s="10">
        <v>45694</v>
      </c>
      <c r="E5149" t="s">
        <v>6467</v>
      </c>
      <c r="F5149" s="11" t="s">
        <v>6468</v>
      </c>
      <c r="G5149" s="8">
        <v>0</v>
      </c>
      <c r="H5149" s="8">
        <v>1.49</v>
      </c>
      <c r="I5149" s="8">
        <f t="shared" si="244"/>
        <v>-1764.040000000002</v>
      </c>
      <c r="J5149" s="12"/>
    </row>
    <row r="5150" spans="3:10" x14ac:dyDescent="0.25">
      <c r="C5150" s="9"/>
      <c r="D5150" s="10">
        <v>45694</v>
      </c>
      <c r="E5150" t="s">
        <v>6469</v>
      </c>
      <c r="F5150" s="11" t="s">
        <v>6470</v>
      </c>
      <c r="G5150" s="8">
        <v>8.1300000000000008</v>
      </c>
      <c r="H5150" s="8">
        <v>0</v>
      </c>
      <c r="I5150" s="8">
        <f t="shared" si="244"/>
        <v>-1755.9100000000019</v>
      </c>
      <c r="J5150" s="12"/>
    </row>
    <row r="5151" spans="3:10" x14ac:dyDescent="0.25">
      <c r="C5151" s="9"/>
      <c r="D5151" s="10">
        <v>45694</v>
      </c>
      <c r="E5151" t="s">
        <v>6471</v>
      </c>
      <c r="F5151" s="11" t="s">
        <v>6472</v>
      </c>
      <c r="G5151" s="8">
        <v>26.44</v>
      </c>
      <c r="H5151" s="8">
        <v>0</v>
      </c>
      <c r="I5151" s="8">
        <f t="shared" si="244"/>
        <v>-1729.4700000000018</v>
      </c>
      <c r="J5151" s="12"/>
    </row>
    <row r="5152" spans="3:10" x14ac:dyDescent="0.25">
      <c r="C5152" s="9"/>
      <c r="D5152" s="10">
        <v>45694</v>
      </c>
      <c r="E5152" t="s">
        <v>6473</v>
      </c>
      <c r="F5152" s="11" t="s">
        <v>6474</v>
      </c>
      <c r="G5152" s="8">
        <v>134.47999999999999</v>
      </c>
      <c r="H5152" s="8">
        <v>0</v>
      </c>
      <c r="I5152" s="8">
        <f t="shared" si="244"/>
        <v>-1594.9900000000018</v>
      </c>
      <c r="J5152" s="12"/>
    </row>
    <row r="5153" spans="3:10" x14ac:dyDescent="0.25">
      <c r="C5153" s="9"/>
      <c r="D5153" s="10">
        <v>45694</v>
      </c>
      <c r="E5153" t="s">
        <v>6475</v>
      </c>
      <c r="F5153" s="11" t="s">
        <v>6476</v>
      </c>
      <c r="G5153" s="8">
        <v>5.98</v>
      </c>
      <c r="H5153" s="8">
        <v>0</v>
      </c>
      <c r="I5153" s="8">
        <f t="shared" si="244"/>
        <v>-1589.0100000000018</v>
      </c>
      <c r="J5153" s="12"/>
    </row>
    <row r="5154" spans="3:10" x14ac:dyDescent="0.25">
      <c r="C5154" s="9"/>
      <c r="D5154" s="10">
        <v>45694</v>
      </c>
      <c r="E5154" t="s">
        <v>6477</v>
      </c>
      <c r="F5154" s="11" t="s">
        <v>6478</v>
      </c>
      <c r="G5154" s="8">
        <v>31.62</v>
      </c>
      <c r="H5154" s="8">
        <v>0</v>
      </c>
      <c r="I5154" s="8">
        <f t="shared" si="244"/>
        <v>-1557.3900000000019</v>
      </c>
      <c r="J5154" s="12"/>
    </row>
    <row r="5155" spans="3:10" x14ac:dyDescent="0.25">
      <c r="C5155" s="9"/>
      <c r="D5155" s="10">
        <v>45694</v>
      </c>
      <c r="E5155" t="s">
        <v>6479</v>
      </c>
      <c r="F5155" s="11" t="s">
        <v>6480</v>
      </c>
      <c r="G5155" s="8">
        <v>81.680000000000007</v>
      </c>
      <c r="H5155" s="8">
        <v>0</v>
      </c>
      <c r="I5155" s="8">
        <f t="shared" si="244"/>
        <v>-1475.7100000000019</v>
      </c>
      <c r="J5155" s="12"/>
    </row>
    <row r="5156" spans="3:10" x14ac:dyDescent="0.25">
      <c r="C5156" s="9"/>
      <c r="D5156" s="10">
        <v>45694</v>
      </c>
      <c r="E5156" t="s">
        <v>6481</v>
      </c>
      <c r="F5156" s="11" t="s">
        <v>6482</v>
      </c>
      <c r="G5156" s="8">
        <v>104.54</v>
      </c>
      <c r="H5156" s="8">
        <v>0</v>
      </c>
      <c r="I5156" s="8">
        <f t="shared" si="244"/>
        <v>-1371.1700000000019</v>
      </c>
      <c r="J5156" s="12"/>
    </row>
    <row r="5157" spans="3:10" x14ac:dyDescent="0.25">
      <c r="C5157" s="9"/>
      <c r="D5157" s="10">
        <v>45694</v>
      </c>
      <c r="E5157" t="s">
        <v>6483</v>
      </c>
      <c r="F5157" s="11" t="s">
        <v>6484</v>
      </c>
      <c r="G5157" s="8">
        <v>10.87</v>
      </c>
      <c r="H5157" s="8">
        <v>0</v>
      </c>
      <c r="I5157" s="8">
        <f t="shared" si="244"/>
        <v>-1360.300000000002</v>
      </c>
      <c r="J5157" s="12"/>
    </row>
    <row r="5158" spans="3:10" x14ac:dyDescent="0.25">
      <c r="C5158" s="9"/>
      <c r="D5158" s="10">
        <v>45694</v>
      </c>
      <c r="E5158" t="s">
        <v>6485</v>
      </c>
      <c r="F5158" s="11" t="s">
        <v>6486</v>
      </c>
      <c r="G5158" s="8">
        <v>102.55</v>
      </c>
      <c r="H5158" s="8">
        <v>0</v>
      </c>
      <c r="I5158" s="8">
        <f t="shared" si="244"/>
        <v>-1257.750000000002</v>
      </c>
      <c r="J5158" s="12"/>
    </row>
    <row r="5159" spans="3:10" x14ac:dyDescent="0.25">
      <c r="C5159" s="9"/>
      <c r="D5159" s="10">
        <v>45694</v>
      </c>
      <c r="E5159" t="s">
        <v>6485</v>
      </c>
      <c r="F5159" s="11" t="s">
        <v>6486</v>
      </c>
      <c r="G5159" s="8">
        <v>0</v>
      </c>
      <c r="H5159" s="8">
        <v>102.55</v>
      </c>
      <c r="I5159" s="8">
        <f t="shared" si="244"/>
        <v>-1360.300000000002</v>
      </c>
      <c r="J5159" s="12"/>
    </row>
    <row r="5160" spans="3:10" x14ac:dyDescent="0.25">
      <c r="C5160" s="9"/>
      <c r="D5160" s="10">
        <v>45694</v>
      </c>
      <c r="E5160" t="s">
        <v>6487</v>
      </c>
      <c r="F5160" s="11" t="s">
        <v>6488</v>
      </c>
      <c r="G5160" s="8">
        <v>39.04</v>
      </c>
      <c r="H5160" s="8">
        <v>0</v>
      </c>
      <c r="I5160" s="8">
        <f t="shared" si="244"/>
        <v>-1321.260000000002</v>
      </c>
      <c r="J5160" s="12"/>
    </row>
    <row r="5161" spans="3:10" x14ac:dyDescent="0.25">
      <c r="C5161" s="9"/>
      <c r="D5161" s="10">
        <v>45694</v>
      </c>
      <c r="E5161" t="s">
        <v>6489</v>
      </c>
      <c r="F5161" s="11" t="s">
        <v>6490</v>
      </c>
      <c r="G5161" s="8">
        <v>2301.42</v>
      </c>
      <c r="H5161" s="8">
        <v>0</v>
      </c>
      <c r="I5161" s="8">
        <f t="shared" si="244"/>
        <v>980.15999999999804</v>
      </c>
      <c r="J5161" s="12"/>
    </row>
    <row r="5162" spans="3:10" x14ac:dyDescent="0.25">
      <c r="C5162" s="9"/>
      <c r="D5162" s="10">
        <v>45694</v>
      </c>
      <c r="E5162" t="s">
        <v>6491</v>
      </c>
      <c r="F5162" s="11" t="s">
        <v>6492</v>
      </c>
      <c r="G5162" s="8">
        <v>47.31</v>
      </c>
      <c r="H5162" s="8">
        <v>0</v>
      </c>
      <c r="I5162" s="8">
        <f t="shared" si="244"/>
        <v>1027.469999999998</v>
      </c>
      <c r="J5162" s="12"/>
    </row>
    <row r="5163" spans="3:10" x14ac:dyDescent="0.25">
      <c r="C5163" s="9"/>
      <c r="D5163" s="10">
        <v>45694</v>
      </c>
      <c r="E5163" t="s">
        <v>6493</v>
      </c>
      <c r="F5163" s="11" t="s">
        <v>6494</v>
      </c>
      <c r="G5163" s="8">
        <v>4.8</v>
      </c>
      <c r="H5163" s="8">
        <v>0</v>
      </c>
      <c r="I5163" s="8">
        <f t="shared" si="244"/>
        <v>1032.2699999999979</v>
      </c>
      <c r="J5163" s="12"/>
    </row>
    <row r="5164" spans="3:10" x14ac:dyDescent="0.25">
      <c r="C5164" s="9"/>
      <c r="D5164" s="10">
        <v>45694</v>
      </c>
      <c r="E5164" t="s">
        <v>6495</v>
      </c>
      <c r="F5164" s="11" t="s">
        <v>42</v>
      </c>
      <c r="G5164" s="8">
        <v>0</v>
      </c>
      <c r="H5164" s="8">
        <v>388.51</v>
      </c>
      <c r="I5164" s="8">
        <f t="shared" si="244"/>
        <v>643.75999999999794</v>
      </c>
      <c r="J5164" s="12"/>
    </row>
    <row r="5165" spans="3:10" x14ac:dyDescent="0.25">
      <c r="C5165" s="9"/>
      <c r="D5165" s="10">
        <v>45695</v>
      </c>
      <c r="E5165" t="s">
        <v>6496</v>
      </c>
      <c r="F5165" s="11" t="s">
        <v>6497</v>
      </c>
      <c r="G5165" s="8">
        <v>27.2</v>
      </c>
      <c r="H5165" s="8">
        <v>0</v>
      </c>
      <c r="I5165" s="8">
        <f t="shared" si="244"/>
        <v>670.95999999999799</v>
      </c>
      <c r="J5165" s="12"/>
    </row>
    <row r="5166" spans="3:10" x14ac:dyDescent="0.25">
      <c r="C5166" s="9"/>
      <c r="D5166" s="10">
        <v>45695</v>
      </c>
      <c r="E5166" t="s">
        <v>6498</v>
      </c>
      <c r="F5166" s="11" t="s">
        <v>6499</v>
      </c>
      <c r="G5166" s="8">
        <v>5.66</v>
      </c>
      <c r="H5166" s="8">
        <v>0</v>
      </c>
      <c r="I5166" s="8">
        <f t="shared" si="244"/>
        <v>676.61999999999796</v>
      </c>
      <c r="J5166" s="12"/>
    </row>
    <row r="5167" spans="3:10" x14ac:dyDescent="0.25">
      <c r="C5167" s="9"/>
      <c r="D5167" s="10">
        <v>45695</v>
      </c>
      <c r="E5167" t="s">
        <v>6500</v>
      </c>
      <c r="F5167" s="11" t="s">
        <v>6501</v>
      </c>
      <c r="G5167" s="8">
        <v>20.260000000000002</v>
      </c>
      <c r="H5167" s="8">
        <v>0</v>
      </c>
      <c r="I5167" s="8">
        <f t="shared" si="244"/>
        <v>696.87999999999795</v>
      </c>
      <c r="J5167" s="12"/>
    </row>
    <row r="5168" spans="3:10" x14ac:dyDescent="0.25">
      <c r="C5168" s="9"/>
      <c r="D5168" s="10">
        <v>45695</v>
      </c>
      <c r="E5168" t="s">
        <v>6502</v>
      </c>
      <c r="F5168" s="11" t="s">
        <v>6503</v>
      </c>
      <c r="G5168" s="8">
        <v>10.64</v>
      </c>
      <c r="H5168" s="8">
        <v>0</v>
      </c>
      <c r="I5168" s="8">
        <f t="shared" si="244"/>
        <v>707.51999999999794</v>
      </c>
      <c r="J5168" s="12"/>
    </row>
    <row r="5169" spans="3:10" x14ac:dyDescent="0.25">
      <c r="C5169" s="9"/>
      <c r="D5169" s="10">
        <v>45695</v>
      </c>
      <c r="E5169" t="s">
        <v>6504</v>
      </c>
      <c r="F5169" s="11" t="s">
        <v>6505</v>
      </c>
      <c r="G5169" s="8">
        <v>58.82</v>
      </c>
      <c r="H5169" s="8">
        <v>0</v>
      </c>
      <c r="I5169" s="8">
        <f t="shared" si="244"/>
        <v>766.33999999999799</v>
      </c>
      <c r="J5169" s="12"/>
    </row>
    <row r="5170" spans="3:10" x14ac:dyDescent="0.25">
      <c r="C5170" s="9"/>
      <c r="D5170" s="10">
        <v>45695</v>
      </c>
      <c r="E5170" t="s">
        <v>6506</v>
      </c>
      <c r="F5170" s="11" t="s">
        <v>6507</v>
      </c>
      <c r="G5170" s="8">
        <v>7.9</v>
      </c>
      <c r="H5170" s="8">
        <v>0</v>
      </c>
      <c r="I5170" s="8">
        <f t="shared" si="244"/>
        <v>774.23999999999796</v>
      </c>
      <c r="J5170" s="12"/>
    </row>
    <row r="5171" spans="3:10" x14ac:dyDescent="0.25">
      <c r="C5171" s="9"/>
      <c r="D5171" s="10">
        <v>45695</v>
      </c>
      <c r="E5171" t="s">
        <v>6508</v>
      </c>
      <c r="F5171" s="11" t="s">
        <v>6509</v>
      </c>
      <c r="G5171" s="8">
        <v>120.73</v>
      </c>
      <c r="H5171" s="8">
        <v>0</v>
      </c>
      <c r="I5171" s="8">
        <f t="shared" si="244"/>
        <v>894.96999999999798</v>
      </c>
      <c r="J5171" s="12"/>
    </row>
    <row r="5172" spans="3:10" x14ac:dyDescent="0.25">
      <c r="C5172" s="9"/>
      <c r="D5172" s="10">
        <v>45695</v>
      </c>
      <c r="E5172" t="s">
        <v>6510</v>
      </c>
      <c r="F5172" s="11" t="s">
        <v>6511</v>
      </c>
      <c r="G5172" s="8">
        <v>17.809999999999999</v>
      </c>
      <c r="H5172" s="8">
        <v>0</v>
      </c>
      <c r="I5172" s="8">
        <f t="shared" si="244"/>
        <v>912.77999999999793</v>
      </c>
      <c r="J5172" s="12"/>
    </row>
    <row r="5173" spans="3:10" x14ac:dyDescent="0.25">
      <c r="C5173" s="9"/>
      <c r="D5173" s="10">
        <v>45695</v>
      </c>
      <c r="E5173" t="s">
        <v>6512</v>
      </c>
      <c r="F5173" s="11" t="s">
        <v>6513</v>
      </c>
      <c r="G5173" s="8">
        <v>99.07</v>
      </c>
      <c r="H5173" s="8">
        <v>0</v>
      </c>
      <c r="I5173" s="8">
        <f t="shared" si="244"/>
        <v>1011.8499999999979</v>
      </c>
      <c r="J5173" s="12"/>
    </row>
    <row r="5174" spans="3:10" x14ac:dyDescent="0.25">
      <c r="C5174" s="9"/>
      <c r="D5174" s="10">
        <v>45695</v>
      </c>
      <c r="E5174" t="s">
        <v>6514</v>
      </c>
      <c r="F5174" s="11" t="s">
        <v>6515</v>
      </c>
      <c r="G5174" s="8">
        <v>8.8800000000000008</v>
      </c>
      <c r="H5174" s="8">
        <v>0</v>
      </c>
      <c r="I5174" s="8">
        <f t="shared" si="244"/>
        <v>1020.7299999999979</v>
      </c>
      <c r="J5174" s="12"/>
    </row>
    <row r="5175" spans="3:10" x14ac:dyDescent="0.25">
      <c r="C5175" s="9"/>
      <c r="D5175" s="10">
        <v>45695</v>
      </c>
      <c r="E5175" t="s">
        <v>6514</v>
      </c>
      <c r="F5175" s="11" t="s">
        <v>6515</v>
      </c>
      <c r="G5175" s="8">
        <v>0</v>
      </c>
      <c r="H5175" s="8">
        <v>8.8800000000000008</v>
      </c>
      <c r="I5175" s="8">
        <f t="shared" si="244"/>
        <v>1011.8499999999979</v>
      </c>
      <c r="J5175" s="12"/>
    </row>
    <row r="5176" spans="3:10" x14ac:dyDescent="0.25">
      <c r="C5176" s="9"/>
      <c r="D5176" s="10">
        <v>45695</v>
      </c>
      <c r="E5176" t="s">
        <v>6516</v>
      </c>
      <c r="F5176" s="11" t="s">
        <v>6517</v>
      </c>
      <c r="G5176" s="8">
        <v>17.38</v>
      </c>
      <c r="H5176" s="8">
        <v>0</v>
      </c>
      <c r="I5176" s="8">
        <f t="shared" si="244"/>
        <v>1029.229999999998</v>
      </c>
      <c r="J5176" s="12"/>
    </row>
    <row r="5177" spans="3:10" x14ac:dyDescent="0.25">
      <c r="C5177" s="9"/>
      <c r="D5177" s="10">
        <v>45695</v>
      </c>
      <c r="E5177" t="s">
        <v>6516</v>
      </c>
      <c r="F5177" s="11" t="s">
        <v>6517</v>
      </c>
      <c r="G5177" s="8">
        <v>0</v>
      </c>
      <c r="H5177" s="8">
        <v>17.38</v>
      </c>
      <c r="I5177" s="8">
        <f t="shared" si="244"/>
        <v>1011.849999999998</v>
      </c>
      <c r="J5177" s="12"/>
    </row>
    <row r="5178" spans="3:10" x14ac:dyDescent="0.25">
      <c r="C5178" s="9"/>
      <c r="D5178" s="10">
        <v>45695</v>
      </c>
      <c r="E5178" t="s">
        <v>6518</v>
      </c>
      <c r="F5178" s="11" t="s">
        <v>6519</v>
      </c>
      <c r="G5178" s="8">
        <v>274.57</v>
      </c>
      <c r="H5178" s="8">
        <v>0</v>
      </c>
      <c r="I5178" s="8">
        <f t="shared" si="244"/>
        <v>1286.419999999998</v>
      </c>
      <c r="J5178" s="12"/>
    </row>
    <row r="5179" spans="3:10" x14ac:dyDescent="0.25">
      <c r="C5179" s="9"/>
      <c r="D5179" s="10">
        <v>45695</v>
      </c>
      <c r="E5179" t="s">
        <v>6520</v>
      </c>
      <c r="F5179" s="11" t="s">
        <v>6521</v>
      </c>
      <c r="G5179" s="8">
        <v>8.52</v>
      </c>
      <c r="H5179" s="8">
        <v>0</v>
      </c>
      <c r="I5179" s="8">
        <f t="shared" si="244"/>
        <v>1294.939999999998</v>
      </c>
      <c r="J5179" s="12"/>
    </row>
    <row r="5180" spans="3:10" x14ac:dyDescent="0.25">
      <c r="C5180" s="9"/>
      <c r="D5180" s="10">
        <v>45695</v>
      </c>
      <c r="E5180" t="s">
        <v>6520</v>
      </c>
      <c r="F5180" s="11" t="s">
        <v>6521</v>
      </c>
      <c r="G5180" s="8">
        <v>0</v>
      </c>
      <c r="H5180" s="8">
        <v>8.52</v>
      </c>
      <c r="I5180" s="8">
        <f t="shared" si="244"/>
        <v>1286.419999999998</v>
      </c>
      <c r="J5180" s="12"/>
    </row>
    <row r="5181" spans="3:10" x14ac:dyDescent="0.25">
      <c r="C5181" s="9"/>
      <c r="D5181" s="10">
        <v>45695</v>
      </c>
      <c r="E5181" t="s">
        <v>6522</v>
      </c>
      <c r="F5181" s="11" t="s">
        <v>6523</v>
      </c>
      <c r="G5181" s="8">
        <v>18.36</v>
      </c>
      <c r="H5181" s="8">
        <v>0</v>
      </c>
      <c r="I5181" s="8">
        <f t="shared" si="244"/>
        <v>1304.7799999999979</v>
      </c>
      <c r="J5181" s="12"/>
    </row>
    <row r="5182" spans="3:10" x14ac:dyDescent="0.25">
      <c r="C5182" s="9"/>
      <c r="D5182" s="10">
        <v>45695</v>
      </c>
      <c r="E5182" t="s">
        <v>6524</v>
      </c>
      <c r="F5182" s="11" t="s">
        <v>6525</v>
      </c>
      <c r="G5182" s="8">
        <v>212.88</v>
      </c>
      <c r="H5182" s="8">
        <v>0</v>
      </c>
      <c r="I5182" s="8">
        <f t="shared" si="244"/>
        <v>1517.659999999998</v>
      </c>
      <c r="J5182" s="12"/>
    </row>
    <row r="5183" spans="3:10" x14ac:dyDescent="0.25">
      <c r="C5183" s="9"/>
      <c r="D5183" s="10">
        <v>45695</v>
      </c>
      <c r="E5183" t="s">
        <v>6524</v>
      </c>
      <c r="F5183" s="11" t="s">
        <v>6525</v>
      </c>
      <c r="G5183" s="8">
        <v>0</v>
      </c>
      <c r="H5183" s="8">
        <v>212.88</v>
      </c>
      <c r="I5183" s="8">
        <f t="shared" si="244"/>
        <v>1304.7799999999979</v>
      </c>
      <c r="J5183" s="12"/>
    </row>
    <row r="5184" spans="3:10" x14ac:dyDescent="0.25">
      <c r="C5184" s="9"/>
      <c r="D5184" s="10">
        <v>45695</v>
      </c>
      <c r="E5184" t="s">
        <v>6526</v>
      </c>
      <c r="F5184" s="11" t="s">
        <v>6527</v>
      </c>
      <c r="G5184" s="8">
        <v>22.32</v>
      </c>
      <c r="H5184" s="8">
        <v>0</v>
      </c>
      <c r="I5184" s="8">
        <f t="shared" si="244"/>
        <v>1327.0999999999979</v>
      </c>
      <c r="J5184" s="12"/>
    </row>
    <row r="5185" spans="3:10" x14ac:dyDescent="0.25">
      <c r="C5185" s="9"/>
      <c r="D5185" s="10">
        <v>45695</v>
      </c>
      <c r="E5185" t="s">
        <v>6528</v>
      </c>
      <c r="F5185" s="11" t="s">
        <v>6529</v>
      </c>
      <c r="G5185" s="8">
        <v>10.26</v>
      </c>
      <c r="H5185" s="8">
        <v>0</v>
      </c>
      <c r="I5185" s="8">
        <f t="shared" si="244"/>
        <v>1337.3599999999979</v>
      </c>
      <c r="J5185" s="12"/>
    </row>
    <row r="5186" spans="3:10" x14ac:dyDescent="0.25">
      <c r="C5186" s="9"/>
      <c r="D5186" s="10">
        <v>45695</v>
      </c>
      <c r="E5186" t="s">
        <v>6530</v>
      </c>
      <c r="F5186" s="11" t="s">
        <v>6531</v>
      </c>
      <c r="G5186" s="8">
        <v>57</v>
      </c>
      <c r="H5186" s="8">
        <v>0</v>
      </c>
      <c r="I5186" s="8">
        <f t="shared" si="244"/>
        <v>1394.3599999999979</v>
      </c>
      <c r="J5186" s="12"/>
    </row>
    <row r="5187" spans="3:10" x14ac:dyDescent="0.25">
      <c r="C5187" s="9"/>
      <c r="D5187" s="10">
        <v>45695</v>
      </c>
      <c r="E5187" t="s">
        <v>6532</v>
      </c>
      <c r="F5187" s="11" t="s">
        <v>42</v>
      </c>
      <c r="G5187" s="8">
        <v>0</v>
      </c>
      <c r="H5187" s="8">
        <v>515.15</v>
      </c>
      <c r="I5187" s="8">
        <f t="shared" si="244"/>
        <v>879.20999999999788</v>
      </c>
      <c r="J5187" s="12"/>
    </row>
    <row r="5188" spans="3:10" x14ac:dyDescent="0.25">
      <c r="C5188" s="9"/>
      <c r="D5188" s="10">
        <v>45695</v>
      </c>
      <c r="E5188" t="s">
        <v>6533</v>
      </c>
      <c r="F5188" s="11" t="s">
        <v>42</v>
      </c>
      <c r="G5188" s="8">
        <v>0</v>
      </c>
      <c r="H5188" s="8">
        <v>2301.42</v>
      </c>
      <c r="I5188" s="8">
        <f t="shared" si="244"/>
        <v>-1422.2100000000023</v>
      </c>
      <c r="J5188" s="12"/>
    </row>
    <row r="5189" spans="3:10" x14ac:dyDescent="0.25">
      <c r="C5189" s="9"/>
      <c r="D5189" s="10">
        <v>45696</v>
      </c>
      <c r="E5189" t="s">
        <v>6534</v>
      </c>
      <c r="F5189" s="11" t="s">
        <v>42</v>
      </c>
      <c r="G5189" s="8">
        <v>0</v>
      </c>
      <c r="H5189" s="8">
        <v>27.2</v>
      </c>
      <c r="I5189" s="8">
        <f t="shared" si="244"/>
        <v>-1449.4100000000024</v>
      </c>
      <c r="J5189" s="12"/>
    </row>
    <row r="5190" spans="3:10" x14ac:dyDescent="0.25">
      <c r="C5190" s="9"/>
      <c r="D5190" s="10">
        <v>45698</v>
      </c>
      <c r="E5190" t="s">
        <v>6535</v>
      </c>
      <c r="F5190" s="11" t="s">
        <v>6536</v>
      </c>
      <c r="G5190" s="8">
        <v>36.799999999999997</v>
      </c>
      <c r="H5190" s="8">
        <v>0</v>
      </c>
      <c r="I5190" s="8">
        <f t="shared" si="244"/>
        <v>-1412.6100000000024</v>
      </c>
      <c r="J5190" s="12"/>
    </row>
    <row r="5191" spans="3:10" x14ac:dyDescent="0.25">
      <c r="C5191" s="9"/>
      <c r="D5191" s="10">
        <v>45698</v>
      </c>
      <c r="E5191" t="s">
        <v>6537</v>
      </c>
      <c r="F5191" s="11" t="s">
        <v>6538</v>
      </c>
      <c r="G5191" s="8">
        <v>21.77</v>
      </c>
      <c r="H5191" s="8">
        <v>0</v>
      </c>
      <c r="I5191" s="8">
        <f t="shared" si="244"/>
        <v>-1390.8400000000024</v>
      </c>
      <c r="J5191" s="12"/>
    </row>
    <row r="5192" spans="3:10" x14ac:dyDescent="0.25">
      <c r="C5192" s="9"/>
      <c r="D5192" s="10">
        <v>45698</v>
      </c>
      <c r="E5192" t="s">
        <v>6539</v>
      </c>
      <c r="F5192" s="11" t="s">
        <v>6540</v>
      </c>
      <c r="G5192" s="8">
        <v>4.6100000000000003</v>
      </c>
      <c r="H5192" s="8">
        <v>0</v>
      </c>
      <c r="I5192" s="8">
        <f t="shared" si="244"/>
        <v>-1386.2300000000025</v>
      </c>
      <c r="J5192" s="12"/>
    </row>
    <row r="5193" spans="3:10" x14ac:dyDescent="0.25">
      <c r="C5193" s="9"/>
      <c r="D5193" s="10">
        <v>45698</v>
      </c>
      <c r="E5193" t="s">
        <v>6541</v>
      </c>
      <c r="F5193" s="11" t="s">
        <v>6542</v>
      </c>
      <c r="G5193" s="8">
        <v>8.1999999999999993</v>
      </c>
      <c r="H5193" s="8">
        <v>0</v>
      </c>
      <c r="I5193" s="8">
        <f t="shared" si="244"/>
        <v>-1378.0300000000025</v>
      </c>
      <c r="J5193" s="12"/>
    </row>
    <row r="5194" spans="3:10" x14ac:dyDescent="0.25">
      <c r="C5194" s="9"/>
      <c r="D5194" s="10">
        <v>45698</v>
      </c>
      <c r="E5194" t="s">
        <v>6541</v>
      </c>
      <c r="F5194" s="11" t="s">
        <v>6542</v>
      </c>
      <c r="G5194" s="8">
        <v>0</v>
      </c>
      <c r="H5194" s="8">
        <v>8.1999999999999993</v>
      </c>
      <c r="I5194" s="8">
        <f t="shared" si="244"/>
        <v>-1386.2300000000025</v>
      </c>
      <c r="J5194" s="12"/>
    </row>
    <row r="5195" spans="3:10" x14ac:dyDescent="0.25">
      <c r="C5195" s="9"/>
      <c r="D5195" s="10">
        <v>45698</v>
      </c>
      <c r="E5195" t="s">
        <v>6543</v>
      </c>
      <c r="F5195" s="11" t="s">
        <v>6544</v>
      </c>
      <c r="G5195" s="8">
        <v>16.34</v>
      </c>
      <c r="H5195" s="8">
        <v>0</v>
      </c>
      <c r="I5195" s="8">
        <f t="shared" si="244"/>
        <v>-1369.8900000000026</v>
      </c>
      <c r="J5195" s="12"/>
    </row>
    <row r="5196" spans="3:10" x14ac:dyDescent="0.25">
      <c r="C5196" s="9"/>
      <c r="D5196" s="10">
        <v>45698</v>
      </c>
      <c r="E5196" t="s">
        <v>6545</v>
      </c>
      <c r="F5196" s="11" t="s">
        <v>6546</v>
      </c>
      <c r="G5196" s="8">
        <v>11.95</v>
      </c>
      <c r="H5196" s="8">
        <v>0</v>
      </c>
      <c r="I5196" s="8">
        <f t="shared" si="244"/>
        <v>-1357.9400000000026</v>
      </c>
      <c r="J5196" s="12"/>
    </row>
    <row r="5197" spans="3:10" x14ac:dyDescent="0.25">
      <c r="C5197" s="9"/>
      <c r="D5197" s="10">
        <v>45698</v>
      </c>
      <c r="E5197" t="s">
        <v>6547</v>
      </c>
      <c r="F5197" s="11" t="s">
        <v>6548</v>
      </c>
      <c r="G5197" s="8">
        <v>9.4700000000000006</v>
      </c>
      <c r="H5197" s="8">
        <v>0</v>
      </c>
      <c r="I5197" s="8">
        <f t="shared" si="244"/>
        <v>-1348.4700000000025</v>
      </c>
      <c r="J5197" s="12"/>
    </row>
    <row r="5198" spans="3:10" x14ac:dyDescent="0.25">
      <c r="C5198" s="9"/>
      <c r="D5198" s="10">
        <v>45698</v>
      </c>
      <c r="E5198" t="s">
        <v>6549</v>
      </c>
      <c r="F5198" s="11" t="s">
        <v>6550</v>
      </c>
      <c r="G5198" s="8">
        <v>1.65</v>
      </c>
      <c r="H5198" s="8">
        <v>0</v>
      </c>
      <c r="I5198" s="8">
        <f t="shared" si="244"/>
        <v>-1346.8200000000024</v>
      </c>
      <c r="J5198" s="12"/>
    </row>
    <row r="5199" spans="3:10" x14ac:dyDescent="0.25">
      <c r="C5199" s="9"/>
      <c r="D5199" s="10">
        <v>45698</v>
      </c>
      <c r="E5199" t="s">
        <v>6551</v>
      </c>
      <c r="F5199" s="11" t="s">
        <v>6552</v>
      </c>
      <c r="G5199" s="8">
        <v>34.18</v>
      </c>
      <c r="H5199" s="8">
        <v>0</v>
      </c>
      <c r="I5199" s="8">
        <f t="shared" si="244"/>
        <v>-1312.6400000000024</v>
      </c>
      <c r="J5199" s="12"/>
    </row>
    <row r="5200" spans="3:10" x14ac:dyDescent="0.25">
      <c r="C5200" s="9"/>
      <c r="D5200" s="10">
        <v>45698</v>
      </c>
      <c r="E5200" t="s">
        <v>6553</v>
      </c>
      <c r="F5200" s="11" t="s">
        <v>6554</v>
      </c>
      <c r="G5200" s="8">
        <v>17.11</v>
      </c>
      <c r="H5200" s="8">
        <v>0</v>
      </c>
      <c r="I5200" s="8">
        <f t="shared" si="244"/>
        <v>-1295.5300000000025</v>
      </c>
      <c r="J5200" s="12"/>
    </row>
    <row r="5201" spans="3:10" x14ac:dyDescent="0.25">
      <c r="C5201" s="9"/>
      <c r="D5201" s="10">
        <v>45698</v>
      </c>
      <c r="E5201" t="s">
        <v>6555</v>
      </c>
      <c r="F5201" s="11" t="s">
        <v>6556</v>
      </c>
      <c r="G5201" s="8">
        <v>8.3000000000000007</v>
      </c>
      <c r="H5201" s="8">
        <v>0</v>
      </c>
      <c r="I5201" s="8">
        <f t="shared" si="244"/>
        <v>-1287.2300000000025</v>
      </c>
      <c r="J5201" s="12"/>
    </row>
    <row r="5202" spans="3:10" x14ac:dyDescent="0.25">
      <c r="C5202" s="9"/>
      <c r="D5202" s="10">
        <v>45698</v>
      </c>
      <c r="E5202" t="s">
        <v>6557</v>
      </c>
      <c r="F5202" s="11" t="s">
        <v>6558</v>
      </c>
      <c r="G5202" s="8">
        <v>15.31</v>
      </c>
      <c r="H5202" s="8">
        <v>0</v>
      </c>
      <c r="I5202" s="8">
        <f t="shared" si="244"/>
        <v>-1271.9200000000026</v>
      </c>
      <c r="J5202" s="12"/>
    </row>
    <row r="5203" spans="3:10" x14ac:dyDescent="0.25">
      <c r="C5203" s="9"/>
      <c r="D5203" s="10">
        <v>45698</v>
      </c>
      <c r="E5203" t="s">
        <v>6559</v>
      </c>
      <c r="F5203" s="11" t="s">
        <v>6560</v>
      </c>
      <c r="G5203" s="8">
        <v>36.06</v>
      </c>
      <c r="H5203" s="8">
        <v>0</v>
      </c>
      <c r="I5203" s="8">
        <f t="shared" si="244"/>
        <v>-1235.8600000000026</v>
      </c>
      <c r="J5203" s="12"/>
    </row>
    <row r="5204" spans="3:10" x14ac:dyDescent="0.25">
      <c r="C5204" s="9"/>
      <c r="D5204" s="10">
        <v>45698</v>
      </c>
      <c r="E5204" t="s">
        <v>6561</v>
      </c>
      <c r="F5204" s="11" t="s">
        <v>6562</v>
      </c>
      <c r="G5204" s="8">
        <v>11.13</v>
      </c>
      <c r="H5204" s="8">
        <v>0</v>
      </c>
      <c r="I5204" s="8">
        <f t="shared" si="244"/>
        <v>-1224.7300000000025</v>
      </c>
      <c r="J5204" s="12"/>
    </row>
    <row r="5205" spans="3:10" x14ac:dyDescent="0.25">
      <c r="C5205" s="9"/>
      <c r="D5205" s="10">
        <v>45698</v>
      </c>
      <c r="E5205" t="s">
        <v>6563</v>
      </c>
      <c r="F5205" s="11" t="s">
        <v>6564</v>
      </c>
      <c r="G5205" s="8">
        <v>12.87</v>
      </c>
      <c r="H5205" s="8">
        <v>0</v>
      </c>
      <c r="I5205" s="8">
        <f t="shared" si="244"/>
        <v>-1211.8600000000026</v>
      </c>
      <c r="J5205" s="12"/>
    </row>
    <row r="5206" spans="3:10" x14ac:dyDescent="0.25">
      <c r="C5206" s="9"/>
      <c r="D5206" s="10">
        <v>45698</v>
      </c>
      <c r="E5206" t="s">
        <v>6565</v>
      </c>
      <c r="F5206" s="11" t="s">
        <v>6566</v>
      </c>
      <c r="G5206" s="8">
        <v>49.82</v>
      </c>
      <c r="H5206" s="8">
        <v>0</v>
      </c>
      <c r="I5206" s="8">
        <f t="shared" si="244"/>
        <v>-1162.0400000000027</v>
      </c>
      <c r="J5206" s="12"/>
    </row>
    <row r="5207" spans="3:10" x14ac:dyDescent="0.25">
      <c r="C5207" s="9"/>
      <c r="D5207" s="10">
        <v>45698</v>
      </c>
      <c r="E5207" t="s">
        <v>6567</v>
      </c>
      <c r="F5207" s="11" t="s">
        <v>6568</v>
      </c>
      <c r="G5207" s="8">
        <v>44.12</v>
      </c>
      <c r="H5207" s="8">
        <v>0</v>
      </c>
      <c r="I5207" s="8">
        <f t="shared" si="244"/>
        <v>-1117.9200000000028</v>
      </c>
      <c r="J5207" s="12"/>
    </row>
    <row r="5208" spans="3:10" x14ac:dyDescent="0.25">
      <c r="C5208" s="9"/>
      <c r="D5208" s="10">
        <v>45698</v>
      </c>
      <c r="E5208" t="s">
        <v>6569</v>
      </c>
      <c r="F5208" s="11" t="s">
        <v>6570</v>
      </c>
      <c r="G5208" s="8">
        <v>6.43</v>
      </c>
      <c r="H5208" s="8">
        <v>0</v>
      </c>
      <c r="I5208" s="8">
        <f t="shared" si="244"/>
        <v>-1111.4900000000027</v>
      </c>
      <c r="J5208" s="12"/>
    </row>
    <row r="5209" spans="3:10" x14ac:dyDescent="0.25">
      <c r="C5209" s="9"/>
      <c r="D5209" s="10">
        <v>45698</v>
      </c>
      <c r="E5209" t="s">
        <v>6571</v>
      </c>
      <c r="F5209" s="11" t="s">
        <v>6572</v>
      </c>
      <c r="G5209" s="8">
        <v>17.55</v>
      </c>
      <c r="H5209" s="8">
        <v>0</v>
      </c>
      <c r="I5209" s="8">
        <f t="shared" si="244"/>
        <v>-1093.9400000000028</v>
      </c>
      <c r="J5209" s="12"/>
    </row>
    <row r="5210" spans="3:10" x14ac:dyDescent="0.25">
      <c r="C5210" s="9"/>
      <c r="D5210" s="10">
        <v>45698</v>
      </c>
      <c r="E5210" t="s">
        <v>6573</v>
      </c>
      <c r="F5210" s="11" t="s">
        <v>6574</v>
      </c>
      <c r="G5210" s="8">
        <v>18.53</v>
      </c>
      <c r="H5210" s="8">
        <v>0</v>
      </c>
      <c r="I5210" s="8">
        <f t="shared" si="244"/>
        <v>-1075.4100000000028</v>
      </c>
      <c r="J5210" s="12"/>
    </row>
    <row r="5211" spans="3:10" x14ac:dyDescent="0.25">
      <c r="C5211" s="9"/>
      <c r="D5211" s="10">
        <v>45698</v>
      </c>
      <c r="E5211" t="s">
        <v>6575</v>
      </c>
      <c r="F5211" s="11" t="s">
        <v>6576</v>
      </c>
      <c r="G5211" s="8">
        <v>35.14</v>
      </c>
      <c r="H5211" s="8">
        <v>0</v>
      </c>
      <c r="I5211" s="8">
        <f t="shared" si="244"/>
        <v>-1040.2700000000027</v>
      </c>
      <c r="J5211" s="12"/>
    </row>
    <row r="5212" spans="3:10" x14ac:dyDescent="0.25">
      <c r="C5212" s="9"/>
      <c r="D5212" s="10">
        <v>45698</v>
      </c>
      <c r="E5212" t="s">
        <v>6575</v>
      </c>
      <c r="F5212" s="11" t="s">
        <v>6576</v>
      </c>
      <c r="G5212" s="8">
        <v>0</v>
      </c>
      <c r="H5212" s="8">
        <v>35.14</v>
      </c>
      <c r="I5212" s="8">
        <f t="shared" ref="I5212:I5275" si="245">G5212-H5212+I5211</f>
        <v>-1075.4100000000028</v>
      </c>
      <c r="J5212" s="12"/>
    </row>
    <row r="5213" spans="3:10" x14ac:dyDescent="0.25">
      <c r="C5213" s="9"/>
      <c r="D5213" s="10">
        <v>45698</v>
      </c>
      <c r="E5213" t="s">
        <v>6577</v>
      </c>
      <c r="F5213" s="11" t="s">
        <v>6578</v>
      </c>
      <c r="G5213" s="8">
        <v>16.260000000000002</v>
      </c>
      <c r="H5213" s="8">
        <v>0</v>
      </c>
      <c r="I5213" s="8">
        <f t="shared" si="245"/>
        <v>-1059.1500000000028</v>
      </c>
      <c r="J5213" s="12"/>
    </row>
    <row r="5214" spans="3:10" x14ac:dyDescent="0.25">
      <c r="C5214" s="9"/>
      <c r="D5214" s="10">
        <v>45698</v>
      </c>
      <c r="E5214" t="s">
        <v>6579</v>
      </c>
      <c r="F5214" s="11" t="s">
        <v>6580</v>
      </c>
      <c r="G5214" s="8">
        <v>4.5999999999999996</v>
      </c>
      <c r="H5214" s="8">
        <v>0</v>
      </c>
      <c r="I5214" s="8">
        <f t="shared" si="245"/>
        <v>-1054.5500000000029</v>
      </c>
      <c r="J5214" s="12"/>
    </row>
    <row r="5215" spans="3:10" x14ac:dyDescent="0.25">
      <c r="C5215" s="9"/>
      <c r="D5215" s="10">
        <v>45698</v>
      </c>
      <c r="E5215" t="s">
        <v>6581</v>
      </c>
      <c r="F5215" s="11" t="s">
        <v>6582</v>
      </c>
      <c r="G5215" s="8">
        <v>10.32</v>
      </c>
      <c r="H5215" s="8">
        <v>0</v>
      </c>
      <c r="I5215" s="8">
        <f t="shared" si="245"/>
        <v>-1044.230000000003</v>
      </c>
      <c r="J5215" s="12"/>
    </row>
    <row r="5216" spans="3:10" x14ac:dyDescent="0.25">
      <c r="C5216" s="9"/>
      <c r="D5216" s="10">
        <v>45698</v>
      </c>
      <c r="E5216" t="s">
        <v>6583</v>
      </c>
      <c r="F5216" s="11" t="s">
        <v>6584</v>
      </c>
      <c r="G5216" s="8">
        <v>-185.13</v>
      </c>
      <c r="H5216" s="8">
        <v>0</v>
      </c>
      <c r="I5216" s="8">
        <f t="shared" si="245"/>
        <v>-1229.3600000000029</v>
      </c>
      <c r="J5216" s="12"/>
    </row>
    <row r="5217" spans="3:10" x14ac:dyDescent="0.25">
      <c r="C5217" s="9"/>
      <c r="D5217" s="10">
        <v>45698</v>
      </c>
      <c r="E5217" t="s">
        <v>6583</v>
      </c>
      <c r="F5217" s="11" t="s">
        <v>6584</v>
      </c>
      <c r="G5217" s="8">
        <v>0</v>
      </c>
      <c r="H5217" s="8">
        <v>-185.13</v>
      </c>
      <c r="I5217" s="8">
        <f t="shared" si="245"/>
        <v>-1044.2300000000027</v>
      </c>
      <c r="J5217" s="12"/>
    </row>
    <row r="5218" spans="3:10" x14ac:dyDescent="0.25">
      <c r="C5218" s="9"/>
      <c r="D5218" s="10">
        <v>45698</v>
      </c>
      <c r="E5218" t="s">
        <v>6585</v>
      </c>
      <c r="F5218" s="11" t="s">
        <v>6586</v>
      </c>
      <c r="G5218" s="8">
        <v>6.56</v>
      </c>
      <c r="H5218" s="8">
        <v>0</v>
      </c>
      <c r="I5218" s="8">
        <f t="shared" si="245"/>
        <v>-1037.6700000000028</v>
      </c>
      <c r="J5218" s="12"/>
    </row>
    <row r="5219" spans="3:10" x14ac:dyDescent="0.25">
      <c r="C5219" s="9"/>
      <c r="D5219" s="10">
        <v>45698</v>
      </c>
      <c r="E5219" t="s">
        <v>6587</v>
      </c>
      <c r="F5219" s="11" t="s">
        <v>42</v>
      </c>
      <c r="G5219" s="8">
        <v>0</v>
      </c>
      <c r="H5219" s="8">
        <v>718.56</v>
      </c>
      <c r="I5219" s="8">
        <f t="shared" si="245"/>
        <v>-1756.2300000000027</v>
      </c>
      <c r="J5219" s="12"/>
    </row>
    <row r="5220" spans="3:10" x14ac:dyDescent="0.25">
      <c r="C5220" s="9"/>
      <c r="D5220" s="10">
        <v>45699</v>
      </c>
      <c r="E5220" t="s">
        <v>6588</v>
      </c>
      <c r="F5220" s="11" t="s">
        <v>6589</v>
      </c>
      <c r="G5220" s="8">
        <v>75.02</v>
      </c>
      <c r="H5220" s="8">
        <v>0</v>
      </c>
      <c r="I5220" s="8">
        <f t="shared" si="245"/>
        <v>-1681.2100000000028</v>
      </c>
      <c r="J5220" s="12"/>
    </row>
    <row r="5221" spans="3:10" x14ac:dyDescent="0.25">
      <c r="C5221" s="9"/>
      <c r="D5221" s="10">
        <v>45699</v>
      </c>
      <c r="E5221" t="s">
        <v>6590</v>
      </c>
      <c r="F5221" s="11" t="s">
        <v>6591</v>
      </c>
      <c r="G5221" s="8">
        <v>8.52</v>
      </c>
      <c r="H5221" s="8">
        <v>0</v>
      </c>
      <c r="I5221" s="8">
        <f t="shared" si="245"/>
        <v>-1672.6900000000028</v>
      </c>
      <c r="J5221" s="12"/>
    </row>
    <row r="5222" spans="3:10" x14ac:dyDescent="0.25">
      <c r="C5222" s="9"/>
      <c r="D5222" s="10">
        <v>45699</v>
      </c>
      <c r="E5222" t="s">
        <v>6592</v>
      </c>
      <c r="F5222" s="11" t="s">
        <v>6593</v>
      </c>
      <c r="G5222" s="8">
        <v>4.9400000000000004</v>
      </c>
      <c r="H5222" s="8">
        <v>0</v>
      </c>
      <c r="I5222" s="8">
        <f t="shared" si="245"/>
        <v>-1667.7500000000027</v>
      </c>
      <c r="J5222" s="12"/>
    </row>
    <row r="5223" spans="3:10" x14ac:dyDescent="0.25">
      <c r="C5223" s="9"/>
      <c r="D5223" s="10">
        <v>45699</v>
      </c>
      <c r="E5223" t="s">
        <v>6594</v>
      </c>
      <c r="F5223" s="11" t="s">
        <v>6595</v>
      </c>
      <c r="G5223" s="8">
        <v>13.07</v>
      </c>
      <c r="H5223" s="8">
        <v>0</v>
      </c>
      <c r="I5223" s="8">
        <f t="shared" si="245"/>
        <v>-1654.6800000000028</v>
      </c>
      <c r="J5223" s="12"/>
    </row>
    <row r="5224" spans="3:10" x14ac:dyDescent="0.25">
      <c r="C5224" s="9"/>
      <c r="D5224" s="10">
        <v>45699</v>
      </c>
      <c r="E5224" t="s">
        <v>6594</v>
      </c>
      <c r="F5224" s="11" t="s">
        <v>6595</v>
      </c>
      <c r="G5224" s="8">
        <v>0</v>
      </c>
      <c r="H5224" s="8">
        <v>13.07</v>
      </c>
      <c r="I5224" s="8">
        <f t="shared" si="245"/>
        <v>-1667.7500000000027</v>
      </c>
      <c r="J5224" s="12"/>
    </row>
    <row r="5225" spans="3:10" x14ac:dyDescent="0.25">
      <c r="C5225" s="9"/>
      <c r="D5225" s="10">
        <v>45699</v>
      </c>
      <c r="E5225" t="s">
        <v>6596</v>
      </c>
      <c r="F5225" s="11" t="s">
        <v>6597</v>
      </c>
      <c r="G5225" s="8">
        <v>29.19</v>
      </c>
      <c r="H5225" s="8">
        <v>0</v>
      </c>
      <c r="I5225" s="8">
        <f t="shared" si="245"/>
        <v>-1638.5600000000027</v>
      </c>
      <c r="J5225" s="12"/>
    </row>
    <row r="5226" spans="3:10" x14ac:dyDescent="0.25">
      <c r="C5226" s="9"/>
      <c r="D5226" s="10">
        <v>45699</v>
      </c>
      <c r="E5226" t="s">
        <v>6596</v>
      </c>
      <c r="F5226" s="11" t="s">
        <v>6597</v>
      </c>
      <c r="G5226" s="8">
        <v>0</v>
      </c>
      <c r="H5226" s="8">
        <v>29.19</v>
      </c>
      <c r="I5226" s="8">
        <f t="shared" si="245"/>
        <v>-1667.7500000000027</v>
      </c>
      <c r="J5226" s="12"/>
    </row>
    <row r="5227" spans="3:10" x14ac:dyDescent="0.25">
      <c r="C5227" s="9"/>
      <c r="D5227" s="10">
        <v>45699</v>
      </c>
      <c r="E5227" t="s">
        <v>6598</v>
      </c>
      <c r="F5227" s="11" t="s">
        <v>6599</v>
      </c>
      <c r="G5227" s="8">
        <v>66.27</v>
      </c>
      <c r="H5227" s="8">
        <v>0</v>
      </c>
      <c r="I5227" s="8">
        <f t="shared" si="245"/>
        <v>-1601.4800000000027</v>
      </c>
      <c r="J5227" s="12"/>
    </row>
    <row r="5228" spans="3:10" x14ac:dyDescent="0.25">
      <c r="C5228" s="9"/>
      <c r="D5228" s="10">
        <v>45699</v>
      </c>
      <c r="E5228" t="s">
        <v>6600</v>
      </c>
      <c r="F5228" s="11" t="s">
        <v>6601</v>
      </c>
      <c r="G5228" s="8">
        <v>33.06</v>
      </c>
      <c r="H5228" s="8">
        <v>0</v>
      </c>
      <c r="I5228" s="8">
        <f t="shared" si="245"/>
        <v>-1568.4200000000028</v>
      </c>
      <c r="J5228" s="12"/>
    </row>
    <row r="5229" spans="3:10" x14ac:dyDescent="0.25">
      <c r="C5229" s="9"/>
      <c r="D5229" s="10">
        <v>45699</v>
      </c>
      <c r="E5229" t="s">
        <v>6600</v>
      </c>
      <c r="F5229" s="11" t="s">
        <v>6601</v>
      </c>
      <c r="G5229" s="8">
        <v>0</v>
      </c>
      <c r="H5229" s="8">
        <v>33.06</v>
      </c>
      <c r="I5229" s="8">
        <f t="shared" si="245"/>
        <v>-1601.4800000000027</v>
      </c>
      <c r="J5229" s="12"/>
    </row>
    <row r="5230" spans="3:10" x14ac:dyDescent="0.25">
      <c r="C5230" s="9"/>
      <c r="D5230" s="10">
        <v>45699</v>
      </c>
      <c r="E5230" t="s">
        <v>6602</v>
      </c>
      <c r="F5230" s="11" t="s">
        <v>6603</v>
      </c>
      <c r="G5230" s="8">
        <v>28.29</v>
      </c>
      <c r="H5230" s="8">
        <v>0</v>
      </c>
      <c r="I5230" s="8">
        <f t="shared" si="245"/>
        <v>-1573.1900000000028</v>
      </c>
      <c r="J5230" s="12"/>
    </row>
    <row r="5231" spans="3:10" x14ac:dyDescent="0.25">
      <c r="C5231" s="9"/>
      <c r="D5231" s="10">
        <v>45699</v>
      </c>
      <c r="E5231" t="s">
        <v>6604</v>
      </c>
      <c r="F5231" s="11" t="s">
        <v>6605</v>
      </c>
      <c r="G5231" s="8">
        <v>8.08</v>
      </c>
      <c r="H5231" s="8">
        <v>0</v>
      </c>
      <c r="I5231" s="8">
        <f t="shared" si="245"/>
        <v>-1565.1100000000029</v>
      </c>
      <c r="J5231" s="12"/>
    </row>
    <row r="5232" spans="3:10" x14ac:dyDescent="0.25">
      <c r="C5232" s="9"/>
      <c r="D5232" s="10">
        <v>45699</v>
      </c>
      <c r="E5232" t="s">
        <v>6606</v>
      </c>
      <c r="F5232" s="11" t="s">
        <v>6607</v>
      </c>
      <c r="G5232" s="8">
        <v>14.73</v>
      </c>
      <c r="H5232" s="8">
        <v>0</v>
      </c>
      <c r="I5232" s="8">
        <f t="shared" si="245"/>
        <v>-1550.3800000000028</v>
      </c>
      <c r="J5232" s="12"/>
    </row>
    <row r="5233" spans="3:10" x14ac:dyDescent="0.25">
      <c r="C5233" s="9"/>
      <c r="D5233" s="10">
        <v>45699</v>
      </c>
      <c r="E5233" t="s">
        <v>6608</v>
      </c>
      <c r="F5233" s="11" t="s">
        <v>6609</v>
      </c>
      <c r="G5233" s="8">
        <v>234.74</v>
      </c>
      <c r="H5233" s="8">
        <v>0</v>
      </c>
      <c r="I5233" s="8">
        <f t="shared" si="245"/>
        <v>-1315.6400000000028</v>
      </c>
      <c r="J5233" s="12"/>
    </row>
    <row r="5234" spans="3:10" x14ac:dyDescent="0.25">
      <c r="C5234" s="9"/>
      <c r="D5234" s="10">
        <v>45699</v>
      </c>
      <c r="E5234" t="s">
        <v>6610</v>
      </c>
      <c r="F5234" s="11" t="s">
        <v>6611</v>
      </c>
      <c r="G5234" s="8">
        <v>1.1599999999999999</v>
      </c>
      <c r="H5234" s="8">
        <v>0</v>
      </c>
      <c r="I5234" s="8">
        <f t="shared" si="245"/>
        <v>-1314.4800000000027</v>
      </c>
      <c r="J5234" s="12"/>
    </row>
    <row r="5235" spans="3:10" x14ac:dyDescent="0.25">
      <c r="C5235" s="9"/>
      <c r="D5235" s="10">
        <v>45699</v>
      </c>
      <c r="E5235" t="s">
        <v>6612</v>
      </c>
      <c r="F5235" s="11" t="s">
        <v>6613</v>
      </c>
      <c r="G5235" s="8">
        <v>29.48</v>
      </c>
      <c r="H5235" s="8">
        <v>0</v>
      </c>
      <c r="I5235" s="8">
        <f t="shared" si="245"/>
        <v>-1285.0000000000027</v>
      </c>
      <c r="J5235" s="12"/>
    </row>
    <row r="5236" spans="3:10" x14ac:dyDescent="0.25">
      <c r="C5236" s="9"/>
      <c r="D5236" s="10">
        <v>45699</v>
      </c>
      <c r="E5236" t="s">
        <v>6612</v>
      </c>
      <c r="F5236" s="11" t="s">
        <v>6613</v>
      </c>
      <c r="G5236" s="8">
        <v>0</v>
      </c>
      <c r="H5236" s="8">
        <v>29.48</v>
      </c>
      <c r="I5236" s="8">
        <f t="shared" si="245"/>
        <v>-1314.4800000000027</v>
      </c>
      <c r="J5236" s="12"/>
    </row>
    <row r="5237" spans="3:10" x14ac:dyDescent="0.25">
      <c r="C5237" s="9"/>
      <c r="D5237" s="10">
        <v>45699</v>
      </c>
      <c r="E5237" t="s">
        <v>6614</v>
      </c>
      <c r="F5237" s="11" t="s">
        <v>6615</v>
      </c>
      <c r="G5237" s="8">
        <v>138.5</v>
      </c>
      <c r="H5237" s="8">
        <v>0</v>
      </c>
      <c r="I5237" s="8">
        <f t="shared" si="245"/>
        <v>-1175.9800000000027</v>
      </c>
      <c r="J5237" s="12"/>
    </row>
    <row r="5238" spans="3:10" x14ac:dyDescent="0.25">
      <c r="C5238" s="9"/>
      <c r="D5238" s="10">
        <v>45699</v>
      </c>
      <c r="E5238" t="s">
        <v>6616</v>
      </c>
      <c r="F5238" s="11" t="s">
        <v>6617</v>
      </c>
      <c r="G5238" s="8">
        <v>19.97</v>
      </c>
      <c r="H5238" s="8">
        <v>0</v>
      </c>
      <c r="I5238" s="8">
        <f t="shared" si="245"/>
        <v>-1156.0100000000027</v>
      </c>
      <c r="J5238" s="12"/>
    </row>
    <row r="5239" spans="3:10" x14ac:dyDescent="0.25">
      <c r="C5239" s="9"/>
      <c r="D5239" s="10">
        <v>45699</v>
      </c>
      <c r="E5239" t="s">
        <v>6618</v>
      </c>
      <c r="F5239" s="11" t="s">
        <v>6619</v>
      </c>
      <c r="G5239" s="8">
        <v>41.5</v>
      </c>
      <c r="H5239" s="8">
        <v>0</v>
      </c>
      <c r="I5239" s="8">
        <f t="shared" si="245"/>
        <v>-1114.5100000000027</v>
      </c>
      <c r="J5239" s="12"/>
    </row>
    <row r="5240" spans="3:10" x14ac:dyDescent="0.25">
      <c r="C5240" s="9"/>
      <c r="D5240" s="10">
        <v>45699</v>
      </c>
      <c r="E5240" t="s">
        <v>6620</v>
      </c>
      <c r="F5240" s="11" t="s">
        <v>6621</v>
      </c>
      <c r="G5240" s="8">
        <v>0.35</v>
      </c>
      <c r="H5240" s="8">
        <v>0</v>
      </c>
      <c r="I5240" s="8">
        <f t="shared" si="245"/>
        <v>-1114.1600000000028</v>
      </c>
      <c r="J5240" s="12"/>
    </row>
    <row r="5241" spans="3:10" x14ac:dyDescent="0.25">
      <c r="C5241" s="9"/>
      <c r="D5241" s="10">
        <v>45699</v>
      </c>
      <c r="E5241" t="s">
        <v>6620</v>
      </c>
      <c r="F5241" s="11" t="s">
        <v>6621</v>
      </c>
      <c r="G5241" s="8">
        <v>0</v>
      </c>
      <c r="H5241" s="8">
        <v>0.35</v>
      </c>
      <c r="I5241" s="8">
        <f t="shared" si="245"/>
        <v>-1114.5100000000027</v>
      </c>
      <c r="J5241" s="12"/>
    </row>
    <row r="5242" spans="3:10" x14ac:dyDescent="0.25">
      <c r="C5242" s="9"/>
      <c r="D5242" s="10">
        <v>45699</v>
      </c>
      <c r="E5242" t="s">
        <v>6622</v>
      </c>
      <c r="F5242" s="11" t="s">
        <v>6623</v>
      </c>
      <c r="G5242" s="8">
        <v>33.08</v>
      </c>
      <c r="H5242" s="8">
        <v>0</v>
      </c>
      <c r="I5242" s="8">
        <f t="shared" si="245"/>
        <v>-1081.4300000000028</v>
      </c>
      <c r="J5242" s="12"/>
    </row>
    <row r="5243" spans="3:10" x14ac:dyDescent="0.25">
      <c r="C5243" s="9"/>
      <c r="D5243" s="10">
        <v>45699</v>
      </c>
      <c r="E5243" t="s">
        <v>6587</v>
      </c>
      <c r="F5243" s="11" t="s">
        <v>42</v>
      </c>
      <c r="G5243" s="8">
        <v>0</v>
      </c>
      <c r="H5243" s="8">
        <v>408.77</v>
      </c>
      <c r="I5243" s="8">
        <f t="shared" si="245"/>
        <v>-1490.2000000000028</v>
      </c>
      <c r="J5243" s="12"/>
    </row>
    <row r="5244" spans="3:10" x14ac:dyDescent="0.25">
      <c r="C5244" s="9"/>
      <c r="D5244" s="10">
        <v>45699</v>
      </c>
      <c r="E5244" t="s">
        <v>6624</v>
      </c>
      <c r="F5244" s="11" t="s">
        <v>42</v>
      </c>
      <c r="G5244" s="8">
        <v>0</v>
      </c>
      <c r="H5244" s="8">
        <v>138.5</v>
      </c>
      <c r="I5244" s="8">
        <f t="shared" si="245"/>
        <v>-1628.7000000000028</v>
      </c>
      <c r="J5244" s="12"/>
    </row>
    <row r="5245" spans="3:10" x14ac:dyDescent="0.25">
      <c r="C5245" s="9"/>
      <c r="D5245" s="10">
        <v>45700</v>
      </c>
      <c r="E5245" t="s">
        <v>6625</v>
      </c>
      <c r="F5245" s="11" t="s">
        <v>6626</v>
      </c>
      <c r="G5245" s="8">
        <v>340.95</v>
      </c>
      <c r="H5245" s="8">
        <v>0</v>
      </c>
      <c r="I5245" s="8">
        <f t="shared" si="245"/>
        <v>-1287.7500000000027</v>
      </c>
      <c r="J5245" s="12"/>
    </row>
    <row r="5246" spans="3:10" x14ac:dyDescent="0.25">
      <c r="C5246" s="9"/>
      <c r="D5246" s="10">
        <v>45700</v>
      </c>
      <c r="E5246" t="s">
        <v>6625</v>
      </c>
      <c r="F5246" s="11" t="s">
        <v>6626</v>
      </c>
      <c r="G5246" s="8">
        <v>0</v>
      </c>
      <c r="H5246" s="8">
        <v>340.95</v>
      </c>
      <c r="I5246" s="8">
        <f t="shared" si="245"/>
        <v>-1628.7000000000028</v>
      </c>
      <c r="J5246" s="12"/>
    </row>
    <row r="5247" spans="3:10" x14ac:dyDescent="0.25">
      <c r="C5247" s="9"/>
      <c r="D5247" s="10">
        <v>45700</v>
      </c>
      <c r="E5247" t="s">
        <v>6627</v>
      </c>
      <c r="F5247" s="11" t="s">
        <v>6628</v>
      </c>
      <c r="G5247" s="8">
        <v>2.2000000000000002</v>
      </c>
      <c r="H5247" s="8">
        <v>0</v>
      </c>
      <c r="I5247" s="8">
        <f t="shared" si="245"/>
        <v>-1626.5000000000027</v>
      </c>
      <c r="J5247" s="12"/>
    </row>
    <row r="5248" spans="3:10" x14ac:dyDescent="0.25">
      <c r="C5248" s="9"/>
      <c r="D5248" s="10">
        <v>45700</v>
      </c>
      <c r="E5248" t="s">
        <v>6627</v>
      </c>
      <c r="F5248" s="11" t="s">
        <v>6628</v>
      </c>
      <c r="G5248" s="8">
        <v>0</v>
      </c>
      <c r="H5248" s="8">
        <v>2.2000000000000002</v>
      </c>
      <c r="I5248" s="8">
        <f t="shared" si="245"/>
        <v>-1628.7000000000028</v>
      </c>
      <c r="J5248" s="12"/>
    </row>
    <row r="5249" spans="3:10" x14ac:dyDescent="0.25">
      <c r="C5249" s="9"/>
      <c r="D5249" s="10">
        <v>45700</v>
      </c>
      <c r="E5249" t="s">
        <v>6629</v>
      </c>
      <c r="F5249" s="11" t="s">
        <v>6630</v>
      </c>
      <c r="G5249" s="8">
        <v>14.88</v>
      </c>
      <c r="H5249" s="8">
        <v>0</v>
      </c>
      <c r="I5249" s="8">
        <f t="shared" si="245"/>
        <v>-1613.8200000000027</v>
      </c>
      <c r="J5249" s="12"/>
    </row>
    <row r="5250" spans="3:10" x14ac:dyDescent="0.25">
      <c r="C5250" s="9"/>
      <c r="D5250" s="10">
        <v>45700</v>
      </c>
      <c r="E5250" t="s">
        <v>6631</v>
      </c>
      <c r="F5250" s="11" t="s">
        <v>6632</v>
      </c>
      <c r="G5250" s="8">
        <v>13.25</v>
      </c>
      <c r="H5250" s="8">
        <v>0</v>
      </c>
      <c r="I5250" s="8">
        <f t="shared" si="245"/>
        <v>-1600.5700000000027</v>
      </c>
      <c r="J5250" s="12"/>
    </row>
    <row r="5251" spans="3:10" x14ac:dyDescent="0.25">
      <c r="C5251" s="9"/>
      <c r="D5251" s="10">
        <v>45700</v>
      </c>
      <c r="E5251" t="s">
        <v>6633</v>
      </c>
      <c r="F5251" s="11" t="s">
        <v>6634</v>
      </c>
      <c r="G5251" s="8">
        <v>173.27</v>
      </c>
      <c r="H5251" s="8">
        <v>0</v>
      </c>
      <c r="I5251" s="8">
        <f t="shared" si="245"/>
        <v>-1427.3000000000027</v>
      </c>
      <c r="J5251" s="12"/>
    </row>
    <row r="5252" spans="3:10" x14ac:dyDescent="0.25">
      <c r="C5252" s="9"/>
      <c r="D5252" s="10">
        <v>45700</v>
      </c>
      <c r="E5252" t="s">
        <v>6635</v>
      </c>
      <c r="F5252" s="11" t="s">
        <v>6636</v>
      </c>
      <c r="G5252" s="8">
        <v>40.409999999999997</v>
      </c>
      <c r="H5252" s="8">
        <v>0</v>
      </c>
      <c r="I5252" s="8">
        <f t="shared" si="245"/>
        <v>-1386.8900000000026</v>
      </c>
      <c r="J5252" s="12"/>
    </row>
    <row r="5253" spans="3:10" x14ac:dyDescent="0.25">
      <c r="C5253" s="9"/>
      <c r="D5253" s="10">
        <v>45700</v>
      </c>
      <c r="E5253" t="s">
        <v>6637</v>
      </c>
      <c r="F5253" s="11" t="s">
        <v>6638</v>
      </c>
      <c r="G5253" s="8">
        <v>441.48</v>
      </c>
      <c r="H5253" s="8">
        <v>0</v>
      </c>
      <c r="I5253" s="8">
        <f t="shared" si="245"/>
        <v>-945.41000000000258</v>
      </c>
      <c r="J5253" s="12"/>
    </row>
    <row r="5254" spans="3:10" x14ac:dyDescent="0.25">
      <c r="C5254" s="9"/>
      <c r="D5254" s="10">
        <v>45700</v>
      </c>
      <c r="E5254" t="s">
        <v>6639</v>
      </c>
      <c r="F5254" s="11" t="s">
        <v>6640</v>
      </c>
      <c r="G5254" s="8">
        <v>28.08</v>
      </c>
      <c r="H5254" s="8">
        <v>0</v>
      </c>
      <c r="I5254" s="8">
        <f t="shared" si="245"/>
        <v>-917.33000000000254</v>
      </c>
      <c r="J5254" s="12"/>
    </row>
    <row r="5255" spans="3:10" x14ac:dyDescent="0.25">
      <c r="C5255" s="9"/>
      <c r="D5255" s="10">
        <v>45700</v>
      </c>
      <c r="E5255" t="s">
        <v>6641</v>
      </c>
      <c r="F5255" s="11" t="s">
        <v>6642</v>
      </c>
      <c r="G5255" s="8">
        <v>22.45</v>
      </c>
      <c r="H5255" s="8">
        <v>0</v>
      </c>
      <c r="I5255" s="8">
        <f t="shared" si="245"/>
        <v>-894.8800000000025</v>
      </c>
      <c r="J5255" s="12"/>
    </row>
    <row r="5256" spans="3:10" x14ac:dyDescent="0.25">
      <c r="C5256" s="9"/>
      <c r="D5256" s="10">
        <v>45700</v>
      </c>
      <c r="E5256" t="s">
        <v>6643</v>
      </c>
      <c r="F5256" s="11" t="s">
        <v>6644</v>
      </c>
      <c r="G5256" s="8">
        <v>88.21</v>
      </c>
      <c r="H5256" s="8">
        <v>0</v>
      </c>
      <c r="I5256" s="8">
        <f t="shared" si="245"/>
        <v>-806.67000000000246</v>
      </c>
      <c r="J5256" s="12"/>
    </row>
    <row r="5257" spans="3:10" x14ac:dyDescent="0.25">
      <c r="C5257" s="9"/>
      <c r="D5257" s="10">
        <v>45700</v>
      </c>
      <c r="E5257" t="s">
        <v>6645</v>
      </c>
      <c r="F5257" s="11" t="s">
        <v>6646</v>
      </c>
      <c r="G5257" s="8">
        <v>14.77</v>
      </c>
      <c r="H5257" s="8">
        <v>0</v>
      </c>
      <c r="I5257" s="8">
        <f t="shared" si="245"/>
        <v>-791.90000000000248</v>
      </c>
      <c r="J5257" s="12"/>
    </row>
    <row r="5258" spans="3:10" x14ac:dyDescent="0.25">
      <c r="C5258" s="9"/>
      <c r="D5258" s="10">
        <v>45700</v>
      </c>
      <c r="E5258" t="s">
        <v>6587</v>
      </c>
      <c r="F5258" s="11" t="s">
        <v>42</v>
      </c>
      <c r="G5258" s="8">
        <v>0</v>
      </c>
      <c r="H5258" s="8">
        <v>532.49</v>
      </c>
      <c r="I5258" s="8">
        <f t="shared" si="245"/>
        <v>-1324.3900000000026</v>
      </c>
      <c r="J5258" s="12"/>
    </row>
    <row r="5259" spans="3:10" x14ac:dyDescent="0.25">
      <c r="C5259" s="9"/>
      <c r="D5259" s="10">
        <v>45701</v>
      </c>
      <c r="E5259" t="s">
        <v>6647</v>
      </c>
      <c r="F5259" s="11" t="s">
        <v>6648</v>
      </c>
      <c r="G5259" s="8">
        <v>18.149999999999999</v>
      </c>
      <c r="H5259" s="8">
        <v>0</v>
      </c>
      <c r="I5259" s="8">
        <f t="shared" si="245"/>
        <v>-1306.2400000000025</v>
      </c>
      <c r="J5259" s="12"/>
    </row>
    <row r="5260" spans="3:10" x14ac:dyDescent="0.25">
      <c r="C5260" s="9"/>
      <c r="D5260" s="10">
        <v>45701</v>
      </c>
      <c r="E5260" t="s">
        <v>6649</v>
      </c>
      <c r="F5260" s="11" t="s">
        <v>6650</v>
      </c>
      <c r="G5260" s="8">
        <v>78.06</v>
      </c>
      <c r="H5260" s="8">
        <v>0</v>
      </c>
      <c r="I5260" s="8">
        <f t="shared" si="245"/>
        <v>-1228.1800000000026</v>
      </c>
      <c r="J5260" s="12"/>
    </row>
    <row r="5261" spans="3:10" x14ac:dyDescent="0.25">
      <c r="C5261" s="9"/>
      <c r="D5261" s="10">
        <v>45701</v>
      </c>
      <c r="E5261" t="s">
        <v>6651</v>
      </c>
      <c r="F5261" s="11" t="s">
        <v>6652</v>
      </c>
      <c r="G5261" s="8">
        <v>35.82</v>
      </c>
      <c r="H5261" s="8">
        <v>0</v>
      </c>
      <c r="I5261" s="8">
        <f t="shared" si="245"/>
        <v>-1192.3600000000026</v>
      </c>
      <c r="J5261" s="12"/>
    </row>
    <row r="5262" spans="3:10" x14ac:dyDescent="0.25">
      <c r="C5262" s="9"/>
      <c r="D5262" s="10">
        <v>45701</v>
      </c>
      <c r="E5262" t="s">
        <v>6653</v>
      </c>
      <c r="F5262" s="11" t="s">
        <v>6654</v>
      </c>
      <c r="G5262" s="8">
        <v>5.83</v>
      </c>
      <c r="H5262" s="8">
        <v>0</v>
      </c>
      <c r="I5262" s="8">
        <f t="shared" si="245"/>
        <v>-1186.5300000000027</v>
      </c>
      <c r="J5262" s="12"/>
    </row>
    <row r="5263" spans="3:10" x14ac:dyDescent="0.25">
      <c r="C5263" s="9"/>
      <c r="D5263" s="10">
        <v>45701</v>
      </c>
      <c r="E5263" t="s">
        <v>6655</v>
      </c>
      <c r="F5263" s="11" t="s">
        <v>6656</v>
      </c>
      <c r="G5263" s="8">
        <v>14.47</v>
      </c>
      <c r="H5263" s="8">
        <v>0</v>
      </c>
      <c r="I5263" s="8">
        <f t="shared" si="245"/>
        <v>-1172.0600000000027</v>
      </c>
      <c r="J5263" s="12"/>
    </row>
    <row r="5264" spans="3:10" x14ac:dyDescent="0.25">
      <c r="C5264" s="9"/>
      <c r="D5264" s="10">
        <v>45701</v>
      </c>
      <c r="E5264" t="s">
        <v>6655</v>
      </c>
      <c r="F5264" s="11" t="s">
        <v>6656</v>
      </c>
      <c r="G5264" s="8">
        <v>0</v>
      </c>
      <c r="H5264" s="8">
        <v>14.47</v>
      </c>
      <c r="I5264" s="8">
        <f t="shared" si="245"/>
        <v>-1186.5300000000027</v>
      </c>
      <c r="J5264" s="12"/>
    </row>
    <row r="5265" spans="3:10" x14ac:dyDescent="0.25">
      <c r="C5265" s="9"/>
      <c r="D5265" s="10">
        <v>45701</v>
      </c>
      <c r="E5265" t="s">
        <v>6657</v>
      </c>
      <c r="F5265" s="11" t="s">
        <v>6658</v>
      </c>
      <c r="G5265" s="8">
        <v>31.02</v>
      </c>
      <c r="H5265" s="8">
        <v>0</v>
      </c>
      <c r="I5265" s="8">
        <f t="shared" si="245"/>
        <v>-1155.5100000000027</v>
      </c>
      <c r="J5265" s="12"/>
    </row>
    <row r="5266" spans="3:10" x14ac:dyDescent="0.25">
      <c r="C5266" s="9"/>
      <c r="D5266" s="10">
        <v>45701</v>
      </c>
      <c r="E5266" t="s">
        <v>6659</v>
      </c>
      <c r="F5266" s="11" t="s">
        <v>6660</v>
      </c>
      <c r="G5266" s="8">
        <v>129.43</v>
      </c>
      <c r="H5266" s="8">
        <v>0</v>
      </c>
      <c r="I5266" s="8">
        <f t="shared" si="245"/>
        <v>-1026.0800000000027</v>
      </c>
      <c r="J5266" s="12"/>
    </row>
    <row r="5267" spans="3:10" x14ac:dyDescent="0.25">
      <c r="C5267" s="9"/>
      <c r="D5267" s="10">
        <v>45701</v>
      </c>
      <c r="E5267" t="s">
        <v>6661</v>
      </c>
      <c r="F5267" s="11" t="s">
        <v>6662</v>
      </c>
      <c r="G5267" s="8">
        <v>117.35</v>
      </c>
      <c r="H5267" s="8">
        <v>0</v>
      </c>
      <c r="I5267" s="8">
        <f t="shared" si="245"/>
        <v>-908.73000000000263</v>
      </c>
      <c r="J5267" s="12"/>
    </row>
    <row r="5268" spans="3:10" x14ac:dyDescent="0.25">
      <c r="C5268" s="9"/>
      <c r="D5268" s="10">
        <v>45701</v>
      </c>
      <c r="E5268" t="s">
        <v>6663</v>
      </c>
      <c r="F5268" s="11" t="s">
        <v>6664</v>
      </c>
      <c r="G5268" s="8">
        <v>9.68</v>
      </c>
      <c r="H5268" s="8">
        <v>0</v>
      </c>
      <c r="I5268" s="8">
        <f t="shared" si="245"/>
        <v>-899.05000000000268</v>
      </c>
      <c r="J5268" s="12"/>
    </row>
    <row r="5269" spans="3:10" x14ac:dyDescent="0.25">
      <c r="C5269" s="9"/>
      <c r="D5269" s="10">
        <v>45701</v>
      </c>
      <c r="E5269" t="s">
        <v>6663</v>
      </c>
      <c r="F5269" s="11" t="s">
        <v>6664</v>
      </c>
      <c r="G5269" s="8">
        <v>0</v>
      </c>
      <c r="H5269" s="8">
        <v>9.68</v>
      </c>
      <c r="I5269" s="8">
        <f t="shared" si="245"/>
        <v>-908.73000000000263</v>
      </c>
      <c r="J5269" s="12"/>
    </row>
    <row r="5270" spans="3:10" x14ac:dyDescent="0.25">
      <c r="C5270" s="9"/>
      <c r="D5270" s="10">
        <v>45701</v>
      </c>
      <c r="E5270" t="s">
        <v>6665</v>
      </c>
      <c r="F5270" s="11" t="s">
        <v>6666</v>
      </c>
      <c r="G5270" s="8">
        <v>51.3</v>
      </c>
      <c r="H5270" s="8">
        <v>0</v>
      </c>
      <c r="I5270" s="8">
        <f t="shared" si="245"/>
        <v>-857.43000000000268</v>
      </c>
      <c r="J5270" s="12"/>
    </row>
    <row r="5271" spans="3:10" x14ac:dyDescent="0.25">
      <c r="C5271" s="9"/>
      <c r="D5271" s="10">
        <v>45701</v>
      </c>
      <c r="E5271" t="s">
        <v>6667</v>
      </c>
      <c r="F5271" s="11" t="s">
        <v>6668</v>
      </c>
      <c r="G5271" s="8">
        <v>15.94</v>
      </c>
      <c r="H5271" s="8">
        <v>0</v>
      </c>
      <c r="I5271" s="8">
        <f t="shared" si="245"/>
        <v>-841.49000000000262</v>
      </c>
      <c r="J5271" s="12"/>
    </row>
    <row r="5272" spans="3:10" x14ac:dyDescent="0.25">
      <c r="C5272" s="9"/>
      <c r="D5272" s="10">
        <v>45701</v>
      </c>
      <c r="E5272" t="s">
        <v>6667</v>
      </c>
      <c r="F5272" s="11" t="s">
        <v>6668</v>
      </c>
      <c r="G5272" s="8">
        <v>0</v>
      </c>
      <c r="H5272" s="8">
        <v>15.94</v>
      </c>
      <c r="I5272" s="8">
        <f t="shared" si="245"/>
        <v>-857.43000000000268</v>
      </c>
      <c r="J5272" s="12"/>
    </row>
    <row r="5273" spans="3:10" x14ac:dyDescent="0.25">
      <c r="C5273" s="9"/>
      <c r="D5273" s="10">
        <v>45701</v>
      </c>
      <c r="E5273" t="s">
        <v>6669</v>
      </c>
      <c r="F5273" s="11" t="s">
        <v>6670</v>
      </c>
      <c r="G5273" s="8">
        <v>111.51</v>
      </c>
      <c r="H5273" s="8">
        <v>0</v>
      </c>
      <c r="I5273" s="8">
        <f t="shared" si="245"/>
        <v>-745.92000000000269</v>
      </c>
      <c r="J5273" s="12"/>
    </row>
    <row r="5274" spans="3:10" x14ac:dyDescent="0.25">
      <c r="C5274" s="9"/>
      <c r="D5274" s="10">
        <v>45701</v>
      </c>
      <c r="E5274" t="s">
        <v>6671</v>
      </c>
      <c r="F5274" s="11" t="s">
        <v>6672</v>
      </c>
      <c r="G5274" s="8">
        <v>3.85</v>
      </c>
      <c r="H5274" s="8">
        <v>0</v>
      </c>
      <c r="I5274" s="8">
        <f t="shared" si="245"/>
        <v>-742.07000000000266</v>
      </c>
      <c r="J5274" s="12"/>
    </row>
    <row r="5275" spans="3:10" x14ac:dyDescent="0.25">
      <c r="C5275" s="9"/>
      <c r="D5275" s="10">
        <v>45701</v>
      </c>
      <c r="E5275" t="s">
        <v>6673</v>
      </c>
      <c r="F5275" s="11" t="s">
        <v>6674</v>
      </c>
      <c r="G5275" s="8">
        <v>10.31</v>
      </c>
      <c r="H5275" s="8">
        <v>0</v>
      </c>
      <c r="I5275" s="8">
        <f t="shared" si="245"/>
        <v>-731.76000000000272</v>
      </c>
      <c r="J5275" s="12"/>
    </row>
    <row r="5276" spans="3:10" x14ac:dyDescent="0.25">
      <c r="C5276" s="9"/>
      <c r="D5276" s="10">
        <v>45701</v>
      </c>
      <c r="E5276" t="s">
        <v>6673</v>
      </c>
      <c r="F5276" s="11" t="s">
        <v>6674</v>
      </c>
      <c r="G5276" s="8">
        <v>0</v>
      </c>
      <c r="H5276" s="8">
        <v>10.31</v>
      </c>
      <c r="I5276" s="8">
        <f t="shared" ref="I5276:I5339" si="246">G5276-H5276+I5275</f>
        <v>-742.07000000000266</v>
      </c>
      <c r="J5276" s="12"/>
    </row>
    <row r="5277" spans="3:10" x14ac:dyDescent="0.25">
      <c r="C5277" s="9"/>
      <c r="D5277" s="10">
        <v>45701</v>
      </c>
      <c r="E5277" t="s">
        <v>6675</v>
      </c>
      <c r="F5277" s="11" t="s">
        <v>6676</v>
      </c>
      <c r="G5277" s="8">
        <v>3.15</v>
      </c>
      <c r="H5277" s="8">
        <v>0</v>
      </c>
      <c r="I5277" s="8">
        <f t="shared" si="246"/>
        <v>-738.92000000000269</v>
      </c>
      <c r="J5277" s="12"/>
    </row>
    <row r="5278" spans="3:10" x14ac:dyDescent="0.25">
      <c r="C5278" s="9"/>
      <c r="D5278" s="10">
        <v>45701</v>
      </c>
      <c r="E5278" t="s">
        <v>6675</v>
      </c>
      <c r="F5278" s="11" t="s">
        <v>6676</v>
      </c>
      <c r="G5278" s="8">
        <v>0</v>
      </c>
      <c r="H5278" s="8">
        <v>3.15</v>
      </c>
      <c r="I5278" s="8">
        <f t="shared" si="246"/>
        <v>-742.07000000000266</v>
      </c>
      <c r="J5278" s="12"/>
    </row>
    <row r="5279" spans="3:10" x14ac:dyDescent="0.25">
      <c r="C5279" s="9"/>
      <c r="D5279" s="10">
        <v>45701</v>
      </c>
      <c r="E5279" t="s">
        <v>6677</v>
      </c>
      <c r="F5279" s="11" t="s">
        <v>6678</v>
      </c>
      <c r="G5279" s="8">
        <v>31.76</v>
      </c>
      <c r="H5279" s="8">
        <v>0</v>
      </c>
      <c r="I5279" s="8">
        <f t="shared" si="246"/>
        <v>-710.31000000000267</v>
      </c>
      <c r="J5279" s="12"/>
    </row>
    <row r="5280" spans="3:10" x14ac:dyDescent="0.25">
      <c r="C5280" s="9"/>
      <c r="D5280" s="10">
        <v>45701</v>
      </c>
      <c r="E5280" t="s">
        <v>6679</v>
      </c>
      <c r="F5280" s="11" t="s">
        <v>6680</v>
      </c>
      <c r="G5280" s="8">
        <v>1.28</v>
      </c>
      <c r="H5280" s="8">
        <v>0</v>
      </c>
      <c r="I5280" s="8">
        <f t="shared" si="246"/>
        <v>-709.0300000000027</v>
      </c>
      <c r="J5280" s="12"/>
    </row>
    <row r="5281" spans="3:10" x14ac:dyDescent="0.25">
      <c r="C5281" s="9"/>
      <c r="D5281" s="10">
        <v>45701</v>
      </c>
      <c r="E5281" t="s">
        <v>6681</v>
      </c>
      <c r="F5281" s="11" t="s">
        <v>6682</v>
      </c>
      <c r="G5281" s="8">
        <v>38.200000000000003</v>
      </c>
      <c r="H5281" s="8">
        <v>0</v>
      </c>
      <c r="I5281" s="8">
        <f t="shared" si="246"/>
        <v>-670.83000000000266</v>
      </c>
      <c r="J5281" s="12"/>
    </row>
    <row r="5282" spans="3:10" x14ac:dyDescent="0.25">
      <c r="C5282" s="9"/>
      <c r="D5282" s="10">
        <v>45701</v>
      </c>
      <c r="E5282" t="s">
        <v>6681</v>
      </c>
      <c r="F5282" s="11" t="s">
        <v>6682</v>
      </c>
      <c r="G5282" s="8">
        <v>0</v>
      </c>
      <c r="H5282" s="8">
        <v>38.200000000000003</v>
      </c>
      <c r="I5282" s="8">
        <f t="shared" si="246"/>
        <v>-709.0300000000027</v>
      </c>
      <c r="J5282" s="12"/>
    </row>
    <row r="5283" spans="3:10" x14ac:dyDescent="0.25">
      <c r="C5283" s="9"/>
      <c r="D5283" s="10">
        <v>45701</v>
      </c>
      <c r="E5283" t="s">
        <v>6683</v>
      </c>
      <c r="F5283" s="11" t="s">
        <v>6684</v>
      </c>
      <c r="G5283" s="8">
        <v>9.17</v>
      </c>
      <c r="H5283" s="8">
        <v>0</v>
      </c>
      <c r="I5283" s="8">
        <f t="shared" si="246"/>
        <v>-699.86000000000274</v>
      </c>
      <c r="J5283" s="12"/>
    </row>
    <row r="5284" spans="3:10" x14ac:dyDescent="0.25">
      <c r="C5284" s="9"/>
      <c r="D5284" s="10">
        <v>45701</v>
      </c>
      <c r="E5284" t="s">
        <v>6685</v>
      </c>
      <c r="F5284" s="11" t="s">
        <v>6686</v>
      </c>
      <c r="G5284" s="8">
        <v>2.78</v>
      </c>
      <c r="H5284" s="8">
        <v>0</v>
      </c>
      <c r="I5284" s="8">
        <f t="shared" si="246"/>
        <v>-697.08000000000277</v>
      </c>
      <c r="J5284" s="12"/>
    </row>
    <row r="5285" spans="3:10" x14ac:dyDescent="0.25">
      <c r="C5285" s="9"/>
      <c r="D5285" s="10">
        <v>45701</v>
      </c>
      <c r="E5285" t="s">
        <v>6687</v>
      </c>
      <c r="F5285" s="11" t="s">
        <v>6688</v>
      </c>
      <c r="G5285" s="8">
        <v>18.95</v>
      </c>
      <c r="H5285" s="8">
        <v>0</v>
      </c>
      <c r="I5285" s="8">
        <f t="shared" si="246"/>
        <v>-678.13000000000272</v>
      </c>
      <c r="J5285" s="12"/>
    </row>
    <row r="5286" spans="3:10" x14ac:dyDescent="0.25">
      <c r="C5286" s="9"/>
      <c r="D5286" s="10">
        <v>45701</v>
      </c>
      <c r="E5286" t="s">
        <v>6689</v>
      </c>
      <c r="F5286" s="11" t="s">
        <v>6690</v>
      </c>
      <c r="G5286" s="8">
        <v>33.880000000000003</v>
      </c>
      <c r="H5286" s="8">
        <v>0</v>
      </c>
      <c r="I5286" s="8">
        <f t="shared" si="246"/>
        <v>-644.25000000000273</v>
      </c>
      <c r="J5286" s="12"/>
    </row>
    <row r="5287" spans="3:10" x14ac:dyDescent="0.25">
      <c r="C5287" s="9"/>
      <c r="D5287" s="10">
        <v>45701</v>
      </c>
      <c r="E5287" t="s">
        <v>6691</v>
      </c>
      <c r="F5287" s="11" t="s">
        <v>6692</v>
      </c>
      <c r="G5287" s="8">
        <v>5.45</v>
      </c>
      <c r="H5287" s="8">
        <v>0</v>
      </c>
      <c r="I5287" s="8">
        <f t="shared" si="246"/>
        <v>-638.80000000000268</v>
      </c>
      <c r="J5287" s="12"/>
    </row>
    <row r="5288" spans="3:10" x14ac:dyDescent="0.25">
      <c r="C5288" s="9"/>
      <c r="D5288" s="10">
        <v>45701</v>
      </c>
      <c r="E5288" t="s">
        <v>6693</v>
      </c>
      <c r="F5288" s="11" t="s">
        <v>6694</v>
      </c>
      <c r="G5288" s="8">
        <v>41.72</v>
      </c>
      <c r="H5288" s="8">
        <v>0</v>
      </c>
      <c r="I5288" s="8">
        <f t="shared" si="246"/>
        <v>-597.08000000000266</v>
      </c>
      <c r="J5288" s="12"/>
    </row>
    <row r="5289" spans="3:10" x14ac:dyDescent="0.25">
      <c r="C5289" s="9"/>
      <c r="D5289" s="10">
        <v>45701</v>
      </c>
      <c r="E5289" t="s">
        <v>6693</v>
      </c>
      <c r="F5289" s="11" t="s">
        <v>6694</v>
      </c>
      <c r="G5289" s="8">
        <v>0</v>
      </c>
      <c r="H5289" s="8">
        <v>41.72</v>
      </c>
      <c r="I5289" s="8">
        <f t="shared" si="246"/>
        <v>-638.80000000000268</v>
      </c>
      <c r="J5289" s="12"/>
    </row>
    <row r="5290" spans="3:10" x14ac:dyDescent="0.25">
      <c r="C5290" s="9"/>
      <c r="D5290" s="10">
        <v>45701</v>
      </c>
      <c r="E5290" t="s">
        <v>6695</v>
      </c>
      <c r="F5290" s="11" t="s">
        <v>6696</v>
      </c>
      <c r="G5290" s="8">
        <v>21.62</v>
      </c>
      <c r="H5290" s="8">
        <v>0</v>
      </c>
      <c r="I5290" s="8">
        <f t="shared" si="246"/>
        <v>-617.18000000000268</v>
      </c>
      <c r="J5290" s="12"/>
    </row>
    <row r="5291" spans="3:10" x14ac:dyDescent="0.25">
      <c r="C5291" s="9"/>
      <c r="D5291" s="10">
        <v>45701</v>
      </c>
      <c r="E5291" t="s">
        <v>6697</v>
      </c>
      <c r="F5291" s="11" t="s">
        <v>6698</v>
      </c>
      <c r="G5291" s="8">
        <v>19.78</v>
      </c>
      <c r="H5291" s="8">
        <v>0</v>
      </c>
      <c r="I5291" s="8">
        <f t="shared" si="246"/>
        <v>-597.40000000000271</v>
      </c>
      <c r="J5291" s="12"/>
    </row>
    <row r="5292" spans="3:10" x14ac:dyDescent="0.25">
      <c r="C5292" s="9"/>
      <c r="D5292" s="10">
        <v>45701</v>
      </c>
      <c r="E5292" t="s">
        <v>6699</v>
      </c>
      <c r="F5292" s="11" t="s">
        <v>6700</v>
      </c>
      <c r="G5292" s="8">
        <v>3.71</v>
      </c>
      <c r="H5292" s="8">
        <v>0</v>
      </c>
      <c r="I5292" s="8">
        <f t="shared" si="246"/>
        <v>-593.69000000000267</v>
      </c>
      <c r="J5292" s="12"/>
    </row>
    <row r="5293" spans="3:10" x14ac:dyDescent="0.25">
      <c r="C5293" s="9"/>
      <c r="D5293" s="10">
        <v>45701</v>
      </c>
      <c r="E5293" t="s">
        <v>6587</v>
      </c>
      <c r="F5293" s="11" t="s">
        <v>42</v>
      </c>
      <c r="G5293" s="8">
        <v>0</v>
      </c>
      <c r="H5293" s="8">
        <v>657.56</v>
      </c>
      <c r="I5293" s="8">
        <f t="shared" si="246"/>
        <v>-1251.2500000000027</v>
      </c>
      <c r="J5293" s="12"/>
    </row>
    <row r="5294" spans="3:10" x14ac:dyDescent="0.25">
      <c r="C5294" s="9"/>
      <c r="D5294" s="10">
        <v>45702</v>
      </c>
      <c r="E5294" t="s">
        <v>6701</v>
      </c>
      <c r="F5294" s="11" t="s">
        <v>6702</v>
      </c>
      <c r="G5294" s="8">
        <v>20.21</v>
      </c>
      <c r="H5294" s="8">
        <v>0</v>
      </c>
      <c r="I5294" s="8">
        <f t="shared" si="246"/>
        <v>-1231.0400000000027</v>
      </c>
      <c r="J5294" s="12"/>
    </row>
    <row r="5295" spans="3:10" x14ac:dyDescent="0.25">
      <c r="C5295" s="9"/>
      <c r="D5295" s="10">
        <v>45702</v>
      </c>
      <c r="E5295" t="s">
        <v>6703</v>
      </c>
      <c r="F5295" s="11" t="s">
        <v>6704</v>
      </c>
      <c r="G5295" s="8">
        <v>9.61</v>
      </c>
      <c r="H5295" s="8">
        <v>0</v>
      </c>
      <c r="I5295" s="8">
        <f t="shared" si="246"/>
        <v>-1221.4300000000028</v>
      </c>
      <c r="J5295" s="12"/>
    </row>
    <row r="5296" spans="3:10" x14ac:dyDescent="0.25">
      <c r="C5296" s="9"/>
      <c r="D5296" s="10">
        <v>45702</v>
      </c>
      <c r="E5296" t="s">
        <v>6703</v>
      </c>
      <c r="F5296" s="11" t="s">
        <v>6704</v>
      </c>
      <c r="G5296" s="8">
        <v>0</v>
      </c>
      <c r="H5296" s="8">
        <v>9.61</v>
      </c>
      <c r="I5296" s="8">
        <f t="shared" si="246"/>
        <v>-1231.0400000000027</v>
      </c>
      <c r="J5296" s="12"/>
    </row>
    <row r="5297" spans="3:10" x14ac:dyDescent="0.25">
      <c r="C5297" s="9"/>
      <c r="D5297" s="10">
        <v>45702</v>
      </c>
      <c r="E5297" t="s">
        <v>6705</v>
      </c>
      <c r="F5297" s="11" t="s">
        <v>6706</v>
      </c>
      <c r="G5297" s="8">
        <v>5.69</v>
      </c>
      <c r="H5297" s="8">
        <v>0</v>
      </c>
      <c r="I5297" s="8">
        <f t="shared" si="246"/>
        <v>-1225.3500000000026</v>
      </c>
      <c r="J5297" s="12"/>
    </row>
    <row r="5298" spans="3:10" x14ac:dyDescent="0.25">
      <c r="C5298" s="9"/>
      <c r="D5298" s="10">
        <v>45702</v>
      </c>
      <c r="E5298" t="s">
        <v>6707</v>
      </c>
      <c r="F5298" s="11" t="s">
        <v>6708</v>
      </c>
      <c r="G5298" s="8">
        <v>58.07</v>
      </c>
      <c r="H5298" s="8">
        <v>0</v>
      </c>
      <c r="I5298" s="8">
        <f t="shared" si="246"/>
        <v>-1167.2800000000027</v>
      </c>
      <c r="J5298" s="12"/>
    </row>
    <row r="5299" spans="3:10" x14ac:dyDescent="0.25">
      <c r="C5299" s="9"/>
      <c r="D5299" s="10">
        <v>45702</v>
      </c>
      <c r="E5299" t="s">
        <v>6709</v>
      </c>
      <c r="F5299" s="11" t="s">
        <v>6710</v>
      </c>
      <c r="G5299" s="8">
        <v>37.96</v>
      </c>
      <c r="H5299" s="8">
        <v>0</v>
      </c>
      <c r="I5299" s="8">
        <f t="shared" si="246"/>
        <v>-1129.3200000000027</v>
      </c>
      <c r="J5299" s="12"/>
    </row>
    <row r="5300" spans="3:10" x14ac:dyDescent="0.25">
      <c r="C5300" s="9"/>
      <c r="D5300" s="10">
        <v>45702</v>
      </c>
      <c r="E5300" t="s">
        <v>6709</v>
      </c>
      <c r="F5300" s="11" t="s">
        <v>6710</v>
      </c>
      <c r="G5300" s="8">
        <v>0</v>
      </c>
      <c r="H5300" s="8">
        <v>37.96</v>
      </c>
      <c r="I5300" s="8">
        <f t="shared" si="246"/>
        <v>-1167.2800000000027</v>
      </c>
      <c r="J5300" s="12"/>
    </row>
    <row r="5301" spans="3:10" x14ac:dyDescent="0.25">
      <c r="C5301" s="9"/>
      <c r="D5301" s="10">
        <v>45702</v>
      </c>
      <c r="E5301" t="s">
        <v>6711</v>
      </c>
      <c r="F5301" s="11" t="s">
        <v>6712</v>
      </c>
      <c r="G5301" s="8">
        <v>9.49</v>
      </c>
      <c r="H5301" s="8">
        <v>0</v>
      </c>
      <c r="I5301" s="8">
        <f t="shared" si="246"/>
        <v>-1157.7900000000027</v>
      </c>
      <c r="J5301" s="12"/>
    </row>
    <row r="5302" spans="3:10" x14ac:dyDescent="0.25">
      <c r="C5302" s="9"/>
      <c r="D5302" s="10">
        <v>45702</v>
      </c>
      <c r="E5302" t="s">
        <v>6713</v>
      </c>
      <c r="F5302" s="11" t="s">
        <v>6714</v>
      </c>
      <c r="G5302" s="8">
        <v>2.1800000000000002</v>
      </c>
      <c r="H5302" s="8">
        <v>0</v>
      </c>
      <c r="I5302" s="8">
        <f t="shared" si="246"/>
        <v>-1155.6100000000026</v>
      </c>
      <c r="J5302" s="12"/>
    </row>
    <row r="5303" spans="3:10" x14ac:dyDescent="0.25">
      <c r="C5303" s="9"/>
      <c r="D5303" s="10">
        <v>45702</v>
      </c>
      <c r="E5303" t="s">
        <v>6713</v>
      </c>
      <c r="F5303" s="11" t="s">
        <v>6714</v>
      </c>
      <c r="G5303" s="8">
        <v>0</v>
      </c>
      <c r="H5303" s="8">
        <v>2.1800000000000002</v>
      </c>
      <c r="I5303" s="8">
        <f t="shared" si="246"/>
        <v>-1157.7900000000027</v>
      </c>
      <c r="J5303" s="12"/>
    </row>
    <row r="5304" spans="3:10" x14ac:dyDescent="0.25">
      <c r="C5304" s="9"/>
      <c r="D5304" s="10">
        <v>45702</v>
      </c>
      <c r="E5304" t="s">
        <v>6715</v>
      </c>
      <c r="F5304" s="11" t="s">
        <v>6716</v>
      </c>
      <c r="G5304" s="8">
        <v>65</v>
      </c>
      <c r="H5304" s="8">
        <v>0</v>
      </c>
      <c r="I5304" s="8">
        <f t="shared" si="246"/>
        <v>-1092.7900000000027</v>
      </c>
      <c r="J5304" s="12"/>
    </row>
    <row r="5305" spans="3:10" x14ac:dyDescent="0.25">
      <c r="C5305" s="9"/>
      <c r="D5305" s="10">
        <v>45702</v>
      </c>
      <c r="E5305" t="s">
        <v>6715</v>
      </c>
      <c r="F5305" s="11" t="s">
        <v>6716</v>
      </c>
      <c r="G5305" s="8">
        <v>0</v>
      </c>
      <c r="H5305" s="8">
        <v>65</v>
      </c>
      <c r="I5305" s="8">
        <f t="shared" si="246"/>
        <v>-1157.7900000000027</v>
      </c>
      <c r="J5305" s="12"/>
    </row>
    <row r="5306" spans="3:10" x14ac:dyDescent="0.25">
      <c r="C5306" s="9"/>
      <c r="D5306" s="10">
        <v>45702</v>
      </c>
      <c r="E5306" t="s">
        <v>6717</v>
      </c>
      <c r="F5306" s="11" t="s">
        <v>6718</v>
      </c>
      <c r="G5306" s="8">
        <v>121.88</v>
      </c>
      <c r="H5306" s="8">
        <v>0</v>
      </c>
      <c r="I5306" s="8">
        <f t="shared" si="246"/>
        <v>-1035.9100000000026</v>
      </c>
      <c r="J5306" s="12"/>
    </row>
    <row r="5307" spans="3:10" x14ac:dyDescent="0.25">
      <c r="C5307" s="9"/>
      <c r="D5307" s="10">
        <v>45702</v>
      </c>
      <c r="E5307" t="s">
        <v>6719</v>
      </c>
      <c r="F5307" s="11" t="s">
        <v>6720</v>
      </c>
      <c r="G5307" s="8">
        <v>26.04</v>
      </c>
      <c r="H5307" s="8">
        <v>0</v>
      </c>
      <c r="I5307" s="8">
        <f t="shared" si="246"/>
        <v>-1009.8700000000026</v>
      </c>
      <c r="J5307" s="12"/>
    </row>
    <row r="5308" spans="3:10" x14ac:dyDescent="0.25">
      <c r="C5308" s="9"/>
      <c r="D5308" s="10">
        <v>45702</v>
      </c>
      <c r="E5308" t="s">
        <v>6721</v>
      </c>
      <c r="F5308" s="11" t="s">
        <v>6722</v>
      </c>
      <c r="G5308" s="8">
        <v>17.38</v>
      </c>
      <c r="H5308" s="8">
        <v>0</v>
      </c>
      <c r="I5308" s="8">
        <f t="shared" si="246"/>
        <v>-992.49000000000262</v>
      </c>
      <c r="J5308" s="12"/>
    </row>
    <row r="5309" spans="3:10" x14ac:dyDescent="0.25">
      <c r="C5309" s="9"/>
      <c r="D5309" s="10">
        <v>45702</v>
      </c>
      <c r="E5309" t="s">
        <v>6723</v>
      </c>
      <c r="F5309" s="11" t="s">
        <v>6724</v>
      </c>
      <c r="G5309" s="8">
        <v>51.91</v>
      </c>
      <c r="H5309" s="8">
        <v>0</v>
      </c>
      <c r="I5309" s="8">
        <f t="shared" si="246"/>
        <v>-940.58000000000266</v>
      </c>
      <c r="J5309" s="12"/>
    </row>
    <row r="5310" spans="3:10" x14ac:dyDescent="0.25">
      <c r="C5310" s="9"/>
      <c r="D5310" s="10">
        <v>45702</v>
      </c>
      <c r="E5310" t="s">
        <v>6725</v>
      </c>
      <c r="F5310" s="11" t="s">
        <v>6726</v>
      </c>
      <c r="G5310" s="8">
        <v>55.72</v>
      </c>
      <c r="H5310" s="8">
        <v>0</v>
      </c>
      <c r="I5310" s="8">
        <f t="shared" si="246"/>
        <v>-884.86000000000263</v>
      </c>
      <c r="J5310" s="12"/>
    </row>
    <row r="5311" spans="3:10" x14ac:dyDescent="0.25">
      <c r="C5311" s="9"/>
      <c r="D5311" s="10">
        <v>45702</v>
      </c>
      <c r="E5311" t="s">
        <v>6725</v>
      </c>
      <c r="F5311" s="11" t="s">
        <v>6726</v>
      </c>
      <c r="G5311" s="8">
        <v>0</v>
      </c>
      <c r="H5311" s="8">
        <v>55.72</v>
      </c>
      <c r="I5311" s="8">
        <f t="shared" si="246"/>
        <v>-940.58000000000266</v>
      </c>
      <c r="J5311" s="12"/>
    </row>
    <row r="5312" spans="3:10" x14ac:dyDescent="0.25">
      <c r="C5312" s="9"/>
      <c r="D5312" s="10">
        <v>45702</v>
      </c>
      <c r="E5312" t="s">
        <v>6727</v>
      </c>
      <c r="F5312" s="11" t="s">
        <v>6728</v>
      </c>
      <c r="G5312" s="8">
        <v>18.3</v>
      </c>
      <c r="H5312" s="8">
        <v>0</v>
      </c>
      <c r="I5312" s="8">
        <f t="shared" si="246"/>
        <v>-922.2800000000027</v>
      </c>
      <c r="J5312" s="12"/>
    </row>
    <row r="5313" spans="3:10" x14ac:dyDescent="0.25">
      <c r="C5313" s="9"/>
      <c r="D5313" s="10">
        <v>45702</v>
      </c>
      <c r="E5313" t="s">
        <v>6729</v>
      </c>
      <c r="F5313" s="11" t="s">
        <v>6730</v>
      </c>
      <c r="G5313" s="8">
        <v>13.66</v>
      </c>
      <c r="H5313" s="8">
        <v>0</v>
      </c>
      <c r="I5313" s="8">
        <f t="shared" si="246"/>
        <v>-908.62000000000273</v>
      </c>
      <c r="J5313" s="12"/>
    </row>
    <row r="5314" spans="3:10" x14ac:dyDescent="0.25">
      <c r="C5314" s="9"/>
      <c r="D5314" s="10">
        <v>45702</v>
      </c>
      <c r="E5314" t="s">
        <v>6731</v>
      </c>
      <c r="F5314" s="11" t="s">
        <v>6732</v>
      </c>
      <c r="G5314" s="8">
        <v>85.9</v>
      </c>
      <c r="H5314" s="8">
        <v>0</v>
      </c>
      <c r="I5314" s="8">
        <f t="shared" si="246"/>
        <v>-822.72000000000276</v>
      </c>
      <c r="J5314" s="12"/>
    </row>
    <row r="5315" spans="3:10" x14ac:dyDescent="0.25">
      <c r="C5315" s="9"/>
      <c r="D5315" s="10">
        <v>45702</v>
      </c>
      <c r="E5315" t="s">
        <v>6733</v>
      </c>
      <c r="F5315" s="11" t="s">
        <v>6734</v>
      </c>
      <c r="G5315" s="8">
        <v>98.06</v>
      </c>
      <c r="H5315" s="8">
        <v>0</v>
      </c>
      <c r="I5315" s="8">
        <f t="shared" si="246"/>
        <v>-724.66000000000281</v>
      </c>
      <c r="J5315" s="12"/>
    </row>
    <row r="5316" spans="3:10" x14ac:dyDescent="0.25">
      <c r="C5316" s="9"/>
      <c r="D5316" s="10">
        <v>45702</v>
      </c>
      <c r="E5316" t="s">
        <v>6735</v>
      </c>
      <c r="F5316" s="11" t="s">
        <v>6736</v>
      </c>
      <c r="G5316" s="8">
        <v>52.57</v>
      </c>
      <c r="H5316" s="8">
        <v>0</v>
      </c>
      <c r="I5316" s="8">
        <f t="shared" si="246"/>
        <v>-672.09000000000276</v>
      </c>
      <c r="J5316" s="12"/>
    </row>
    <row r="5317" spans="3:10" x14ac:dyDescent="0.25">
      <c r="C5317" s="9"/>
      <c r="D5317" s="10">
        <v>45702</v>
      </c>
      <c r="E5317" t="s">
        <v>6737</v>
      </c>
      <c r="F5317" s="11" t="s">
        <v>6738</v>
      </c>
      <c r="G5317" s="8">
        <v>23.5</v>
      </c>
      <c r="H5317" s="8">
        <v>0</v>
      </c>
      <c r="I5317" s="8">
        <f t="shared" si="246"/>
        <v>-648.59000000000276</v>
      </c>
      <c r="J5317" s="12"/>
    </row>
    <row r="5318" spans="3:10" x14ac:dyDescent="0.25">
      <c r="C5318" s="9"/>
      <c r="D5318" s="10">
        <v>45702</v>
      </c>
      <c r="E5318" t="s">
        <v>6587</v>
      </c>
      <c r="F5318" s="11" t="s">
        <v>42</v>
      </c>
      <c r="G5318" s="8">
        <v>0</v>
      </c>
      <c r="H5318" s="8">
        <v>896.84</v>
      </c>
      <c r="I5318" s="8">
        <f t="shared" si="246"/>
        <v>-1545.4300000000028</v>
      </c>
      <c r="J5318" s="12"/>
    </row>
    <row r="5319" spans="3:10" x14ac:dyDescent="0.25">
      <c r="C5319" s="9"/>
      <c r="D5319" s="10">
        <v>45705</v>
      </c>
      <c r="E5319" t="s">
        <v>6739</v>
      </c>
      <c r="F5319" s="11" t="s">
        <v>6740</v>
      </c>
      <c r="G5319" s="8">
        <v>62.74</v>
      </c>
      <c r="H5319" s="8">
        <v>0</v>
      </c>
      <c r="I5319" s="8">
        <f t="shared" si="246"/>
        <v>-1482.6900000000028</v>
      </c>
      <c r="J5319" s="12"/>
    </row>
    <row r="5320" spans="3:10" x14ac:dyDescent="0.25">
      <c r="C5320" s="9"/>
      <c r="D5320" s="10">
        <v>45705</v>
      </c>
      <c r="E5320" t="s">
        <v>6741</v>
      </c>
      <c r="F5320" s="11" t="s">
        <v>6742</v>
      </c>
      <c r="G5320" s="8">
        <v>14.88</v>
      </c>
      <c r="H5320" s="8">
        <v>0</v>
      </c>
      <c r="I5320" s="8">
        <f t="shared" si="246"/>
        <v>-1467.8100000000027</v>
      </c>
      <c r="J5320" s="12"/>
    </row>
    <row r="5321" spans="3:10" x14ac:dyDescent="0.25">
      <c r="C5321" s="9"/>
      <c r="D5321" s="10">
        <v>45705</v>
      </c>
      <c r="E5321" t="s">
        <v>6743</v>
      </c>
      <c r="F5321" s="11" t="s">
        <v>6744</v>
      </c>
      <c r="G5321" s="8">
        <v>9.35</v>
      </c>
      <c r="H5321" s="8">
        <v>0</v>
      </c>
      <c r="I5321" s="8">
        <f t="shared" si="246"/>
        <v>-1458.4600000000028</v>
      </c>
      <c r="J5321" s="12"/>
    </row>
    <row r="5322" spans="3:10" x14ac:dyDescent="0.25">
      <c r="C5322" s="9"/>
      <c r="D5322" s="10">
        <v>45705</v>
      </c>
      <c r="E5322" t="s">
        <v>6745</v>
      </c>
      <c r="F5322" s="11" t="s">
        <v>6746</v>
      </c>
      <c r="G5322" s="8">
        <v>180.83</v>
      </c>
      <c r="H5322" s="8">
        <v>0</v>
      </c>
      <c r="I5322" s="8">
        <f t="shared" si="246"/>
        <v>-1277.6300000000028</v>
      </c>
      <c r="J5322" s="12"/>
    </row>
    <row r="5323" spans="3:10" x14ac:dyDescent="0.25">
      <c r="C5323" s="9"/>
      <c r="D5323" s="10">
        <v>45705</v>
      </c>
      <c r="E5323" t="s">
        <v>6747</v>
      </c>
      <c r="F5323" s="11" t="s">
        <v>6748</v>
      </c>
      <c r="G5323" s="8">
        <v>52.64</v>
      </c>
      <c r="H5323" s="8">
        <v>0</v>
      </c>
      <c r="I5323" s="8">
        <f t="shared" si="246"/>
        <v>-1224.9900000000027</v>
      </c>
      <c r="J5323" s="12"/>
    </row>
    <row r="5324" spans="3:10" x14ac:dyDescent="0.25">
      <c r="C5324" s="9"/>
      <c r="D5324" s="10">
        <v>45705</v>
      </c>
      <c r="E5324" t="s">
        <v>6749</v>
      </c>
      <c r="F5324" s="11" t="s">
        <v>6750</v>
      </c>
      <c r="G5324" s="8">
        <v>521.38</v>
      </c>
      <c r="H5324" s="8">
        <v>0</v>
      </c>
      <c r="I5324" s="8">
        <f t="shared" si="246"/>
        <v>-703.61000000000274</v>
      </c>
      <c r="J5324" s="12"/>
    </row>
    <row r="5325" spans="3:10" x14ac:dyDescent="0.25">
      <c r="C5325" s="9"/>
      <c r="D5325" s="10">
        <v>45705</v>
      </c>
      <c r="E5325" t="s">
        <v>6751</v>
      </c>
      <c r="F5325" s="11" t="s">
        <v>6752</v>
      </c>
      <c r="G5325" s="8">
        <v>124.68</v>
      </c>
      <c r="H5325" s="8">
        <v>0</v>
      </c>
      <c r="I5325" s="8">
        <f t="shared" si="246"/>
        <v>-578.93000000000279</v>
      </c>
      <c r="J5325" s="12"/>
    </row>
    <row r="5326" spans="3:10" x14ac:dyDescent="0.25">
      <c r="C5326" s="9"/>
      <c r="D5326" s="10">
        <v>45705</v>
      </c>
      <c r="E5326" t="s">
        <v>6753</v>
      </c>
      <c r="F5326" s="11" t="s">
        <v>6754</v>
      </c>
      <c r="G5326" s="8">
        <v>6.58</v>
      </c>
      <c r="H5326" s="8">
        <v>0</v>
      </c>
      <c r="I5326" s="8">
        <f t="shared" si="246"/>
        <v>-572.35000000000275</v>
      </c>
      <c r="J5326" s="12"/>
    </row>
    <row r="5327" spans="3:10" x14ac:dyDescent="0.25">
      <c r="C5327" s="9"/>
      <c r="D5327" s="10">
        <v>45705</v>
      </c>
      <c r="E5327" t="s">
        <v>6755</v>
      </c>
      <c r="F5327" s="11" t="s">
        <v>6756</v>
      </c>
      <c r="G5327" s="8">
        <v>147.63999999999999</v>
      </c>
      <c r="H5327" s="8">
        <v>0</v>
      </c>
      <c r="I5327" s="8">
        <f t="shared" si="246"/>
        <v>-424.71000000000276</v>
      </c>
      <c r="J5327" s="12"/>
    </row>
    <row r="5328" spans="3:10" x14ac:dyDescent="0.25">
      <c r="C5328" s="9"/>
      <c r="D5328" s="10">
        <v>45705</v>
      </c>
      <c r="E5328" t="s">
        <v>6757</v>
      </c>
      <c r="F5328" s="11" t="s">
        <v>6758</v>
      </c>
      <c r="G5328" s="8">
        <v>57.46</v>
      </c>
      <c r="H5328" s="8">
        <v>0</v>
      </c>
      <c r="I5328" s="8">
        <f t="shared" si="246"/>
        <v>-367.25000000000279</v>
      </c>
      <c r="J5328" s="12"/>
    </row>
    <row r="5329" spans="3:10" x14ac:dyDescent="0.25">
      <c r="C5329" s="9"/>
      <c r="D5329" s="10">
        <v>45705</v>
      </c>
      <c r="E5329" t="s">
        <v>6757</v>
      </c>
      <c r="F5329" s="11" t="s">
        <v>6758</v>
      </c>
      <c r="G5329" s="8">
        <v>0</v>
      </c>
      <c r="H5329" s="8">
        <v>57.46</v>
      </c>
      <c r="I5329" s="8">
        <f t="shared" si="246"/>
        <v>-424.71000000000276</v>
      </c>
      <c r="J5329" s="12"/>
    </row>
    <row r="5330" spans="3:10" x14ac:dyDescent="0.25">
      <c r="C5330" s="9"/>
      <c r="D5330" s="10">
        <v>45705</v>
      </c>
      <c r="E5330" t="s">
        <v>6759</v>
      </c>
      <c r="F5330" s="11" t="s">
        <v>6760</v>
      </c>
      <c r="G5330" s="8">
        <v>31.17</v>
      </c>
      <c r="H5330" s="8">
        <v>0</v>
      </c>
      <c r="I5330" s="8">
        <f t="shared" si="246"/>
        <v>-393.54000000000275</v>
      </c>
      <c r="J5330" s="12"/>
    </row>
    <row r="5331" spans="3:10" x14ac:dyDescent="0.25">
      <c r="C5331" s="9"/>
      <c r="D5331" s="10">
        <v>45705</v>
      </c>
      <c r="E5331" t="s">
        <v>6761</v>
      </c>
      <c r="F5331" s="11" t="s">
        <v>6762</v>
      </c>
      <c r="G5331" s="8">
        <v>31.94</v>
      </c>
      <c r="H5331" s="8">
        <v>0</v>
      </c>
      <c r="I5331" s="8">
        <f t="shared" si="246"/>
        <v>-361.60000000000275</v>
      </c>
      <c r="J5331" s="12"/>
    </row>
    <row r="5332" spans="3:10" x14ac:dyDescent="0.25">
      <c r="C5332" s="9"/>
      <c r="D5332" s="10">
        <v>45705</v>
      </c>
      <c r="E5332" t="s">
        <v>6761</v>
      </c>
      <c r="F5332" s="11" t="s">
        <v>6762</v>
      </c>
      <c r="G5332" s="8">
        <v>0</v>
      </c>
      <c r="H5332" s="8">
        <v>31.94</v>
      </c>
      <c r="I5332" s="8">
        <f t="shared" si="246"/>
        <v>-393.54000000000275</v>
      </c>
      <c r="J5332" s="12"/>
    </row>
    <row r="5333" spans="3:10" x14ac:dyDescent="0.25">
      <c r="C5333" s="9"/>
      <c r="D5333" s="10">
        <v>45705</v>
      </c>
      <c r="E5333" t="s">
        <v>6763</v>
      </c>
      <c r="F5333" s="11" t="s">
        <v>6764</v>
      </c>
      <c r="G5333" s="8">
        <v>75.540000000000006</v>
      </c>
      <c r="H5333" s="8">
        <v>0</v>
      </c>
      <c r="I5333" s="8">
        <f t="shared" si="246"/>
        <v>-318.00000000000273</v>
      </c>
      <c r="J5333" s="12"/>
    </row>
    <row r="5334" spans="3:10" x14ac:dyDescent="0.25">
      <c r="C5334" s="9"/>
      <c r="D5334" s="10">
        <v>45705</v>
      </c>
      <c r="E5334" t="s">
        <v>6763</v>
      </c>
      <c r="F5334" s="11" t="s">
        <v>6764</v>
      </c>
      <c r="G5334" s="8">
        <v>0</v>
      </c>
      <c r="H5334" s="8">
        <v>75.540000000000006</v>
      </c>
      <c r="I5334" s="8">
        <f t="shared" si="246"/>
        <v>-393.54000000000275</v>
      </c>
      <c r="J5334" s="12"/>
    </row>
    <row r="5335" spans="3:10" x14ac:dyDescent="0.25">
      <c r="C5335" s="9"/>
      <c r="D5335" s="10">
        <v>45705</v>
      </c>
      <c r="E5335" t="s">
        <v>6765</v>
      </c>
      <c r="F5335" s="11" t="s">
        <v>6766</v>
      </c>
      <c r="G5335" s="8">
        <v>989.44</v>
      </c>
      <c r="H5335" s="8">
        <v>0</v>
      </c>
      <c r="I5335" s="8">
        <f t="shared" si="246"/>
        <v>595.89999999999736</v>
      </c>
      <c r="J5335" s="12"/>
    </row>
    <row r="5336" spans="3:10" x14ac:dyDescent="0.25">
      <c r="C5336" s="9"/>
      <c r="D5336" s="10">
        <v>45705</v>
      </c>
      <c r="E5336" t="s">
        <v>6767</v>
      </c>
      <c r="F5336" s="11" t="s">
        <v>6768</v>
      </c>
      <c r="G5336" s="8">
        <v>12.14</v>
      </c>
      <c r="H5336" s="8">
        <v>0</v>
      </c>
      <c r="I5336" s="8">
        <f t="shared" si="246"/>
        <v>608.03999999999735</v>
      </c>
      <c r="J5336" s="12"/>
    </row>
    <row r="5337" spans="3:10" x14ac:dyDescent="0.25">
      <c r="C5337" s="9"/>
      <c r="D5337" s="10">
        <v>45705</v>
      </c>
      <c r="E5337" t="s">
        <v>6769</v>
      </c>
      <c r="F5337" s="11" t="s">
        <v>6770</v>
      </c>
      <c r="G5337" s="8">
        <v>0.77</v>
      </c>
      <c r="H5337" s="8">
        <v>0</v>
      </c>
      <c r="I5337" s="8">
        <f t="shared" si="246"/>
        <v>608.80999999999733</v>
      </c>
      <c r="J5337" s="12"/>
    </row>
    <row r="5338" spans="3:10" x14ac:dyDescent="0.25">
      <c r="C5338" s="9"/>
      <c r="D5338" s="10">
        <v>45705</v>
      </c>
      <c r="E5338" t="s">
        <v>6771</v>
      </c>
      <c r="F5338" s="11" t="s">
        <v>6772</v>
      </c>
      <c r="G5338" s="8">
        <v>18.420000000000002</v>
      </c>
      <c r="H5338" s="8">
        <v>0</v>
      </c>
      <c r="I5338" s="8">
        <f t="shared" si="246"/>
        <v>627.22999999999729</v>
      </c>
      <c r="J5338" s="12"/>
    </row>
    <row r="5339" spans="3:10" x14ac:dyDescent="0.25">
      <c r="C5339" s="9"/>
      <c r="D5339" s="10">
        <v>45705</v>
      </c>
      <c r="E5339" t="s">
        <v>6773</v>
      </c>
      <c r="F5339" s="11" t="s">
        <v>6774</v>
      </c>
      <c r="G5339" s="8">
        <v>23.69</v>
      </c>
      <c r="H5339" s="8">
        <v>0</v>
      </c>
      <c r="I5339" s="8">
        <f t="shared" si="246"/>
        <v>650.91999999999734</v>
      </c>
      <c r="J5339" s="12"/>
    </row>
    <row r="5340" spans="3:10" x14ac:dyDescent="0.25">
      <c r="C5340" s="9"/>
      <c r="D5340" s="10">
        <v>45705</v>
      </c>
      <c r="E5340" t="s">
        <v>6775</v>
      </c>
      <c r="F5340" s="11" t="s">
        <v>6776</v>
      </c>
      <c r="G5340" s="8">
        <v>10.24</v>
      </c>
      <c r="H5340" s="8">
        <v>0</v>
      </c>
      <c r="I5340" s="8">
        <f t="shared" ref="I5340:I5403" si="247">G5340-H5340+I5339</f>
        <v>661.15999999999735</v>
      </c>
      <c r="J5340" s="12"/>
    </row>
    <row r="5341" spans="3:10" x14ac:dyDescent="0.25">
      <c r="C5341" s="9"/>
      <c r="D5341" s="10">
        <v>45705</v>
      </c>
      <c r="E5341" t="s">
        <v>6775</v>
      </c>
      <c r="F5341" s="11" t="s">
        <v>6776</v>
      </c>
      <c r="G5341" s="8">
        <v>0</v>
      </c>
      <c r="H5341" s="8">
        <v>10.24</v>
      </c>
      <c r="I5341" s="8">
        <f t="shared" si="247"/>
        <v>650.91999999999734</v>
      </c>
      <c r="J5341" s="12"/>
    </row>
    <row r="5342" spans="3:10" x14ac:dyDescent="0.25">
      <c r="C5342" s="9"/>
      <c r="D5342" s="10">
        <v>45705</v>
      </c>
      <c r="E5342" t="s">
        <v>6777</v>
      </c>
      <c r="F5342" s="11" t="s">
        <v>6778</v>
      </c>
      <c r="G5342" s="8">
        <v>-23.69</v>
      </c>
      <c r="H5342" s="8">
        <v>0</v>
      </c>
      <c r="I5342" s="8">
        <f t="shared" si="247"/>
        <v>627.22999999999729</v>
      </c>
      <c r="J5342" s="12"/>
    </row>
    <row r="5343" spans="3:10" x14ac:dyDescent="0.25">
      <c r="C5343" s="9"/>
      <c r="D5343" s="10">
        <v>45705</v>
      </c>
      <c r="E5343" t="s">
        <v>6777</v>
      </c>
      <c r="F5343" s="11" t="s">
        <v>6778</v>
      </c>
      <c r="G5343" s="8">
        <v>0</v>
      </c>
      <c r="H5343" s="8">
        <v>-23.69</v>
      </c>
      <c r="I5343" s="8">
        <f t="shared" si="247"/>
        <v>650.91999999999734</v>
      </c>
      <c r="J5343" s="12"/>
    </row>
    <row r="5344" spans="3:10" x14ac:dyDescent="0.25">
      <c r="C5344" s="9"/>
      <c r="D5344" s="10">
        <v>45705</v>
      </c>
      <c r="E5344" t="s">
        <v>6779</v>
      </c>
      <c r="F5344" s="11" t="s">
        <v>6780</v>
      </c>
      <c r="G5344" s="8">
        <v>24.32</v>
      </c>
      <c r="H5344" s="8">
        <v>0</v>
      </c>
      <c r="I5344" s="8">
        <f t="shared" si="247"/>
        <v>675.23999999999739</v>
      </c>
      <c r="J5344" s="12"/>
    </row>
    <row r="5345" spans="3:10" x14ac:dyDescent="0.25">
      <c r="C5345" s="9"/>
      <c r="D5345" s="10">
        <v>45705</v>
      </c>
      <c r="E5345" t="s">
        <v>6781</v>
      </c>
      <c r="F5345" s="11" t="s">
        <v>6782</v>
      </c>
      <c r="G5345" s="8">
        <v>11.01</v>
      </c>
      <c r="H5345" s="8">
        <v>0</v>
      </c>
      <c r="I5345" s="8">
        <f t="shared" si="247"/>
        <v>686.24999999999739</v>
      </c>
      <c r="J5345" s="12"/>
    </row>
    <row r="5346" spans="3:10" x14ac:dyDescent="0.25">
      <c r="C5346" s="9"/>
      <c r="D5346" s="10">
        <v>45705</v>
      </c>
      <c r="E5346" t="s">
        <v>6783</v>
      </c>
      <c r="F5346" s="11" t="s">
        <v>6784</v>
      </c>
      <c r="G5346" s="8">
        <v>81.680000000000007</v>
      </c>
      <c r="H5346" s="8">
        <v>0</v>
      </c>
      <c r="I5346" s="8">
        <f t="shared" si="247"/>
        <v>767.92999999999734</v>
      </c>
      <c r="J5346" s="12"/>
    </row>
    <row r="5347" spans="3:10" x14ac:dyDescent="0.25">
      <c r="C5347" s="9"/>
      <c r="D5347" s="10">
        <v>45705</v>
      </c>
      <c r="E5347" t="s">
        <v>6785</v>
      </c>
      <c r="F5347" s="11" t="s">
        <v>6786</v>
      </c>
      <c r="G5347" s="8">
        <v>12.29</v>
      </c>
      <c r="H5347" s="8">
        <v>0</v>
      </c>
      <c r="I5347" s="8">
        <f t="shared" si="247"/>
        <v>780.2199999999973</v>
      </c>
      <c r="J5347" s="12"/>
    </row>
    <row r="5348" spans="3:10" x14ac:dyDescent="0.25">
      <c r="C5348" s="9"/>
      <c r="D5348" s="10">
        <v>45705</v>
      </c>
      <c r="E5348" t="s">
        <v>6587</v>
      </c>
      <c r="F5348" s="11" t="s">
        <v>42</v>
      </c>
      <c r="G5348" s="8">
        <v>0</v>
      </c>
      <c r="H5348" s="8">
        <v>598.46</v>
      </c>
      <c r="I5348" s="8">
        <f t="shared" si="247"/>
        <v>181.75999999999726</v>
      </c>
      <c r="J5348" s="12"/>
    </row>
    <row r="5349" spans="3:10" x14ac:dyDescent="0.25">
      <c r="C5349" s="9"/>
      <c r="D5349" s="10">
        <v>45706</v>
      </c>
      <c r="E5349" t="s">
        <v>6787</v>
      </c>
      <c r="F5349" s="11" t="s">
        <v>6788</v>
      </c>
      <c r="G5349" s="8">
        <v>2083.86</v>
      </c>
      <c r="H5349" s="8">
        <v>0</v>
      </c>
      <c r="I5349" s="8">
        <f t="shared" si="247"/>
        <v>2265.6199999999972</v>
      </c>
      <c r="J5349" s="12"/>
    </row>
    <row r="5350" spans="3:10" x14ac:dyDescent="0.25">
      <c r="C5350" s="9"/>
      <c r="D5350" s="10">
        <v>45706</v>
      </c>
      <c r="E5350" t="s">
        <v>6789</v>
      </c>
      <c r="F5350" s="11" t="s">
        <v>6790</v>
      </c>
      <c r="G5350" s="8">
        <v>30.66</v>
      </c>
      <c r="H5350" s="8">
        <v>0</v>
      </c>
      <c r="I5350" s="8">
        <f t="shared" si="247"/>
        <v>2296.279999999997</v>
      </c>
      <c r="J5350" s="12"/>
    </row>
    <row r="5351" spans="3:10" x14ac:dyDescent="0.25">
      <c r="C5351" s="9"/>
      <c r="D5351" s="10">
        <v>45706</v>
      </c>
      <c r="E5351" t="s">
        <v>6791</v>
      </c>
      <c r="F5351" s="11" t="s">
        <v>6792</v>
      </c>
      <c r="G5351" s="8">
        <v>7.73</v>
      </c>
      <c r="H5351" s="8">
        <v>0</v>
      </c>
      <c r="I5351" s="8">
        <f t="shared" si="247"/>
        <v>2304.009999999997</v>
      </c>
      <c r="J5351" s="12"/>
    </row>
    <row r="5352" spans="3:10" x14ac:dyDescent="0.25">
      <c r="C5352" s="9"/>
      <c r="D5352" s="10">
        <v>45706</v>
      </c>
      <c r="E5352" t="s">
        <v>6793</v>
      </c>
      <c r="F5352" s="11" t="s">
        <v>6794</v>
      </c>
      <c r="G5352" s="8">
        <v>41.93</v>
      </c>
      <c r="H5352" s="8">
        <v>0</v>
      </c>
      <c r="I5352" s="8">
        <f t="shared" si="247"/>
        <v>2345.9399999999969</v>
      </c>
      <c r="J5352" s="12"/>
    </row>
    <row r="5353" spans="3:10" x14ac:dyDescent="0.25">
      <c r="C5353" s="9"/>
      <c r="D5353" s="10">
        <v>45706</v>
      </c>
      <c r="E5353" t="s">
        <v>6795</v>
      </c>
      <c r="F5353" s="11" t="s">
        <v>6796</v>
      </c>
      <c r="G5353" s="8">
        <v>25.2</v>
      </c>
      <c r="H5353" s="8">
        <v>0</v>
      </c>
      <c r="I5353" s="8">
        <f t="shared" si="247"/>
        <v>2371.1399999999967</v>
      </c>
      <c r="J5353" s="12"/>
    </row>
    <row r="5354" spans="3:10" x14ac:dyDescent="0.25">
      <c r="C5354" s="9"/>
      <c r="D5354" s="10">
        <v>45706</v>
      </c>
      <c r="E5354" t="s">
        <v>6797</v>
      </c>
      <c r="F5354" s="11" t="s">
        <v>6798</v>
      </c>
      <c r="G5354" s="8">
        <v>136.72999999999999</v>
      </c>
      <c r="H5354" s="8">
        <v>0</v>
      </c>
      <c r="I5354" s="8">
        <f t="shared" si="247"/>
        <v>2507.8699999999967</v>
      </c>
      <c r="J5354" s="12"/>
    </row>
    <row r="5355" spans="3:10" x14ac:dyDescent="0.25">
      <c r="C5355" s="9"/>
      <c r="D5355" s="10">
        <v>45706</v>
      </c>
      <c r="E5355" t="s">
        <v>6799</v>
      </c>
      <c r="F5355" s="11" t="s">
        <v>6800</v>
      </c>
      <c r="G5355" s="8">
        <v>29.5</v>
      </c>
      <c r="H5355" s="8">
        <v>0</v>
      </c>
      <c r="I5355" s="8">
        <f t="shared" si="247"/>
        <v>2537.3699999999967</v>
      </c>
      <c r="J5355" s="12"/>
    </row>
    <row r="5356" spans="3:10" x14ac:dyDescent="0.25">
      <c r="C5356" s="9"/>
      <c r="D5356" s="10">
        <v>45706</v>
      </c>
      <c r="E5356" t="s">
        <v>6801</v>
      </c>
      <c r="F5356" s="11" t="s">
        <v>6802</v>
      </c>
      <c r="G5356" s="8">
        <v>666.81</v>
      </c>
      <c r="H5356" s="8">
        <v>0</v>
      </c>
      <c r="I5356" s="8">
        <f t="shared" si="247"/>
        <v>3204.1799999999967</v>
      </c>
      <c r="J5356" s="12"/>
    </row>
    <row r="5357" spans="3:10" x14ac:dyDescent="0.25">
      <c r="C5357" s="9"/>
      <c r="D5357" s="10">
        <v>45706</v>
      </c>
      <c r="E5357" t="s">
        <v>6803</v>
      </c>
      <c r="F5357" s="11" t="s">
        <v>6804</v>
      </c>
      <c r="G5357" s="8">
        <v>0.96</v>
      </c>
      <c r="H5357" s="8">
        <v>0</v>
      </c>
      <c r="I5357" s="8">
        <f t="shared" si="247"/>
        <v>3205.1399999999967</v>
      </c>
      <c r="J5357" s="12"/>
    </row>
    <row r="5358" spans="3:10" x14ac:dyDescent="0.25">
      <c r="C5358" s="9"/>
      <c r="D5358" s="10">
        <v>45706</v>
      </c>
      <c r="E5358" t="s">
        <v>6805</v>
      </c>
      <c r="F5358" s="11" t="s">
        <v>6806</v>
      </c>
      <c r="G5358" s="8">
        <v>84.7</v>
      </c>
      <c r="H5358" s="8">
        <v>0</v>
      </c>
      <c r="I5358" s="8">
        <f t="shared" si="247"/>
        <v>3289.8399999999965</v>
      </c>
      <c r="J5358" s="12"/>
    </row>
    <row r="5359" spans="3:10" x14ac:dyDescent="0.25">
      <c r="C5359" s="9"/>
      <c r="D5359" s="10">
        <v>45706</v>
      </c>
      <c r="E5359" t="s">
        <v>6807</v>
      </c>
      <c r="F5359" s="11" t="s">
        <v>6808</v>
      </c>
      <c r="G5359" s="8">
        <v>611.04999999999995</v>
      </c>
      <c r="H5359" s="8">
        <v>0</v>
      </c>
      <c r="I5359" s="8">
        <f t="shared" si="247"/>
        <v>3900.8899999999967</v>
      </c>
      <c r="J5359" s="12"/>
    </row>
    <row r="5360" spans="3:10" x14ac:dyDescent="0.25">
      <c r="C5360" s="9"/>
      <c r="D5360" s="10">
        <v>45706</v>
      </c>
      <c r="E5360" t="s">
        <v>6809</v>
      </c>
      <c r="F5360" s="11" t="s">
        <v>6810</v>
      </c>
      <c r="G5360" s="8">
        <v>14.19</v>
      </c>
      <c r="H5360" s="8">
        <v>0</v>
      </c>
      <c r="I5360" s="8">
        <f t="shared" si="247"/>
        <v>3915.0799999999967</v>
      </c>
      <c r="J5360" s="12"/>
    </row>
    <row r="5361" spans="3:10" x14ac:dyDescent="0.25">
      <c r="C5361" s="9"/>
      <c r="D5361" s="10">
        <v>45706</v>
      </c>
      <c r="E5361" t="s">
        <v>6811</v>
      </c>
      <c r="F5361" s="11" t="s">
        <v>6812</v>
      </c>
      <c r="G5361" s="8">
        <v>7.31</v>
      </c>
      <c r="H5361" s="8">
        <v>0</v>
      </c>
      <c r="I5361" s="8">
        <f t="shared" si="247"/>
        <v>3922.3899999999967</v>
      </c>
      <c r="J5361" s="12"/>
    </row>
    <row r="5362" spans="3:10" x14ac:dyDescent="0.25">
      <c r="C5362" s="9"/>
      <c r="D5362" s="10">
        <v>45706</v>
      </c>
      <c r="E5362" t="s">
        <v>6813</v>
      </c>
      <c r="F5362" s="11" t="s">
        <v>6814</v>
      </c>
      <c r="G5362" s="8">
        <v>21.91</v>
      </c>
      <c r="H5362" s="8">
        <v>0</v>
      </c>
      <c r="I5362" s="8">
        <f t="shared" si="247"/>
        <v>3944.2999999999965</v>
      </c>
      <c r="J5362" s="12"/>
    </row>
    <row r="5363" spans="3:10" x14ac:dyDescent="0.25">
      <c r="C5363" s="9"/>
      <c r="D5363" s="10">
        <v>45706</v>
      </c>
      <c r="E5363" t="s">
        <v>6813</v>
      </c>
      <c r="F5363" s="11" t="s">
        <v>6814</v>
      </c>
      <c r="G5363" s="8">
        <v>0</v>
      </c>
      <c r="H5363" s="8">
        <v>21.91</v>
      </c>
      <c r="I5363" s="8">
        <f t="shared" si="247"/>
        <v>3922.3899999999967</v>
      </c>
      <c r="J5363" s="12"/>
    </row>
    <row r="5364" spans="3:10" x14ac:dyDescent="0.25">
      <c r="C5364" s="9"/>
      <c r="D5364" s="10">
        <v>45706</v>
      </c>
      <c r="E5364" t="s">
        <v>6815</v>
      </c>
      <c r="F5364" s="11" t="s">
        <v>6816</v>
      </c>
      <c r="G5364" s="8">
        <v>10.210000000000001</v>
      </c>
      <c r="H5364" s="8">
        <v>0</v>
      </c>
      <c r="I5364" s="8">
        <f t="shared" si="247"/>
        <v>3932.5999999999967</v>
      </c>
      <c r="J5364" s="12"/>
    </row>
    <row r="5365" spans="3:10" x14ac:dyDescent="0.25">
      <c r="C5365" s="9"/>
      <c r="D5365" s="10">
        <v>45706</v>
      </c>
      <c r="E5365" t="s">
        <v>6817</v>
      </c>
      <c r="F5365" s="11" t="s">
        <v>6818</v>
      </c>
      <c r="G5365" s="8">
        <v>11.95</v>
      </c>
      <c r="H5365" s="8">
        <v>0</v>
      </c>
      <c r="I5365" s="8">
        <f t="shared" si="247"/>
        <v>3944.5499999999965</v>
      </c>
      <c r="J5365" s="12"/>
    </row>
    <row r="5366" spans="3:10" x14ac:dyDescent="0.25">
      <c r="C5366" s="9"/>
      <c r="D5366" s="10">
        <v>45706</v>
      </c>
      <c r="E5366" t="s">
        <v>6819</v>
      </c>
      <c r="F5366" s="11" t="s">
        <v>6820</v>
      </c>
      <c r="G5366" s="8">
        <v>-5.31</v>
      </c>
      <c r="H5366" s="8">
        <v>0</v>
      </c>
      <c r="I5366" s="8">
        <f t="shared" si="247"/>
        <v>3939.2399999999966</v>
      </c>
      <c r="J5366" s="12"/>
    </row>
    <row r="5367" spans="3:10" x14ac:dyDescent="0.25">
      <c r="C5367" s="9"/>
      <c r="D5367" s="10">
        <v>45706</v>
      </c>
      <c r="E5367" t="s">
        <v>6819</v>
      </c>
      <c r="F5367" s="11" t="s">
        <v>6820</v>
      </c>
      <c r="G5367" s="8">
        <v>0</v>
      </c>
      <c r="H5367" s="8">
        <v>-5.31</v>
      </c>
      <c r="I5367" s="8">
        <f t="shared" si="247"/>
        <v>3944.5499999999965</v>
      </c>
      <c r="J5367" s="12"/>
    </row>
    <row r="5368" spans="3:10" x14ac:dyDescent="0.25">
      <c r="C5368" s="9"/>
      <c r="D5368" s="10">
        <v>45706</v>
      </c>
      <c r="E5368" t="s">
        <v>6821</v>
      </c>
      <c r="F5368" s="11" t="s">
        <v>42</v>
      </c>
      <c r="G5368" s="8">
        <v>0</v>
      </c>
      <c r="H5368" s="8">
        <v>2083.86</v>
      </c>
      <c r="I5368" s="8">
        <f t="shared" si="247"/>
        <v>1860.6899999999964</v>
      </c>
      <c r="J5368" s="12"/>
    </row>
    <row r="5369" spans="3:10" x14ac:dyDescent="0.25">
      <c r="C5369" s="9"/>
      <c r="D5369" s="10">
        <v>45706</v>
      </c>
      <c r="E5369" t="s">
        <v>6587</v>
      </c>
      <c r="F5369" s="11" t="s">
        <v>42</v>
      </c>
      <c r="G5369" s="8">
        <v>0</v>
      </c>
      <c r="H5369" s="8">
        <v>1776.55</v>
      </c>
      <c r="I5369" s="8">
        <f t="shared" si="247"/>
        <v>84.139999999996462</v>
      </c>
      <c r="J5369" s="12"/>
    </row>
    <row r="5370" spans="3:10" x14ac:dyDescent="0.25">
      <c r="C5370" s="9"/>
      <c r="D5370" s="10">
        <v>45707</v>
      </c>
      <c r="E5370" t="s">
        <v>6822</v>
      </c>
      <c r="F5370" s="11" t="s">
        <v>6823</v>
      </c>
      <c r="G5370" s="8">
        <v>8.75</v>
      </c>
      <c r="H5370" s="8">
        <v>0</v>
      </c>
      <c r="I5370" s="8">
        <f t="shared" si="247"/>
        <v>92.889999999996462</v>
      </c>
      <c r="J5370" s="12"/>
    </row>
    <row r="5371" spans="3:10" x14ac:dyDescent="0.25">
      <c r="C5371" s="9"/>
      <c r="D5371" s="10">
        <v>45707</v>
      </c>
      <c r="E5371" t="s">
        <v>6824</v>
      </c>
      <c r="F5371" s="11" t="s">
        <v>6825</v>
      </c>
      <c r="G5371" s="8">
        <v>4.3600000000000003</v>
      </c>
      <c r="H5371" s="8">
        <v>0</v>
      </c>
      <c r="I5371" s="8">
        <f t="shared" si="247"/>
        <v>97.249999999996461</v>
      </c>
      <c r="J5371" s="12"/>
    </row>
    <row r="5372" spans="3:10" x14ac:dyDescent="0.25">
      <c r="C5372" s="9"/>
      <c r="D5372" s="10">
        <v>45707</v>
      </c>
      <c r="E5372" t="s">
        <v>6824</v>
      </c>
      <c r="F5372" s="11" t="s">
        <v>6825</v>
      </c>
      <c r="G5372" s="8">
        <v>0</v>
      </c>
      <c r="H5372" s="8">
        <v>4.3600000000000003</v>
      </c>
      <c r="I5372" s="8">
        <f t="shared" si="247"/>
        <v>92.889999999996462</v>
      </c>
      <c r="J5372" s="12"/>
    </row>
    <row r="5373" spans="3:10" x14ac:dyDescent="0.25">
      <c r="C5373" s="9"/>
      <c r="D5373" s="10">
        <v>45707</v>
      </c>
      <c r="E5373" t="s">
        <v>6826</v>
      </c>
      <c r="F5373" s="11" t="s">
        <v>6827</v>
      </c>
      <c r="G5373" s="8">
        <v>92.83</v>
      </c>
      <c r="H5373" s="8">
        <v>0</v>
      </c>
      <c r="I5373" s="8">
        <f t="shared" si="247"/>
        <v>185.71999999999645</v>
      </c>
      <c r="J5373" s="12"/>
    </row>
    <row r="5374" spans="3:10" x14ac:dyDescent="0.25">
      <c r="C5374" s="9"/>
      <c r="D5374" s="10">
        <v>45707</v>
      </c>
      <c r="E5374" t="s">
        <v>6828</v>
      </c>
      <c r="F5374" s="11" t="s">
        <v>6829</v>
      </c>
      <c r="G5374" s="8">
        <v>8.4499999999999993</v>
      </c>
      <c r="H5374" s="8">
        <v>0</v>
      </c>
      <c r="I5374" s="8">
        <f t="shared" si="247"/>
        <v>194.16999999999643</v>
      </c>
      <c r="J5374" s="12"/>
    </row>
    <row r="5375" spans="3:10" x14ac:dyDescent="0.25">
      <c r="C5375" s="9"/>
      <c r="D5375" s="10">
        <v>45707</v>
      </c>
      <c r="E5375" t="s">
        <v>6828</v>
      </c>
      <c r="F5375" s="11" t="s">
        <v>6829</v>
      </c>
      <c r="G5375" s="8">
        <v>0</v>
      </c>
      <c r="H5375" s="8">
        <v>8.4499999999999993</v>
      </c>
      <c r="I5375" s="8">
        <f t="shared" si="247"/>
        <v>185.71999999999645</v>
      </c>
      <c r="J5375" s="12"/>
    </row>
    <row r="5376" spans="3:10" x14ac:dyDescent="0.25">
      <c r="C5376" s="9"/>
      <c r="D5376" s="10">
        <v>45707</v>
      </c>
      <c r="E5376" t="s">
        <v>6830</v>
      </c>
      <c r="F5376" s="11" t="s">
        <v>6831</v>
      </c>
      <c r="G5376" s="8">
        <v>77.97</v>
      </c>
      <c r="H5376" s="8">
        <v>0</v>
      </c>
      <c r="I5376" s="8">
        <f t="shared" si="247"/>
        <v>263.68999999999642</v>
      </c>
      <c r="J5376" s="12"/>
    </row>
    <row r="5377" spans="3:10" x14ac:dyDescent="0.25">
      <c r="C5377" s="9"/>
      <c r="D5377" s="10">
        <v>45707</v>
      </c>
      <c r="E5377" t="s">
        <v>6832</v>
      </c>
      <c r="F5377" s="11" t="s">
        <v>6833</v>
      </c>
      <c r="G5377" s="8">
        <v>59.35</v>
      </c>
      <c r="H5377" s="8">
        <v>0</v>
      </c>
      <c r="I5377" s="8">
        <f t="shared" si="247"/>
        <v>323.03999999999644</v>
      </c>
      <c r="J5377" s="12"/>
    </row>
    <row r="5378" spans="3:10" x14ac:dyDescent="0.25">
      <c r="C5378" s="9"/>
      <c r="D5378" s="10">
        <v>45707</v>
      </c>
      <c r="E5378" t="s">
        <v>6834</v>
      </c>
      <c r="F5378" s="11" t="s">
        <v>6835</v>
      </c>
      <c r="G5378" s="8">
        <v>4.3600000000000003</v>
      </c>
      <c r="H5378" s="8">
        <v>0</v>
      </c>
      <c r="I5378" s="8">
        <f t="shared" si="247"/>
        <v>327.39999999999645</v>
      </c>
      <c r="J5378" s="12"/>
    </row>
    <row r="5379" spans="3:10" x14ac:dyDescent="0.25">
      <c r="C5379" s="9"/>
      <c r="D5379" s="10">
        <v>45707</v>
      </c>
      <c r="E5379" t="s">
        <v>6836</v>
      </c>
      <c r="F5379" s="11" t="s">
        <v>6837</v>
      </c>
      <c r="G5379" s="8">
        <v>1.83</v>
      </c>
      <c r="H5379" s="8">
        <v>0</v>
      </c>
      <c r="I5379" s="8">
        <f t="shared" si="247"/>
        <v>329.22999999999644</v>
      </c>
      <c r="J5379" s="12"/>
    </row>
    <row r="5380" spans="3:10" x14ac:dyDescent="0.25">
      <c r="C5380" s="9"/>
      <c r="D5380" s="10">
        <v>45707</v>
      </c>
      <c r="E5380" t="s">
        <v>6838</v>
      </c>
      <c r="F5380" s="11" t="s">
        <v>6839</v>
      </c>
      <c r="G5380" s="8">
        <v>40.44</v>
      </c>
      <c r="H5380" s="8">
        <v>0</v>
      </c>
      <c r="I5380" s="8">
        <f t="shared" si="247"/>
        <v>369.66999999999643</v>
      </c>
      <c r="J5380" s="12"/>
    </row>
    <row r="5381" spans="3:10" x14ac:dyDescent="0.25">
      <c r="C5381" s="9"/>
      <c r="D5381" s="10">
        <v>45707</v>
      </c>
      <c r="E5381" t="s">
        <v>6840</v>
      </c>
      <c r="F5381" s="11" t="s">
        <v>6841</v>
      </c>
      <c r="G5381" s="8">
        <v>98.89</v>
      </c>
      <c r="H5381" s="8">
        <v>0</v>
      </c>
      <c r="I5381" s="8">
        <f t="shared" si="247"/>
        <v>468.55999999999642</v>
      </c>
      <c r="J5381" s="12"/>
    </row>
    <row r="5382" spans="3:10" x14ac:dyDescent="0.25">
      <c r="C5382" s="9"/>
      <c r="D5382" s="10">
        <v>45707</v>
      </c>
      <c r="E5382" t="s">
        <v>6842</v>
      </c>
      <c r="F5382" s="11" t="s">
        <v>6843</v>
      </c>
      <c r="G5382" s="8">
        <v>17.68</v>
      </c>
      <c r="H5382" s="8">
        <v>0</v>
      </c>
      <c r="I5382" s="8">
        <f t="shared" si="247"/>
        <v>486.23999999999643</v>
      </c>
      <c r="J5382" s="12"/>
    </row>
    <row r="5383" spans="3:10" x14ac:dyDescent="0.25">
      <c r="C5383" s="9"/>
      <c r="D5383" s="10">
        <v>45707</v>
      </c>
      <c r="E5383" t="s">
        <v>6842</v>
      </c>
      <c r="F5383" s="11" t="s">
        <v>6843</v>
      </c>
      <c r="G5383" s="8">
        <v>0</v>
      </c>
      <c r="H5383" s="8">
        <v>17.68</v>
      </c>
      <c r="I5383" s="8">
        <f t="shared" si="247"/>
        <v>468.55999999999642</v>
      </c>
      <c r="J5383" s="12"/>
    </row>
    <row r="5384" spans="3:10" x14ac:dyDescent="0.25">
      <c r="C5384" s="9"/>
      <c r="D5384" s="10">
        <v>45707</v>
      </c>
      <c r="E5384" t="s">
        <v>6844</v>
      </c>
      <c r="F5384" s="11" t="s">
        <v>6845</v>
      </c>
      <c r="G5384" s="8">
        <v>21.3</v>
      </c>
      <c r="H5384" s="8">
        <v>0</v>
      </c>
      <c r="I5384" s="8">
        <f t="shared" si="247"/>
        <v>489.85999999999643</v>
      </c>
      <c r="J5384" s="12"/>
    </row>
    <row r="5385" spans="3:10" x14ac:dyDescent="0.25">
      <c r="C5385" s="9"/>
      <c r="D5385" s="10">
        <v>45707</v>
      </c>
      <c r="E5385" t="s">
        <v>6844</v>
      </c>
      <c r="F5385" s="11" t="s">
        <v>6845</v>
      </c>
      <c r="G5385" s="8">
        <v>0</v>
      </c>
      <c r="H5385" s="8">
        <v>21.3</v>
      </c>
      <c r="I5385" s="8">
        <f t="shared" si="247"/>
        <v>468.55999999999642</v>
      </c>
      <c r="J5385" s="12"/>
    </row>
    <row r="5386" spans="3:10" x14ac:dyDescent="0.25">
      <c r="C5386" s="9"/>
      <c r="D5386" s="10">
        <v>45707</v>
      </c>
      <c r="E5386" t="s">
        <v>6846</v>
      </c>
      <c r="F5386" s="11" t="s">
        <v>6847</v>
      </c>
      <c r="G5386" s="8">
        <v>70.22</v>
      </c>
      <c r="H5386" s="8">
        <v>0</v>
      </c>
      <c r="I5386" s="8">
        <f t="shared" si="247"/>
        <v>538.77999999999645</v>
      </c>
      <c r="J5386" s="12"/>
    </row>
    <row r="5387" spans="3:10" x14ac:dyDescent="0.25">
      <c r="C5387" s="9"/>
      <c r="D5387" s="10">
        <v>45707</v>
      </c>
      <c r="E5387" t="s">
        <v>6848</v>
      </c>
      <c r="F5387" s="11" t="s">
        <v>6849</v>
      </c>
      <c r="G5387" s="8">
        <v>4.04</v>
      </c>
      <c r="H5387" s="8">
        <v>0</v>
      </c>
      <c r="I5387" s="8">
        <f t="shared" si="247"/>
        <v>542.81999999999641</v>
      </c>
      <c r="J5387" s="12"/>
    </row>
    <row r="5388" spans="3:10" x14ac:dyDescent="0.25">
      <c r="C5388" s="9"/>
      <c r="D5388" s="10">
        <v>45707</v>
      </c>
      <c r="E5388" t="s">
        <v>6850</v>
      </c>
      <c r="F5388" s="11" t="s">
        <v>6851</v>
      </c>
      <c r="G5388" s="8">
        <v>56.28</v>
      </c>
      <c r="H5388" s="8">
        <v>0</v>
      </c>
      <c r="I5388" s="8">
        <f t="shared" si="247"/>
        <v>599.09999999999638</v>
      </c>
      <c r="J5388" s="12"/>
    </row>
    <row r="5389" spans="3:10" x14ac:dyDescent="0.25">
      <c r="C5389" s="9"/>
      <c r="D5389" s="10">
        <v>45707</v>
      </c>
      <c r="E5389" t="s">
        <v>6852</v>
      </c>
      <c r="F5389" s="11" t="s">
        <v>6853</v>
      </c>
      <c r="G5389" s="8">
        <v>202.35</v>
      </c>
      <c r="H5389" s="8">
        <v>0</v>
      </c>
      <c r="I5389" s="8">
        <f t="shared" si="247"/>
        <v>801.44999999999641</v>
      </c>
      <c r="J5389" s="12"/>
    </row>
    <row r="5390" spans="3:10" x14ac:dyDescent="0.25">
      <c r="C5390" s="9"/>
      <c r="D5390" s="10">
        <v>45707</v>
      </c>
      <c r="E5390" t="s">
        <v>6587</v>
      </c>
      <c r="F5390" s="11" t="s">
        <v>42</v>
      </c>
      <c r="G5390" s="8">
        <v>0</v>
      </c>
      <c r="H5390" s="8">
        <v>1663.88</v>
      </c>
      <c r="I5390" s="8">
        <f t="shared" si="247"/>
        <v>-862.4300000000037</v>
      </c>
      <c r="J5390" s="12"/>
    </row>
    <row r="5391" spans="3:10" x14ac:dyDescent="0.25">
      <c r="C5391" s="9"/>
      <c r="D5391" s="10">
        <v>45708</v>
      </c>
      <c r="E5391" t="s">
        <v>6854</v>
      </c>
      <c r="F5391" s="11" t="s">
        <v>6855</v>
      </c>
      <c r="G5391" s="8">
        <v>37.57</v>
      </c>
      <c r="H5391" s="8">
        <v>0</v>
      </c>
      <c r="I5391" s="8">
        <f t="shared" si="247"/>
        <v>-824.86000000000365</v>
      </c>
      <c r="J5391" s="12"/>
    </row>
    <row r="5392" spans="3:10" x14ac:dyDescent="0.25">
      <c r="C5392" s="9"/>
      <c r="D5392" s="10">
        <v>45708</v>
      </c>
      <c r="E5392" t="s">
        <v>6856</v>
      </c>
      <c r="F5392" s="11" t="s">
        <v>6857</v>
      </c>
      <c r="G5392" s="8">
        <v>53.85</v>
      </c>
      <c r="H5392" s="8">
        <v>0</v>
      </c>
      <c r="I5392" s="8">
        <f t="shared" si="247"/>
        <v>-771.01000000000363</v>
      </c>
      <c r="J5392" s="12"/>
    </row>
    <row r="5393" spans="3:10" x14ac:dyDescent="0.25">
      <c r="C5393" s="9"/>
      <c r="D5393" s="10">
        <v>45708</v>
      </c>
      <c r="E5393" t="s">
        <v>6858</v>
      </c>
      <c r="F5393" s="11" t="s">
        <v>6859</v>
      </c>
      <c r="G5393" s="8">
        <v>454.88</v>
      </c>
      <c r="H5393" s="8">
        <v>0</v>
      </c>
      <c r="I5393" s="8">
        <f t="shared" si="247"/>
        <v>-316.13000000000363</v>
      </c>
      <c r="J5393" s="12"/>
    </row>
    <row r="5394" spans="3:10" x14ac:dyDescent="0.25">
      <c r="C5394" s="9"/>
      <c r="D5394" s="10">
        <v>45708</v>
      </c>
      <c r="E5394" t="s">
        <v>6860</v>
      </c>
      <c r="F5394" s="11" t="s">
        <v>4969</v>
      </c>
      <c r="G5394" s="8">
        <v>62.19</v>
      </c>
      <c r="H5394" s="8">
        <v>0</v>
      </c>
      <c r="I5394" s="8">
        <f t="shared" si="247"/>
        <v>-253.94000000000364</v>
      </c>
      <c r="J5394" s="12"/>
    </row>
    <row r="5395" spans="3:10" x14ac:dyDescent="0.25">
      <c r="C5395" s="9"/>
      <c r="D5395" s="10">
        <v>45708</v>
      </c>
      <c r="E5395" t="s">
        <v>6860</v>
      </c>
      <c r="F5395" s="11" t="s">
        <v>4969</v>
      </c>
      <c r="G5395" s="8">
        <v>0</v>
      </c>
      <c r="H5395" s="8">
        <v>62.19</v>
      </c>
      <c r="I5395" s="8">
        <f t="shared" si="247"/>
        <v>-316.13000000000363</v>
      </c>
      <c r="J5395" s="12"/>
    </row>
    <row r="5396" spans="3:10" x14ac:dyDescent="0.25">
      <c r="C5396" s="9"/>
      <c r="D5396" s="10">
        <v>45708</v>
      </c>
      <c r="E5396" t="s">
        <v>6861</v>
      </c>
      <c r="F5396" s="11" t="s">
        <v>6862</v>
      </c>
      <c r="G5396" s="8">
        <v>157.24</v>
      </c>
      <c r="H5396" s="8">
        <v>0</v>
      </c>
      <c r="I5396" s="8">
        <f t="shared" si="247"/>
        <v>-158.89000000000362</v>
      </c>
      <c r="J5396" s="12"/>
    </row>
    <row r="5397" spans="3:10" x14ac:dyDescent="0.25">
      <c r="C5397" s="9"/>
      <c r="D5397" s="10">
        <v>45708</v>
      </c>
      <c r="E5397" t="s">
        <v>6861</v>
      </c>
      <c r="F5397" s="11" t="s">
        <v>6862</v>
      </c>
      <c r="G5397" s="8">
        <v>0</v>
      </c>
      <c r="H5397" s="8">
        <v>157.24</v>
      </c>
      <c r="I5397" s="8">
        <f t="shared" si="247"/>
        <v>-316.13000000000363</v>
      </c>
      <c r="J5397" s="12"/>
    </row>
    <row r="5398" spans="3:10" x14ac:dyDescent="0.25">
      <c r="C5398" s="9"/>
      <c r="D5398" s="10">
        <v>45708</v>
      </c>
      <c r="E5398" t="s">
        <v>6863</v>
      </c>
      <c r="F5398" s="11" t="s">
        <v>6864</v>
      </c>
      <c r="G5398" s="8">
        <v>124.06</v>
      </c>
      <c r="H5398" s="8">
        <v>0</v>
      </c>
      <c r="I5398" s="8">
        <f t="shared" si="247"/>
        <v>-192.07000000000363</v>
      </c>
      <c r="J5398" s="12"/>
    </row>
    <row r="5399" spans="3:10" x14ac:dyDescent="0.25">
      <c r="C5399" s="9"/>
      <c r="D5399" s="10">
        <v>45708</v>
      </c>
      <c r="E5399" t="s">
        <v>6865</v>
      </c>
      <c r="F5399" s="11" t="s">
        <v>6866</v>
      </c>
      <c r="G5399" s="8">
        <v>34.869999999999997</v>
      </c>
      <c r="H5399" s="8">
        <v>0</v>
      </c>
      <c r="I5399" s="8">
        <f t="shared" si="247"/>
        <v>-157.20000000000363</v>
      </c>
      <c r="J5399" s="12"/>
    </row>
    <row r="5400" spans="3:10" x14ac:dyDescent="0.25">
      <c r="C5400" s="9"/>
      <c r="D5400" s="10">
        <v>45708</v>
      </c>
      <c r="E5400" t="s">
        <v>6867</v>
      </c>
      <c r="F5400" s="11" t="s">
        <v>6868</v>
      </c>
      <c r="G5400" s="8">
        <v>165.35</v>
      </c>
      <c r="H5400" s="8">
        <v>0</v>
      </c>
      <c r="I5400" s="8">
        <f t="shared" si="247"/>
        <v>8.1499999999963677</v>
      </c>
      <c r="J5400" s="12"/>
    </row>
    <row r="5401" spans="3:10" x14ac:dyDescent="0.25">
      <c r="C5401" s="9"/>
      <c r="D5401" s="10">
        <v>45708</v>
      </c>
      <c r="E5401" t="s">
        <v>6869</v>
      </c>
      <c r="F5401" s="11" t="s">
        <v>6870</v>
      </c>
      <c r="G5401" s="8">
        <v>24.33</v>
      </c>
      <c r="H5401" s="8">
        <v>0</v>
      </c>
      <c r="I5401" s="8">
        <f t="shared" si="247"/>
        <v>32.479999999996366</v>
      </c>
      <c r="J5401" s="12"/>
    </row>
    <row r="5402" spans="3:10" x14ac:dyDescent="0.25">
      <c r="C5402" s="9"/>
      <c r="D5402" s="10">
        <v>45708</v>
      </c>
      <c r="E5402" t="s">
        <v>6871</v>
      </c>
      <c r="F5402" s="11" t="s">
        <v>6872</v>
      </c>
      <c r="G5402" s="8">
        <v>0.61</v>
      </c>
      <c r="H5402" s="8">
        <v>0</v>
      </c>
      <c r="I5402" s="8">
        <f t="shared" si="247"/>
        <v>33.089999999996365</v>
      </c>
      <c r="J5402" s="12"/>
    </row>
    <row r="5403" spans="3:10" x14ac:dyDescent="0.25">
      <c r="C5403" s="9"/>
      <c r="D5403" s="10">
        <v>45708</v>
      </c>
      <c r="E5403" t="s">
        <v>6871</v>
      </c>
      <c r="F5403" s="11" t="s">
        <v>6872</v>
      </c>
      <c r="G5403" s="8">
        <v>0</v>
      </c>
      <c r="H5403" s="8">
        <v>0.61</v>
      </c>
      <c r="I5403" s="8">
        <f t="shared" si="247"/>
        <v>32.479999999996366</v>
      </c>
      <c r="J5403" s="12"/>
    </row>
    <row r="5404" spans="3:10" x14ac:dyDescent="0.25">
      <c r="C5404" s="9"/>
      <c r="D5404" s="10">
        <v>45708</v>
      </c>
      <c r="E5404" t="s">
        <v>6873</v>
      </c>
      <c r="F5404" s="11" t="s">
        <v>6874</v>
      </c>
      <c r="G5404" s="8">
        <v>4.74</v>
      </c>
      <c r="H5404" s="8">
        <v>0</v>
      </c>
      <c r="I5404" s="8">
        <f t="shared" ref="I5404:I5467" si="248">G5404-H5404+I5403</f>
        <v>37.219999999996368</v>
      </c>
      <c r="J5404" s="12"/>
    </row>
    <row r="5405" spans="3:10" x14ac:dyDescent="0.25">
      <c r="C5405" s="9"/>
      <c r="D5405" s="10">
        <v>45708</v>
      </c>
      <c r="E5405" t="s">
        <v>1524</v>
      </c>
      <c r="F5405" s="11" t="s">
        <v>6875</v>
      </c>
      <c r="G5405" s="8">
        <v>0</v>
      </c>
      <c r="H5405" s="8">
        <v>710.25</v>
      </c>
      <c r="I5405" s="8">
        <f t="shared" si="248"/>
        <v>-673.03000000000361</v>
      </c>
      <c r="J5405" s="12"/>
    </row>
    <row r="5406" spans="3:10" x14ac:dyDescent="0.25">
      <c r="C5406" s="9"/>
      <c r="D5406" s="10">
        <v>45709</v>
      </c>
      <c r="E5406" t="s">
        <v>6876</v>
      </c>
      <c r="F5406" s="11" t="s">
        <v>6877</v>
      </c>
      <c r="G5406" s="8">
        <v>35.47</v>
      </c>
      <c r="H5406" s="8">
        <v>0</v>
      </c>
      <c r="I5406" s="8">
        <f t="shared" si="248"/>
        <v>-637.56000000000358</v>
      </c>
      <c r="J5406" s="12"/>
    </row>
    <row r="5407" spans="3:10" x14ac:dyDescent="0.25">
      <c r="C5407" s="9"/>
      <c r="D5407" s="10">
        <v>45709</v>
      </c>
      <c r="E5407" t="s">
        <v>6878</v>
      </c>
      <c r="F5407" s="11" t="s">
        <v>6879</v>
      </c>
      <c r="G5407" s="8">
        <v>39.08</v>
      </c>
      <c r="H5407" s="8">
        <v>0</v>
      </c>
      <c r="I5407" s="8">
        <f t="shared" si="248"/>
        <v>-598.48000000000354</v>
      </c>
      <c r="J5407" s="12"/>
    </row>
    <row r="5408" spans="3:10" x14ac:dyDescent="0.25">
      <c r="C5408" s="9"/>
      <c r="D5408" s="10">
        <v>45709</v>
      </c>
      <c r="E5408" t="s">
        <v>6880</v>
      </c>
      <c r="F5408" s="11" t="s">
        <v>6881</v>
      </c>
      <c r="G5408" s="8">
        <v>70.59</v>
      </c>
      <c r="H5408" s="8">
        <v>0</v>
      </c>
      <c r="I5408" s="8">
        <f t="shared" si="248"/>
        <v>-527.89000000000351</v>
      </c>
      <c r="J5408" s="12"/>
    </row>
    <row r="5409" spans="3:10" x14ac:dyDescent="0.25">
      <c r="C5409" s="9"/>
      <c r="D5409" s="10">
        <v>45709</v>
      </c>
      <c r="E5409" t="s">
        <v>6882</v>
      </c>
      <c r="F5409" s="11" t="s">
        <v>6883</v>
      </c>
      <c r="G5409" s="8">
        <v>6.2</v>
      </c>
      <c r="H5409" s="8">
        <v>0</v>
      </c>
      <c r="I5409" s="8">
        <f t="shared" si="248"/>
        <v>-521.69000000000347</v>
      </c>
      <c r="J5409" s="12"/>
    </row>
    <row r="5410" spans="3:10" x14ac:dyDescent="0.25">
      <c r="C5410" s="9"/>
      <c r="D5410" s="10">
        <v>45709</v>
      </c>
      <c r="E5410" t="s">
        <v>6882</v>
      </c>
      <c r="F5410" s="11" t="s">
        <v>6883</v>
      </c>
      <c r="G5410" s="8">
        <v>0</v>
      </c>
      <c r="H5410" s="8">
        <v>6.2</v>
      </c>
      <c r="I5410" s="8">
        <f t="shared" si="248"/>
        <v>-527.89000000000351</v>
      </c>
      <c r="J5410" s="12"/>
    </row>
    <row r="5411" spans="3:10" x14ac:dyDescent="0.25">
      <c r="C5411" s="9"/>
      <c r="D5411" s="10">
        <v>45709</v>
      </c>
      <c r="E5411" t="s">
        <v>6884</v>
      </c>
      <c r="F5411" s="11" t="s">
        <v>6885</v>
      </c>
      <c r="G5411" s="8">
        <v>86.73</v>
      </c>
      <c r="H5411" s="8">
        <v>0</v>
      </c>
      <c r="I5411" s="8">
        <f t="shared" si="248"/>
        <v>-441.16000000000349</v>
      </c>
      <c r="J5411" s="12"/>
    </row>
    <row r="5412" spans="3:10" x14ac:dyDescent="0.25">
      <c r="C5412" s="9"/>
      <c r="D5412" s="10">
        <v>45709</v>
      </c>
      <c r="E5412" t="s">
        <v>6886</v>
      </c>
      <c r="F5412" s="11" t="s">
        <v>6887</v>
      </c>
      <c r="G5412" s="8">
        <v>74.05</v>
      </c>
      <c r="H5412" s="8">
        <v>0</v>
      </c>
      <c r="I5412" s="8">
        <f t="shared" si="248"/>
        <v>-367.11000000000348</v>
      </c>
      <c r="J5412" s="12"/>
    </row>
    <row r="5413" spans="3:10" x14ac:dyDescent="0.25">
      <c r="C5413" s="9"/>
      <c r="D5413" s="10">
        <v>45709</v>
      </c>
      <c r="E5413" t="s">
        <v>6888</v>
      </c>
      <c r="F5413" s="11" t="s">
        <v>6889</v>
      </c>
      <c r="G5413" s="8">
        <v>20.82</v>
      </c>
      <c r="H5413" s="8">
        <v>0</v>
      </c>
      <c r="I5413" s="8">
        <f t="shared" si="248"/>
        <v>-346.29000000000349</v>
      </c>
      <c r="J5413" s="12"/>
    </row>
    <row r="5414" spans="3:10" x14ac:dyDescent="0.25">
      <c r="C5414" s="9"/>
      <c r="D5414" s="10">
        <v>45709</v>
      </c>
      <c r="E5414" t="s">
        <v>6890</v>
      </c>
      <c r="F5414" s="11" t="s">
        <v>6891</v>
      </c>
      <c r="G5414" s="8">
        <v>3.09</v>
      </c>
      <c r="H5414" s="8">
        <v>0</v>
      </c>
      <c r="I5414" s="8">
        <f t="shared" si="248"/>
        <v>-343.20000000000351</v>
      </c>
      <c r="J5414" s="12"/>
    </row>
    <row r="5415" spans="3:10" x14ac:dyDescent="0.25">
      <c r="C5415" s="9"/>
      <c r="D5415" s="10">
        <v>45709</v>
      </c>
      <c r="E5415" t="s">
        <v>6890</v>
      </c>
      <c r="F5415" s="11" t="s">
        <v>6891</v>
      </c>
      <c r="G5415" s="8">
        <v>0</v>
      </c>
      <c r="H5415" s="8">
        <v>3.09</v>
      </c>
      <c r="I5415" s="8">
        <f t="shared" si="248"/>
        <v>-346.29000000000349</v>
      </c>
      <c r="J5415" s="12"/>
    </row>
    <row r="5416" spans="3:10" x14ac:dyDescent="0.25">
      <c r="C5416" s="9"/>
      <c r="D5416" s="10">
        <v>45709</v>
      </c>
      <c r="E5416" t="s">
        <v>6892</v>
      </c>
      <c r="F5416" s="11" t="s">
        <v>6893</v>
      </c>
      <c r="G5416" s="8">
        <v>46.78</v>
      </c>
      <c r="H5416" s="8">
        <v>0</v>
      </c>
      <c r="I5416" s="8">
        <f t="shared" si="248"/>
        <v>-299.51000000000352</v>
      </c>
      <c r="J5416" s="12"/>
    </row>
    <row r="5417" spans="3:10" x14ac:dyDescent="0.25">
      <c r="C5417" s="9"/>
      <c r="D5417" s="10">
        <v>45709</v>
      </c>
      <c r="E5417" t="s">
        <v>6894</v>
      </c>
      <c r="F5417" s="11" t="s">
        <v>6895</v>
      </c>
      <c r="G5417" s="8">
        <v>44.95</v>
      </c>
      <c r="H5417" s="8">
        <v>0</v>
      </c>
      <c r="I5417" s="8">
        <f t="shared" si="248"/>
        <v>-254.56000000000353</v>
      </c>
      <c r="J5417" s="12"/>
    </row>
    <row r="5418" spans="3:10" x14ac:dyDescent="0.25">
      <c r="C5418" s="9"/>
      <c r="D5418" s="10">
        <v>45709</v>
      </c>
      <c r="E5418" t="s">
        <v>6896</v>
      </c>
      <c r="F5418" s="11" t="s">
        <v>6897</v>
      </c>
      <c r="G5418" s="8">
        <v>45.98</v>
      </c>
      <c r="H5418" s="8">
        <v>0</v>
      </c>
      <c r="I5418" s="8">
        <f t="shared" si="248"/>
        <v>-208.58000000000354</v>
      </c>
      <c r="J5418" s="12"/>
    </row>
    <row r="5419" spans="3:10" x14ac:dyDescent="0.25">
      <c r="C5419" s="9"/>
      <c r="D5419" s="10">
        <v>45709</v>
      </c>
      <c r="E5419" t="s">
        <v>6898</v>
      </c>
      <c r="F5419" s="11" t="s">
        <v>6899</v>
      </c>
      <c r="G5419" s="8">
        <v>19.57</v>
      </c>
      <c r="H5419" s="8">
        <v>0</v>
      </c>
      <c r="I5419" s="8">
        <f t="shared" si="248"/>
        <v>-189.01000000000354</v>
      </c>
      <c r="J5419" s="12"/>
    </row>
    <row r="5420" spans="3:10" x14ac:dyDescent="0.25">
      <c r="C5420" s="9"/>
      <c r="D5420" s="10">
        <v>45709</v>
      </c>
      <c r="E5420" t="s">
        <v>6900</v>
      </c>
      <c r="F5420" s="11" t="s">
        <v>6901</v>
      </c>
      <c r="G5420" s="8">
        <v>117.02</v>
      </c>
      <c r="H5420" s="8">
        <v>0</v>
      </c>
      <c r="I5420" s="8">
        <f t="shared" si="248"/>
        <v>-71.990000000003548</v>
      </c>
      <c r="J5420" s="12"/>
    </row>
    <row r="5421" spans="3:10" x14ac:dyDescent="0.25">
      <c r="C5421" s="9"/>
      <c r="D5421" s="10">
        <v>45709</v>
      </c>
      <c r="E5421" t="s">
        <v>6902</v>
      </c>
      <c r="F5421" s="11" t="s">
        <v>6903</v>
      </c>
      <c r="G5421" s="8">
        <v>5.71</v>
      </c>
      <c r="H5421" s="8">
        <v>0</v>
      </c>
      <c r="I5421" s="8">
        <f t="shared" si="248"/>
        <v>-66.280000000003554</v>
      </c>
      <c r="J5421" s="12"/>
    </row>
    <row r="5422" spans="3:10" x14ac:dyDescent="0.25">
      <c r="C5422" s="9"/>
      <c r="D5422" s="10">
        <v>45709</v>
      </c>
      <c r="E5422" t="s">
        <v>6904</v>
      </c>
      <c r="F5422" s="11" t="s">
        <v>6905</v>
      </c>
      <c r="G5422" s="8">
        <v>40.659999999999997</v>
      </c>
      <c r="H5422" s="8">
        <v>0</v>
      </c>
      <c r="I5422" s="8">
        <f t="shared" si="248"/>
        <v>-25.620000000003557</v>
      </c>
      <c r="J5422" s="12"/>
    </row>
    <row r="5423" spans="3:10" x14ac:dyDescent="0.25">
      <c r="C5423" s="9"/>
      <c r="D5423" s="10">
        <v>45709</v>
      </c>
      <c r="E5423" t="s">
        <v>6906</v>
      </c>
      <c r="F5423" s="11" t="s">
        <v>6907</v>
      </c>
      <c r="G5423" s="8">
        <v>5.71</v>
      </c>
      <c r="H5423" s="8">
        <v>0</v>
      </c>
      <c r="I5423" s="8">
        <f t="shared" si="248"/>
        <v>-19.910000000003556</v>
      </c>
      <c r="J5423" s="12"/>
    </row>
    <row r="5424" spans="3:10" x14ac:dyDescent="0.25">
      <c r="C5424" s="9"/>
      <c r="D5424" s="10">
        <v>45709</v>
      </c>
      <c r="E5424" t="s">
        <v>6906</v>
      </c>
      <c r="F5424" s="11" t="s">
        <v>6907</v>
      </c>
      <c r="G5424" s="8">
        <v>0</v>
      </c>
      <c r="H5424" s="8">
        <v>5.71</v>
      </c>
      <c r="I5424" s="8">
        <f t="shared" si="248"/>
        <v>-25.620000000003557</v>
      </c>
      <c r="J5424" s="12"/>
    </row>
    <row r="5425" spans="3:10" x14ac:dyDescent="0.25">
      <c r="C5425" s="9"/>
      <c r="D5425" s="10">
        <v>45709</v>
      </c>
      <c r="E5425" t="s">
        <v>6587</v>
      </c>
      <c r="F5425" s="11" t="s">
        <v>42</v>
      </c>
      <c r="G5425" s="8">
        <v>0</v>
      </c>
      <c r="H5425" s="8">
        <v>895.85</v>
      </c>
      <c r="I5425" s="8">
        <f t="shared" si="248"/>
        <v>-921.47000000000355</v>
      </c>
      <c r="J5425" s="12"/>
    </row>
    <row r="5426" spans="3:10" x14ac:dyDescent="0.25">
      <c r="C5426" s="9"/>
      <c r="D5426" s="10">
        <v>45712</v>
      </c>
      <c r="E5426" t="s">
        <v>6908</v>
      </c>
      <c r="F5426" s="11" t="s">
        <v>6909</v>
      </c>
      <c r="G5426" s="8">
        <v>28.1</v>
      </c>
      <c r="H5426" s="8">
        <v>0</v>
      </c>
      <c r="I5426" s="8">
        <f t="shared" si="248"/>
        <v>-893.37000000000353</v>
      </c>
      <c r="J5426" s="12"/>
    </row>
    <row r="5427" spans="3:10" x14ac:dyDescent="0.25">
      <c r="C5427" s="9"/>
      <c r="D5427" s="10">
        <v>45712</v>
      </c>
      <c r="E5427" t="s">
        <v>6910</v>
      </c>
      <c r="F5427" s="11" t="s">
        <v>6911</v>
      </c>
      <c r="G5427" s="8">
        <v>127.52</v>
      </c>
      <c r="H5427" s="8">
        <v>0</v>
      </c>
      <c r="I5427" s="8">
        <f t="shared" si="248"/>
        <v>-765.85000000000355</v>
      </c>
      <c r="J5427" s="12"/>
    </row>
    <row r="5428" spans="3:10" x14ac:dyDescent="0.25">
      <c r="C5428" s="9"/>
      <c r="D5428" s="10">
        <v>45712</v>
      </c>
      <c r="E5428" t="s">
        <v>6912</v>
      </c>
      <c r="F5428" s="11" t="s">
        <v>6913</v>
      </c>
      <c r="G5428" s="8">
        <v>10.6</v>
      </c>
      <c r="H5428" s="8">
        <v>0</v>
      </c>
      <c r="I5428" s="8">
        <f t="shared" si="248"/>
        <v>-755.25000000000352</v>
      </c>
      <c r="J5428" s="12"/>
    </row>
    <row r="5429" spans="3:10" x14ac:dyDescent="0.25">
      <c r="C5429" s="9"/>
      <c r="D5429" s="10">
        <v>45712</v>
      </c>
      <c r="E5429" t="s">
        <v>6914</v>
      </c>
      <c r="F5429" s="11" t="s">
        <v>6915</v>
      </c>
      <c r="G5429" s="8">
        <v>53.89</v>
      </c>
      <c r="H5429" s="8">
        <v>0</v>
      </c>
      <c r="I5429" s="8">
        <f t="shared" si="248"/>
        <v>-701.36000000000354</v>
      </c>
      <c r="J5429" s="12"/>
    </row>
    <row r="5430" spans="3:10" x14ac:dyDescent="0.25">
      <c r="C5430" s="9"/>
      <c r="D5430" s="10">
        <v>45712</v>
      </c>
      <c r="E5430" t="s">
        <v>6916</v>
      </c>
      <c r="F5430" s="11" t="s">
        <v>6917</v>
      </c>
      <c r="G5430" s="8">
        <v>7.01</v>
      </c>
      <c r="H5430" s="8">
        <v>0</v>
      </c>
      <c r="I5430" s="8">
        <f t="shared" si="248"/>
        <v>-694.35000000000355</v>
      </c>
      <c r="J5430" s="12"/>
    </row>
    <row r="5431" spans="3:10" x14ac:dyDescent="0.25">
      <c r="C5431" s="9"/>
      <c r="D5431" s="10">
        <v>45712</v>
      </c>
      <c r="E5431" t="s">
        <v>6918</v>
      </c>
      <c r="F5431" s="11" t="s">
        <v>6919</v>
      </c>
      <c r="G5431" s="8">
        <v>265.47000000000003</v>
      </c>
      <c r="H5431" s="8">
        <v>0</v>
      </c>
      <c r="I5431" s="8">
        <f t="shared" si="248"/>
        <v>-428.88000000000352</v>
      </c>
      <c r="J5431" s="12"/>
    </row>
    <row r="5432" spans="3:10" x14ac:dyDescent="0.25">
      <c r="C5432" s="9"/>
      <c r="D5432" s="10">
        <v>45712</v>
      </c>
      <c r="E5432" t="s">
        <v>6920</v>
      </c>
      <c r="F5432" s="11" t="s">
        <v>6921</v>
      </c>
      <c r="G5432" s="8">
        <v>45.94</v>
      </c>
      <c r="H5432" s="8">
        <v>0</v>
      </c>
      <c r="I5432" s="8">
        <f t="shared" si="248"/>
        <v>-382.94000000000352</v>
      </c>
      <c r="J5432" s="12"/>
    </row>
    <row r="5433" spans="3:10" x14ac:dyDescent="0.25">
      <c r="C5433" s="9"/>
      <c r="D5433" s="10">
        <v>45712</v>
      </c>
      <c r="E5433" t="s">
        <v>6922</v>
      </c>
      <c r="F5433" s="11" t="s">
        <v>6923</v>
      </c>
      <c r="G5433" s="8">
        <v>15.89</v>
      </c>
      <c r="H5433" s="8">
        <v>0</v>
      </c>
      <c r="I5433" s="8">
        <f t="shared" si="248"/>
        <v>-367.05000000000354</v>
      </c>
      <c r="J5433" s="12"/>
    </row>
    <row r="5434" spans="3:10" x14ac:dyDescent="0.25">
      <c r="C5434" s="9"/>
      <c r="D5434" s="10">
        <v>45712</v>
      </c>
      <c r="E5434" t="s">
        <v>6924</v>
      </c>
      <c r="F5434" s="11" t="s">
        <v>6925</v>
      </c>
      <c r="G5434" s="8">
        <v>5.26</v>
      </c>
      <c r="H5434" s="8">
        <v>0</v>
      </c>
      <c r="I5434" s="8">
        <f t="shared" si="248"/>
        <v>-361.79000000000354</v>
      </c>
      <c r="J5434" s="12"/>
    </row>
    <row r="5435" spans="3:10" x14ac:dyDescent="0.25">
      <c r="C5435" s="9"/>
      <c r="D5435" s="10">
        <v>45712</v>
      </c>
      <c r="E5435" t="s">
        <v>6926</v>
      </c>
      <c r="F5435" s="11" t="s">
        <v>6927</v>
      </c>
      <c r="G5435" s="8">
        <v>22.07</v>
      </c>
      <c r="H5435" s="8">
        <v>0</v>
      </c>
      <c r="I5435" s="8">
        <f t="shared" si="248"/>
        <v>-339.72000000000355</v>
      </c>
      <c r="J5435" s="12"/>
    </row>
    <row r="5436" spans="3:10" x14ac:dyDescent="0.25">
      <c r="C5436" s="9"/>
      <c r="D5436" s="10">
        <v>45712</v>
      </c>
      <c r="E5436" t="s">
        <v>6928</v>
      </c>
      <c r="F5436" s="11" t="s">
        <v>6929</v>
      </c>
      <c r="G5436" s="8">
        <v>28.57</v>
      </c>
      <c r="H5436" s="8">
        <v>0</v>
      </c>
      <c r="I5436" s="8">
        <f t="shared" si="248"/>
        <v>-311.15000000000356</v>
      </c>
      <c r="J5436" s="12"/>
    </row>
    <row r="5437" spans="3:10" x14ac:dyDescent="0.25">
      <c r="C5437" s="9"/>
      <c r="D5437" s="10">
        <v>45712</v>
      </c>
      <c r="E5437" t="s">
        <v>6928</v>
      </c>
      <c r="F5437" s="11" t="s">
        <v>6929</v>
      </c>
      <c r="G5437" s="8">
        <v>0</v>
      </c>
      <c r="H5437" s="8">
        <v>28.57</v>
      </c>
      <c r="I5437" s="8">
        <f t="shared" si="248"/>
        <v>-339.72000000000355</v>
      </c>
      <c r="J5437" s="12"/>
    </row>
    <row r="5438" spans="3:10" x14ac:dyDescent="0.25">
      <c r="C5438" s="9"/>
      <c r="D5438" s="10">
        <v>45712</v>
      </c>
      <c r="E5438" t="s">
        <v>6930</v>
      </c>
      <c r="F5438" s="11" t="s">
        <v>6931</v>
      </c>
      <c r="G5438" s="8">
        <v>58.83</v>
      </c>
      <c r="H5438" s="8">
        <v>0</v>
      </c>
      <c r="I5438" s="8">
        <f t="shared" si="248"/>
        <v>-280.89000000000357</v>
      </c>
      <c r="J5438" s="12"/>
    </row>
    <row r="5439" spans="3:10" x14ac:dyDescent="0.25">
      <c r="C5439" s="9"/>
      <c r="D5439" s="10">
        <v>45712</v>
      </c>
      <c r="E5439" t="s">
        <v>6932</v>
      </c>
      <c r="F5439" s="11" t="s">
        <v>6933</v>
      </c>
      <c r="G5439" s="8">
        <v>41.14</v>
      </c>
      <c r="H5439" s="8">
        <v>0</v>
      </c>
      <c r="I5439" s="8">
        <f t="shared" si="248"/>
        <v>-239.75000000000358</v>
      </c>
      <c r="J5439" s="12"/>
    </row>
    <row r="5440" spans="3:10" x14ac:dyDescent="0.25">
      <c r="C5440" s="9"/>
      <c r="D5440" s="10">
        <v>45712</v>
      </c>
      <c r="E5440" t="s">
        <v>6934</v>
      </c>
      <c r="F5440" s="11" t="s">
        <v>6935</v>
      </c>
      <c r="G5440" s="8">
        <v>0.71</v>
      </c>
      <c r="H5440" s="8">
        <v>0</v>
      </c>
      <c r="I5440" s="8">
        <f t="shared" si="248"/>
        <v>-239.04000000000357</v>
      </c>
      <c r="J5440" s="12"/>
    </row>
    <row r="5441" spans="3:10" x14ac:dyDescent="0.25">
      <c r="C5441" s="9"/>
      <c r="D5441" s="10">
        <v>45712</v>
      </c>
      <c r="E5441" t="s">
        <v>6936</v>
      </c>
      <c r="F5441" s="11" t="s">
        <v>6937</v>
      </c>
      <c r="G5441" s="8">
        <v>90.75</v>
      </c>
      <c r="H5441" s="8">
        <v>0</v>
      </c>
      <c r="I5441" s="8">
        <f t="shared" si="248"/>
        <v>-148.29000000000357</v>
      </c>
      <c r="J5441" s="12"/>
    </row>
    <row r="5442" spans="3:10" x14ac:dyDescent="0.25">
      <c r="C5442" s="9"/>
      <c r="D5442" s="10">
        <v>45712</v>
      </c>
      <c r="E5442" t="s">
        <v>6938</v>
      </c>
      <c r="F5442" s="11" t="s">
        <v>6939</v>
      </c>
      <c r="G5442" s="8">
        <v>25.76</v>
      </c>
      <c r="H5442" s="8">
        <v>0</v>
      </c>
      <c r="I5442" s="8">
        <f t="shared" si="248"/>
        <v>-122.53000000000357</v>
      </c>
      <c r="J5442" s="12"/>
    </row>
    <row r="5443" spans="3:10" x14ac:dyDescent="0.25">
      <c r="C5443" s="9"/>
      <c r="D5443" s="10">
        <v>45712</v>
      </c>
      <c r="E5443" t="s">
        <v>6940</v>
      </c>
      <c r="F5443" s="11" t="s">
        <v>6941</v>
      </c>
      <c r="G5443" s="8">
        <v>44.08</v>
      </c>
      <c r="H5443" s="8">
        <v>0</v>
      </c>
      <c r="I5443" s="8">
        <f t="shared" si="248"/>
        <v>-78.45000000000357</v>
      </c>
      <c r="J5443" s="12"/>
    </row>
    <row r="5444" spans="3:10" x14ac:dyDescent="0.25">
      <c r="C5444" s="9"/>
      <c r="D5444" s="10">
        <v>45712</v>
      </c>
      <c r="E5444" t="s">
        <v>6942</v>
      </c>
      <c r="F5444" s="11" t="s">
        <v>6943</v>
      </c>
      <c r="G5444" s="8">
        <v>19.8</v>
      </c>
      <c r="H5444" s="8">
        <v>0</v>
      </c>
      <c r="I5444" s="8">
        <f t="shared" si="248"/>
        <v>-58.650000000003573</v>
      </c>
      <c r="J5444" s="12"/>
    </row>
    <row r="5445" spans="3:10" x14ac:dyDescent="0.25">
      <c r="C5445" s="9"/>
      <c r="D5445" s="10">
        <v>45712</v>
      </c>
      <c r="E5445" t="s">
        <v>6587</v>
      </c>
      <c r="F5445" s="11" t="s">
        <v>42</v>
      </c>
      <c r="G5445" s="8">
        <v>0</v>
      </c>
      <c r="H5445" s="8">
        <v>641.6</v>
      </c>
      <c r="I5445" s="8">
        <f t="shared" si="248"/>
        <v>-700.25000000000364</v>
      </c>
      <c r="J5445" s="12"/>
    </row>
    <row r="5446" spans="3:10" x14ac:dyDescent="0.25">
      <c r="C5446" s="9"/>
      <c r="D5446" s="10">
        <v>45713</v>
      </c>
      <c r="E5446" t="s">
        <v>6944</v>
      </c>
      <c r="F5446" s="11" t="s">
        <v>6945</v>
      </c>
      <c r="G5446" s="8">
        <v>108.9</v>
      </c>
      <c r="H5446" s="8">
        <v>0</v>
      </c>
      <c r="I5446" s="8">
        <f t="shared" si="248"/>
        <v>-591.35000000000366</v>
      </c>
      <c r="J5446" s="12"/>
    </row>
    <row r="5447" spans="3:10" x14ac:dyDescent="0.25">
      <c r="C5447" s="9"/>
      <c r="D5447" s="10">
        <v>45713</v>
      </c>
      <c r="E5447" t="s">
        <v>6946</v>
      </c>
      <c r="F5447" s="11" t="s">
        <v>6947</v>
      </c>
      <c r="G5447" s="8">
        <v>16.25</v>
      </c>
      <c r="H5447" s="8">
        <v>0</v>
      </c>
      <c r="I5447" s="8">
        <f t="shared" si="248"/>
        <v>-575.10000000000366</v>
      </c>
      <c r="J5447" s="12"/>
    </row>
    <row r="5448" spans="3:10" x14ac:dyDescent="0.25">
      <c r="C5448" s="9"/>
      <c r="D5448" s="10">
        <v>45713</v>
      </c>
      <c r="E5448" t="s">
        <v>6948</v>
      </c>
      <c r="F5448" s="11" t="s">
        <v>6949</v>
      </c>
      <c r="G5448" s="8">
        <v>59.3</v>
      </c>
      <c r="H5448" s="8">
        <v>0</v>
      </c>
      <c r="I5448" s="8">
        <f t="shared" si="248"/>
        <v>-515.80000000000371</v>
      </c>
      <c r="J5448" s="12"/>
    </row>
    <row r="5449" spans="3:10" x14ac:dyDescent="0.25">
      <c r="C5449" s="9"/>
      <c r="D5449" s="10">
        <v>45713</v>
      </c>
      <c r="E5449" t="s">
        <v>6948</v>
      </c>
      <c r="F5449" s="11" t="s">
        <v>6949</v>
      </c>
      <c r="G5449" s="8">
        <v>0</v>
      </c>
      <c r="H5449" s="8">
        <v>59.3</v>
      </c>
      <c r="I5449" s="8">
        <f t="shared" si="248"/>
        <v>-575.10000000000366</v>
      </c>
      <c r="J5449" s="12"/>
    </row>
    <row r="5450" spans="3:10" x14ac:dyDescent="0.25">
      <c r="C5450" s="9"/>
      <c r="D5450" s="10">
        <v>45713</v>
      </c>
      <c r="E5450" t="s">
        <v>6950</v>
      </c>
      <c r="F5450" s="11" t="s">
        <v>6951</v>
      </c>
      <c r="G5450" s="8">
        <v>409.92</v>
      </c>
      <c r="H5450" s="8">
        <v>0</v>
      </c>
      <c r="I5450" s="8">
        <f t="shared" si="248"/>
        <v>-165.18000000000364</v>
      </c>
      <c r="J5450" s="12"/>
    </row>
    <row r="5451" spans="3:10" x14ac:dyDescent="0.25">
      <c r="C5451" s="9"/>
      <c r="D5451" s="10">
        <v>45713</v>
      </c>
      <c r="E5451" t="s">
        <v>6952</v>
      </c>
      <c r="F5451" s="11" t="s">
        <v>6953</v>
      </c>
      <c r="G5451" s="8">
        <v>15.23</v>
      </c>
      <c r="H5451" s="8">
        <v>0</v>
      </c>
      <c r="I5451" s="8">
        <f t="shared" si="248"/>
        <v>-149.95000000000366</v>
      </c>
      <c r="J5451" s="12"/>
    </row>
    <row r="5452" spans="3:10" x14ac:dyDescent="0.25">
      <c r="C5452" s="9"/>
      <c r="D5452" s="10">
        <v>45713</v>
      </c>
      <c r="E5452" t="s">
        <v>6952</v>
      </c>
      <c r="F5452" s="11" t="s">
        <v>6953</v>
      </c>
      <c r="G5452" s="8">
        <v>0</v>
      </c>
      <c r="H5452" s="8">
        <v>15.23</v>
      </c>
      <c r="I5452" s="8">
        <f t="shared" si="248"/>
        <v>-165.18000000000364</v>
      </c>
      <c r="J5452" s="12"/>
    </row>
    <row r="5453" spans="3:10" x14ac:dyDescent="0.25">
      <c r="C5453" s="9"/>
      <c r="D5453" s="10">
        <v>45713</v>
      </c>
      <c r="E5453" t="s">
        <v>6954</v>
      </c>
      <c r="F5453" s="11" t="s">
        <v>6955</v>
      </c>
      <c r="G5453" s="8">
        <v>63.89</v>
      </c>
      <c r="H5453" s="8">
        <v>0</v>
      </c>
      <c r="I5453" s="8">
        <f t="shared" si="248"/>
        <v>-101.29000000000364</v>
      </c>
      <c r="J5453" s="12"/>
    </row>
    <row r="5454" spans="3:10" x14ac:dyDescent="0.25">
      <c r="C5454" s="9"/>
      <c r="D5454" s="10">
        <v>45713</v>
      </c>
      <c r="E5454" t="s">
        <v>6954</v>
      </c>
      <c r="F5454" s="11" t="s">
        <v>6955</v>
      </c>
      <c r="G5454" s="8">
        <v>0</v>
      </c>
      <c r="H5454" s="8">
        <v>63.89</v>
      </c>
      <c r="I5454" s="8">
        <f t="shared" si="248"/>
        <v>-165.18000000000364</v>
      </c>
      <c r="J5454" s="12"/>
    </row>
    <row r="5455" spans="3:10" x14ac:dyDescent="0.25">
      <c r="C5455" s="9"/>
      <c r="D5455" s="10">
        <v>45713</v>
      </c>
      <c r="E5455" t="s">
        <v>6956</v>
      </c>
      <c r="F5455" s="11" t="s">
        <v>6957</v>
      </c>
      <c r="G5455" s="8">
        <v>7.94</v>
      </c>
      <c r="H5455" s="8">
        <v>0</v>
      </c>
      <c r="I5455" s="8">
        <f t="shared" si="248"/>
        <v>-157.24000000000365</v>
      </c>
      <c r="J5455" s="12"/>
    </row>
    <row r="5456" spans="3:10" x14ac:dyDescent="0.25">
      <c r="C5456" s="9"/>
      <c r="D5456" s="10">
        <v>45713</v>
      </c>
      <c r="E5456" t="s">
        <v>6958</v>
      </c>
      <c r="F5456" s="11" t="s">
        <v>6959</v>
      </c>
      <c r="G5456" s="8">
        <v>8.93</v>
      </c>
      <c r="H5456" s="8">
        <v>0</v>
      </c>
      <c r="I5456" s="8">
        <f t="shared" si="248"/>
        <v>-148.31000000000364</v>
      </c>
      <c r="J5456" s="12"/>
    </row>
    <row r="5457" spans="3:10" x14ac:dyDescent="0.25">
      <c r="C5457" s="9"/>
      <c r="D5457" s="10">
        <v>45713</v>
      </c>
      <c r="E5457" t="s">
        <v>6960</v>
      </c>
      <c r="F5457" s="11" t="s">
        <v>6961</v>
      </c>
      <c r="G5457" s="8">
        <v>92.12</v>
      </c>
      <c r="H5457" s="8">
        <v>0</v>
      </c>
      <c r="I5457" s="8">
        <f t="shared" si="248"/>
        <v>-56.190000000003636</v>
      </c>
      <c r="J5457" s="12"/>
    </row>
    <row r="5458" spans="3:10" x14ac:dyDescent="0.25">
      <c r="C5458" s="9"/>
      <c r="D5458" s="10">
        <v>45713</v>
      </c>
      <c r="E5458" t="s">
        <v>6962</v>
      </c>
      <c r="F5458" s="11" t="s">
        <v>6963</v>
      </c>
      <c r="G5458" s="8">
        <v>33.57</v>
      </c>
      <c r="H5458" s="8">
        <v>0</v>
      </c>
      <c r="I5458" s="8">
        <f t="shared" si="248"/>
        <v>-22.620000000003635</v>
      </c>
      <c r="J5458" s="12"/>
    </row>
    <row r="5459" spans="3:10" x14ac:dyDescent="0.25">
      <c r="C5459" s="9"/>
      <c r="D5459" s="10">
        <v>45713</v>
      </c>
      <c r="E5459" t="s">
        <v>6964</v>
      </c>
      <c r="F5459" s="11" t="s">
        <v>6965</v>
      </c>
      <c r="G5459" s="8">
        <v>28.51</v>
      </c>
      <c r="H5459" s="8">
        <v>0</v>
      </c>
      <c r="I5459" s="8">
        <f t="shared" si="248"/>
        <v>5.8899999999963661</v>
      </c>
      <c r="J5459" s="12"/>
    </row>
    <row r="5460" spans="3:10" x14ac:dyDescent="0.25">
      <c r="C5460" s="9"/>
      <c r="D5460" s="10">
        <v>45713</v>
      </c>
      <c r="E5460" t="s">
        <v>6966</v>
      </c>
      <c r="F5460" s="11" t="s">
        <v>6967</v>
      </c>
      <c r="G5460" s="8">
        <v>40.75</v>
      </c>
      <c r="H5460" s="8">
        <v>0</v>
      </c>
      <c r="I5460" s="8">
        <f t="shared" si="248"/>
        <v>46.639999999996363</v>
      </c>
      <c r="J5460" s="12"/>
    </row>
    <row r="5461" spans="3:10" x14ac:dyDescent="0.25">
      <c r="C5461" s="9"/>
      <c r="D5461" s="10">
        <v>45713</v>
      </c>
      <c r="E5461" t="s">
        <v>6966</v>
      </c>
      <c r="F5461" s="11" t="s">
        <v>6967</v>
      </c>
      <c r="G5461" s="8">
        <v>0</v>
      </c>
      <c r="H5461" s="8">
        <v>40.75</v>
      </c>
      <c r="I5461" s="8">
        <f t="shared" si="248"/>
        <v>5.8899999999963626</v>
      </c>
      <c r="J5461" s="12"/>
    </row>
    <row r="5462" spans="3:10" x14ac:dyDescent="0.25">
      <c r="C5462" s="9"/>
      <c r="D5462" s="10">
        <v>45713</v>
      </c>
      <c r="E5462" t="s">
        <v>6968</v>
      </c>
      <c r="F5462" s="11" t="s">
        <v>6969</v>
      </c>
      <c r="G5462" s="8">
        <v>73.98</v>
      </c>
      <c r="H5462" s="8">
        <v>0</v>
      </c>
      <c r="I5462" s="8">
        <f t="shared" si="248"/>
        <v>79.869999999996367</v>
      </c>
      <c r="J5462" s="12"/>
    </row>
    <row r="5463" spans="3:10" x14ac:dyDescent="0.25">
      <c r="C5463" s="9"/>
      <c r="D5463" s="10">
        <v>45713</v>
      </c>
      <c r="E5463" t="s">
        <v>6970</v>
      </c>
      <c r="F5463" s="11" t="s">
        <v>6971</v>
      </c>
      <c r="G5463" s="8">
        <v>61.69</v>
      </c>
      <c r="H5463" s="8">
        <v>0</v>
      </c>
      <c r="I5463" s="8">
        <f t="shared" si="248"/>
        <v>141.55999999999636</v>
      </c>
      <c r="J5463" s="12"/>
    </row>
    <row r="5464" spans="3:10" x14ac:dyDescent="0.25">
      <c r="C5464" s="9"/>
      <c r="D5464" s="10">
        <v>45713</v>
      </c>
      <c r="E5464" t="s">
        <v>6972</v>
      </c>
      <c r="F5464" s="11" t="s">
        <v>6973</v>
      </c>
      <c r="G5464" s="8">
        <v>34</v>
      </c>
      <c r="H5464" s="8">
        <v>0</v>
      </c>
      <c r="I5464" s="8">
        <f t="shared" si="248"/>
        <v>175.55999999999636</v>
      </c>
      <c r="J5464" s="12"/>
    </row>
    <row r="5465" spans="3:10" x14ac:dyDescent="0.25">
      <c r="C5465" s="9"/>
      <c r="D5465" s="10">
        <v>45713</v>
      </c>
      <c r="E5465" t="s">
        <v>6587</v>
      </c>
      <c r="F5465" s="11" t="s">
        <v>42</v>
      </c>
      <c r="G5465" s="8">
        <v>0</v>
      </c>
      <c r="H5465" s="8">
        <v>856.68</v>
      </c>
      <c r="I5465" s="8">
        <f t="shared" si="248"/>
        <v>-681.12000000000353</v>
      </c>
      <c r="J5465" s="12"/>
    </row>
    <row r="5466" spans="3:10" x14ac:dyDescent="0.25">
      <c r="C5466" s="9"/>
      <c r="D5466" s="10">
        <v>45714</v>
      </c>
      <c r="E5466" t="s">
        <v>6974</v>
      </c>
      <c r="F5466" s="11" t="s">
        <v>6975</v>
      </c>
      <c r="G5466" s="8">
        <v>21.38</v>
      </c>
      <c r="H5466" s="8">
        <v>0</v>
      </c>
      <c r="I5466" s="8">
        <f t="shared" si="248"/>
        <v>-659.74000000000353</v>
      </c>
      <c r="J5466" s="12"/>
    </row>
    <row r="5467" spans="3:10" x14ac:dyDescent="0.25">
      <c r="C5467" s="9"/>
      <c r="D5467" s="10">
        <v>45714</v>
      </c>
      <c r="E5467" t="s">
        <v>6976</v>
      </c>
      <c r="F5467" s="11" t="s">
        <v>6977</v>
      </c>
      <c r="G5467" s="8">
        <v>36.049999999999997</v>
      </c>
      <c r="H5467" s="8">
        <v>0</v>
      </c>
      <c r="I5467" s="8">
        <f t="shared" si="248"/>
        <v>-623.69000000000358</v>
      </c>
      <c r="J5467" s="12"/>
    </row>
    <row r="5468" spans="3:10" x14ac:dyDescent="0.25">
      <c r="C5468" s="9"/>
      <c r="D5468" s="10">
        <v>45714</v>
      </c>
      <c r="E5468" t="s">
        <v>6978</v>
      </c>
      <c r="F5468" s="11" t="s">
        <v>6979</v>
      </c>
      <c r="G5468" s="8">
        <v>99.83</v>
      </c>
      <c r="H5468" s="8">
        <v>0</v>
      </c>
      <c r="I5468" s="8">
        <f t="shared" ref="I5468:I5531" si="249">G5468-H5468+I5467</f>
        <v>-523.86000000000354</v>
      </c>
      <c r="J5468" s="12"/>
    </row>
    <row r="5469" spans="3:10" x14ac:dyDescent="0.25">
      <c r="C5469" s="9"/>
      <c r="D5469" s="10">
        <v>45714</v>
      </c>
      <c r="E5469" t="s">
        <v>6980</v>
      </c>
      <c r="F5469" s="11" t="s">
        <v>6981</v>
      </c>
      <c r="G5469" s="8">
        <v>20.99</v>
      </c>
      <c r="H5469" s="8">
        <v>0</v>
      </c>
      <c r="I5469" s="8">
        <f t="shared" si="249"/>
        <v>-502.87000000000353</v>
      </c>
      <c r="J5469" s="12"/>
    </row>
    <row r="5470" spans="3:10" x14ac:dyDescent="0.25">
      <c r="C5470" s="9"/>
      <c r="D5470" s="10">
        <v>45714</v>
      </c>
      <c r="E5470" t="s">
        <v>6982</v>
      </c>
      <c r="F5470" s="11" t="s">
        <v>6983</v>
      </c>
      <c r="G5470" s="8">
        <v>236.77</v>
      </c>
      <c r="H5470" s="8">
        <v>0</v>
      </c>
      <c r="I5470" s="8">
        <f t="shared" si="249"/>
        <v>-266.10000000000355</v>
      </c>
      <c r="J5470" s="12"/>
    </row>
    <row r="5471" spans="3:10" x14ac:dyDescent="0.25">
      <c r="C5471" s="9"/>
      <c r="D5471" s="10">
        <v>45714</v>
      </c>
      <c r="E5471" t="s">
        <v>6984</v>
      </c>
      <c r="F5471" s="11" t="s">
        <v>6985</v>
      </c>
      <c r="G5471" s="8">
        <v>60.86</v>
      </c>
      <c r="H5471" s="8">
        <v>0</v>
      </c>
      <c r="I5471" s="8">
        <f t="shared" si="249"/>
        <v>-205.24000000000353</v>
      </c>
      <c r="J5471" s="12"/>
    </row>
    <row r="5472" spans="3:10" x14ac:dyDescent="0.25">
      <c r="C5472" s="9"/>
      <c r="D5472" s="10">
        <v>45714</v>
      </c>
      <c r="E5472" t="s">
        <v>6984</v>
      </c>
      <c r="F5472" s="11" t="s">
        <v>6985</v>
      </c>
      <c r="G5472" s="8">
        <v>0</v>
      </c>
      <c r="H5472" s="8">
        <v>60.86</v>
      </c>
      <c r="I5472" s="8">
        <f t="shared" si="249"/>
        <v>-266.10000000000355</v>
      </c>
      <c r="J5472" s="12"/>
    </row>
    <row r="5473" spans="3:10" x14ac:dyDescent="0.25">
      <c r="C5473" s="9"/>
      <c r="D5473" s="10">
        <v>45714</v>
      </c>
      <c r="E5473" t="s">
        <v>6986</v>
      </c>
      <c r="F5473" s="11" t="s">
        <v>6987</v>
      </c>
      <c r="G5473" s="8">
        <v>11.52</v>
      </c>
      <c r="H5473" s="8">
        <v>0</v>
      </c>
      <c r="I5473" s="8">
        <f t="shared" si="249"/>
        <v>-254.58000000000354</v>
      </c>
      <c r="J5473" s="12"/>
    </row>
    <row r="5474" spans="3:10" x14ac:dyDescent="0.25">
      <c r="C5474" s="9"/>
      <c r="D5474" s="10">
        <v>45714</v>
      </c>
      <c r="E5474" t="s">
        <v>6986</v>
      </c>
      <c r="F5474" s="11" t="s">
        <v>6987</v>
      </c>
      <c r="G5474" s="8">
        <v>0</v>
      </c>
      <c r="H5474" s="8">
        <v>11.52</v>
      </c>
      <c r="I5474" s="8">
        <f t="shared" si="249"/>
        <v>-266.10000000000355</v>
      </c>
      <c r="J5474" s="12"/>
    </row>
    <row r="5475" spans="3:10" x14ac:dyDescent="0.25">
      <c r="C5475" s="9"/>
      <c r="D5475" s="10">
        <v>45714</v>
      </c>
      <c r="E5475" t="s">
        <v>6988</v>
      </c>
      <c r="F5475" s="11" t="s">
        <v>6989</v>
      </c>
      <c r="G5475" s="8">
        <v>37.07</v>
      </c>
      <c r="H5475" s="8">
        <v>0</v>
      </c>
      <c r="I5475" s="8">
        <f t="shared" si="249"/>
        <v>-229.03000000000355</v>
      </c>
      <c r="J5475" s="12"/>
    </row>
    <row r="5476" spans="3:10" x14ac:dyDescent="0.25">
      <c r="C5476" s="9"/>
      <c r="D5476" s="10">
        <v>45714</v>
      </c>
      <c r="E5476" t="s">
        <v>6990</v>
      </c>
      <c r="F5476" s="11" t="s">
        <v>6991</v>
      </c>
      <c r="G5476" s="8">
        <v>17.45</v>
      </c>
      <c r="H5476" s="8">
        <v>0</v>
      </c>
      <c r="I5476" s="8">
        <f t="shared" si="249"/>
        <v>-211.58000000000357</v>
      </c>
      <c r="J5476" s="12"/>
    </row>
    <row r="5477" spans="3:10" x14ac:dyDescent="0.25">
      <c r="C5477" s="9"/>
      <c r="D5477" s="10">
        <v>45714</v>
      </c>
      <c r="E5477" t="s">
        <v>6992</v>
      </c>
      <c r="F5477" s="11" t="s">
        <v>6993</v>
      </c>
      <c r="G5477" s="8">
        <v>24.9</v>
      </c>
      <c r="H5477" s="8">
        <v>0</v>
      </c>
      <c r="I5477" s="8">
        <f t="shared" si="249"/>
        <v>-186.68000000000356</v>
      </c>
      <c r="J5477" s="12"/>
    </row>
    <row r="5478" spans="3:10" x14ac:dyDescent="0.25">
      <c r="C5478" s="9"/>
      <c r="D5478" s="10">
        <v>45714</v>
      </c>
      <c r="E5478" t="s">
        <v>6994</v>
      </c>
      <c r="F5478" s="11" t="s">
        <v>6995</v>
      </c>
      <c r="G5478" s="8">
        <v>36.880000000000003</v>
      </c>
      <c r="H5478" s="8">
        <v>0</v>
      </c>
      <c r="I5478" s="8">
        <f t="shared" si="249"/>
        <v>-149.80000000000356</v>
      </c>
      <c r="J5478" s="12"/>
    </row>
    <row r="5479" spans="3:10" x14ac:dyDescent="0.25">
      <c r="C5479" s="9"/>
      <c r="D5479" s="10">
        <v>45714</v>
      </c>
      <c r="E5479" t="s">
        <v>6996</v>
      </c>
      <c r="F5479" s="11" t="s">
        <v>6997</v>
      </c>
      <c r="G5479" s="8">
        <v>30.44</v>
      </c>
      <c r="H5479" s="8">
        <v>0</v>
      </c>
      <c r="I5479" s="8">
        <f t="shared" si="249"/>
        <v>-119.36000000000357</v>
      </c>
      <c r="J5479" s="12"/>
    </row>
    <row r="5480" spans="3:10" x14ac:dyDescent="0.25">
      <c r="C5480" s="9"/>
      <c r="D5480" s="10">
        <v>45714</v>
      </c>
      <c r="E5480" t="s">
        <v>6998</v>
      </c>
      <c r="F5480" s="11" t="s">
        <v>6999</v>
      </c>
      <c r="G5480" s="8">
        <v>42.56</v>
      </c>
      <c r="H5480" s="8">
        <v>0</v>
      </c>
      <c r="I5480" s="8">
        <f t="shared" si="249"/>
        <v>-76.800000000003564</v>
      </c>
      <c r="J5480" s="12"/>
    </row>
    <row r="5481" spans="3:10" x14ac:dyDescent="0.25">
      <c r="C5481" s="9"/>
      <c r="D5481" s="10">
        <v>45714</v>
      </c>
      <c r="E5481" t="s">
        <v>7000</v>
      </c>
      <c r="F5481" s="11" t="s">
        <v>7001</v>
      </c>
      <c r="G5481" s="8">
        <v>34.5</v>
      </c>
      <c r="H5481" s="8">
        <v>0</v>
      </c>
      <c r="I5481" s="8">
        <f t="shared" si="249"/>
        <v>-42.300000000003564</v>
      </c>
      <c r="J5481" s="12"/>
    </row>
    <row r="5482" spans="3:10" x14ac:dyDescent="0.25">
      <c r="C5482" s="9"/>
      <c r="D5482" s="10">
        <v>45714</v>
      </c>
      <c r="E5482" t="s">
        <v>7002</v>
      </c>
      <c r="F5482" s="11" t="s">
        <v>7003</v>
      </c>
      <c r="G5482" s="8">
        <v>12.34</v>
      </c>
      <c r="H5482" s="8">
        <v>0</v>
      </c>
      <c r="I5482" s="8">
        <f t="shared" si="249"/>
        <v>-29.960000000003564</v>
      </c>
      <c r="J5482" s="12"/>
    </row>
    <row r="5483" spans="3:10" x14ac:dyDescent="0.25">
      <c r="C5483" s="9"/>
      <c r="D5483" s="10">
        <v>45714</v>
      </c>
      <c r="E5483" t="s">
        <v>6587</v>
      </c>
      <c r="F5483" s="11" t="s">
        <v>42</v>
      </c>
      <c r="G5483" s="8">
        <v>0</v>
      </c>
      <c r="H5483" s="8">
        <v>868.56</v>
      </c>
      <c r="I5483" s="8">
        <f t="shared" si="249"/>
        <v>-898.52000000000351</v>
      </c>
      <c r="J5483" s="12"/>
    </row>
    <row r="5484" spans="3:10" x14ac:dyDescent="0.25">
      <c r="C5484" s="9"/>
      <c r="D5484" s="10">
        <v>45714</v>
      </c>
      <c r="E5484" t="s">
        <v>7004</v>
      </c>
      <c r="F5484" s="11" t="s">
        <v>42</v>
      </c>
      <c r="G5484" s="8">
        <v>0</v>
      </c>
      <c r="H5484" s="8">
        <v>36.880000000000003</v>
      </c>
      <c r="I5484" s="8">
        <f t="shared" si="249"/>
        <v>-935.4000000000035</v>
      </c>
      <c r="J5484" s="12"/>
    </row>
    <row r="5485" spans="3:10" x14ac:dyDescent="0.25">
      <c r="C5485" s="9"/>
      <c r="D5485" s="10">
        <v>45715</v>
      </c>
      <c r="E5485" t="s">
        <v>7005</v>
      </c>
      <c r="F5485" s="11" t="s">
        <v>7006</v>
      </c>
      <c r="G5485" s="8">
        <v>16.46</v>
      </c>
      <c r="H5485" s="8">
        <v>0</v>
      </c>
      <c r="I5485" s="8">
        <f t="shared" si="249"/>
        <v>-918.94000000000347</v>
      </c>
      <c r="J5485" s="12"/>
    </row>
    <row r="5486" spans="3:10" x14ac:dyDescent="0.25">
      <c r="C5486" s="9"/>
      <c r="D5486" s="10">
        <v>45715</v>
      </c>
      <c r="E5486" t="s">
        <v>7007</v>
      </c>
      <c r="F5486" s="11" t="s">
        <v>7008</v>
      </c>
      <c r="G5486" s="8">
        <v>56.46</v>
      </c>
      <c r="H5486" s="8">
        <v>0</v>
      </c>
      <c r="I5486" s="8">
        <f t="shared" si="249"/>
        <v>-862.48000000000343</v>
      </c>
      <c r="J5486" s="12"/>
    </row>
    <row r="5487" spans="3:10" x14ac:dyDescent="0.25">
      <c r="C5487" s="9"/>
      <c r="D5487" s="10">
        <v>45715</v>
      </c>
      <c r="E5487" t="s">
        <v>7007</v>
      </c>
      <c r="F5487" s="11" t="s">
        <v>7008</v>
      </c>
      <c r="G5487" s="8">
        <v>0</v>
      </c>
      <c r="H5487" s="8">
        <v>56.46</v>
      </c>
      <c r="I5487" s="8">
        <f t="shared" si="249"/>
        <v>-918.94000000000347</v>
      </c>
      <c r="J5487" s="12"/>
    </row>
    <row r="5488" spans="3:10" x14ac:dyDescent="0.25">
      <c r="C5488" s="9"/>
      <c r="D5488" s="10">
        <v>45715</v>
      </c>
      <c r="E5488" t="s">
        <v>7009</v>
      </c>
      <c r="F5488" s="11" t="s">
        <v>7010</v>
      </c>
      <c r="G5488" s="8">
        <v>20.69</v>
      </c>
      <c r="H5488" s="8">
        <v>0</v>
      </c>
      <c r="I5488" s="8">
        <f t="shared" si="249"/>
        <v>-898.25000000000341</v>
      </c>
      <c r="J5488" s="12"/>
    </row>
    <row r="5489" spans="3:10" x14ac:dyDescent="0.25">
      <c r="C5489" s="9"/>
      <c r="D5489" s="10">
        <v>45715</v>
      </c>
      <c r="E5489" t="s">
        <v>7009</v>
      </c>
      <c r="F5489" s="11" t="s">
        <v>7010</v>
      </c>
      <c r="G5489" s="8">
        <v>0</v>
      </c>
      <c r="H5489" s="8">
        <v>20.69</v>
      </c>
      <c r="I5489" s="8">
        <f t="shared" si="249"/>
        <v>-918.94000000000347</v>
      </c>
      <c r="J5489" s="12"/>
    </row>
    <row r="5490" spans="3:10" x14ac:dyDescent="0.25">
      <c r="C5490" s="9"/>
      <c r="D5490" s="10">
        <v>45715</v>
      </c>
      <c r="E5490" t="s">
        <v>7011</v>
      </c>
      <c r="F5490" s="11" t="s">
        <v>7012</v>
      </c>
      <c r="G5490" s="8">
        <v>26.47</v>
      </c>
      <c r="H5490" s="8">
        <v>0</v>
      </c>
      <c r="I5490" s="8">
        <f t="shared" si="249"/>
        <v>-892.47000000000344</v>
      </c>
      <c r="J5490" s="12"/>
    </row>
    <row r="5491" spans="3:10" x14ac:dyDescent="0.25">
      <c r="C5491" s="9"/>
      <c r="D5491" s="10">
        <v>45715</v>
      </c>
      <c r="E5491" t="s">
        <v>7013</v>
      </c>
      <c r="F5491" s="11" t="s">
        <v>7014</v>
      </c>
      <c r="G5491" s="8">
        <v>91.95</v>
      </c>
      <c r="H5491" s="8">
        <v>0</v>
      </c>
      <c r="I5491" s="8">
        <f t="shared" si="249"/>
        <v>-800.52000000000339</v>
      </c>
      <c r="J5491" s="12"/>
    </row>
    <row r="5492" spans="3:10" x14ac:dyDescent="0.25">
      <c r="C5492" s="9"/>
      <c r="D5492" s="10">
        <v>45715</v>
      </c>
      <c r="E5492" t="s">
        <v>7013</v>
      </c>
      <c r="F5492" s="11" t="s">
        <v>7014</v>
      </c>
      <c r="G5492" s="8">
        <v>0</v>
      </c>
      <c r="H5492" s="8">
        <v>91.95</v>
      </c>
      <c r="I5492" s="8">
        <f t="shared" si="249"/>
        <v>-892.47000000000344</v>
      </c>
      <c r="J5492" s="12"/>
    </row>
    <row r="5493" spans="3:10" x14ac:dyDescent="0.25">
      <c r="C5493" s="9"/>
      <c r="D5493" s="10">
        <v>45715</v>
      </c>
      <c r="E5493" t="s">
        <v>7015</v>
      </c>
      <c r="F5493" s="11" t="s">
        <v>7016</v>
      </c>
      <c r="G5493" s="8">
        <v>23.56</v>
      </c>
      <c r="H5493" s="8">
        <v>0</v>
      </c>
      <c r="I5493" s="8">
        <f t="shared" si="249"/>
        <v>-868.91000000000349</v>
      </c>
      <c r="J5493" s="12"/>
    </row>
    <row r="5494" spans="3:10" x14ac:dyDescent="0.25">
      <c r="C5494" s="9"/>
      <c r="D5494" s="10">
        <v>45715</v>
      </c>
      <c r="E5494" t="s">
        <v>7017</v>
      </c>
      <c r="F5494" s="11" t="s">
        <v>7018</v>
      </c>
      <c r="G5494" s="8">
        <v>34.979999999999997</v>
      </c>
      <c r="H5494" s="8">
        <v>0</v>
      </c>
      <c r="I5494" s="8">
        <f t="shared" si="249"/>
        <v>-833.93000000000347</v>
      </c>
      <c r="J5494" s="12"/>
    </row>
    <row r="5495" spans="3:10" x14ac:dyDescent="0.25">
      <c r="C5495" s="9"/>
      <c r="D5495" s="10">
        <v>45715</v>
      </c>
      <c r="E5495" t="s">
        <v>7019</v>
      </c>
      <c r="F5495" s="11" t="s">
        <v>7020</v>
      </c>
      <c r="G5495" s="8">
        <v>36.11</v>
      </c>
      <c r="H5495" s="8">
        <v>0</v>
      </c>
      <c r="I5495" s="8">
        <f t="shared" si="249"/>
        <v>-797.82000000000346</v>
      </c>
      <c r="J5495" s="12"/>
    </row>
    <row r="5496" spans="3:10" x14ac:dyDescent="0.25">
      <c r="C5496" s="9"/>
      <c r="D5496" s="10">
        <v>45715</v>
      </c>
      <c r="E5496" t="s">
        <v>7021</v>
      </c>
      <c r="F5496" s="11" t="s">
        <v>7022</v>
      </c>
      <c r="G5496" s="8">
        <v>99.56</v>
      </c>
      <c r="H5496" s="8">
        <v>0</v>
      </c>
      <c r="I5496" s="8">
        <f t="shared" si="249"/>
        <v>-698.2600000000034</v>
      </c>
      <c r="J5496" s="12"/>
    </row>
    <row r="5497" spans="3:10" x14ac:dyDescent="0.25">
      <c r="C5497" s="9"/>
      <c r="D5497" s="10">
        <v>45715</v>
      </c>
      <c r="E5497" t="s">
        <v>7023</v>
      </c>
      <c r="F5497" s="11" t="s">
        <v>7024</v>
      </c>
      <c r="G5497" s="8">
        <v>74.69</v>
      </c>
      <c r="H5497" s="8">
        <v>0</v>
      </c>
      <c r="I5497" s="8">
        <f t="shared" si="249"/>
        <v>-623.57000000000335</v>
      </c>
      <c r="J5497" s="12"/>
    </row>
    <row r="5498" spans="3:10" x14ac:dyDescent="0.25">
      <c r="C5498" s="9"/>
      <c r="D5498" s="10">
        <v>45715</v>
      </c>
      <c r="E5498" t="s">
        <v>7025</v>
      </c>
      <c r="F5498" s="11" t="s">
        <v>7026</v>
      </c>
      <c r="G5498" s="8">
        <v>46.2</v>
      </c>
      <c r="H5498" s="8">
        <v>0</v>
      </c>
      <c r="I5498" s="8">
        <f t="shared" si="249"/>
        <v>-577.3700000000033</v>
      </c>
      <c r="J5498" s="12"/>
    </row>
    <row r="5499" spans="3:10" x14ac:dyDescent="0.25">
      <c r="C5499" s="9"/>
      <c r="D5499" s="10">
        <v>45715</v>
      </c>
      <c r="E5499" t="s">
        <v>7025</v>
      </c>
      <c r="F5499" s="11" t="s">
        <v>7026</v>
      </c>
      <c r="G5499" s="8">
        <v>0</v>
      </c>
      <c r="H5499" s="8">
        <v>46.2</v>
      </c>
      <c r="I5499" s="8">
        <f t="shared" si="249"/>
        <v>-623.57000000000335</v>
      </c>
      <c r="J5499" s="12"/>
    </row>
    <row r="5500" spans="3:10" x14ac:dyDescent="0.25">
      <c r="C5500" s="9"/>
      <c r="D5500" s="10">
        <v>45715</v>
      </c>
      <c r="E5500" t="s">
        <v>7027</v>
      </c>
      <c r="F5500" s="11" t="s">
        <v>7028</v>
      </c>
      <c r="G5500" s="8">
        <v>56.05</v>
      </c>
      <c r="H5500" s="8">
        <v>0</v>
      </c>
      <c r="I5500" s="8">
        <f t="shared" si="249"/>
        <v>-567.52000000000339</v>
      </c>
      <c r="J5500" s="12"/>
    </row>
    <row r="5501" spans="3:10" x14ac:dyDescent="0.25">
      <c r="C5501" s="9"/>
      <c r="D5501" s="10">
        <v>45715</v>
      </c>
      <c r="E5501" t="s">
        <v>7029</v>
      </c>
      <c r="F5501" s="11" t="s">
        <v>7030</v>
      </c>
      <c r="G5501" s="8">
        <v>5.72</v>
      </c>
      <c r="H5501" s="8">
        <v>0</v>
      </c>
      <c r="I5501" s="8">
        <f t="shared" si="249"/>
        <v>-561.80000000000337</v>
      </c>
      <c r="J5501" s="12"/>
    </row>
    <row r="5502" spans="3:10" x14ac:dyDescent="0.25">
      <c r="C5502" s="9"/>
      <c r="D5502" s="10">
        <v>45715</v>
      </c>
      <c r="E5502" t="s">
        <v>7031</v>
      </c>
      <c r="F5502" s="11" t="s">
        <v>7032</v>
      </c>
      <c r="G5502" s="8">
        <v>17.97</v>
      </c>
      <c r="H5502" s="8">
        <v>0</v>
      </c>
      <c r="I5502" s="8">
        <f t="shared" si="249"/>
        <v>-543.83000000000334</v>
      </c>
      <c r="J5502" s="12"/>
    </row>
    <row r="5503" spans="3:10" x14ac:dyDescent="0.25">
      <c r="C5503" s="9"/>
      <c r="D5503" s="10">
        <v>45715</v>
      </c>
      <c r="E5503" t="s">
        <v>7033</v>
      </c>
      <c r="F5503" s="11" t="s">
        <v>7034</v>
      </c>
      <c r="G5503" s="8">
        <v>9.3800000000000008</v>
      </c>
      <c r="H5503" s="8">
        <v>0</v>
      </c>
      <c r="I5503" s="8">
        <f t="shared" si="249"/>
        <v>-534.45000000000334</v>
      </c>
      <c r="J5503" s="12"/>
    </row>
    <row r="5504" spans="3:10" x14ac:dyDescent="0.25">
      <c r="C5504" s="9"/>
      <c r="D5504" s="10">
        <v>45715</v>
      </c>
      <c r="E5504" t="s">
        <v>6587</v>
      </c>
      <c r="F5504" s="11" t="s">
        <v>42</v>
      </c>
      <c r="G5504" s="8">
        <v>0</v>
      </c>
      <c r="H5504" s="8">
        <v>609.35</v>
      </c>
      <c r="I5504" s="8">
        <f t="shared" si="249"/>
        <v>-1143.8000000000034</v>
      </c>
      <c r="J5504" s="12"/>
    </row>
    <row r="5505" spans="3:10" x14ac:dyDescent="0.25">
      <c r="C5505" s="9"/>
      <c r="D5505" s="10">
        <v>45716</v>
      </c>
      <c r="E5505" t="s">
        <v>7035</v>
      </c>
      <c r="F5505" s="11" t="s">
        <v>7036</v>
      </c>
      <c r="G5505" s="8">
        <v>35.299999999999997</v>
      </c>
      <c r="H5505" s="8">
        <v>0</v>
      </c>
      <c r="I5505" s="8">
        <f t="shared" si="249"/>
        <v>-1108.5000000000034</v>
      </c>
      <c r="J5505" s="12"/>
    </row>
    <row r="5506" spans="3:10" x14ac:dyDescent="0.25">
      <c r="C5506" s="9"/>
      <c r="D5506" s="10">
        <v>45716</v>
      </c>
      <c r="E5506" t="s">
        <v>7037</v>
      </c>
      <c r="F5506" s="11" t="s">
        <v>7038</v>
      </c>
      <c r="G5506" s="8">
        <v>36.36</v>
      </c>
      <c r="H5506" s="8">
        <v>0</v>
      </c>
      <c r="I5506" s="8">
        <f t="shared" si="249"/>
        <v>-1072.1400000000035</v>
      </c>
      <c r="J5506" s="12"/>
    </row>
    <row r="5507" spans="3:10" x14ac:dyDescent="0.25">
      <c r="C5507" s="9"/>
      <c r="D5507" s="10">
        <v>45716</v>
      </c>
      <c r="E5507" t="s">
        <v>7039</v>
      </c>
      <c r="F5507" s="11" t="s">
        <v>7040</v>
      </c>
      <c r="G5507" s="8">
        <v>1.1599999999999999</v>
      </c>
      <c r="H5507" s="8">
        <v>0</v>
      </c>
      <c r="I5507" s="8">
        <f t="shared" si="249"/>
        <v>-1070.9800000000034</v>
      </c>
      <c r="J5507" s="12"/>
    </row>
    <row r="5508" spans="3:10" x14ac:dyDescent="0.25">
      <c r="C5508" s="9"/>
      <c r="D5508" s="10">
        <v>45716</v>
      </c>
      <c r="E5508" t="s">
        <v>7041</v>
      </c>
      <c r="F5508" s="11" t="s">
        <v>7042</v>
      </c>
      <c r="G5508" s="8">
        <v>2.0299999999999998</v>
      </c>
      <c r="H5508" s="8">
        <v>0</v>
      </c>
      <c r="I5508" s="8">
        <f t="shared" si="249"/>
        <v>-1068.9500000000035</v>
      </c>
      <c r="J5508" s="12"/>
    </row>
    <row r="5509" spans="3:10" x14ac:dyDescent="0.25">
      <c r="C5509" s="9"/>
      <c r="D5509" s="10">
        <v>45716</v>
      </c>
      <c r="E5509" t="s">
        <v>7041</v>
      </c>
      <c r="F5509" s="11" t="s">
        <v>7042</v>
      </c>
      <c r="G5509" s="8">
        <v>0</v>
      </c>
      <c r="H5509" s="8">
        <v>2.0299999999999998</v>
      </c>
      <c r="I5509" s="8">
        <f t="shared" si="249"/>
        <v>-1070.9800000000034</v>
      </c>
      <c r="J5509" s="12"/>
    </row>
    <row r="5510" spans="3:10" x14ac:dyDescent="0.25">
      <c r="C5510" s="9"/>
      <c r="D5510" s="10">
        <v>45716</v>
      </c>
      <c r="E5510" t="s">
        <v>7043</v>
      </c>
      <c r="F5510" s="11" t="s">
        <v>7044</v>
      </c>
      <c r="G5510" s="8">
        <v>162.96</v>
      </c>
      <c r="H5510" s="8">
        <v>0</v>
      </c>
      <c r="I5510" s="8">
        <f t="shared" si="249"/>
        <v>-908.02000000000339</v>
      </c>
      <c r="J5510" s="12"/>
    </row>
    <row r="5511" spans="3:10" x14ac:dyDescent="0.25">
      <c r="C5511" s="9"/>
      <c r="D5511" s="10">
        <v>45716</v>
      </c>
      <c r="E5511" t="s">
        <v>7045</v>
      </c>
      <c r="F5511" s="11" t="s">
        <v>7046</v>
      </c>
      <c r="G5511" s="8">
        <v>36.22</v>
      </c>
      <c r="H5511" s="8">
        <v>0</v>
      </c>
      <c r="I5511" s="8">
        <f t="shared" si="249"/>
        <v>-871.80000000000337</v>
      </c>
      <c r="J5511" s="12"/>
    </row>
    <row r="5512" spans="3:10" x14ac:dyDescent="0.25">
      <c r="C5512" s="9"/>
      <c r="D5512" s="10">
        <v>45716</v>
      </c>
      <c r="E5512" t="s">
        <v>7047</v>
      </c>
      <c r="F5512" s="11" t="s">
        <v>7048</v>
      </c>
      <c r="G5512" s="8">
        <v>59.31</v>
      </c>
      <c r="H5512" s="8">
        <v>0</v>
      </c>
      <c r="I5512" s="8">
        <f t="shared" si="249"/>
        <v>-812.49000000000342</v>
      </c>
      <c r="J5512" s="12"/>
    </row>
    <row r="5513" spans="3:10" x14ac:dyDescent="0.25">
      <c r="C5513" s="9"/>
      <c r="D5513" s="10">
        <v>45716</v>
      </c>
      <c r="E5513" t="s">
        <v>7049</v>
      </c>
      <c r="F5513" s="11" t="s">
        <v>7050</v>
      </c>
      <c r="G5513" s="8">
        <v>22.41</v>
      </c>
      <c r="H5513" s="8">
        <v>0</v>
      </c>
      <c r="I5513" s="8">
        <f t="shared" si="249"/>
        <v>-790.08000000000345</v>
      </c>
      <c r="J5513" s="12"/>
    </row>
    <row r="5514" spans="3:10" x14ac:dyDescent="0.25">
      <c r="C5514" s="9"/>
      <c r="D5514" s="10">
        <v>45716</v>
      </c>
      <c r="E5514" t="s">
        <v>7051</v>
      </c>
      <c r="F5514" s="11" t="s">
        <v>7052</v>
      </c>
      <c r="G5514" s="8">
        <v>25.65</v>
      </c>
      <c r="H5514" s="8">
        <v>0</v>
      </c>
      <c r="I5514" s="8">
        <f t="shared" si="249"/>
        <v>-764.43000000000347</v>
      </c>
      <c r="J5514" s="12"/>
    </row>
    <row r="5515" spans="3:10" x14ac:dyDescent="0.25">
      <c r="C5515" s="9"/>
      <c r="D5515" s="10">
        <v>45716</v>
      </c>
      <c r="E5515" t="s">
        <v>7053</v>
      </c>
      <c r="F5515" s="11" t="s">
        <v>7054</v>
      </c>
      <c r="G5515" s="8">
        <v>32.590000000000003</v>
      </c>
      <c r="H5515" s="8">
        <v>0</v>
      </c>
      <c r="I5515" s="8">
        <f t="shared" si="249"/>
        <v>-731.84000000000344</v>
      </c>
      <c r="J5515" s="12"/>
    </row>
    <row r="5516" spans="3:10" x14ac:dyDescent="0.25">
      <c r="C5516" s="9"/>
      <c r="D5516" s="10">
        <v>45716</v>
      </c>
      <c r="E5516" t="s">
        <v>7055</v>
      </c>
      <c r="F5516" s="11" t="s">
        <v>7056</v>
      </c>
      <c r="G5516" s="8">
        <v>11.16</v>
      </c>
      <c r="H5516" s="8">
        <v>0</v>
      </c>
      <c r="I5516" s="8">
        <f t="shared" si="249"/>
        <v>-720.68000000000347</v>
      </c>
      <c r="J5516" s="12"/>
    </row>
    <row r="5517" spans="3:10" x14ac:dyDescent="0.25">
      <c r="C5517" s="9"/>
      <c r="D5517" s="10">
        <v>45716</v>
      </c>
      <c r="E5517" t="s">
        <v>7057</v>
      </c>
      <c r="F5517" s="11" t="s">
        <v>7058</v>
      </c>
      <c r="G5517" s="8">
        <v>111.95</v>
      </c>
      <c r="H5517" s="8">
        <v>0</v>
      </c>
      <c r="I5517" s="8">
        <f t="shared" si="249"/>
        <v>-608.73000000000343</v>
      </c>
      <c r="J5517" s="12"/>
    </row>
    <row r="5518" spans="3:10" x14ac:dyDescent="0.25">
      <c r="C5518" s="9"/>
      <c r="D5518" s="10">
        <v>45716</v>
      </c>
      <c r="E5518" t="s">
        <v>7059</v>
      </c>
      <c r="F5518" s="11" t="s">
        <v>7060</v>
      </c>
      <c r="G5518" s="8">
        <v>60.28</v>
      </c>
      <c r="H5518" s="8">
        <v>0</v>
      </c>
      <c r="I5518" s="8">
        <f t="shared" si="249"/>
        <v>-548.45000000000346</v>
      </c>
      <c r="J5518" s="12"/>
    </row>
    <row r="5519" spans="3:10" x14ac:dyDescent="0.25">
      <c r="C5519" s="9"/>
      <c r="D5519" s="10">
        <v>45716</v>
      </c>
      <c r="E5519" t="s">
        <v>7061</v>
      </c>
      <c r="F5519" s="11" t="s">
        <v>7062</v>
      </c>
      <c r="G5519" s="8">
        <v>8.06</v>
      </c>
      <c r="H5519" s="8">
        <v>0</v>
      </c>
      <c r="I5519" s="8">
        <f t="shared" si="249"/>
        <v>-540.39000000000351</v>
      </c>
      <c r="J5519" s="12"/>
    </row>
    <row r="5520" spans="3:10" x14ac:dyDescent="0.25">
      <c r="C5520" s="9"/>
      <c r="D5520" s="10">
        <v>45716</v>
      </c>
      <c r="E5520" t="s">
        <v>7063</v>
      </c>
      <c r="F5520" s="11" t="s">
        <v>7064</v>
      </c>
      <c r="G5520" s="8">
        <v>-8.5500000000000007</v>
      </c>
      <c r="H5520" s="8">
        <v>0</v>
      </c>
      <c r="I5520" s="8">
        <f t="shared" si="249"/>
        <v>-548.94000000000347</v>
      </c>
      <c r="J5520" s="12"/>
    </row>
    <row r="5521" spans="3:10" x14ac:dyDescent="0.25">
      <c r="C5521" s="9"/>
      <c r="D5521" s="10">
        <v>45716</v>
      </c>
      <c r="E5521" t="s">
        <v>7063</v>
      </c>
      <c r="F5521" s="11" t="s">
        <v>7064</v>
      </c>
      <c r="G5521" s="8">
        <v>0</v>
      </c>
      <c r="H5521" s="8">
        <v>-8.5500000000000007</v>
      </c>
      <c r="I5521" s="8">
        <f t="shared" si="249"/>
        <v>-540.39000000000351</v>
      </c>
      <c r="J5521" s="12"/>
    </row>
    <row r="5522" spans="3:10" x14ac:dyDescent="0.25">
      <c r="C5522" s="9"/>
      <c r="D5522" s="10">
        <v>45716</v>
      </c>
      <c r="E5522" t="s">
        <v>6587</v>
      </c>
      <c r="F5522" s="11" t="s">
        <v>42</v>
      </c>
      <c r="G5522" s="8">
        <v>0</v>
      </c>
      <c r="H5522" s="8">
        <v>399.25</v>
      </c>
      <c r="I5522" s="8">
        <f t="shared" si="249"/>
        <v>-939.64000000000351</v>
      </c>
      <c r="J5522" s="12"/>
    </row>
    <row r="5523" spans="3:10" x14ac:dyDescent="0.25">
      <c r="C5523" s="9"/>
      <c r="D5523" s="10">
        <v>45719</v>
      </c>
      <c r="E5523" t="s">
        <v>7065</v>
      </c>
      <c r="F5523" s="11" t="s">
        <v>7066</v>
      </c>
      <c r="G5523" s="8">
        <v>128.69999999999999</v>
      </c>
      <c r="H5523" s="8">
        <v>0</v>
      </c>
      <c r="I5523" s="8">
        <f t="shared" si="249"/>
        <v>-810.94000000000347</v>
      </c>
      <c r="J5523" s="12"/>
    </row>
    <row r="5524" spans="3:10" x14ac:dyDescent="0.25">
      <c r="C5524" s="9"/>
      <c r="D5524" s="10">
        <v>45719</v>
      </c>
      <c r="E5524" t="s">
        <v>7067</v>
      </c>
      <c r="F5524" s="11" t="s">
        <v>7068</v>
      </c>
      <c r="G5524" s="8">
        <v>70</v>
      </c>
      <c r="H5524" s="8">
        <v>0</v>
      </c>
      <c r="I5524" s="8">
        <f t="shared" si="249"/>
        <v>-740.94000000000347</v>
      </c>
      <c r="J5524" s="12"/>
    </row>
    <row r="5525" spans="3:10" x14ac:dyDescent="0.25">
      <c r="C5525" s="9"/>
      <c r="D5525" s="10">
        <v>45719</v>
      </c>
      <c r="E5525" t="s">
        <v>7069</v>
      </c>
      <c r="F5525" s="11" t="s">
        <v>7070</v>
      </c>
      <c r="G5525" s="8">
        <v>215.02</v>
      </c>
      <c r="H5525" s="8">
        <v>0</v>
      </c>
      <c r="I5525" s="8">
        <f t="shared" si="249"/>
        <v>-525.92000000000348</v>
      </c>
      <c r="J5525" s="12"/>
    </row>
    <row r="5526" spans="3:10" x14ac:dyDescent="0.25">
      <c r="C5526" s="9"/>
      <c r="D5526" s="10">
        <v>45719</v>
      </c>
      <c r="E5526" t="s">
        <v>7071</v>
      </c>
      <c r="F5526" s="11" t="s">
        <v>7072</v>
      </c>
      <c r="G5526" s="8">
        <v>3.87</v>
      </c>
      <c r="H5526" s="8">
        <v>0</v>
      </c>
      <c r="I5526" s="8">
        <f t="shared" si="249"/>
        <v>-522.05000000000348</v>
      </c>
      <c r="J5526" s="12"/>
    </row>
    <row r="5527" spans="3:10" x14ac:dyDescent="0.25">
      <c r="C5527" s="9"/>
      <c r="D5527" s="10">
        <v>45719</v>
      </c>
      <c r="E5527" t="s">
        <v>7073</v>
      </c>
      <c r="F5527" s="11" t="s">
        <v>7074</v>
      </c>
      <c r="G5527" s="8">
        <v>32.54</v>
      </c>
      <c r="H5527" s="8">
        <v>0</v>
      </c>
      <c r="I5527" s="8">
        <f t="shared" si="249"/>
        <v>-489.51000000000346</v>
      </c>
      <c r="J5527" s="12"/>
    </row>
    <row r="5528" spans="3:10" x14ac:dyDescent="0.25">
      <c r="C5528" s="9"/>
      <c r="D5528" s="10">
        <v>45719</v>
      </c>
      <c r="E5528" t="s">
        <v>7075</v>
      </c>
      <c r="F5528" s="11" t="s">
        <v>7076</v>
      </c>
      <c r="G5528" s="8">
        <v>14.88</v>
      </c>
      <c r="H5528" s="8">
        <v>0</v>
      </c>
      <c r="I5528" s="8">
        <f t="shared" si="249"/>
        <v>-474.63000000000346</v>
      </c>
      <c r="J5528" s="12"/>
    </row>
    <row r="5529" spans="3:10" x14ac:dyDescent="0.25">
      <c r="C5529" s="9"/>
      <c r="D5529" s="10">
        <v>45719</v>
      </c>
      <c r="E5529" t="s">
        <v>7077</v>
      </c>
      <c r="F5529" s="11" t="s">
        <v>7078</v>
      </c>
      <c r="G5529" s="8">
        <v>54.27</v>
      </c>
      <c r="H5529" s="8">
        <v>0</v>
      </c>
      <c r="I5529" s="8">
        <f t="shared" si="249"/>
        <v>-420.36000000000348</v>
      </c>
      <c r="J5529" s="12"/>
    </row>
    <row r="5530" spans="3:10" x14ac:dyDescent="0.25">
      <c r="C5530" s="9"/>
      <c r="D5530" s="10">
        <v>45719</v>
      </c>
      <c r="E5530" t="s">
        <v>7077</v>
      </c>
      <c r="F5530" s="11" t="s">
        <v>7078</v>
      </c>
      <c r="G5530" s="8">
        <v>0</v>
      </c>
      <c r="H5530" s="8">
        <v>54.27</v>
      </c>
      <c r="I5530" s="8">
        <f t="shared" si="249"/>
        <v>-474.63000000000346</v>
      </c>
      <c r="J5530" s="12"/>
    </row>
    <row r="5531" spans="3:10" x14ac:dyDescent="0.25">
      <c r="C5531" s="9"/>
      <c r="D5531" s="10">
        <v>45719</v>
      </c>
      <c r="E5531" t="s">
        <v>7079</v>
      </c>
      <c r="F5531" s="11" t="s">
        <v>7080</v>
      </c>
      <c r="G5531" s="8">
        <v>4.16</v>
      </c>
      <c r="H5531" s="8">
        <v>0</v>
      </c>
      <c r="I5531" s="8">
        <f t="shared" si="249"/>
        <v>-470.47000000000344</v>
      </c>
      <c r="J5531" s="12"/>
    </row>
    <row r="5532" spans="3:10" x14ac:dyDescent="0.25">
      <c r="C5532" s="9"/>
      <c r="D5532" s="10">
        <v>45719</v>
      </c>
      <c r="E5532" t="s">
        <v>7081</v>
      </c>
      <c r="F5532" s="11" t="s">
        <v>7082</v>
      </c>
      <c r="G5532" s="8">
        <v>35.090000000000003</v>
      </c>
      <c r="H5532" s="8">
        <v>0</v>
      </c>
      <c r="I5532" s="8">
        <f t="shared" ref="I5532:I5595" si="250">G5532-H5532+I5531</f>
        <v>-435.38000000000341</v>
      </c>
      <c r="J5532" s="12"/>
    </row>
    <row r="5533" spans="3:10" x14ac:dyDescent="0.25">
      <c r="C5533" s="9"/>
      <c r="D5533" s="10">
        <v>45719</v>
      </c>
      <c r="E5533" t="s">
        <v>7083</v>
      </c>
      <c r="F5533" s="11" t="s">
        <v>7084</v>
      </c>
      <c r="G5533" s="8">
        <v>44.09</v>
      </c>
      <c r="H5533" s="8">
        <v>0</v>
      </c>
      <c r="I5533" s="8">
        <f t="shared" si="250"/>
        <v>-391.29000000000337</v>
      </c>
      <c r="J5533" s="12"/>
    </row>
    <row r="5534" spans="3:10" x14ac:dyDescent="0.25">
      <c r="C5534" s="9"/>
      <c r="D5534" s="10">
        <v>45719</v>
      </c>
      <c r="E5534" t="s">
        <v>7085</v>
      </c>
      <c r="F5534" s="11" t="s">
        <v>7086</v>
      </c>
      <c r="G5534" s="8">
        <v>8.14</v>
      </c>
      <c r="H5534" s="8">
        <v>0</v>
      </c>
      <c r="I5534" s="8">
        <f t="shared" si="250"/>
        <v>-383.15000000000339</v>
      </c>
      <c r="J5534" s="12"/>
    </row>
    <row r="5535" spans="3:10" x14ac:dyDescent="0.25">
      <c r="C5535" s="9"/>
      <c r="D5535" s="10">
        <v>45719</v>
      </c>
      <c r="E5535" t="s">
        <v>7087</v>
      </c>
      <c r="F5535" s="11" t="s">
        <v>7088</v>
      </c>
      <c r="G5535" s="8">
        <v>1.1599999999999999</v>
      </c>
      <c r="H5535" s="8">
        <v>0</v>
      </c>
      <c r="I5535" s="8">
        <f t="shared" si="250"/>
        <v>-381.99000000000336</v>
      </c>
      <c r="J5535" s="12"/>
    </row>
    <row r="5536" spans="3:10" x14ac:dyDescent="0.25">
      <c r="C5536" s="9"/>
      <c r="D5536" s="10">
        <v>45719</v>
      </c>
      <c r="E5536" t="s">
        <v>7089</v>
      </c>
      <c r="F5536" s="11" t="s">
        <v>7090</v>
      </c>
      <c r="G5536" s="8">
        <v>66.84</v>
      </c>
      <c r="H5536" s="8">
        <v>0</v>
      </c>
      <c r="I5536" s="8">
        <f t="shared" si="250"/>
        <v>-315.15000000000339</v>
      </c>
      <c r="J5536" s="12"/>
    </row>
    <row r="5537" spans="3:10" x14ac:dyDescent="0.25">
      <c r="C5537" s="9"/>
      <c r="D5537" s="10">
        <v>45719</v>
      </c>
      <c r="E5537" t="s">
        <v>7091</v>
      </c>
      <c r="F5537" s="11" t="s">
        <v>7092</v>
      </c>
      <c r="G5537" s="8">
        <v>43.71</v>
      </c>
      <c r="H5537" s="8">
        <v>0</v>
      </c>
      <c r="I5537" s="8">
        <f t="shared" si="250"/>
        <v>-271.44000000000341</v>
      </c>
      <c r="J5537" s="12"/>
    </row>
    <row r="5538" spans="3:10" x14ac:dyDescent="0.25">
      <c r="C5538" s="9"/>
      <c r="D5538" s="10">
        <v>45719</v>
      </c>
      <c r="E5538" t="s">
        <v>7093</v>
      </c>
      <c r="F5538" s="11" t="s">
        <v>7094</v>
      </c>
      <c r="G5538" s="8">
        <v>1.25</v>
      </c>
      <c r="H5538" s="8">
        <v>0</v>
      </c>
      <c r="I5538" s="8">
        <f t="shared" si="250"/>
        <v>-270.19000000000341</v>
      </c>
      <c r="J5538" s="12"/>
    </row>
    <row r="5539" spans="3:10" x14ac:dyDescent="0.25">
      <c r="C5539" s="9"/>
      <c r="D5539" s="10">
        <v>45719</v>
      </c>
      <c r="E5539" t="s">
        <v>7095</v>
      </c>
      <c r="F5539" s="11" t="s">
        <v>7096</v>
      </c>
      <c r="G5539" s="8">
        <v>16.21</v>
      </c>
      <c r="H5539" s="8">
        <v>0</v>
      </c>
      <c r="I5539" s="8">
        <f t="shared" si="250"/>
        <v>-253.9800000000034</v>
      </c>
      <c r="J5539" s="12"/>
    </row>
    <row r="5540" spans="3:10" x14ac:dyDescent="0.25">
      <c r="C5540" s="9"/>
      <c r="D5540" s="10">
        <v>45719</v>
      </c>
      <c r="E5540" t="s">
        <v>7097</v>
      </c>
      <c r="F5540" s="11" t="s">
        <v>7098</v>
      </c>
      <c r="G5540" s="8">
        <v>6.79</v>
      </c>
      <c r="H5540" s="8">
        <v>0</v>
      </c>
      <c r="I5540" s="8">
        <f t="shared" si="250"/>
        <v>-247.19000000000341</v>
      </c>
      <c r="J5540" s="12"/>
    </row>
    <row r="5541" spans="3:10" x14ac:dyDescent="0.25">
      <c r="C5541" s="9"/>
      <c r="D5541" s="10">
        <v>45719</v>
      </c>
      <c r="E5541" t="s">
        <v>7099</v>
      </c>
      <c r="F5541" s="11" t="s">
        <v>7100</v>
      </c>
      <c r="G5541" s="8">
        <v>75.08</v>
      </c>
      <c r="H5541" s="8">
        <v>0</v>
      </c>
      <c r="I5541" s="8">
        <f t="shared" si="250"/>
        <v>-172.11000000000342</v>
      </c>
      <c r="J5541" s="12"/>
    </row>
    <row r="5542" spans="3:10" x14ac:dyDescent="0.25">
      <c r="C5542" s="9"/>
      <c r="D5542" s="10">
        <v>45719</v>
      </c>
      <c r="E5542" t="s">
        <v>7101</v>
      </c>
      <c r="F5542" s="11" t="s">
        <v>7102</v>
      </c>
      <c r="G5542" s="8">
        <v>3.8</v>
      </c>
      <c r="H5542" s="8">
        <v>0</v>
      </c>
      <c r="I5542" s="8">
        <f t="shared" si="250"/>
        <v>-168.31000000000341</v>
      </c>
      <c r="J5542" s="12"/>
    </row>
    <row r="5543" spans="3:10" x14ac:dyDescent="0.25">
      <c r="C5543" s="9"/>
      <c r="D5543" s="10">
        <v>45719</v>
      </c>
      <c r="E5543" t="s">
        <v>7101</v>
      </c>
      <c r="F5543" s="11" t="s">
        <v>7102</v>
      </c>
      <c r="G5543" s="8">
        <v>0</v>
      </c>
      <c r="H5543" s="8">
        <v>3.8</v>
      </c>
      <c r="I5543" s="8">
        <f t="shared" si="250"/>
        <v>-172.11000000000342</v>
      </c>
      <c r="J5543" s="12"/>
    </row>
    <row r="5544" spans="3:10" x14ac:dyDescent="0.25">
      <c r="C5544" s="9"/>
      <c r="D5544" s="10">
        <v>45719</v>
      </c>
      <c r="E5544" t="s">
        <v>7103</v>
      </c>
      <c r="F5544" s="11" t="s">
        <v>7104</v>
      </c>
      <c r="G5544" s="8">
        <v>84.7</v>
      </c>
      <c r="H5544" s="8">
        <v>0</v>
      </c>
      <c r="I5544" s="8">
        <f t="shared" si="250"/>
        <v>-87.410000000003421</v>
      </c>
      <c r="J5544" s="12"/>
    </row>
    <row r="5545" spans="3:10" x14ac:dyDescent="0.25">
      <c r="C5545" s="9"/>
      <c r="D5545" s="10">
        <v>45719</v>
      </c>
      <c r="E5545" t="s">
        <v>7103</v>
      </c>
      <c r="F5545" s="11" t="s">
        <v>7104</v>
      </c>
      <c r="G5545" s="8">
        <v>0</v>
      </c>
      <c r="H5545" s="8">
        <v>84.7</v>
      </c>
      <c r="I5545" s="8">
        <f t="shared" si="250"/>
        <v>-172.11000000000342</v>
      </c>
      <c r="J5545" s="12"/>
    </row>
    <row r="5546" spans="3:10" x14ac:dyDescent="0.25">
      <c r="C5546" s="9"/>
      <c r="D5546" s="10">
        <v>45719</v>
      </c>
      <c r="E5546" t="s">
        <v>7105</v>
      </c>
      <c r="F5546" s="11" t="s">
        <v>7106</v>
      </c>
      <c r="G5546" s="8">
        <v>14.52</v>
      </c>
      <c r="H5546" s="8">
        <v>0</v>
      </c>
      <c r="I5546" s="8">
        <f t="shared" si="250"/>
        <v>-157.59000000000341</v>
      </c>
      <c r="J5546" s="12"/>
    </row>
    <row r="5547" spans="3:10" x14ac:dyDescent="0.25">
      <c r="C5547" s="9"/>
      <c r="D5547" s="10">
        <v>45719</v>
      </c>
      <c r="E5547" t="s">
        <v>7107</v>
      </c>
      <c r="F5547" s="11" t="s">
        <v>7108</v>
      </c>
      <c r="G5547" s="8">
        <v>32.090000000000003</v>
      </c>
      <c r="H5547" s="8">
        <v>0</v>
      </c>
      <c r="I5547" s="8">
        <f t="shared" si="250"/>
        <v>-125.50000000000341</v>
      </c>
      <c r="J5547" s="12"/>
    </row>
    <row r="5548" spans="3:10" x14ac:dyDescent="0.25">
      <c r="C5548" s="9"/>
      <c r="D5548" s="10">
        <v>45719</v>
      </c>
      <c r="E5548" t="s">
        <v>7107</v>
      </c>
      <c r="F5548" s="11" t="s">
        <v>7108</v>
      </c>
      <c r="G5548" s="8">
        <v>0</v>
      </c>
      <c r="H5548" s="8">
        <v>32.090000000000003</v>
      </c>
      <c r="I5548" s="8">
        <f t="shared" si="250"/>
        <v>-157.59000000000341</v>
      </c>
      <c r="J5548" s="12"/>
    </row>
    <row r="5549" spans="3:10" x14ac:dyDescent="0.25">
      <c r="C5549" s="9"/>
      <c r="D5549" s="10">
        <v>45719</v>
      </c>
      <c r="E5549" t="s">
        <v>7109</v>
      </c>
      <c r="F5549" s="11" t="s">
        <v>42</v>
      </c>
      <c r="G5549" s="8">
        <v>0</v>
      </c>
      <c r="H5549" s="8">
        <v>599.16999999999996</v>
      </c>
      <c r="I5549" s="8">
        <f t="shared" si="250"/>
        <v>-756.7600000000034</v>
      </c>
      <c r="J5549" s="12"/>
    </row>
    <row r="5550" spans="3:10" x14ac:dyDescent="0.25">
      <c r="C5550" s="9"/>
      <c r="D5550" s="10">
        <v>45720</v>
      </c>
      <c r="E5550" t="s">
        <v>7110</v>
      </c>
      <c r="F5550" s="11" t="s">
        <v>7111</v>
      </c>
      <c r="G5550" s="8">
        <v>337.53</v>
      </c>
      <c r="H5550" s="8">
        <v>0</v>
      </c>
      <c r="I5550" s="8">
        <f t="shared" si="250"/>
        <v>-419.23000000000343</v>
      </c>
      <c r="J5550" s="12"/>
    </row>
    <row r="5551" spans="3:10" x14ac:dyDescent="0.25">
      <c r="C5551" s="9"/>
      <c r="D5551" s="10">
        <v>45720</v>
      </c>
      <c r="E5551" t="s">
        <v>7112</v>
      </c>
      <c r="F5551" s="11" t="s">
        <v>7113</v>
      </c>
      <c r="G5551" s="8">
        <v>14.81</v>
      </c>
      <c r="H5551" s="8">
        <v>0</v>
      </c>
      <c r="I5551" s="8">
        <f t="shared" si="250"/>
        <v>-404.42000000000343</v>
      </c>
      <c r="J5551" s="12"/>
    </row>
    <row r="5552" spans="3:10" x14ac:dyDescent="0.25">
      <c r="C5552" s="9"/>
      <c r="D5552" s="10">
        <v>45720</v>
      </c>
      <c r="E5552" t="s">
        <v>7112</v>
      </c>
      <c r="F5552" s="11" t="s">
        <v>7113</v>
      </c>
      <c r="G5552" s="8">
        <v>0</v>
      </c>
      <c r="H5552" s="8">
        <v>14.81</v>
      </c>
      <c r="I5552" s="8">
        <f t="shared" si="250"/>
        <v>-419.23000000000343</v>
      </c>
      <c r="J5552" s="12"/>
    </row>
    <row r="5553" spans="3:10" x14ac:dyDescent="0.25">
      <c r="C5553" s="9"/>
      <c r="D5553" s="10">
        <v>45720</v>
      </c>
      <c r="E5553" t="s">
        <v>7114</v>
      </c>
      <c r="F5553" s="11" t="s">
        <v>7115</v>
      </c>
      <c r="G5553" s="8">
        <v>35.130000000000003</v>
      </c>
      <c r="H5553" s="8">
        <v>0</v>
      </c>
      <c r="I5553" s="8">
        <f t="shared" si="250"/>
        <v>-384.10000000000343</v>
      </c>
      <c r="J5553" s="12"/>
    </row>
    <row r="5554" spans="3:10" x14ac:dyDescent="0.25">
      <c r="C5554" s="9"/>
      <c r="D5554" s="10">
        <v>45720</v>
      </c>
      <c r="E5554" t="s">
        <v>7116</v>
      </c>
      <c r="F5554" s="11" t="s">
        <v>7117</v>
      </c>
      <c r="G5554" s="8">
        <v>18.690000000000001</v>
      </c>
      <c r="H5554" s="8">
        <v>0</v>
      </c>
      <c r="I5554" s="8">
        <f t="shared" si="250"/>
        <v>-365.41000000000344</v>
      </c>
      <c r="J5554" s="12"/>
    </row>
    <row r="5555" spans="3:10" x14ac:dyDescent="0.25">
      <c r="C5555" s="9"/>
      <c r="D5555" s="10">
        <v>45720</v>
      </c>
      <c r="E5555" t="s">
        <v>7118</v>
      </c>
      <c r="F5555" s="11" t="s">
        <v>7119</v>
      </c>
      <c r="G5555" s="8">
        <v>6.1</v>
      </c>
      <c r="H5555" s="8">
        <v>0</v>
      </c>
      <c r="I5555" s="8">
        <f t="shared" si="250"/>
        <v>-359.31000000000341</v>
      </c>
      <c r="J5555" s="12"/>
    </row>
    <row r="5556" spans="3:10" x14ac:dyDescent="0.25">
      <c r="C5556" s="9"/>
      <c r="D5556" s="10">
        <v>45720</v>
      </c>
      <c r="E5556" t="s">
        <v>7120</v>
      </c>
      <c r="F5556" s="11" t="s">
        <v>7121</v>
      </c>
      <c r="G5556" s="8">
        <v>4.07</v>
      </c>
      <c r="H5556" s="8">
        <v>0</v>
      </c>
      <c r="I5556" s="8">
        <f t="shared" si="250"/>
        <v>-355.24000000000342</v>
      </c>
      <c r="J5556" s="12"/>
    </row>
    <row r="5557" spans="3:10" x14ac:dyDescent="0.25">
      <c r="C5557" s="9"/>
      <c r="D5557" s="10">
        <v>45720</v>
      </c>
      <c r="E5557" t="s">
        <v>7122</v>
      </c>
      <c r="F5557" s="11" t="s">
        <v>7123</v>
      </c>
      <c r="G5557" s="8">
        <v>0.68</v>
      </c>
      <c r="H5557" s="8">
        <v>0</v>
      </c>
      <c r="I5557" s="8">
        <f t="shared" si="250"/>
        <v>-354.56000000000341</v>
      </c>
      <c r="J5557" s="12"/>
    </row>
    <row r="5558" spans="3:10" x14ac:dyDescent="0.25">
      <c r="C5558" s="9"/>
      <c r="D5558" s="10">
        <v>45720</v>
      </c>
      <c r="E5558" t="s">
        <v>7124</v>
      </c>
      <c r="F5558" s="11" t="s">
        <v>7125</v>
      </c>
      <c r="G5558" s="8">
        <v>0.62</v>
      </c>
      <c r="H5558" s="8">
        <v>0</v>
      </c>
      <c r="I5558" s="8">
        <f t="shared" si="250"/>
        <v>-353.94000000000341</v>
      </c>
      <c r="J5558" s="12"/>
    </row>
    <row r="5559" spans="3:10" x14ac:dyDescent="0.25">
      <c r="C5559" s="9"/>
      <c r="D5559" s="10">
        <v>45720</v>
      </c>
      <c r="E5559" t="s">
        <v>7126</v>
      </c>
      <c r="F5559" s="11" t="s">
        <v>7127</v>
      </c>
      <c r="G5559" s="8">
        <v>8.9700000000000006</v>
      </c>
      <c r="H5559" s="8">
        <v>0</v>
      </c>
      <c r="I5559" s="8">
        <f t="shared" si="250"/>
        <v>-344.97000000000338</v>
      </c>
      <c r="J5559" s="12"/>
    </row>
    <row r="5560" spans="3:10" x14ac:dyDescent="0.25">
      <c r="C5560" s="9"/>
      <c r="D5560" s="10">
        <v>45720</v>
      </c>
      <c r="E5560" t="s">
        <v>7128</v>
      </c>
      <c r="F5560" s="11" t="s">
        <v>7129</v>
      </c>
      <c r="G5560" s="8">
        <v>18.3</v>
      </c>
      <c r="H5560" s="8">
        <v>0</v>
      </c>
      <c r="I5560" s="8">
        <f t="shared" si="250"/>
        <v>-326.67000000000337</v>
      </c>
      <c r="J5560" s="12"/>
    </row>
    <row r="5561" spans="3:10" x14ac:dyDescent="0.25">
      <c r="C5561" s="9"/>
      <c r="D5561" s="10">
        <v>45720</v>
      </c>
      <c r="E5561" t="s">
        <v>7130</v>
      </c>
      <c r="F5561" s="11" t="s">
        <v>7131</v>
      </c>
      <c r="G5561" s="8">
        <v>22.41</v>
      </c>
      <c r="H5561" s="8">
        <v>0</v>
      </c>
      <c r="I5561" s="8">
        <f t="shared" si="250"/>
        <v>-304.26000000000334</v>
      </c>
      <c r="J5561" s="12"/>
    </row>
    <row r="5562" spans="3:10" x14ac:dyDescent="0.25">
      <c r="C5562" s="9"/>
      <c r="D5562" s="10">
        <v>45720</v>
      </c>
      <c r="E5562" t="s">
        <v>7132</v>
      </c>
      <c r="F5562" s="11" t="s">
        <v>7133</v>
      </c>
      <c r="G5562" s="8">
        <v>10.039999999999999</v>
      </c>
      <c r="H5562" s="8">
        <v>0</v>
      </c>
      <c r="I5562" s="8">
        <f t="shared" si="250"/>
        <v>-294.22000000000332</v>
      </c>
      <c r="J5562" s="12"/>
    </row>
    <row r="5563" spans="3:10" x14ac:dyDescent="0.25">
      <c r="C5563" s="9"/>
      <c r="D5563" s="10">
        <v>45720</v>
      </c>
      <c r="E5563" t="s">
        <v>7132</v>
      </c>
      <c r="F5563" s="11" t="s">
        <v>7133</v>
      </c>
      <c r="G5563" s="8">
        <v>0</v>
      </c>
      <c r="H5563" s="8">
        <v>10.039999999999999</v>
      </c>
      <c r="I5563" s="8">
        <f t="shared" si="250"/>
        <v>-304.26000000000334</v>
      </c>
      <c r="J5563" s="12"/>
    </row>
    <row r="5564" spans="3:10" x14ac:dyDescent="0.25">
      <c r="C5564" s="9"/>
      <c r="D5564" s="10">
        <v>45720</v>
      </c>
      <c r="E5564" t="s">
        <v>7134</v>
      </c>
      <c r="F5564" s="11" t="s">
        <v>7135</v>
      </c>
      <c r="G5564" s="8">
        <v>21.88</v>
      </c>
      <c r="H5564" s="8">
        <v>0</v>
      </c>
      <c r="I5564" s="8">
        <f t="shared" si="250"/>
        <v>-282.38000000000335</v>
      </c>
      <c r="J5564" s="12"/>
    </row>
    <row r="5565" spans="3:10" x14ac:dyDescent="0.25">
      <c r="C5565" s="9"/>
      <c r="D5565" s="10">
        <v>45720</v>
      </c>
      <c r="E5565" t="s">
        <v>7136</v>
      </c>
      <c r="F5565" s="11" t="s">
        <v>7137</v>
      </c>
      <c r="G5565" s="8">
        <v>14.48</v>
      </c>
      <c r="H5565" s="8">
        <v>0</v>
      </c>
      <c r="I5565" s="8">
        <f t="shared" si="250"/>
        <v>-267.90000000000333</v>
      </c>
      <c r="J5565" s="12"/>
    </row>
    <row r="5566" spans="3:10" x14ac:dyDescent="0.25">
      <c r="C5566" s="9"/>
      <c r="D5566" s="10">
        <v>45720</v>
      </c>
      <c r="E5566" t="s">
        <v>7138</v>
      </c>
      <c r="F5566" s="11" t="s">
        <v>7139</v>
      </c>
      <c r="G5566" s="8">
        <v>14.45</v>
      </c>
      <c r="H5566" s="8">
        <v>0</v>
      </c>
      <c r="I5566" s="8">
        <f t="shared" si="250"/>
        <v>-253.45000000000334</v>
      </c>
      <c r="J5566" s="12"/>
    </row>
    <row r="5567" spans="3:10" x14ac:dyDescent="0.25">
      <c r="C5567" s="9"/>
      <c r="D5567" s="10">
        <v>45720</v>
      </c>
      <c r="E5567" t="s">
        <v>7109</v>
      </c>
      <c r="F5567" s="11" t="s">
        <v>42</v>
      </c>
      <c r="G5567" s="8">
        <v>0</v>
      </c>
      <c r="H5567" s="8">
        <v>775.38</v>
      </c>
      <c r="I5567" s="8">
        <f t="shared" si="250"/>
        <v>-1028.8300000000033</v>
      </c>
      <c r="J5567" s="12"/>
    </row>
    <row r="5568" spans="3:10" x14ac:dyDescent="0.25">
      <c r="C5568" s="9"/>
      <c r="D5568" s="10">
        <v>45721</v>
      </c>
      <c r="E5568" t="s">
        <v>7140</v>
      </c>
      <c r="F5568" s="11" t="s">
        <v>7141</v>
      </c>
      <c r="G5568" s="8">
        <v>16.96</v>
      </c>
      <c r="H5568" s="8">
        <v>0</v>
      </c>
      <c r="I5568" s="8">
        <f t="shared" si="250"/>
        <v>-1011.8700000000033</v>
      </c>
      <c r="J5568" s="12"/>
    </row>
    <row r="5569" spans="3:10" x14ac:dyDescent="0.25">
      <c r="C5569" s="9"/>
      <c r="D5569" s="10">
        <v>45721</v>
      </c>
      <c r="E5569" t="s">
        <v>7140</v>
      </c>
      <c r="F5569" s="11" t="s">
        <v>7141</v>
      </c>
      <c r="G5569" s="8">
        <v>0</v>
      </c>
      <c r="H5569" s="8">
        <v>16.96</v>
      </c>
      <c r="I5569" s="8">
        <f t="shared" si="250"/>
        <v>-1028.8300000000033</v>
      </c>
      <c r="J5569" s="12"/>
    </row>
    <row r="5570" spans="3:10" x14ac:dyDescent="0.25">
      <c r="C5570" s="9"/>
      <c r="D5570" s="10">
        <v>45721</v>
      </c>
      <c r="E5570" t="s">
        <v>7142</v>
      </c>
      <c r="F5570" s="11" t="s">
        <v>7143</v>
      </c>
      <c r="G5570" s="8">
        <v>140.52000000000001</v>
      </c>
      <c r="H5570" s="8">
        <v>0</v>
      </c>
      <c r="I5570" s="8">
        <f t="shared" si="250"/>
        <v>-888.31000000000336</v>
      </c>
      <c r="J5570" s="12"/>
    </row>
    <row r="5571" spans="3:10" x14ac:dyDescent="0.25">
      <c r="C5571" s="9"/>
      <c r="D5571" s="10">
        <v>45721</v>
      </c>
      <c r="E5571" t="s">
        <v>7142</v>
      </c>
      <c r="F5571" s="11" t="s">
        <v>7143</v>
      </c>
      <c r="G5571" s="8">
        <v>0</v>
      </c>
      <c r="H5571" s="8">
        <v>140.52000000000001</v>
      </c>
      <c r="I5571" s="8">
        <f t="shared" si="250"/>
        <v>-1028.8300000000033</v>
      </c>
      <c r="J5571" s="12"/>
    </row>
    <row r="5572" spans="3:10" x14ac:dyDescent="0.25">
      <c r="C5572" s="9"/>
      <c r="D5572" s="10">
        <v>45721</v>
      </c>
      <c r="E5572" t="s">
        <v>7144</v>
      </c>
      <c r="F5572" s="11" t="s">
        <v>7145</v>
      </c>
      <c r="G5572" s="8">
        <v>12.28</v>
      </c>
      <c r="H5572" s="8">
        <v>0</v>
      </c>
      <c r="I5572" s="8">
        <f t="shared" si="250"/>
        <v>-1016.5500000000034</v>
      </c>
      <c r="J5572" s="12"/>
    </row>
    <row r="5573" spans="3:10" x14ac:dyDescent="0.25">
      <c r="C5573" s="9"/>
      <c r="D5573" s="10">
        <v>45721</v>
      </c>
      <c r="E5573" t="s">
        <v>7146</v>
      </c>
      <c r="F5573" s="11" t="s">
        <v>7147</v>
      </c>
      <c r="G5573" s="8">
        <v>738.28</v>
      </c>
      <c r="H5573" s="8">
        <v>0</v>
      </c>
      <c r="I5573" s="8">
        <f t="shared" si="250"/>
        <v>-278.27000000000339</v>
      </c>
      <c r="J5573" s="12"/>
    </row>
    <row r="5574" spans="3:10" x14ac:dyDescent="0.25">
      <c r="C5574" s="9"/>
      <c r="D5574" s="10">
        <v>45721</v>
      </c>
      <c r="E5574" t="s">
        <v>7148</v>
      </c>
      <c r="F5574" s="11" t="s">
        <v>7149</v>
      </c>
      <c r="G5574" s="8">
        <v>7.24</v>
      </c>
      <c r="H5574" s="8">
        <v>0</v>
      </c>
      <c r="I5574" s="8">
        <f t="shared" si="250"/>
        <v>-271.03000000000338</v>
      </c>
      <c r="J5574" s="12"/>
    </row>
    <row r="5575" spans="3:10" x14ac:dyDescent="0.25">
      <c r="C5575" s="9"/>
      <c r="D5575" s="10">
        <v>45721</v>
      </c>
      <c r="E5575" t="s">
        <v>7150</v>
      </c>
      <c r="F5575" s="11" t="s">
        <v>7151</v>
      </c>
      <c r="G5575" s="8">
        <v>98.35</v>
      </c>
      <c r="H5575" s="8">
        <v>0</v>
      </c>
      <c r="I5575" s="8">
        <f t="shared" si="250"/>
        <v>-172.68000000000339</v>
      </c>
      <c r="J5575" s="12"/>
    </row>
    <row r="5576" spans="3:10" x14ac:dyDescent="0.25">
      <c r="C5576" s="9"/>
      <c r="D5576" s="10">
        <v>45721</v>
      </c>
      <c r="E5576" t="s">
        <v>7152</v>
      </c>
      <c r="F5576" s="11" t="s">
        <v>7153</v>
      </c>
      <c r="G5576" s="8">
        <v>2.7</v>
      </c>
      <c r="H5576" s="8">
        <v>0</v>
      </c>
      <c r="I5576" s="8">
        <f t="shared" si="250"/>
        <v>-169.9800000000034</v>
      </c>
      <c r="J5576" s="12"/>
    </row>
    <row r="5577" spans="3:10" x14ac:dyDescent="0.25">
      <c r="C5577" s="9"/>
      <c r="D5577" s="10">
        <v>45721</v>
      </c>
      <c r="E5577" t="s">
        <v>7154</v>
      </c>
      <c r="F5577" s="11" t="s">
        <v>7155</v>
      </c>
      <c r="G5577" s="8">
        <v>23.43</v>
      </c>
      <c r="H5577" s="8">
        <v>0</v>
      </c>
      <c r="I5577" s="8">
        <f t="shared" si="250"/>
        <v>-146.55000000000339</v>
      </c>
      <c r="J5577" s="12"/>
    </row>
    <row r="5578" spans="3:10" x14ac:dyDescent="0.25">
      <c r="C5578" s="9"/>
      <c r="D5578" s="10">
        <v>45721</v>
      </c>
      <c r="E5578" t="s">
        <v>7156</v>
      </c>
      <c r="F5578" s="11" t="s">
        <v>7157</v>
      </c>
      <c r="G5578" s="8">
        <v>17.670000000000002</v>
      </c>
      <c r="H5578" s="8">
        <v>0</v>
      </c>
      <c r="I5578" s="8">
        <f t="shared" si="250"/>
        <v>-128.88000000000341</v>
      </c>
      <c r="J5578" s="12"/>
    </row>
    <row r="5579" spans="3:10" x14ac:dyDescent="0.25">
      <c r="C5579" s="9"/>
      <c r="D5579" s="10">
        <v>45721</v>
      </c>
      <c r="E5579" t="s">
        <v>7158</v>
      </c>
      <c r="F5579" s="11" t="s">
        <v>7159</v>
      </c>
      <c r="G5579" s="8">
        <v>55.55</v>
      </c>
      <c r="H5579" s="8">
        <v>0</v>
      </c>
      <c r="I5579" s="8">
        <f t="shared" si="250"/>
        <v>-73.330000000003409</v>
      </c>
      <c r="J5579" s="12"/>
    </row>
    <row r="5580" spans="3:10" x14ac:dyDescent="0.25">
      <c r="C5580" s="9"/>
      <c r="D5580" s="10">
        <v>45721</v>
      </c>
      <c r="E5580" t="s">
        <v>7160</v>
      </c>
      <c r="F5580" s="11" t="s">
        <v>7161</v>
      </c>
      <c r="G5580" s="8">
        <v>135.53</v>
      </c>
      <c r="H5580" s="8">
        <v>0</v>
      </c>
      <c r="I5580" s="8">
        <f t="shared" si="250"/>
        <v>62.199999999996592</v>
      </c>
      <c r="J5580" s="12"/>
    </row>
    <row r="5581" spans="3:10" x14ac:dyDescent="0.25">
      <c r="C5581" s="9"/>
      <c r="D5581" s="10">
        <v>45721</v>
      </c>
      <c r="E5581" t="s">
        <v>7162</v>
      </c>
      <c r="F5581" s="11" t="s">
        <v>7163</v>
      </c>
      <c r="G5581" s="8">
        <v>43.61</v>
      </c>
      <c r="H5581" s="8">
        <v>0</v>
      </c>
      <c r="I5581" s="8">
        <f t="shared" si="250"/>
        <v>105.80999999999659</v>
      </c>
      <c r="J5581" s="12"/>
    </row>
    <row r="5582" spans="3:10" x14ac:dyDescent="0.25">
      <c r="C5582" s="9"/>
      <c r="D5582" s="10">
        <v>45721</v>
      </c>
      <c r="E5582" t="s">
        <v>7164</v>
      </c>
      <c r="F5582" s="11" t="s">
        <v>7165</v>
      </c>
      <c r="G5582" s="8">
        <v>39.4</v>
      </c>
      <c r="H5582" s="8">
        <v>0</v>
      </c>
      <c r="I5582" s="8">
        <f t="shared" si="250"/>
        <v>145.2099999999966</v>
      </c>
      <c r="J5582" s="12"/>
    </row>
    <row r="5583" spans="3:10" x14ac:dyDescent="0.25">
      <c r="C5583" s="9"/>
      <c r="D5583" s="10">
        <v>45721</v>
      </c>
      <c r="E5583" t="s">
        <v>7166</v>
      </c>
      <c r="F5583" s="11" t="s">
        <v>7167</v>
      </c>
      <c r="G5583" s="8">
        <v>73.040000000000006</v>
      </c>
      <c r="H5583" s="8">
        <v>0</v>
      </c>
      <c r="I5583" s="8">
        <f t="shared" si="250"/>
        <v>218.24999999999659</v>
      </c>
      <c r="J5583" s="12"/>
    </row>
    <row r="5584" spans="3:10" x14ac:dyDescent="0.25">
      <c r="C5584" s="9"/>
      <c r="D5584" s="10">
        <v>45721</v>
      </c>
      <c r="E5584" t="s">
        <v>7168</v>
      </c>
      <c r="F5584" s="11" t="s">
        <v>7169</v>
      </c>
      <c r="G5584" s="8">
        <v>18.190000000000001</v>
      </c>
      <c r="H5584" s="8">
        <v>0</v>
      </c>
      <c r="I5584" s="8">
        <f t="shared" si="250"/>
        <v>236.43999999999659</v>
      </c>
      <c r="J5584" s="12"/>
    </row>
    <row r="5585" spans="3:10" x14ac:dyDescent="0.25">
      <c r="C5585" s="9"/>
      <c r="D5585" s="10">
        <v>45721</v>
      </c>
      <c r="E5585" t="s">
        <v>7168</v>
      </c>
      <c r="F5585" s="11" t="s">
        <v>7169</v>
      </c>
      <c r="G5585" s="8">
        <v>0</v>
      </c>
      <c r="H5585" s="8">
        <v>18.190000000000001</v>
      </c>
      <c r="I5585" s="8">
        <f t="shared" si="250"/>
        <v>218.24999999999659</v>
      </c>
      <c r="J5585" s="12"/>
    </row>
    <row r="5586" spans="3:10" x14ac:dyDescent="0.25">
      <c r="C5586" s="9"/>
      <c r="D5586" s="10">
        <v>45721</v>
      </c>
      <c r="E5586" t="s">
        <v>7170</v>
      </c>
      <c r="F5586" s="11" t="s">
        <v>7171</v>
      </c>
      <c r="G5586" s="8">
        <v>15.5</v>
      </c>
      <c r="H5586" s="8">
        <v>0</v>
      </c>
      <c r="I5586" s="8">
        <f t="shared" si="250"/>
        <v>233.74999999999659</v>
      </c>
      <c r="J5586" s="12"/>
    </row>
    <row r="5587" spans="3:10" x14ac:dyDescent="0.25">
      <c r="C5587" s="9"/>
      <c r="D5587" s="10">
        <v>45721</v>
      </c>
      <c r="E5587" t="s">
        <v>7109</v>
      </c>
      <c r="F5587" s="11" t="s">
        <v>42</v>
      </c>
      <c r="G5587" s="8">
        <v>0</v>
      </c>
      <c r="H5587" s="8">
        <v>498.65</v>
      </c>
      <c r="I5587" s="8">
        <f t="shared" si="250"/>
        <v>-264.90000000000339</v>
      </c>
      <c r="J5587" s="12"/>
    </row>
    <row r="5588" spans="3:10" x14ac:dyDescent="0.25">
      <c r="C5588" s="9"/>
      <c r="D5588" s="10">
        <v>45722</v>
      </c>
      <c r="E5588" t="s">
        <v>7172</v>
      </c>
      <c r="F5588" s="11" t="s">
        <v>7173</v>
      </c>
      <c r="G5588" s="8">
        <v>94.26</v>
      </c>
      <c r="H5588" s="8">
        <v>0</v>
      </c>
      <c r="I5588" s="8">
        <f t="shared" si="250"/>
        <v>-170.6400000000034</v>
      </c>
      <c r="J5588" s="12"/>
    </row>
    <row r="5589" spans="3:10" x14ac:dyDescent="0.25">
      <c r="C5589" s="9"/>
      <c r="D5589" s="10">
        <v>45722</v>
      </c>
      <c r="E5589" t="s">
        <v>7174</v>
      </c>
      <c r="F5589" s="11" t="s">
        <v>7175</v>
      </c>
      <c r="G5589" s="8">
        <v>10.08</v>
      </c>
      <c r="H5589" s="8">
        <v>0</v>
      </c>
      <c r="I5589" s="8">
        <f t="shared" si="250"/>
        <v>-160.56000000000338</v>
      </c>
      <c r="J5589" s="12"/>
    </row>
    <row r="5590" spans="3:10" x14ac:dyDescent="0.25">
      <c r="C5590" s="9"/>
      <c r="D5590" s="10">
        <v>45722</v>
      </c>
      <c r="E5590" t="s">
        <v>7176</v>
      </c>
      <c r="F5590" s="11" t="s">
        <v>7177</v>
      </c>
      <c r="G5590" s="8">
        <v>0.42</v>
      </c>
      <c r="H5590" s="8">
        <v>0</v>
      </c>
      <c r="I5590" s="8">
        <f t="shared" si="250"/>
        <v>-160.1400000000034</v>
      </c>
      <c r="J5590" s="12"/>
    </row>
    <row r="5591" spans="3:10" x14ac:dyDescent="0.25">
      <c r="C5591" s="9"/>
      <c r="D5591" s="10">
        <v>45722</v>
      </c>
      <c r="E5591" t="s">
        <v>7178</v>
      </c>
      <c r="F5591" s="11" t="s">
        <v>7179</v>
      </c>
      <c r="G5591" s="8">
        <v>47.52</v>
      </c>
      <c r="H5591" s="8">
        <v>0</v>
      </c>
      <c r="I5591" s="8">
        <f t="shared" si="250"/>
        <v>-112.62000000000339</v>
      </c>
      <c r="J5591" s="12"/>
    </row>
    <row r="5592" spans="3:10" x14ac:dyDescent="0.25">
      <c r="C5592" s="9"/>
      <c r="D5592" s="10">
        <v>45722</v>
      </c>
      <c r="E5592" t="s">
        <v>7180</v>
      </c>
      <c r="F5592" s="11" t="s">
        <v>7181</v>
      </c>
      <c r="G5592" s="8">
        <v>39.85</v>
      </c>
      <c r="H5592" s="8">
        <v>0</v>
      </c>
      <c r="I5592" s="8">
        <f t="shared" si="250"/>
        <v>-72.770000000003392</v>
      </c>
      <c r="J5592" s="12"/>
    </row>
    <row r="5593" spans="3:10" x14ac:dyDescent="0.25">
      <c r="C5593" s="9"/>
      <c r="D5593" s="10">
        <v>45722</v>
      </c>
      <c r="E5593" t="s">
        <v>7182</v>
      </c>
      <c r="F5593" s="11" t="s">
        <v>7183</v>
      </c>
      <c r="G5593" s="8">
        <v>122.67</v>
      </c>
      <c r="H5593" s="8">
        <v>0</v>
      </c>
      <c r="I5593" s="8">
        <f t="shared" si="250"/>
        <v>49.899999999996609</v>
      </c>
      <c r="J5593" s="12"/>
    </row>
    <row r="5594" spans="3:10" x14ac:dyDescent="0.25">
      <c r="C5594" s="9"/>
      <c r="D5594" s="10">
        <v>45722</v>
      </c>
      <c r="E5594" t="s">
        <v>7184</v>
      </c>
      <c r="F5594" s="11" t="s">
        <v>7185</v>
      </c>
      <c r="G5594" s="8">
        <v>19.71</v>
      </c>
      <c r="H5594" s="8">
        <v>0</v>
      </c>
      <c r="I5594" s="8">
        <f t="shared" si="250"/>
        <v>69.609999999996603</v>
      </c>
      <c r="J5594" s="12"/>
    </row>
    <row r="5595" spans="3:10" x14ac:dyDescent="0.25">
      <c r="C5595" s="9"/>
      <c r="D5595" s="10">
        <v>45722</v>
      </c>
      <c r="E5595" t="s">
        <v>7184</v>
      </c>
      <c r="F5595" s="11" t="s">
        <v>7185</v>
      </c>
      <c r="G5595" s="8">
        <v>0</v>
      </c>
      <c r="H5595" s="8">
        <v>19.71</v>
      </c>
      <c r="I5595" s="8">
        <f t="shared" si="250"/>
        <v>49.899999999996602</v>
      </c>
      <c r="J5595" s="12"/>
    </row>
    <row r="5596" spans="3:10" x14ac:dyDescent="0.25">
      <c r="C5596" s="9"/>
      <c r="D5596" s="10">
        <v>45722</v>
      </c>
      <c r="E5596" t="s">
        <v>7186</v>
      </c>
      <c r="F5596" s="11" t="s">
        <v>7187</v>
      </c>
      <c r="G5596" s="8">
        <v>33.76</v>
      </c>
      <c r="H5596" s="8">
        <v>0</v>
      </c>
      <c r="I5596" s="8">
        <f t="shared" ref="I5596:I5659" si="251">G5596-H5596+I5595</f>
        <v>83.6599999999966</v>
      </c>
      <c r="J5596" s="12"/>
    </row>
    <row r="5597" spans="3:10" x14ac:dyDescent="0.25">
      <c r="C5597" s="9"/>
      <c r="D5597" s="10">
        <v>45722</v>
      </c>
      <c r="E5597" t="s">
        <v>7188</v>
      </c>
      <c r="F5597" s="11" t="s">
        <v>7189</v>
      </c>
      <c r="G5597" s="8">
        <v>50.28</v>
      </c>
      <c r="H5597" s="8">
        <v>0</v>
      </c>
      <c r="I5597" s="8">
        <f t="shared" si="251"/>
        <v>133.93999999999659</v>
      </c>
      <c r="J5597" s="12"/>
    </row>
    <row r="5598" spans="3:10" x14ac:dyDescent="0.25">
      <c r="C5598" s="9"/>
      <c r="D5598" s="10">
        <v>45722</v>
      </c>
      <c r="E5598" t="s">
        <v>7190</v>
      </c>
      <c r="F5598" s="11" t="s">
        <v>7191</v>
      </c>
      <c r="G5598" s="8">
        <v>95.54</v>
      </c>
      <c r="H5598" s="8">
        <v>0</v>
      </c>
      <c r="I5598" s="8">
        <f t="shared" si="251"/>
        <v>229.47999999999661</v>
      </c>
      <c r="J5598" s="12"/>
    </row>
    <row r="5599" spans="3:10" x14ac:dyDescent="0.25">
      <c r="C5599" s="9"/>
      <c r="D5599" s="10">
        <v>45722</v>
      </c>
      <c r="E5599" t="s">
        <v>7192</v>
      </c>
      <c r="F5599" s="11" t="s">
        <v>7193</v>
      </c>
      <c r="G5599" s="8">
        <v>34.700000000000003</v>
      </c>
      <c r="H5599" s="8">
        <v>0</v>
      </c>
      <c r="I5599" s="8">
        <f t="shared" si="251"/>
        <v>264.1799999999966</v>
      </c>
      <c r="J5599" s="12"/>
    </row>
    <row r="5600" spans="3:10" x14ac:dyDescent="0.25">
      <c r="C5600" s="9"/>
      <c r="D5600" s="10">
        <v>45722</v>
      </c>
      <c r="E5600" t="s">
        <v>7194</v>
      </c>
      <c r="F5600" s="11" t="s">
        <v>7195</v>
      </c>
      <c r="G5600" s="8">
        <v>2</v>
      </c>
      <c r="H5600" s="8">
        <v>0</v>
      </c>
      <c r="I5600" s="8">
        <f t="shared" si="251"/>
        <v>266.1799999999966</v>
      </c>
      <c r="J5600" s="12"/>
    </row>
    <row r="5601" spans="3:10" x14ac:dyDescent="0.25">
      <c r="C5601" s="9"/>
      <c r="D5601" s="10">
        <v>45722</v>
      </c>
      <c r="E5601" t="s">
        <v>7194</v>
      </c>
      <c r="F5601" s="11" t="s">
        <v>7195</v>
      </c>
      <c r="G5601" s="8">
        <v>0</v>
      </c>
      <c r="H5601" s="8">
        <v>2</v>
      </c>
      <c r="I5601" s="8">
        <f t="shared" si="251"/>
        <v>264.1799999999966</v>
      </c>
      <c r="J5601" s="12"/>
    </row>
    <row r="5602" spans="3:10" x14ac:dyDescent="0.25">
      <c r="C5602" s="9"/>
      <c r="D5602" s="10">
        <v>45722</v>
      </c>
      <c r="E5602" t="s">
        <v>7196</v>
      </c>
      <c r="F5602" s="11" t="s">
        <v>7197</v>
      </c>
      <c r="G5602" s="8">
        <v>13.79</v>
      </c>
      <c r="H5602" s="8">
        <v>0</v>
      </c>
      <c r="I5602" s="8">
        <f t="shared" si="251"/>
        <v>277.96999999999662</v>
      </c>
      <c r="J5602" s="12"/>
    </row>
    <row r="5603" spans="3:10" x14ac:dyDescent="0.25">
      <c r="C5603" s="9"/>
      <c r="D5603" s="10">
        <v>45722</v>
      </c>
      <c r="E5603" t="s">
        <v>7196</v>
      </c>
      <c r="F5603" s="11" t="s">
        <v>7197</v>
      </c>
      <c r="G5603" s="8">
        <v>0</v>
      </c>
      <c r="H5603" s="8">
        <v>13.79</v>
      </c>
      <c r="I5603" s="8">
        <f t="shared" si="251"/>
        <v>264.1799999999966</v>
      </c>
      <c r="J5603" s="12"/>
    </row>
    <row r="5604" spans="3:10" x14ac:dyDescent="0.25">
      <c r="C5604" s="9"/>
      <c r="D5604" s="10">
        <v>45722</v>
      </c>
      <c r="E5604" t="s">
        <v>7198</v>
      </c>
      <c r="F5604" s="11" t="s">
        <v>7199</v>
      </c>
      <c r="G5604" s="8">
        <v>2.71</v>
      </c>
      <c r="H5604" s="8">
        <v>0</v>
      </c>
      <c r="I5604" s="8">
        <f t="shared" si="251"/>
        <v>266.88999999999658</v>
      </c>
      <c r="J5604" s="12"/>
    </row>
    <row r="5605" spans="3:10" x14ac:dyDescent="0.25">
      <c r="C5605" s="9"/>
      <c r="D5605" s="10">
        <v>45722</v>
      </c>
      <c r="E5605" t="s">
        <v>7200</v>
      </c>
      <c r="F5605" s="11" t="s">
        <v>7201</v>
      </c>
      <c r="G5605" s="8">
        <v>15.74</v>
      </c>
      <c r="H5605" s="8">
        <v>0</v>
      </c>
      <c r="I5605" s="8">
        <f t="shared" si="251"/>
        <v>282.62999999999658</v>
      </c>
      <c r="J5605" s="12"/>
    </row>
    <row r="5606" spans="3:10" x14ac:dyDescent="0.25">
      <c r="C5606" s="9"/>
      <c r="D5606" s="10">
        <v>45722</v>
      </c>
      <c r="E5606" t="s">
        <v>7200</v>
      </c>
      <c r="F5606" s="11" t="s">
        <v>7201</v>
      </c>
      <c r="G5606" s="8">
        <v>0</v>
      </c>
      <c r="H5606" s="8">
        <v>15.74</v>
      </c>
      <c r="I5606" s="8">
        <f t="shared" si="251"/>
        <v>266.88999999999658</v>
      </c>
      <c r="J5606" s="12"/>
    </row>
    <row r="5607" spans="3:10" x14ac:dyDescent="0.25">
      <c r="C5607" s="9"/>
      <c r="D5607" s="10">
        <v>45722</v>
      </c>
      <c r="E5607" t="s">
        <v>7109</v>
      </c>
      <c r="F5607" s="11" t="s">
        <v>42</v>
      </c>
      <c r="G5607" s="8">
        <v>0</v>
      </c>
      <c r="H5607" s="8">
        <v>1250.0899999999999</v>
      </c>
      <c r="I5607" s="8">
        <f t="shared" si="251"/>
        <v>-983.20000000000334</v>
      </c>
      <c r="J5607" s="12"/>
    </row>
    <row r="5608" spans="3:10" x14ac:dyDescent="0.25">
      <c r="C5608" s="9"/>
      <c r="D5608" s="10">
        <v>45723</v>
      </c>
      <c r="E5608" t="s">
        <v>7202</v>
      </c>
      <c r="F5608" s="11" t="s">
        <v>7203</v>
      </c>
      <c r="G5608" s="8">
        <v>10.45</v>
      </c>
      <c r="H5608" s="8">
        <v>0</v>
      </c>
      <c r="I5608" s="8">
        <f t="shared" si="251"/>
        <v>-972.7500000000033</v>
      </c>
      <c r="J5608" s="12"/>
    </row>
    <row r="5609" spans="3:10" x14ac:dyDescent="0.25">
      <c r="C5609" s="9"/>
      <c r="D5609" s="10">
        <v>45723</v>
      </c>
      <c r="E5609" t="s">
        <v>7204</v>
      </c>
      <c r="F5609" s="11" t="s">
        <v>7205</v>
      </c>
      <c r="G5609" s="8">
        <v>340.6</v>
      </c>
      <c r="H5609" s="8">
        <v>0</v>
      </c>
      <c r="I5609" s="8">
        <f t="shared" si="251"/>
        <v>-632.15000000000327</v>
      </c>
      <c r="J5609" s="12"/>
    </row>
    <row r="5610" spans="3:10" x14ac:dyDescent="0.25">
      <c r="C5610" s="9"/>
      <c r="D5610" s="10">
        <v>45723</v>
      </c>
      <c r="E5610" t="s">
        <v>7206</v>
      </c>
      <c r="F5610" s="11" t="s">
        <v>7207</v>
      </c>
      <c r="G5610" s="8">
        <v>40</v>
      </c>
      <c r="H5610" s="8">
        <v>0</v>
      </c>
      <c r="I5610" s="8">
        <f t="shared" si="251"/>
        <v>-592.15000000000327</v>
      </c>
      <c r="J5610" s="12"/>
    </row>
    <row r="5611" spans="3:10" x14ac:dyDescent="0.25">
      <c r="C5611" s="9"/>
      <c r="D5611" s="10">
        <v>45723</v>
      </c>
      <c r="E5611" t="s">
        <v>7208</v>
      </c>
      <c r="F5611" s="11" t="s">
        <v>7209</v>
      </c>
      <c r="G5611" s="8">
        <v>7.38</v>
      </c>
      <c r="H5611" s="8">
        <v>0</v>
      </c>
      <c r="I5611" s="8">
        <f t="shared" si="251"/>
        <v>-584.77000000000328</v>
      </c>
      <c r="J5611" s="12"/>
    </row>
    <row r="5612" spans="3:10" x14ac:dyDescent="0.25">
      <c r="C5612" s="9"/>
      <c r="D5612" s="10">
        <v>45723</v>
      </c>
      <c r="E5612" t="s">
        <v>7210</v>
      </c>
      <c r="F5612" s="11" t="s">
        <v>7211</v>
      </c>
      <c r="G5612" s="8">
        <v>38.64</v>
      </c>
      <c r="H5612" s="8">
        <v>0</v>
      </c>
      <c r="I5612" s="8">
        <f t="shared" si="251"/>
        <v>-546.13000000000329</v>
      </c>
      <c r="J5612" s="12"/>
    </row>
    <row r="5613" spans="3:10" x14ac:dyDescent="0.25">
      <c r="C5613" s="9"/>
      <c r="D5613" s="10">
        <v>45723</v>
      </c>
      <c r="E5613" t="s">
        <v>7210</v>
      </c>
      <c r="F5613" s="11" t="s">
        <v>7211</v>
      </c>
      <c r="G5613" s="8">
        <v>0</v>
      </c>
      <c r="H5613" s="8">
        <v>38.64</v>
      </c>
      <c r="I5613" s="8">
        <f t="shared" si="251"/>
        <v>-584.77000000000328</v>
      </c>
      <c r="J5613" s="12"/>
    </row>
    <row r="5614" spans="3:10" x14ac:dyDescent="0.25">
      <c r="C5614" s="9"/>
      <c r="D5614" s="10">
        <v>45723</v>
      </c>
      <c r="E5614" t="s">
        <v>7212</v>
      </c>
      <c r="F5614" s="11" t="s">
        <v>7213</v>
      </c>
      <c r="G5614" s="8">
        <v>79.22</v>
      </c>
      <c r="H5614" s="8">
        <v>0</v>
      </c>
      <c r="I5614" s="8">
        <f t="shared" si="251"/>
        <v>-505.55000000000325</v>
      </c>
      <c r="J5614" s="12"/>
    </row>
    <row r="5615" spans="3:10" x14ac:dyDescent="0.25">
      <c r="C5615" s="9"/>
      <c r="D5615" s="10">
        <v>45723</v>
      </c>
      <c r="E5615" t="s">
        <v>7214</v>
      </c>
      <c r="F5615" s="11" t="s">
        <v>7215</v>
      </c>
      <c r="G5615" s="8">
        <v>21.42</v>
      </c>
      <c r="H5615" s="8">
        <v>0</v>
      </c>
      <c r="I5615" s="8">
        <f t="shared" si="251"/>
        <v>-484.13000000000324</v>
      </c>
      <c r="J5615" s="12"/>
    </row>
    <row r="5616" spans="3:10" x14ac:dyDescent="0.25">
      <c r="C5616" s="9"/>
      <c r="D5616" s="10">
        <v>45723</v>
      </c>
      <c r="E5616" t="s">
        <v>7216</v>
      </c>
      <c r="F5616" s="11" t="s">
        <v>7217</v>
      </c>
      <c r="G5616" s="8">
        <v>1.23</v>
      </c>
      <c r="H5616" s="8">
        <v>0</v>
      </c>
      <c r="I5616" s="8">
        <f t="shared" si="251"/>
        <v>-482.90000000000322</v>
      </c>
      <c r="J5616" s="12"/>
    </row>
    <row r="5617" spans="3:10" x14ac:dyDescent="0.25">
      <c r="C5617" s="9"/>
      <c r="D5617" s="10">
        <v>45723</v>
      </c>
      <c r="E5617" t="s">
        <v>7218</v>
      </c>
      <c r="F5617" s="11" t="s">
        <v>7219</v>
      </c>
      <c r="G5617" s="8">
        <v>37.75</v>
      </c>
      <c r="H5617" s="8">
        <v>0</v>
      </c>
      <c r="I5617" s="8">
        <f t="shared" si="251"/>
        <v>-445.15000000000322</v>
      </c>
      <c r="J5617" s="12"/>
    </row>
    <row r="5618" spans="3:10" x14ac:dyDescent="0.25">
      <c r="C5618" s="9"/>
      <c r="D5618" s="10">
        <v>45723</v>
      </c>
      <c r="E5618" t="s">
        <v>7220</v>
      </c>
      <c r="F5618" s="11" t="s">
        <v>7221</v>
      </c>
      <c r="G5618" s="8">
        <v>14.52</v>
      </c>
      <c r="H5618" s="8">
        <v>0</v>
      </c>
      <c r="I5618" s="8">
        <f t="shared" si="251"/>
        <v>-430.63000000000324</v>
      </c>
      <c r="J5618" s="12"/>
    </row>
    <row r="5619" spans="3:10" x14ac:dyDescent="0.25">
      <c r="C5619" s="9"/>
      <c r="D5619" s="10">
        <v>45723</v>
      </c>
      <c r="E5619" t="s">
        <v>7222</v>
      </c>
      <c r="F5619" s="11" t="s">
        <v>7223</v>
      </c>
      <c r="G5619" s="8">
        <v>0.9</v>
      </c>
      <c r="H5619" s="8">
        <v>0</v>
      </c>
      <c r="I5619" s="8">
        <f t="shared" si="251"/>
        <v>-429.73000000000326</v>
      </c>
      <c r="J5619" s="12"/>
    </row>
    <row r="5620" spans="3:10" x14ac:dyDescent="0.25">
      <c r="C5620" s="9"/>
      <c r="D5620" s="10">
        <v>45723</v>
      </c>
      <c r="E5620" t="s">
        <v>7224</v>
      </c>
      <c r="F5620" s="11" t="s">
        <v>7225</v>
      </c>
      <c r="G5620" s="8">
        <v>36.64</v>
      </c>
      <c r="H5620" s="8">
        <v>0</v>
      </c>
      <c r="I5620" s="8">
        <f t="shared" si="251"/>
        <v>-393.09000000000327</v>
      </c>
      <c r="J5620" s="12"/>
    </row>
    <row r="5621" spans="3:10" x14ac:dyDescent="0.25">
      <c r="C5621" s="9"/>
      <c r="D5621" s="10">
        <v>45723</v>
      </c>
      <c r="E5621" t="s">
        <v>7226</v>
      </c>
      <c r="F5621" s="11" t="s">
        <v>7227</v>
      </c>
      <c r="G5621" s="8">
        <v>23.52</v>
      </c>
      <c r="H5621" s="8">
        <v>0</v>
      </c>
      <c r="I5621" s="8">
        <f t="shared" si="251"/>
        <v>-369.57000000000329</v>
      </c>
      <c r="J5621" s="12"/>
    </row>
    <row r="5622" spans="3:10" x14ac:dyDescent="0.25">
      <c r="C5622" s="9"/>
      <c r="D5622" s="10">
        <v>45723</v>
      </c>
      <c r="E5622" t="s">
        <v>7226</v>
      </c>
      <c r="F5622" s="11" t="s">
        <v>7227</v>
      </c>
      <c r="G5622" s="8">
        <v>0</v>
      </c>
      <c r="H5622" s="8">
        <v>23.52</v>
      </c>
      <c r="I5622" s="8">
        <f t="shared" si="251"/>
        <v>-393.09000000000327</v>
      </c>
      <c r="J5622" s="12"/>
    </row>
    <row r="5623" spans="3:10" x14ac:dyDescent="0.25">
      <c r="C5623" s="9"/>
      <c r="D5623" s="10">
        <v>45723</v>
      </c>
      <c r="E5623" t="s">
        <v>7228</v>
      </c>
      <c r="F5623" s="11" t="s">
        <v>7229</v>
      </c>
      <c r="G5623" s="8">
        <v>32.04</v>
      </c>
      <c r="H5623" s="8">
        <v>0</v>
      </c>
      <c r="I5623" s="8">
        <f t="shared" si="251"/>
        <v>-361.05000000000325</v>
      </c>
      <c r="J5623" s="12"/>
    </row>
    <row r="5624" spans="3:10" x14ac:dyDescent="0.25">
      <c r="C5624" s="9"/>
      <c r="D5624" s="10">
        <v>45723</v>
      </c>
      <c r="E5624" t="s">
        <v>7230</v>
      </c>
      <c r="F5624" s="11" t="s">
        <v>7231</v>
      </c>
      <c r="G5624" s="8">
        <v>161.16999999999999</v>
      </c>
      <c r="H5624" s="8">
        <v>0</v>
      </c>
      <c r="I5624" s="8">
        <f t="shared" si="251"/>
        <v>-199.88000000000326</v>
      </c>
      <c r="J5624" s="12"/>
    </row>
    <row r="5625" spans="3:10" x14ac:dyDescent="0.25">
      <c r="C5625" s="9"/>
      <c r="D5625" s="10">
        <v>45723</v>
      </c>
      <c r="E5625" t="s">
        <v>7232</v>
      </c>
      <c r="F5625" s="11" t="s">
        <v>7233</v>
      </c>
      <c r="G5625" s="8">
        <v>130.11000000000001</v>
      </c>
      <c r="H5625" s="8">
        <v>0</v>
      </c>
      <c r="I5625" s="8">
        <f t="shared" si="251"/>
        <v>-69.77000000000325</v>
      </c>
      <c r="J5625" s="12"/>
    </row>
    <row r="5626" spans="3:10" x14ac:dyDescent="0.25">
      <c r="C5626" s="9"/>
      <c r="D5626" s="10">
        <v>45723</v>
      </c>
      <c r="E5626" t="s">
        <v>7234</v>
      </c>
      <c r="F5626" s="11" t="s">
        <v>7235</v>
      </c>
      <c r="G5626" s="8">
        <v>5.83</v>
      </c>
      <c r="H5626" s="8">
        <v>0</v>
      </c>
      <c r="I5626" s="8">
        <f t="shared" si="251"/>
        <v>-63.940000000003252</v>
      </c>
      <c r="J5626" s="12"/>
    </row>
    <row r="5627" spans="3:10" x14ac:dyDescent="0.25">
      <c r="C5627" s="9"/>
      <c r="D5627" s="10">
        <v>45723</v>
      </c>
      <c r="E5627" t="s">
        <v>7236</v>
      </c>
      <c r="F5627" s="11" t="s">
        <v>7237</v>
      </c>
      <c r="G5627" s="8">
        <v>6.43</v>
      </c>
      <c r="H5627" s="8">
        <v>0</v>
      </c>
      <c r="I5627" s="8">
        <f t="shared" si="251"/>
        <v>-57.510000000003252</v>
      </c>
      <c r="J5627" s="12"/>
    </row>
    <row r="5628" spans="3:10" x14ac:dyDescent="0.25">
      <c r="C5628" s="9"/>
      <c r="D5628" s="10">
        <v>45723</v>
      </c>
      <c r="E5628" t="s">
        <v>7238</v>
      </c>
      <c r="F5628" s="11" t="s">
        <v>7239</v>
      </c>
      <c r="G5628" s="8">
        <v>29.5</v>
      </c>
      <c r="H5628" s="8">
        <v>0</v>
      </c>
      <c r="I5628" s="8">
        <f t="shared" si="251"/>
        <v>-28.010000000003252</v>
      </c>
      <c r="J5628" s="12"/>
    </row>
    <row r="5629" spans="3:10" x14ac:dyDescent="0.25">
      <c r="C5629" s="9"/>
      <c r="D5629" s="10">
        <v>45723</v>
      </c>
      <c r="E5629" t="s">
        <v>7240</v>
      </c>
      <c r="F5629" s="11" t="s">
        <v>7241</v>
      </c>
      <c r="G5629" s="8">
        <v>2.99</v>
      </c>
      <c r="H5629" s="8">
        <v>0</v>
      </c>
      <c r="I5629" s="8">
        <f t="shared" si="251"/>
        <v>-25.02000000000325</v>
      </c>
      <c r="J5629" s="12"/>
    </row>
    <row r="5630" spans="3:10" x14ac:dyDescent="0.25">
      <c r="C5630" s="9"/>
      <c r="D5630" s="10">
        <v>45723</v>
      </c>
      <c r="E5630" t="s">
        <v>7109</v>
      </c>
      <c r="F5630" s="11" t="s">
        <v>42</v>
      </c>
      <c r="G5630" s="8">
        <v>0</v>
      </c>
      <c r="H5630" s="8">
        <v>528.34</v>
      </c>
      <c r="I5630" s="8">
        <f t="shared" si="251"/>
        <v>-553.36000000000331</v>
      </c>
      <c r="J5630" s="12"/>
    </row>
    <row r="5631" spans="3:10" x14ac:dyDescent="0.25">
      <c r="C5631" s="9"/>
      <c r="D5631" s="10">
        <v>45726</v>
      </c>
      <c r="E5631" t="s">
        <v>7242</v>
      </c>
      <c r="F5631" s="11" t="s">
        <v>7243</v>
      </c>
      <c r="G5631" s="8">
        <v>34.9</v>
      </c>
      <c r="H5631" s="8">
        <v>0</v>
      </c>
      <c r="I5631" s="8">
        <f t="shared" si="251"/>
        <v>-518.46000000000333</v>
      </c>
      <c r="J5631" s="12"/>
    </row>
    <row r="5632" spans="3:10" x14ac:dyDescent="0.25">
      <c r="C5632" s="9"/>
      <c r="D5632" s="10">
        <v>45726</v>
      </c>
      <c r="E5632" t="s">
        <v>7244</v>
      </c>
      <c r="F5632" s="11" t="s">
        <v>7245</v>
      </c>
      <c r="G5632" s="8">
        <v>6.59</v>
      </c>
      <c r="H5632" s="8">
        <v>0</v>
      </c>
      <c r="I5632" s="8">
        <f t="shared" si="251"/>
        <v>-511.87000000000336</v>
      </c>
      <c r="J5632" s="12"/>
    </row>
    <row r="5633" spans="3:10" x14ac:dyDescent="0.25">
      <c r="C5633" s="9"/>
      <c r="D5633" s="10">
        <v>45726</v>
      </c>
      <c r="E5633" t="s">
        <v>7246</v>
      </c>
      <c r="F5633" s="11" t="s">
        <v>7247</v>
      </c>
      <c r="G5633" s="8">
        <v>32.78</v>
      </c>
      <c r="H5633" s="8">
        <v>0</v>
      </c>
      <c r="I5633" s="8">
        <f t="shared" si="251"/>
        <v>-479.09000000000333</v>
      </c>
      <c r="J5633" s="12"/>
    </row>
    <row r="5634" spans="3:10" x14ac:dyDescent="0.25">
      <c r="C5634" s="9"/>
      <c r="D5634" s="10">
        <v>45726</v>
      </c>
      <c r="E5634" t="s">
        <v>7248</v>
      </c>
      <c r="F5634" s="11" t="s">
        <v>7249</v>
      </c>
      <c r="G5634" s="8">
        <v>5.41</v>
      </c>
      <c r="H5634" s="8">
        <v>0</v>
      </c>
      <c r="I5634" s="8">
        <f t="shared" si="251"/>
        <v>-473.6800000000033</v>
      </c>
      <c r="J5634" s="12"/>
    </row>
    <row r="5635" spans="3:10" x14ac:dyDescent="0.25">
      <c r="C5635" s="9"/>
      <c r="D5635" s="10">
        <v>45726</v>
      </c>
      <c r="E5635" t="s">
        <v>7248</v>
      </c>
      <c r="F5635" s="11" t="s">
        <v>7249</v>
      </c>
      <c r="G5635" s="8">
        <v>0</v>
      </c>
      <c r="H5635" s="8">
        <v>5.41</v>
      </c>
      <c r="I5635" s="8">
        <f t="shared" si="251"/>
        <v>-479.09000000000333</v>
      </c>
      <c r="J5635" s="12"/>
    </row>
    <row r="5636" spans="3:10" x14ac:dyDescent="0.25">
      <c r="C5636" s="9"/>
      <c r="D5636" s="10">
        <v>45726</v>
      </c>
      <c r="E5636" t="s">
        <v>7250</v>
      </c>
      <c r="F5636" s="11" t="s">
        <v>7251</v>
      </c>
      <c r="G5636" s="8">
        <v>75.02</v>
      </c>
      <c r="H5636" s="8">
        <v>0</v>
      </c>
      <c r="I5636" s="8">
        <f t="shared" si="251"/>
        <v>-404.07000000000335</v>
      </c>
      <c r="J5636" s="12"/>
    </row>
    <row r="5637" spans="3:10" x14ac:dyDescent="0.25">
      <c r="C5637" s="9"/>
      <c r="D5637" s="10">
        <v>45726</v>
      </c>
      <c r="E5637" t="s">
        <v>7252</v>
      </c>
      <c r="F5637" s="11" t="s">
        <v>7253</v>
      </c>
      <c r="G5637" s="8">
        <v>42.74</v>
      </c>
      <c r="H5637" s="8">
        <v>0</v>
      </c>
      <c r="I5637" s="8">
        <f t="shared" si="251"/>
        <v>-361.33000000000334</v>
      </c>
      <c r="J5637" s="12"/>
    </row>
    <row r="5638" spans="3:10" x14ac:dyDescent="0.25">
      <c r="C5638" s="9"/>
      <c r="D5638" s="10">
        <v>45726</v>
      </c>
      <c r="E5638" t="s">
        <v>7254</v>
      </c>
      <c r="F5638" s="11" t="s">
        <v>7255</v>
      </c>
      <c r="G5638" s="8">
        <v>686.03</v>
      </c>
      <c r="H5638" s="8">
        <v>0</v>
      </c>
      <c r="I5638" s="8">
        <f t="shared" si="251"/>
        <v>324.69999999999663</v>
      </c>
      <c r="J5638" s="12"/>
    </row>
    <row r="5639" spans="3:10" x14ac:dyDescent="0.25">
      <c r="C5639" s="9"/>
      <c r="D5639" s="10">
        <v>45726</v>
      </c>
      <c r="E5639" t="s">
        <v>7256</v>
      </c>
      <c r="F5639" s="11" t="s">
        <v>7257</v>
      </c>
      <c r="G5639" s="8">
        <v>23.86</v>
      </c>
      <c r="H5639" s="8">
        <v>0</v>
      </c>
      <c r="I5639" s="8">
        <f t="shared" si="251"/>
        <v>348.55999999999665</v>
      </c>
      <c r="J5639" s="12"/>
    </row>
    <row r="5640" spans="3:10" x14ac:dyDescent="0.25">
      <c r="C5640" s="9"/>
      <c r="D5640" s="10">
        <v>45726</v>
      </c>
      <c r="E5640" t="s">
        <v>7258</v>
      </c>
      <c r="F5640" s="11" t="s">
        <v>7259</v>
      </c>
      <c r="G5640" s="8">
        <v>24.01</v>
      </c>
      <c r="H5640" s="8">
        <v>0</v>
      </c>
      <c r="I5640" s="8">
        <f t="shared" si="251"/>
        <v>372.56999999999664</v>
      </c>
      <c r="J5640" s="12"/>
    </row>
    <row r="5641" spans="3:10" x14ac:dyDescent="0.25">
      <c r="C5641" s="9"/>
      <c r="D5641" s="10">
        <v>45726</v>
      </c>
      <c r="E5641" t="s">
        <v>7260</v>
      </c>
      <c r="F5641" s="11" t="s">
        <v>7261</v>
      </c>
      <c r="G5641" s="8">
        <v>121.59</v>
      </c>
      <c r="H5641" s="8">
        <v>0</v>
      </c>
      <c r="I5641" s="8">
        <f t="shared" si="251"/>
        <v>494.15999999999667</v>
      </c>
      <c r="J5641" s="12"/>
    </row>
    <row r="5642" spans="3:10" x14ac:dyDescent="0.25">
      <c r="C5642" s="9"/>
      <c r="D5642" s="10">
        <v>45726</v>
      </c>
      <c r="E5642" t="s">
        <v>7262</v>
      </c>
      <c r="F5642" s="11" t="s">
        <v>7263</v>
      </c>
      <c r="G5642" s="8">
        <v>71.34</v>
      </c>
      <c r="H5642" s="8">
        <v>0</v>
      </c>
      <c r="I5642" s="8">
        <f t="shared" si="251"/>
        <v>565.4999999999967</v>
      </c>
      <c r="J5642" s="12"/>
    </row>
    <row r="5643" spans="3:10" x14ac:dyDescent="0.25">
      <c r="C5643" s="9"/>
      <c r="D5643" s="10">
        <v>45726</v>
      </c>
      <c r="E5643" t="s">
        <v>7264</v>
      </c>
      <c r="F5643" s="11" t="s">
        <v>7265</v>
      </c>
      <c r="G5643" s="8">
        <v>16.34</v>
      </c>
      <c r="H5643" s="8">
        <v>0</v>
      </c>
      <c r="I5643" s="8">
        <f t="shared" si="251"/>
        <v>581.83999999999673</v>
      </c>
      <c r="J5643" s="12"/>
    </row>
    <row r="5644" spans="3:10" x14ac:dyDescent="0.25">
      <c r="C5644" s="9"/>
      <c r="D5644" s="10">
        <v>45726</v>
      </c>
      <c r="E5644" t="s">
        <v>7266</v>
      </c>
      <c r="F5644" s="11" t="s">
        <v>7267</v>
      </c>
      <c r="G5644" s="8">
        <v>15.32</v>
      </c>
      <c r="H5644" s="8">
        <v>0</v>
      </c>
      <c r="I5644" s="8">
        <f t="shared" si="251"/>
        <v>597.15999999999678</v>
      </c>
      <c r="J5644" s="12"/>
    </row>
    <row r="5645" spans="3:10" x14ac:dyDescent="0.25">
      <c r="C5645" s="9"/>
      <c r="D5645" s="10">
        <v>45726</v>
      </c>
      <c r="E5645" t="s">
        <v>7268</v>
      </c>
      <c r="F5645" s="11" t="s">
        <v>7269</v>
      </c>
      <c r="G5645" s="8">
        <v>11.37</v>
      </c>
      <c r="H5645" s="8">
        <v>0</v>
      </c>
      <c r="I5645" s="8">
        <f t="shared" si="251"/>
        <v>608.52999999999679</v>
      </c>
      <c r="J5645" s="12"/>
    </row>
    <row r="5646" spans="3:10" x14ac:dyDescent="0.25">
      <c r="C5646" s="9"/>
      <c r="D5646" s="10">
        <v>45726</v>
      </c>
      <c r="E5646" t="s">
        <v>7270</v>
      </c>
      <c r="F5646" s="11" t="s">
        <v>7271</v>
      </c>
      <c r="G5646" s="8">
        <v>153</v>
      </c>
      <c r="H5646" s="8">
        <v>0</v>
      </c>
      <c r="I5646" s="8">
        <f t="shared" si="251"/>
        <v>761.52999999999679</v>
      </c>
      <c r="J5646" s="12"/>
    </row>
    <row r="5647" spans="3:10" x14ac:dyDescent="0.25">
      <c r="C5647" s="9"/>
      <c r="D5647" s="10">
        <v>45726</v>
      </c>
      <c r="E5647" t="s">
        <v>7272</v>
      </c>
      <c r="F5647" s="11" t="s">
        <v>7273</v>
      </c>
      <c r="G5647" s="8">
        <v>10.220000000000001</v>
      </c>
      <c r="H5647" s="8">
        <v>0</v>
      </c>
      <c r="I5647" s="8">
        <f t="shared" si="251"/>
        <v>771.74999999999682</v>
      </c>
      <c r="J5647" s="12"/>
    </row>
    <row r="5648" spans="3:10" x14ac:dyDescent="0.25">
      <c r="C5648" s="9"/>
      <c r="D5648" s="10">
        <v>45726</v>
      </c>
      <c r="E5648" t="s">
        <v>7274</v>
      </c>
      <c r="F5648" s="11" t="s">
        <v>7275</v>
      </c>
      <c r="G5648" s="8">
        <v>27.59</v>
      </c>
      <c r="H5648" s="8">
        <v>0</v>
      </c>
      <c r="I5648" s="8">
        <f t="shared" si="251"/>
        <v>799.33999999999685</v>
      </c>
      <c r="J5648" s="12"/>
    </row>
    <row r="5649" spans="3:10" x14ac:dyDescent="0.25">
      <c r="C5649" s="9"/>
      <c r="D5649" s="10">
        <v>45726</v>
      </c>
      <c r="E5649" t="s">
        <v>7276</v>
      </c>
      <c r="F5649" s="11" t="s">
        <v>7277</v>
      </c>
      <c r="G5649" s="8">
        <v>11.77</v>
      </c>
      <c r="H5649" s="8">
        <v>0</v>
      </c>
      <c r="I5649" s="8">
        <f t="shared" si="251"/>
        <v>811.10999999999683</v>
      </c>
      <c r="J5649" s="12"/>
    </row>
    <row r="5650" spans="3:10" x14ac:dyDescent="0.25">
      <c r="C5650" s="9"/>
      <c r="D5650" s="10">
        <v>45726</v>
      </c>
      <c r="E5650" t="s">
        <v>7276</v>
      </c>
      <c r="F5650" s="11" t="s">
        <v>7277</v>
      </c>
      <c r="G5650" s="8">
        <v>0</v>
      </c>
      <c r="H5650" s="8">
        <v>11.77</v>
      </c>
      <c r="I5650" s="8">
        <f t="shared" si="251"/>
        <v>799.33999999999685</v>
      </c>
      <c r="J5650" s="12"/>
    </row>
    <row r="5651" spans="3:10" x14ac:dyDescent="0.25">
      <c r="C5651" s="9"/>
      <c r="D5651" s="10">
        <v>45726</v>
      </c>
      <c r="E5651" t="s">
        <v>7278</v>
      </c>
      <c r="F5651" s="11" t="s">
        <v>7279</v>
      </c>
      <c r="G5651" s="8">
        <v>19.34</v>
      </c>
      <c r="H5651" s="8">
        <v>0</v>
      </c>
      <c r="I5651" s="8">
        <f t="shared" si="251"/>
        <v>818.67999999999688</v>
      </c>
      <c r="J5651" s="12"/>
    </row>
    <row r="5652" spans="3:10" x14ac:dyDescent="0.25">
      <c r="C5652" s="9"/>
      <c r="D5652" s="10">
        <v>45726</v>
      </c>
      <c r="E5652" t="s">
        <v>7280</v>
      </c>
      <c r="F5652" s="11" t="s">
        <v>7281</v>
      </c>
      <c r="G5652" s="8">
        <v>24.55</v>
      </c>
      <c r="H5652" s="8">
        <v>0</v>
      </c>
      <c r="I5652" s="8">
        <f t="shared" si="251"/>
        <v>843.22999999999683</v>
      </c>
      <c r="J5652" s="12"/>
    </row>
    <row r="5653" spans="3:10" x14ac:dyDescent="0.25">
      <c r="C5653" s="9"/>
      <c r="D5653" s="10">
        <v>45726</v>
      </c>
      <c r="E5653" t="s">
        <v>7109</v>
      </c>
      <c r="F5653" s="11" t="s">
        <v>42</v>
      </c>
      <c r="G5653" s="8">
        <v>0</v>
      </c>
      <c r="H5653" s="8">
        <v>950.57</v>
      </c>
      <c r="I5653" s="8">
        <f t="shared" si="251"/>
        <v>-107.34000000000322</v>
      </c>
      <c r="J5653" s="12"/>
    </row>
    <row r="5654" spans="3:10" x14ac:dyDescent="0.25">
      <c r="C5654" s="9"/>
      <c r="D5654" s="10">
        <v>45727</v>
      </c>
      <c r="E5654" t="s">
        <v>7282</v>
      </c>
      <c r="F5654" s="11" t="s">
        <v>7283</v>
      </c>
      <c r="G5654" s="8">
        <v>60.17</v>
      </c>
      <c r="H5654" s="8">
        <v>0</v>
      </c>
      <c r="I5654" s="8">
        <f t="shared" si="251"/>
        <v>-47.170000000003213</v>
      </c>
      <c r="J5654" s="12"/>
    </row>
    <row r="5655" spans="3:10" x14ac:dyDescent="0.25">
      <c r="C5655" s="9"/>
      <c r="D5655" s="10">
        <v>45727</v>
      </c>
      <c r="E5655" t="s">
        <v>7284</v>
      </c>
      <c r="F5655" s="11" t="s">
        <v>7285</v>
      </c>
      <c r="G5655" s="8">
        <v>29.04</v>
      </c>
      <c r="H5655" s="8">
        <v>0</v>
      </c>
      <c r="I5655" s="8">
        <f t="shared" si="251"/>
        <v>-18.130000000003214</v>
      </c>
      <c r="J5655" s="12"/>
    </row>
    <row r="5656" spans="3:10" x14ac:dyDescent="0.25">
      <c r="C5656" s="9"/>
      <c r="D5656" s="10">
        <v>45727</v>
      </c>
      <c r="E5656" t="s">
        <v>7284</v>
      </c>
      <c r="F5656" s="11" t="s">
        <v>7285</v>
      </c>
      <c r="G5656" s="8">
        <v>0</v>
      </c>
      <c r="H5656" s="8">
        <v>29.04</v>
      </c>
      <c r="I5656" s="8">
        <f t="shared" si="251"/>
        <v>-47.170000000003213</v>
      </c>
      <c r="J5656" s="12"/>
    </row>
    <row r="5657" spans="3:10" x14ac:dyDescent="0.25">
      <c r="C5657" s="9"/>
      <c r="D5657" s="10">
        <v>45727</v>
      </c>
      <c r="E5657" t="s">
        <v>7286</v>
      </c>
      <c r="F5657" s="11" t="s">
        <v>7287</v>
      </c>
      <c r="G5657" s="8">
        <v>28.06</v>
      </c>
      <c r="H5657" s="8">
        <v>0</v>
      </c>
      <c r="I5657" s="8">
        <f t="shared" si="251"/>
        <v>-19.110000000003215</v>
      </c>
      <c r="J5657" s="12"/>
    </row>
    <row r="5658" spans="3:10" x14ac:dyDescent="0.25">
      <c r="C5658" s="9"/>
      <c r="D5658" s="10">
        <v>45727</v>
      </c>
      <c r="E5658" t="s">
        <v>7288</v>
      </c>
      <c r="F5658" s="11" t="s">
        <v>7289</v>
      </c>
      <c r="G5658" s="8">
        <v>40.950000000000003</v>
      </c>
      <c r="H5658" s="8">
        <v>0</v>
      </c>
      <c r="I5658" s="8">
        <f t="shared" si="251"/>
        <v>21.839999999996788</v>
      </c>
      <c r="J5658" s="12"/>
    </row>
    <row r="5659" spans="3:10" x14ac:dyDescent="0.25">
      <c r="C5659" s="9"/>
      <c r="D5659" s="10">
        <v>45727</v>
      </c>
      <c r="E5659" t="s">
        <v>7290</v>
      </c>
      <c r="F5659" s="11" t="s">
        <v>7291</v>
      </c>
      <c r="G5659" s="8">
        <v>70.680000000000007</v>
      </c>
      <c r="H5659" s="8">
        <v>0</v>
      </c>
      <c r="I5659" s="8">
        <f t="shared" si="251"/>
        <v>92.519999999996799</v>
      </c>
      <c r="J5659" s="12"/>
    </row>
    <row r="5660" spans="3:10" x14ac:dyDescent="0.25">
      <c r="C5660" s="9"/>
      <c r="D5660" s="10">
        <v>45727</v>
      </c>
      <c r="E5660" t="s">
        <v>7292</v>
      </c>
      <c r="F5660" s="11" t="s">
        <v>7293</v>
      </c>
      <c r="G5660" s="8">
        <v>54.04</v>
      </c>
      <c r="H5660" s="8">
        <v>0</v>
      </c>
      <c r="I5660" s="8">
        <f t="shared" ref="I5660:I5723" si="252">G5660-H5660+I5659</f>
        <v>146.55999999999679</v>
      </c>
      <c r="J5660" s="12"/>
    </row>
    <row r="5661" spans="3:10" x14ac:dyDescent="0.25">
      <c r="C5661" s="9"/>
      <c r="D5661" s="10">
        <v>45727</v>
      </c>
      <c r="E5661" t="s">
        <v>7292</v>
      </c>
      <c r="F5661" s="11" t="s">
        <v>7293</v>
      </c>
      <c r="G5661" s="8">
        <v>0</v>
      </c>
      <c r="H5661" s="8">
        <v>54.04</v>
      </c>
      <c r="I5661" s="8">
        <f t="shared" si="252"/>
        <v>92.519999999996799</v>
      </c>
      <c r="J5661" s="12"/>
    </row>
    <row r="5662" spans="3:10" x14ac:dyDescent="0.25">
      <c r="C5662" s="9"/>
      <c r="D5662" s="10">
        <v>45727</v>
      </c>
      <c r="E5662" t="s">
        <v>7294</v>
      </c>
      <c r="F5662" s="11" t="s">
        <v>7295</v>
      </c>
      <c r="G5662" s="8">
        <v>2.4700000000000002</v>
      </c>
      <c r="H5662" s="8">
        <v>0</v>
      </c>
      <c r="I5662" s="8">
        <f t="shared" si="252"/>
        <v>94.989999999996797</v>
      </c>
      <c r="J5662" s="12"/>
    </row>
    <row r="5663" spans="3:10" x14ac:dyDescent="0.25">
      <c r="C5663" s="9"/>
      <c r="D5663" s="10">
        <v>45727</v>
      </c>
      <c r="E5663" t="s">
        <v>7296</v>
      </c>
      <c r="F5663" s="11" t="s">
        <v>7297</v>
      </c>
      <c r="G5663" s="8">
        <v>46.03</v>
      </c>
      <c r="H5663" s="8">
        <v>0</v>
      </c>
      <c r="I5663" s="8">
        <f t="shared" si="252"/>
        <v>141.0199999999968</v>
      </c>
      <c r="J5663" s="12"/>
    </row>
    <row r="5664" spans="3:10" x14ac:dyDescent="0.25">
      <c r="C5664" s="9"/>
      <c r="D5664" s="10">
        <v>45727</v>
      </c>
      <c r="E5664" t="s">
        <v>7296</v>
      </c>
      <c r="F5664" s="11" t="s">
        <v>7297</v>
      </c>
      <c r="G5664" s="8">
        <v>0</v>
      </c>
      <c r="H5664" s="8">
        <v>46.03</v>
      </c>
      <c r="I5664" s="8">
        <f t="shared" si="252"/>
        <v>94.989999999996797</v>
      </c>
      <c r="J5664" s="12"/>
    </row>
    <row r="5665" spans="3:10" x14ac:dyDescent="0.25">
      <c r="C5665" s="9"/>
      <c r="D5665" s="10">
        <v>45727</v>
      </c>
      <c r="E5665" t="s">
        <v>7298</v>
      </c>
      <c r="F5665" s="11" t="s">
        <v>7299</v>
      </c>
      <c r="G5665" s="8">
        <v>10.84</v>
      </c>
      <c r="H5665" s="8">
        <v>0</v>
      </c>
      <c r="I5665" s="8">
        <f t="shared" si="252"/>
        <v>105.8299999999968</v>
      </c>
      <c r="J5665" s="12"/>
    </row>
    <row r="5666" spans="3:10" x14ac:dyDescent="0.25">
      <c r="C5666" s="9"/>
      <c r="D5666" s="10">
        <v>45727</v>
      </c>
      <c r="E5666" t="s">
        <v>7298</v>
      </c>
      <c r="F5666" s="11" t="s">
        <v>7299</v>
      </c>
      <c r="G5666" s="8">
        <v>0</v>
      </c>
      <c r="H5666" s="8">
        <v>10.84</v>
      </c>
      <c r="I5666" s="8">
        <f t="shared" si="252"/>
        <v>94.989999999996797</v>
      </c>
      <c r="J5666" s="12"/>
    </row>
    <row r="5667" spans="3:10" x14ac:dyDescent="0.25">
      <c r="C5667" s="9"/>
      <c r="D5667" s="10">
        <v>45727</v>
      </c>
      <c r="E5667" t="s">
        <v>7300</v>
      </c>
      <c r="F5667" s="11" t="s">
        <v>7301</v>
      </c>
      <c r="G5667" s="8">
        <v>7.5</v>
      </c>
      <c r="H5667" s="8">
        <v>0</v>
      </c>
      <c r="I5667" s="8">
        <f t="shared" si="252"/>
        <v>102.4899999999968</v>
      </c>
      <c r="J5667" s="12"/>
    </row>
    <row r="5668" spans="3:10" x14ac:dyDescent="0.25">
      <c r="C5668" s="9"/>
      <c r="D5668" s="10">
        <v>45727</v>
      </c>
      <c r="E5668" t="s">
        <v>7302</v>
      </c>
      <c r="F5668" s="11" t="s">
        <v>7303</v>
      </c>
      <c r="G5668" s="8">
        <v>-11.99</v>
      </c>
      <c r="H5668" s="8">
        <v>0</v>
      </c>
      <c r="I5668" s="8">
        <f t="shared" si="252"/>
        <v>90.499999999996803</v>
      </c>
      <c r="J5668" s="12"/>
    </row>
    <row r="5669" spans="3:10" x14ac:dyDescent="0.25">
      <c r="C5669" s="9"/>
      <c r="D5669" s="10">
        <v>45727</v>
      </c>
      <c r="E5669" t="s">
        <v>7302</v>
      </c>
      <c r="F5669" s="11" t="s">
        <v>7303</v>
      </c>
      <c r="G5669" s="8">
        <v>0</v>
      </c>
      <c r="H5669" s="8">
        <v>-11.99</v>
      </c>
      <c r="I5669" s="8">
        <f t="shared" si="252"/>
        <v>102.4899999999968</v>
      </c>
      <c r="J5669" s="12"/>
    </row>
    <row r="5670" spans="3:10" x14ac:dyDescent="0.25">
      <c r="C5670" s="9"/>
      <c r="D5670" s="10">
        <v>45727</v>
      </c>
      <c r="E5670" t="s">
        <v>7304</v>
      </c>
      <c r="F5670" s="11" t="s">
        <v>7305</v>
      </c>
      <c r="G5670" s="8">
        <v>13.79</v>
      </c>
      <c r="H5670" s="8">
        <v>0</v>
      </c>
      <c r="I5670" s="8">
        <f t="shared" si="252"/>
        <v>116.27999999999679</v>
      </c>
      <c r="J5670" s="12"/>
    </row>
    <row r="5671" spans="3:10" x14ac:dyDescent="0.25">
      <c r="C5671" s="9"/>
      <c r="D5671" s="10">
        <v>45727</v>
      </c>
      <c r="E5671" t="s">
        <v>7306</v>
      </c>
      <c r="F5671" s="11" t="s">
        <v>7307</v>
      </c>
      <c r="G5671" s="8">
        <v>1.78</v>
      </c>
      <c r="H5671" s="8">
        <v>0</v>
      </c>
      <c r="I5671" s="8">
        <f t="shared" si="252"/>
        <v>118.05999999999679</v>
      </c>
      <c r="J5671" s="12"/>
    </row>
    <row r="5672" spans="3:10" x14ac:dyDescent="0.25">
      <c r="C5672" s="9"/>
      <c r="D5672" s="10">
        <v>45727</v>
      </c>
      <c r="E5672" t="s">
        <v>7308</v>
      </c>
      <c r="F5672" s="11" t="s">
        <v>7309</v>
      </c>
      <c r="G5672" s="8">
        <v>2.08</v>
      </c>
      <c r="H5672" s="8">
        <v>0</v>
      </c>
      <c r="I5672" s="8">
        <f t="shared" si="252"/>
        <v>120.13999999999679</v>
      </c>
      <c r="J5672" s="12"/>
    </row>
    <row r="5673" spans="3:10" x14ac:dyDescent="0.25">
      <c r="C5673" s="9"/>
      <c r="D5673" s="10">
        <v>45727</v>
      </c>
      <c r="E5673" t="s">
        <v>7308</v>
      </c>
      <c r="F5673" s="11" t="s">
        <v>7309</v>
      </c>
      <c r="G5673" s="8">
        <v>0</v>
      </c>
      <c r="H5673" s="8">
        <v>2.08</v>
      </c>
      <c r="I5673" s="8">
        <f t="shared" si="252"/>
        <v>118.05999999999679</v>
      </c>
      <c r="J5673" s="12"/>
    </row>
    <row r="5674" spans="3:10" x14ac:dyDescent="0.25">
      <c r="C5674" s="9"/>
      <c r="D5674" s="10">
        <v>45727</v>
      </c>
      <c r="E5674" t="s">
        <v>7310</v>
      </c>
      <c r="F5674" s="11" t="s">
        <v>7311</v>
      </c>
      <c r="G5674" s="8">
        <v>55.6</v>
      </c>
      <c r="H5674" s="8">
        <v>0</v>
      </c>
      <c r="I5674" s="8">
        <f t="shared" si="252"/>
        <v>173.65999999999678</v>
      </c>
      <c r="J5674" s="12"/>
    </row>
    <row r="5675" spans="3:10" x14ac:dyDescent="0.25">
      <c r="C5675" s="9"/>
      <c r="D5675" s="10">
        <v>45727</v>
      </c>
      <c r="E5675" t="s">
        <v>7312</v>
      </c>
      <c r="F5675" s="11" t="s">
        <v>7313</v>
      </c>
      <c r="G5675" s="8">
        <v>4.49</v>
      </c>
      <c r="H5675" s="8">
        <v>0</v>
      </c>
      <c r="I5675" s="8">
        <f t="shared" si="252"/>
        <v>178.14999999999679</v>
      </c>
      <c r="J5675" s="12"/>
    </row>
    <row r="5676" spans="3:10" x14ac:dyDescent="0.25">
      <c r="C5676" s="9"/>
      <c r="D5676" s="10">
        <v>45727</v>
      </c>
      <c r="E5676" t="s">
        <v>7314</v>
      </c>
      <c r="F5676" s="11" t="s">
        <v>7315</v>
      </c>
      <c r="G5676" s="8">
        <v>40.15</v>
      </c>
      <c r="H5676" s="8">
        <v>0</v>
      </c>
      <c r="I5676" s="8">
        <f t="shared" si="252"/>
        <v>218.2999999999968</v>
      </c>
      <c r="J5676" s="12"/>
    </row>
    <row r="5677" spans="3:10" x14ac:dyDescent="0.25">
      <c r="C5677" s="9"/>
      <c r="D5677" s="10">
        <v>45727</v>
      </c>
      <c r="E5677" t="s">
        <v>7316</v>
      </c>
      <c r="F5677" s="11" t="s">
        <v>7317</v>
      </c>
      <c r="G5677" s="8">
        <v>321.27999999999997</v>
      </c>
      <c r="H5677" s="8">
        <v>0</v>
      </c>
      <c r="I5677" s="8">
        <f t="shared" si="252"/>
        <v>539.57999999999674</v>
      </c>
      <c r="J5677" s="12"/>
    </row>
    <row r="5678" spans="3:10" x14ac:dyDescent="0.25">
      <c r="C5678" s="9"/>
      <c r="D5678" s="10">
        <v>45727</v>
      </c>
      <c r="E5678" t="s">
        <v>7318</v>
      </c>
      <c r="F5678" s="11" t="s">
        <v>7319</v>
      </c>
      <c r="G5678" s="8">
        <v>139.15</v>
      </c>
      <c r="H5678" s="8">
        <v>0</v>
      </c>
      <c r="I5678" s="8">
        <f t="shared" si="252"/>
        <v>678.72999999999672</v>
      </c>
      <c r="J5678" s="12"/>
    </row>
    <row r="5679" spans="3:10" x14ac:dyDescent="0.25">
      <c r="C5679" s="9"/>
      <c r="D5679" s="10">
        <v>45727</v>
      </c>
      <c r="E5679" t="s">
        <v>7320</v>
      </c>
      <c r="F5679" s="11" t="s">
        <v>7321</v>
      </c>
      <c r="G5679" s="8">
        <v>6.62</v>
      </c>
      <c r="H5679" s="8">
        <v>0</v>
      </c>
      <c r="I5679" s="8">
        <f t="shared" si="252"/>
        <v>685.34999999999673</v>
      </c>
      <c r="J5679" s="12"/>
    </row>
    <row r="5680" spans="3:10" x14ac:dyDescent="0.25">
      <c r="C5680" s="9"/>
      <c r="D5680" s="10">
        <v>45727</v>
      </c>
      <c r="E5680" t="s">
        <v>7322</v>
      </c>
      <c r="F5680" s="11" t="s">
        <v>7323</v>
      </c>
      <c r="G5680" s="8">
        <v>29.63</v>
      </c>
      <c r="H5680" s="8">
        <v>0</v>
      </c>
      <c r="I5680" s="8">
        <f t="shared" si="252"/>
        <v>714.97999999999672</v>
      </c>
      <c r="J5680" s="12"/>
    </row>
    <row r="5681" spans="3:10" x14ac:dyDescent="0.25">
      <c r="C5681" s="9"/>
      <c r="D5681" s="10">
        <v>45727</v>
      </c>
      <c r="E5681" t="s">
        <v>7324</v>
      </c>
      <c r="F5681" s="11" t="s">
        <v>7325</v>
      </c>
      <c r="G5681" s="8">
        <v>21.72</v>
      </c>
      <c r="H5681" s="8">
        <v>0</v>
      </c>
      <c r="I5681" s="8">
        <f t="shared" si="252"/>
        <v>736.69999999999675</v>
      </c>
      <c r="J5681" s="12"/>
    </row>
    <row r="5682" spans="3:10" x14ac:dyDescent="0.25">
      <c r="C5682" s="9"/>
      <c r="D5682" s="10">
        <v>45727</v>
      </c>
      <c r="E5682" t="s">
        <v>7324</v>
      </c>
      <c r="F5682" s="11" t="s">
        <v>7325</v>
      </c>
      <c r="G5682" s="8">
        <v>0</v>
      </c>
      <c r="H5682" s="8">
        <v>21.72</v>
      </c>
      <c r="I5682" s="8">
        <f t="shared" si="252"/>
        <v>714.97999999999672</v>
      </c>
      <c r="J5682" s="12"/>
    </row>
    <row r="5683" spans="3:10" x14ac:dyDescent="0.25">
      <c r="C5683" s="9"/>
      <c r="D5683" s="10">
        <v>45727</v>
      </c>
      <c r="E5683" t="s">
        <v>7109</v>
      </c>
      <c r="F5683" s="11" t="s">
        <v>42</v>
      </c>
      <c r="G5683" s="8">
        <v>0</v>
      </c>
      <c r="H5683" s="8">
        <v>1384.44</v>
      </c>
      <c r="I5683" s="8">
        <f t="shared" si="252"/>
        <v>-669.46000000000333</v>
      </c>
      <c r="J5683" s="12"/>
    </row>
    <row r="5684" spans="3:10" x14ac:dyDescent="0.25">
      <c r="C5684" s="9"/>
      <c r="D5684" s="10">
        <v>45728</v>
      </c>
      <c r="E5684" t="s">
        <v>7326</v>
      </c>
      <c r="F5684" s="11" t="s">
        <v>7327</v>
      </c>
      <c r="G5684" s="8">
        <v>43.31</v>
      </c>
      <c r="H5684" s="8">
        <v>0</v>
      </c>
      <c r="I5684" s="8">
        <f t="shared" si="252"/>
        <v>-626.15000000000327</v>
      </c>
      <c r="J5684" s="12"/>
    </row>
    <row r="5685" spans="3:10" x14ac:dyDescent="0.25">
      <c r="C5685" s="9"/>
      <c r="D5685" s="10">
        <v>45728</v>
      </c>
      <c r="E5685" t="s">
        <v>7328</v>
      </c>
      <c r="F5685" s="11" t="s">
        <v>7329</v>
      </c>
      <c r="G5685" s="8">
        <v>65.64</v>
      </c>
      <c r="H5685" s="8">
        <v>0</v>
      </c>
      <c r="I5685" s="8">
        <f t="shared" si="252"/>
        <v>-560.51000000000329</v>
      </c>
      <c r="J5685" s="12"/>
    </row>
    <row r="5686" spans="3:10" x14ac:dyDescent="0.25">
      <c r="C5686" s="9"/>
      <c r="D5686" s="10">
        <v>45728</v>
      </c>
      <c r="E5686" t="s">
        <v>7328</v>
      </c>
      <c r="F5686" s="11" t="s">
        <v>7329</v>
      </c>
      <c r="G5686" s="8">
        <v>0</v>
      </c>
      <c r="H5686" s="8">
        <v>65.64</v>
      </c>
      <c r="I5686" s="8">
        <f t="shared" si="252"/>
        <v>-626.15000000000327</v>
      </c>
      <c r="J5686" s="12"/>
    </row>
    <row r="5687" spans="3:10" x14ac:dyDescent="0.25">
      <c r="C5687" s="9"/>
      <c r="D5687" s="10">
        <v>45728</v>
      </c>
      <c r="E5687" t="s">
        <v>7330</v>
      </c>
      <c r="F5687" s="11" t="s">
        <v>7331</v>
      </c>
      <c r="G5687" s="8">
        <v>35.82</v>
      </c>
      <c r="H5687" s="8">
        <v>0</v>
      </c>
      <c r="I5687" s="8">
        <f t="shared" si="252"/>
        <v>-590.33000000000322</v>
      </c>
      <c r="J5687" s="12"/>
    </row>
    <row r="5688" spans="3:10" x14ac:dyDescent="0.25">
      <c r="C5688" s="9"/>
      <c r="D5688" s="10">
        <v>45728</v>
      </c>
      <c r="E5688" t="s">
        <v>7330</v>
      </c>
      <c r="F5688" s="11" t="s">
        <v>7331</v>
      </c>
      <c r="G5688" s="8">
        <v>0</v>
      </c>
      <c r="H5688" s="8">
        <v>35.82</v>
      </c>
      <c r="I5688" s="8">
        <f t="shared" si="252"/>
        <v>-626.15000000000327</v>
      </c>
      <c r="J5688" s="12"/>
    </row>
    <row r="5689" spans="3:10" x14ac:dyDescent="0.25">
      <c r="C5689" s="9"/>
      <c r="D5689" s="10">
        <v>45728</v>
      </c>
      <c r="E5689" t="s">
        <v>7332</v>
      </c>
      <c r="F5689" s="11" t="s">
        <v>7333</v>
      </c>
      <c r="G5689" s="8">
        <v>3.98</v>
      </c>
      <c r="H5689" s="8">
        <v>0</v>
      </c>
      <c r="I5689" s="8">
        <f t="shared" si="252"/>
        <v>-622.17000000000326</v>
      </c>
      <c r="J5689" s="12"/>
    </row>
    <row r="5690" spans="3:10" x14ac:dyDescent="0.25">
      <c r="C5690" s="9"/>
      <c r="D5690" s="10">
        <v>45728</v>
      </c>
      <c r="E5690" t="s">
        <v>7332</v>
      </c>
      <c r="F5690" s="11" t="s">
        <v>7333</v>
      </c>
      <c r="G5690" s="8">
        <v>0</v>
      </c>
      <c r="H5690" s="8">
        <v>3.98</v>
      </c>
      <c r="I5690" s="8">
        <f t="shared" si="252"/>
        <v>-626.15000000000327</v>
      </c>
      <c r="J5690" s="12"/>
    </row>
    <row r="5691" spans="3:10" x14ac:dyDescent="0.25">
      <c r="C5691" s="9"/>
      <c r="D5691" s="10">
        <v>45728</v>
      </c>
      <c r="E5691" t="s">
        <v>7334</v>
      </c>
      <c r="F5691" s="11" t="s">
        <v>7335</v>
      </c>
      <c r="G5691" s="8">
        <v>53.72</v>
      </c>
      <c r="H5691" s="8">
        <v>0</v>
      </c>
      <c r="I5691" s="8">
        <f t="shared" si="252"/>
        <v>-572.43000000000325</v>
      </c>
      <c r="J5691" s="12"/>
    </row>
    <row r="5692" spans="3:10" x14ac:dyDescent="0.25">
      <c r="C5692" s="9"/>
      <c r="D5692" s="10">
        <v>45728</v>
      </c>
      <c r="E5692" t="s">
        <v>7334</v>
      </c>
      <c r="F5692" s="11" t="s">
        <v>7335</v>
      </c>
      <c r="G5692" s="8">
        <v>0</v>
      </c>
      <c r="H5692" s="8">
        <v>53.72</v>
      </c>
      <c r="I5692" s="8">
        <f t="shared" si="252"/>
        <v>-626.15000000000327</v>
      </c>
      <c r="J5692" s="12"/>
    </row>
    <row r="5693" spans="3:10" x14ac:dyDescent="0.25">
      <c r="C5693" s="9"/>
      <c r="D5693" s="10">
        <v>45728</v>
      </c>
      <c r="E5693" t="s">
        <v>7336</v>
      </c>
      <c r="F5693" s="11" t="s">
        <v>7337</v>
      </c>
      <c r="G5693" s="8">
        <v>57.09</v>
      </c>
      <c r="H5693" s="8">
        <v>0</v>
      </c>
      <c r="I5693" s="8">
        <f t="shared" si="252"/>
        <v>-569.06000000000324</v>
      </c>
      <c r="J5693" s="12"/>
    </row>
    <row r="5694" spans="3:10" x14ac:dyDescent="0.25">
      <c r="C5694" s="9"/>
      <c r="D5694" s="10">
        <v>45728</v>
      </c>
      <c r="E5694" t="s">
        <v>7338</v>
      </c>
      <c r="F5694" s="11" t="s">
        <v>7339</v>
      </c>
      <c r="G5694" s="8">
        <v>12.1</v>
      </c>
      <c r="H5694" s="8">
        <v>0</v>
      </c>
      <c r="I5694" s="8">
        <f t="shared" si="252"/>
        <v>-556.96000000000322</v>
      </c>
      <c r="J5694" s="12"/>
    </row>
    <row r="5695" spans="3:10" x14ac:dyDescent="0.25">
      <c r="C5695" s="9"/>
      <c r="D5695" s="10">
        <v>45728</v>
      </c>
      <c r="E5695" t="s">
        <v>7340</v>
      </c>
      <c r="F5695" s="11" t="s">
        <v>7341</v>
      </c>
      <c r="G5695" s="8">
        <v>32.729999999999997</v>
      </c>
      <c r="H5695" s="8">
        <v>0</v>
      </c>
      <c r="I5695" s="8">
        <f t="shared" si="252"/>
        <v>-524.2300000000032</v>
      </c>
      <c r="J5695" s="12"/>
    </row>
    <row r="5696" spans="3:10" x14ac:dyDescent="0.25">
      <c r="C5696" s="9"/>
      <c r="D5696" s="10">
        <v>45728</v>
      </c>
      <c r="E5696" t="s">
        <v>7342</v>
      </c>
      <c r="F5696" s="11" t="s">
        <v>7343</v>
      </c>
      <c r="G5696" s="8">
        <v>3.09</v>
      </c>
      <c r="H5696" s="8">
        <v>0</v>
      </c>
      <c r="I5696" s="8">
        <f t="shared" si="252"/>
        <v>-521.14000000000317</v>
      </c>
      <c r="J5696" s="12"/>
    </row>
    <row r="5697" spans="3:10" x14ac:dyDescent="0.25">
      <c r="C5697" s="9"/>
      <c r="D5697" s="10">
        <v>45728</v>
      </c>
      <c r="E5697" t="s">
        <v>7342</v>
      </c>
      <c r="F5697" s="11" t="s">
        <v>7343</v>
      </c>
      <c r="G5697" s="8">
        <v>0</v>
      </c>
      <c r="H5697" s="8">
        <v>3.09</v>
      </c>
      <c r="I5697" s="8">
        <f t="shared" si="252"/>
        <v>-524.2300000000032</v>
      </c>
      <c r="J5697" s="12"/>
    </row>
    <row r="5698" spans="3:10" x14ac:dyDescent="0.25">
      <c r="C5698" s="9"/>
      <c r="D5698" s="10">
        <v>45728</v>
      </c>
      <c r="E5698" t="s">
        <v>7344</v>
      </c>
      <c r="F5698" s="11" t="s">
        <v>7345</v>
      </c>
      <c r="G5698" s="8">
        <v>1.84</v>
      </c>
      <c r="H5698" s="8">
        <v>0</v>
      </c>
      <c r="I5698" s="8">
        <f t="shared" si="252"/>
        <v>-522.39000000000317</v>
      </c>
      <c r="J5698" s="12"/>
    </row>
    <row r="5699" spans="3:10" x14ac:dyDescent="0.25">
      <c r="C5699" s="9"/>
      <c r="D5699" s="10">
        <v>45728</v>
      </c>
      <c r="E5699" t="s">
        <v>7346</v>
      </c>
      <c r="F5699" s="11" t="s">
        <v>7347</v>
      </c>
      <c r="G5699" s="8">
        <v>8.2200000000000006</v>
      </c>
      <c r="H5699" s="8">
        <v>0</v>
      </c>
      <c r="I5699" s="8">
        <f t="shared" si="252"/>
        <v>-514.17000000000314</v>
      </c>
      <c r="J5699" s="12"/>
    </row>
    <row r="5700" spans="3:10" x14ac:dyDescent="0.25">
      <c r="C5700" s="9"/>
      <c r="D5700" s="10">
        <v>45728</v>
      </c>
      <c r="E5700" t="s">
        <v>7348</v>
      </c>
      <c r="F5700" s="11" t="s">
        <v>7349</v>
      </c>
      <c r="G5700" s="8">
        <v>1.33</v>
      </c>
      <c r="H5700" s="8">
        <v>0</v>
      </c>
      <c r="I5700" s="8">
        <f t="shared" si="252"/>
        <v>-512.8400000000031</v>
      </c>
      <c r="J5700" s="12"/>
    </row>
    <row r="5701" spans="3:10" x14ac:dyDescent="0.25">
      <c r="C5701" s="9"/>
      <c r="D5701" s="10">
        <v>45728</v>
      </c>
      <c r="E5701" t="s">
        <v>7350</v>
      </c>
      <c r="F5701" s="11" t="s">
        <v>7351</v>
      </c>
      <c r="G5701" s="8">
        <v>29.98</v>
      </c>
      <c r="H5701" s="8">
        <v>0</v>
      </c>
      <c r="I5701" s="8">
        <f t="shared" si="252"/>
        <v>-482.86000000000308</v>
      </c>
      <c r="J5701" s="12"/>
    </row>
    <row r="5702" spans="3:10" x14ac:dyDescent="0.25">
      <c r="C5702" s="9"/>
      <c r="D5702" s="10">
        <v>45728</v>
      </c>
      <c r="E5702" t="s">
        <v>7352</v>
      </c>
      <c r="F5702" s="11" t="s">
        <v>7353</v>
      </c>
      <c r="G5702" s="8">
        <v>97.18</v>
      </c>
      <c r="H5702" s="8">
        <v>0</v>
      </c>
      <c r="I5702" s="8">
        <f t="shared" si="252"/>
        <v>-385.68000000000308</v>
      </c>
      <c r="J5702" s="12"/>
    </row>
    <row r="5703" spans="3:10" x14ac:dyDescent="0.25">
      <c r="C5703" s="9"/>
      <c r="D5703" s="10">
        <v>45728</v>
      </c>
      <c r="E5703" t="s">
        <v>7352</v>
      </c>
      <c r="F5703" s="11" t="s">
        <v>7353</v>
      </c>
      <c r="G5703" s="8">
        <v>0</v>
      </c>
      <c r="H5703" s="8">
        <v>97.18</v>
      </c>
      <c r="I5703" s="8">
        <f t="shared" si="252"/>
        <v>-482.86000000000308</v>
      </c>
      <c r="J5703" s="12"/>
    </row>
    <row r="5704" spans="3:10" x14ac:dyDescent="0.25">
      <c r="C5704" s="9"/>
      <c r="D5704" s="10">
        <v>45728</v>
      </c>
      <c r="E5704" t="s">
        <v>7354</v>
      </c>
      <c r="F5704" s="11" t="s">
        <v>7355</v>
      </c>
      <c r="G5704" s="8">
        <v>81.489999999999995</v>
      </c>
      <c r="H5704" s="8">
        <v>0</v>
      </c>
      <c r="I5704" s="8">
        <f t="shared" si="252"/>
        <v>-401.37000000000307</v>
      </c>
      <c r="J5704" s="12"/>
    </row>
    <row r="5705" spans="3:10" x14ac:dyDescent="0.25">
      <c r="C5705" s="9"/>
      <c r="D5705" s="10">
        <v>45728</v>
      </c>
      <c r="E5705" t="s">
        <v>7356</v>
      </c>
      <c r="F5705" s="11" t="s">
        <v>7357</v>
      </c>
      <c r="G5705" s="8">
        <v>12.17</v>
      </c>
      <c r="H5705" s="8">
        <v>0</v>
      </c>
      <c r="I5705" s="8">
        <f t="shared" si="252"/>
        <v>-389.20000000000306</v>
      </c>
      <c r="J5705" s="12"/>
    </row>
    <row r="5706" spans="3:10" x14ac:dyDescent="0.25">
      <c r="C5706" s="9"/>
      <c r="D5706" s="10">
        <v>45728</v>
      </c>
      <c r="E5706" t="s">
        <v>7358</v>
      </c>
      <c r="F5706" s="11" t="s">
        <v>7359</v>
      </c>
      <c r="G5706" s="8">
        <v>5.6</v>
      </c>
      <c r="H5706" s="8">
        <v>0</v>
      </c>
      <c r="I5706" s="8">
        <f t="shared" si="252"/>
        <v>-383.60000000000304</v>
      </c>
      <c r="J5706" s="12"/>
    </row>
    <row r="5707" spans="3:10" x14ac:dyDescent="0.25">
      <c r="C5707" s="9"/>
      <c r="D5707" s="10">
        <v>45728</v>
      </c>
      <c r="E5707" t="s">
        <v>7360</v>
      </c>
      <c r="F5707" s="11" t="s">
        <v>7361</v>
      </c>
      <c r="G5707" s="8">
        <v>48.35</v>
      </c>
      <c r="H5707" s="8">
        <v>0</v>
      </c>
      <c r="I5707" s="8">
        <f t="shared" si="252"/>
        <v>-335.25000000000301</v>
      </c>
      <c r="J5707" s="12"/>
    </row>
    <row r="5708" spans="3:10" x14ac:dyDescent="0.25">
      <c r="C5708" s="9"/>
      <c r="D5708" s="10">
        <v>45728</v>
      </c>
      <c r="E5708" t="s">
        <v>7362</v>
      </c>
      <c r="F5708" s="11" t="s">
        <v>7363</v>
      </c>
      <c r="G5708" s="8">
        <v>19.87</v>
      </c>
      <c r="H5708" s="8">
        <v>0</v>
      </c>
      <c r="I5708" s="8">
        <f t="shared" si="252"/>
        <v>-315.38000000000301</v>
      </c>
      <c r="J5708" s="12"/>
    </row>
    <row r="5709" spans="3:10" x14ac:dyDescent="0.25">
      <c r="C5709" s="9"/>
      <c r="D5709" s="10">
        <v>45728</v>
      </c>
      <c r="E5709" t="s">
        <v>7364</v>
      </c>
      <c r="F5709" s="11" t="s">
        <v>7365</v>
      </c>
      <c r="G5709" s="8">
        <v>36.700000000000003</v>
      </c>
      <c r="H5709" s="8">
        <v>0</v>
      </c>
      <c r="I5709" s="8">
        <f t="shared" si="252"/>
        <v>-278.68000000000302</v>
      </c>
      <c r="J5709" s="12"/>
    </row>
    <row r="5710" spans="3:10" x14ac:dyDescent="0.25">
      <c r="C5710" s="9"/>
      <c r="D5710" s="10">
        <v>45728</v>
      </c>
      <c r="E5710" t="s">
        <v>7366</v>
      </c>
      <c r="F5710" s="11" t="s">
        <v>7367</v>
      </c>
      <c r="G5710" s="8">
        <v>13.92</v>
      </c>
      <c r="H5710" s="8">
        <v>0</v>
      </c>
      <c r="I5710" s="8">
        <f t="shared" si="252"/>
        <v>-264.760000000003</v>
      </c>
      <c r="J5710" s="12"/>
    </row>
    <row r="5711" spans="3:10" x14ac:dyDescent="0.25">
      <c r="C5711" s="9"/>
      <c r="D5711" s="10">
        <v>45728</v>
      </c>
      <c r="E5711" t="s">
        <v>7368</v>
      </c>
      <c r="F5711" s="11" t="s">
        <v>7369</v>
      </c>
      <c r="G5711" s="8">
        <v>21.02</v>
      </c>
      <c r="H5711" s="8">
        <v>0</v>
      </c>
      <c r="I5711" s="8">
        <f t="shared" si="252"/>
        <v>-243.74000000000299</v>
      </c>
      <c r="J5711" s="12"/>
    </row>
    <row r="5712" spans="3:10" x14ac:dyDescent="0.25">
      <c r="C5712" s="9"/>
      <c r="D5712" s="10">
        <v>45728</v>
      </c>
      <c r="E5712" t="s">
        <v>7109</v>
      </c>
      <c r="F5712" s="11" t="s">
        <v>42</v>
      </c>
      <c r="G5712" s="8">
        <v>0</v>
      </c>
      <c r="H5712" s="8">
        <v>816.29</v>
      </c>
      <c r="I5712" s="8">
        <f t="shared" si="252"/>
        <v>-1060.0300000000029</v>
      </c>
      <c r="J5712" s="12"/>
    </row>
    <row r="5713" spans="3:10" x14ac:dyDescent="0.25">
      <c r="C5713" s="9"/>
      <c r="D5713" s="10">
        <v>45729</v>
      </c>
      <c r="E5713" t="s">
        <v>7370</v>
      </c>
      <c r="F5713" s="11" t="s">
        <v>7371</v>
      </c>
      <c r="G5713" s="8">
        <v>266.2</v>
      </c>
      <c r="H5713" s="8">
        <v>0</v>
      </c>
      <c r="I5713" s="8">
        <f t="shared" si="252"/>
        <v>-793.83000000000288</v>
      </c>
      <c r="J5713" s="12"/>
    </row>
    <row r="5714" spans="3:10" x14ac:dyDescent="0.25">
      <c r="C5714" s="9"/>
      <c r="D5714" s="10">
        <v>45729</v>
      </c>
      <c r="E5714" t="s">
        <v>7372</v>
      </c>
      <c r="F5714" s="11" t="s">
        <v>7373</v>
      </c>
      <c r="G5714" s="8">
        <v>18.89</v>
      </c>
      <c r="H5714" s="8">
        <v>0</v>
      </c>
      <c r="I5714" s="8">
        <f t="shared" si="252"/>
        <v>-774.9400000000029</v>
      </c>
      <c r="J5714" s="12"/>
    </row>
    <row r="5715" spans="3:10" x14ac:dyDescent="0.25">
      <c r="C5715" s="9"/>
      <c r="D5715" s="10">
        <v>45729</v>
      </c>
      <c r="E5715" t="s">
        <v>7374</v>
      </c>
      <c r="F5715" s="11" t="s">
        <v>7375</v>
      </c>
      <c r="G5715" s="8">
        <v>20.420000000000002</v>
      </c>
      <c r="H5715" s="8">
        <v>0</v>
      </c>
      <c r="I5715" s="8">
        <f t="shared" si="252"/>
        <v>-754.52000000000294</v>
      </c>
      <c r="J5715" s="12"/>
    </row>
    <row r="5716" spans="3:10" x14ac:dyDescent="0.25">
      <c r="C5716" s="9"/>
      <c r="D5716" s="10">
        <v>45729</v>
      </c>
      <c r="E5716" t="s">
        <v>7376</v>
      </c>
      <c r="F5716" s="11" t="s">
        <v>7377</v>
      </c>
      <c r="G5716" s="8">
        <v>46.65</v>
      </c>
      <c r="H5716" s="8">
        <v>0</v>
      </c>
      <c r="I5716" s="8">
        <f t="shared" si="252"/>
        <v>-707.87000000000296</v>
      </c>
      <c r="J5716" s="12"/>
    </row>
    <row r="5717" spans="3:10" x14ac:dyDescent="0.25">
      <c r="C5717" s="9"/>
      <c r="D5717" s="10">
        <v>45729</v>
      </c>
      <c r="E5717" t="s">
        <v>7376</v>
      </c>
      <c r="F5717" s="11" t="s">
        <v>7377</v>
      </c>
      <c r="G5717" s="8">
        <v>0</v>
      </c>
      <c r="H5717" s="8">
        <v>46.65</v>
      </c>
      <c r="I5717" s="8">
        <f t="shared" si="252"/>
        <v>-754.52000000000294</v>
      </c>
      <c r="J5717" s="12"/>
    </row>
    <row r="5718" spans="3:10" x14ac:dyDescent="0.25">
      <c r="C5718" s="9"/>
      <c r="D5718" s="10">
        <v>45729</v>
      </c>
      <c r="E5718" t="s">
        <v>7378</v>
      </c>
      <c r="F5718" s="11" t="s">
        <v>7379</v>
      </c>
      <c r="G5718" s="8">
        <v>3.81</v>
      </c>
      <c r="H5718" s="8">
        <v>0</v>
      </c>
      <c r="I5718" s="8">
        <f t="shared" si="252"/>
        <v>-750.71000000000299</v>
      </c>
      <c r="J5718" s="12"/>
    </row>
    <row r="5719" spans="3:10" x14ac:dyDescent="0.25">
      <c r="C5719" s="9"/>
      <c r="D5719" s="10">
        <v>45729</v>
      </c>
      <c r="E5719" t="s">
        <v>7378</v>
      </c>
      <c r="F5719" s="11" t="s">
        <v>7379</v>
      </c>
      <c r="G5719" s="8">
        <v>0</v>
      </c>
      <c r="H5719" s="8">
        <v>3.81</v>
      </c>
      <c r="I5719" s="8">
        <f t="shared" si="252"/>
        <v>-754.52000000000294</v>
      </c>
      <c r="J5719" s="12"/>
    </row>
    <row r="5720" spans="3:10" x14ac:dyDescent="0.25">
      <c r="C5720" s="9"/>
      <c r="D5720" s="10">
        <v>45729</v>
      </c>
      <c r="E5720" t="s">
        <v>7380</v>
      </c>
      <c r="F5720" s="11" t="s">
        <v>7381</v>
      </c>
      <c r="G5720" s="8">
        <v>16.48</v>
      </c>
      <c r="H5720" s="8">
        <v>0</v>
      </c>
      <c r="I5720" s="8">
        <f t="shared" si="252"/>
        <v>-738.04000000000292</v>
      </c>
      <c r="J5720" s="12"/>
    </row>
    <row r="5721" spans="3:10" x14ac:dyDescent="0.25">
      <c r="C5721" s="9"/>
      <c r="D5721" s="10">
        <v>45729</v>
      </c>
      <c r="E5721" t="s">
        <v>7380</v>
      </c>
      <c r="F5721" s="11" t="s">
        <v>7381</v>
      </c>
      <c r="G5721" s="8">
        <v>0</v>
      </c>
      <c r="H5721" s="8">
        <v>16.48</v>
      </c>
      <c r="I5721" s="8">
        <f t="shared" si="252"/>
        <v>-754.52000000000294</v>
      </c>
      <c r="J5721" s="12"/>
    </row>
    <row r="5722" spans="3:10" x14ac:dyDescent="0.25">
      <c r="C5722" s="9"/>
      <c r="D5722" s="10">
        <v>45729</v>
      </c>
      <c r="E5722" t="s">
        <v>7382</v>
      </c>
      <c r="F5722" s="11" t="s">
        <v>7383</v>
      </c>
      <c r="G5722" s="8">
        <v>13.9</v>
      </c>
      <c r="H5722" s="8">
        <v>0</v>
      </c>
      <c r="I5722" s="8">
        <f t="shared" si="252"/>
        <v>-740.62000000000296</v>
      </c>
      <c r="J5722" s="12"/>
    </row>
    <row r="5723" spans="3:10" x14ac:dyDescent="0.25">
      <c r="C5723" s="9"/>
      <c r="D5723" s="10">
        <v>45729</v>
      </c>
      <c r="E5723" t="s">
        <v>7384</v>
      </c>
      <c r="F5723" s="11" t="s">
        <v>7385</v>
      </c>
      <c r="G5723" s="8">
        <v>250.72</v>
      </c>
      <c r="H5723" s="8">
        <v>0</v>
      </c>
      <c r="I5723" s="8">
        <f t="shared" si="252"/>
        <v>-489.90000000000293</v>
      </c>
      <c r="J5723" s="12"/>
    </row>
    <row r="5724" spans="3:10" x14ac:dyDescent="0.25">
      <c r="C5724" s="9"/>
      <c r="D5724" s="10">
        <v>45729</v>
      </c>
      <c r="E5724" t="s">
        <v>7386</v>
      </c>
      <c r="F5724" s="11" t="s">
        <v>7387</v>
      </c>
      <c r="G5724" s="8">
        <v>55.82</v>
      </c>
      <c r="H5724" s="8">
        <v>0</v>
      </c>
      <c r="I5724" s="8">
        <f t="shared" ref="I5724:I5787" si="253">G5724-H5724+I5723</f>
        <v>-434.08000000000294</v>
      </c>
      <c r="J5724" s="12"/>
    </row>
    <row r="5725" spans="3:10" x14ac:dyDescent="0.25">
      <c r="C5725" s="9"/>
      <c r="D5725" s="10">
        <v>45729</v>
      </c>
      <c r="E5725" t="s">
        <v>7388</v>
      </c>
      <c r="F5725" s="11" t="s">
        <v>7389</v>
      </c>
      <c r="G5725" s="8">
        <v>11.37</v>
      </c>
      <c r="H5725" s="8">
        <v>0</v>
      </c>
      <c r="I5725" s="8">
        <f t="shared" si="253"/>
        <v>-422.71000000000294</v>
      </c>
      <c r="J5725" s="12"/>
    </row>
    <row r="5726" spans="3:10" x14ac:dyDescent="0.25">
      <c r="C5726" s="9"/>
      <c r="D5726" s="10">
        <v>45729</v>
      </c>
      <c r="E5726" t="s">
        <v>7390</v>
      </c>
      <c r="F5726" s="11" t="s">
        <v>7391</v>
      </c>
      <c r="G5726" s="8">
        <v>27.59</v>
      </c>
      <c r="H5726" s="8">
        <v>0</v>
      </c>
      <c r="I5726" s="8">
        <f t="shared" si="253"/>
        <v>-395.12000000000296</v>
      </c>
      <c r="J5726" s="12"/>
    </row>
    <row r="5727" spans="3:10" x14ac:dyDescent="0.25">
      <c r="C5727" s="9"/>
      <c r="D5727" s="10">
        <v>45729</v>
      </c>
      <c r="E5727" t="s">
        <v>7392</v>
      </c>
      <c r="F5727" s="11" t="s">
        <v>7393</v>
      </c>
      <c r="G5727" s="8">
        <v>38.119999999999997</v>
      </c>
      <c r="H5727" s="8">
        <v>0</v>
      </c>
      <c r="I5727" s="8">
        <f t="shared" si="253"/>
        <v>-357.00000000000296</v>
      </c>
      <c r="J5727" s="12"/>
    </row>
    <row r="5728" spans="3:10" x14ac:dyDescent="0.25">
      <c r="C5728" s="9"/>
      <c r="D5728" s="10">
        <v>45729</v>
      </c>
      <c r="E5728" t="s">
        <v>7394</v>
      </c>
      <c r="F5728" s="11" t="s">
        <v>7395</v>
      </c>
      <c r="G5728" s="8">
        <v>136.5</v>
      </c>
      <c r="H5728" s="8">
        <v>0</v>
      </c>
      <c r="I5728" s="8">
        <f t="shared" si="253"/>
        <v>-220.50000000000296</v>
      </c>
      <c r="J5728" s="12"/>
    </row>
    <row r="5729" spans="3:10" x14ac:dyDescent="0.25">
      <c r="C5729" s="9"/>
      <c r="D5729" s="10">
        <v>45729</v>
      </c>
      <c r="E5729" t="s">
        <v>7396</v>
      </c>
      <c r="F5729" s="11" t="s">
        <v>7397</v>
      </c>
      <c r="G5729" s="8">
        <v>0.57999999999999996</v>
      </c>
      <c r="H5729" s="8">
        <v>0</v>
      </c>
      <c r="I5729" s="8">
        <f t="shared" si="253"/>
        <v>-219.92000000000294</v>
      </c>
      <c r="J5729" s="12"/>
    </row>
    <row r="5730" spans="3:10" x14ac:dyDescent="0.25">
      <c r="C5730" s="9"/>
      <c r="D5730" s="10">
        <v>45729</v>
      </c>
      <c r="E5730" t="s">
        <v>7396</v>
      </c>
      <c r="F5730" s="11" t="s">
        <v>7397</v>
      </c>
      <c r="G5730" s="8">
        <v>0</v>
      </c>
      <c r="H5730" s="8">
        <v>0.57999999999999996</v>
      </c>
      <c r="I5730" s="8">
        <f t="shared" si="253"/>
        <v>-220.50000000000296</v>
      </c>
      <c r="J5730" s="12"/>
    </row>
    <row r="5731" spans="3:10" x14ac:dyDescent="0.25">
      <c r="C5731" s="9"/>
      <c r="D5731" s="10">
        <v>45729</v>
      </c>
      <c r="E5731" t="s">
        <v>7398</v>
      </c>
      <c r="F5731" s="11" t="s">
        <v>7399</v>
      </c>
      <c r="G5731" s="8">
        <v>-5.57</v>
      </c>
      <c r="H5731" s="8">
        <v>0</v>
      </c>
      <c r="I5731" s="8">
        <f t="shared" si="253"/>
        <v>-226.07000000000295</v>
      </c>
      <c r="J5731" s="12"/>
    </row>
    <row r="5732" spans="3:10" x14ac:dyDescent="0.25">
      <c r="C5732" s="9"/>
      <c r="D5732" s="10">
        <v>45729</v>
      </c>
      <c r="E5732" t="s">
        <v>7398</v>
      </c>
      <c r="F5732" s="11" t="s">
        <v>7399</v>
      </c>
      <c r="G5732" s="8">
        <v>0</v>
      </c>
      <c r="H5732" s="8">
        <v>-5.57</v>
      </c>
      <c r="I5732" s="8">
        <f t="shared" si="253"/>
        <v>-220.50000000000296</v>
      </c>
      <c r="J5732" s="12"/>
    </row>
    <row r="5733" spans="3:10" x14ac:dyDescent="0.25">
      <c r="C5733" s="9"/>
      <c r="D5733" s="10">
        <v>45729</v>
      </c>
      <c r="E5733" t="s">
        <v>7400</v>
      </c>
      <c r="F5733" s="11" t="s">
        <v>7401</v>
      </c>
      <c r="G5733" s="8">
        <v>45.13</v>
      </c>
      <c r="H5733" s="8">
        <v>0</v>
      </c>
      <c r="I5733" s="8">
        <f t="shared" si="253"/>
        <v>-175.37000000000296</v>
      </c>
      <c r="J5733" s="12"/>
    </row>
    <row r="5734" spans="3:10" x14ac:dyDescent="0.25">
      <c r="C5734" s="9"/>
      <c r="D5734" s="10">
        <v>45729</v>
      </c>
      <c r="E5734" t="s">
        <v>7402</v>
      </c>
      <c r="F5734" s="11" t="s">
        <v>7403</v>
      </c>
      <c r="G5734" s="8">
        <v>30.25</v>
      </c>
      <c r="H5734" s="8">
        <v>0</v>
      </c>
      <c r="I5734" s="8">
        <f t="shared" si="253"/>
        <v>-145.12000000000296</v>
      </c>
      <c r="J5734" s="12"/>
    </row>
    <row r="5735" spans="3:10" x14ac:dyDescent="0.25">
      <c r="C5735" s="9"/>
      <c r="D5735" s="10">
        <v>45729</v>
      </c>
      <c r="E5735" t="s">
        <v>7402</v>
      </c>
      <c r="F5735" s="11" t="s">
        <v>7403</v>
      </c>
      <c r="G5735" s="8">
        <v>0</v>
      </c>
      <c r="H5735" s="8">
        <v>30.25</v>
      </c>
      <c r="I5735" s="8">
        <f t="shared" si="253"/>
        <v>-175.37000000000296</v>
      </c>
      <c r="J5735" s="12"/>
    </row>
    <row r="5736" spans="3:10" x14ac:dyDescent="0.25">
      <c r="C5736" s="9"/>
      <c r="D5736" s="10">
        <v>45729</v>
      </c>
      <c r="E5736" t="s">
        <v>7404</v>
      </c>
      <c r="F5736" s="11" t="s">
        <v>7405</v>
      </c>
      <c r="G5736" s="8">
        <v>38.299999999999997</v>
      </c>
      <c r="H5736" s="8">
        <v>0</v>
      </c>
      <c r="I5736" s="8">
        <f t="shared" si="253"/>
        <v>-137.07000000000295</v>
      </c>
      <c r="J5736" s="12"/>
    </row>
    <row r="5737" spans="3:10" x14ac:dyDescent="0.25">
      <c r="C5737" s="9"/>
      <c r="D5737" s="10">
        <v>45729</v>
      </c>
      <c r="E5737" t="s">
        <v>7406</v>
      </c>
      <c r="F5737" s="11" t="s">
        <v>7407</v>
      </c>
      <c r="G5737" s="8">
        <v>71.47</v>
      </c>
      <c r="H5737" s="8">
        <v>0</v>
      </c>
      <c r="I5737" s="8">
        <f t="shared" si="253"/>
        <v>-65.60000000000295</v>
      </c>
      <c r="J5737" s="12"/>
    </row>
    <row r="5738" spans="3:10" x14ac:dyDescent="0.25">
      <c r="C5738" s="9"/>
      <c r="D5738" s="10">
        <v>45729</v>
      </c>
      <c r="E5738" t="s">
        <v>7109</v>
      </c>
      <c r="F5738" s="11" t="s">
        <v>42</v>
      </c>
      <c r="G5738" s="8">
        <v>0</v>
      </c>
      <c r="H5738" s="8">
        <v>422.83</v>
      </c>
      <c r="I5738" s="8">
        <f t="shared" si="253"/>
        <v>-488.43000000000291</v>
      </c>
      <c r="J5738" s="12"/>
    </row>
    <row r="5739" spans="3:10" x14ac:dyDescent="0.25">
      <c r="C5739" s="9"/>
      <c r="D5739" s="10">
        <v>45730</v>
      </c>
      <c r="E5739" t="s">
        <v>7408</v>
      </c>
      <c r="F5739" s="11" t="s">
        <v>7409</v>
      </c>
      <c r="G5739" s="8">
        <v>34.79</v>
      </c>
      <c r="H5739" s="8">
        <v>0</v>
      </c>
      <c r="I5739" s="8">
        <f t="shared" si="253"/>
        <v>-453.64000000000289</v>
      </c>
      <c r="J5739" s="12"/>
    </row>
    <row r="5740" spans="3:10" x14ac:dyDescent="0.25">
      <c r="C5740" s="9"/>
      <c r="D5740" s="10">
        <v>45730</v>
      </c>
      <c r="E5740" t="s">
        <v>7410</v>
      </c>
      <c r="F5740" s="11" t="s">
        <v>7411</v>
      </c>
      <c r="G5740" s="8">
        <v>3.21</v>
      </c>
      <c r="H5740" s="8">
        <v>0</v>
      </c>
      <c r="I5740" s="8">
        <f t="shared" si="253"/>
        <v>-450.43000000000291</v>
      </c>
      <c r="J5740" s="12"/>
    </row>
    <row r="5741" spans="3:10" x14ac:dyDescent="0.25">
      <c r="C5741" s="9"/>
      <c r="D5741" s="10">
        <v>45730</v>
      </c>
      <c r="E5741" t="s">
        <v>7412</v>
      </c>
      <c r="F5741" s="11" t="s">
        <v>7413</v>
      </c>
      <c r="G5741" s="8">
        <v>96.93</v>
      </c>
      <c r="H5741" s="8">
        <v>0</v>
      </c>
      <c r="I5741" s="8">
        <f t="shared" si="253"/>
        <v>-353.5000000000029</v>
      </c>
      <c r="J5741" s="12"/>
    </row>
    <row r="5742" spans="3:10" x14ac:dyDescent="0.25">
      <c r="C5742" s="9"/>
      <c r="D5742" s="10">
        <v>45730</v>
      </c>
      <c r="E5742" t="s">
        <v>7414</v>
      </c>
      <c r="F5742" s="11" t="s">
        <v>7415</v>
      </c>
      <c r="G5742" s="8">
        <v>8.2200000000000006</v>
      </c>
      <c r="H5742" s="8">
        <v>0</v>
      </c>
      <c r="I5742" s="8">
        <f t="shared" si="253"/>
        <v>-345.28000000000287</v>
      </c>
      <c r="J5742" s="12"/>
    </row>
    <row r="5743" spans="3:10" x14ac:dyDescent="0.25">
      <c r="C5743" s="9"/>
      <c r="D5743" s="10">
        <v>45730</v>
      </c>
      <c r="E5743" t="s">
        <v>7416</v>
      </c>
      <c r="F5743" s="11" t="s">
        <v>7417</v>
      </c>
      <c r="G5743" s="8">
        <v>60.5</v>
      </c>
      <c r="H5743" s="8">
        <v>0</v>
      </c>
      <c r="I5743" s="8">
        <f t="shared" si="253"/>
        <v>-284.78000000000287</v>
      </c>
      <c r="J5743" s="12"/>
    </row>
    <row r="5744" spans="3:10" x14ac:dyDescent="0.25">
      <c r="C5744" s="9"/>
      <c r="D5744" s="10">
        <v>45730</v>
      </c>
      <c r="E5744" t="s">
        <v>7418</v>
      </c>
      <c r="F5744" s="11" t="s">
        <v>7419</v>
      </c>
      <c r="G5744" s="8">
        <v>3.25</v>
      </c>
      <c r="H5744" s="8">
        <v>0</v>
      </c>
      <c r="I5744" s="8">
        <f t="shared" si="253"/>
        <v>-281.53000000000287</v>
      </c>
      <c r="J5744" s="12"/>
    </row>
    <row r="5745" spans="3:10" x14ac:dyDescent="0.25">
      <c r="C5745" s="9"/>
      <c r="D5745" s="10">
        <v>45730</v>
      </c>
      <c r="E5745" t="s">
        <v>7420</v>
      </c>
      <c r="F5745" s="11" t="s">
        <v>7421</v>
      </c>
      <c r="G5745" s="8">
        <v>80.849999999999994</v>
      </c>
      <c r="H5745" s="8">
        <v>0</v>
      </c>
      <c r="I5745" s="8">
        <f t="shared" si="253"/>
        <v>-200.68000000000288</v>
      </c>
      <c r="J5745" s="12"/>
    </row>
    <row r="5746" spans="3:10" x14ac:dyDescent="0.25">
      <c r="C5746" s="9"/>
      <c r="D5746" s="10">
        <v>45730</v>
      </c>
      <c r="E5746" t="s">
        <v>7420</v>
      </c>
      <c r="F5746" s="11" t="s">
        <v>7421</v>
      </c>
      <c r="G5746" s="8">
        <v>0</v>
      </c>
      <c r="H5746" s="8">
        <v>80.849999999999994</v>
      </c>
      <c r="I5746" s="8">
        <f t="shared" si="253"/>
        <v>-281.53000000000287</v>
      </c>
      <c r="J5746" s="12"/>
    </row>
    <row r="5747" spans="3:10" x14ac:dyDescent="0.25">
      <c r="C5747" s="9"/>
      <c r="D5747" s="10">
        <v>45730</v>
      </c>
      <c r="E5747" t="s">
        <v>7422</v>
      </c>
      <c r="F5747" s="11" t="s">
        <v>7423</v>
      </c>
      <c r="G5747" s="8">
        <v>14.82</v>
      </c>
      <c r="H5747" s="8">
        <v>0</v>
      </c>
      <c r="I5747" s="8">
        <f t="shared" si="253"/>
        <v>-266.71000000000288</v>
      </c>
      <c r="J5747" s="12"/>
    </row>
    <row r="5748" spans="3:10" x14ac:dyDescent="0.25">
      <c r="C5748" s="9"/>
      <c r="D5748" s="10">
        <v>45730</v>
      </c>
      <c r="E5748" t="s">
        <v>7424</v>
      </c>
      <c r="F5748" s="11" t="s">
        <v>7425</v>
      </c>
      <c r="G5748" s="8">
        <v>33.880000000000003</v>
      </c>
      <c r="H5748" s="8">
        <v>0</v>
      </c>
      <c r="I5748" s="8">
        <f t="shared" si="253"/>
        <v>-232.83000000000288</v>
      </c>
      <c r="J5748" s="12"/>
    </row>
    <row r="5749" spans="3:10" x14ac:dyDescent="0.25">
      <c r="C5749" s="9"/>
      <c r="D5749" s="10">
        <v>45730</v>
      </c>
      <c r="E5749" t="s">
        <v>7426</v>
      </c>
      <c r="F5749" s="11" t="s">
        <v>7427</v>
      </c>
      <c r="G5749" s="8">
        <v>3.29</v>
      </c>
      <c r="H5749" s="8">
        <v>0</v>
      </c>
      <c r="I5749" s="8">
        <f t="shared" si="253"/>
        <v>-229.54000000000289</v>
      </c>
      <c r="J5749" s="12"/>
    </row>
    <row r="5750" spans="3:10" x14ac:dyDescent="0.25">
      <c r="C5750" s="9"/>
      <c r="D5750" s="10">
        <v>45730</v>
      </c>
      <c r="E5750" t="s">
        <v>7428</v>
      </c>
      <c r="F5750" s="11" t="s">
        <v>7429</v>
      </c>
      <c r="G5750" s="8">
        <v>470.57</v>
      </c>
      <c r="H5750" s="8">
        <v>0</v>
      </c>
      <c r="I5750" s="8">
        <f t="shared" si="253"/>
        <v>241.0299999999971</v>
      </c>
      <c r="J5750" s="12"/>
    </row>
    <row r="5751" spans="3:10" x14ac:dyDescent="0.25">
      <c r="C5751" s="9"/>
      <c r="D5751" s="10">
        <v>45730</v>
      </c>
      <c r="E5751" t="s">
        <v>7428</v>
      </c>
      <c r="F5751" s="11" t="s">
        <v>7429</v>
      </c>
      <c r="G5751" s="8">
        <v>0</v>
      </c>
      <c r="H5751" s="8">
        <v>470.57</v>
      </c>
      <c r="I5751" s="8">
        <f t="shared" si="253"/>
        <v>-229.54000000000289</v>
      </c>
      <c r="J5751" s="12"/>
    </row>
    <row r="5752" spans="3:10" x14ac:dyDescent="0.25">
      <c r="C5752" s="9"/>
      <c r="D5752" s="10">
        <v>45730</v>
      </c>
      <c r="E5752" t="s">
        <v>7109</v>
      </c>
      <c r="F5752" s="11" t="s">
        <v>42</v>
      </c>
      <c r="G5752" s="8">
        <v>0</v>
      </c>
      <c r="H5752" s="8">
        <v>985.67</v>
      </c>
      <c r="I5752" s="8">
        <f t="shared" si="253"/>
        <v>-1215.2100000000028</v>
      </c>
      <c r="J5752" s="12"/>
    </row>
    <row r="5753" spans="3:10" x14ac:dyDescent="0.25">
      <c r="C5753" s="9"/>
      <c r="D5753" s="10">
        <v>45733</v>
      </c>
      <c r="E5753" t="s">
        <v>7430</v>
      </c>
      <c r="F5753" s="11" t="s">
        <v>7431</v>
      </c>
      <c r="G5753" s="8">
        <v>3.05</v>
      </c>
      <c r="H5753" s="8">
        <v>0</v>
      </c>
      <c r="I5753" s="8">
        <f t="shared" si="253"/>
        <v>-1212.1600000000028</v>
      </c>
      <c r="J5753" s="12"/>
    </row>
    <row r="5754" spans="3:10" x14ac:dyDescent="0.25">
      <c r="C5754" s="9"/>
      <c r="D5754" s="10">
        <v>45733</v>
      </c>
      <c r="E5754" t="s">
        <v>7432</v>
      </c>
      <c r="F5754" s="11" t="s">
        <v>7433</v>
      </c>
      <c r="G5754" s="8">
        <v>12.64</v>
      </c>
      <c r="H5754" s="8">
        <v>0</v>
      </c>
      <c r="I5754" s="8">
        <f t="shared" si="253"/>
        <v>-1199.5200000000027</v>
      </c>
      <c r="J5754" s="12"/>
    </row>
    <row r="5755" spans="3:10" x14ac:dyDescent="0.25">
      <c r="C5755" s="9"/>
      <c r="D5755" s="10">
        <v>45733</v>
      </c>
      <c r="E5755" t="s">
        <v>7434</v>
      </c>
      <c r="F5755" s="11" t="s">
        <v>7435</v>
      </c>
      <c r="G5755" s="8">
        <v>10.08</v>
      </c>
      <c r="H5755" s="8">
        <v>0</v>
      </c>
      <c r="I5755" s="8">
        <f t="shared" si="253"/>
        <v>-1189.4400000000028</v>
      </c>
      <c r="J5755" s="12"/>
    </row>
    <row r="5756" spans="3:10" x14ac:dyDescent="0.25">
      <c r="C5756" s="9"/>
      <c r="D5756" s="10">
        <v>45733</v>
      </c>
      <c r="E5756" t="s">
        <v>7436</v>
      </c>
      <c r="F5756" s="11" t="s">
        <v>7437</v>
      </c>
      <c r="G5756" s="8">
        <v>28.58</v>
      </c>
      <c r="H5756" s="8">
        <v>0</v>
      </c>
      <c r="I5756" s="8">
        <f t="shared" si="253"/>
        <v>-1160.8600000000029</v>
      </c>
      <c r="J5756" s="12"/>
    </row>
    <row r="5757" spans="3:10" x14ac:dyDescent="0.25">
      <c r="C5757" s="9"/>
      <c r="D5757" s="10">
        <v>45733</v>
      </c>
      <c r="E5757" t="s">
        <v>7436</v>
      </c>
      <c r="F5757" s="11" t="s">
        <v>7437</v>
      </c>
      <c r="G5757" s="8">
        <v>0</v>
      </c>
      <c r="H5757" s="8">
        <v>28.58</v>
      </c>
      <c r="I5757" s="8">
        <f t="shared" si="253"/>
        <v>-1189.4400000000028</v>
      </c>
      <c r="J5757" s="12"/>
    </row>
    <row r="5758" spans="3:10" x14ac:dyDescent="0.25">
      <c r="C5758" s="9"/>
      <c r="D5758" s="10">
        <v>45733</v>
      </c>
      <c r="E5758" t="s">
        <v>7438</v>
      </c>
      <c r="F5758" s="11" t="s">
        <v>7439</v>
      </c>
      <c r="G5758" s="8">
        <v>58.47</v>
      </c>
      <c r="H5758" s="8">
        <v>0</v>
      </c>
      <c r="I5758" s="8">
        <f t="shared" si="253"/>
        <v>-1130.9700000000028</v>
      </c>
      <c r="J5758" s="12"/>
    </row>
    <row r="5759" spans="3:10" x14ac:dyDescent="0.25">
      <c r="C5759" s="9"/>
      <c r="D5759" s="10">
        <v>45733</v>
      </c>
      <c r="E5759" t="s">
        <v>7440</v>
      </c>
      <c r="F5759" s="11" t="s">
        <v>7441</v>
      </c>
      <c r="G5759" s="8">
        <v>2.13</v>
      </c>
      <c r="H5759" s="8">
        <v>0</v>
      </c>
      <c r="I5759" s="8">
        <f t="shared" si="253"/>
        <v>-1128.8400000000026</v>
      </c>
      <c r="J5759" s="12"/>
    </row>
    <row r="5760" spans="3:10" x14ac:dyDescent="0.25">
      <c r="C5760" s="9"/>
      <c r="D5760" s="10">
        <v>45733</v>
      </c>
      <c r="E5760" t="s">
        <v>7442</v>
      </c>
      <c r="F5760" s="11" t="s">
        <v>7443</v>
      </c>
      <c r="G5760" s="8">
        <v>7.9</v>
      </c>
      <c r="H5760" s="8">
        <v>0</v>
      </c>
      <c r="I5760" s="8">
        <f t="shared" si="253"/>
        <v>-1120.9400000000026</v>
      </c>
      <c r="J5760" s="12"/>
    </row>
    <row r="5761" spans="3:10" x14ac:dyDescent="0.25">
      <c r="C5761" s="9"/>
      <c r="D5761" s="10">
        <v>45733</v>
      </c>
      <c r="E5761" t="s">
        <v>7444</v>
      </c>
      <c r="F5761" s="11" t="s">
        <v>7445</v>
      </c>
      <c r="G5761" s="8">
        <v>151.25</v>
      </c>
      <c r="H5761" s="8">
        <v>0</v>
      </c>
      <c r="I5761" s="8">
        <f t="shared" si="253"/>
        <v>-969.69000000000256</v>
      </c>
      <c r="J5761" s="12"/>
    </row>
    <row r="5762" spans="3:10" x14ac:dyDescent="0.25">
      <c r="C5762" s="9"/>
      <c r="D5762" s="10">
        <v>45733</v>
      </c>
      <c r="E5762" t="s">
        <v>7446</v>
      </c>
      <c r="F5762" s="11" t="s">
        <v>7447</v>
      </c>
      <c r="G5762" s="8">
        <v>52.95</v>
      </c>
      <c r="H5762" s="8">
        <v>0</v>
      </c>
      <c r="I5762" s="8">
        <f t="shared" si="253"/>
        <v>-916.74000000000251</v>
      </c>
      <c r="J5762" s="12"/>
    </row>
    <row r="5763" spans="3:10" x14ac:dyDescent="0.25">
      <c r="C5763" s="9"/>
      <c r="D5763" s="10">
        <v>45733</v>
      </c>
      <c r="E5763" t="s">
        <v>7109</v>
      </c>
      <c r="F5763" s="11" t="s">
        <v>42</v>
      </c>
      <c r="G5763" s="8">
        <v>0</v>
      </c>
      <c r="H5763" s="8">
        <v>256.5</v>
      </c>
      <c r="I5763" s="8">
        <f t="shared" si="253"/>
        <v>-1173.2400000000025</v>
      </c>
      <c r="J5763" s="12"/>
    </row>
    <row r="5764" spans="3:10" x14ac:dyDescent="0.25">
      <c r="C5764" s="9"/>
      <c r="D5764" s="10">
        <v>45734</v>
      </c>
      <c r="E5764" t="s">
        <v>7448</v>
      </c>
      <c r="F5764" s="11" t="s">
        <v>7449</v>
      </c>
      <c r="G5764" s="8">
        <v>17.3</v>
      </c>
      <c r="H5764" s="8">
        <v>0</v>
      </c>
      <c r="I5764" s="8">
        <f t="shared" si="253"/>
        <v>-1155.9400000000026</v>
      </c>
      <c r="J5764" s="12"/>
    </row>
    <row r="5765" spans="3:10" x14ac:dyDescent="0.25">
      <c r="C5765" s="9"/>
      <c r="D5765" s="10">
        <v>45734</v>
      </c>
      <c r="E5765" t="s">
        <v>7448</v>
      </c>
      <c r="F5765" s="11" t="s">
        <v>7449</v>
      </c>
      <c r="G5765" s="8">
        <v>0</v>
      </c>
      <c r="H5765" s="8">
        <v>17.3</v>
      </c>
      <c r="I5765" s="8">
        <f t="shared" si="253"/>
        <v>-1173.2400000000025</v>
      </c>
      <c r="J5765" s="12"/>
    </row>
    <row r="5766" spans="3:10" x14ac:dyDescent="0.25">
      <c r="C5766" s="9"/>
      <c r="D5766" s="10">
        <v>45734</v>
      </c>
      <c r="E5766" t="s">
        <v>7450</v>
      </c>
      <c r="F5766" s="11" t="s">
        <v>7451</v>
      </c>
      <c r="G5766" s="8">
        <v>37.409999999999997</v>
      </c>
      <c r="H5766" s="8">
        <v>0</v>
      </c>
      <c r="I5766" s="8">
        <f t="shared" si="253"/>
        <v>-1135.8300000000024</v>
      </c>
      <c r="J5766" s="12"/>
    </row>
    <row r="5767" spans="3:10" x14ac:dyDescent="0.25">
      <c r="C5767" s="9"/>
      <c r="D5767" s="10">
        <v>45734</v>
      </c>
      <c r="E5767" t="s">
        <v>7450</v>
      </c>
      <c r="F5767" s="11" t="s">
        <v>7451</v>
      </c>
      <c r="G5767" s="8">
        <v>0</v>
      </c>
      <c r="H5767" s="8">
        <v>37.409999999999997</v>
      </c>
      <c r="I5767" s="8">
        <f t="shared" si="253"/>
        <v>-1173.2400000000025</v>
      </c>
      <c r="J5767" s="12"/>
    </row>
    <row r="5768" spans="3:10" x14ac:dyDescent="0.25">
      <c r="C5768" s="9"/>
      <c r="D5768" s="10">
        <v>45734</v>
      </c>
      <c r="E5768" t="s">
        <v>7452</v>
      </c>
      <c r="F5768" s="11" t="s">
        <v>7453</v>
      </c>
      <c r="G5768" s="8">
        <v>22.51</v>
      </c>
      <c r="H5768" s="8">
        <v>0</v>
      </c>
      <c r="I5768" s="8">
        <f t="shared" si="253"/>
        <v>-1150.7300000000025</v>
      </c>
      <c r="J5768" s="12"/>
    </row>
    <row r="5769" spans="3:10" x14ac:dyDescent="0.25">
      <c r="C5769" s="9"/>
      <c r="D5769" s="10">
        <v>45734</v>
      </c>
      <c r="E5769" t="s">
        <v>7454</v>
      </c>
      <c r="F5769" s="11" t="s">
        <v>7455</v>
      </c>
      <c r="G5769" s="8">
        <v>111.45</v>
      </c>
      <c r="H5769" s="8">
        <v>0</v>
      </c>
      <c r="I5769" s="8">
        <f t="shared" si="253"/>
        <v>-1039.2800000000025</v>
      </c>
      <c r="J5769" s="12"/>
    </row>
    <row r="5770" spans="3:10" x14ac:dyDescent="0.25">
      <c r="C5770" s="9"/>
      <c r="D5770" s="10">
        <v>45734</v>
      </c>
      <c r="E5770" t="s">
        <v>7456</v>
      </c>
      <c r="F5770" s="11" t="s">
        <v>7457</v>
      </c>
      <c r="G5770" s="8">
        <v>3.96</v>
      </c>
      <c r="H5770" s="8">
        <v>0</v>
      </c>
      <c r="I5770" s="8">
        <f t="shared" si="253"/>
        <v>-1035.3200000000024</v>
      </c>
      <c r="J5770" s="12"/>
    </row>
    <row r="5771" spans="3:10" x14ac:dyDescent="0.25">
      <c r="C5771" s="9"/>
      <c r="D5771" s="10">
        <v>45734</v>
      </c>
      <c r="E5771" t="s">
        <v>7456</v>
      </c>
      <c r="F5771" s="11" t="s">
        <v>7457</v>
      </c>
      <c r="G5771" s="8">
        <v>0</v>
      </c>
      <c r="H5771" s="8">
        <v>3.96</v>
      </c>
      <c r="I5771" s="8">
        <f t="shared" si="253"/>
        <v>-1039.2800000000025</v>
      </c>
      <c r="J5771" s="12"/>
    </row>
    <row r="5772" spans="3:10" x14ac:dyDescent="0.25">
      <c r="C5772" s="9"/>
      <c r="D5772" s="10">
        <v>45734</v>
      </c>
      <c r="E5772" t="s">
        <v>7458</v>
      </c>
      <c r="F5772" s="11" t="s">
        <v>7459</v>
      </c>
      <c r="G5772" s="8">
        <v>9.1</v>
      </c>
      <c r="H5772" s="8">
        <v>0</v>
      </c>
      <c r="I5772" s="8">
        <f t="shared" si="253"/>
        <v>-1030.1800000000026</v>
      </c>
      <c r="J5772" s="12"/>
    </row>
    <row r="5773" spans="3:10" x14ac:dyDescent="0.25">
      <c r="C5773" s="9"/>
      <c r="D5773" s="10">
        <v>45734</v>
      </c>
      <c r="E5773" t="s">
        <v>7460</v>
      </c>
      <c r="F5773" s="11" t="s">
        <v>7461</v>
      </c>
      <c r="G5773" s="8">
        <v>36.75</v>
      </c>
      <c r="H5773" s="8">
        <v>0</v>
      </c>
      <c r="I5773" s="8">
        <f t="shared" si="253"/>
        <v>-993.43000000000256</v>
      </c>
      <c r="J5773" s="12"/>
    </row>
    <row r="5774" spans="3:10" x14ac:dyDescent="0.25">
      <c r="C5774" s="9"/>
      <c r="D5774" s="10">
        <v>45734</v>
      </c>
      <c r="E5774" t="s">
        <v>7462</v>
      </c>
      <c r="F5774" s="11" t="s">
        <v>7463</v>
      </c>
      <c r="G5774" s="8">
        <v>11.27</v>
      </c>
      <c r="H5774" s="8">
        <v>0</v>
      </c>
      <c r="I5774" s="8">
        <f t="shared" si="253"/>
        <v>-982.16000000000258</v>
      </c>
      <c r="J5774" s="12"/>
    </row>
    <row r="5775" spans="3:10" x14ac:dyDescent="0.25">
      <c r="C5775" s="9"/>
      <c r="D5775" s="10">
        <v>45734</v>
      </c>
      <c r="E5775" t="s">
        <v>7464</v>
      </c>
      <c r="F5775" s="11" t="s">
        <v>7465</v>
      </c>
      <c r="G5775" s="8">
        <v>23.15</v>
      </c>
      <c r="H5775" s="8">
        <v>0</v>
      </c>
      <c r="I5775" s="8">
        <f t="shared" si="253"/>
        <v>-959.01000000000261</v>
      </c>
      <c r="J5775" s="12"/>
    </row>
    <row r="5776" spans="3:10" x14ac:dyDescent="0.25">
      <c r="C5776" s="9"/>
      <c r="D5776" s="10">
        <v>45734</v>
      </c>
      <c r="E5776" t="s">
        <v>7466</v>
      </c>
      <c r="F5776" s="11" t="s">
        <v>7467</v>
      </c>
      <c r="G5776" s="8">
        <v>77.27</v>
      </c>
      <c r="H5776" s="8">
        <v>0</v>
      </c>
      <c r="I5776" s="8">
        <f t="shared" si="253"/>
        <v>-881.74000000000262</v>
      </c>
      <c r="J5776" s="12"/>
    </row>
    <row r="5777" spans="3:10" x14ac:dyDescent="0.25">
      <c r="C5777" s="9"/>
      <c r="D5777" s="10">
        <v>45734</v>
      </c>
      <c r="E5777" t="s">
        <v>7468</v>
      </c>
      <c r="F5777" s="11" t="s">
        <v>7469</v>
      </c>
      <c r="G5777" s="8">
        <v>1.79</v>
      </c>
      <c r="H5777" s="8">
        <v>0</v>
      </c>
      <c r="I5777" s="8">
        <f t="shared" si="253"/>
        <v>-879.95000000000266</v>
      </c>
      <c r="J5777" s="12"/>
    </row>
    <row r="5778" spans="3:10" x14ac:dyDescent="0.25">
      <c r="C5778" s="9"/>
      <c r="D5778" s="10">
        <v>45734</v>
      </c>
      <c r="E5778" t="s">
        <v>7470</v>
      </c>
      <c r="F5778" s="11" t="s">
        <v>7471</v>
      </c>
      <c r="G5778" s="8">
        <v>32.909999999999997</v>
      </c>
      <c r="H5778" s="8">
        <v>0</v>
      </c>
      <c r="I5778" s="8">
        <f t="shared" si="253"/>
        <v>-847.04000000000269</v>
      </c>
      <c r="J5778" s="12"/>
    </row>
    <row r="5779" spans="3:10" x14ac:dyDescent="0.25">
      <c r="C5779" s="9"/>
      <c r="D5779" s="10">
        <v>45734</v>
      </c>
      <c r="E5779" t="s">
        <v>7470</v>
      </c>
      <c r="F5779" s="11" t="s">
        <v>7471</v>
      </c>
      <c r="G5779" s="8">
        <v>0</v>
      </c>
      <c r="H5779" s="8">
        <v>32.909999999999997</v>
      </c>
      <c r="I5779" s="8">
        <f t="shared" si="253"/>
        <v>-879.95000000000266</v>
      </c>
      <c r="J5779" s="12"/>
    </row>
    <row r="5780" spans="3:10" x14ac:dyDescent="0.25">
      <c r="C5780" s="9"/>
      <c r="D5780" s="10">
        <v>45734</v>
      </c>
      <c r="E5780" t="s">
        <v>7472</v>
      </c>
      <c r="F5780" s="11" t="s">
        <v>7473</v>
      </c>
      <c r="G5780" s="8">
        <v>3.51</v>
      </c>
      <c r="H5780" s="8">
        <v>0</v>
      </c>
      <c r="I5780" s="8">
        <f t="shared" si="253"/>
        <v>-876.44000000000267</v>
      </c>
      <c r="J5780" s="12"/>
    </row>
    <row r="5781" spans="3:10" x14ac:dyDescent="0.25">
      <c r="C5781" s="9"/>
      <c r="D5781" s="10">
        <v>45734</v>
      </c>
      <c r="E5781" t="s">
        <v>7474</v>
      </c>
      <c r="F5781" s="11" t="s">
        <v>7475</v>
      </c>
      <c r="G5781" s="8">
        <v>16.559999999999999</v>
      </c>
      <c r="H5781" s="8">
        <v>0</v>
      </c>
      <c r="I5781" s="8">
        <f t="shared" si="253"/>
        <v>-859.88000000000272</v>
      </c>
      <c r="J5781" s="12"/>
    </row>
    <row r="5782" spans="3:10" x14ac:dyDescent="0.25">
      <c r="C5782" s="9"/>
      <c r="D5782" s="10">
        <v>45734</v>
      </c>
      <c r="E5782" t="s">
        <v>1524</v>
      </c>
      <c r="F5782" s="11" t="s">
        <v>3349</v>
      </c>
      <c r="G5782" s="8">
        <v>0</v>
      </c>
      <c r="H5782" s="8">
        <v>295.68</v>
      </c>
      <c r="I5782" s="8">
        <f t="shared" si="253"/>
        <v>-1155.5600000000027</v>
      </c>
      <c r="J5782" s="12"/>
    </row>
    <row r="5783" spans="3:10" x14ac:dyDescent="0.25">
      <c r="C5783" s="9"/>
      <c r="D5783" s="10">
        <v>45735</v>
      </c>
      <c r="E5783" t="s">
        <v>7476</v>
      </c>
      <c r="F5783" s="11" t="s">
        <v>7477</v>
      </c>
      <c r="G5783" s="8">
        <v>83.25</v>
      </c>
      <c r="H5783" s="8">
        <v>0</v>
      </c>
      <c r="I5783" s="8">
        <f t="shared" si="253"/>
        <v>-1072.3100000000027</v>
      </c>
      <c r="J5783" s="12"/>
    </row>
    <row r="5784" spans="3:10" x14ac:dyDescent="0.25">
      <c r="C5784" s="9"/>
      <c r="D5784" s="10">
        <v>45735</v>
      </c>
      <c r="E5784" t="s">
        <v>7478</v>
      </c>
      <c r="F5784" s="11" t="s">
        <v>7479</v>
      </c>
      <c r="G5784" s="8">
        <v>17.09</v>
      </c>
      <c r="H5784" s="8">
        <v>0</v>
      </c>
      <c r="I5784" s="8">
        <f t="shared" si="253"/>
        <v>-1055.2200000000028</v>
      </c>
      <c r="J5784" s="12"/>
    </row>
    <row r="5785" spans="3:10" x14ac:dyDescent="0.25">
      <c r="C5785" s="9"/>
      <c r="D5785" s="10">
        <v>45735</v>
      </c>
      <c r="E5785" t="s">
        <v>7478</v>
      </c>
      <c r="F5785" s="11" t="s">
        <v>7479</v>
      </c>
      <c r="G5785" s="8">
        <v>0</v>
      </c>
      <c r="H5785" s="8">
        <v>17.09</v>
      </c>
      <c r="I5785" s="8">
        <f t="shared" si="253"/>
        <v>-1072.3100000000027</v>
      </c>
      <c r="J5785" s="12"/>
    </row>
    <row r="5786" spans="3:10" x14ac:dyDescent="0.25">
      <c r="C5786" s="9"/>
      <c r="D5786" s="10">
        <v>45735</v>
      </c>
      <c r="E5786" t="s">
        <v>7480</v>
      </c>
      <c r="F5786" s="11" t="s">
        <v>7481</v>
      </c>
      <c r="G5786" s="8">
        <v>8.23</v>
      </c>
      <c r="H5786" s="8">
        <v>0</v>
      </c>
      <c r="I5786" s="8">
        <f t="shared" si="253"/>
        <v>-1064.0800000000027</v>
      </c>
      <c r="J5786" s="12"/>
    </row>
    <row r="5787" spans="3:10" x14ac:dyDescent="0.25">
      <c r="C5787" s="9"/>
      <c r="D5787" s="10">
        <v>45735</v>
      </c>
      <c r="E5787" t="s">
        <v>7482</v>
      </c>
      <c r="F5787" s="11" t="s">
        <v>7483</v>
      </c>
      <c r="G5787" s="8">
        <v>231.15</v>
      </c>
      <c r="H5787" s="8">
        <v>0</v>
      </c>
      <c r="I5787" s="8">
        <f t="shared" si="253"/>
        <v>-832.93000000000268</v>
      </c>
      <c r="J5787" s="12"/>
    </row>
    <row r="5788" spans="3:10" x14ac:dyDescent="0.25">
      <c r="C5788" s="9"/>
      <c r="D5788" s="10">
        <v>45735</v>
      </c>
      <c r="E5788" t="s">
        <v>7484</v>
      </c>
      <c r="F5788" s="11" t="s">
        <v>7485</v>
      </c>
      <c r="G5788" s="8">
        <v>2.72</v>
      </c>
      <c r="H5788" s="8">
        <v>0</v>
      </c>
      <c r="I5788" s="8">
        <f t="shared" ref="I5788:I5851" si="254">G5788-H5788+I5787</f>
        <v>-830.21000000000265</v>
      </c>
      <c r="J5788" s="12"/>
    </row>
    <row r="5789" spans="3:10" x14ac:dyDescent="0.25">
      <c r="C5789" s="9"/>
      <c r="D5789" s="10">
        <v>45735</v>
      </c>
      <c r="E5789" t="s">
        <v>7486</v>
      </c>
      <c r="F5789" s="11" t="s">
        <v>7487</v>
      </c>
      <c r="G5789" s="8">
        <v>18.190000000000001</v>
      </c>
      <c r="H5789" s="8">
        <v>0</v>
      </c>
      <c r="I5789" s="8">
        <f t="shared" si="254"/>
        <v>-812.0200000000026</v>
      </c>
      <c r="J5789" s="12"/>
    </row>
    <row r="5790" spans="3:10" x14ac:dyDescent="0.25">
      <c r="C5790" s="9"/>
      <c r="D5790" s="10">
        <v>45735</v>
      </c>
      <c r="E5790" t="s">
        <v>7486</v>
      </c>
      <c r="F5790" s="11" t="s">
        <v>7487</v>
      </c>
      <c r="G5790" s="8">
        <v>0</v>
      </c>
      <c r="H5790" s="8">
        <v>18.190000000000001</v>
      </c>
      <c r="I5790" s="8">
        <f t="shared" si="254"/>
        <v>-830.21000000000265</v>
      </c>
      <c r="J5790" s="12"/>
    </row>
    <row r="5791" spans="3:10" x14ac:dyDescent="0.25">
      <c r="C5791" s="9"/>
      <c r="D5791" s="10">
        <v>45735</v>
      </c>
      <c r="E5791" t="s">
        <v>7488</v>
      </c>
      <c r="F5791" s="11" t="s">
        <v>7489</v>
      </c>
      <c r="G5791" s="8">
        <v>5.23</v>
      </c>
      <c r="H5791" s="8">
        <v>0</v>
      </c>
      <c r="I5791" s="8">
        <f t="shared" si="254"/>
        <v>-824.98000000000263</v>
      </c>
      <c r="J5791" s="12"/>
    </row>
    <row r="5792" spans="3:10" x14ac:dyDescent="0.25">
      <c r="C5792" s="9"/>
      <c r="D5792" s="10">
        <v>45735</v>
      </c>
      <c r="E5792" t="s">
        <v>11</v>
      </c>
      <c r="F5792" s="11" t="s">
        <v>7490</v>
      </c>
      <c r="G5792" s="8">
        <v>0</v>
      </c>
      <c r="H5792" s="8">
        <v>311.48</v>
      </c>
      <c r="I5792" s="8">
        <f t="shared" si="254"/>
        <v>-1136.4600000000028</v>
      </c>
      <c r="J5792" s="12"/>
    </row>
    <row r="5793" spans="3:10" x14ac:dyDescent="0.25">
      <c r="C5793" s="9"/>
      <c r="D5793" s="10">
        <v>45736</v>
      </c>
      <c r="E5793" t="s">
        <v>7491</v>
      </c>
      <c r="F5793" s="11" t="s">
        <v>7492</v>
      </c>
      <c r="G5793" s="8">
        <v>1.1599999999999999</v>
      </c>
      <c r="H5793" s="8">
        <v>0</v>
      </c>
      <c r="I5793" s="8">
        <f t="shared" si="254"/>
        <v>-1135.3000000000027</v>
      </c>
      <c r="J5793" s="12"/>
    </row>
    <row r="5794" spans="3:10" x14ac:dyDescent="0.25">
      <c r="C5794" s="9"/>
      <c r="D5794" s="10">
        <v>45736</v>
      </c>
      <c r="E5794" t="s">
        <v>7493</v>
      </c>
      <c r="F5794" s="11" t="s">
        <v>7494</v>
      </c>
      <c r="G5794" s="8">
        <v>1.97</v>
      </c>
      <c r="H5794" s="8">
        <v>0</v>
      </c>
      <c r="I5794" s="8">
        <f t="shared" si="254"/>
        <v>-1133.3300000000027</v>
      </c>
      <c r="J5794" s="12"/>
    </row>
    <row r="5795" spans="3:10" x14ac:dyDescent="0.25">
      <c r="C5795" s="9"/>
      <c r="D5795" s="10">
        <v>45736</v>
      </c>
      <c r="E5795" t="s">
        <v>7493</v>
      </c>
      <c r="F5795" s="11" t="s">
        <v>7494</v>
      </c>
      <c r="G5795" s="8">
        <v>0</v>
      </c>
      <c r="H5795" s="8">
        <v>1.97</v>
      </c>
      <c r="I5795" s="8">
        <f t="shared" si="254"/>
        <v>-1135.3000000000027</v>
      </c>
      <c r="J5795" s="12"/>
    </row>
    <row r="5796" spans="3:10" x14ac:dyDescent="0.25">
      <c r="C5796" s="9"/>
      <c r="D5796" s="10">
        <v>45736</v>
      </c>
      <c r="E5796" t="s">
        <v>7495</v>
      </c>
      <c r="F5796" s="11" t="s">
        <v>7496</v>
      </c>
      <c r="G5796" s="8">
        <v>12.1</v>
      </c>
      <c r="H5796" s="8">
        <v>0</v>
      </c>
      <c r="I5796" s="8">
        <f t="shared" si="254"/>
        <v>-1123.2000000000028</v>
      </c>
      <c r="J5796" s="12"/>
    </row>
    <row r="5797" spans="3:10" x14ac:dyDescent="0.25">
      <c r="C5797" s="9"/>
      <c r="D5797" s="10">
        <v>45736</v>
      </c>
      <c r="E5797" t="s">
        <v>7497</v>
      </c>
      <c r="F5797" s="11" t="s">
        <v>7498</v>
      </c>
      <c r="G5797" s="8">
        <v>139.16999999999999</v>
      </c>
      <c r="H5797" s="8">
        <v>0</v>
      </c>
      <c r="I5797" s="8">
        <f t="shared" si="254"/>
        <v>-984.03000000000281</v>
      </c>
      <c r="J5797" s="12"/>
    </row>
    <row r="5798" spans="3:10" x14ac:dyDescent="0.25">
      <c r="C5798" s="9"/>
      <c r="D5798" s="10">
        <v>45736</v>
      </c>
      <c r="E5798" t="s">
        <v>7497</v>
      </c>
      <c r="F5798" s="11" t="s">
        <v>7498</v>
      </c>
      <c r="G5798" s="8">
        <v>0</v>
      </c>
      <c r="H5798" s="8">
        <v>139.16999999999999</v>
      </c>
      <c r="I5798" s="8">
        <f t="shared" si="254"/>
        <v>-1123.2000000000028</v>
      </c>
      <c r="J5798" s="12"/>
    </row>
    <row r="5799" spans="3:10" x14ac:dyDescent="0.25">
      <c r="C5799" s="9"/>
      <c r="D5799" s="10">
        <v>45736</v>
      </c>
      <c r="E5799" t="s">
        <v>7499</v>
      </c>
      <c r="F5799" s="11" t="s">
        <v>7500</v>
      </c>
      <c r="G5799" s="8">
        <v>77.86</v>
      </c>
      <c r="H5799" s="8">
        <v>0</v>
      </c>
      <c r="I5799" s="8">
        <f t="shared" si="254"/>
        <v>-1045.3400000000029</v>
      </c>
      <c r="J5799" s="12"/>
    </row>
    <row r="5800" spans="3:10" x14ac:dyDescent="0.25">
      <c r="C5800" s="9"/>
      <c r="D5800" s="10">
        <v>45736</v>
      </c>
      <c r="E5800" t="s">
        <v>7501</v>
      </c>
      <c r="F5800" s="11" t="s">
        <v>7502</v>
      </c>
      <c r="G5800" s="8">
        <v>37.17</v>
      </c>
      <c r="H5800" s="8">
        <v>0</v>
      </c>
      <c r="I5800" s="8">
        <f t="shared" si="254"/>
        <v>-1008.1700000000029</v>
      </c>
      <c r="J5800" s="12"/>
    </row>
    <row r="5801" spans="3:10" x14ac:dyDescent="0.25">
      <c r="C5801" s="9"/>
      <c r="D5801" s="10">
        <v>45736</v>
      </c>
      <c r="E5801" t="s">
        <v>7503</v>
      </c>
      <c r="F5801" s="11" t="s">
        <v>7504</v>
      </c>
      <c r="G5801" s="8">
        <v>39.93</v>
      </c>
      <c r="H5801" s="8">
        <v>0</v>
      </c>
      <c r="I5801" s="8">
        <f t="shared" si="254"/>
        <v>-968.24000000000296</v>
      </c>
      <c r="J5801" s="12"/>
    </row>
    <row r="5802" spans="3:10" x14ac:dyDescent="0.25">
      <c r="C5802" s="9"/>
      <c r="D5802" s="10">
        <v>45736</v>
      </c>
      <c r="E5802" t="s">
        <v>7505</v>
      </c>
      <c r="F5802" s="11" t="s">
        <v>7506</v>
      </c>
      <c r="G5802" s="8">
        <v>1.82</v>
      </c>
      <c r="H5802" s="8">
        <v>0</v>
      </c>
      <c r="I5802" s="8">
        <f t="shared" si="254"/>
        <v>-966.42000000000291</v>
      </c>
      <c r="J5802" s="12"/>
    </row>
    <row r="5803" spans="3:10" x14ac:dyDescent="0.25">
      <c r="C5803" s="9"/>
      <c r="D5803" s="10">
        <v>45736</v>
      </c>
      <c r="E5803" t="s">
        <v>7507</v>
      </c>
      <c r="F5803" s="11" t="s">
        <v>7508</v>
      </c>
      <c r="G5803" s="8">
        <v>37.659999999999997</v>
      </c>
      <c r="H5803" s="8">
        <v>0</v>
      </c>
      <c r="I5803" s="8">
        <f t="shared" si="254"/>
        <v>-928.76000000000295</v>
      </c>
      <c r="J5803" s="12"/>
    </row>
    <row r="5804" spans="3:10" x14ac:dyDescent="0.25">
      <c r="C5804" s="9"/>
      <c r="D5804" s="10">
        <v>45736</v>
      </c>
      <c r="E5804" t="s">
        <v>7507</v>
      </c>
      <c r="F5804" s="11" t="s">
        <v>7508</v>
      </c>
      <c r="G5804" s="8">
        <v>0</v>
      </c>
      <c r="H5804" s="8">
        <v>37.659999999999997</v>
      </c>
      <c r="I5804" s="8">
        <f t="shared" si="254"/>
        <v>-966.42000000000291</v>
      </c>
      <c r="J5804" s="12"/>
    </row>
    <row r="5805" spans="3:10" x14ac:dyDescent="0.25">
      <c r="C5805" s="9"/>
      <c r="D5805" s="10">
        <v>45736</v>
      </c>
      <c r="E5805" t="s">
        <v>7509</v>
      </c>
      <c r="F5805" s="11" t="s">
        <v>7510</v>
      </c>
      <c r="G5805" s="8">
        <v>2.94</v>
      </c>
      <c r="H5805" s="8">
        <v>0</v>
      </c>
      <c r="I5805" s="8">
        <f t="shared" si="254"/>
        <v>-963.48000000000286</v>
      </c>
      <c r="J5805" s="12"/>
    </row>
    <row r="5806" spans="3:10" x14ac:dyDescent="0.25">
      <c r="C5806" s="9"/>
      <c r="D5806" s="10">
        <v>45736</v>
      </c>
      <c r="E5806" t="s">
        <v>7511</v>
      </c>
      <c r="F5806" s="11" t="s">
        <v>7512</v>
      </c>
      <c r="G5806" s="8">
        <v>11.31</v>
      </c>
      <c r="H5806" s="8">
        <v>0</v>
      </c>
      <c r="I5806" s="8">
        <f t="shared" si="254"/>
        <v>-952.17000000000291</v>
      </c>
      <c r="J5806" s="12"/>
    </row>
    <row r="5807" spans="3:10" x14ac:dyDescent="0.25">
      <c r="C5807" s="9"/>
      <c r="D5807" s="10">
        <v>45736</v>
      </c>
      <c r="E5807" t="s">
        <v>7513</v>
      </c>
      <c r="F5807" s="11" t="s">
        <v>7514</v>
      </c>
      <c r="G5807" s="8">
        <v>1.42</v>
      </c>
      <c r="H5807" s="8">
        <v>0</v>
      </c>
      <c r="I5807" s="8">
        <f t="shared" si="254"/>
        <v>-950.75000000000296</v>
      </c>
      <c r="J5807" s="12"/>
    </row>
    <row r="5808" spans="3:10" x14ac:dyDescent="0.25">
      <c r="C5808" s="9"/>
      <c r="D5808" s="10">
        <v>45736</v>
      </c>
      <c r="E5808" t="s">
        <v>7513</v>
      </c>
      <c r="F5808" s="11" t="s">
        <v>7514</v>
      </c>
      <c r="G5808" s="8">
        <v>0</v>
      </c>
      <c r="H5808" s="8">
        <v>1.42</v>
      </c>
      <c r="I5808" s="8">
        <f t="shared" si="254"/>
        <v>-952.17000000000291</v>
      </c>
      <c r="J5808" s="12"/>
    </row>
    <row r="5809" spans="3:10" x14ac:dyDescent="0.25">
      <c r="C5809" s="9"/>
      <c r="D5809" s="10">
        <v>45736</v>
      </c>
      <c r="E5809" t="s">
        <v>7515</v>
      </c>
      <c r="F5809" s="11" t="s">
        <v>7516</v>
      </c>
      <c r="G5809" s="8">
        <v>7.72</v>
      </c>
      <c r="H5809" s="8">
        <v>0</v>
      </c>
      <c r="I5809" s="8">
        <f t="shared" si="254"/>
        <v>-944.45000000000289</v>
      </c>
      <c r="J5809" s="12"/>
    </row>
    <row r="5810" spans="3:10" x14ac:dyDescent="0.25">
      <c r="C5810" s="9"/>
      <c r="D5810" s="10">
        <v>45736</v>
      </c>
      <c r="E5810" t="s">
        <v>7517</v>
      </c>
      <c r="F5810" s="11" t="s">
        <v>7518</v>
      </c>
      <c r="G5810" s="8">
        <v>24.08</v>
      </c>
      <c r="H5810" s="8">
        <v>0</v>
      </c>
      <c r="I5810" s="8">
        <f t="shared" si="254"/>
        <v>-920.37000000000285</v>
      </c>
      <c r="J5810" s="12"/>
    </row>
    <row r="5811" spans="3:10" x14ac:dyDescent="0.25">
      <c r="C5811" s="9"/>
      <c r="D5811" s="10">
        <v>45736</v>
      </c>
      <c r="E5811" t="s">
        <v>7109</v>
      </c>
      <c r="F5811" s="11" t="s">
        <v>42</v>
      </c>
      <c r="G5811" s="8">
        <v>0</v>
      </c>
      <c r="H5811" s="8">
        <v>329.48</v>
      </c>
      <c r="I5811" s="8">
        <f t="shared" si="254"/>
        <v>-1249.8500000000029</v>
      </c>
      <c r="J5811" s="12"/>
    </row>
    <row r="5812" spans="3:10" x14ac:dyDescent="0.25">
      <c r="C5812" s="9"/>
      <c r="D5812" s="10">
        <v>45737</v>
      </c>
      <c r="E5812" t="s">
        <v>7519</v>
      </c>
      <c r="F5812" s="11" t="s">
        <v>7520</v>
      </c>
      <c r="G5812" s="8">
        <v>10.53</v>
      </c>
      <c r="H5812" s="8">
        <v>0</v>
      </c>
      <c r="I5812" s="8">
        <f t="shared" si="254"/>
        <v>-1239.3200000000029</v>
      </c>
      <c r="J5812" s="12"/>
    </row>
    <row r="5813" spans="3:10" x14ac:dyDescent="0.25">
      <c r="C5813" s="9"/>
      <c r="D5813" s="10">
        <v>45737</v>
      </c>
      <c r="E5813" t="s">
        <v>7521</v>
      </c>
      <c r="F5813" s="11" t="s">
        <v>7522</v>
      </c>
      <c r="G5813" s="8">
        <v>15.23</v>
      </c>
      <c r="H5813" s="8">
        <v>0</v>
      </c>
      <c r="I5813" s="8">
        <f t="shared" si="254"/>
        <v>-1224.0900000000029</v>
      </c>
      <c r="J5813" s="12"/>
    </row>
    <row r="5814" spans="3:10" x14ac:dyDescent="0.25">
      <c r="C5814" s="9"/>
      <c r="D5814" s="10">
        <v>45737</v>
      </c>
      <c r="E5814" t="s">
        <v>7523</v>
      </c>
      <c r="F5814" s="11" t="s">
        <v>7524</v>
      </c>
      <c r="G5814" s="8">
        <v>41.5</v>
      </c>
      <c r="H5814" s="8">
        <v>0</v>
      </c>
      <c r="I5814" s="8">
        <f t="shared" si="254"/>
        <v>-1182.5900000000029</v>
      </c>
      <c r="J5814" s="12"/>
    </row>
    <row r="5815" spans="3:10" x14ac:dyDescent="0.25">
      <c r="C5815" s="9"/>
      <c r="D5815" s="10">
        <v>45737</v>
      </c>
      <c r="E5815" t="s">
        <v>7525</v>
      </c>
      <c r="F5815" s="11" t="s">
        <v>7526</v>
      </c>
      <c r="G5815" s="8">
        <v>34.61</v>
      </c>
      <c r="H5815" s="8">
        <v>0</v>
      </c>
      <c r="I5815" s="8">
        <f t="shared" si="254"/>
        <v>-1147.980000000003</v>
      </c>
      <c r="J5815" s="12"/>
    </row>
    <row r="5816" spans="3:10" x14ac:dyDescent="0.25">
      <c r="C5816" s="9"/>
      <c r="D5816" s="10">
        <v>45737</v>
      </c>
      <c r="E5816" t="s">
        <v>7527</v>
      </c>
      <c r="F5816" s="11" t="s">
        <v>7528</v>
      </c>
      <c r="G5816" s="8">
        <v>11.63</v>
      </c>
      <c r="H5816" s="8">
        <v>0</v>
      </c>
      <c r="I5816" s="8">
        <f t="shared" si="254"/>
        <v>-1136.3500000000029</v>
      </c>
      <c r="J5816" s="12"/>
    </row>
    <row r="5817" spans="3:10" x14ac:dyDescent="0.25">
      <c r="C5817" s="9"/>
      <c r="D5817" s="10">
        <v>45737</v>
      </c>
      <c r="E5817" t="s">
        <v>7527</v>
      </c>
      <c r="F5817" s="11" t="s">
        <v>7528</v>
      </c>
      <c r="G5817" s="8">
        <v>0</v>
      </c>
      <c r="H5817" s="8">
        <v>11.63</v>
      </c>
      <c r="I5817" s="8">
        <f t="shared" si="254"/>
        <v>-1147.980000000003</v>
      </c>
      <c r="J5817" s="12"/>
    </row>
    <row r="5818" spans="3:10" x14ac:dyDescent="0.25">
      <c r="C5818" s="9"/>
      <c r="D5818" s="10">
        <v>45737</v>
      </c>
      <c r="E5818" t="s">
        <v>7529</v>
      </c>
      <c r="F5818" s="11" t="s">
        <v>7530</v>
      </c>
      <c r="G5818" s="8">
        <v>11.62</v>
      </c>
      <c r="H5818" s="8">
        <v>0</v>
      </c>
      <c r="I5818" s="8">
        <f t="shared" si="254"/>
        <v>-1136.3600000000031</v>
      </c>
      <c r="J5818" s="12"/>
    </row>
    <row r="5819" spans="3:10" x14ac:dyDescent="0.25">
      <c r="C5819" s="9"/>
      <c r="D5819" s="10">
        <v>45737</v>
      </c>
      <c r="E5819" t="s">
        <v>7531</v>
      </c>
      <c r="F5819" s="11" t="s">
        <v>7532</v>
      </c>
      <c r="G5819" s="8">
        <v>30.49</v>
      </c>
      <c r="H5819" s="8">
        <v>0</v>
      </c>
      <c r="I5819" s="8">
        <f t="shared" si="254"/>
        <v>-1105.8700000000031</v>
      </c>
      <c r="J5819" s="12"/>
    </row>
    <row r="5820" spans="3:10" x14ac:dyDescent="0.25">
      <c r="C5820" s="9"/>
      <c r="D5820" s="10">
        <v>45737</v>
      </c>
      <c r="E5820" t="s">
        <v>7531</v>
      </c>
      <c r="F5820" s="11" t="s">
        <v>7532</v>
      </c>
      <c r="G5820" s="8">
        <v>0</v>
      </c>
      <c r="H5820" s="8">
        <v>30.49</v>
      </c>
      <c r="I5820" s="8">
        <f t="shared" si="254"/>
        <v>-1136.3600000000031</v>
      </c>
      <c r="J5820" s="12"/>
    </row>
    <row r="5821" spans="3:10" x14ac:dyDescent="0.25">
      <c r="C5821" s="9"/>
      <c r="D5821" s="10">
        <v>45737</v>
      </c>
      <c r="E5821" t="s">
        <v>7533</v>
      </c>
      <c r="F5821" s="11" t="s">
        <v>7534</v>
      </c>
      <c r="G5821" s="8">
        <v>0.76</v>
      </c>
      <c r="H5821" s="8">
        <v>0</v>
      </c>
      <c r="I5821" s="8">
        <f t="shared" si="254"/>
        <v>-1135.6000000000031</v>
      </c>
      <c r="J5821" s="12"/>
    </row>
    <row r="5822" spans="3:10" x14ac:dyDescent="0.25">
      <c r="C5822" s="9"/>
      <c r="D5822" s="10">
        <v>45737</v>
      </c>
      <c r="E5822" t="s">
        <v>7535</v>
      </c>
      <c r="F5822" s="11" t="s">
        <v>7536</v>
      </c>
      <c r="G5822" s="8">
        <v>21.96</v>
      </c>
      <c r="H5822" s="8">
        <v>0</v>
      </c>
      <c r="I5822" s="8">
        <f t="shared" si="254"/>
        <v>-1113.6400000000031</v>
      </c>
      <c r="J5822" s="12"/>
    </row>
    <row r="5823" spans="3:10" x14ac:dyDescent="0.25">
      <c r="C5823" s="9"/>
      <c r="D5823" s="10">
        <v>45737</v>
      </c>
      <c r="E5823" t="s">
        <v>7537</v>
      </c>
      <c r="F5823" s="11" t="s">
        <v>7538</v>
      </c>
      <c r="G5823" s="8">
        <v>23.55</v>
      </c>
      <c r="H5823" s="8">
        <v>0</v>
      </c>
      <c r="I5823" s="8">
        <f t="shared" si="254"/>
        <v>-1090.0900000000031</v>
      </c>
      <c r="J5823" s="12"/>
    </row>
    <row r="5824" spans="3:10" x14ac:dyDescent="0.25">
      <c r="C5824" s="9"/>
      <c r="D5824" s="10">
        <v>45737</v>
      </c>
      <c r="E5824" t="s">
        <v>7539</v>
      </c>
      <c r="F5824" s="11" t="s">
        <v>7540</v>
      </c>
      <c r="G5824" s="8">
        <v>9.41</v>
      </c>
      <c r="H5824" s="8">
        <v>0</v>
      </c>
      <c r="I5824" s="8">
        <f t="shared" si="254"/>
        <v>-1080.680000000003</v>
      </c>
      <c r="J5824" s="12"/>
    </row>
    <row r="5825" spans="3:10" x14ac:dyDescent="0.25">
      <c r="C5825" s="9"/>
      <c r="D5825" s="10">
        <v>45737</v>
      </c>
      <c r="E5825" t="s">
        <v>7541</v>
      </c>
      <c r="F5825" s="11" t="s">
        <v>7542</v>
      </c>
      <c r="G5825" s="8">
        <v>13.79</v>
      </c>
      <c r="H5825" s="8">
        <v>0</v>
      </c>
      <c r="I5825" s="8">
        <f t="shared" si="254"/>
        <v>-1066.8900000000031</v>
      </c>
      <c r="J5825" s="12"/>
    </row>
    <row r="5826" spans="3:10" x14ac:dyDescent="0.25">
      <c r="C5826" s="9"/>
      <c r="D5826" s="10">
        <v>45737</v>
      </c>
      <c r="E5826" t="s">
        <v>7543</v>
      </c>
      <c r="F5826" s="11" t="s">
        <v>7544</v>
      </c>
      <c r="G5826" s="8">
        <v>31.16</v>
      </c>
      <c r="H5826" s="8">
        <v>0</v>
      </c>
      <c r="I5826" s="8">
        <f t="shared" si="254"/>
        <v>-1035.730000000003</v>
      </c>
      <c r="J5826" s="12"/>
    </row>
    <row r="5827" spans="3:10" x14ac:dyDescent="0.25">
      <c r="C5827" s="9"/>
      <c r="D5827" s="10">
        <v>45737</v>
      </c>
      <c r="E5827" t="s">
        <v>7545</v>
      </c>
      <c r="F5827" s="11" t="s">
        <v>7546</v>
      </c>
      <c r="G5827" s="8">
        <v>0.79</v>
      </c>
      <c r="H5827" s="8">
        <v>0</v>
      </c>
      <c r="I5827" s="8">
        <f t="shared" si="254"/>
        <v>-1034.940000000003</v>
      </c>
      <c r="J5827" s="12"/>
    </row>
    <row r="5828" spans="3:10" x14ac:dyDescent="0.25">
      <c r="C5828" s="9"/>
      <c r="D5828" s="10">
        <v>45737</v>
      </c>
      <c r="E5828" t="s">
        <v>7547</v>
      </c>
      <c r="F5828" s="11" t="s">
        <v>7548</v>
      </c>
      <c r="G5828" s="8">
        <v>6.49</v>
      </c>
      <c r="H5828" s="8">
        <v>0</v>
      </c>
      <c r="I5828" s="8">
        <f t="shared" si="254"/>
        <v>-1028.450000000003</v>
      </c>
      <c r="J5828" s="12"/>
    </row>
    <row r="5829" spans="3:10" x14ac:dyDescent="0.25">
      <c r="C5829" s="9"/>
      <c r="D5829" s="10">
        <v>45737</v>
      </c>
      <c r="E5829" t="s">
        <v>7549</v>
      </c>
      <c r="F5829" s="11" t="s">
        <v>7550</v>
      </c>
      <c r="G5829" s="8">
        <v>10.77</v>
      </c>
      <c r="H5829" s="8">
        <v>0</v>
      </c>
      <c r="I5829" s="8">
        <f t="shared" si="254"/>
        <v>-1017.680000000003</v>
      </c>
      <c r="J5829" s="12"/>
    </row>
    <row r="5830" spans="3:10" x14ac:dyDescent="0.25">
      <c r="C5830" s="9"/>
      <c r="D5830" s="10">
        <v>45737</v>
      </c>
      <c r="E5830" t="s">
        <v>7551</v>
      </c>
      <c r="F5830" s="11" t="s">
        <v>7552</v>
      </c>
      <c r="G5830" s="8">
        <v>73.75</v>
      </c>
      <c r="H5830" s="8">
        <v>0</v>
      </c>
      <c r="I5830" s="8">
        <f t="shared" si="254"/>
        <v>-943.93000000000302</v>
      </c>
      <c r="J5830" s="12"/>
    </row>
    <row r="5831" spans="3:10" x14ac:dyDescent="0.25">
      <c r="C5831" s="9"/>
      <c r="D5831" s="10">
        <v>45737</v>
      </c>
      <c r="E5831" t="s">
        <v>7553</v>
      </c>
      <c r="F5831" s="11" t="s">
        <v>7554</v>
      </c>
      <c r="G5831" s="8">
        <v>17.96</v>
      </c>
      <c r="H5831" s="8">
        <v>0</v>
      </c>
      <c r="I5831" s="8">
        <f t="shared" si="254"/>
        <v>-925.97000000000298</v>
      </c>
      <c r="J5831" s="12"/>
    </row>
    <row r="5832" spans="3:10" x14ac:dyDescent="0.25">
      <c r="C5832" s="9"/>
      <c r="D5832" s="10">
        <v>45737</v>
      </c>
      <c r="E5832" t="s">
        <v>7555</v>
      </c>
      <c r="F5832" s="11" t="s">
        <v>7556</v>
      </c>
      <c r="G5832" s="8">
        <v>12.1</v>
      </c>
      <c r="H5832" s="8">
        <v>0</v>
      </c>
      <c r="I5832" s="8">
        <f t="shared" si="254"/>
        <v>-913.87000000000296</v>
      </c>
      <c r="J5832" s="12"/>
    </row>
    <row r="5833" spans="3:10" x14ac:dyDescent="0.25">
      <c r="C5833" s="9"/>
      <c r="D5833" s="10">
        <v>45737</v>
      </c>
      <c r="E5833" t="s">
        <v>7109</v>
      </c>
      <c r="F5833" s="11" t="s">
        <v>42</v>
      </c>
      <c r="G5833" s="8">
        <v>0</v>
      </c>
      <c r="H5833" s="8">
        <v>214.73</v>
      </c>
      <c r="I5833" s="8">
        <f t="shared" si="254"/>
        <v>-1128.6000000000029</v>
      </c>
      <c r="J5833" s="12"/>
    </row>
    <row r="5834" spans="3:10" x14ac:dyDescent="0.25">
      <c r="C5834" s="9"/>
      <c r="D5834" s="10">
        <v>45740</v>
      </c>
      <c r="E5834" t="s">
        <v>7557</v>
      </c>
      <c r="F5834" s="11" t="s">
        <v>7558</v>
      </c>
      <c r="G5834" s="8">
        <v>7.91</v>
      </c>
      <c r="H5834" s="8">
        <v>0</v>
      </c>
      <c r="I5834" s="8">
        <f t="shared" si="254"/>
        <v>-1120.6900000000028</v>
      </c>
      <c r="J5834" s="12"/>
    </row>
    <row r="5835" spans="3:10" x14ac:dyDescent="0.25">
      <c r="C5835" s="9"/>
      <c r="D5835" s="10">
        <v>45740</v>
      </c>
      <c r="E5835" t="s">
        <v>7559</v>
      </c>
      <c r="F5835" s="11" t="s">
        <v>7560</v>
      </c>
      <c r="G5835" s="8">
        <v>15.45</v>
      </c>
      <c r="H5835" s="8">
        <v>0</v>
      </c>
      <c r="I5835" s="8">
        <f t="shared" si="254"/>
        <v>-1105.2400000000027</v>
      </c>
      <c r="J5835" s="12"/>
    </row>
    <row r="5836" spans="3:10" x14ac:dyDescent="0.25">
      <c r="C5836" s="9"/>
      <c r="D5836" s="10">
        <v>45740</v>
      </c>
      <c r="E5836" t="s">
        <v>7561</v>
      </c>
      <c r="F5836" s="11" t="s">
        <v>7562</v>
      </c>
      <c r="G5836" s="8">
        <v>32.6</v>
      </c>
      <c r="H5836" s="8">
        <v>0</v>
      </c>
      <c r="I5836" s="8">
        <f t="shared" si="254"/>
        <v>-1072.6400000000028</v>
      </c>
      <c r="J5836" s="12"/>
    </row>
    <row r="5837" spans="3:10" x14ac:dyDescent="0.25">
      <c r="C5837" s="9"/>
      <c r="D5837" s="10">
        <v>45740</v>
      </c>
      <c r="E5837" t="s">
        <v>7563</v>
      </c>
      <c r="F5837" s="11" t="s">
        <v>7564</v>
      </c>
      <c r="G5837" s="8">
        <v>5.07</v>
      </c>
      <c r="H5837" s="8">
        <v>0</v>
      </c>
      <c r="I5837" s="8">
        <f t="shared" si="254"/>
        <v>-1067.5700000000029</v>
      </c>
      <c r="J5837" s="12"/>
    </row>
    <row r="5838" spans="3:10" x14ac:dyDescent="0.25">
      <c r="C5838" s="9"/>
      <c r="D5838" s="10">
        <v>45740</v>
      </c>
      <c r="E5838" t="s">
        <v>7565</v>
      </c>
      <c r="F5838" s="11" t="s">
        <v>7566</v>
      </c>
      <c r="G5838" s="8">
        <v>9.6999999999999993</v>
      </c>
      <c r="H5838" s="8">
        <v>0</v>
      </c>
      <c r="I5838" s="8">
        <f t="shared" si="254"/>
        <v>-1057.8700000000028</v>
      </c>
      <c r="J5838" s="12"/>
    </row>
    <row r="5839" spans="3:10" x14ac:dyDescent="0.25">
      <c r="C5839" s="9"/>
      <c r="D5839" s="10">
        <v>45740</v>
      </c>
      <c r="E5839" t="s">
        <v>7567</v>
      </c>
      <c r="F5839" s="11" t="s">
        <v>7568</v>
      </c>
      <c r="G5839" s="8">
        <v>20.51</v>
      </c>
      <c r="H5839" s="8">
        <v>0</v>
      </c>
      <c r="I5839" s="8">
        <f t="shared" si="254"/>
        <v>-1037.3600000000029</v>
      </c>
      <c r="J5839" s="12"/>
    </row>
    <row r="5840" spans="3:10" x14ac:dyDescent="0.25">
      <c r="C5840" s="9"/>
      <c r="D5840" s="10">
        <v>45740</v>
      </c>
      <c r="E5840" t="s">
        <v>7569</v>
      </c>
      <c r="F5840" s="11" t="s">
        <v>7570</v>
      </c>
      <c r="G5840" s="8">
        <v>48.61</v>
      </c>
      <c r="H5840" s="8">
        <v>0</v>
      </c>
      <c r="I5840" s="8">
        <f t="shared" si="254"/>
        <v>-988.75000000000284</v>
      </c>
      <c r="J5840" s="12"/>
    </row>
    <row r="5841" spans="3:10" x14ac:dyDescent="0.25">
      <c r="C5841" s="9"/>
      <c r="D5841" s="10">
        <v>45740</v>
      </c>
      <c r="E5841" t="s">
        <v>7571</v>
      </c>
      <c r="F5841" s="11" t="s">
        <v>7572</v>
      </c>
      <c r="G5841" s="8">
        <v>49.61</v>
      </c>
      <c r="H5841" s="8">
        <v>0</v>
      </c>
      <c r="I5841" s="8">
        <f t="shared" si="254"/>
        <v>-939.14000000000283</v>
      </c>
      <c r="J5841" s="12"/>
    </row>
    <row r="5842" spans="3:10" x14ac:dyDescent="0.25">
      <c r="C5842" s="9"/>
      <c r="D5842" s="10">
        <v>45740</v>
      </c>
      <c r="E5842" t="s">
        <v>7571</v>
      </c>
      <c r="F5842" s="11" t="s">
        <v>7572</v>
      </c>
      <c r="G5842" s="8">
        <v>0</v>
      </c>
      <c r="H5842" s="8">
        <v>49.61</v>
      </c>
      <c r="I5842" s="8">
        <f t="shared" si="254"/>
        <v>-988.75000000000284</v>
      </c>
      <c r="J5842" s="12"/>
    </row>
    <row r="5843" spans="3:10" x14ac:dyDescent="0.25">
      <c r="C5843" s="9"/>
      <c r="D5843" s="10">
        <v>45740</v>
      </c>
      <c r="E5843" t="s">
        <v>7573</v>
      </c>
      <c r="F5843" s="11" t="s">
        <v>7574</v>
      </c>
      <c r="G5843" s="8">
        <v>5.0599999999999996</v>
      </c>
      <c r="H5843" s="8">
        <v>0</v>
      </c>
      <c r="I5843" s="8">
        <f t="shared" si="254"/>
        <v>-983.6900000000029</v>
      </c>
      <c r="J5843" s="12"/>
    </row>
    <row r="5844" spans="3:10" x14ac:dyDescent="0.25">
      <c r="C5844" s="9"/>
      <c r="D5844" s="10">
        <v>45740</v>
      </c>
      <c r="E5844" t="s">
        <v>7575</v>
      </c>
      <c r="F5844" s="11" t="s">
        <v>7576</v>
      </c>
      <c r="G5844" s="8">
        <v>18.149999999999999</v>
      </c>
      <c r="H5844" s="8">
        <v>0</v>
      </c>
      <c r="I5844" s="8">
        <f t="shared" si="254"/>
        <v>-965.54000000000292</v>
      </c>
      <c r="J5844" s="12"/>
    </row>
    <row r="5845" spans="3:10" x14ac:dyDescent="0.25">
      <c r="C5845" s="9"/>
      <c r="D5845" s="10">
        <v>45740</v>
      </c>
      <c r="E5845" t="s">
        <v>7577</v>
      </c>
      <c r="F5845" s="11" t="s">
        <v>7578</v>
      </c>
      <c r="G5845" s="8">
        <v>91.13</v>
      </c>
      <c r="H5845" s="8">
        <v>0</v>
      </c>
      <c r="I5845" s="8">
        <f t="shared" si="254"/>
        <v>-874.41000000000292</v>
      </c>
      <c r="J5845" s="12"/>
    </row>
    <row r="5846" spans="3:10" x14ac:dyDescent="0.25">
      <c r="C5846" s="9"/>
      <c r="D5846" s="10">
        <v>45740</v>
      </c>
      <c r="E5846" t="s">
        <v>7577</v>
      </c>
      <c r="F5846" s="11" t="s">
        <v>7578</v>
      </c>
      <c r="G5846" s="8">
        <v>0</v>
      </c>
      <c r="H5846" s="8">
        <v>91.13</v>
      </c>
      <c r="I5846" s="8">
        <f t="shared" si="254"/>
        <v>-965.54000000000292</v>
      </c>
      <c r="J5846" s="12"/>
    </row>
    <row r="5847" spans="3:10" x14ac:dyDescent="0.25">
      <c r="C5847" s="9"/>
      <c r="D5847" s="10">
        <v>45740</v>
      </c>
      <c r="E5847" t="s">
        <v>7579</v>
      </c>
      <c r="F5847" s="11" t="s">
        <v>7580</v>
      </c>
      <c r="G5847" s="8">
        <v>0.79</v>
      </c>
      <c r="H5847" s="8">
        <v>0</v>
      </c>
      <c r="I5847" s="8">
        <f t="shared" si="254"/>
        <v>-964.75000000000296</v>
      </c>
      <c r="J5847" s="12"/>
    </row>
    <row r="5848" spans="3:10" x14ac:dyDescent="0.25">
      <c r="C5848" s="9"/>
      <c r="D5848" s="10">
        <v>45740</v>
      </c>
      <c r="E5848" t="s">
        <v>11</v>
      </c>
      <c r="F5848" s="11" t="s">
        <v>7581</v>
      </c>
      <c r="G5848" s="8">
        <v>0</v>
      </c>
      <c r="H5848" s="8">
        <v>333.76</v>
      </c>
      <c r="I5848" s="8">
        <f t="shared" si="254"/>
        <v>-1298.5100000000029</v>
      </c>
      <c r="J5848" s="12"/>
    </row>
    <row r="5849" spans="3:10" x14ac:dyDescent="0.25">
      <c r="C5849" s="9"/>
      <c r="D5849" s="10">
        <v>45741</v>
      </c>
      <c r="E5849" t="s">
        <v>7582</v>
      </c>
      <c r="F5849" s="11" t="s">
        <v>7583</v>
      </c>
      <c r="G5849" s="8">
        <v>7.65</v>
      </c>
      <c r="H5849" s="8">
        <v>0</v>
      </c>
      <c r="I5849" s="8">
        <f t="shared" si="254"/>
        <v>-1290.8600000000029</v>
      </c>
      <c r="J5849" s="12"/>
    </row>
    <row r="5850" spans="3:10" x14ac:dyDescent="0.25">
      <c r="C5850" s="9"/>
      <c r="D5850" s="10">
        <v>45741</v>
      </c>
      <c r="E5850" t="s">
        <v>7584</v>
      </c>
      <c r="F5850" s="11" t="s">
        <v>7585</v>
      </c>
      <c r="G5850" s="8">
        <v>8.98</v>
      </c>
      <c r="H5850" s="8">
        <v>0</v>
      </c>
      <c r="I5850" s="8">
        <f t="shared" si="254"/>
        <v>-1281.8800000000028</v>
      </c>
      <c r="J5850" s="12"/>
    </row>
    <row r="5851" spans="3:10" x14ac:dyDescent="0.25">
      <c r="C5851" s="9"/>
      <c r="D5851" s="10">
        <v>45741</v>
      </c>
      <c r="E5851" t="s">
        <v>7584</v>
      </c>
      <c r="F5851" s="11" t="s">
        <v>7585</v>
      </c>
      <c r="G5851" s="8">
        <v>0</v>
      </c>
      <c r="H5851" s="8">
        <v>8.98</v>
      </c>
      <c r="I5851" s="8">
        <f t="shared" si="254"/>
        <v>-1290.8600000000029</v>
      </c>
      <c r="J5851" s="12"/>
    </row>
    <row r="5852" spans="3:10" x14ac:dyDescent="0.25">
      <c r="C5852" s="9"/>
      <c r="D5852" s="10">
        <v>45741</v>
      </c>
      <c r="E5852" t="s">
        <v>7586</v>
      </c>
      <c r="F5852" s="11" t="s">
        <v>7587</v>
      </c>
      <c r="G5852" s="8">
        <v>6.47</v>
      </c>
      <c r="H5852" s="8">
        <v>0</v>
      </c>
      <c r="I5852" s="8">
        <f t="shared" ref="I5852:I5915" si="255">G5852-H5852+I5851</f>
        <v>-1284.3900000000028</v>
      </c>
      <c r="J5852" s="12"/>
    </row>
    <row r="5853" spans="3:10" x14ac:dyDescent="0.25">
      <c r="C5853" s="9"/>
      <c r="D5853" s="10">
        <v>45741</v>
      </c>
      <c r="E5853" t="s">
        <v>7586</v>
      </c>
      <c r="F5853" s="11" t="s">
        <v>7587</v>
      </c>
      <c r="G5853" s="8">
        <v>0</v>
      </c>
      <c r="H5853" s="8">
        <v>6.47</v>
      </c>
      <c r="I5853" s="8">
        <f t="shared" si="255"/>
        <v>-1290.8600000000029</v>
      </c>
      <c r="J5853" s="12"/>
    </row>
    <row r="5854" spans="3:10" x14ac:dyDescent="0.25">
      <c r="C5854" s="9"/>
      <c r="D5854" s="10">
        <v>45741</v>
      </c>
      <c r="E5854" t="s">
        <v>7588</v>
      </c>
      <c r="F5854" s="11" t="s">
        <v>7589</v>
      </c>
      <c r="G5854" s="8">
        <v>2.09</v>
      </c>
      <c r="H5854" s="8">
        <v>0</v>
      </c>
      <c r="I5854" s="8">
        <f t="shared" si="255"/>
        <v>-1288.7700000000029</v>
      </c>
      <c r="J5854" s="12"/>
    </row>
    <row r="5855" spans="3:10" x14ac:dyDescent="0.25">
      <c r="C5855" s="9"/>
      <c r="D5855" s="10">
        <v>45741</v>
      </c>
      <c r="E5855" t="s">
        <v>7590</v>
      </c>
      <c r="F5855" s="11" t="s">
        <v>7591</v>
      </c>
      <c r="G5855" s="8">
        <v>15.57</v>
      </c>
      <c r="H5855" s="8">
        <v>0</v>
      </c>
      <c r="I5855" s="8">
        <f t="shared" si="255"/>
        <v>-1273.200000000003</v>
      </c>
      <c r="J5855" s="12"/>
    </row>
    <row r="5856" spans="3:10" x14ac:dyDescent="0.25">
      <c r="C5856" s="9"/>
      <c r="D5856" s="10">
        <v>45741</v>
      </c>
      <c r="E5856" t="s">
        <v>7590</v>
      </c>
      <c r="F5856" s="11" t="s">
        <v>7591</v>
      </c>
      <c r="G5856" s="8">
        <v>0</v>
      </c>
      <c r="H5856" s="8">
        <v>15.57</v>
      </c>
      <c r="I5856" s="8">
        <f t="shared" si="255"/>
        <v>-1288.7700000000029</v>
      </c>
      <c r="J5856" s="12"/>
    </row>
    <row r="5857" spans="3:10" x14ac:dyDescent="0.25">
      <c r="C5857" s="9"/>
      <c r="D5857" s="10">
        <v>45741</v>
      </c>
      <c r="E5857" t="s">
        <v>7592</v>
      </c>
      <c r="F5857" s="11" t="s">
        <v>7593</v>
      </c>
      <c r="G5857" s="8">
        <v>24.7</v>
      </c>
      <c r="H5857" s="8">
        <v>0</v>
      </c>
      <c r="I5857" s="8">
        <f t="shared" si="255"/>
        <v>-1264.0700000000029</v>
      </c>
      <c r="J5857" s="12"/>
    </row>
    <row r="5858" spans="3:10" x14ac:dyDescent="0.25">
      <c r="C5858" s="9"/>
      <c r="D5858" s="10">
        <v>45741</v>
      </c>
      <c r="E5858" t="s">
        <v>7592</v>
      </c>
      <c r="F5858" s="11" t="s">
        <v>7593</v>
      </c>
      <c r="G5858" s="8">
        <v>0</v>
      </c>
      <c r="H5858" s="8">
        <v>24.7</v>
      </c>
      <c r="I5858" s="8">
        <f t="shared" si="255"/>
        <v>-1288.7700000000029</v>
      </c>
      <c r="J5858" s="12"/>
    </row>
    <row r="5859" spans="3:10" x14ac:dyDescent="0.25">
      <c r="C5859" s="9"/>
      <c r="D5859" s="10">
        <v>45741</v>
      </c>
      <c r="E5859" t="s">
        <v>7594</v>
      </c>
      <c r="F5859" s="11" t="s">
        <v>7595</v>
      </c>
      <c r="G5859" s="8">
        <v>17.670000000000002</v>
      </c>
      <c r="H5859" s="8">
        <v>0</v>
      </c>
      <c r="I5859" s="8">
        <f t="shared" si="255"/>
        <v>-1271.1000000000029</v>
      </c>
      <c r="J5859" s="12"/>
    </row>
    <row r="5860" spans="3:10" x14ac:dyDescent="0.25">
      <c r="C5860" s="9"/>
      <c r="D5860" s="10">
        <v>45741</v>
      </c>
      <c r="E5860" t="s">
        <v>7596</v>
      </c>
      <c r="F5860" s="11" t="s">
        <v>7597</v>
      </c>
      <c r="G5860" s="8">
        <v>4.3</v>
      </c>
      <c r="H5860" s="8">
        <v>0</v>
      </c>
      <c r="I5860" s="8">
        <f t="shared" si="255"/>
        <v>-1266.8000000000029</v>
      </c>
      <c r="J5860" s="12"/>
    </row>
    <row r="5861" spans="3:10" x14ac:dyDescent="0.25">
      <c r="C5861" s="9"/>
      <c r="D5861" s="10">
        <v>45741</v>
      </c>
      <c r="E5861" t="s">
        <v>7598</v>
      </c>
      <c r="F5861" s="11" t="s">
        <v>7599</v>
      </c>
      <c r="G5861" s="8">
        <v>30.44</v>
      </c>
      <c r="H5861" s="8">
        <v>0</v>
      </c>
      <c r="I5861" s="8">
        <f t="shared" si="255"/>
        <v>-1236.3600000000029</v>
      </c>
      <c r="J5861" s="12"/>
    </row>
    <row r="5862" spans="3:10" x14ac:dyDescent="0.25">
      <c r="C5862" s="9"/>
      <c r="D5862" s="10">
        <v>45741</v>
      </c>
      <c r="E5862" t="s">
        <v>7598</v>
      </c>
      <c r="F5862" s="11" t="s">
        <v>7599</v>
      </c>
      <c r="G5862" s="8">
        <v>0</v>
      </c>
      <c r="H5862" s="8">
        <v>30.44</v>
      </c>
      <c r="I5862" s="8">
        <f t="shared" si="255"/>
        <v>-1266.8000000000029</v>
      </c>
      <c r="J5862" s="12"/>
    </row>
    <row r="5863" spans="3:10" x14ac:dyDescent="0.25">
      <c r="C5863" s="9"/>
      <c r="D5863" s="10">
        <v>45741</v>
      </c>
      <c r="E5863" t="s">
        <v>7600</v>
      </c>
      <c r="F5863" s="11" t="s">
        <v>7601</v>
      </c>
      <c r="G5863" s="8">
        <v>4.84</v>
      </c>
      <c r="H5863" s="8">
        <v>0</v>
      </c>
      <c r="I5863" s="8">
        <f t="shared" si="255"/>
        <v>-1261.960000000003</v>
      </c>
      <c r="J5863" s="12"/>
    </row>
    <row r="5864" spans="3:10" x14ac:dyDescent="0.25">
      <c r="C5864" s="9"/>
      <c r="D5864" s="10">
        <v>45741</v>
      </c>
      <c r="E5864" t="s">
        <v>7600</v>
      </c>
      <c r="F5864" s="11" t="s">
        <v>7601</v>
      </c>
      <c r="G5864" s="8">
        <v>0</v>
      </c>
      <c r="H5864" s="8">
        <v>4.84</v>
      </c>
      <c r="I5864" s="8">
        <f t="shared" si="255"/>
        <v>-1266.8000000000029</v>
      </c>
      <c r="J5864" s="12"/>
    </row>
    <row r="5865" spans="3:10" x14ac:dyDescent="0.25">
      <c r="C5865" s="9"/>
      <c r="D5865" s="10">
        <v>45741</v>
      </c>
      <c r="E5865" t="s">
        <v>7602</v>
      </c>
      <c r="F5865" s="11" t="s">
        <v>7603</v>
      </c>
      <c r="G5865" s="8">
        <v>14.19</v>
      </c>
      <c r="H5865" s="8">
        <v>0</v>
      </c>
      <c r="I5865" s="8">
        <f t="shared" si="255"/>
        <v>-1252.6100000000029</v>
      </c>
      <c r="J5865" s="12"/>
    </row>
    <row r="5866" spans="3:10" x14ac:dyDescent="0.25">
      <c r="C5866" s="9"/>
      <c r="D5866" s="10">
        <v>45741</v>
      </c>
      <c r="E5866" t="s">
        <v>7604</v>
      </c>
      <c r="F5866" s="11" t="s">
        <v>7605</v>
      </c>
      <c r="G5866" s="8">
        <v>91.23</v>
      </c>
      <c r="H5866" s="8">
        <v>0</v>
      </c>
      <c r="I5866" s="8">
        <f t="shared" si="255"/>
        <v>-1161.3800000000028</v>
      </c>
      <c r="J5866" s="12"/>
    </row>
    <row r="5867" spans="3:10" x14ac:dyDescent="0.25">
      <c r="C5867" s="9"/>
      <c r="D5867" s="10">
        <v>45741</v>
      </c>
      <c r="E5867" t="s">
        <v>7606</v>
      </c>
      <c r="F5867" s="11" t="s">
        <v>7607</v>
      </c>
      <c r="G5867" s="8">
        <v>49.2</v>
      </c>
      <c r="H5867" s="8">
        <v>0</v>
      </c>
      <c r="I5867" s="8">
        <f t="shared" si="255"/>
        <v>-1112.1800000000028</v>
      </c>
      <c r="J5867" s="12"/>
    </row>
    <row r="5868" spans="3:10" x14ac:dyDescent="0.25">
      <c r="C5868" s="9"/>
      <c r="D5868" s="10">
        <v>45741</v>
      </c>
      <c r="E5868" t="s">
        <v>7608</v>
      </c>
      <c r="F5868" s="11" t="s">
        <v>7609</v>
      </c>
      <c r="G5868" s="8">
        <v>26.34</v>
      </c>
      <c r="H5868" s="8">
        <v>0</v>
      </c>
      <c r="I5868" s="8">
        <f t="shared" si="255"/>
        <v>-1085.8400000000029</v>
      </c>
      <c r="J5868" s="12"/>
    </row>
    <row r="5869" spans="3:10" x14ac:dyDescent="0.25">
      <c r="C5869" s="9"/>
      <c r="D5869" s="10">
        <v>45741</v>
      </c>
      <c r="E5869" t="s">
        <v>7608</v>
      </c>
      <c r="F5869" s="11" t="s">
        <v>7609</v>
      </c>
      <c r="G5869" s="8">
        <v>0</v>
      </c>
      <c r="H5869" s="8">
        <v>26.34</v>
      </c>
      <c r="I5869" s="8">
        <f t="shared" si="255"/>
        <v>-1112.1800000000028</v>
      </c>
      <c r="J5869" s="12"/>
    </row>
    <row r="5870" spans="3:10" x14ac:dyDescent="0.25">
      <c r="C5870" s="9"/>
      <c r="D5870" s="10">
        <v>45741</v>
      </c>
      <c r="E5870" t="s">
        <v>7610</v>
      </c>
      <c r="F5870" s="11" t="s">
        <v>7611</v>
      </c>
      <c r="G5870" s="8">
        <v>14.88</v>
      </c>
      <c r="H5870" s="8">
        <v>0</v>
      </c>
      <c r="I5870" s="8">
        <f t="shared" si="255"/>
        <v>-1097.3000000000027</v>
      </c>
      <c r="J5870" s="12"/>
    </row>
    <row r="5871" spans="3:10" x14ac:dyDescent="0.25">
      <c r="C5871" s="9"/>
      <c r="D5871" s="10">
        <v>45741</v>
      </c>
      <c r="E5871" t="s">
        <v>7109</v>
      </c>
      <c r="F5871" s="11" t="s">
        <v>42</v>
      </c>
      <c r="G5871" s="8">
        <v>0</v>
      </c>
      <c r="H5871" s="8">
        <v>162.58000000000001</v>
      </c>
      <c r="I5871" s="8">
        <f t="shared" si="255"/>
        <v>-1259.8800000000026</v>
      </c>
      <c r="J5871" s="12"/>
    </row>
    <row r="5872" spans="3:10" x14ac:dyDescent="0.25">
      <c r="C5872" s="9"/>
      <c r="D5872" s="10">
        <v>45742</v>
      </c>
      <c r="E5872" t="s">
        <v>7612</v>
      </c>
      <c r="F5872" s="11" t="s">
        <v>7613</v>
      </c>
      <c r="G5872" s="8">
        <v>10.97</v>
      </c>
      <c r="H5872" s="8">
        <v>0</v>
      </c>
      <c r="I5872" s="8">
        <f t="shared" si="255"/>
        <v>-1248.9100000000026</v>
      </c>
      <c r="J5872" s="12"/>
    </row>
    <row r="5873" spans="3:10" x14ac:dyDescent="0.25">
      <c r="C5873" s="9"/>
      <c r="D5873" s="10">
        <v>45742</v>
      </c>
      <c r="E5873" t="s">
        <v>7614</v>
      </c>
      <c r="F5873" s="11" t="s">
        <v>7615</v>
      </c>
      <c r="G5873" s="8">
        <v>13.78</v>
      </c>
      <c r="H5873" s="8">
        <v>0</v>
      </c>
      <c r="I5873" s="8">
        <f t="shared" si="255"/>
        <v>-1235.1300000000026</v>
      </c>
      <c r="J5873" s="12"/>
    </row>
    <row r="5874" spans="3:10" x14ac:dyDescent="0.25">
      <c r="C5874" s="9"/>
      <c r="D5874" s="10">
        <v>45742</v>
      </c>
      <c r="E5874" t="s">
        <v>7614</v>
      </c>
      <c r="F5874" s="11" t="s">
        <v>7615</v>
      </c>
      <c r="G5874" s="8">
        <v>0</v>
      </c>
      <c r="H5874" s="8">
        <v>13.78</v>
      </c>
      <c r="I5874" s="8">
        <f t="shared" si="255"/>
        <v>-1248.9100000000026</v>
      </c>
      <c r="J5874" s="12"/>
    </row>
    <row r="5875" spans="3:10" x14ac:dyDescent="0.25">
      <c r="C5875" s="9"/>
      <c r="D5875" s="10">
        <v>45742</v>
      </c>
      <c r="E5875" t="s">
        <v>7616</v>
      </c>
      <c r="F5875" s="11" t="s">
        <v>7617</v>
      </c>
      <c r="G5875" s="8">
        <v>22.05</v>
      </c>
      <c r="H5875" s="8">
        <v>0</v>
      </c>
      <c r="I5875" s="8">
        <f t="shared" si="255"/>
        <v>-1226.8600000000026</v>
      </c>
      <c r="J5875" s="12"/>
    </row>
    <row r="5876" spans="3:10" x14ac:dyDescent="0.25">
      <c r="C5876" s="9"/>
      <c r="D5876" s="10">
        <v>45742</v>
      </c>
      <c r="E5876" t="s">
        <v>7618</v>
      </c>
      <c r="F5876" s="11" t="s">
        <v>7619</v>
      </c>
      <c r="G5876" s="8">
        <v>60.15</v>
      </c>
      <c r="H5876" s="8">
        <v>0</v>
      </c>
      <c r="I5876" s="8">
        <f t="shared" si="255"/>
        <v>-1166.7100000000025</v>
      </c>
      <c r="J5876" s="12"/>
    </row>
    <row r="5877" spans="3:10" x14ac:dyDescent="0.25">
      <c r="C5877" s="9"/>
      <c r="D5877" s="10">
        <v>45742</v>
      </c>
      <c r="E5877" t="s">
        <v>7620</v>
      </c>
      <c r="F5877" s="11" t="s">
        <v>7621</v>
      </c>
      <c r="G5877" s="8">
        <v>50.3</v>
      </c>
      <c r="H5877" s="8">
        <v>0</v>
      </c>
      <c r="I5877" s="8">
        <f t="shared" si="255"/>
        <v>-1116.4100000000026</v>
      </c>
      <c r="J5877" s="12"/>
    </row>
    <row r="5878" spans="3:10" x14ac:dyDescent="0.25">
      <c r="C5878" s="9"/>
      <c r="D5878" s="10">
        <v>45742</v>
      </c>
      <c r="E5878" t="s">
        <v>7622</v>
      </c>
      <c r="F5878" s="11" t="s">
        <v>7623</v>
      </c>
      <c r="G5878" s="8">
        <v>13.06</v>
      </c>
      <c r="H5878" s="8">
        <v>0</v>
      </c>
      <c r="I5878" s="8">
        <f t="shared" si="255"/>
        <v>-1103.3500000000026</v>
      </c>
      <c r="J5878" s="12"/>
    </row>
    <row r="5879" spans="3:10" x14ac:dyDescent="0.25">
      <c r="C5879" s="9"/>
      <c r="D5879" s="10">
        <v>45742</v>
      </c>
      <c r="E5879" t="s">
        <v>7622</v>
      </c>
      <c r="F5879" s="11" t="s">
        <v>7623</v>
      </c>
      <c r="G5879" s="8">
        <v>0</v>
      </c>
      <c r="H5879" s="8">
        <v>13.06</v>
      </c>
      <c r="I5879" s="8">
        <f t="shared" si="255"/>
        <v>-1116.4100000000026</v>
      </c>
      <c r="J5879" s="12"/>
    </row>
    <row r="5880" spans="3:10" x14ac:dyDescent="0.25">
      <c r="C5880" s="9"/>
      <c r="D5880" s="10">
        <v>45742</v>
      </c>
      <c r="E5880" t="s">
        <v>7624</v>
      </c>
      <c r="F5880" s="11" t="s">
        <v>7625</v>
      </c>
      <c r="G5880" s="8">
        <v>29.35</v>
      </c>
      <c r="H5880" s="8">
        <v>0</v>
      </c>
      <c r="I5880" s="8">
        <f t="shared" si="255"/>
        <v>-1087.0600000000027</v>
      </c>
      <c r="J5880" s="12"/>
    </row>
    <row r="5881" spans="3:10" x14ac:dyDescent="0.25">
      <c r="C5881" s="9"/>
      <c r="D5881" s="10">
        <v>45742</v>
      </c>
      <c r="E5881" t="s">
        <v>7626</v>
      </c>
      <c r="F5881" s="11" t="s">
        <v>7627</v>
      </c>
      <c r="G5881" s="8">
        <v>3.19</v>
      </c>
      <c r="H5881" s="8">
        <v>0</v>
      </c>
      <c r="I5881" s="8">
        <f t="shared" si="255"/>
        <v>-1083.8700000000026</v>
      </c>
      <c r="J5881" s="12"/>
    </row>
    <row r="5882" spans="3:10" x14ac:dyDescent="0.25">
      <c r="C5882" s="9"/>
      <c r="D5882" s="10">
        <v>45742</v>
      </c>
      <c r="E5882" t="s">
        <v>7628</v>
      </c>
      <c r="F5882" s="11" t="s">
        <v>7629</v>
      </c>
      <c r="G5882" s="8">
        <v>25.95</v>
      </c>
      <c r="H5882" s="8">
        <v>0</v>
      </c>
      <c r="I5882" s="8">
        <f t="shared" si="255"/>
        <v>-1057.9200000000026</v>
      </c>
      <c r="J5882" s="12"/>
    </row>
    <row r="5883" spans="3:10" x14ac:dyDescent="0.25">
      <c r="C5883" s="9"/>
      <c r="D5883" s="10">
        <v>45742</v>
      </c>
      <c r="E5883" t="s">
        <v>7630</v>
      </c>
      <c r="F5883" s="11" t="s">
        <v>7631</v>
      </c>
      <c r="G5883" s="8">
        <v>9.56</v>
      </c>
      <c r="H5883" s="8">
        <v>0</v>
      </c>
      <c r="I5883" s="8">
        <f t="shared" si="255"/>
        <v>-1048.3600000000026</v>
      </c>
      <c r="J5883" s="12"/>
    </row>
    <row r="5884" spans="3:10" x14ac:dyDescent="0.25">
      <c r="C5884" s="9"/>
      <c r="D5884" s="10">
        <v>45742</v>
      </c>
      <c r="E5884" t="s">
        <v>7109</v>
      </c>
      <c r="F5884" s="11" t="s">
        <v>42</v>
      </c>
      <c r="G5884" s="8">
        <v>0</v>
      </c>
      <c r="H5884" s="8">
        <v>200.23</v>
      </c>
      <c r="I5884" s="8">
        <f t="shared" si="255"/>
        <v>-1248.5900000000026</v>
      </c>
      <c r="J5884" s="12"/>
    </row>
    <row r="5885" spans="3:10" x14ac:dyDescent="0.25">
      <c r="C5885" s="9"/>
      <c r="D5885" s="10">
        <v>45743</v>
      </c>
      <c r="E5885" t="s">
        <v>7632</v>
      </c>
      <c r="F5885" s="11" t="s">
        <v>7633</v>
      </c>
      <c r="G5885" s="8">
        <v>121</v>
      </c>
      <c r="H5885" s="8">
        <v>0</v>
      </c>
      <c r="I5885" s="8">
        <f t="shared" si="255"/>
        <v>-1127.5900000000026</v>
      </c>
      <c r="J5885" s="12"/>
    </row>
    <row r="5886" spans="3:10" x14ac:dyDescent="0.25">
      <c r="C5886" s="9"/>
      <c r="D5886" s="10">
        <v>45743</v>
      </c>
      <c r="E5886" t="s">
        <v>7634</v>
      </c>
      <c r="F5886" s="11" t="s">
        <v>7635</v>
      </c>
      <c r="G5886" s="8">
        <v>24.33</v>
      </c>
      <c r="H5886" s="8">
        <v>0</v>
      </c>
      <c r="I5886" s="8">
        <f t="shared" si="255"/>
        <v>-1103.2600000000027</v>
      </c>
      <c r="J5886" s="12"/>
    </row>
    <row r="5887" spans="3:10" x14ac:dyDescent="0.25">
      <c r="C5887" s="9"/>
      <c r="D5887" s="10">
        <v>45743</v>
      </c>
      <c r="E5887" t="s">
        <v>7634</v>
      </c>
      <c r="F5887" s="11" t="s">
        <v>7635</v>
      </c>
      <c r="G5887" s="8">
        <v>0</v>
      </c>
      <c r="H5887" s="8">
        <v>24.33</v>
      </c>
      <c r="I5887" s="8">
        <f t="shared" si="255"/>
        <v>-1127.5900000000026</v>
      </c>
      <c r="J5887" s="12"/>
    </row>
    <row r="5888" spans="3:10" x14ac:dyDescent="0.25">
      <c r="C5888" s="9"/>
      <c r="D5888" s="10">
        <v>45743</v>
      </c>
      <c r="E5888" t="s">
        <v>7636</v>
      </c>
      <c r="F5888" s="11" t="s">
        <v>7637</v>
      </c>
      <c r="G5888" s="8">
        <v>21.47</v>
      </c>
      <c r="H5888" s="8">
        <v>0</v>
      </c>
      <c r="I5888" s="8">
        <f t="shared" si="255"/>
        <v>-1106.1200000000026</v>
      </c>
      <c r="J5888" s="12"/>
    </row>
    <row r="5889" spans="3:10" x14ac:dyDescent="0.25">
      <c r="C5889" s="9"/>
      <c r="D5889" s="10">
        <v>45743</v>
      </c>
      <c r="E5889" t="s">
        <v>7638</v>
      </c>
      <c r="F5889" s="11" t="s">
        <v>7639</v>
      </c>
      <c r="G5889" s="8">
        <v>39.08</v>
      </c>
      <c r="H5889" s="8">
        <v>0</v>
      </c>
      <c r="I5889" s="8">
        <f t="shared" si="255"/>
        <v>-1067.0400000000027</v>
      </c>
      <c r="J5889" s="12"/>
    </row>
    <row r="5890" spans="3:10" x14ac:dyDescent="0.25">
      <c r="C5890" s="9"/>
      <c r="D5890" s="10">
        <v>45743</v>
      </c>
      <c r="E5890" t="s">
        <v>7638</v>
      </c>
      <c r="F5890" s="11" t="s">
        <v>7639</v>
      </c>
      <c r="G5890" s="8">
        <v>0</v>
      </c>
      <c r="H5890" s="8">
        <v>39.08</v>
      </c>
      <c r="I5890" s="8">
        <f t="shared" si="255"/>
        <v>-1106.1200000000026</v>
      </c>
      <c r="J5890" s="12"/>
    </row>
    <row r="5891" spans="3:10" x14ac:dyDescent="0.25">
      <c r="C5891" s="9"/>
      <c r="D5891" s="10">
        <v>45743</v>
      </c>
      <c r="E5891" t="s">
        <v>7640</v>
      </c>
      <c r="F5891" s="11" t="s">
        <v>7641</v>
      </c>
      <c r="G5891" s="8">
        <v>7.25</v>
      </c>
      <c r="H5891" s="8">
        <v>0</v>
      </c>
      <c r="I5891" s="8">
        <f t="shared" si="255"/>
        <v>-1098.8700000000026</v>
      </c>
      <c r="J5891" s="12"/>
    </row>
    <row r="5892" spans="3:10" x14ac:dyDescent="0.25">
      <c r="C5892" s="9"/>
      <c r="D5892" s="10">
        <v>45743</v>
      </c>
      <c r="E5892" t="s">
        <v>7642</v>
      </c>
      <c r="F5892" s="11" t="s">
        <v>7643</v>
      </c>
      <c r="G5892" s="8">
        <v>106.69</v>
      </c>
      <c r="H5892" s="8">
        <v>0</v>
      </c>
      <c r="I5892" s="8">
        <f t="shared" si="255"/>
        <v>-992.18000000000256</v>
      </c>
      <c r="J5892" s="12"/>
    </row>
    <row r="5893" spans="3:10" x14ac:dyDescent="0.25">
      <c r="C5893" s="9"/>
      <c r="D5893" s="10">
        <v>45743</v>
      </c>
      <c r="E5893" t="s">
        <v>7644</v>
      </c>
      <c r="F5893" s="11" t="s">
        <v>7645</v>
      </c>
      <c r="G5893" s="8">
        <v>5.54</v>
      </c>
      <c r="H5893" s="8">
        <v>0</v>
      </c>
      <c r="I5893" s="8">
        <f t="shared" si="255"/>
        <v>-986.6400000000026</v>
      </c>
      <c r="J5893" s="12"/>
    </row>
    <row r="5894" spans="3:10" x14ac:dyDescent="0.25">
      <c r="C5894" s="9"/>
      <c r="D5894" s="10">
        <v>45743</v>
      </c>
      <c r="E5894" t="s">
        <v>7646</v>
      </c>
      <c r="F5894" s="11" t="s">
        <v>7647</v>
      </c>
      <c r="G5894" s="8">
        <v>52.76</v>
      </c>
      <c r="H5894" s="8">
        <v>0</v>
      </c>
      <c r="I5894" s="8">
        <f t="shared" si="255"/>
        <v>-933.88000000000261</v>
      </c>
      <c r="J5894" s="12"/>
    </row>
    <row r="5895" spans="3:10" x14ac:dyDescent="0.25">
      <c r="C5895" s="9"/>
      <c r="D5895" s="10">
        <v>45743</v>
      </c>
      <c r="E5895" t="s">
        <v>7648</v>
      </c>
      <c r="F5895" s="11" t="s">
        <v>7649</v>
      </c>
      <c r="G5895" s="8">
        <v>26.62</v>
      </c>
      <c r="H5895" s="8">
        <v>0</v>
      </c>
      <c r="I5895" s="8">
        <f t="shared" si="255"/>
        <v>-907.26000000000261</v>
      </c>
      <c r="J5895" s="12"/>
    </row>
    <row r="5896" spans="3:10" x14ac:dyDescent="0.25">
      <c r="C5896" s="9"/>
      <c r="D5896" s="10">
        <v>45743</v>
      </c>
      <c r="E5896" t="s">
        <v>7650</v>
      </c>
      <c r="F5896" s="11" t="s">
        <v>7651</v>
      </c>
      <c r="G5896" s="8">
        <v>3.44</v>
      </c>
      <c r="H5896" s="8">
        <v>0</v>
      </c>
      <c r="I5896" s="8">
        <f t="shared" si="255"/>
        <v>-903.82000000000255</v>
      </c>
      <c r="J5896" s="12"/>
    </row>
    <row r="5897" spans="3:10" x14ac:dyDescent="0.25">
      <c r="C5897" s="9"/>
      <c r="D5897" s="10">
        <v>45743</v>
      </c>
      <c r="E5897" t="s">
        <v>7652</v>
      </c>
      <c r="F5897" s="11" t="s">
        <v>7653</v>
      </c>
      <c r="G5897" s="8">
        <v>13.55</v>
      </c>
      <c r="H5897" s="8">
        <v>0</v>
      </c>
      <c r="I5897" s="8">
        <f t="shared" si="255"/>
        <v>-890.2700000000026</v>
      </c>
      <c r="J5897" s="12"/>
    </row>
    <row r="5898" spans="3:10" x14ac:dyDescent="0.25">
      <c r="C5898" s="9"/>
      <c r="D5898" s="10">
        <v>45743</v>
      </c>
      <c r="E5898" t="s">
        <v>7654</v>
      </c>
      <c r="F5898" s="11" t="s">
        <v>7655</v>
      </c>
      <c r="G5898" s="8">
        <v>11.13</v>
      </c>
      <c r="H5898" s="8">
        <v>0</v>
      </c>
      <c r="I5898" s="8">
        <f t="shared" si="255"/>
        <v>-879.1400000000026</v>
      </c>
      <c r="J5898" s="12"/>
    </row>
    <row r="5899" spans="3:10" x14ac:dyDescent="0.25">
      <c r="C5899" s="9"/>
      <c r="D5899" s="10">
        <v>45743</v>
      </c>
      <c r="E5899" t="s">
        <v>7656</v>
      </c>
      <c r="F5899" s="11" t="s">
        <v>7657</v>
      </c>
      <c r="G5899" s="8">
        <v>80.13</v>
      </c>
      <c r="H5899" s="8">
        <v>0</v>
      </c>
      <c r="I5899" s="8">
        <f t="shared" si="255"/>
        <v>-799.01000000000261</v>
      </c>
      <c r="J5899" s="12"/>
    </row>
    <row r="5900" spans="3:10" x14ac:dyDescent="0.25">
      <c r="C5900" s="9"/>
      <c r="D5900" s="10">
        <v>45743</v>
      </c>
      <c r="E5900" t="s">
        <v>7658</v>
      </c>
      <c r="F5900" s="11" t="s">
        <v>7659</v>
      </c>
      <c r="G5900" s="8">
        <v>26.49</v>
      </c>
      <c r="H5900" s="8">
        <v>0</v>
      </c>
      <c r="I5900" s="8">
        <f t="shared" si="255"/>
        <v>-772.5200000000026</v>
      </c>
      <c r="J5900" s="12"/>
    </row>
    <row r="5901" spans="3:10" x14ac:dyDescent="0.25">
      <c r="C5901" s="9"/>
      <c r="D5901" s="10">
        <v>45743</v>
      </c>
      <c r="E5901" t="s">
        <v>7658</v>
      </c>
      <c r="F5901" s="11" t="s">
        <v>7659</v>
      </c>
      <c r="G5901" s="8">
        <v>0</v>
      </c>
      <c r="H5901" s="8">
        <v>26.49</v>
      </c>
      <c r="I5901" s="8">
        <f t="shared" si="255"/>
        <v>-799.01000000000261</v>
      </c>
      <c r="J5901" s="12"/>
    </row>
    <row r="5902" spans="3:10" x14ac:dyDescent="0.25">
      <c r="C5902" s="9"/>
      <c r="D5902" s="10">
        <v>45743</v>
      </c>
      <c r="E5902" t="s">
        <v>7660</v>
      </c>
      <c r="F5902" s="11" t="s">
        <v>7661</v>
      </c>
      <c r="G5902" s="8">
        <v>16.190000000000001</v>
      </c>
      <c r="H5902" s="8">
        <v>0</v>
      </c>
      <c r="I5902" s="8">
        <f t="shared" si="255"/>
        <v>-782.82000000000255</v>
      </c>
      <c r="J5902" s="12"/>
    </row>
    <row r="5903" spans="3:10" x14ac:dyDescent="0.25">
      <c r="C5903" s="9"/>
      <c r="D5903" s="10">
        <v>45743</v>
      </c>
      <c r="E5903" t="s">
        <v>7662</v>
      </c>
      <c r="F5903" s="11" t="s">
        <v>7663</v>
      </c>
      <c r="G5903" s="8">
        <v>10.58</v>
      </c>
      <c r="H5903" s="8">
        <v>0</v>
      </c>
      <c r="I5903" s="8">
        <f t="shared" si="255"/>
        <v>-772.24000000000251</v>
      </c>
      <c r="J5903" s="12"/>
    </row>
    <row r="5904" spans="3:10" x14ac:dyDescent="0.25">
      <c r="C5904" s="9"/>
      <c r="D5904" s="10">
        <v>45743</v>
      </c>
      <c r="E5904" t="s">
        <v>7664</v>
      </c>
      <c r="F5904" s="11" t="s">
        <v>7665</v>
      </c>
      <c r="G5904" s="8">
        <v>24.96</v>
      </c>
      <c r="H5904" s="8">
        <v>0</v>
      </c>
      <c r="I5904" s="8">
        <f t="shared" si="255"/>
        <v>-747.28000000000247</v>
      </c>
      <c r="J5904" s="12"/>
    </row>
    <row r="5905" spans="3:10" x14ac:dyDescent="0.25">
      <c r="C5905" s="9"/>
      <c r="D5905" s="10">
        <v>45743</v>
      </c>
      <c r="E5905" t="s">
        <v>7666</v>
      </c>
      <c r="F5905" s="11" t="s">
        <v>7667</v>
      </c>
      <c r="G5905" s="8">
        <v>44.7</v>
      </c>
      <c r="H5905" s="8">
        <v>0</v>
      </c>
      <c r="I5905" s="8">
        <f t="shared" si="255"/>
        <v>-702.58000000000243</v>
      </c>
      <c r="J5905" s="12"/>
    </row>
    <row r="5906" spans="3:10" x14ac:dyDescent="0.25">
      <c r="C5906" s="9"/>
      <c r="D5906" s="10">
        <v>45743</v>
      </c>
      <c r="E5906" t="s">
        <v>7668</v>
      </c>
      <c r="F5906" s="11" t="s">
        <v>7669</v>
      </c>
      <c r="G5906" s="8">
        <v>184.63</v>
      </c>
      <c r="H5906" s="8">
        <v>0</v>
      </c>
      <c r="I5906" s="8">
        <f t="shared" si="255"/>
        <v>-517.95000000000243</v>
      </c>
      <c r="J5906" s="12"/>
    </row>
    <row r="5907" spans="3:10" x14ac:dyDescent="0.25">
      <c r="C5907" s="9"/>
      <c r="D5907" s="10">
        <v>45743</v>
      </c>
      <c r="E5907" t="s">
        <v>7670</v>
      </c>
      <c r="F5907" s="11" t="s">
        <v>7671</v>
      </c>
      <c r="G5907" s="8">
        <v>192.39</v>
      </c>
      <c r="H5907" s="8">
        <v>0</v>
      </c>
      <c r="I5907" s="8">
        <f t="shared" si="255"/>
        <v>-325.56000000000245</v>
      </c>
      <c r="J5907" s="12"/>
    </row>
    <row r="5908" spans="3:10" x14ac:dyDescent="0.25">
      <c r="C5908" s="9"/>
      <c r="D5908" s="10">
        <v>45743</v>
      </c>
      <c r="E5908" t="s">
        <v>7672</v>
      </c>
      <c r="F5908" s="11" t="s">
        <v>7673</v>
      </c>
      <c r="G5908" s="8">
        <v>5.6</v>
      </c>
      <c r="H5908" s="8">
        <v>0</v>
      </c>
      <c r="I5908" s="8">
        <f t="shared" si="255"/>
        <v>-319.96000000000242</v>
      </c>
      <c r="J5908" s="12"/>
    </row>
    <row r="5909" spans="3:10" x14ac:dyDescent="0.25">
      <c r="C5909" s="9"/>
      <c r="D5909" s="10">
        <v>45743</v>
      </c>
      <c r="E5909" t="s">
        <v>7672</v>
      </c>
      <c r="F5909" s="11" t="s">
        <v>7673</v>
      </c>
      <c r="G5909" s="8">
        <v>0</v>
      </c>
      <c r="H5909" s="8">
        <v>5.6</v>
      </c>
      <c r="I5909" s="8">
        <f t="shared" si="255"/>
        <v>-325.56000000000245</v>
      </c>
      <c r="J5909" s="12"/>
    </row>
    <row r="5910" spans="3:10" x14ac:dyDescent="0.25">
      <c r="C5910" s="9"/>
      <c r="D5910" s="10">
        <v>45743</v>
      </c>
      <c r="E5910" t="s">
        <v>7674</v>
      </c>
      <c r="F5910" s="11" t="s">
        <v>7675</v>
      </c>
      <c r="G5910" s="8">
        <v>8.02</v>
      </c>
      <c r="H5910" s="8">
        <v>0</v>
      </c>
      <c r="I5910" s="8">
        <f t="shared" si="255"/>
        <v>-317.54000000000246</v>
      </c>
      <c r="J5910" s="12"/>
    </row>
    <row r="5911" spans="3:10" x14ac:dyDescent="0.25">
      <c r="C5911" s="9"/>
      <c r="D5911" s="10">
        <v>45743</v>
      </c>
      <c r="E5911" t="s">
        <v>7676</v>
      </c>
      <c r="F5911" s="11" t="s">
        <v>7677</v>
      </c>
      <c r="G5911" s="8">
        <v>2.6</v>
      </c>
      <c r="H5911" s="8">
        <v>0</v>
      </c>
      <c r="I5911" s="8">
        <f t="shared" si="255"/>
        <v>-314.94000000000244</v>
      </c>
      <c r="J5911" s="12"/>
    </row>
    <row r="5912" spans="3:10" x14ac:dyDescent="0.25">
      <c r="C5912" s="9"/>
      <c r="D5912" s="10">
        <v>45743</v>
      </c>
      <c r="E5912" t="s">
        <v>7678</v>
      </c>
      <c r="F5912" s="11" t="s">
        <v>7679</v>
      </c>
      <c r="G5912" s="8">
        <v>55.2</v>
      </c>
      <c r="H5912" s="8">
        <v>0</v>
      </c>
      <c r="I5912" s="8">
        <f t="shared" si="255"/>
        <v>-259.74000000000245</v>
      </c>
      <c r="J5912" s="12"/>
    </row>
    <row r="5913" spans="3:10" x14ac:dyDescent="0.25">
      <c r="C5913" s="9"/>
      <c r="D5913" s="10">
        <v>45743</v>
      </c>
      <c r="E5913" t="s">
        <v>7680</v>
      </c>
      <c r="F5913" s="11" t="s">
        <v>7681</v>
      </c>
      <c r="G5913" s="8">
        <v>228.21</v>
      </c>
      <c r="H5913" s="8">
        <v>0</v>
      </c>
      <c r="I5913" s="8">
        <f t="shared" si="255"/>
        <v>-31.530000000002445</v>
      </c>
      <c r="J5913" s="12"/>
    </row>
    <row r="5914" spans="3:10" x14ac:dyDescent="0.25">
      <c r="C5914" s="9"/>
      <c r="D5914" s="10">
        <v>45743</v>
      </c>
      <c r="E5914" t="s">
        <v>7109</v>
      </c>
      <c r="F5914" s="11" t="s">
        <v>42</v>
      </c>
      <c r="G5914" s="8">
        <v>0</v>
      </c>
      <c r="H5914" s="8">
        <v>209.86</v>
      </c>
      <c r="I5914" s="8">
        <f t="shared" si="255"/>
        <v>-241.39000000000246</v>
      </c>
      <c r="J5914" s="12"/>
    </row>
    <row r="5915" spans="3:10" x14ac:dyDescent="0.25">
      <c r="C5915" s="9"/>
      <c r="D5915" s="10">
        <v>45744</v>
      </c>
      <c r="E5915" t="s">
        <v>7682</v>
      </c>
      <c r="F5915" s="11" t="s">
        <v>7683</v>
      </c>
      <c r="G5915" s="8">
        <v>10.65</v>
      </c>
      <c r="H5915" s="8">
        <v>0</v>
      </c>
      <c r="I5915" s="8">
        <f t="shared" si="255"/>
        <v>-230.74000000000245</v>
      </c>
      <c r="J5915" s="12"/>
    </row>
    <row r="5916" spans="3:10" x14ac:dyDescent="0.25">
      <c r="C5916" s="9"/>
      <c r="D5916" s="10">
        <v>45744</v>
      </c>
      <c r="E5916" t="s">
        <v>7684</v>
      </c>
      <c r="F5916" s="11" t="s">
        <v>7685</v>
      </c>
      <c r="G5916" s="8">
        <v>7.28</v>
      </c>
      <c r="H5916" s="8">
        <v>0</v>
      </c>
      <c r="I5916" s="8">
        <f t="shared" ref="I5916:I5968" si="256">G5916-H5916+I5915</f>
        <v>-223.46000000000245</v>
      </c>
      <c r="J5916" s="12"/>
    </row>
    <row r="5917" spans="3:10" x14ac:dyDescent="0.25">
      <c r="C5917" s="9"/>
      <c r="D5917" s="10">
        <v>45744</v>
      </c>
      <c r="E5917" t="s">
        <v>7684</v>
      </c>
      <c r="F5917" s="11" t="s">
        <v>7685</v>
      </c>
      <c r="G5917" s="8">
        <v>0</v>
      </c>
      <c r="H5917" s="8">
        <v>7.28</v>
      </c>
      <c r="I5917" s="8">
        <f t="shared" si="256"/>
        <v>-230.74000000000245</v>
      </c>
      <c r="J5917" s="12"/>
    </row>
    <row r="5918" spans="3:10" x14ac:dyDescent="0.25">
      <c r="C5918" s="9"/>
      <c r="D5918" s="10">
        <v>45744</v>
      </c>
      <c r="E5918" t="s">
        <v>7686</v>
      </c>
      <c r="F5918" s="11" t="s">
        <v>7687</v>
      </c>
      <c r="G5918" s="8">
        <v>102.84</v>
      </c>
      <c r="H5918" s="8">
        <v>0</v>
      </c>
      <c r="I5918" s="8">
        <f t="shared" si="256"/>
        <v>-127.90000000000245</v>
      </c>
      <c r="J5918" s="12"/>
    </row>
    <row r="5919" spans="3:10" x14ac:dyDescent="0.25">
      <c r="C5919" s="9"/>
      <c r="D5919" s="10">
        <v>45744</v>
      </c>
      <c r="E5919" t="s">
        <v>7688</v>
      </c>
      <c r="F5919" s="11" t="s">
        <v>7689</v>
      </c>
      <c r="G5919" s="8">
        <v>30.4</v>
      </c>
      <c r="H5919" s="8">
        <v>0</v>
      </c>
      <c r="I5919" s="8">
        <f t="shared" si="256"/>
        <v>-97.500000000002444</v>
      </c>
      <c r="J5919" s="12"/>
    </row>
    <row r="5920" spans="3:10" x14ac:dyDescent="0.25">
      <c r="C5920" s="9"/>
      <c r="D5920" s="10">
        <v>45744</v>
      </c>
      <c r="E5920" t="s">
        <v>7690</v>
      </c>
      <c r="F5920" s="11" t="s">
        <v>7691</v>
      </c>
      <c r="G5920" s="8">
        <v>4.45</v>
      </c>
      <c r="H5920" s="8">
        <v>0</v>
      </c>
      <c r="I5920" s="8">
        <f t="shared" si="256"/>
        <v>-93.050000000002441</v>
      </c>
      <c r="J5920" s="12"/>
    </row>
    <row r="5921" spans="3:10" x14ac:dyDescent="0.25">
      <c r="C5921" s="9"/>
      <c r="D5921" s="10">
        <v>45744</v>
      </c>
      <c r="E5921" t="s">
        <v>7692</v>
      </c>
      <c r="F5921" s="11" t="s">
        <v>7693</v>
      </c>
      <c r="G5921" s="8">
        <v>10.9</v>
      </c>
      <c r="H5921" s="8">
        <v>0</v>
      </c>
      <c r="I5921" s="8">
        <f t="shared" si="256"/>
        <v>-82.150000000002436</v>
      </c>
      <c r="J5921" s="12"/>
    </row>
    <row r="5922" spans="3:10" x14ac:dyDescent="0.25">
      <c r="C5922" s="9"/>
      <c r="D5922" s="10">
        <v>45744</v>
      </c>
      <c r="E5922" t="s">
        <v>7694</v>
      </c>
      <c r="F5922" s="11" t="s">
        <v>7695</v>
      </c>
      <c r="G5922" s="8">
        <v>14.19</v>
      </c>
      <c r="H5922" s="8">
        <v>0</v>
      </c>
      <c r="I5922" s="8">
        <f t="shared" si="256"/>
        <v>-67.960000000002438</v>
      </c>
      <c r="J5922" s="12"/>
    </row>
    <row r="5923" spans="3:10" x14ac:dyDescent="0.25">
      <c r="C5923" s="9"/>
      <c r="D5923" s="10">
        <v>45744</v>
      </c>
      <c r="E5923" t="s">
        <v>7696</v>
      </c>
      <c r="F5923" s="11" t="s">
        <v>7697</v>
      </c>
      <c r="G5923" s="8">
        <v>3.64</v>
      </c>
      <c r="H5923" s="8">
        <v>0</v>
      </c>
      <c r="I5923" s="8">
        <f t="shared" si="256"/>
        <v>-64.320000000002437</v>
      </c>
      <c r="J5923" s="12"/>
    </row>
    <row r="5924" spans="3:10" x14ac:dyDescent="0.25">
      <c r="C5924" s="9"/>
      <c r="D5924" s="10">
        <v>45744</v>
      </c>
      <c r="E5924" t="s">
        <v>7698</v>
      </c>
      <c r="F5924" s="11" t="s">
        <v>7699</v>
      </c>
      <c r="G5924" s="8">
        <v>7.73</v>
      </c>
      <c r="H5924" s="8">
        <v>0</v>
      </c>
      <c r="I5924" s="8">
        <f t="shared" si="256"/>
        <v>-56.590000000002433</v>
      </c>
      <c r="J5924" s="12"/>
    </row>
    <row r="5925" spans="3:10" x14ac:dyDescent="0.25">
      <c r="C5925" s="9"/>
      <c r="D5925" s="10">
        <v>45744</v>
      </c>
      <c r="E5925" t="s">
        <v>7698</v>
      </c>
      <c r="F5925" s="11" t="s">
        <v>7699</v>
      </c>
      <c r="G5925" s="8">
        <v>0</v>
      </c>
      <c r="H5925" s="8">
        <v>7.73</v>
      </c>
      <c r="I5925" s="8">
        <f t="shared" si="256"/>
        <v>-64.320000000002437</v>
      </c>
      <c r="J5925" s="12"/>
    </row>
    <row r="5926" spans="3:10" x14ac:dyDescent="0.25">
      <c r="C5926" s="9"/>
      <c r="D5926" s="10">
        <v>45744</v>
      </c>
      <c r="E5926" t="s">
        <v>7700</v>
      </c>
      <c r="F5926" s="11" t="s">
        <v>7701</v>
      </c>
      <c r="G5926" s="8">
        <v>15.86</v>
      </c>
      <c r="H5926" s="8">
        <v>0</v>
      </c>
      <c r="I5926" s="8">
        <f t="shared" si="256"/>
        <v>-48.460000000002438</v>
      </c>
      <c r="J5926" s="12"/>
    </row>
    <row r="5927" spans="3:10" x14ac:dyDescent="0.25">
      <c r="C5927" s="9"/>
      <c r="D5927" s="10">
        <v>45744</v>
      </c>
      <c r="E5927" t="s">
        <v>7702</v>
      </c>
      <c r="F5927" s="11" t="s">
        <v>7703</v>
      </c>
      <c r="G5927" s="8">
        <v>23.93</v>
      </c>
      <c r="H5927" s="8">
        <v>0</v>
      </c>
      <c r="I5927" s="8">
        <f t="shared" si="256"/>
        <v>-24.530000000002438</v>
      </c>
      <c r="J5927" s="12"/>
    </row>
    <row r="5928" spans="3:10" x14ac:dyDescent="0.25">
      <c r="C5928" s="9"/>
      <c r="D5928" s="10">
        <v>45744</v>
      </c>
      <c r="E5928" t="s">
        <v>7704</v>
      </c>
      <c r="F5928" s="11" t="s">
        <v>7705</v>
      </c>
      <c r="G5928" s="8">
        <v>1.42</v>
      </c>
      <c r="H5928" s="8">
        <v>0</v>
      </c>
      <c r="I5928" s="8">
        <f t="shared" si="256"/>
        <v>-23.110000000002437</v>
      </c>
      <c r="J5928" s="12"/>
    </row>
    <row r="5929" spans="3:10" x14ac:dyDescent="0.25">
      <c r="C5929" s="9"/>
      <c r="D5929" s="10">
        <v>45744</v>
      </c>
      <c r="E5929" t="s">
        <v>7706</v>
      </c>
      <c r="F5929" s="11" t="s">
        <v>7707</v>
      </c>
      <c r="G5929" s="8">
        <v>99.58</v>
      </c>
      <c r="H5929" s="8">
        <v>0</v>
      </c>
      <c r="I5929" s="8">
        <f t="shared" si="256"/>
        <v>76.469999999997555</v>
      </c>
      <c r="J5929" s="12"/>
    </row>
    <row r="5930" spans="3:10" x14ac:dyDescent="0.25">
      <c r="C5930" s="9"/>
      <c r="D5930" s="10">
        <v>45744</v>
      </c>
      <c r="E5930" t="s">
        <v>7708</v>
      </c>
      <c r="F5930" s="11" t="s">
        <v>7709</v>
      </c>
      <c r="G5930" s="8">
        <v>30.98</v>
      </c>
      <c r="H5930" s="8">
        <v>0</v>
      </c>
      <c r="I5930" s="8">
        <f t="shared" si="256"/>
        <v>107.44999999999756</v>
      </c>
      <c r="J5930" s="12"/>
    </row>
    <row r="5931" spans="3:10" x14ac:dyDescent="0.25">
      <c r="C5931" s="9"/>
      <c r="D5931" s="10">
        <v>45744</v>
      </c>
      <c r="E5931" t="s">
        <v>7708</v>
      </c>
      <c r="F5931" s="11" t="s">
        <v>7709</v>
      </c>
      <c r="G5931" s="8">
        <v>0</v>
      </c>
      <c r="H5931" s="8">
        <v>30.98</v>
      </c>
      <c r="I5931" s="8">
        <f t="shared" si="256"/>
        <v>76.469999999997555</v>
      </c>
      <c r="J5931" s="12"/>
    </row>
    <row r="5932" spans="3:10" x14ac:dyDescent="0.25">
      <c r="C5932" s="9"/>
      <c r="D5932" s="10">
        <v>45744</v>
      </c>
      <c r="E5932" t="s">
        <v>7710</v>
      </c>
      <c r="F5932" s="11" t="s">
        <v>7711</v>
      </c>
      <c r="G5932" s="8">
        <v>53.86</v>
      </c>
      <c r="H5932" s="8">
        <v>0</v>
      </c>
      <c r="I5932" s="8">
        <f t="shared" si="256"/>
        <v>130.32999999999754</v>
      </c>
      <c r="J5932" s="12"/>
    </row>
    <row r="5933" spans="3:10" x14ac:dyDescent="0.25">
      <c r="C5933" s="9"/>
      <c r="D5933" s="10">
        <v>45744</v>
      </c>
      <c r="E5933" t="s">
        <v>7710</v>
      </c>
      <c r="F5933" s="11" t="s">
        <v>7711</v>
      </c>
      <c r="G5933" s="8">
        <v>0</v>
      </c>
      <c r="H5933" s="8">
        <v>53.86</v>
      </c>
      <c r="I5933" s="8">
        <f t="shared" si="256"/>
        <v>76.46999999999754</v>
      </c>
      <c r="J5933" s="12"/>
    </row>
    <row r="5934" spans="3:10" x14ac:dyDescent="0.25">
      <c r="C5934" s="9"/>
      <c r="D5934" s="10">
        <v>45744</v>
      </c>
      <c r="E5934" t="s">
        <v>7109</v>
      </c>
      <c r="F5934" s="11" t="s">
        <v>42</v>
      </c>
      <c r="G5934" s="8">
        <v>0</v>
      </c>
      <c r="H5934" s="8">
        <v>1206.32</v>
      </c>
      <c r="I5934" s="8">
        <f t="shared" si="256"/>
        <v>-1129.8500000000024</v>
      </c>
      <c r="J5934" s="12"/>
    </row>
    <row r="5935" spans="3:10" x14ac:dyDescent="0.25">
      <c r="C5935" s="9"/>
      <c r="D5935" s="10">
        <v>45747</v>
      </c>
      <c r="E5935" t="s">
        <v>7712</v>
      </c>
      <c r="F5935" s="11" t="s">
        <v>7713</v>
      </c>
      <c r="G5935" s="8">
        <v>81.349999999999994</v>
      </c>
      <c r="H5935" s="8">
        <v>0</v>
      </c>
      <c r="I5935" s="8">
        <f t="shared" si="256"/>
        <v>-1048.5000000000025</v>
      </c>
      <c r="J5935" s="12"/>
    </row>
    <row r="5936" spans="3:10" x14ac:dyDescent="0.25">
      <c r="C5936" s="9"/>
      <c r="D5936" s="10">
        <v>45747</v>
      </c>
      <c r="E5936" t="s">
        <v>7714</v>
      </c>
      <c r="F5936" s="11" t="s">
        <v>7715</v>
      </c>
      <c r="G5936" s="8">
        <v>18.57</v>
      </c>
      <c r="H5936" s="8">
        <v>0</v>
      </c>
      <c r="I5936" s="8">
        <f t="shared" si="256"/>
        <v>-1029.9300000000026</v>
      </c>
      <c r="J5936" s="12"/>
    </row>
    <row r="5937" spans="3:10" x14ac:dyDescent="0.25">
      <c r="C5937" s="9"/>
      <c r="D5937" s="10">
        <v>45747</v>
      </c>
      <c r="E5937" t="s">
        <v>7714</v>
      </c>
      <c r="F5937" s="11" t="s">
        <v>7715</v>
      </c>
      <c r="G5937" s="8">
        <v>0</v>
      </c>
      <c r="H5937" s="8">
        <v>18.57</v>
      </c>
      <c r="I5937" s="8">
        <f t="shared" si="256"/>
        <v>-1048.5000000000025</v>
      </c>
      <c r="J5937" s="12"/>
    </row>
    <row r="5938" spans="3:10" x14ac:dyDescent="0.25">
      <c r="C5938" s="9"/>
      <c r="D5938" s="10">
        <v>45747</v>
      </c>
      <c r="E5938" t="s">
        <v>7716</v>
      </c>
      <c r="F5938" s="11" t="s">
        <v>7717</v>
      </c>
      <c r="G5938" s="8">
        <v>8.75</v>
      </c>
      <c r="H5938" s="8">
        <v>0</v>
      </c>
      <c r="I5938" s="8">
        <f t="shared" si="256"/>
        <v>-1039.7500000000025</v>
      </c>
      <c r="J5938" s="12"/>
    </row>
    <row r="5939" spans="3:10" x14ac:dyDescent="0.25">
      <c r="C5939" s="9"/>
      <c r="D5939" s="10">
        <v>45747</v>
      </c>
      <c r="E5939" t="s">
        <v>7716</v>
      </c>
      <c r="F5939" s="11" t="s">
        <v>7717</v>
      </c>
      <c r="G5939" s="8">
        <v>0</v>
      </c>
      <c r="H5939" s="8">
        <v>8.75</v>
      </c>
      <c r="I5939" s="8">
        <f t="shared" si="256"/>
        <v>-1048.5000000000025</v>
      </c>
      <c r="J5939" s="12"/>
    </row>
    <row r="5940" spans="3:10" x14ac:dyDescent="0.25">
      <c r="C5940" s="9"/>
      <c r="D5940" s="10">
        <v>45747</v>
      </c>
      <c r="E5940" t="s">
        <v>7718</v>
      </c>
      <c r="F5940" s="11" t="s">
        <v>7719</v>
      </c>
      <c r="G5940" s="8">
        <v>5.23</v>
      </c>
      <c r="H5940" s="8">
        <v>0</v>
      </c>
      <c r="I5940" s="8">
        <f t="shared" si="256"/>
        <v>-1043.2700000000025</v>
      </c>
      <c r="J5940" s="12"/>
    </row>
    <row r="5941" spans="3:10" x14ac:dyDescent="0.25">
      <c r="C5941" s="9"/>
      <c r="D5941" s="10">
        <v>45747</v>
      </c>
      <c r="E5941" t="s">
        <v>7718</v>
      </c>
      <c r="F5941" s="11" t="s">
        <v>7719</v>
      </c>
      <c r="G5941" s="8">
        <v>0</v>
      </c>
      <c r="H5941" s="8">
        <v>5.23</v>
      </c>
      <c r="I5941" s="8">
        <f t="shared" si="256"/>
        <v>-1048.5000000000025</v>
      </c>
      <c r="J5941" s="12"/>
    </row>
    <row r="5942" spans="3:10" x14ac:dyDescent="0.25">
      <c r="C5942" s="9"/>
      <c r="D5942" s="10">
        <v>45747</v>
      </c>
      <c r="E5942" t="s">
        <v>7720</v>
      </c>
      <c r="F5942" s="11" t="s">
        <v>7721</v>
      </c>
      <c r="G5942" s="8">
        <v>13.55</v>
      </c>
      <c r="H5942" s="8">
        <v>0</v>
      </c>
      <c r="I5942" s="8">
        <f t="shared" si="256"/>
        <v>-1034.9500000000025</v>
      </c>
      <c r="J5942" s="12"/>
    </row>
    <row r="5943" spans="3:10" x14ac:dyDescent="0.25">
      <c r="C5943" s="9"/>
      <c r="D5943" s="10">
        <v>45747</v>
      </c>
      <c r="E5943" t="s">
        <v>7722</v>
      </c>
      <c r="F5943" s="11" t="s">
        <v>7723</v>
      </c>
      <c r="G5943" s="8">
        <v>67.489999999999995</v>
      </c>
      <c r="H5943" s="8">
        <v>0</v>
      </c>
      <c r="I5943" s="8">
        <f t="shared" si="256"/>
        <v>-967.46000000000254</v>
      </c>
      <c r="J5943" s="12"/>
    </row>
    <row r="5944" spans="3:10" x14ac:dyDescent="0.25">
      <c r="C5944" s="9"/>
      <c r="D5944" s="10">
        <v>45747</v>
      </c>
      <c r="E5944" t="s">
        <v>7724</v>
      </c>
      <c r="F5944" s="11" t="s">
        <v>7725</v>
      </c>
      <c r="G5944" s="8">
        <v>3.06</v>
      </c>
      <c r="H5944" s="8">
        <v>0</v>
      </c>
      <c r="I5944" s="8">
        <f t="shared" si="256"/>
        <v>-964.40000000000259</v>
      </c>
      <c r="J5944" s="12"/>
    </row>
    <row r="5945" spans="3:10" x14ac:dyDescent="0.25">
      <c r="C5945" s="9"/>
      <c r="D5945" s="10">
        <v>45747</v>
      </c>
      <c r="E5945" t="s">
        <v>7726</v>
      </c>
      <c r="F5945" s="11" t="s">
        <v>7727</v>
      </c>
      <c r="G5945" s="8">
        <v>10.78</v>
      </c>
      <c r="H5945" s="8">
        <v>0</v>
      </c>
      <c r="I5945" s="8">
        <f t="shared" si="256"/>
        <v>-953.62000000000262</v>
      </c>
      <c r="J5945" s="12"/>
    </row>
    <row r="5946" spans="3:10" x14ac:dyDescent="0.25">
      <c r="C5946" s="9"/>
      <c r="D5946" s="10">
        <v>45747</v>
      </c>
      <c r="E5946" t="s">
        <v>7728</v>
      </c>
      <c r="F5946" s="11" t="s">
        <v>7729</v>
      </c>
      <c r="G5946" s="8">
        <v>18.100000000000001</v>
      </c>
      <c r="H5946" s="8">
        <v>0</v>
      </c>
      <c r="I5946" s="8">
        <f t="shared" si="256"/>
        <v>-935.5200000000026</v>
      </c>
      <c r="J5946" s="12"/>
    </row>
    <row r="5947" spans="3:10" x14ac:dyDescent="0.25">
      <c r="C5947" s="9"/>
      <c r="D5947" s="10">
        <v>45747</v>
      </c>
      <c r="E5947" t="s">
        <v>7730</v>
      </c>
      <c r="F5947" s="11" t="s">
        <v>7731</v>
      </c>
      <c r="G5947" s="8">
        <v>71.61</v>
      </c>
      <c r="H5947" s="8">
        <v>0</v>
      </c>
      <c r="I5947" s="8">
        <f t="shared" si="256"/>
        <v>-863.91000000000258</v>
      </c>
      <c r="J5947" s="12"/>
    </row>
    <row r="5948" spans="3:10" x14ac:dyDescent="0.25">
      <c r="C5948" s="9"/>
      <c r="D5948" s="10">
        <v>45747</v>
      </c>
      <c r="E5948" t="s">
        <v>7730</v>
      </c>
      <c r="F5948" s="11" t="s">
        <v>7731</v>
      </c>
      <c r="G5948" s="8">
        <v>0</v>
      </c>
      <c r="H5948" s="8">
        <v>71.61</v>
      </c>
      <c r="I5948" s="8">
        <f t="shared" si="256"/>
        <v>-935.5200000000026</v>
      </c>
      <c r="J5948" s="12"/>
    </row>
    <row r="5949" spans="3:10" x14ac:dyDescent="0.25">
      <c r="C5949" s="9"/>
      <c r="D5949" s="10">
        <v>45747</v>
      </c>
      <c r="E5949" t="s">
        <v>7732</v>
      </c>
      <c r="F5949" s="11" t="s">
        <v>7733</v>
      </c>
      <c r="G5949" s="8">
        <v>2.58</v>
      </c>
      <c r="H5949" s="8">
        <v>0</v>
      </c>
      <c r="I5949" s="8">
        <f t="shared" si="256"/>
        <v>-932.94000000000256</v>
      </c>
      <c r="J5949" s="12"/>
    </row>
    <row r="5950" spans="3:10" x14ac:dyDescent="0.25">
      <c r="C5950" s="9"/>
      <c r="D5950" s="10">
        <v>45747</v>
      </c>
      <c r="E5950" t="s">
        <v>7734</v>
      </c>
      <c r="F5950" s="11" t="s">
        <v>7735</v>
      </c>
      <c r="G5950" s="8">
        <v>5.45</v>
      </c>
      <c r="H5950" s="8">
        <v>0</v>
      </c>
      <c r="I5950" s="8">
        <f t="shared" si="256"/>
        <v>-927.49000000000251</v>
      </c>
      <c r="J5950" s="12"/>
    </row>
    <row r="5951" spans="3:10" x14ac:dyDescent="0.25">
      <c r="C5951" s="9"/>
      <c r="D5951" s="10">
        <v>45747</v>
      </c>
      <c r="E5951" t="s">
        <v>7736</v>
      </c>
      <c r="F5951" s="11" t="s">
        <v>7737</v>
      </c>
      <c r="G5951" s="8">
        <v>12.97</v>
      </c>
      <c r="H5951" s="8">
        <v>0</v>
      </c>
      <c r="I5951" s="8">
        <f t="shared" si="256"/>
        <v>-914.52000000000248</v>
      </c>
      <c r="J5951" s="12"/>
    </row>
    <row r="5952" spans="3:10" x14ac:dyDescent="0.25">
      <c r="C5952" s="9"/>
      <c r="D5952" s="10">
        <v>45747</v>
      </c>
      <c r="E5952" t="s">
        <v>7736</v>
      </c>
      <c r="F5952" s="11" t="s">
        <v>7737</v>
      </c>
      <c r="G5952" s="8">
        <v>0</v>
      </c>
      <c r="H5952" s="8">
        <v>12.97</v>
      </c>
      <c r="I5952" s="8">
        <f t="shared" si="256"/>
        <v>-927.49000000000251</v>
      </c>
      <c r="J5952" s="12"/>
    </row>
    <row r="5953" spans="3:10" x14ac:dyDescent="0.25">
      <c r="C5953" s="9"/>
      <c r="D5953" s="10">
        <v>45747</v>
      </c>
      <c r="E5953" t="s">
        <v>7738</v>
      </c>
      <c r="F5953" s="11" t="s">
        <v>7739</v>
      </c>
      <c r="G5953" s="8">
        <v>29.19</v>
      </c>
      <c r="H5953" s="8">
        <v>0</v>
      </c>
      <c r="I5953" s="8">
        <f t="shared" si="256"/>
        <v>-898.30000000000246</v>
      </c>
      <c r="J5953" s="12"/>
    </row>
    <row r="5954" spans="3:10" x14ac:dyDescent="0.25">
      <c r="C5954" s="9"/>
      <c r="D5954" s="10">
        <v>45747</v>
      </c>
      <c r="E5954" t="s">
        <v>7740</v>
      </c>
      <c r="F5954" s="11" t="s">
        <v>7741</v>
      </c>
      <c r="G5954" s="8">
        <v>68.680000000000007</v>
      </c>
      <c r="H5954" s="8">
        <v>0</v>
      </c>
      <c r="I5954" s="8">
        <f t="shared" si="256"/>
        <v>-829.62000000000239</v>
      </c>
      <c r="J5954" s="12"/>
    </row>
    <row r="5955" spans="3:10" x14ac:dyDescent="0.25">
      <c r="C5955" s="9"/>
      <c r="D5955" s="10">
        <v>45747</v>
      </c>
      <c r="E5955" t="s">
        <v>7740</v>
      </c>
      <c r="F5955" s="11" t="s">
        <v>7741</v>
      </c>
      <c r="G5955" s="8">
        <v>0</v>
      </c>
      <c r="H5955" s="8">
        <v>68.680000000000007</v>
      </c>
      <c r="I5955" s="8">
        <f t="shared" si="256"/>
        <v>-898.30000000000246</v>
      </c>
      <c r="J5955" s="12"/>
    </row>
    <row r="5956" spans="3:10" x14ac:dyDescent="0.25">
      <c r="C5956" s="9"/>
      <c r="D5956" s="10">
        <v>45747</v>
      </c>
      <c r="E5956" t="s">
        <v>7742</v>
      </c>
      <c r="F5956" s="11" t="s">
        <v>7743</v>
      </c>
      <c r="G5956" s="8">
        <v>15</v>
      </c>
      <c r="H5956" s="8">
        <v>0</v>
      </c>
      <c r="I5956" s="8">
        <f t="shared" si="256"/>
        <v>-883.30000000000246</v>
      </c>
      <c r="J5956" s="12"/>
    </row>
    <row r="5957" spans="3:10" x14ac:dyDescent="0.25">
      <c r="C5957" s="9"/>
      <c r="D5957" s="10">
        <v>45747</v>
      </c>
      <c r="E5957" t="s">
        <v>7109</v>
      </c>
      <c r="F5957" s="11" t="s">
        <v>42</v>
      </c>
      <c r="G5957" s="8">
        <v>0</v>
      </c>
      <c r="H5957" s="8">
        <v>315.07</v>
      </c>
      <c r="I5957" s="8">
        <f t="shared" si="256"/>
        <v>-1198.3700000000024</v>
      </c>
      <c r="J5957" s="12"/>
    </row>
    <row r="5958" spans="3:10" x14ac:dyDescent="0.25">
      <c r="C5958" s="9"/>
      <c r="D5958" s="10">
        <v>45748</v>
      </c>
      <c r="E5958" t="s">
        <v>1524</v>
      </c>
      <c r="F5958" s="11" t="s">
        <v>7744</v>
      </c>
      <c r="G5958" s="8">
        <v>0</v>
      </c>
      <c r="H5958" s="8">
        <v>245.03</v>
      </c>
      <c r="I5958" s="8">
        <f t="shared" si="256"/>
        <v>-1443.4000000000024</v>
      </c>
      <c r="J5958" s="12"/>
    </row>
    <row r="5959" spans="3:10" x14ac:dyDescent="0.25">
      <c r="C5959" s="9"/>
      <c r="D5959" s="10">
        <v>45749</v>
      </c>
      <c r="E5959" t="s">
        <v>7745</v>
      </c>
      <c r="F5959" s="11" t="s">
        <v>42</v>
      </c>
      <c r="G5959" s="8">
        <v>0</v>
      </c>
      <c r="H5959" s="8">
        <v>538.14</v>
      </c>
      <c r="I5959" s="8">
        <f t="shared" si="256"/>
        <v>-1981.5400000000022</v>
      </c>
      <c r="J5959" s="12"/>
    </row>
    <row r="5960" spans="3:10" x14ac:dyDescent="0.25">
      <c r="C5960" s="9"/>
      <c r="D5960" s="10">
        <v>45750</v>
      </c>
      <c r="E5960" t="s">
        <v>7745</v>
      </c>
      <c r="F5960" s="11" t="s">
        <v>42</v>
      </c>
      <c r="G5960" s="8">
        <v>0</v>
      </c>
      <c r="H5960" s="8">
        <v>248.85</v>
      </c>
      <c r="I5960" s="8">
        <f t="shared" si="256"/>
        <v>-2230.3900000000021</v>
      </c>
      <c r="J5960" s="12"/>
    </row>
    <row r="5961" spans="3:10" x14ac:dyDescent="0.25">
      <c r="C5961" s="9"/>
      <c r="D5961" s="10">
        <v>45751</v>
      </c>
      <c r="E5961" t="s">
        <v>7745</v>
      </c>
      <c r="F5961" s="11" t="s">
        <v>42</v>
      </c>
      <c r="G5961" s="8">
        <v>0</v>
      </c>
      <c r="H5961" s="8">
        <v>266.44</v>
      </c>
      <c r="I5961" s="8">
        <f t="shared" si="256"/>
        <v>-2496.8300000000022</v>
      </c>
      <c r="J5961" s="12"/>
    </row>
    <row r="5962" spans="3:10" x14ac:dyDescent="0.25">
      <c r="C5962" s="9"/>
      <c r="D5962" s="10">
        <v>45754</v>
      </c>
      <c r="E5962" t="s">
        <v>7745</v>
      </c>
      <c r="F5962" s="11" t="s">
        <v>42</v>
      </c>
      <c r="G5962" s="8">
        <v>0</v>
      </c>
      <c r="H5962" s="8">
        <v>652.29</v>
      </c>
      <c r="I5962" s="8">
        <f t="shared" si="256"/>
        <v>-3149.1200000000022</v>
      </c>
      <c r="J5962" s="12"/>
    </row>
    <row r="5963" spans="3:10" x14ac:dyDescent="0.25">
      <c r="C5963" s="9"/>
      <c r="D5963" s="10">
        <v>45755</v>
      </c>
      <c r="E5963" t="s">
        <v>7745</v>
      </c>
      <c r="F5963" s="11" t="s">
        <v>42</v>
      </c>
      <c r="G5963" s="8">
        <v>0</v>
      </c>
      <c r="H5963" s="8">
        <v>516.67999999999995</v>
      </c>
      <c r="I5963" s="8">
        <f t="shared" si="256"/>
        <v>-3665.800000000002</v>
      </c>
      <c r="J5963" s="12"/>
    </row>
    <row r="5964" spans="3:10" x14ac:dyDescent="0.25">
      <c r="C5964" s="9"/>
      <c r="D5964" s="10">
        <v>45756</v>
      </c>
      <c r="E5964" t="s">
        <v>7745</v>
      </c>
      <c r="F5964" s="11" t="s">
        <v>42</v>
      </c>
      <c r="G5964" s="8">
        <v>0</v>
      </c>
      <c r="H5964" s="8">
        <v>851.83</v>
      </c>
      <c r="I5964" s="8">
        <f t="shared" si="256"/>
        <v>-4517.6300000000019</v>
      </c>
      <c r="J5964" s="12"/>
    </row>
    <row r="5965" spans="3:10" x14ac:dyDescent="0.25">
      <c r="C5965" s="9"/>
      <c r="D5965" s="10">
        <v>45757</v>
      </c>
      <c r="E5965" t="s">
        <v>7745</v>
      </c>
      <c r="F5965" s="11" t="s">
        <v>42</v>
      </c>
      <c r="G5965" s="8">
        <v>0</v>
      </c>
      <c r="H5965" s="8">
        <v>297.18</v>
      </c>
      <c r="I5965" s="8">
        <f t="shared" si="256"/>
        <v>-4814.8100000000022</v>
      </c>
      <c r="J5965" s="12"/>
    </row>
    <row r="5966" spans="3:10" x14ac:dyDescent="0.25">
      <c r="C5966" s="9"/>
      <c r="D5966" s="10">
        <v>45758</v>
      </c>
      <c r="E5966" t="s">
        <v>11</v>
      </c>
      <c r="F5966" s="11" t="s">
        <v>7746</v>
      </c>
      <c r="G5966" s="8">
        <v>0</v>
      </c>
      <c r="H5966" s="8">
        <v>314.08999999999997</v>
      </c>
      <c r="I5966" s="8">
        <f t="shared" si="256"/>
        <v>-5128.9000000000024</v>
      </c>
      <c r="J5966" s="12"/>
    </row>
    <row r="5967" spans="3:10" x14ac:dyDescent="0.25">
      <c r="C5967" s="9"/>
      <c r="D5967" s="10">
        <v>45761</v>
      </c>
      <c r="E5967" t="s">
        <v>7745</v>
      </c>
      <c r="F5967" s="11" t="s">
        <v>42</v>
      </c>
      <c r="G5967" s="8">
        <v>0</v>
      </c>
      <c r="H5967" s="8">
        <v>1126.55</v>
      </c>
      <c r="I5967" s="8">
        <f t="shared" si="256"/>
        <v>-6255.4500000000025</v>
      </c>
      <c r="J5967" s="12"/>
    </row>
    <row r="5968" spans="3:10" x14ac:dyDescent="0.25">
      <c r="C5968" s="9"/>
      <c r="D5968" s="10">
        <v>45762</v>
      </c>
      <c r="E5968" t="s">
        <v>7745</v>
      </c>
      <c r="F5968" s="11" t="s">
        <v>42</v>
      </c>
      <c r="G5968" s="8">
        <v>0</v>
      </c>
      <c r="H5968" s="8">
        <v>812.8</v>
      </c>
      <c r="I5968" s="8">
        <f t="shared" si="256"/>
        <v>-7068.2500000000027</v>
      </c>
      <c r="J5968" s="12"/>
    </row>
    <row r="5969" spans="1:10" x14ac:dyDescent="0.25">
      <c r="E5969" s="4" t="s">
        <v>20</v>
      </c>
      <c r="G5969" s="8">
        <f>SUM(G4635:G5968)</f>
        <v>51659.619999999974</v>
      </c>
      <c r="H5969" s="8">
        <f>SUM(H4635:H5968)</f>
        <v>58727.87</v>
      </c>
      <c r="I5969" s="8">
        <f>G5969-H5969</f>
        <v>-7068.2500000000291</v>
      </c>
    </row>
    <row r="5971" spans="1:10" x14ac:dyDescent="0.25">
      <c r="A5971" s="5">
        <v>4310311</v>
      </c>
      <c r="B5971" s="6" t="s">
        <v>7747</v>
      </c>
      <c r="C5971" s="7"/>
      <c r="D5971" s="7"/>
      <c r="E5971" s="7"/>
      <c r="F5971" s="7"/>
      <c r="G5971" s="7"/>
      <c r="H5971" s="7"/>
      <c r="I5971" s="7"/>
      <c r="J5971" s="7"/>
    </row>
    <row r="5972" spans="1:10" x14ac:dyDescent="0.25">
      <c r="E5972" s="4" t="s">
        <v>10</v>
      </c>
      <c r="G5972" s="8">
        <v>138.35</v>
      </c>
      <c r="H5972" s="8">
        <v>0</v>
      </c>
      <c r="I5972" s="8">
        <f>G5972-H5972</f>
        <v>138.35</v>
      </c>
    </row>
    <row r="5973" spans="1:10" x14ac:dyDescent="0.25">
      <c r="C5973" s="9"/>
      <c r="D5973" s="10">
        <v>45659</v>
      </c>
      <c r="E5973" t="s">
        <v>1524</v>
      </c>
      <c r="F5973" s="11" t="s">
        <v>7748</v>
      </c>
      <c r="G5973" s="8">
        <v>0</v>
      </c>
      <c r="H5973" s="8">
        <v>138.35</v>
      </c>
      <c r="I5973" s="8">
        <f t="shared" ref="I5973:I5982" si="257">G5973-H5973+I5972</f>
        <v>0</v>
      </c>
      <c r="J5973" s="12"/>
    </row>
    <row r="5974" spans="1:10" x14ac:dyDescent="0.25">
      <c r="C5974" s="9"/>
      <c r="D5974" s="10">
        <v>45671</v>
      </c>
      <c r="E5974" t="s">
        <v>7749</v>
      </c>
      <c r="F5974" s="11" t="s">
        <v>7750</v>
      </c>
      <c r="G5974" s="8">
        <v>31.21</v>
      </c>
      <c r="H5974" s="8">
        <v>0</v>
      </c>
      <c r="I5974" s="8">
        <f t="shared" si="257"/>
        <v>31.21</v>
      </c>
      <c r="J5974" s="12"/>
    </row>
    <row r="5975" spans="1:10" x14ac:dyDescent="0.25">
      <c r="C5975" s="9"/>
      <c r="D5975" s="10">
        <v>45672</v>
      </c>
      <c r="E5975" t="s">
        <v>1524</v>
      </c>
      <c r="F5975" s="11" t="s">
        <v>7750</v>
      </c>
      <c r="G5975" s="8">
        <v>0</v>
      </c>
      <c r="H5975" s="8">
        <v>31.21</v>
      </c>
      <c r="I5975" s="8">
        <f t="shared" si="257"/>
        <v>0</v>
      </c>
      <c r="J5975" s="12"/>
    </row>
    <row r="5976" spans="1:10" x14ac:dyDescent="0.25">
      <c r="C5976" s="9"/>
      <c r="D5976" s="10">
        <v>45688</v>
      </c>
      <c r="E5976" t="s">
        <v>7751</v>
      </c>
      <c r="F5976" s="11" t="s">
        <v>7752</v>
      </c>
      <c r="G5976" s="8">
        <v>242.24</v>
      </c>
      <c r="H5976" s="8">
        <v>0</v>
      </c>
      <c r="I5976" s="8">
        <f t="shared" si="257"/>
        <v>242.24</v>
      </c>
      <c r="J5976" s="12"/>
    </row>
    <row r="5977" spans="1:10" x14ac:dyDescent="0.25">
      <c r="C5977" s="9"/>
      <c r="D5977" s="10">
        <v>45691</v>
      </c>
      <c r="E5977" t="s">
        <v>1524</v>
      </c>
      <c r="F5977" s="11" t="s">
        <v>7752</v>
      </c>
      <c r="G5977" s="8">
        <v>0</v>
      </c>
      <c r="H5977" s="8">
        <v>242.24</v>
      </c>
      <c r="I5977" s="8">
        <f t="shared" si="257"/>
        <v>0</v>
      </c>
      <c r="J5977" s="12"/>
    </row>
    <row r="5978" spans="1:10" x14ac:dyDescent="0.25">
      <c r="C5978" s="9"/>
      <c r="D5978" s="10">
        <v>45730</v>
      </c>
      <c r="E5978" t="s">
        <v>7753</v>
      </c>
      <c r="F5978" s="11" t="s">
        <v>7754</v>
      </c>
      <c r="G5978" s="8">
        <v>53.19</v>
      </c>
      <c r="H5978" s="8">
        <v>0</v>
      </c>
      <c r="I5978" s="8">
        <f t="shared" si="257"/>
        <v>53.19</v>
      </c>
      <c r="J5978" s="12"/>
    </row>
    <row r="5979" spans="1:10" x14ac:dyDescent="0.25">
      <c r="C5979" s="9"/>
      <c r="D5979" s="10">
        <v>45733</v>
      </c>
      <c r="E5979" t="s">
        <v>1524</v>
      </c>
      <c r="F5979" s="11" t="s">
        <v>7754</v>
      </c>
      <c r="G5979" s="8">
        <v>0</v>
      </c>
      <c r="H5979" s="8">
        <v>53.19</v>
      </c>
      <c r="I5979" s="8">
        <f t="shared" si="257"/>
        <v>0</v>
      </c>
      <c r="J5979" s="12"/>
    </row>
    <row r="5980" spans="1:10" x14ac:dyDescent="0.25">
      <c r="C5980" s="9"/>
      <c r="D5980" s="10">
        <v>45747</v>
      </c>
      <c r="E5980" t="s">
        <v>7755</v>
      </c>
      <c r="F5980" s="11" t="s">
        <v>7756</v>
      </c>
      <c r="G5980" s="8">
        <v>187.63</v>
      </c>
      <c r="H5980" s="8">
        <v>0</v>
      </c>
      <c r="I5980" s="8">
        <f t="shared" si="257"/>
        <v>187.63</v>
      </c>
      <c r="J5980" s="12"/>
    </row>
    <row r="5981" spans="1:10" x14ac:dyDescent="0.25">
      <c r="C5981" s="9"/>
      <c r="D5981" s="10">
        <v>45748</v>
      </c>
      <c r="E5981" t="s">
        <v>1524</v>
      </c>
      <c r="F5981" s="11" t="s">
        <v>7756</v>
      </c>
      <c r="G5981" s="8">
        <v>0</v>
      </c>
      <c r="H5981" s="8">
        <v>187.63</v>
      </c>
      <c r="I5981" s="8">
        <f t="shared" si="257"/>
        <v>0</v>
      </c>
      <c r="J5981" s="12"/>
    </row>
    <row r="5982" spans="1:10" x14ac:dyDescent="0.25">
      <c r="C5982" s="9"/>
      <c r="D5982" s="10">
        <v>45762</v>
      </c>
      <c r="E5982" t="s">
        <v>7757</v>
      </c>
      <c r="F5982" s="11" t="s">
        <v>7756</v>
      </c>
      <c r="G5982" s="8">
        <v>0</v>
      </c>
      <c r="H5982" s="8">
        <v>42.86</v>
      </c>
      <c r="I5982" s="8">
        <f t="shared" si="257"/>
        <v>-42.86</v>
      </c>
      <c r="J5982" s="12"/>
    </row>
    <row r="5983" spans="1:10" x14ac:dyDescent="0.25">
      <c r="E5983" s="4" t="s">
        <v>20</v>
      </c>
      <c r="G5983" s="8">
        <f>SUM(G5972:G5982)</f>
        <v>652.62</v>
      </c>
      <c r="H5983" s="8">
        <f>SUM(H5972:H5982)</f>
        <v>695.48</v>
      </c>
      <c r="I5983" s="8">
        <f>G5983-H5983</f>
        <v>-42.860000000000014</v>
      </c>
    </row>
    <row r="5985" spans="1:10" x14ac:dyDescent="0.25">
      <c r="A5985" s="5">
        <v>4310617</v>
      </c>
      <c r="B5985" s="6" t="s">
        <v>7758</v>
      </c>
      <c r="C5985" s="7"/>
      <c r="D5985" s="7"/>
      <c r="E5985" s="7"/>
      <c r="F5985" s="7"/>
      <c r="G5985" s="7"/>
      <c r="H5985" s="7"/>
      <c r="I5985" s="7"/>
      <c r="J5985" s="7"/>
    </row>
    <row r="5986" spans="1:10" x14ac:dyDescent="0.25">
      <c r="E5986" s="4" t="s">
        <v>10</v>
      </c>
      <c r="G5986" s="8">
        <v>217.28</v>
      </c>
      <c r="H5986" s="8">
        <v>0</v>
      </c>
      <c r="I5986" s="8">
        <f>G5986-H5986</f>
        <v>217.28</v>
      </c>
    </row>
    <row r="5987" spans="1:10" x14ac:dyDescent="0.25">
      <c r="C5987" s="9"/>
      <c r="D5987" s="10">
        <v>45670</v>
      </c>
      <c r="E5987">
        <v>156997</v>
      </c>
      <c r="F5987" s="11" t="s">
        <v>42</v>
      </c>
      <c r="G5987" s="8">
        <v>0</v>
      </c>
      <c r="H5987" s="8">
        <v>80.37</v>
      </c>
      <c r="I5987" s="8">
        <f>G5987-H5987+I5986</f>
        <v>136.91</v>
      </c>
      <c r="J5987" s="12"/>
    </row>
    <row r="5988" spans="1:10" x14ac:dyDescent="0.25">
      <c r="C5988" s="9"/>
      <c r="D5988" s="10">
        <v>45716</v>
      </c>
      <c r="E5988" t="s">
        <v>7759</v>
      </c>
      <c r="F5988" s="11" t="s">
        <v>7760</v>
      </c>
      <c r="G5988" s="8">
        <v>124.12</v>
      </c>
      <c r="H5988" s="8">
        <v>0</v>
      </c>
      <c r="I5988" s="8">
        <f>G5988-H5988+I5987</f>
        <v>261.02999999999997</v>
      </c>
      <c r="J5988" s="12"/>
    </row>
    <row r="5989" spans="1:10" x14ac:dyDescent="0.25">
      <c r="C5989" s="9"/>
      <c r="D5989" s="10">
        <v>45716</v>
      </c>
      <c r="E5989" t="s">
        <v>1524</v>
      </c>
      <c r="F5989" s="11" t="s">
        <v>7761</v>
      </c>
      <c r="G5989" s="8">
        <v>0</v>
      </c>
      <c r="H5989" s="8">
        <v>80.040000000000006</v>
      </c>
      <c r="I5989" s="8">
        <f>G5989-H5989+I5988</f>
        <v>180.98999999999995</v>
      </c>
      <c r="J5989" s="12"/>
    </row>
    <row r="5990" spans="1:10" x14ac:dyDescent="0.25">
      <c r="C5990" s="9"/>
      <c r="D5990" s="10">
        <v>45747</v>
      </c>
      <c r="E5990" t="s">
        <v>7762</v>
      </c>
      <c r="F5990" s="11" t="s">
        <v>7763</v>
      </c>
      <c r="G5990" s="8">
        <v>46.71</v>
      </c>
      <c r="H5990" s="8">
        <v>0</v>
      </c>
      <c r="I5990" s="8">
        <f>G5990-H5990+I5989</f>
        <v>227.69999999999996</v>
      </c>
      <c r="J5990" s="12"/>
    </row>
    <row r="5991" spans="1:10" x14ac:dyDescent="0.25">
      <c r="C5991" s="9"/>
      <c r="D5991" s="10">
        <v>45757</v>
      </c>
      <c r="E5991">
        <v>159972</v>
      </c>
      <c r="F5991" s="11" t="s">
        <v>42</v>
      </c>
      <c r="G5991" s="8">
        <v>0</v>
      </c>
      <c r="H5991" s="8">
        <v>56.87</v>
      </c>
      <c r="I5991" s="8">
        <f>G5991-H5991+I5990</f>
        <v>170.82999999999996</v>
      </c>
      <c r="J5991" s="12"/>
    </row>
    <row r="5992" spans="1:10" x14ac:dyDescent="0.25">
      <c r="E5992" s="4" t="s">
        <v>20</v>
      </c>
      <c r="G5992" s="8">
        <f>SUM(G5986:G5991)</f>
        <v>388.10999999999996</v>
      </c>
      <c r="H5992" s="8">
        <f>SUM(H5986:H5991)</f>
        <v>217.28000000000003</v>
      </c>
      <c r="I5992" s="8">
        <f>G5992-H5992</f>
        <v>170.82999999999993</v>
      </c>
    </row>
    <row r="5994" spans="1:10" x14ac:dyDescent="0.25">
      <c r="A5994" s="5">
        <v>4310633</v>
      </c>
      <c r="B5994" s="6" t="s">
        <v>7764</v>
      </c>
      <c r="C5994" s="7"/>
      <c r="D5994" s="7"/>
      <c r="E5994" s="7"/>
      <c r="F5994" s="7"/>
      <c r="G5994" s="7"/>
      <c r="H5994" s="7"/>
      <c r="I5994" s="7"/>
      <c r="J5994" s="7"/>
    </row>
    <row r="5995" spans="1:10" x14ac:dyDescent="0.25">
      <c r="E5995" s="4" t="s">
        <v>10</v>
      </c>
      <c r="G5995" s="8">
        <v>25.11</v>
      </c>
      <c r="H5995" s="8">
        <v>0</v>
      </c>
      <c r="I5995" s="8">
        <f>G5995-H5995</f>
        <v>25.11</v>
      </c>
    </row>
    <row r="5996" spans="1:10" x14ac:dyDescent="0.25">
      <c r="C5996" s="9"/>
      <c r="D5996" s="10">
        <v>45671</v>
      </c>
      <c r="E5996" t="s">
        <v>7765</v>
      </c>
      <c r="F5996" s="11" t="s">
        <v>7766</v>
      </c>
      <c r="G5996" s="8">
        <v>450.68</v>
      </c>
      <c r="H5996" s="8">
        <v>0</v>
      </c>
      <c r="I5996" s="8">
        <f t="shared" ref="I5996:I6006" si="258">G5996-H5996+I5995</f>
        <v>475.79</v>
      </c>
      <c r="J5996" s="12"/>
    </row>
    <row r="5997" spans="1:10" x14ac:dyDescent="0.25">
      <c r="C5997" s="9"/>
      <c r="D5997" s="10">
        <v>45672</v>
      </c>
      <c r="E5997" t="s">
        <v>7767</v>
      </c>
      <c r="F5997" s="11" t="s">
        <v>42</v>
      </c>
      <c r="G5997" s="8">
        <v>0</v>
      </c>
      <c r="H5997" s="8">
        <v>475.79</v>
      </c>
      <c r="I5997" s="8">
        <f t="shared" si="258"/>
        <v>0</v>
      </c>
      <c r="J5997" s="12"/>
    </row>
    <row r="5998" spans="1:10" x14ac:dyDescent="0.25">
      <c r="C5998" s="9"/>
      <c r="D5998" s="10">
        <v>45688</v>
      </c>
      <c r="E5998" t="s">
        <v>7768</v>
      </c>
      <c r="F5998" s="11" t="s">
        <v>7769</v>
      </c>
      <c r="G5998" s="8">
        <v>309.07</v>
      </c>
      <c r="H5998" s="8">
        <v>0</v>
      </c>
      <c r="I5998" s="8">
        <f t="shared" si="258"/>
        <v>309.07</v>
      </c>
      <c r="J5998" s="12"/>
    </row>
    <row r="5999" spans="1:10" x14ac:dyDescent="0.25">
      <c r="C5999" s="9"/>
      <c r="D5999" s="10">
        <v>45691</v>
      </c>
      <c r="E5999" t="s">
        <v>1524</v>
      </c>
      <c r="F5999" s="11" t="s">
        <v>7769</v>
      </c>
      <c r="G5999" s="8">
        <v>0</v>
      </c>
      <c r="H5999" s="8">
        <v>309.07</v>
      </c>
      <c r="I5999" s="8">
        <f t="shared" si="258"/>
        <v>0</v>
      </c>
      <c r="J5999" s="12"/>
    </row>
    <row r="6000" spans="1:10" x14ac:dyDescent="0.25">
      <c r="C6000" s="9"/>
      <c r="D6000" s="10">
        <v>45716</v>
      </c>
      <c r="E6000" t="s">
        <v>7770</v>
      </c>
      <c r="F6000" s="11" t="s">
        <v>7771</v>
      </c>
      <c r="G6000" s="8">
        <v>90.29</v>
      </c>
      <c r="H6000" s="8">
        <v>0</v>
      </c>
      <c r="I6000" s="8">
        <f t="shared" si="258"/>
        <v>90.29</v>
      </c>
      <c r="J6000" s="12"/>
    </row>
    <row r="6001" spans="1:10" x14ac:dyDescent="0.25">
      <c r="C6001" s="9" t="s">
        <v>124</v>
      </c>
      <c r="D6001" s="10">
        <v>45719</v>
      </c>
      <c r="E6001" t="s">
        <v>7772</v>
      </c>
      <c r="F6001" s="11" t="s">
        <v>7771</v>
      </c>
      <c r="G6001" s="8">
        <v>0</v>
      </c>
      <c r="H6001" s="8">
        <v>90.29</v>
      </c>
      <c r="I6001" s="8">
        <f t="shared" si="258"/>
        <v>0</v>
      </c>
      <c r="J6001" s="12"/>
    </row>
    <row r="6002" spans="1:10" x14ac:dyDescent="0.25">
      <c r="C6002" s="9"/>
      <c r="D6002" s="10">
        <v>45730</v>
      </c>
      <c r="E6002" t="s">
        <v>7773</v>
      </c>
      <c r="F6002" s="11" t="s">
        <v>7774</v>
      </c>
      <c r="G6002" s="8">
        <v>224.88</v>
      </c>
      <c r="H6002" s="8">
        <v>0</v>
      </c>
      <c r="I6002" s="8">
        <f t="shared" si="258"/>
        <v>224.88</v>
      </c>
      <c r="J6002" s="12"/>
    </row>
    <row r="6003" spans="1:10" x14ac:dyDescent="0.25">
      <c r="C6003" s="9"/>
      <c r="D6003" s="10">
        <v>45733</v>
      </c>
      <c r="E6003" t="s">
        <v>1524</v>
      </c>
      <c r="F6003" s="11" t="s">
        <v>7774</v>
      </c>
      <c r="G6003" s="8">
        <v>0</v>
      </c>
      <c r="H6003" s="8">
        <v>224.88</v>
      </c>
      <c r="I6003" s="8">
        <f t="shared" si="258"/>
        <v>0</v>
      </c>
      <c r="J6003" s="12"/>
    </row>
    <row r="6004" spans="1:10" x14ac:dyDescent="0.25">
      <c r="C6004" s="9"/>
      <c r="D6004" s="10">
        <v>45747</v>
      </c>
      <c r="E6004" t="s">
        <v>7775</v>
      </c>
      <c r="F6004" s="11" t="s">
        <v>7776</v>
      </c>
      <c r="G6004" s="8">
        <v>1108.92</v>
      </c>
      <c r="H6004" s="8">
        <v>0</v>
      </c>
      <c r="I6004" s="8">
        <f t="shared" si="258"/>
        <v>1108.92</v>
      </c>
      <c r="J6004" s="12"/>
    </row>
    <row r="6005" spans="1:10" x14ac:dyDescent="0.25">
      <c r="C6005" s="9" t="s">
        <v>124</v>
      </c>
      <c r="D6005" s="10">
        <v>45748</v>
      </c>
      <c r="E6005" t="s">
        <v>7777</v>
      </c>
      <c r="F6005" s="11" t="s">
        <v>7776</v>
      </c>
      <c r="G6005" s="8">
        <v>0</v>
      </c>
      <c r="H6005" s="8">
        <v>1108.92</v>
      </c>
      <c r="I6005" s="8">
        <f t="shared" si="258"/>
        <v>0</v>
      </c>
      <c r="J6005" s="12"/>
    </row>
    <row r="6006" spans="1:10" x14ac:dyDescent="0.25">
      <c r="C6006" s="9"/>
      <c r="D6006" s="10">
        <v>45762</v>
      </c>
      <c r="E6006" t="s">
        <v>7767</v>
      </c>
      <c r="F6006" s="11" t="s">
        <v>42</v>
      </c>
      <c r="G6006" s="8">
        <v>0</v>
      </c>
      <c r="H6006" s="8">
        <v>163.27000000000001</v>
      </c>
      <c r="I6006" s="8">
        <f t="shared" si="258"/>
        <v>-163.27000000000001</v>
      </c>
      <c r="J6006" s="12"/>
    </row>
    <row r="6007" spans="1:10" x14ac:dyDescent="0.25">
      <c r="E6007" s="4" t="s">
        <v>20</v>
      </c>
      <c r="G6007" s="8">
        <f>SUM(G5995:G6006)</f>
        <v>2208.9499999999998</v>
      </c>
      <c r="H6007" s="8">
        <f>SUM(H5995:H6006)</f>
        <v>2372.2199999999998</v>
      </c>
      <c r="I6007" s="8">
        <f>G6007-H6007</f>
        <v>-163.26999999999998</v>
      </c>
    </row>
    <row r="6009" spans="1:10" x14ac:dyDescent="0.25">
      <c r="A6009" s="5">
        <v>4310634</v>
      </c>
      <c r="B6009" s="6" t="s">
        <v>7778</v>
      </c>
      <c r="C6009" s="7"/>
      <c r="D6009" s="7"/>
      <c r="E6009" s="7"/>
      <c r="F6009" s="7"/>
      <c r="G6009" s="7"/>
      <c r="H6009" s="7"/>
      <c r="I6009" s="7"/>
      <c r="J6009" s="7"/>
    </row>
    <row r="6010" spans="1:10" x14ac:dyDescent="0.25">
      <c r="E6010" s="4" t="s">
        <v>10</v>
      </c>
      <c r="G6010" s="8">
        <v>74.260000000000005</v>
      </c>
      <c r="H6010" s="8">
        <v>0</v>
      </c>
      <c r="I6010" s="8">
        <f>G6010-H6010</f>
        <v>74.260000000000005</v>
      </c>
    </row>
    <row r="6011" spans="1:10" x14ac:dyDescent="0.25">
      <c r="C6011" s="9"/>
      <c r="D6011" s="10">
        <v>45659</v>
      </c>
      <c r="E6011" t="s">
        <v>1524</v>
      </c>
      <c r="F6011" s="11" t="s">
        <v>7779</v>
      </c>
      <c r="G6011" s="8">
        <v>0</v>
      </c>
      <c r="H6011" s="8">
        <v>74.260000000000005</v>
      </c>
      <c r="I6011" s="8">
        <f t="shared" ref="I6011:I6018" si="259">G6011-H6011+I6010</f>
        <v>0</v>
      </c>
      <c r="J6011" s="12"/>
    </row>
    <row r="6012" spans="1:10" x14ac:dyDescent="0.25">
      <c r="C6012" s="9"/>
      <c r="D6012" s="10">
        <v>45688</v>
      </c>
      <c r="E6012" t="s">
        <v>7780</v>
      </c>
      <c r="F6012" s="11" t="s">
        <v>7781</v>
      </c>
      <c r="G6012" s="8">
        <v>167.55</v>
      </c>
      <c r="H6012" s="8">
        <v>0</v>
      </c>
      <c r="I6012" s="8">
        <f t="shared" si="259"/>
        <v>167.55</v>
      </c>
      <c r="J6012" s="12"/>
    </row>
    <row r="6013" spans="1:10" x14ac:dyDescent="0.25">
      <c r="C6013" s="9"/>
      <c r="D6013" s="10">
        <v>45691</v>
      </c>
      <c r="E6013" t="s">
        <v>1524</v>
      </c>
      <c r="F6013" s="11" t="s">
        <v>7781</v>
      </c>
      <c r="G6013" s="8">
        <v>0</v>
      </c>
      <c r="H6013" s="8">
        <v>167.55</v>
      </c>
      <c r="I6013" s="8">
        <f t="shared" si="259"/>
        <v>0</v>
      </c>
      <c r="J6013" s="12"/>
    </row>
    <row r="6014" spans="1:10" x14ac:dyDescent="0.25">
      <c r="C6014" s="9"/>
      <c r="D6014" s="10">
        <v>45716</v>
      </c>
      <c r="E6014" t="s">
        <v>7782</v>
      </c>
      <c r="F6014" s="11" t="s">
        <v>7783</v>
      </c>
      <c r="G6014" s="8">
        <v>114.61</v>
      </c>
      <c r="H6014" s="8">
        <v>0</v>
      </c>
      <c r="I6014" s="8">
        <f t="shared" si="259"/>
        <v>114.61</v>
      </c>
      <c r="J6014" s="12"/>
    </row>
    <row r="6015" spans="1:10" x14ac:dyDescent="0.25">
      <c r="C6015" s="9" t="s">
        <v>124</v>
      </c>
      <c r="D6015" s="10">
        <v>45719</v>
      </c>
      <c r="E6015" t="s">
        <v>7784</v>
      </c>
      <c r="F6015" s="11" t="s">
        <v>7783</v>
      </c>
      <c r="G6015" s="8">
        <v>0</v>
      </c>
      <c r="H6015" s="8">
        <v>114.61</v>
      </c>
      <c r="I6015" s="8">
        <f t="shared" si="259"/>
        <v>0</v>
      </c>
      <c r="J6015" s="12"/>
    </row>
    <row r="6016" spans="1:10" x14ac:dyDescent="0.25">
      <c r="C6016" s="9"/>
      <c r="D6016" s="10">
        <v>45747</v>
      </c>
      <c r="E6016" t="s">
        <v>7785</v>
      </c>
      <c r="F6016" s="11" t="s">
        <v>7786</v>
      </c>
      <c r="G6016" s="8">
        <v>46.72</v>
      </c>
      <c r="H6016" s="8">
        <v>0</v>
      </c>
      <c r="I6016" s="8">
        <f t="shared" si="259"/>
        <v>46.72</v>
      </c>
      <c r="J6016" s="12"/>
    </row>
    <row r="6017" spans="1:10" x14ac:dyDescent="0.25">
      <c r="C6017" s="9"/>
      <c r="D6017" s="10">
        <v>45748</v>
      </c>
      <c r="E6017" t="s">
        <v>1524</v>
      </c>
      <c r="F6017" s="11" t="s">
        <v>7786</v>
      </c>
      <c r="G6017" s="8">
        <v>0</v>
      </c>
      <c r="H6017" s="8">
        <v>46.72</v>
      </c>
      <c r="I6017" s="8">
        <f t="shared" si="259"/>
        <v>0</v>
      </c>
      <c r="J6017" s="12"/>
    </row>
    <row r="6018" spans="1:10" x14ac:dyDescent="0.25">
      <c r="C6018" s="9"/>
      <c r="D6018" s="10">
        <v>45762</v>
      </c>
      <c r="E6018" t="s">
        <v>7787</v>
      </c>
      <c r="F6018" s="11" t="s">
        <v>7786</v>
      </c>
      <c r="G6018" s="8">
        <v>0</v>
      </c>
      <c r="H6018" s="8">
        <v>100.89</v>
      </c>
      <c r="I6018" s="8">
        <f t="shared" si="259"/>
        <v>-100.89</v>
      </c>
      <c r="J6018" s="12"/>
    </row>
    <row r="6019" spans="1:10" x14ac:dyDescent="0.25">
      <c r="E6019" s="4" t="s">
        <v>20</v>
      </c>
      <c r="G6019" s="8">
        <f>SUM(G6010:G6018)</f>
        <v>403.14</v>
      </c>
      <c r="H6019" s="8">
        <f>SUM(H6010:H6018)</f>
        <v>504.03</v>
      </c>
      <c r="I6019" s="8">
        <f>G6019-H6019</f>
        <v>-100.88999999999999</v>
      </c>
    </row>
    <row r="6021" spans="1:10" x14ac:dyDescent="0.25">
      <c r="A6021" s="5">
        <v>4310635</v>
      </c>
      <c r="B6021" s="6" t="s">
        <v>7788</v>
      </c>
      <c r="C6021" s="7"/>
      <c r="D6021" s="7"/>
      <c r="E6021" s="7"/>
      <c r="F6021" s="7"/>
      <c r="G6021" s="7"/>
      <c r="H6021" s="7"/>
      <c r="I6021" s="7"/>
      <c r="J6021" s="7"/>
    </row>
    <row r="6022" spans="1:10" x14ac:dyDescent="0.25">
      <c r="E6022" s="4" t="s">
        <v>10</v>
      </c>
      <c r="G6022" s="8">
        <v>156.80000000000001</v>
      </c>
      <c r="H6022" s="8">
        <v>0</v>
      </c>
      <c r="I6022" s="8">
        <f>G6022-H6022</f>
        <v>156.80000000000001</v>
      </c>
    </row>
    <row r="6023" spans="1:10" x14ac:dyDescent="0.25">
      <c r="C6023" s="9"/>
      <c r="D6023" s="10">
        <v>45659</v>
      </c>
      <c r="E6023" t="s">
        <v>1524</v>
      </c>
      <c r="F6023" s="11" t="s">
        <v>7789</v>
      </c>
      <c r="G6023" s="8">
        <v>0</v>
      </c>
      <c r="H6023" s="8">
        <v>156.80000000000001</v>
      </c>
      <c r="I6023" s="8">
        <f t="shared" ref="I6023:I6037" si="260">G6023-H6023+I6022</f>
        <v>0</v>
      </c>
      <c r="J6023" s="12"/>
    </row>
    <row r="6024" spans="1:10" x14ac:dyDescent="0.25">
      <c r="C6024" s="9"/>
      <c r="D6024" s="10">
        <v>45671</v>
      </c>
      <c r="E6024" t="s">
        <v>7790</v>
      </c>
      <c r="F6024" s="11" t="s">
        <v>7791</v>
      </c>
      <c r="G6024" s="8">
        <v>185.83</v>
      </c>
      <c r="H6024" s="8">
        <v>0</v>
      </c>
      <c r="I6024" s="8">
        <f t="shared" si="260"/>
        <v>185.83</v>
      </c>
      <c r="J6024" s="12"/>
    </row>
    <row r="6025" spans="1:10" x14ac:dyDescent="0.25">
      <c r="C6025" s="9"/>
      <c r="D6025" s="10">
        <v>45672</v>
      </c>
      <c r="E6025" t="s">
        <v>1524</v>
      </c>
      <c r="F6025" s="11" t="s">
        <v>7791</v>
      </c>
      <c r="G6025" s="8">
        <v>0</v>
      </c>
      <c r="H6025" s="8">
        <v>185.83</v>
      </c>
      <c r="I6025" s="8">
        <f t="shared" si="260"/>
        <v>0</v>
      </c>
      <c r="J6025" s="12"/>
    </row>
    <row r="6026" spans="1:10" x14ac:dyDescent="0.25">
      <c r="C6026" s="9"/>
      <c r="D6026" s="10">
        <v>45688</v>
      </c>
      <c r="E6026" t="s">
        <v>7792</v>
      </c>
      <c r="F6026" s="11" t="s">
        <v>7793</v>
      </c>
      <c r="G6026" s="8">
        <v>159.24</v>
      </c>
      <c r="H6026" s="8">
        <v>0</v>
      </c>
      <c r="I6026" s="8">
        <f t="shared" si="260"/>
        <v>159.24</v>
      </c>
      <c r="J6026" s="12"/>
    </row>
    <row r="6027" spans="1:10" x14ac:dyDescent="0.25">
      <c r="C6027" s="9"/>
      <c r="D6027" s="10">
        <v>45691</v>
      </c>
      <c r="E6027" t="s">
        <v>7794</v>
      </c>
      <c r="F6027" s="11" t="s">
        <v>42</v>
      </c>
      <c r="G6027" s="8">
        <v>0</v>
      </c>
      <c r="H6027" s="8">
        <v>159.24</v>
      </c>
      <c r="I6027" s="8">
        <f t="shared" si="260"/>
        <v>0</v>
      </c>
      <c r="J6027" s="12"/>
    </row>
    <row r="6028" spans="1:10" x14ac:dyDescent="0.25">
      <c r="C6028" s="9"/>
      <c r="D6028" s="10">
        <v>45702</v>
      </c>
      <c r="E6028" t="s">
        <v>7795</v>
      </c>
      <c r="F6028" s="11" t="s">
        <v>7796</v>
      </c>
      <c r="G6028" s="8">
        <v>33.83</v>
      </c>
      <c r="H6028" s="8">
        <v>0</v>
      </c>
      <c r="I6028" s="8">
        <f t="shared" si="260"/>
        <v>33.83</v>
      </c>
      <c r="J6028" s="12"/>
    </row>
    <row r="6029" spans="1:10" x14ac:dyDescent="0.25">
      <c r="C6029" s="9"/>
      <c r="D6029" s="10">
        <v>45702</v>
      </c>
      <c r="E6029" t="s">
        <v>7797</v>
      </c>
      <c r="F6029" s="11" t="s">
        <v>7798</v>
      </c>
      <c r="G6029" s="8">
        <v>157.58000000000001</v>
      </c>
      <c r="H6029" s="8">
        <v>0</v>
      </c>
      <c r="I6029" s="8">
        <f t="shared" si="260"/>
        <v>191.41000000000003</v>
      </c>
      <c r="J6029" s="12"/>
    </row>
    <row r="6030" spans="1:10" x14ac:dyDescent="0.25">
      <c r="C6030" s="9"/>
      <c r="D6030" s="10">
        <v>45705</v>
      </c>
      <c r="E6030" t="s">
        <v>1524</v>
      </c>
      <c r="F6030" s="11" t="s">
        <v>7798</v>
      </c>
      <c r="G6030" s="8">
        <v>0</v>
      </c>
      <c r="H6030" s="8">
        <v>157.58000000000001</v>
      </c>
      <c r="I6030" s="8">
        <f t="shared" si="260"/>
        <v>33.830000000000013</v>
      </c>
      <c r="J6030" s="12"/>
    </row>
    <row r="6031" spans="1:10" x14ac:dyDescent="0.25">
      <c r="C6031" s="9"/>
      <c r="D6031" s="10">
        <v>45716</v>
      </c>
      <c r="E6031" t="s">
        <v>7799</v>
      </c>
      <c r="F6031" s="11" t="s">
        <v>7800</v>
      </c>
      <c r="G6031" s="8">
        <v>290.95999999999998</v>
      </c>
      <c r="H6031" s="8">
        <v>0</v>
      </c>
      <c r="I6031" s="8">
        <f t="shared" si="260"/>
        <v>324.78999999999996</v>
      </c>
      <c r="J6031" s="12"/>
    </row>
    <row r="6032" spans="1:10" x14ac:dyDescent="0.25">
      <c r="C6032" s="9" t="s">
        <v>124</v>
      </c>
      <c r="D6032" s="10">
        <v>45719</v>
      </c>
      <c r="E6032" t="s">
        <v>7801</v>
      </c>
      <c r="F6032" s="11" t="s">
        <v>7800</v>
      </c>
      <c r="G6032" s="8">
        <v>0</v>
      </c>
      <c r="H6032" s="8">
        <v>290.95999999999998</v>
      </c>
      <c r="I6032" s="8">
        <f t="shared" si="260"/>
        <v>33.829999999999984</v>
      </c>
      <c r="J6032" s="12"/>
    </row>
    <row r="6033" spans="1:10" x14ac:dyDescent="0.25">
      <c r="C6033" s="9"/>
      <c r="D6033" s="10">
        <v>45730</v>
      </c>
      <c r="E6033" t="s">
        <v>7802</v>
      </c>
      <c r="F6033" s="11" t="s">
        <v>7803</v>
      </c>
      <c r="G6033" s="8">
        <v>361.66</v>
      </c>
      <c r="H6033" s="8">
        <v>0</v>
      </c>
      <c r="I6033" s="8">
        <f t="shared" si="260"/>
        <v>395.49</v>
      </c>
      <c r="J6033" s="12"/>
    </row>
    <row r="6034" spans="1:10" x14ac:dyDescent="0.25">
      <c r="C6034" s="9"/>
      <c r="D6034" s="10">
        <v>45733</v>
      </c>
      <c r="E6034" t="s">
        <v>7794</v>
      </c>
      <c r="F6034" s="11" t="s">
        <v>42</v>
      </c>
      <c r="G6034" s="8">
        <v>0</v>
      </c>
      <c r="H6034" s="8">
        <v>361.66</v>
      </c>
      <c r="I6034" s="8">
        <f t="shared" si="260"/>
        <v>33.829999999999984</v>
      </c>
      <c r="J6034" s="12"/>
    </row>
    <row r="6035" spans="1:10" x14ac:dyDescent="0.25">
      <c r="C6035" s="9"/>
      <c r="D6035" s="10">
        <v>45747</v>
      </c>
      <c r="E6035" t="s">
        <v>7804</v>
      </c>
      <c r="F6035" s="11" t="s">
        <v>7805</v>
      </c>
      <c r="G6035" s="8">
        <v>356.31</v>
      </c>
      <c r="H6035" s="8">
        <v>0</v>
      </c>
      <c r="I6035" s="8">
        <f t="shared" si="260"/>
        <v>390.14</v>
      </c>
      <c r="J6035" s="12"/>
    </row>
    <row r="6036" spans="1:10" x14ac:dyDescent="0.25">
      <c r="C6036" s="9"/>
      <c r="D6036" s="10">
        <v>45748</v>
      </c>
      <c r="E6036" t="s">
        <v>1524</v>
      </c>
      <c r="F6036" s="11" t="s">
        <v>7805</v>
      </c>
      <c r="G6036" s="8">
        <v>0</v>
      </c>
      <c r="H6036" s="8">
        <v>356.31</v>
      </c>
      <c r="I6036" s="8">
        <f t="shared" si="260"/>
        <v>33.829999999999984</v>
      </c>
      <c r="J6036" s="12"/>
    </row>
    <row r="6037" spans="1:10" x14ac:dyDescent="0.25">
      <c r="C6037" s="9"/>
      <c r="D6037" s="10">
        <v>45762</v>
      </c>
      <c r="E6037" t="s">
        <v>7794</v>
      </c>
      <c r="F6037" s="11" t="s">
        <v>42</v>
      </c>
      <c r="G6037" s="8">
        <v>0</v>
      </c>
      <c r="H6037" s="8">
        <v>85.33</v>
      </c>
      <c r="I6037" s="8">
        <f t="shared" si="260"/>
        <v>-51.500000000000014</v>
      </c>
      <c r="J6037" s="12"/>
    </row>
    <row r="6038" spans="1:10" x14ac:dyDescent="0.25">
      <c r="E6038" s="4" t="s">
        <v>20</v>
      </c>
      <c r="G6038" s="8">
        <f>SUM(G6022:G6037)</f>
        <v>1702.21</v>
      </c>
      <c r="H6038" s="8">
        <f>SUM(H6022:H6037)</f>
        <v>1753.71</v>
      </c>
      <c r="I6038" s="8">
        <f>G6038-H6038</f>
        <v>-51.5</v>
      </c>
    </row>
    <row r="6040" spans="1:10" x14ac:dyDescent="0.25">
      <c r="A6040" s="5">
        <v>4310640</v>
      </c>
      <c r="B6040" s="6" t="s">
        <v>7806</v>
      </c>
      <c r="C6040" s="7"/>
      <c r="D6040" s="7"/>
      <c r="E6040" s="7"/>
      <c r="F6040" s="7"/>
      <c r="G6040" s="7"/>
      <c r="H6040" s="7"/>
      <c r="I6040" s="7"/>
      <c r="J6040" s="7"/>
    </row>
    <row r="6041" spans="1:10" x14ac:dyDescent="0.25">
      <c r="E6041" s="4" t="s">
        <v>10</v>
      </c>
      <c r="G6041" s="8">
        <v>22.18</v>
      </c>
      <c r="H6041" s="8">
        <v>0</v>
      </c>
      <c r="I6041" s="8">
        <f>G6041-H6041</f>
        <v>22.18</v>
      </c>
    </row>
    <row r="6042" spans="1:10" x14ac:dyDescent="0.25">
      <c r="E6042" s="4" t="s">
        <v>20</v>
      </c>
      <c r="G6042" s="8">
        <f>G6041</f>
        <v>22.18</v>
      </c>
      <c r="H6042" s="8">
        <f>H6041</f>
        <v>0</v>
      </c>
      <c r="I6042" s="8">
        <f>G6042-H6042</f>
        <v>22.18</v>
      </c>
    </row>
    <row r="6044" spans="1:10" x14ac:dyDescent="0.25">
      <c r="A6044" s="5">
        <v>4310641</v>
      </c>
      <c r="B6044" s="6" t="s">
        <v>1106</v>
      </c>
      <c r="C6044" s="7"/>
      <c r="D6044" s="7"/>
      <c r="E6044" s="7"/>
      <c r="F6044" s="7"/>
      <c r="G6044" s="7"/>
      <c r="H6044" s="7"/>
      <c r="I6044" s="7"/>
      <c r="J6044" s="7"/>
    </row>
    <row r="6045" spans="1:10" x14ac:dyDescent="0.25">
      <c r="E6045" s="4" t="s">
        <v>10</v>
      </c>
      <c r="G6045" s="8">
        <v>618.82000000000005</v>
      </c>
      <c r="H6045" s="8">
        <v>0</v>
      </c>
      <c r="I6045" s="8">
        <f>G6045-H6045</f>
        <v>618.82000000000005</v>
      </c>
    </row>
    <row r="6046" spans="1:10" x14ac:dyDescent="0.25">
      <c r="C6046" s="9"/>
      <c r="D6046" s="10">
        <v>45688</v>
      </c>
      <c r="E6046" t="s">
        <v>7807</v>
      </c>
      <c r="F6046" s="11" t="s">
        <v>7808</v>
      </c>
      <c r="G6046" s="8">
        <v>61.14</v>
      </c>
      <c r="H6046" s="8">
        <v>0</v>
      </c>
      <c r="I6046" s="8">
        <f>G6046-H6046+I6045</f>
        <v>679.96</v>
      </c>
      <c r="J6046" s="12"/>
    </row>
    <row r="6047" spans="1:10" x14ac:dyDescent="0.25">
      <c r="C6047" s="9"/>
      <c r="D6047" s="10">
        <v>45702</v>
      </c>
      <c r="E6047" t="s">
        <v>1524</v>
      </c>
      <c r="F6047" s="11" t="s">
        <v>7809</v>
      </c>
      <c r="G6047" s="8">
        <v>0</v>
      </c>
      <c r="H6047" s="8">
        <v>14.52</v>
      </c>
      <c r="I6047" s="8">
        <f>G6047-H6047+I6046</f>
        <v>665.44</v>
      </c>
      <c r="J6047" s="12"/>
    </row>
    <row r="6048" spans="1:10" x14ac:dyDescent="0.25">
      <c r="C6048" s="9"/>
      <c r="D6048" s="10">
        <v>45716</v>
      </c>
      <c r="E6048" t="s">
        <v>7810</v>
      </c>
      <c r="F6048" s="11" t="s">
        <v>7811</v>
      </c>
      <c r="G6048" s="8">
        <v>400.99</v>
      </c>
      <c r="H6048" s="8">
        <v>0</v>
      </c>
      <c r="I6048" s="8">
        <f>G6048-H6048+I6047</f>
        <v>1066.43</v>
      </c>
      <c r="J6048" s="12"/>
    </row>
    <row r="6049" spans="1:10" x14ac:dyDescent="0.25">
      <c r="C6049" s="9"/>
      <c r="D6049" s="10">
        <v>45734</v>
      </c>
      <c r="E6049" t="s">
        <v>1524</v>
      </c>
      <c r="F6049" s="11" t="s">
        <v>7808</v>
      </c>
      <c r="G6049" s="8">
        <v>0</v>
      </c>
      <c r="H6049" s="8">
        <v>61.14</v>
      </c>
      <c r="I6049" s="8">
        <f>G6049-H6049+I6048</f>
        <v>1005.2900000000001</v>
      </c>
      <c r="J6049" s="12"/>
    </row>
    <row r="6050" spans="1:10" x14ac:dyDescent="0.25">
      <c r="E6050" s="4" t="s">
        <v>20</v>
      </c>
      <c r="G6050" s="8">
        <f>SUM(G6045:G6049)</f>
        <v>1080.95</v>
      </c>
      <c r="H6050" s="8">
        <f>SUM(H6045:H6049)</f>
        <v>75.66</v>
      </c>
      <c r="I6050" s="8">
        <f>G6050-H6050</f>
        <v>1005.2900000000001</v>
      </c>
    </row>
    <row r="6052" spans="1:10" x14ac:dyDescent="0.25">
      <c r="A6052" s="5">
        <v>4310644</v>
      </c>
      <c r="B6052" s="6" t="s">
        <v>7812</v>
      </c>
      <c r="C6052" s="7"/>
      <c r="D6052" s="7"/>
      <c r="E6052" s="7"/>
      <c r="F6052" s="7"/>
      <c r="G6052" s="7"/>
      <c r="H6052" s="7"/>
      <c r="I6052" s="7"/>
      <c r="J6052" s="7"/>
    </row>
    <row r="6053" spans="1:10" x14ac:dyDescent="0.25">
      <c r="E6053" s="4" t="s">
        <v>10</v>
      </c>
      <c r="G6053" s="8">
        <v>79.81</v>
      </c>
      <c r="H6053" s="8">
        <v>0</v>
      </c>
      <c r="I6053" s="8">
        <f>G6053-H6053</f>
        <v>79.81</v>
      </c>
    </row>
    <row r="6054" spans="1:10" x14ac:dyDescent="0.25">
      <c r="C6054" s="9"/>
      <c r="D6054" s="10">
        <v>45659</v>
      </c>
      <c r="E6054" t="s">
        <v>1524</v>
      </c>
      <c r="F6054" s="11" t="s">
        <v>7813</v>
      </c>
      <c r="G6054" s="8">
        <v>0</v>
      </c>
      <c r="H6054" s="8">
        <v>79.81</v>
      </c>
      <c r="I6054" s="8">
        <f t="shared" ref="I6054:I6059" si="261">G6054-H6054+I6053</f>
        <v>0</v>
      </c>
      <c r="J6054" s="12"/>
    </row>
    <row r="6055" spans="1:10" x14ac:dyDescent="0.25">
      <c r="C6055" s="9"/>
      <c r="D6055" s="10">
        <v>45716</v>
      </c>
      <c r="E6055" t="s">
        <v>7814</v>
      </c>
      <c r="F6055" s="11" t="s">
        <v>7815</v>
      </c>
      <c r="G6055" s="8">
        <v>149.37</v>
      </c>
      <c r="H6055" s="8">
        <v>0</v>
      </c>
      <c r="I6055" s="8">
        <f t="shared" si="261"/>
        <v>149.37</v>
      </c>
      <c r="J6055" s="12"/>
    </row>
    <row r="6056" spans="1:10" x14ac:dyDescent="0.25">
      <c r="C6056" s="9" t="s">
        <v>124</v>
      </c>
      <c r="D6056" s="10">
        <v>45719</v>
      </c>
      <c r="E6056" t="s">
        <v>7816</v>
      </c>
      <c r="F6056" s="11" t="s">
        <v>7815</v>
      </c>
      <c r="G6056" s="8">
        <v>0</v>
      </c>
      <c r="H6056" s="8">
        <v>149.37</v>
      </c>
      <c r="I6056" s="8">
        <f t="shared" si="261"/>
        <v>0</v>
      </c>
      <c r="J6056" s="12"/>
    </row>
    <row r="6057" spans="1:10" x14ac:dyDescent="0.25">
      <c r="C6057" s="9"/>
      <c r="D6057" s="10">
        <v>45747</v>
      </c>
      <c r="E6057" t="s">
        <v>7817</v>
      </c>
      <c r="F6057" s="11" t="s">
        <v>7818</v>
      </c>
      <c r="G6057" s="8">
        <v>116.26</v>
      </c>
      <c r="H6057" s="8">
        <v>0</v>
      </c>
      <c r="I6057" s="8">
        <f t="shared" si="261"/>
        <v>116.26</v>
      </c>
      <c r="J6057" s="12"/>
    </row>
    <row r="6058" spans="1:10" x14ac:dyDescent="0.25">
      <c r="C6058" s="9" t="s">
        <v>124</v>
      </c>
      <c r="D6058" s="10">
        <v>45748</v>
      </c>
      <c r="E6058" t="s">
        <v>7819</v>
      </c>
      <c r="F6058" s="11" t="s">
        <v>7818</v>
      </c>
      <c r="G6058" s="8">
        <v>0</v>
      </c>
      <c r="H6058" s="8">
        <v>116.26</v>
      </c>
      <c r="I6058" s="8">
        <f t="shared" si="261"/>
        <v>0</v>
      </c>
      <c r="J6058" s="12"/>
    </row>
    <row r="6059" spans="1:10" x14ac:dyDescent="0.25">
      <c r="C6059" s="9"/>
      <c r="D6059" s="10">
        <v>45762</v>
      </c>
      <c r="E6059" t="s">
        <v>7820</v>
      </c>
      <c r="F6059" s="11" t="s">
        <v>42</v>
      </c>
      <c r="G6059" s="8">
        <v>0</v>
      </c>
      <c r="H6059" s="8">
        <v>109.05</v>
      </c>
      <c r="I6059" s="8">
        <f t="shared" si="261"/>
        <v>-109.05</v>
      </c>
      <c r="J6059" s="12"/>
    </row>
    <row r="6060" spans="1:10" x14ac:dyDescent="0.25">
      <c r="E6060" s="4" t="s">
        <v>20</v>
      </c>
      <c r="G6060" s="8">
        <f>SUM(G6053:G6059)</f>
        <v>345.44</v>
      </c>
      <c r="H6060" s="8">
        <f>SUM(H6053:H6059)</f>
        <v>454.49</v>
      </c>
      <c r="I6060" s="8">
        <f>G6060-H6060</f>
        <v>-109.05000000000001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2292-E534-471A-928D-C9C7F11ACBB8}">
  <dimension ref="A1:P696"/>
  <sheetViews>
    <sheetView workbookViewId="0">
      <selection activeCell="J13" sqref="J13"/>
    </sheetView>
  </sheetViews>
  <sheetFormatPr baseColWidth="10" defaultRowHeight="15" x14ac:dyDescent="0.25"/>
  <cols>
    <col min="5" max="5" width="32.7109375" bestFit="1" customWidth="1"/>
    <col min="9" max="9" width="0" hidden="1" customWidth="1"/>
  </cols>
  <sheetData>
    <row r="1" spans="1:16" ht="44.25" customHeight="1" thickTop="1" x14ac:dyDescent="0.25">
      <c r="A1" s="86" t="s">
        <v>8143</v>
      </c>
      <c r="B1" s="86"/>
      <c r="C1" s="86"/>
      <c r="D1" s="86"/>
      <c r="E1" s="86"/>
      <c r="F1" s="86"/>
      <c r="G1" s="86"/>
      <c r="H1" s="86"/>
      <c r="I1" s="86"/>
      <c r="J1" s="86"/>
    </row>
    <row r="2" spans="1:16" x14ac:dyDescent="0.25">
      <c r="A2" s="5">
        <v>4650000</v>
      </c>
      <c r="B2" s="6" t="s">
        <v>7821</v>
      </c>
      <c r="C2" s="7"/>
      <c r="D2" s="7"/>
      <c r="E2" s="7"/>
      <c r="F2" s="7"/>
      <c r="G2" s="7"/>
      <c r="H2" s="7"/>
      <c r="I2" s="7"/>
      <c r="J2" s="7"/>
    </row>
    <row r="3" spans="1:16" x14ac:dyDescent="0.25">
      <c r="E3" s="4" t="s">
        <v>10</v>
      </c>
      <c r="G3" s="8">
        <v>0</v>
      </c>
      <c r="H3" s="76">
        <v>75440.72</v>
      </c>
      <c r="I3" s="8">
        <f>G3-H3</f>
        <v>-75440.72</v>
      </c>
      <c r="J3" s="84">
        <f>SUM(G4:G41)-H3</f>
        <v>-11544.689999999995</v>
      </c>
      <c r="K3" s="78" t="s">
        <v>8382</v>
      </c>
      <c r="L3" s="83"/>
      <c r="M3" s="78"/>
      <c r="N3" s="78"/>
      <c r="O3" s="78"/>
      <c r="P3" s="78"/>
    </row>
    <row r="4" spans="1:16" x14ac:dyDescent="0.25">
      <c r="C4" s="9"/>
      <c r="D4" s="10">
        <v>45664</v>
      </c>
      <c r="E4" t="s">
        <v>7822</v>
      </c>
      <c r="F4" s="11" t="s">
        <v>7823</v>
      </c>
      <c r="G4" s="76">
        <v>1500</v>
      </c>
      <c r="H4" s="8">
        <v>0</v>
      </c>
      <c r="I4" s="8">
        <f t="shared" ref="I4:I35" si="0">G4-H4+I3</f>
        <v>-73940.72</v>
      </c>
      <c r="J4" s="12"/>
    </row>
    <row r="5" spans="1:16" x14ac:dyDescent="0.25">
      <c r="C5" s="9"/>
      <c r="D5" s="10">
        <v>45664</v>
      </c>
      <c r="E5" t="s">
        <v>7824</v>
      </c>
      <c r="F5" s="11" t="s">
        <v>42</v>
      </c>
      <c r="G5" s="76">
        <v>2429</v>
      </c>
      <c r="H5" s="8">
        <v>0</v>
      </c>
      <c r="I5" s="8">
        <f t="shared" si="0"/>
        <v>-71511.72</v>
      </c>
      <c r="J5" s="12"/>
    </row>
    <row r="6" spans="1:16" x14ac:dyDescent="0.25">
      <c r="C6" s="9"/>
      <c r="D6" s="10">
        <v>45664</v>
      </c>
      <c r="E6" t="s">
        <v>7825</v>
      </c>
      <c r="F6" s="11" t="s">
        <v>42</v>
      </c>
      <c r="G6" s="76">
        <v>2500</v>
      </c>
      <c r="H6" s="8">
        <v>0</v>
      </c>
      <c r="I6" s="8">
        <f t="shared" si="0"/>
        <v>-69011.72</v>
      </c>
      <c r="J6" s="12"/>
    </row>
    <row r="7" spans="1:16" x14ac:dyDescent="0.25">
      <c r="C7" s="9"/>
      <c r="D7" s="10">
        <v>45664</v>
      </c>
      <c r="E7" t="s">
        <v>7826</v>
      </c>
      <c r="F7" s="11" t="s">
        <v>42</v>
      </c>
      <c r="G7" s="76">
        <v>1450</v>
      </c>
      <c r="H7" s="8">
        <v>0</v>
      </c>
      <c r="I7" s="8">
        <f t="shared" si="0"/>
        <v>-67561.72</v>
      </c>
      <c r="J7" s="12"/>
    </row>
    <row r="8" spans="1:16" x14ac:dyDescent="0.25">
      <c r="C8" s="9"/>
      <c r="D8" s="10">
        <v>45664</v>
      </c>
      <c r="E8" t="s">
        <v>7827</v>
      </c>
      <c r="F8" s="11" t="s">
        <v>42</v>
      </c>
      <c r="G8" s="76">
        <v>1438.88</v>
      </c>
      <c r="H8" s="8">
        <v>0</v>
      </c>
      <c r="I8" s="8">
        <f t="shared" si="0"/>
        <v>-66122.84</v>
      </c>
      <c r="J8" s="12"/>
    </row>
    <row r="9" spans="1:16" x14ac:dyDescent="0.25">
      <c r="C9" s="9"/>
      <c r="D9" s="10">
        <v>45664</v>
      </c>
      <c r="E9" t="s">
        <v>7828</v>
      </c>
      <c r="F9" s="11" t="s">
        <v>42</v>
      </c>
      <c r="G9" s="76">
        <v>1280.6600000000001</v>
      </c>
      <c r="H9" s="8">
        <v>0</v>
      </c>
      <c r="I9" s="8">
        <f t="shared" si="0"/>
        <v>-64842.179999999993</v>
      </c>
      <c r="J9" s="12"/>
    </row>
    <row r="10" spans="1:16" x14ac:dyDescent="0.25">
      <c r="C10" s="9"/>
      <c r="D10" s="10">
        <v>45664</v>
      </c>
      <c r="E10" t="s">
        <v>7829</v>
      </c>
      <c r="F10" s="11" t="s">
        <v>42</v>
      </c>
      <c r="G10" s="76">
        <v>1500</v>
      </c>
      <c r="H10" s="8">
        <v>0</v>
      </c>
      <c r="I10" s="8">
        <f t="shared" si="0"/>
        <v>-63342.179999999993</v>
      </c>
      <c r="J10" s="12"/>
    </row>
    <row r="11" spans="1:16" x14ac:dyDescent="0.25">
      <c r="C11" s="9"/>
      <c r="D11" s="10">
        <v>45664</v>
      </c>
      <c r="E11" t="s">
        <v>7830</v>
      </c>
      <c r="F11" s="11" t="s">
        <v>42</v>
      </c>
      <c r="G11" s="76">
        <v>3560</v>
      </c>
      <c r="H11" s="8">
        <v>0</v>
      </c>
      <c r="I11" s="8">
        <f t="shared" si="0"/>
        <v>-59782.179999999993</v>
      </c>
      <c r="J11" s="12"/>
    </row>
    <row r="12" spans="1:16" x14ac:dyDescent="0.25">
      <c r="C12" s="9"/>
      <c r="D12" s="10">
        <v>45664</v>
      </c>
      <c r="E12" t="s">
        <v>7831</v>
      </c>
      <c r="F12" s="11" t="s">
        <v>42</v>
      </c>
      <c r="G12" s="76">
        <v>3200</v>
      </c>
      <c r="H12" s="8">
        <v>0</v>
      </c>
      <c r="I12" s="8">
        <f t="shared" si="0"/>
        <v>-56582.179999999993</v>
      </c>
      <c r="J12" s="12"/>
    </row>
    <row r="13" spans="1:16" x14ac:dyDescent="0.25">
      <c r="C13" s="9"/>
      <c r="D13" s="10">
        <v>45664</v>
      </c>
      <c r="E13" t="s">
        <v>7832</v>
      </c>
      <c r="F13" s="11" t="s">
        <v>42</v>
      </c>
      <c r="G13" s="76">
        <v>1900</v>
      </c>
      <c r="H13" s="8">
        <v>0</v>
      </c>
      <c r="I13" s="8">
        <f t="shared" si="0"/>
        <v>-54682.179999999993</v>
      </c>
      <c r="J13" s="12"/>
    </row>
    <row r="14" spans="1:16" x14ac:dyDescent="0.25">
      <c r="C14" s="9"/>
      <c r="D14" s="10">
        <v>45667</v>
      </c>
      <c r="E14" t="s">
        <v>7833</v>
      </c>
      <c r="F14" s="11" t="s">
        <v>42</v>
      </c>
      <c r="G14" s="76">
        <v>215.77</v>
      </c>
      <c r="H14" s="8">
        <v>0</v>
      </c>
      <c r="I14" s="8">
        <f t="shared" si="0"/>
        <v>-54466.409999999996</v>
      </c>
      <c r="J14" s="12"/>
    </row>
    <row r="15" spans="1:16" x14ac:dyDescent="0.25">
      <c r="C15" s="9"/>
      <c r="D15" s="10">
        <v>45668</v>
      </c>
      <c r="E15" t="s">
        <v>7833</v>
      </c>
      <c r="F15" s="11" t="s">
        <v>42</v>
      </c>
      <c r="G15" s="76">
        <v>147.24</v>
      </c>
      <c r="H15" s="8">
        <v>0</v>
      </c>
      <c r="I15" s="8">
        <f t="shared" si="0"/>
        <v>-54319.17</v>
      </c>
      <c r="J15" s="12"/>
    </row>
    <row r="16" spans="1:16" x14ac:dyDescent="0.25">
      <c r="C16" s="9"/>
      <c r="D16" s="10">
        <v>45669</v>
      </c>
      <c r="E16" t="s">
        <v>7834</v>
      </c>
      <c r="F16" s="11" t="s">
        <v>42</v>
      </c>
      <c r="G16" s="76">
        <v>5.25</v>
      </c>
      <c r="H16" s="8">
        <v>0</v>
      </c>
      <c r="I16" s="8">
        <f t="shared" si="0"/>
        <v>-54313.919999999998</v>
      </c>
      <c r="J16" s="12"/>
    </row>
    <row r="17" spans="3:10" x14ac:dyDescent="0.25">
      <c r="C17" s="9"/>
      <c r="D17" s="10">
        <v>45669</v>
      </c>
      <c r="E17" t="s">
        <v>7833</v>
      </c>
      <c r="F17" s="11" t="s">
        <v>42</v>
      </c>
      <c r="G17" s="76">
        <v>574.33000000000004</v>
      </c>
      <c r="H17" s="8">
        <v>0</v>
      </c>
      <c r="I17" s="8">
        <f t="shared" si="0"/>
        <v>-53739.59</v>
      </c>
      <c r="J17" s="12"/>
    </row>
    <row r="18" spans="3:10" x14ac:dyDescent="0.25">
      <c r="C18" s="9"/>
      <c r="D18" s="10">
        <v>45672</v>
      </c>
      <c r="E18" t="s">
        <v>7835</v>
      </c>
      <c r="F18" s="11" t="s">
        <v>42</v>
      </c>
      <c r="G18" s="76">
        <v>961.48</v>
      </c>
      <c r="H18" s="8">
        <v>0</v>
      </c>
      <c r="I18" s="8">
        <f t="shared" si="0"/>
        <v>-52778.109999999993</v>
      </c>
      <c r="J18" s="12"/>
    </row>
    <row r="19" spans="3:10" x14ac:dyDescent="0.25">
      <c r="C19" s="9"/>
      <c r="D19" s="10">
        <v>45672</v>
      </c>
      <c r="E19" t="s">
        <v>7836</v>
      </c>
      <c r="F19" s="11" t="s">
        <v>42</v>
      </c>
      <c r="G19" s="76">
        <v>1181.68</v>
      </c>
      <c r="H19" s="8">
        <v>0</v>
      </c>
      <c r="I19" s="8">
        <f t="shared" si="0"/>
        <v>-51596.429999999993</v>
      </c>
      <c r="J19" s="12"/>
    </row>
    <row r="20" spans="3:10" x14ac:dyDescent="0.25">
      <c r="C20" s="9"/>
      <c r="D20" s="10">
        <v>45673</v>
      </c>
      <c r="E20" t="s">
        <v>7836</v>
      </c>
      <c r="F20" s="11" t="s">
        <v>42</v>
      </c>
      <c r="G20" s="76">
        <v>708.85</v>
      </c>
      <c r="H20" s="8">
        <v>0</v>
      </c>
      <c r="I20" s="8">
        <f t="shared" si="0"/>
        <v>-50887.579999999994</v>
      </c>
      <c r="J20" s="12"/>
    </row>
    <row r="21" spans="3:10" x14ac:dyDescent="0.25">
      <c r="C21" s="9"/>
      <c r="D21" s="10">
        <v>45674</v>
      </c>
      <c r="E21" t="s">
        <v>7837</v>
      </c>
      <c r="F21" s="11" t="s">
        <v>42</v>
      </c>
      <c r="G21" s="76">
        <v>630.88</v>
      </c>
      <c r="H21" s="8">
        <v>0</v>
      </c>
      <c r="I21" s="8">
        <f t="shared" si="0"/>
        <v>-50256.7</v>
      </c>
      <c r="J21" s="12"/>
    </row>
    <row r="22" spans="3:10" x14ac:dyDescent="0.25">
      <c r="C22" s="9"/>
      <c r="D22" s="10">
        <v>45674</v>
      </c>
      <c r="E22" t="s">
        <v>7838</v>
      </c>
      <c r="F22" s="11" t="s">
        <v>42</v>
      </c>
      <c r="G22" s="76">
        <v>2452.5100000000002</v>
      </c>
      <c r="H22" s="8">
        <v>0</v>
      </c>
      <c r="I22" s="8">
        <f t="shared" si="0"/>
        <v>-47804.189999999995</v>
      </c>
      <c r="J22" s="12"/>
    </row>
    <row r="23" spans="3:10" x14ac:dyDescent="0.25">
      <c r="C23" s="9"/>
      <c r="D23" s="10">
        <v>45674</v>
      </c>
      <c r="E23" t="s">
        <v>7839</v>
      </c>
      <c r="F23" s="11" t="s">
        <v>42</v>
      </c>
      <c r="G23" s="76">
        <v>1514.52</v>
      </c>
      <c r="H23" s="8">
        <v>0</v>
      </c>
      <c r="I23" s="8">
        <f t="shared" si="0"/>
        <v>-46289.67</v>
      </c>
      <c r="J23" s="12"/>
    </row>
    <row r="24" spans="3:10" x14ac:dyDescent="0.25">
      <c r="C24" s="9"/>
      <c r="D24" s="10">
        <v>45674</v>
      </c>
      <c r="E24" t="s">
        <v>7840</v>
      </c>
      <c r="F24" s="11" t="s">
        <v>42</v>
      </c>
      <c r="G24" s="76">
        <v>1918.39</v>
      </c>
      <c r="H24" s="8">
        <v>0</v>
      </c>
      <c r="I24" s="8">
        <f t="shared" si="0"/>
        <v>-44371.28</v>
      </c>
      <c r="J24" s="12"/>
    </row>
    <row r="25" spans="3:10" x14ac:dyDescent="0.25">
      <c r="C25" s="9"/>
      <c r="D25" s="10">
        <v>45674</v>
      </c>
      <c r="E25" t="s">
        <v>7841</v>
      </c>
      <c r="F25" s="11" t="s">
        <v>42</v>
      </c>
      <c r="G25" s="76">
        <v>1514.52</v>
      </c>
      <c r="H25" s="8">
        <v>0</v>
      </c>
      <c r="I25" s="8">
        <f t="shared" si="0"/>
        <v>-42856.76</v>
      </c>
      <c r="J25" s="12"/>
    </row>
    <row r="26" spans="3:10" x14ac:dyDescent="0.25">
      <c r="C26" s="9"/>
      <c r="D26" s="10">
        <v>45674</v>
      </c>
      <c r="E26" t="s">
        <v>7842</v>
      </c>
      <c r="F26" s="11" t="s">
        <v>42</v>
      </c>
      <c r="G26" s="76">
        <v>1453.48</v>
      </c>
      <c r="H26" s="8">
        <v>0</v>
      </c>
      <c r="I26" s="8">
        <f t="shared" si="0"/>
        <v>-41403.279999999999</v>
      </c>
      <c r="J26" s="12"/>
    </row>
    <row r="27" spans="3:10" x14ac:dyDescent="0.25">
      <c r="C27" s="9"/>
      <c r="D27" s="10">
        <v>45674</v>
      </c>
      <c r="E27" t="s">
        <v>7843</v>
      </c>
      <c r="F27" s="11" t="s">
        <v>42</v>
      </c>
      <c r="G27" s="76">
        <v>1464.49</v>
      </c>
      <c r="H27" s="8">
        <v>0</v>
      </c>
      <c r="I27" s="8">
        <f t="shared" si="0"/>
        <v>-39938.79</v>
      </c>
      <c r="J27" s="12"/>
    </row>
    <row r="28" spans="3:10" x14ac:dyDescent="0.25">
      <c r="C28" s="9"/>
      <c r="D28" s="10">
        <v>45674</v>
      </c>
      <c r="E28" t="s">
        <v>7844</v>
      </c>
      <c r="F28" s="11" t="s">
        <v>42</v>
      </c>
      <c r="G28" s="76">
        <v>1277.6600000000001</v>
      </c>
      <c r="H28" s="8">
        <v>0</v>
      </c>
      <c r="I28" s="8">
        <f t="shared" si="0"/>
        <v>-38661.129999999997</v>
      </c>
      <c r="J28" s="12"/>
    </row>
    <row r="29" spans="3:10" x14ac:dyDescent="0.25">
      <c r="C29" s="9"/>
      <c r="D29" s="10">
        <v>45674</v>
      </c>
      <c r="E29" t="s">
        <v>7845</v>
      </c>
      <c r="F29" s="11" t="s">
        <v>42</v>
      </c>
      <c r="G29" s="76">
        <v>3551.31</v>
      </c>
      <c r="H29" s="8">
        <v>0</v>
      </c>
      <c r="I29" s="8">
        <f t="shared" si="0"/>
        <v>-35109.82</v>
      </c>
      <c r="J29" s="12"/>
    </row>
    <row r="30" spans="3:10" x14ac:dyDescent="0.25">
      <c r="C30" s="9"/>
      <c r="D30" s="10">
        <v>45674</v>
      </c>
      <c r="E30" t="s">
        <v>7846</v>
      </c>
      <c r="F30" s="11" t="s">
        <v>42</v>
      </c>
      <c r="G30" s="76">
        <v>3192.19</v>
      </c>
      <c r="H30" s="8">
        <v>0</v>
      </c>
      <c r="I30" s="8">
        <f t="shared" si="0"/>
        <v>-31917.63</v>
      </c>
      <c r="J30" s="12"/>
    </row>
    <row r="31" spans="3:10" x14ac:dyDescent="0.25">
      <c r="C31" s="9"/>
      <c r="D31" s="10">
        <v>45674</v>
      </c>
      <c r="E31" t="s">
        <v>7847</v>
      </c>
      <c r="F31" s="11" t="s">
        <v>42</v>
      </c>
      <c r="G31" s="76">
        <v>2493.9</v>
      </c>
      <c r="H31" s="8">
        <v>0</v>
      </c>
      <c r="I31" s="8">
        <f t="shared" si="0"/>
        <v>-29423.73</v>
      </c>
      <c r="J31" s="12"/>
    </row>
    <row r="32" spans="3:10" x14ac:dyDescent="0.25">
      <c r="C32" s="9"/>
      <c r="D32" s="10">
        <v>45674</v>
      </c>
      <c r="E32" t="s">
        <v>7848</v>
      </c>
      <c r="F32" s="11" t="s">
        <v>42</v>
      </c>
      <c r="G32" s="76">
        <v>2423.0700000000002</v>
      </c>
      <c r="H32" s="8">
        <v>0</v>
      </c>
      <c r="I32" s="8">
        <f t="shared" si="0"/>
        <v>-27000.66</v>
      </c>
      <c r="J32" s="12"/>
    </row>
    <row r="33" spans="3:10" x14ac:dyDescent="0.25">
      <c r="C33" s="9"/>
      <c r="D33" s="10">
        <v>45674</v>
      </c>
      <c r="E33" t="s">
        <v>7849</v>
      </c>
      <c r="F33" s="11" t="s">
        <v>42</v>
      </c>
      <c r="G33" s="76">
        <v>1895.36</v>
      </c>
      <c r="H33" s="8">
        <v>0</v>
      </c>
      <c r="I33" s="8">
        <f t="shared" si="0"/>
        <v>-25105.3</v>
      </c>
      <c r="J33" s="12"/>
    </row>
    <row r="34" spans="3:10" x14ac:dyDescent="0.25">
      <c r="C34" s="9"/>
      <c r="D34" s="10">
        <v>45674</v>
      </c>
      <c r="E34" t="s">
        <v>7850</v>
      </c>
      <c r="F34" s="11" t="s">
        <v>42</v>
      </c>
      <c r="G34" s="76">
        <v>3538.45</v>
      </c>
      <c r="H34" s="8">
        <v>0</v>
      </c>
      <c r="I34" s="8">
        <f t="shared" si="0"/>
        <v>-21566.85</v>
      </c>
      <c r="J34" s="12"/>
    </row>
    <row r="35" spans="3:10" x14ac:dyDescent="0.25">
      <c r="C35" s="9"/>
      <c r="D35" s="10">
        <v>45674</v>
      </c>
      <c r="E35" t="s">
        <v>7851</v>
      </c>
      <c r="F35" s="11" t="s">
        <v>42</v>
      </c>
      <c r="G35" s="76">
        <v>1441.48</v>
      </c>
      <c r="H35" s="8">
        <v>0</v>
      </c>
      <c r="I35" s="8">
        <f t="shared" si="0"/>
        <v>-20125.37</v>
      </c>
      <c r="J35" s="12"/>
    </row>
    <row r="36" spans="3:10" x14ac:dyDescent="0.25">
      <c r="C36" s="9"/>
      <c r="D36" s="10">
        <v>45674</v>
      </c>
      <c r="E36" t="s">
        <v>7852</v>
      </c>
      <c r="F36" s="11" t="s">
        <v>42</v>
      </c>
      <c r="G36" s="76">
        <v>1430.83</v>
      </c>
      <c r="H36" s="8">
        <v>0</v>
      </c>
      <c r="I36" s="8">
        <f t="shared" ref="I36:I67" si="1">G36-H36+I35</f>
        <v>-18694.54</v>
      </c>
      <c r="J36" s="12"/>
    </row>
    <row r="37" spans="3:10" x14ac:dyDescent="0.25">
      <c r="C37" s="9"/>
      <c r="D37" s="10">
        <v>45674</v>
      </c>
      <c r="E37" t="s">
        <v>7853</v>
      </c>
      <c r="F37" s="11" t="s">
        <v>42</v>
      </c>
      <c r="G37" s="76">
        <v>1276.8599999999999</v>
      </c>
      <c r="H37" s="8">
        <v>0</v>
      </c>
      <c r="I37" s="8">
        <f t="shared" si="1"/>
        <v>-17417.68</v>
      </c>
      <c r="J37" s="12"/>
    </row>
    <row r="38" spans="3:10" x14ac:dyDescent="0.25">
      <c r="C38" s="9"/>
      <c r="D38" s="10">
        <v>45674</v>
      </c>
      <c r="E38" t="s">
        <v>7854</v>
      </c>
      <c r="F38" s="11" t="s">
        <v>42</v>
      </c>
      <c r="G38" s="76">
        <v>1445.7</v>
      </c>
      <c r="H38" s="8">
        <v>0</v>
      </c>
      <c r="I38" s="8">
        <f t="shared" si="1"/>
        <v>-15971.98</v>
      </c>
      <c r="J38" s="12"/>
    </row>
    <row r="39" spans="3:10" x14ac:dyDescent="0.25">
      <c r="C39" s="9"/>
      <c r="D39" s="10">
        <v>45674</v>
      </c>
      <c r="E39" t="s">
        <v>7855</v>
      </c>
      <c r="F39" s="11" t="s">
        <v>42</v>
      </c>
      <c r="G39" s="76">
        <v>1434.61</v>
      </c>
      <c r="H39" s="8">
        <v>0</v>
      </c>
      <c r="I39" s="8">
        <f t="shared" si="1"/>
        <v>-14537.369999999999</v>
      </c>
      <c r="J39" s="12"/>
    </row>
    <row r="40" spans="3:10" x14ac:dyDescent="0.25">
      <c r="C40" s="9"/>
      <c r="D40" s="10">
        <v>45674</v>
      </c>
      <c r="E40" t="s">
        <v>7856</v>
      </c>
      <c r="F40" s="11" t="s">
        <v>42</v>
      </c>
      <c r="G40" s="76">
        <v>1496.34</v>
      </c>
      <c r="H40" s="8">
        <v>0</v>
      </c>
      <c r="I40" s="8">
        <f t="shared" si="1"/>
        <v>-13041.029999999999</v>
      </c>
      <c r="J40" s="12"/>
    </row>
    <row r="41" spans="3:10" x14ac:dyDescent="0.25">
      <c r="C41" s="9"/>
      <c r="D41" s="10">
        <v>45674</v>
      </c>
      <c r="E41" t="s">
        <v>7857</v>
      </c>
      <c r="F41" s="11" t="s">
        <v>42</v>
      </c>
      <c r="G41" s="76">
        <v>1496.34</v>
      </c>
      <c r="H41" s="8">
        <v>0</v>
      </c>
      <c r="I41" s="8">
        <f t="shared" si="1"/>
        <v>-11544.689999999999</v>
      </c>
      <c r="J41" s="12"/>
    </row>
    <row r="42" spans="3:10" hidden="1" x14ac:dyDescent="0.25">
      <c r="C42" s="9"/>
      <c r="D42" s="10">
        <v>45688</v>
      </c>
      <c r="E42" t="s">
        <v>7858</v>
      </c>
      <c r="F42" s="11" t="s">
        <v>42</v>
      </c>
      <c r="G42" s="8">
        <v>0</v>
      </c>
      <c r="H42" s="76">
        <v>20756.349999999999</v>
      </c>
      <c r="I42" s="8">
        <f t="shared" si="1"/>
        <v>-32301.039999999997</v>
      </c>
      <c r="J42" s="12"/>
    </row>
    <row r="43" spans="3:10" hidden="1" x14ac:dyDescent="0.25">
      <c r="C43" s="9"/>
      <c r="D43" s="10">
        <v>45691</v>
      </c>
      <c r="E43" t="s">
        <v>7859</v>
      </c>
      <c r="F43" s="11" t="s">
        <v>42</v>
      </c>
      <c r="G43" s="76">
        <v>1278.56</v>
      </c>
      <c r="H43" s="8">
        <v>0</v>
      </c>
      <c r="I43" s="8">
        <f t="shared" si="1"/>
        <v>-31022.479999999996</v>
      </c>
      <c r="J43" s="12"/>
    </row>
    <row r="44" spans="3:10" hidden="1" x14ac:dyDescent="0.25">
      <c r="C44" s="9"/>
      <c r="D44" s="10">
        <v>45691</v>
      </c>
      <c r="E44" t="s">
        <v>7860</v>
      </c>
      <c r="F44" s="11" t="s">
        <v>42</v>
      </c>
      <c r="G44" s="76">
        <v>1450</v>
      </c>
      <c r="H44" s="8">
        <v>0</v>
      </c>
      <c r="I44" s="8">
        <f t="shared" si="1"/>
        <v>-29572.479999999996</v>
      </c>
      <c r="J44" s="12"/>
    </row>
    <row r="45" spans="3:10" hidden="1" x14ac:dyDescent="0.25">
      <c r="C45" s="9"/>
      <c r="D45" s="10">
        <v>45691</v>
      </c>
      <c r="E45" t="s">
        <v>7861</v>
      </c>
      <c r="F45" s="11" t="s">
        <v>42</v>
      </c>
      <c r="G45" s="76">
        <v>1438.79</v>
      </c>
      <c r="H45" s="8">
        <v>0</v>
      </c>
      <c r="I45" s="8">
        <f t="shared" si="1"/>
        <v>-28133.689999999995</v>
      </c>
      <c r="J45" s="12"/>
    </row>
    <row r="46" spans="3:10" hidden="1" x14ac:dyDescent="0.25">
      <c r="C46" s="9"/>
      <c r="D46" s="10">
        <v>45691</v>
      </c>
      <c r="E46" t="s">
        <v>7862</v>
      </c>
      <c r="F46" s="11" t="s">
        <v>42</v>
      </c>
      <c r="G46" s="76">
        <v>1500</v>
      </c>
      <c r="H46" s="8">
        <v>0</v>
      </c>
      <c r="I46" s="8">
        <f t="shared" si="1"/>
        <v>-26633.689999999995</v>
      </c>
      <c r="J46" s="12"/>
    </row>
    <row r="47" spans="3:10" hidden="1" x14ac:dyDescent="0.25">
      <c r="C47" s="9"/>
      <c r="D47" s="10">
        <v>45691</v>
      </c>
      <c r="E47" t="s">
        <v>7863</v>
      </c>
      <c r="F47" s="11" t="s">
        <v>42</v>
      </c>
      <c r="G47" s="76">
        <v>1900</v>
      </c>
      <c r="H47" s="8">
        <v>0</v>
      </c>
      <c r="I47" s="8">
        <f t="shared" si="1"/>
        <v>-24733.689999999995</v>
      </c>
      <c r="J47" s="12"/>
    </row>
    <row r="48" spans="3:10" hidden="1" x14ac:dyDescent="0.25">
      <c r="C48" s="9"/>
      <c r="D48" s="10">
        <v>45691</v>
      </c>
      <c r="E48" t="s">
        <v>7864</v>
      </c>
      <c r="F48" s="11" t="s">
        <v>7823</v>
      </c>
      <c r="G48" s="76">
        <v>1500</v>
      </c>
      <c r="H48" s="8">
        <v>0</v>
      </c>
      <c r="I48" s="8">
        <f t="shared" si="1"/>
        <v>-23233.689999999995</v>
      </c>
      <c r="J48" s="12"/>
    </row>
    <row r="49" spans="3:10" hidden="1" x14ac:dyDescent="0.25">
      <c r="C49" s="9"/>
      <c r="D49" s="10">
        <v>45691</v>
      </c>
      <c r="E49" t="s">
        <v>7865</v>
      </c>
      <c r="F49" s="11" t="s">
        <v>42</v>
      </c>
      <c r="G49" s="76">
        <v>2429</v>
      </c>
      <c r="H49" s="8">
        <v>0</v>
      </c>
      <c r="I49" s="8">
        <f t="shared" si="1"/>
        <v>-20804.689999999995</v>
      </c>
      <c r="J49" s="12"/>
    </row>
    <row r="50" spans="3:10" hidden="1" x14ac:dyDescent="0.25">
      <c r="C50" s="9"/>
      <c r="D50" s="10">
        <v>45691</v>
      </c>
      <c r="E50" t="s">
        <v>7866</v>
      </c>
      <c r="F50" s="11" t="s">
        <v>42</v>
      </c>
      <c r="G50" s="76">
        <v>2500</v>
      </c>
      <c r="H50" s="8">
        <v>0</v>
      </c>
      <c r="I50" s="8">
        <f t="shared" si="1"/>
        <v>-18304.689999999995</v>
      </c>
      <c r="J50" s="12"/>
    </row>
    <row r="51" spans="3:10" hidden="1" x14ac:dyDescent="0.25">
      <c r="C51" s="9"/>
      <c r="D51" s="10">
        <v>45691</v>
      </c>
      <c r="E51" t="s">
        <v>7867</v>
      </c>
      <c r="F51" s="11" t="s">
        <v>42</v>
      </c>
      <c r="G51" s="76">
        <v>3200</v>
      </c>
      <c r="H51" s="8">
        <v>0</v>
      </c>
      <c r="I51" s="8">
        <f t="shared" si="1"/>
        <v>-15104.689999999995</v>
      </c>
      <c r="J51" s="12"/>
    </row>
    <row r="52" spans="3:10" hidden="1" x14ac:dyDescent="0.25">
      <c r="C52" s="9"/>
      <c r="D52" s="10">
        <v>45691</v>
      </c>
      <c r="E52" t="s">
        <v>7868</v>
      </c>
      <c r="F52" s="11" t="s">
        <v>42</v>
      </c>
      <c r="G52" s="76">
        <v>3560</v>
      </c>
      <c r="H52" s="8">
        <v>0</v>
      </c>
      <c r="I52" s="8">
        <f t="shared" si="1"/>
        <v>-11544.689999999995</v>
      </c>
      <c r="J52" s="12"/>
    </row>
    <row r="53" spans="3:10" hidden="1" x14ac:dyDescent="0.25">
      <c r="C53" s="9"/>
      <c r="D53" s="10">
        <v>45716</v>
      </c>
      <c r="E53" t="s">
        <v>7858</v>
      </c>
      <c r="F53" s="11" t="s">
        <v>42</v>
      </c>
      <c r="G53" s="8">
        <v>0</v>
      </c>
      <c r="H53" s="76">
        <v>20758.32</v>
      </c>
      <c r="I53" s="8">
        <f t="shared" si="1"/>
        <v>-32303.009999999995</v>
      </c>
      <c r="J53" s="12"/>
    </row>
    <row r="54" spans="3:10" hidden="1" x14ac:dyDescent="0.25">
      <c r="C54" s="9"/>
      <c r="D54" s="10">
        <v>45719</v>
      </c>
      <c r="E54" t="s">
        <v>7869</v>
      </c>
      <c r="F54" s="11" t="s">
        <v>42</v>
      </c>
      <c r="G54" s="76">
        <v>2500</v>
      </c>
      <c r="H54" s="8">
        <v>0</v>
      </c>
      <c r="I54" s="8">
        <f t="shared" si="1"/>
        <v>-29803.009999999995</v>
      </c>
      <c r="J54" s="12"/>
    </row>
    <row r="55" spans="3:10" hidden="1" x14ac:dyDescent="0.25">
      <c r="C55" s="9"/>
      <c r="D55" s="10">
        <v>45719</v>
      </c>
      <c r="E55" t="s">
        <v>7831</v>
      </c>
      <c r="F55" s="11" t="s">
        <v>42</v>
      </c>
      <c r="G55" s="76">
        <v>3200</v>
      </c>
      <c r="H55" s="8">
        <v>0</v>
      </c>
      <c r="I55" s="8">
        <f t="shared" si="1"/>
        <v>-26603.009999999995</v>
      </c>
      <c r="J55" s="12"/>
    </row>
    <row r="56" spans="3:10" hidden="1" x14ac:dyDescent="0.25">
      <c r="C56" s="9"/>
      <c r="D56" s="10">
        <v>45719</v>
      </c>
      <c r="E56" t="s">
        <v>7870</v>
      </c>
      <c r="F56" s="11" t="s">
        <v>42</v>
      </c>
      <c r="G56" s="76">
        <v>3560</v>
      </c>
      <c r="H56" s="8">
        <v>0</v>
      </c>
      <c r="I56" s="8">
        <f t="shared" si="1"/>
        <v>-23043.009999999995</v>
      </c>
      <c r="J56" s="12"/>
    </row>
    <row r="57" spans="3:10" hidden="1" x14ac:dyDescent="0.25">
      <c r="C57" s="9"/>
      <c r="D57" s="10">
        <v>45719</v>
      </c>
      <c r="E57" t="s">
        <v>7871</v>
      </c>
      <c r="F57" s="11" t="s">
        <v>42</v>
      </c>
      <c r="G57" s="76">
        <v>1500</v>
      </c>
      <c r="H57" s="8">
        <v>0</v>
      </c>
      <c r="I57" s="8">
        <f t="shared" si="1"/>
        <v>-21543.009999999995</v>
      </c>
      <c r="J57" s="12"/>
    </row>
    <row r="58" spans="3:10" hidden="1" x14ac:dyDescent="0.25">
      <c r="C58" s="9"/>
      <c r="D58" s="10">
        <v>45719</v>
      </c>
      <c r="E58" t="s">
        <v>7872</v>
      </c>
      <c r="F58" s="11" t="s">
        <v>42</v>
      </c>
      <c r="G58" s="76">
        <v>1440.76</v>
      </c>
      <c r="H58" s="8">
        <v>0</v>
      </c>
      <c r="I58" s="8">
        <f t="shared" si="1"/>
        <v>-20102.249999999996</v>
      </c>
      <c r="J58" s="12"/>
    </row>
    <row r="59" spans="3:10" hidden="1" x14ac:dyDescent="0.25">
      <c r="C59" s="9"/>
      <c r="D59" s="10">
        <v>45719</v>
      </c>
      <c r="E59" t="s">
        <v>7873</v>
      </c>
      <c r="F59" s="11" t="s">
        <v>42</v>
      </c>
      <c r="G59" s="76">
        <v>1900</v>
      </c>
      <c r="H59" s="8">
        <v>0</v>
      </c>
      <c r="I59" s="8">
        <f t="shared" si="1"/>
        <v>-18202.249999999996</v>
      </c>
      <c r="J59" s="12"/>
    </row>
    <row r="60" spans="3:10" hidden="1" x14ac:dyDescent="0.25">
      <c r="C60" s="9"/>
      <c r="D60" s="10">
        <v>45719</v>
      </c>
      <c r="E60" t="s">
        <v>7874</v>
      </c>
      <c r="F60" s="11" t="s">
        <v>42</v>
      </c>
      <c r="G60" s="76">
        <v>1278.56</v>
      </c>
      <c r="H60" s="8">
        <v>0</v>
      </c>
      <c r="I60" s="8">
        <f t="shared" si="1"/>
        <v>-16923.689999999995</v>
      </c>
      <c r="J60" s="12"/>
    </row>
    <row r="61" spans="3:10" hidden="1" x14ac:dyDescent="0.25">
      <c r="C61" s="9"/>
      <c r="D61" s="10">
        <v>45719</v>
      </c>
      <c r="E61" t="s">
        <v>7875</v>
      </c>
      <c r="F61" s="11" t="s">
        <v>7823</v>
      </c>
      <c r="G61" s="76">
        <v>1500</v>
      </c>
      <c r="H61" s="8">
        <v>0</v>
      </c>
      <c r="I61" s="8">
        <f t="shared" si="1"/>
        <v>-15423.689999999995</v>
      </c>
      <c r="J61" s="12"/>
    </row>
    <row r="62" spans="3:10" hidden="1" x14ac:dyDescent="0.25">
      <c r="C62" s="9"/>
      <c r="D62" s="10">
        <v>45719</v>
      </c>
      <c r="E62" t="s">
        <v>7876</v>
      </c>
      <c r="F62" s="11" t="s">
        <v>42</v>
      </c>
      <c r="G62" s="76">
        <v>1450</v>
      </c>
      <c r="H62" s="8">
        <v>0</v>
      </c>
      <c r="I62" s="8">
        <f t="shared" si="1"/>
        <v>-13973.689999999995</v>
      </c>
      <c r="J62" s="12"/>
    </row>
    <row r="63" spans="3:10" hidden="1" x14ac:dyDescent="0.25">
      <c r="C63" s="9"/>
      <c r="D63" s="10">
        <v>45719</v>
      </c>
      <c r="E63" t="s">
        <v>7877</v>
      </c>
      <c r="F63" s="11" t="s">
        <v>42</v>
      </c>
      <c r="G63" s="76">
        <v>2429</v>
      </c>
      <c r="H63" s="8">
        <v>0</v>
      </c>
      <c r="I63" s="8">
        <f t="shared" si="1"/>
        <v>-11544.689999999995</v>
      </c>
      <c r="J63" s="12"/>
    </row>
    <row r="64" spans="3:10" hidden="1" x14ac:dyDescent="0.25">
      <c r="C64" s="9"/>
      <c r="D64" s="10">
        <v>45747</v>
      </c>
      <c r="E64" t="s">
        <v>7858</v>
      </c>
      <c r="F64" s="11" t="s">
        <v>42</v>
      </c>
      <c r="G64" s="8">
        <v>0</v>
      </c>
      <c r="H64" s="76">
        <v>20756.349999999999</v>
      </c>
      <c r="I64" s="8">
        <f t="shared" si="1"/>
        <v>-32301.039999999994</v>
      </c>
      <c r="J64" s="12"/>
    </row>
    <row r="65" spans="1:11" hidden="1" x14ac:dyDescent="0.25">
      <c r="C65" s="9"/>
      <c r="D65" s="10">
        <v>45748</v>
      </c>
      <c r="E65" t="s">
        <v>716</v>
      </c>
      <c r="F65" s="11" t="s">
        <v>42</v>
      </c>
      <c r="G65" s="76">
        <v>2429</v>
      </c>
      <c r="H65" s="8">
        <v>0</v>
      </c>
      <c r="I65" s="8">
        <f t="shared" si="1"/>
        <v>-29872.039999999994</v>
      </c>
      <c r="J65" s="12"/>
    </row>
    <row r="66" spans="1:11" hidden="1" x14ac:dyDescent="0.25">
      <c r="C66" s="9"/>
      <c r="D66" s="10">
        <v>45748</v>
      </c>
      <c r="E66" t="s">
        <v>716</v>
      </c>
      <c r="F66" s="11" t="s">
        <v>42</v>
      </c>
      <c r="G66" s="76">
        <v>2500</v>
      </c>
      <c r="H66" s="8">
        <v>0</v>
      </c>
      <c r="I66" s="8">
        <f t="shared" si="1"/>
        <v>-27372.039999999994</v>
      </c>
      <c r="J66" s="12"/>
    </row>
    <row r="67" spans="1:11" hidden="1" x14ac:dyDescent="0.25">
      <c r="C67" s="9"/>
      <c r="D67" s="10">
        <v>45748</v>
      </c>
      <c r="E67" t="s">
        <v>716</v>
      </c>
      <c r="F67" s="11" t="s">
        <v>42</v>
      </c>
      <c r="G67" s="76">
        <v>3200</v>
      </c>
      <c r="H67" s="8">
        <v>0</v>
      </c>
      <c r="I67" s="8">
        <f t="shared" si="1"/>
        <v>-24172.039999999994</v>
      </c>
      <c r="J67" s="12"/>
    </row>
    <row r="68" spans="1:11" hidden="1" x14ac:dyDescent="0.25">
      <c r="C68" s="9"/>
      <c r="D68" s="10">
        <v>45748</v>
      </c>
      <c r="E68" t="s">
        <v>716</v>
      </c>
      <c r="F68" s="11" t="s">
        <v>42</v>
      </c>
      <c r="G68" s="76">
        <v>3560</v>
      </c>
      <c r="H68" s="8">
        <v>0</v>
      </c>
      <c r="I68" s="8">
        <f t="shared" ref="I68:I76" si="2">G68-H68+I67</f>
        <v>-20612.039999999994</v>
      </c>
      <c r="J68" s="12"/>
    </row>
    <row r="69" spans="1:11" hidden="1" x14ac:dyDescent="0.25">
      <c r="C69" s="9"/>
      <c r="D69" s="10">
        <v>45748</v>
      </c>
      <c r="E69" t="s">
        <v>716</v>
      </c>
      <c r="F69" s="11" t="s">
        <v>42</v>
      </c>
      <c r="G69" s="76">
        <v>1500</v>
      </c>
      <c r="H69" s="8">
        <v>0</v>
      </c>
      <c r="I69" s="8">
        <f t="shared" si="2"/>
        <v>-19112.039999999994</v>
      </c>
      <c r="J69" s="12"/>
    </row>
    <row r="70" spans="1:11" hidden="1" x14ac:dyDescent="0.25">
      <c r="C70" s="9"/>
      <c r="D70" s="10">
        <v>45748</v>
      </c>
      <c r="E70" t="s">
        <v>716</v>
      </c>
      <c r="F70" s="11" t="s">
        <v>42</v>
      </c>
      <c r="G70" s="76">
        <v>1900</v>
      </c>
      <c r="H70" s="8">
        <v>0</v>
      </c>
      <c r="I70" s="8">
        <f t="shared" si="2"/>
        <v>-17212.039999999994</v>
      </c>
      <c r="J70" s="12"/>
    </row>
    <row r="71" spans="1:11" hidden="1" x14ac:dyDescent="0.25">
      <c r="C71" s="9"/>
      <c r="D71" s="10">
        <v>45748</v>
      </c>
      <c r="E71" t="s">
        <v>716</v>
      </c>
      <c r="F71" s="11" t="s">
        <v>7823</v>
      </c>
      <c r="G71" s="76">
        <v>1500</v>
      </c>
      <c r="H71" s="8">
        <v>0</v>
      </c>
      <c r="I71" s="8">
        <f t="shared" si="2"/>
        <v>-15712.039999999994</v>
      </c>
      <c r="J71" s="12"/>
    </row>
    <row r="72" spans="1:11" hidden="1" x14ac:dyDescent="0.25">
      <c r="C72" s="9"/>
      <c r="D72" s="10">
        <v>45748</v>
      </c>
      <c r="E72" t="s">
        <v>716</v>
      </c>
      <c r="F72" s="11" t="s">
        <v>42</v>
      </c>
      <c r="G72" s="76">
        <v>1278.56</v>
      </c>
      <c r="H72" s="8">
        <v>0</v>
      </c>
      <c r="I72" s="8">
        <f t="shared" si="2"/>
        <v>-14433.479999999994</v>
      </c>
      <c r="J72" s="12"/>
    </row>
    <row r="73" spans="1:11" hidden="1" x14ac:dyDescent="0.25">
      <c r="C73" s="9"/>
      <c r="D73" s="10">
        <v>45748</v>
      </c>
      <c r="E73" t="s">
        <v>716</v>
      </c>
      <c r="F73" s="11" t="s">
        <v>42</v>
      </c>
      <c r="G73" s="76">
        <v>1450</v>
      </c>
      <c r="H73" s="8">
        <v>0</v>
      </c>
      <c r="I73" s="8">
        <f t="shared" si="2"/>
        <v>-12983.479999999994</v>
      </c>
      <c r="J73" s="12"/>
    </row>
    <row r="74" spans="1:11" hidden="1" x14ac:dyDescent="0.25">
      <c r="C74" s="9"/>
      <c r="D74" s="10">
        <v>45748</v>
      </c>
      <c r="E74" t="s">
        <v>716</v>
      </c>
      <c r="F74" s="11" t="s">
        <v>42</v>
      </c>
      <c r="G74" s="76">
        <v>1438.79</v>
      </c>
      <c r="H74" s="8">
        <v>0</v>
      </c>
      <c r="I74" s="8">
        <f t="shared" si="2"/>
        <v>-11544.689999999995</v>
      </c>
      <c r="J74" s="12"/>
    </row>
    <row r="75" spans="1:11" x14ac:dyDescent="0.25">
      <c r="C75" s="9"/>
      <c r="D75" s="10">
        <v>45754</v>
      </c>
      <c r="E75" t="s">
        <v>365</v>
      </c>
      <c r="F75" s="11" t="s">
        <v>42</v>
      </c>
      <c r="G75" s="8">
        <v>234.26</v>
      </c>
      <c r="H75" s="8">
        <v>0</v>
      </c>
      <c r="I75" s="8">
        <f t="shared" si="2"/>
        <v>-11310.429999999995</v>
      </c>
      <c r="J75" s="85" t="s">
        <v>8381</v>
      </c>
      <c r="K75" s="78"/>
    </row>
    <row r="76" spans="1:11" hidden="1" x14ac:dyDescent="0.25">
      <c r="C76" s="9"/>
      <c r="D76" s="10">
        <v>45762</v>
      </c>
      <c r="E76" t="s">
        <v>7878</v>
      </c>
      <c r="F76" s="11" t="s">
        <v>42</v>
      </c>
      <c r="G76" s="8">
        <v>0</v>
      </c>
      <c r="H76" s="8">
        <v>0</v>
      </c>
      <c r="I76" s="8">
        <f t="shared" si="2"/>
        <v>-11310.429999999995</v>
      </c>
      <c r="J76" s="12"/>
    </row>
    <row r="77" spans="1:11" hidden="1" x14ac:dyDescent="0.25">
      <c r="E77" s="4" t="s">
        <v>20</v>
      </c>
      <c r="G77" s="8">
        <f>SUM(G3:G76)</f>
        <v>126401.30999999997</v>
      </c>
      <c r="H77" s="8">
        <f>SUM(H3:H76)</f>
        <v>137711.74000000002</v>
      </c>
      <c r="I77" s="8">
        <f>G77-H77</f>
        <v>-11310.430000000051</v>
      </c>
    </row>
    <row r="79" spans="1:11" hidden="1" x14ac:dyDescent="0.25">
      <c r="A79" s="5">
        <v>4720000</v>
      </c>
      <c r="B79" s="6" t="s">
        <v>7879</v>
      </c>
      <c r="C79" s="7"/>
      <c r="D79" s="7"/>
      <c r="E79" s="7"/>
      <c r="F79" s="7"/>
      <c r="G79" s="7"/>
      <c r="H79" s="7"/>
      <c r="I79" s="7"/>
      <c r="J79" s="7"/>
    </row>
    <row r="80" spans="1:11" hidden="1" x14ac:dyDescent="0.25">
      <c r="C80" s="9"/>
      <c r="D80" s="10">
        <v>45658</v>
      </c>
      <c r="E80" t="s">
        <v>7880</v>
      </c>
      <c r="F80" s="11" t="s">
        <v>489</v>
      </c>
      <c r="G80" s="8">
        <v>-47.51</v>
      </c>
      <c r="H80" s="8">
        <v>0</v>
      </c>
      <c r="I80" s="8">
        <f>G80-H80</f>
        <v>-47.51</v>
      </c>
      <c r="J80" s="12"/>
    </row>
    <row r="81" spans="3:10" hidden="1" x14ac:dyDescent="0.25">
      <c r="C81" s="9"/>
      <c r="D81" s="10">
        <v>45658</v>
      </c>
      <c r="E81" t="s">
        <v>7880</v>
      </c>
      <c r="F81" s="11" t="s">
        <v>491</v>
      </c>
      <c r="G81" s="8">
        <v>-47.51</v>
      </c>
      <c r="H81" s="8">
        <v>0</v>
      </c>
      <c r="I81" s="8">
        <f t="shared" ref="I81:I144" si="3">G81-H81+I80</f>
        <v>-95.02</v>
      </c>
      <c r="J81" s="12"/>
    </row>
    <row r="82" spans="3:10" hidden="1" x14ac:dyDescent="0.25">
      <c r="C82" s="9"/>
      <c r="D82" s="10">
        <v>45658</v>
      </c>
      <c r="E82" t="s">
        <v>7881</v>
      </c>
      <c r="F82" s="11" t="s">
        <v>7882</v>
      </c>
      <c r="G82" s="8">
        <v>-64.59</v>
      </c>
      <c r="H82" s="8">
        <v>0</v>
      </c>
      <c r="I82" s="8">
        <f t="shared" si="3"/>
        <v>-159.61000000000001</v>
      </c>
      <c r="J82" s="12"/>
    </row>
    <row r="83" spans="3:10" hidden="1" x14ac:dyDescent="0.25">
      <c r="C83" s="9"/>
      <c r="D83" s="10">
        <v>45658</v>
      </c>
      <c r="E83" t="s">
        <v>7883</v>
      </c>
      <c r="F83" s="11" t="s">
        <v>7884</v>
      </c>
      <c r="G83" s="8">
        <v>-18.079999999999998</v>
      </c>
      <c r="H83" s="8">
        <v>0</v>
      </c>
      <c r="I83" s="8">
        <f t="shared" si="3"/>
        <v>-177.69</v>
      </c>
      <c r="J83" s="12"/>
    </row>
    <row r="84" spans="3:10" hidden="1" x14ac:dyDescent="0.25">
      <c r="C84" s="9"/>
      <c r="D84" s="10">
        <v>45658</v>
      </c>
      <c r="E84" t="s">
        <v>7881</v>
      </c>
      <c r="F84" s="11" t="s">
        <v>42</v>
      </c>
      <c r="G84" s="8">
        <v>-127.6</v>
      </c>
      <c r="H84" s="8">
        <v>0</v>
      </c>
      <c r="I84" s="8">
        <f t="shared" si="3"/>
        <v>-305.28999999999996</v>
      </c>
      <c r="J84" s="12"/>
    </row>
    <row r="85" spans="3:10" hidden="1" x14ac:dyDescent="0.25">
      <c r="C85" s="9"/>
      <c r="D85" s="10">
        <v>45658</v>
      </c>
      <c r="E85" t="s">
        <v>7885</v>
      </c>
      <c r="F85" s="11" t="s">
        <v>96</v>
      </c>
      <c r="G85" s="8">
        <v>157.61000000000001</v>
      </c>
      <c r="H85" s="8">
        <v>0</v>
      </c>
      <c r="I85" s="8">
        <f t="shared" si="3"/>
        <v>-147.67999999999995</v>
      </c>
      <c r="J85" s="12"/>
    </row>
    <row r="86" spans="3:10" hidden="1" x14ac:dyDescent="0.25">
      <c r="C86" s="9"/>
      <c r="D86" s="10">
        <v>45658</v>
      </c>
      <c r="E86" t="s">
        <v>7886</v>
      </c>
      <c r="F86" s="11" t="s">
        <v>7887</v>
      </c>
      <c r="G86" s="8">
        <v>20.71</v>
      </c>
      <c r="H86" s="8">
        <v>0</v>
      </c>
      <c r="I86" s="8">
        <f t="shared" si="3"/>
        <v>-126.96999999999994</v>
      </c>
      <c r="J86" s="12"/>
    </row>
    <row r="87" spans="3:10" hidden="1" x14ac:dyDescent="0.25">
      <c r="C87" s="9"/>
      <c r="D87" s="10">
        <v>45658</v>
      </c>
      <c r="E87" t="s">
        <v>7888</v>
      </c>
      <c r="F87" s="11" t="s">
        <v>7889</v>
      </c>
      <c r="G87" s="8">
        <v>62.87</v>
      </c>
      <c r="H87" s="8">
        <v>0</v>
      </c>
      <c r="I87" s="8">
        <f t="shared" si="3"/>
        <v>-64.099999999999937</v>
      </c>
      <c r="J87" s="12"/>
    </row>
    <row r="88" spans="3:10" hidden="1" x14ac:dyDescent="0.25">
      <c r="C88" s="9"/>
      <c r="D88" s="10">
        <v>45658</v>
      </c>
      <c r="E88" t="s">
        <v>7890</v>
      </c>
      <c r="F88" s="11" t="s">
        <v>882</v>
      </c>
      <c r="G88" s="8">
        <v>113.35</v>
      </c>
      <c r="H88" s="8">
        <v>0</v>
      </c>
      <c r="I88" s="8">
        <f t="shared" si="3"/>
        <v>49.250000000000057</v>
      </c>
      <c r="J88" s="12"/>
    </row>
    <row r="89" spans="3:10" hidden="1" x14ac:dyDescent="0.25">
      <c r="C89" s="9"/>
      <c r="D89" s="10">
        <v>45658</v>
      </c>
      <c r="E89" t="s">
        <v>7891</v>
      </c>
      <c r="F89" s="11" t="s">
        <v>7892</v>
      </c>
      <c r="G89" s="8">
        <v>18.57</v>
      </c>
      <c r="H89" s="8">
        <v>0</v>
      </c>
      <c r="I89" s="8">
        <f t="shared" si="3"/>
        <v>67.82000000000005</v>
      </c>
      <c r="J89" s="12"/>
    </row>
    <row r="90" spans="3:10" hidden="1" x14ac:dyDescent="0.25">
      <c r="C90" s="9"/>
      <c r="D90" s="10">
        <v>45658</v>
      </c>
      <c r="E90" t="s">
        <v>7893</v>
      </c>
      <c r="F90" s="11" t="s">
        <v>1197</v>
      </c>
      <c r="G90" s="8">
        <v>13.98</v>
      </c>
      <c r="H90" s="8">
        <v>0</v>
      </c>
      <c r="I90" s="8">
        <f t="shared" si="3"/>
        <v>81.800000000000054</v>
      </c>
      <c r="J90" s="12"/>
    </row>
    <row r="91" spans="3:10" hidden="1" x14ac:dyDescent="0.25">
      <c r="C91" s="9"/>
      <c r="D91" s="10">
        <v>45658</v>
      </c>
      <c r="E91" t="s">
        <v>7894</v>
      </c>
      <c r="F91" s="11" t="s">
        <v>7895</v>
      </c>
      <c r="G91" s="8">
        <v>53.24</v>
      </c>
      <c r="H91" s="8">
        <v>0</v>
      </c>
      <c r="I91" s="8">
        <f t="shared" si="3"/>
        <v>135.04000000000005</v>
      </c>
      <c r="J91" s="12"/>
    </row>
    <row r="92" spans="3:10" hidden="1" x14ac:dyDescent="0.25">
      <c r="C92" s="9"/>
      <c r="D92" s="10">
        <v>45658</v>
      </c>
      <c r="E92" t="s">
        <v>7893</v>
      </c>
      <c r="F92" s="11" t="s">
        <v>1199</v>
      </c>
      <c r="G92" s="8">
        <v>8.42</v>
      </c>
      <c r="H92" s="8">
        <v>0</v>
      </c>
      <c r="I92" s="8">
        <f t="shared" si="3"/>
        <v>143.46000000000004</v>
      </c>
      <c r="J92" s="12"/>
    </row>
    <row r="93" spans="3:10" hidden="1" x14ac:dyDescent="0.25">
      <c r="C93" s="9"/>
      <c r="D93" s="10">
        <v>45658</v>
      </c>
      <c r="E93" t="s">
        <v>7896</v>
      </c>
      <c r="F93" s="11" t="s">
        <v>7897</v>
      </c>
      <c r="G93" s="8">
        <v>51.14</v>
      </c>
      <c r="H93" s="8">
        <v>0</v>
      </c>
      <c r="I93" s="8">
        <f t="shared" si="3"/>
        <v>194.60000000000002</v>
      </c>
      <c r="J93" s="12"/>
    </row>
    <row r="94" spans="3:10" hidden="1" x14ac:dyDescent="0.25">
      <c r="C94" s="9"/>
      <c r="D94" s="10">
        <v>45658</v>
      </c>
      <c r="E94" t="s">
        <v>7898</v>
      </c>
      <c r="F94" s="11" t="s">
        <v>7899</v>
      </c>
      <c r="G94" s="8">
        <v>88.7</v>
      </c>
      <c r="H94" s="8">
        <v>0</v>
      </c>
      <c r="I94" s="8">
        <f t="shared" si="3"/>
        <v>283.3</v>
      </c>
      <c r="J94" s="12"/>
    </row>
    <row r="95" spans="3:10" hidden="1" x14ac:dyDescent="0.25">
      <c r="C95" s="9"/>
      <c r="D95" s="10">
        <v>45658</v>
      </c>
      <c r="E95" t="s">
        <v>7880</v>
      </c>
      <c r="F95" s="11" t="s">
        <v>493</v>
      </c>
      <c r="G95" s="8">
        <v>-84.04</v>
      </c>
      <c r="H95" s="8">
        <v>0</v>
      </c>
      <c r="I95" s="8">
        <f t="shared" si="3"/>
        <v>199.26</v>
      </c>
      <c r="J95" s="12"/>
    </row>
    <row r="96" spans="3:10" hidden="1" x14ac:dyDescent="0.25">
      <c r="C96" s="9"/>
      <c r="D96" s="10">
        <v>45658</v>
      </c>
      <c r="E96" t="s">
        <v>7900</v>
      </c>
      <c r="F96" s="11" t="s">
        <v>977</v>
      </c>
      <c r="G96" s="8">
        <v>-545.16</v>
      </c>
      <c r="H96" s="8">
        <v>0</v>
      </c>
      <c r="I96" s="8">
        <f t="shared" si="3"/>
        <v>-345.9</v>
      </c>
      <c r="J96" s="12"/>
    </row>
    <row r="97" spans="3:10" hidden="1" x14ac:dyDescent="0.25">
      <c r="C97" s="9"/>
      <c r="D97" s="10">
        <v>45658</v>
      </c>
      <c r="E97" t="s">
        <v>7901</v>
      </c>
      <c r="F97" s="11" t="s">
        <v>7902</v>
      </c>
      <c r="G97" s="8">
        <v>100.38</v>
      </c>
      <c r="H97" s="8">
        <v>0</v>
      </c>
      <c r="I97" s="8">
        <f t="shared" si="3"/>
        <v>-245.51999999999998</v>
      </c>
      <c r="J97" s="12"/>
    </row>
    <row r="98" spans="3:10" hidden="1" x14ac:dyDescent="0.25">
      <c r="C98" s="9"/>
      <c r="D98" s="10">
        <v>45658</v>
      </c>
      <c r="E98" t="s">
        <v>7903</v>
      </c>
      <c r="F98" s="11" t="s">
        <v>7904</v>
      </c>
      <c r="G98" s="8">
        <v>92.08</v>
      </c>
      <c r="H98" s="8">
        <v>0</v>
      </c>
      <c r="I98" s="8">
        <f t="shared" si="3"/>
        <v>-153.44</v>
      </c>
      <c r="J98" s="12"/>
    </row>
    <row r="99" spans="3:10" hidden="1" x14ac:dyDescent="0.25">
      <c r="C99" s="9"/>
      <c r="D99" s="10">
        <v>45658</v>
      </c>
      <c r="E99" t="s">
        <v>7905</v>
      </c>
      <c r="F99" s="11" t="s">
        <v>49</v>
      </c>
      <c r="G99" s="8">
        <v>60.13</v>
      </c>
      <c r="H99" s="8">
        <v>0</v>
      </c>
      <c r="I99" s="8">
        <f t="shared" si="3"/>
        <v>-93.31</v>
      </c>
      <c r="J99" s="12"/>
    </row>
    <row r="100" spans="3:10" hidden="1" x14ac:dyDescent="0.25">
      <c r="C100" s="9"/>
      <c r="D100" s="10">
        <v>45658</v>
      </c>
      <c r="E100" t="s">
        <v>7906</v>
      </c>
      <c r="F100" s="11" t="s">
        <v>33</v>
      </c>
      <c r="G100" s="8">
        <v>1.38</v>
      </c>
      <c r="H100" s="8">
        <v>0</v>
      </c>
      <c r="I100" s="8">
        <f t="shared" si="3"/>
        <v>-91.93</v>
      </c>
      <c r="J100" s="12"/>
    </row>
    <row r="101" spans="3:10" hidden="1" x14ac:dyDescent="0.25">
      <c r="C101" s="9"/>
      <c r="D101" s="10">
        <v>45658</v>
      </c>
      <c r="E101" t="s">
        <v>7906</v>
      </c>
      <c r="F101" s="11" t="s">
        <v>35</v>
      </c>
      <c r="G101" s="8">
        <v>2.1</v>
      </c>
      <c r="H101" s="8">
        <v>0</v>
      </c>
      <c r="I101" s="8">
        <f t="shared" si="3"/>
        <v>-89.830000000000013</v>
      </c>
      <c r="J101" s="12"/>
    </row>
    <row r="102" spans="3:10" hidden="1" x14ac:dyDescent="0.25">
      <c r="C102" s="9"/>
      <c r="D102" s="10">
        <v>45658</v>
      </c>
      <c r="E102" t="s">
        <v>7901</v>
      </c>
      <c r="F102" s="11" t="s">
        <v>7907</v>
      </c>
      <c r="G102" s="8">
        <v>100.38</v>
      </c>
      <c r="H102" s="8">
        <v>0</v>
      </c>
      <c r="I102" s="8">
        <f t="shared" si="3"/>
        <v>10.549999999999983</v>
      </c>
      <c r="J102" s="12"/>
    </row>
    <row r="103" spans="3:10" hidden="1" x14ac:dyDescent="0.25">
      <c r="C103" s="9"/>
      <c r="D103" s="10">
        <v>45658</v>
      </c>
      <c r="E103" t="s">
        <v>7903</v>
      </c>
      <c r="F103" s="11" t="s">
        <v>7908</v>
      </c>
      <c r="G103" s="8">
        <v>92.08</v>
      </c>
      <c r="H103" s="8">
        <v>0</v>
      </c>
      <c r="I103" s="8">
        <f t="shared" si="3"/>
        <v>102.62999999999998</v>
      </c>
      <c r="J103" s="12"/>
    </row>
    <row r="104" spans="3:10" hidden="1" x14ac:dyDescent="0.25">
      <c r="C104" s="9"/>
      <c r="D104" s="10">
        <v>45660</v>
      </c>
      <c r="E104" t="s">
        <v>7909</v>
      </c>
      <c r="F104" s="11" t="s">
        <v>1473</v>
      </c>
      <c r="G104" s="8">
        <v>229.42</v>
      </c>
      <c r="H104" s="8">
        <v>0</v>
      </c>
      <c r="I104" s="8">
        <f t="shared" si="3"/>
        <v>332.04999999999995</v>
      </c>
      <c r="J104" s="12"/>
    </row>
    <row r="105" spans="3:10" hidden="1" x14ac:dyDescent="0.25">
      <c r="C105" s="9"/>
      <c r="D105" s="10">
        <v>45660</v>
      </c>
      <c r="E105" t="s">
        <v>7910</v>
      </c>
      <c r="F105" s="11" t="s">
        <v>1414</v>
      </c>
      <c r="G105" s="8">
        <v>147.07</v>
      </c>
      <c r="H105" s="8">
        <v>0</v>
      </c>
      <c r="I105" s="8">
        <f t="shared" si="3"/>
        <v>479.11999999999995</v>
      </c>
      <c r="J105" s="12"/>
    </row>
    <row r="106" spans="3:10" hidden="1" x14ac:dyDescent="0.25">
      <c r="C106" s="9"/>
      <c r="D106" s="10">
        <v>45660</v>
      </c>
      <c r="E106" t="s">
        <v>7911</v>
      </c>
      <c r="F106" s="11" t="s">
        <v>23</v>
      </c>
      <c r="G106" s="8">
        <v>117.59</v>
      </c>
      <c r="H106" s="8">
        <v>0</v>
      </c>
      <c r="I106" s="8">
        <f t="shared" si="3"/>
        <v>596.70999999999992</v>
      </c>
      <c r="J106" s="12"/>
    </row>
    <row r="107" spans="3:10" hidden="1" x14ac:dyDescent="0.25">
      <c r="C107" s="9"/>
      <c r="D107" s="10">
        <v>45662</v>
      </c>
      <c r="E107" t="s">
        <v>7912</v>
      </c>
      <c r="F107" s="11" t="s">
        <v>397</v>
      </c>
      <c r="G107" s="8">
        <v>62.89</v>
      </c>
      <c r="H107" s="8">
        <v>0</v>
      </c>
      <c r="I107" s="8">
        <f t="shared" si="3"/>
        <v>659.59999999999991</v>
      </c>
      <c r="J107" s="12"/>
    </row>
    <row r="108" spans="3:10" hidden="1" x14ac:dyDescent="0.25">
      <c r="C108" s="9"/>
      <c r="D108" s="10">
        <v>45664</v>
      </c>
      <c r="E108" t="s">
        <v>7913</v>
      </c>
      <c r="F108" s="11" t="s">
        <v>7914</v>
      </c>
      <c r="G108" s="8">
        <v>221.94</v>
      </c>
      <c r="H108" s="8">
        <v>0</v>
      </c>
      <c r="I108" s="8">
        <f t="shared" si="3"/>
        <v>881.54</v>
      </c>
      <c r="J108" s="12"/>
    </row>
    <row r="109" spans="3:10" hidden="1" x14ac:dyDescent="0.25">
      <c r="C109" s="9"/>
      <c r="D109" s="10">
        <v>45664</v>
      </c>
      <c r="E109" t="s">
        <v>7915</v>
      </c>
      <c r="F109" s="11" t="s">
        <v>550</v>
      </c>
      <c r="G109" s="8">
        <v>113.16</v>
      </c>
      <c r="H109" s="8">
        <v>0</v>
      </c>
      <c r="I109" s="8">
        <f t="shared" si="3"/>
        <v>994.69999999999993</v>
      </c>
      <c r="J109" s="12"/>
    </row>
    <row r="110" spans="3:10" hidden="1" x14ac:dyDescent="0.25">
      <c r="C110" s="9"/>
      <c r="D110" s="10">
        <v>45665</v>
      </c>
      <c r="E110" t="s">
        <v>7916</v>
      </c>
      <c r="F110" s="11" t="s">
        <v>1481</v>
      </c>
      <c r="G110" s="8">
        <v>3.15</v>
      </c>
      <c r="H110" s="8">
        <v>0</v>
      </c>
      <c r="I110" s="8">
        <f t="shared" si="3"/>
        <v>997.84999999999991</v>
      </c>
      <c r="J110" s="12"/>
    </row>
    <row r="111" spans="3:10" hidden="1" x14ac:dyDescent="0.25">
      <c r="C111" s="9"/>
      <c r="D111" s="10">
        <v>45665</v>
      </c>
      <c r="E111" t="s">
        <v>7917</v>
      </c>
      <c r="F111" s="11" t="s">
        <v>1309</v>
      </c>
      <c r="G111" s="8">
        <v>101.88</v>
      </c>
      <c r="H111" s="8">
        <v>0</v>
      </c>
      <c r="I111" s="8">
        <f t="shared" si="3"/>
        <v>1099.73</v>
      </c>
      <c r="J111" s="12"/>
    </row>
    <row r="112" spans="3:10" hidden="1" x14ac:dyDescent="0.25">
      <c r="C112" s="9"/>
      <c r="D112" s="10">
        <v>45665</v>
      </c>
      <c r="E112" t="s">
        <v>7918</v>
      </c>
      <c r="F112" s="11" t="s">
        <v>1149</v>
      </c>
      <c r="G112" s="8">
        <v>359.95</v>
      </c>
      <c r="H112" s="8">
        <v>0</v>
      </c>
      <c r="I112" s="8">
        <f t="shared" si="3"/>
        <v>1459.68</v>
      </c>
      <c r="J112" s="12"/>
    </row>
    <row r="113" spans="3:10" hidden="1" x14ac:dyDescent="0.25">
      <c r="C113" s="9"/>
      <c r="D113" s="10">
        <v>45666</v>
      </c>
      <c r="E113" t="s">
        <v>7919</v>
      </c>
      <c r="F113" s="11" t="s">
        <v>634</v>
      </c>
      <c r="G113" s="8">
        <v>69.510000000000005</v>
      </c>
      <c r="H113" s="8">
        <v>0</v>
      </c>
      <c r="I113" s="8">
        <f t="shared" si="3"/>
        <v>1529.19</v>
      </c>
      <c r="J113" s="12"/>
    </row>
    <row r="114" spans="3:10" hidden="1" x14ac:dyDescent="0.25">
      <c r="C114" s="9"/>
      <c r="D114" s="10">
        <v>45666</v>
      </c>
      <c r="E114" t="s">
        <v>7920</v>
      </c>
      <c r="F114" s="11" t="s">
        <v>7921</v>
      </c>
      <c r="G114" s="8">
        <v>8.81</v>
      </c>
      <c r="H114" s="8">
        <v>0</v>
      </c>
      <c r="I114" s="8">
        <f t="shared" si="3"/>
        <v>1538</v>
      </c>
      <c r="J114" s="12"/>
    </row>
    <row r="115" spans="3:10" hidden="1" x14ac:dyDescent="0.25">
      <c r="C115" s="9"/>
      <c r="D115" s="10">
        <v>45667</v>
      </c>
      <c r="E115" t="s">
        <v>7922</v>
      </c>
      <c r="F115" s="11" t="s">
        <v>7923</v>
      </c>
      <c r="G115" s="8">
        <v>51.5</v>
      </c>
      <c r="H115" s="8">
        <v>0</v>
      </c>
      <c r="I115" s="8">
        <f t="shared" si="3"/>
        <v>1589.5</v>
      </c>
      <c r="J115" s="12"/>
    </row>
    <row r="116" spans="3:10" hidden="1" x14ac:dyDescent="0.25">
      <c r="C116" s="9"/>
      <c r="D116" s="10">
        <v>45667</v>
      </c>
      <c r="E116" t="s">
        <v>7924</v>
      </c>
      <c r="F116" s="11" t="s">
        <v>1444</v>
      </c>
      <c r="G116" s="8">
        <v>26.89</v>
      </c>
      <c r="H116" s="8">
        <v>0</v>
      </c>
      <c r="I116" s="8">
        <f t="shared" si="3"/>
        <v>1616.39</v>
      </c>
      <c r="J116" s="12"/>
    </row>
    <row r="117" spans="3:10" hidden="1" x14ac:dyDescent="0.25">
      <c r="C117" s="9"/>
      <c r="D117" s="10">
        <v>45667</v>
      </c>
      <c r="E117" t="s">
        <v>7924</v>
      </c>
      <c r="F117" s="11" t="s">
        <v>1446</v>
      </c>
      <c r="G117" s="8">
        <v>427.04</v>
      </c>
      <c r="H117" s="8">
        <v>0</v>
      </c>
      <c r="I117" s="8">
        <f t="shared" si="3"/>
        <v>2043.43</v>
      </c>
      <c r="J117" s="12"/>
    </row>
    <row r="118" spans="3:10" hidden="1" x14ac:dyDescent="0.25">
      <c r="C118" s="9"/>
      <c r="D118" s="10">
        <v>45667</v>
      </c>
      <c r="E118" t="s">
        <v>7924</v>
      </c>
      <c r="F118" s="11" t="s">
        <v>1448</v>
      </c>
      <c r="G118" s="8">
        <v>441.99</v>
      </c>
      <c r="H118" s="8">
        <v>0</v>
      </c>
      <c r="I118" s="8">
        <f t="shared" si="3"/>
        <v>2485.42</v>
      </c>
      <c r="J118" s="12"/>
    </row>
    <row r="119" spans="3:10" hidden="1" x14ac:dyDescent="0.25">
      <c r="C119" s="9"/>
      <c r="D119" s="10">
        <v>45667</v>
      </c>
      <c r="E119" t="s">
        <v>7925</v>
      </c>
      <c r="F119" s="11" t="s">
        <v>368</v>
      </c>
      <c r="G119" s="8">
        <v>242.14</v>
      </c>
      <c r="H119" s="8">
        <v>0</v>
      </c>
      <c r="I119" s="8">
        <f t="shared" si="3"/>
        <v>2727.56</v>
      </c>
      <c r="J119" s="12"/>
    </row>
    <row r="120" spans="3:10" hidden="1" x14ac:dyDescent="0.25">
      <c r="C120" s="9"/>
      <c r="D120" s="10">
        <v>45667</v>
      </c>
      <c r="E120" t="s">
        <v>7926</v>
      </c>
      <c r="F120" s="11" t="s">
        <v>1177</v>
      </c>
      <c r="G120" s="8">
        <v>146.28</v>
      </c>
      <c r="H120" s="8">
        <v>0</v>
      </c>
      <c r="I120" s="8">
        <f t="shared" si="3"/>
        <v>2873.84</v>
      </c>
      <c r="J120" s="12"/>
    </row>
    <row r="121" spans="3:10" hidden="1" x14ac:dyDescent="0.25">
      <c r="C121" s="9"/>
      <c r="D121" s="10">
        <v>45667</v>
      </c>
      <c r="E121" t="s">
        <v>7880</v>
      </c>
      <c r="F121" s="11" t="s">
        <v>495</v>
      </c>
      <c r="G121" s="8">
        <v>509.43</v>
      </c>
      <c r="H121" s="8">
        <v>0</v>
      </c>
      <c r="I121" s="8">
        <f t="shared" si="3"/>
        <v>3383.27</v>
      </c>
      <c r="J121" s="12"/>
    </row>
    <row r="122" spans="3:10" hidden="1" x14ac:dyDescent="0.25">
      <c r="C122" s="9"/>
      <c r="D122" s="10">
        <v>45667</v>
      </c>
      <c r="E122" t="s">
        <v>7927</v>
      </c>
      <c r="F122" s="11" t="s">
        <v>1428</v>
      </c>
      <c r="G122" s="8">
        <v>0.15</v>
      </c>
      <c r="H122" s="8">
        <v>0</v>
      </c>
      <c r="I122" s="8">
        <f t="shared" si="3"/>
        <v>3383.42</v>
      </c>
      <c r="J122" s="12"/>
    </row>
    <row r="123" spans="3:10" hidden="1" x14ac:dyDescent="0.25">
      <c r="C123" s="9"/>
      <c r="D123" s="10">
        <v>45667</v>
      </c>
      <c r="E123" t="s">
        <v>7927</v>
      </c>
      <c r="F123" s="11" t="s">
        <v>1429</v>
      </c>
      <c r="G123" s="8">
        <v>0.13</v>
      </c>
      <c r="H123" s="8">
        <v>0</v>
      </c>
      <c r="I123" s="8">
        <f t="shared" si="3"/>
        <v>3383.55</v>
      </c>
      <c r="J123" s="12"/>
    </row>
    <row r="124" spans="3:10" hidden="1" x14ac:dyDescent="0.25">
      <c r="C124" s="9"/>
      <c r="D124" s="10">
        <v>45667</v>
      </c>
      <c r="E124" t="s">
        <v>7928</v>
      </c>
      <c r="F124" s="11" t="s">
        <v>669</v>
      </c>
      <c r="G124" s="8">
        <v>37.36</v>
      </c>
      <c r="H124" s="8">
        <v>0</v>
      </c>
      <c r="I124" s="8">
        <f t="shared" si="3"/>
        <v>3420.9100000000003</v>
      </c>
      <c r="J124" s="12"/>
    </row>
    <row r="125" spans="3:10" hidden="1" x14ac:dyDescent="0.25">
      <c r="C125" s="9"/>
      <c r="D125" s="10">
        <v>45667</v>
      </c>
      <c r="E125" t="s">
        <v>7929</v>
      </c>
      <c r="F125" s="11" t="s">
        <v>751</v>
      </c>
      <c r="G125" s="8">
        <v>10.18</v>
      </c>
      <c r="H125" s="8">
        <v>0</v>
      </c>
      <c r="I125" s="8">
        <f t="shared" si="3"/>
        <v>3431.09</v>
      </c>
      <c r="J125" s="12"/>
    </row>
    <row r="126" spans="3:10" hidden="1" x14ac:dyDescent="0.25">
      <c r="C126" s="9"/>
      <c r="D126" s="10">
        <v>45667</v>
      </c>
      <c r="E126" t="s">
        <v>7930</v>
      </c>
      <c r="F126" s="11" t="s">
        <v>535</v>
      </c>
      <c r="G126" s="8">
        <v>19.91</v>
      </c>
      <c r="H126" s="8">
        <v>0</v>
      </c>
      <c r="I126" s="8">
        <f t="shared" si="3"/>
        <v>3451</v>
      </c>
      <c r="J126" s="12"/>
    </row>
    <row r="127" spans="3:10" hidden="1" x14ac:dyDescent="0.25">
      <c r="C127" s="9"/>
      <c r="D127" s="10">
        <v>45670</v>
      </c>
      <c r="E127" t="s">
        <v>7912</v>
      </c>
      <c r="F127" s="11" t="s">
        <v>399</v>
      </c>
      <c r="G127" s="8">
        <v>451.25</v>
      </c>
      <c r="H127" s="8">
        <v>0</v>
      </c>
      <c r="I127" s="8">
        <f t="shared" si="3"/>
        <v>3902.25</v>
      </c>
      <c r="J127" s="12"/>
    </row>
    <row r="128" spans="3:10" hidden="1" x14ac:dyDescent="0.25">
      <c r="C128" s="9"/>
      <c r="D128" s="10">
        <v>45670</v>
      </c>
      <c r="E128" t="s">
        <v>7931</v>
      </c>
      <c r="F128" s="11" t="s">
        <v>7932</v>
      </c>
      <c r="G128" s="8">
        <v>651.34</v>
      </c>
      <c r="H128" s="8">
        <v>0</v>
      </c>
      <c r="I128" s="8">
        <f t="shared" si="3"/>
        <v>4553.59</v>
      </c>
      <c r="J128" s="12"/>
    </row>
    <row r="129" spans="3:10" hidden="1" x14ac:dyDescent="0.25">
      <c r="C129" s="9"/>
      <c r="D129" s="10">
        <v>45670</v>
      </c>
      <c r="E129" t="s">
        <v>7933</v>
      </c>
      <c r="F129" s="11" t="s">
        <v>1016</v>
      </c>
      <c r="G129" s="8">
        <v>71.239999999999995</v>
      </c>
      <c r="H129" s="8">
        <v>0</v>
      </c>
      <c r="I129" s="8">
        <f t="shared" si="3"/>
        <v>4624.83</v>
      </c>
      <c r="J129" s="12"/>
    </row>
    <row r="130" spans="3:10" hidden="1" x14ac:dyDescent="0.25">
      <c r="C130" s="9"/>
      <c r="D130" s="10">
        <v>45671</v>
      </c>
      <c r="E130" t="s">
        <v>7927</v>
      </c>
      <c r="F130" s="11" t="s">
        <v>1431</v>
      </c>
      <c r="G130" s="8">
        <v>0.24</v>
      </c>
      <c r="H130" s="8">
        <v>0</v>
      </c>
      <c r="I130" s="8">
        <f t="shared" si="3"/>
        <v>4625.07</v>
      </c>
      <c r="J130" s="12"/>
    </row>
    <row r="131" spans="3:10" hidden="1" x14ac:dyDescent="0.25">
      <c r="C131" s="9"/>
      <c r="D131" s="10">
        <v>45671</v>
      </c>
      <c r="E131" t="s">
        <v>7934</v>
      </c>
      <c r="F131" s="11" t="s">
        <v>7935</v>
      </c>
      <c r="G131" s="8">
        <v>10.42</v>
      </c>
      <c r="H131" s="8">
        <v>0</v>
      </c>
      <c r="I131" s="8">
        <f t="shared" si="3"/>
        <v>4635.49</v>
      </c>
      <c r="J131" s="12"/>
    </row>
    <row r="132" spans="3:10" hidden="1" x14ac:dyDescent="0.25">
      <c r="C132" s="9"/>
      <c r="D132" s="10">
        <v>45671</v>
      </c>
      <c r="E132" t="s">
        <v>7936</v>
      </c>
      <c r="F132" s="11" t="s">
        <v>7937</v>
      </c>
      <c r="G132" s="8">
        <v>68.040000000000006</v>
      </c>
      <c r="H132" s="8">
        <v>0</v>
      </c>
      <c r="I132" s="8">
        <f t="shared" si="3"/>
        <v>4703.53</v>
      </c>
      <c r="J132" s="12"/>
    </row>
    <row r="133" spans="3:10" hidden="1" x14ac:dyDescent="0.25">
      <c r="C133" s="9"/>
      <c r="D133" s="10">
        <v>45671</v>
      </c>
      <c r="E133" t="s">
        <v>7938</v>
      </c>
      <c r="F133" s="11" t="s">
        <v>921</v>
      </c>
      <c r="G133" s="8">
        <v>36.93</v>
      </c>
      <c r="H133" s="8">
        <v>0</v>
      </c>
      <c r="I133" s="8">
        <f t="shared" si="3"/>
        <v>4740.46</v>
      </c>
      <c r="J133" s="12"/>
    </row>
    <row r="134" spans="3:10" hidden="1" x14ac:dyDescent="0.25">
      <c r="C134" s="9"/>
      <c r="D134" s="10">
        <v>45671</v>
      </c>
      <c r="E134" t="s">
        <v>7939</v>
      </c>
      <c r="F134" s="11" t="s">
        <v>7940</v>
      </c>
      <c r="G134" s="8">
        <v>62.64</v>
      </c>
      <c r="H134" s="8">
        <v>0</v>
      </c>
      <c r="I134" s="8">
        <f t="shared" si="3"/>
        <v>4803.1000000000004</v>
      </c>
      <c r="J134" s="12"/>
    </row>
    <row r="135" spans="3:10" hidden="1" x14ac:dyDescent="0.25">
      <c r="C135" s="9"/>
      <c r="D135" s="10">
        <v>45672</v>
      </c>
      <c r="E135" t="s">
        <v>7941</v>
      </c>
      <c r="F135" s="11" t="s">
        <v>354</v>
      </c>
      <c r="G135" s="8">
        <v>378</v>
      </c>
      <c r="H135" s="8">
        <v>0</v>
      </c>
      <c r="I135" s="8">
        <f t="shared" si="3"/>
        <v>5181.1000000000004</v>
      </c>
      <c r="J135" s="12"/>
    </row>
    <row r="136" spans="3:10" hidden="1" x14ac:dyDescent="0.25">
      <c r="C136" s="9"/>
      <c r="D136" s="10">
        <v>45672</v>
      </c>
      <c r="E136" t="s">
        <v>7942</v>
      </c>
      <c r="F136" s="11" t="s">
        <v>765</v>
      </c>
      <c r="G136" s="8">
        <v>17.73</v>
      </c>
      <c r="H136" s="8">
        <v>0</v>
      </c>
      <c r="I136" s="8">
        <f t="shared" si="3"/>
        <v>5198.83</v>
      </c>
      <c r="J136" s="12"/>
    </row>
    <row r="137" spans="3:10" hidden="1" x14ac:dyDescent="0.25">
      <c r="C137" s="9"/>
      <c r="D137" s="10">
        <v>45672</v>
      </c>
      <c r="E137" t="s">
        <v>7943</v>
      </c>
      <c r="F137" s="11" t="s">
        <v>1029</v>
      </c>
      <c r="G137" s="8">
        <v>24.05</v>
      </c>
      <c r="H137" s="8">
        <v>0</v>
      </c>
      <c r="I137" s="8">
        <f t="shared" si="3"/>
        <v>5222.88</v>
      </c>
      <c r="J137" s="12"/>
    </row>
    <row r="138" spans="3:10" hidden="1" x14ac:dyDescent="0.25">
      <c r="C138" s="9"/>
      <c r="D138" s="10">
        <v>45672</v>
      </c>
      <c r="E138" t="s">
        <v>7944</v>
      </c>
      <c r="F138" s="11" t="s">
        <v>163</v>
      </c>
      <c r="G138" s="8">
        <v>92.91</v>
      </c>
      <c r="H138" s="8">
        <v>0</v>
      </c>
      <c r="I138" s="8">
        <f t="shared" si="3"/>
        <v>5315.79</v>
      </c>
      <c r="J138" s="12"/>
    </row>
    <row r="139" spans="3:10" hidden="1" x14ac:dyDescent="0.25">
      <c r="C139" s="9"/>
      <c r="D139" s="10">
        <v>45672</v>
      </c>
      <c r="E139" t="s">
        <v>7945</v>
      </c>
      <c r="F139" s="11" t="s">
        <v>1202</v>
      </c>
      <c r="G139" s="8">
        <v>88.8</v>
      </c>
      <c r="H139" s="8">
        <v>0</v>
      </c>
      <c r="I139" s="8">
        <f t="shared" si="3"/>
        <v>5404.59</v>
      </c>
      <c r="J139" s="12"/>
    </row>
    <row r="140" spans="3:10" hidden="1" x14ac:dyDescent="0.25">
      <c r="C140" s="9"/>
      <c r="D140" s="10">
        <v>45672</v>
      </c>
      <c r="E140" t="s">
        <v>7946</v>
      </c>
      <c r="F140" s="11" t="s">
        <v>584</v>
      </c>
      <c r="G140" s="8">
        <v>10.84</v>
      </c>
      <c r="H140" s="8">
        <v>0</v>
      </c>
      <c r="I140" s="8">
        <f t="shared" si="3"/>
        <v>5415.43</v>
      </c>
      <c r="J140" s="12"/>
    </row>
    <row r="141" spans="3:10" hidden="1" x14ac:dyDescent="0.25">
      <c r="C141" s="9"/>
      <c r="D141" s="10">
        <v>45672</v>
      </c>
      <c r="E141" t="s">
        <v>7947</v>
      </c>
      <c r="F141" s="11" t="s">
        <v>1270</v>
      </c>
      <c r="G141" s="8">
        <v>43.5</v>
      </c>
      <c r="H141" s="8">
        <v>0</v>
      </c>
      <c r="I141" s="8">
        <f t="shared" si="3"/>
        <v>5458.93</v>
      </c>
      <c r="J141" s="12"/>
    </row>
    <row r="142" spans="3:10" hidden="1" x14ac:dyDescent="0.25">
      <c r="C142" s="9"/>
      <c r="D142" s="10">
        <v>45672</v>
      </c>
      <c r="E142" t="s">
        <v>7885</v>
      </c>
      <c r="F142" s="11" t="s">
        <v>98</v>
      </c>
      <c r="G142" s="8">
        <v>22.18</v>
      </c>
      <c r="H142" s="8">
        <v>0</v>
      </c>
      <c r="I142" s="8">
        <f t="shared" si="3"/>
        <v>5481.1100000000006</v>
      </c>
      <c r="J142" s="12"/>
    </row>
    <row r="143" spans="3:10" hidden="1" x14ac:dyDescent="0.25">
      <c r="C143" s="9"/>
      <c r="D143" s="10">
        <v>45672</v>
      </c>
      <c r="E143" t="s">
        <v>7948</v>
      </c>
      <c r="F143" s="11" t="s">
        <v>1123</v>
      </c>
      <c r="G143" s="8">
        <v>7.89</v>
      </c>
      <c r="H143" s="8">
        <v>0</v>
      </c>
      <c r="I143" s="8">
        <f t="shared" si="3"/>
        <v>5489.0000000000009</v>
      </c>
      <c r="J143" s="12"/>
    </row>
    <row r="144" spans="3:10" hidden="1" x14ac:dyDescent="0.25">
      <c r="C144" s="9"/>
      <c r="D144" s="10">
        <v>45672</v>
      </c>
      <c r="E144" t="s">
        <v>7949</v>
      </c>
      <c r="F144" s="11" t="s">
        <v>931</v>
      </c>
      <c r="G144" s="8">
        <v>371.78</v>
      </c>
      <c r="H144" s="8">
        <v>0</v>
      </c>
      <c r="I144" s="8">
        <f t="shared" si="3"/>
        <v>5860.7800000000007</v>
      </c>
      <c r="J144" s="12"/>
    </row>
    <row r="145" spans="3:10" hidden="1" x14ac:dyDescent="0.25">
      <c r="C145" s="9"/>
      <c r="D145" s="10">
        <v>45672</v>
      </c>
      <c r="E145" t="s">
        <v>7950</v>
      </c>
      <c r="F145" s="11" t="s">
        <v>7951</v>
      </c>
      <c r="G145" s="8">
        <v>48.3</v>
      </c>
      <c r="H145" s="8">
        <v>0</v>
      </c>
      <c r="I145" s="8">
        <f t="shared" ref="I145:I208" si="4">G145-H145+I144</f>
        <v>5909.0800000000008</v>
      </c>
      <c r="J145" s="12"/>
    </row>
    <row r="146" spans="3:10" hidden="1" x14ac:dyDescent="0.25">
      <c r="C146" s="9"/>
      <c r="D146" s="10">
        <v>45672</v>
      </c>
      <c r="E146" t="s">
        <v>7952</v>
      </c>
      <c r="F146" s="11" t="s">
        <v>248</v>
      </c>
      <c r="G146" s="8">
        <v>50.31</v>
      </c>
      <c r="H146" s="8">
        <v>0</v>
      </c>
      <c r="I146" s="8">
        <f t="shared" si="4"/>
        <v>5959.3900000000012</v>
      </c>
      <c r="J146" s="12"/>
    </row>
    <row r="147" spans="3:10" hidden="1" x14ac:dyDescent="0.25">
      <c r="C147" s="9"/>
      <c r="D147" s="10">
        <v>45672</v>
      </c>
      <c r="E147" t="s">
        <v>7953</v>
      </c>
      <c r="F147" s="11" t="s">
        <v>842</v>
      </c>
      <c r="G147" s="8">
        <v>15.09</v>
      </c>
      <c r="H147" s="8">
        <v>0</v>
      </c>
      <c r="I147" s="8">
        <f t="shared" si="4"/>
        <v>5974.4800000000014</v>
      </c>
      <c r="J147" s="12"/>
    </row>
    <row r="148" spans="3:10" hidden="1" x14ac:dyDescent="0.25">
      <c r="C148" s="9"/>
      <c r="D148" s="10">
        <v>45672</v>
      </c>
      <c r="E148" t="s">
        <v>7954</v>
      </c>
      <c r="F148" s="11" t="s">
        <v>235</v>
      </c>
      <c r="G148" s="8">
        <v>94.45</v>
      </c>
      <c r="H148" s="8">
        <v>0</v>
      </c>
      <c r="I148" s="8">
        <f t="shared" si="4"/>
        <v>6068.9300000000012</v>
      </c>
      <c r="J148" s="12"/>
    </row>
    <row r="149" spans="3:10" hidden="1" x14ac:dyDescent="0.25">
      <c r="C149" s="9"/>
      <c r="D149" s="10">
        <v>45672</v>
      </c>
      <c r="E149" t="s">
        <v>7926</v>
      </c>
      <c r="F149" s="11" t="s">
        <v>1179</v>
      </c>
      <c r="G149" s="8">
        <v>41.54</v>
      </c>
      <c r="H149" s="8">
        <v>0</v>
      </c>
      <c r="I149" s="8">
        <f t="shared" si="4"/>
        <v>6110.4700000000012</v>
      </c>
      <c r="J149" s="12"/>
    </row>
    <row r="150" spans="3:10" hidden="1" x14ac:dyDescent="0.25">
      <c r="C150" s="9"/>
      <c r="D150" s="10">
        <v>45672</v>
      </c>
      <c r="E150" t="s">
        <v>7955</v>
      </c>
      <c r="F150" s="11" t="s">
        <v>855</v>
      </c>
      <c r="G150" s="8">
        <v>122.93</v>
      </c>
      <c r="H150" s="8">
        <v>0</v>
      </c>
      <c r="I150" s="8">
        <f t="shared" si="4"/>
        <v>6233.4000000000015</v>
      </c>
      <c r="J150" s="12"/>
    </row>
    <row r="151" spans="3:10" hidden="1" x14ac:dyDescent="0.25">
      <c r="C151" s="9"/>
      <c r="D151" s="10">
        <v>45672</v>
      </c>
      <c r="E151" t="s">
        <v>7956</v>
      </c>
      <c r="F151" s="11" t="s">
        <v>293</v>
      </c>
      <c r="G151" s="8">
        <v>66.209999999999994</v>
      </c>
      <c r="H151" s="8">
        <v>0</v>
      </c>
      <c r="I151" s="8">
        <f t="shared" si="4"/>
        <v>6299.6100000000015</v>
      </c>
      <c r="J151" s="12"/>
    </row>
    <row r="152" spans="3:10" hidden="1" x14ac:dyDescent="0.25">
      <c r="C152" s="9"/>
      <c r="D152" s="10">
        <v>45672</v>
      </c>
      <c r="E152" t="s">
        <v>7957</v>
      </c>
      <c r="F152" s="11" t="s">
        <v>206</v>
      </c>
      <c r="G152" s="8">
        <v>-19.579999999999998</v>
      </c>
      <c r="H152" s="8">
        <v>0</v>
      </c>
      <c r="I152" s="8">
        <f t="shared" si="4"/>
        <v>6280.0300000000016</v>
      </c>
      <c r="J152" s="12"/>
    </row>
    <row r="153" spans="3:10" hidden="1" x14ac:dyDescent="0.25">
      <c r="C153" s="9"/>
      <c r="D153" s="10">
        <v>45672</v>
      </c>
      <c r="E153" t="s">
        <v>7958</v>
      </c>
      <c r="F153" s="11" t="s">
        <v>1464</v>
      </c>
      <c r="G153" s="8">
        <v>132</v>
      </c>
      <c r="H153" s="8">
        <v>0</v>
      </c>
      <c r="I153" s="8">
        <f t="shared" si="4"/>
        <v>6412.0300000000016</v>
      </c>
      <c r="J153" s="12"/>
    </row>
    <row r="154" spans="3:10" hidden="1" x14ac:dyDescent="0.25">
      <c r="C154" s="9"/>
      <c r="D154" s="10">
        <v>45672</v>
      </c>
      <c r="E154" t="s">
        <v>7959</v>
      </c>
      <c r="F154" s="11" t="s">
        <v>1065</v>
      </c>
      <c r="G154" s="8">
        <v>244.25</v>
      </c>
      <c r="H154" s="8">
        <v>0</v>
      </c>
      <c r="I154" s="8">
        <f t="shared" si="4"/>
        <v>6656.2800000000016</v>
      </c>
      <c r="J154" s="12"/>
    </row>
    <row r="155" spans="3:10" hidden="1" x14ac:dyDescent="0.25">
      <c r="C155" s="9"/>
      <c r="D155" s="10">
        <v>45672</v>
      </c>
      <c r="E155" t="s">
        <v>7960</v>
      </c>
      <c r="F155" s="11" t="s">
        <v>777</v>
      </c>
      <c r="G155" s="8">
        <v>7.94</v>
      </c>
      <c r="H155" s="8">
        <v>0</v>
      </c>
      <c r="I155" s="8">
        <f t="shared" si="4"/>
        <v>6664.2200000000012</v>
      </c>
      <c r="J155" s="12"/>
    </row>
    <row r="156" spans="3:10" hidden="1" x14ac:dyDescent="0.25">
      <c r="C156" s="9"/>
      <c r="D156" s="10">
        <v>45672</v>
      </c>
      <c r="E156" t="s">
        <v>7957</v>
      </c>
      <c r="F156" s="11" t="s">
        <v>208</v>
      </c>
      <c r="G156" s="8">
        <v>184.62</v>
      </c>
      <c r="H156" s="8">
        <v>0</v>
      </c>
      <c r="I156" s="8">
        <f t="shared" si="4"/>
        <v>6848.8400000000011</v>
      </c>
      <c r="J156" s="12"/>
    </row>
    <row r="157" spans="3:10" hidden="1" x14ac:dyDescent="0.25">
      <c r="C157" s="9"/>
      <c r="D157" s="10">
        <v>45672</v>
      </c>
      <c r="E157" t="s">
        <v>7961</v>
      </c>
      <c r="F157" s="11" t="s">
        <v>1370</v>
      </c>
      <c r="G157" s="8">
        <v>196.7</v>
      </c>
      <c r="H157" s="8">
        <v>0</v>
      </c>
      <c r="I157" s="8">
        <f t="shared" si="4"/>
        <v>7045.5400000000009</v>
      </c>
      <c r="J157" s="12"/>
    </row>
    <row r="158" spans="3:10" hidden="1" x14ac:dyDescent="0.25">
      <c r="C158" s="9"/>
      <c r="D158" s="10">
        <v>45672</v>
      </c>
      <c r="E158" t="s">
        <v>7928</v>
      </c>
      <c r="F158" s="11" t="s">
        <v>671</v>
      </c>
      <c r="G158" s="8">
        <v>182.9</v>
      </c>
      <c r="H158" s="8">
        <v>0</v>
      </c>
      <c r="I158" s="8">
        <f t="shared" si="4"/>
        <v>7228.4400000000005</v>
      </c>
      <c r="J158" s="12"/>
    </row>
    <row r="159" spans="3:10" hidden="1" x14ac:dyDescent="0.25">
      <c r="C159" s="9"/>
      <c r="D159" s="10">
        <v>45672</v>
      </c>
      <c r="E159" t="s">
        <v>7928</v>
      </c>
      <c r="F159" s="11" t="s">
        <v>673</v>
      </c>
      <c r="G159" s="8">
        <v>-33.619999999999997</v>
      </c>
      <c r="H159" s="8">
        <v>0</v>
      </c>
      <c r="I159" s="8">
        <f t="shared" si="4"/>
        <v>7194.8200000000006</v>
      </c>
      <c r="J159" s="12"/>
    </row>
    <row r="160" spans="3:10" hidden="1" x14ac:dyDescent="0.25">
      <c r="C160" s="9"/>
      <c r="D160" s="10">
        <v>45672</v>
      </c>
      <c r="E160" t="s">
        <v>7912</v>
      </c>
      <c r="F160" s="11" t="s">
        <v>401</v>
      </c>
      <c r="G160" s="8">
        <v>97.8</v>
      </c>
      <c r="H160" s="8">
        <v>0</v>
      </c>
      <c r="I160" s="8">
        <f t="shared" si="4"/>
        <v>7292.6200000000008</v>
      </c>
      <c r="J160" s="12"/>
    </row>
    <row r="161" spans="3:10" hidden="1" x14ac:dyDescent="0.25">
      <c r="C161" s="9"/>
      <c r="D161" s="10">
        <v>45672</v>
      </c>
      <c r="E161" t="s">
        <v>7962</v>
      </c>
      <c r="F161" s="11" t="s">
        <v>1287</v>
      </c>
      <c r="G161" s="8">
        <v>121.38</v>
      </c>
      <c r="H161" s="8">
        <v>0</v>
      </c>
      <c r="I161" s="8">
        <f t="shared" si="4"/>
        <v>7414.0000000000009</v>
      </c>
      <c r="J161" s="12"/>
    </row>
    <row r="162" spans="3:10" hidden="1" x14ac:dyDescent="0.25">
      <c r="C162" s="9"/>
      <c r="D162" s="10">
        <v>45672</v>
      </c>
      <c r="E162" t="s">
        <v>7963</v>
      </c>
      <c r="F162" s="11" t="s">
        <v>795</v>
      </c>
      <c r="G162" s="8">
        <v>97.88</v>
      </c>
      <c r="H162" s="8">
        <v>0</v>
      </c>
      <c r="I162" s="8">
        <f t="shared" si="4"/>
        <v>7511.880000000001</v>
      </c>
      <c r="J162" s="12"/>
    </row>
    <row r="163" spans="3:10" hidden="1" x14ac:dyDescent="0.25">
      <c r="C163" s="9"/>
      <c r="D163" s="10">
        <v>45672</v>
      </c>
      <c r="E163" t="s">
        <v>7964</v>
      </c>
      <c r="F163" s="11" t="s">
        <v>7965</v>
      </c>
      <c r="G163" s="8">
        <v>3.32</v>
      </c>
      <c r="H163" s="8">
        <v>0</v>
      </c>
      <c r="I163" s="8">
        <f t="shared" si="4"/>
        <v>7515.2000000000007</v>
      </c>
      <c r="J163" s="12"/>
    </row>
    <row r="164" spans="3:10" hidden="1" x14ac:dyDescent="0.25">
      <c r="C164" s="9"/>
      <c r="D164" s="10">
        <v>45672</v>
      </c>
      <c r="E164" t="s">
        <v>7966</v>
      </c>
      <c r="F164" s="11" t="s">
        <v>116</v>
      </c>
      <c r="G164" s="8">
        <v>29.76</v>
      </c>
      <c r="H164" s="8">
        <v>0</v>
      </c>
      <c r="I164" s="8">
        <f t="shared" si="4"/>
        <v>7544.9600000000009</v>
      </c>
      <c r="J164" s="12"/>
    </row>
    <row r="165" spans="3:10" hidden="1" x14ac:dyDescent="0.25">
      <c r="C165" s="9"/>
      <c r="D165" s="10">
        <v>45672</v>
      </c>
      <c r="E165" t="s">
        <v>7966</v>
      </c>
      <c r="F165" s="11" t="s">
        <v>118</v>
      </c>
      <c r="G165" s="8">
        <v>455.97</v>
      </c>
      <c r="H165" s="8">
        <v>0</v>
      </c>
      <c r="I165" s="8">
        <f t="shared" si="4"/>
        <v>8000.9300000000012</v>
      </c>
      <c r="J165" s="12"/>
    </row>
    <row r="166" spans="3:10" hidden="1" x14ac:dyDescent="0.25">
      <c r="C166" s="9"/>
      <c r="D166" s="10">
        <v>45673</v>
      </c>
      <c r="E166" t="s">
        <v>7967</v>
      </c>
      <c r="F166" s="11" t="s">
        <v>7968</v>
      </c>
      <c r="G166" s="8">
        <v>55.17</v>
      </c>
      <c r="H166" s="8">
        <v>0</v>
      </c>
      <c r="I166" s="8">
        <f t="shared" si="4"/>
        <v>8056.1000000000013</v>
      </c>
      <c r="J166" s="12"/>
    </row>
    <row r="167" spans="3:10" hidden="1" x14ac:dyDescent="0.25">
      <c r="C167" s="9"/>
      <c r="D167" s="10">
        <v>45673</v>
      </c>
      <c r="E167" t="s">
        <v>7969</v>
      </c>
      <c r="F167" s="11" t="s">
        <v>1495</v>
      </c>
      <c r="G167" s="8">
        <v>87.62</v>
      </c>
      <c r="H167" s="8">
        <v>0</v>
      </c>
      <c r="I167" s="8">
        <f t="shared" si="4"/>
        <v>8143.7200000000012</v>
      </c>
      <c r="J167" s="12"/>
    </row>
    <row r="168" spans="3:10" hidden="1" x14ac:dyDescent="0.25">
      <c r="C168" s="9"/>
      <c r="D168" s="10">
        <v>45673</v>
      </c>
      <c r="E168" t="s">
        <v>7912</v>
      </c>
      <c r="F168" s="11" t="s">
        <v>403</v>
      </c>
      <c r="G168" s="8">
        <v>-2.4</v>
      </c>
      <c r="H168" s="8">
        <v>0</v>
      </c>
      <c r="I168" s="8">
        <f t="shared" si="4"/>
        <v>8141.3200000000015</v>
      </c>
      <c r="J168" s="12"/>
    </row>
    <row r="169" spans="3:10" hidden="1" x14ac:dyDescent="0.25">
      <c r="C169" s="9"/>
      <c r="D169" s="10">
        <v>45673</v>
      </c>
      <c r="E169" t="s">
        <v>7912</v>
      </c>
      <c r="F169" s="11" t="s">
        <v>405</v>
      </c>
      <c r="G169" s="8">
        <v>-12.12</v>
      </c>
      <c r="H169" s="8">
        <v>0</v>
      </c>
      <c r="I169" s="8">
        <f t="shared" si="4"/>
        <v>8129.2000000000016</v>
      </c>
      <c r="J169" s="12"/>
    </row>
    <row r="170" spans="3:10" hidden="1" x14ac:dyDescent="0.25">
      <c r="C170" s="9"/>
      <c r="D170" s="10">
        <v>45674</v>
      </c>
      <c r="E170" t="s">
        <v>7927</v>
      </c>
      <c r="F170" s="11" t="s">
        <v>1433</v>
      </c>
      <c r="G170" s="8">
        <v>0.17</v>
      </c>
      <c r="H170" s="8">
        <v>0</v>
      </c>
      <c r="I170" s="8">
        <f t="shared" si="4"/>
        <v>8129.3700000000017</v>
      </c>
      <c r="J170" s="12"/>
    </row>
    <row r="171" spans="3:10" hidden="1" x14ac:dyDescent="0.25">
      <c r="C171" s="9"/>
      <c r="D171" s="10">
        <v>45674</v>
      </c>
      <c r="E171" t="s">
        <v>7898</v>
      </c>
      <c r="F171" s="11" t="s">
        <v>7970</v>
      </c>
      <c r="G171" s="8">
        <v>23.44</v>
      </c>
      <c r="H171" s="8">
        <v>0</v>
      </c>
      <c r="I171" s="8">
        <f t="shared" si="4"/>
        <v>8152.8100000000013</v>
      </c>
      <c r="J171" s="12"/>
    </row>
    <row r="172" spans="3:10" hidden="1" x14ac:dyDescent="0.25">
      <c r="C172" s="9"/>
      <c r="D172" s="10">
        <v>45674</v>
      </c>
      <c r="E172" t="s">
        <v>7971</v>
      </c>
      <c r="F172" s="11" t="s">
        <v>735</v>
      </c>
      <c r="G172" s="8">
        <v>75.36</v>
      </c>
      <c r="H172" s="8">
        <v>0</v>
      </c>
      <c r="I172" s="8">
        <f t="shared" si="4"/>
        <v>8228.1700000000019</v>
      </c>
      <c r="J172" s="12"/>
    </row>
    <row r="173" spans="3:10" hidden="1" x14ac:dyDescent="0.25">
      <c r="C173" s="9"/>
      <c r="D173" s="10">
        <v>45674</v>
      </c>
      <c r="E173" t="s">
        <v>7894</v>
      </c>
      <c r="F173" s="11" t="s">
        <v>7972</v>
      </c>
      <c r="G173" s="8">
        <v>54.94</v>
      </c>
      <c r="H173" s="8">
        <v>0</v>
      </c>
      <c r="I173" s="8">
        <f t="shared" si="4"/>
        <v>8283.1100000000024</v>
      </c>
      <c r="J173" s="12"/>
    </row>
    <row r="174" spans="3:10" hidden="1" x14ac:dyDescent="0.25">
      <c r="C174" s="9"/>
      <c r="D174" s="10">
        <v>45676</v>
      </c>
      <c r="E174" t="s">
        <v>7973</v>
      </c>
      <c r="F174" s="11" t="s">
        <v>520</v>
      </c>
      <c r="G174" s="8">
        <v>23.26</v>
      </c>
      <c r="H174" s="8">
        <v>0</v>
      </c>
      <c r="I174" s="8">
        <f t="shared" si="4"/>
        <v>8306.3700000000026</v>
      </c>
      <c r="J174" s="12"/>
    </row>
    <row r="175" spans="3:10" hidden="1" x14ac:dyDescent="0.25">
      <c r="C175" s="9"/>
      <c r="D175" s="10">
        <v>45677</v>
      </c>
      <c r="E175" t="s">
        <v>7974</v>
      </c>
      <c r="F175" s="11" t="s">
        <v>708</v>
      </c>
      <c r="G175" s="8">
        <v>5.25</v>
      </c>
      <c r="H175" s="8">
        <v>0</v>
      </c>
      <c r="I175" s="8">
        <f t="shared" si="4"/>
        <v>8311.6200000000026</v>
      </c>
      <c r="J175" s="12"/>
    </row>
    <row r="176" spans="3:10" hidden="1" x14ac:dyDescent="0.25">
      <c r="C176" s="9"/>
      <c r="D176" s="10">
        <v>45677</v>
      </c>
      <c r="E176" t="s">
        <v>7975</v>
      </c>
      <c r="F176" s="11" t="s">
        <v>273</v>
      </c>
      <c r="G176" s="8">
        <v>161.25</v>
      </c>
      <c r="H176" s="8">
        <v>0</v>
      </c>
      <c r="I176" s="8">
        <f t="shared" si="4"/>
        <v>8472.8700000000026</v>
      </c>
      <c r="J176" s="12"/>
    </row>
    <row r="177" spans="3:10" hidden="1" x14ac:dyDescent="0.25">
      <c r="C177" s="9"/>
      <c r="D177" s="10">
        <v>45677</v>
      </c>
      <c r="E177" t="s">
        <v>7976</v>
      </c>
      <c r="F177" s="11" t="s">
        <v>475</v>
      </c>
      <c r="G177" s="8">
        <v>132.43</v>
      </c>
      <c r="H177" s="8">
        <v>0</v>
      </c>
      <c r="I177" s="8">
        <f t="shared" si="4"/>
        <v>8605.3000000000029</v>
      </c>
      <c r="J177" s="12"/>
    </row>
    <row r="178" spans="3:10" hidden="1" x14ac:dyDescent="0.25">
      <c r="C178" s="9"/>
      <c r="D178" s="10">
        <v>45677</v>
      </c>
      <c r="E178" t="s">
        <v>7977</v>
      </c>
      <c r="F178" s="11" t="s">
        <v>1046</v>
      </c>
      <c r="G178" s="8">
        <v>229.34</v>
      </c>
      <c r="H178" s="8">
        <v>0</v>
      </c>
      <c r="I178" s="8">
        <f t="shared" si="4"/>
        <v>8834.6400000000031</v>
      </c>
      <c r="J178" s="12"/>
    </row>
    <row r="179" spans="3:10" hidden="1" x14ac:dyDescent="0.25">
      <c r="C179" s="9"/>
      <c r="D179" s="10">
        <v>45677</v>
      </c>
      <c r="E179" t="s">
        <v>7917</v>
      </c>
      <c r="F179" s="11" t="s">
        <v>1312</v>
      </c>
      <c r="G179" s="8">
        <v>90.09</v>
      </c>
      <c r="H179" s="8">
        <v>0</v>
      </c>
      <c r="I179" s="8">
        <f t="shared" si="4"/>
        <v>8924.7300000000032</v>
      </c>
      <c r="J179" s="12"/>
    </row>
    <row r="180" spans="3:10" hidden="1" x14ac:dyDescent="0.25">
      <c r="C180" s="9"/>
      <c r="D180" s="10">
        <v>45678</v>
      </c>
      <c r="E180" t="s">
        <v>7912</v>
      </c>
      <c r="F180" s="11" t="s">
        <v>407</v>
      </c>
      <c r="G180" s="8">
        <v>436.47</v>
      </c>
      <c r="H180" s="8">
        <v>0</v>
      </c>
      <c r="I180" s="8">
        <f t="shared" si="4"/>
        <v>9361.2000000000025</v>
      </c>
      <c r="J180" s="12"/>
    </row>
    <row r="181" spans="3:10" hidden="1" x14ac:dyDescent="0.25">
      <c r="C181" s="9"/>
      <c r="D181" s="10">
        <v>45678</v>
      </c>
      <c r="E181" t="s">
        <v>7917</v>
      </c>
      <c r="F181" s="11" t="s">
        <v>1314</v>
      </c>
      <c r="G181" s="8">
        <v>3.55</v>
      </c>
      <c r="H181" s="8">
        <v>0</v>
      </c>
      <c r="I181" s="8">
        <f t="shared" si="4"/>
        <v>9364.7500000000018</v>
      </c>
      <c r="J181" s="12"/>
    </row>
    <row r="182" spans="3:10" hidden="1" x14ac:dyDescent="0.25">
      <c r="C182" s="9"/>
      <c r="D182" s="10">
        <v>45678</v>
      </c>
      <c r="E182" t="s">
        <v>7919</v>
      </c>
      <c r="F182" s="11" t="s">
        <v>640</v>
      </c>
      <c r="G182" s="8">
        <v>72.489999999999995</v>
      </c>
      <c r="H182" s="8">
        <v>0</v>
      </c>
      <c r="I182" s="8">
        <f t="shared" si="4"/>
        <v>9437.2400000000016</v>
      </c>
      <c r="J182" s="12"/>
    </row>
    <row r="183" spans="3:10" hidden="1" x14ac:dyDescent="0.25">
      <c r="C183" s="9"/>
      <c r="D183" s="10">
        <v>45679</v>
      </c>
      <c r="E183" t="s">
        <v>7917</v>
      </c>
      <c r="F183" s="11" t="s">
        <v>1316</v>
      </c>
      <c r="G183" s="8">
        <v>1.98</v>
      </c>
      <c r="H183" s="8">
        <v>0</v>
      </c>
      <c r="I183" s="8">
        <f t="shared" si="4"/>
        <v>9439.2200000000012</v>
      </c>
      <c r="J183" s="12"/>
    </row>
    <row r="184" spans="3:10" hidden="1" x14ac:dyDescent="0.25">
      <c r="C184" s="9"/>
      <c r="D184" s="10">
        <v>45679</v>
      </c>
      <c r="E184" t="s">
        <v>7978</v>
      </c>
      <c r="F184" s="11" t="s">
        <v>1230</v>
      </c>
      <c r="G184" s="8">
        <v>64.55</v>
      </c>
      <c r="H184" s="8">
        <v>0</v>
      </c>
      <c r="I184" s="8">
        <f t="shared" si="4"/>
        <v>9503.77</v>
      </c>
      <c r="J184" s="12"/>
    </row>
    <row r="185" spans="3:10" hidden="1" x14ac:dyDescent="0.25">
      <c r="C185" s="9"/>
      <c r="D185" s="10">
        <v>45679</v>
      </c>
      <c r="E185" t="s">
        <v>7979</v>
      </c>
      <c r="F185" s="11" t="s">
        <v>76</v>
      </c>
      <c r="G185" s="8">
        <v>2874.14</v>
      </c>
      <c r="H185" s="8">
        <v>0</v>
      </c>
      <c r="I185" s="8">
        <f t="shared" si="4"/>
        <v>12377.91</v>
      </c>
      <c r="J185" s="12"/>
    </row>
    <row r="186" spans="3:10" hidden="1" x14ac:dyDescent="0.25">
      <c r="C186" s="9"/>
      <c r="D186" s="10">
        <v>45680</v>
      </c>
      <c r="E186" t="s">
        <v>7980</v>
      </c>
      <c r="F186" s="11" t="s">
        <v>1489</v>
      </c>
      <c r="G186" s="8">
        <v>39.270000000000003</v>
      </c>
      <c r="H186" s="8">
        <v>0</v>
      </c>
      <c r="I186" s="8">
        <f t="shared" si="4"/>
        <v>12417.18</v>
      </c>
      <c r="J186" s="12"/>
    </row>
    <row r="187" spans="3:10" hidden="1" x14ac:dyDescent="0.25">
      <c r="C187" s="9"/>
      <c r="D187" s="10">
        <v>45681</v>
      </c>
      <c r="E187" t="s">
        <v>7981</v>
      </c>
      <c r="F187" s="11" t="s">
        <v>7982</v>
      </c>
      <c r="G187" s="8">
        <v>31.92</v>
      </c>
      <c r="H187" s="8">
        <v>0</v>
      </c>
      <c r="I187" s="8">
        <f t="shared" si="4"/>
        <v>12449.1</v>
      </c>
      <c r="J187" s="12"/>
    </row>
    <row r="188" spans="3:10" hidden="1" x14ac:dyDescent="0.25">
      <c r="C188" s="9"/>
      <c r="D188" s="10">
        <v>45681</v>
      </c>
      <c r="E188" t="s">
        <v>7910</v>
      </c>
      <c r="F188" s="11" t="s">
        <v>1418</v>
      </c>
      <c r="G188" s="8">
        <v>214.58</v>
      </c>
      <c r="H188" s="8">
        <v>0</v>
      </c>
      <c r="I188" s="8">
        <f t="shared" si="4"/>
        <v>12663.68</v>
      </c>
      <c r="J188" s="12"/>
    </row>
    <row r="189" spans="3:10" hidden="1" x14ac:dyDescent="0.25">
      <c r="C189" s="9"/>
      <c r="D189" s="10">
        <v>45681</v>
      </c>
      <c r="E189" t="s">
        <v>7983</v>
      </c>
      <c r="F189" s="11" t="s">
        <v>604</v>
      </c>
      <c r="G189" s="8">
        <v>42.64</v>
      </c>
      <c r="H189" s="8">
        <v>0</v>
      </c>
      <c r="I189" s="8">
        <f t="shared" si="4"/>
        <v>12706.32</v>
      </c>
      <c r="J189" s="12"/>
    </row>
    <row r="190" spans="3:10" hidden="1" x14ac:dyDescent="0.25">
      <c r="C190" s="9"/>
      <c r="D190" s="10">
        <v>45681</v>
      </c>
      <c r="E190" t="s">
        <v>7917</v>
      </c>
      <c r="F190" s="11" t="s">
        <v>1318</v>
      </c>
      <c r="G190" s="8">
        <v>298.10000000000002</v>
      </c>
      <c r="H190" s="8">
        <v>0</v>
      </c>
      <c r="I190" s="8">
        <f t="shared" si="4"/>
        <v>13004.42</v>
      </c>
      <c r="J190" s="12"/>
    </row>
    <row r="191" spans="3:10" hidden="1" x14ac:dyDescent="0.25">
      <c r="C191" s="9"/>
      <c r="D191" s="10">
        <v>45682</v>
      </c>
      <c r="E191" t="s">
        <v>7905</v>
      </c>
      <c r="F191" s="11" t="s">
        <v>51</v>
      </c>
      <c r="G191" s="8">
        <v>25.66</v>
      </c>
      <c r="H191" s="8">
        <v>0</v>
      </c>
      <c r="I191" s="8">
        <f t="shared" si="4"/>
        <v>13030.08</v>
      </c>
      <c r="J191" s="12"/>
    </row>
    <row r="192" spans="3:10" hidden="1" x14ac:dyDescent="0.25">
      <c r="C192" s="9"/>
      <c r="D192" s="10">
        <v>45682</v>
      </c>
      <c r="E192" t="s">
        <v>7984</v>
      </c>
      <c r="F192" s="11" t="s">
        <v>995</v>
      </c>
      <c r="G192" s="8">
        <v>60.55</v>
      </c>
      <c r="H192" s="8">
        <v>0</v>
      </c>
      <c r="I192" s="8">
        <f t="shared" si="4"/>
        <v>13090.63</v>
      </c>
      <c r="J192" s="12"/>
    </row>
    <row r="193" spans="3:10" hidden="1" x14ac:dyDescent="0.25">
      <c r="C193" s="9"/>
      <c r="D193" s="10">
        <v>45682</v>
      </c>
      <c r="E193" t="s">
        <v>7912</v>
      </c>
      <c r="F193" s="11" t="s">
        <v>409</v>
      </c>
      <c r="G193" s="8">
        <v>124.31</v>
      </c>
      <c r="H193" s="8">
        <v>0</v>
      </c>
      <c r="I193" s="8">
        <f t="shared" si="4"/>
        <v>13214.939999999999</v>
      </c>
      <c r="J193" s="12"/>
    </row>
    <row r="194" spans="3:10" hidden="1" x14ac:dyDescent="0.25">
      <c r="C194" s="9"/>
      <c r="D194" s="10">
        <v>45684</v>
      </c>
      <c r="E194" t="s">
        <v>7985</v>
      </c>
      <c r="F194" s="11" t="s">
        <v>7986</v>
      </c>
      <c r="G194" s="8">
        <v>50.9</v>
      </c>
      <c r="H194" s="8">
        <v>0</v>
      </c>
      <c r="I194" s="8">
        <f t="shared" si="4"/>
        <v>13265.839999999998</v>
      </c>
      <c r="J194" s="12"/>
    </row>
    <row r="195" spans="3:10" hidden="1" x14ac:dyDescent="0.25">
      <c r="C195" s="9"/>
      <c r="D195" s="10">
        <v>45684</v>
      </c>
      <c r="E195" t="s">
        <v>7987</v>
      </c>
      <c r="F195" s="11" t="s">
        <v>460</v>
      </c>
      <c r="G195" s="8">
        <v>189.47</v>
      </c>
      <c r="H195" s="8">
        <v>0</v>
      </c>
      <c r="I195" s="8">
        <f t="shared" si="4"/>
        <v>13455.309999999998</v>
      </c>
      <c r="J195" s="12"/>
    </row>
    <row r="196" spans="3:10" hidden="1" x14ac:dyDescent="0.25">
      <c r="C196" s="9"/>
      <c r="D196" s="10">
        <v>45684</v>
      </c>
      <c r="E196" t="s">
        <v>7988</v>
      </c>
      <c r="F196" s="11" t="s">
        <v>7989</v>
      </c>
      <c r="G196" s="8">
        <v>29.38</v>
      </c>
      <c r="H196" s="8">
        <v>0</v>
      </c>
      <c r="I196" s="8">
        <f t="shared" si="4"/>
        <v>13484.689999999997</v>
      </c>
      <c r="J196" s="12"/>
    </row>
    <row r="197" spans="3:10" hidden="1" x14ac:dyDescent="0.25">
      <c r="C197" s="9"/>
      <c r="D197" s="10">
        <v>45686</v>
      </c>
      <c r="E197" t="s">
        <v>7990</v>
      </c>
      <c r="F197" s="11" t="s">
        <v>336</v>
      </c>
      <c r="G197" s="8">
        <v>348.92</v>
      </c>
      <c r="H197" s="8">
        <v>0</v>
      </c>
      <c r="I197" s="8">
        <f t="shared" si="4"/>
        <v>13833.609999999997</v>
      </c>
      <c r="J197" s="12"/>
    </row>
    <row r="198" spans="3:10" hidden="1" x14ac:dyDescent="0.25">
      <c r="C198" s="9"/>
      <c r="D198" s="10">
        <v>45686</v>
      </c>
      <c r="E198" t="s">
        <v>7919</v>
      </c>
      <c r="F198" s="11" t="s">
        <v>642</v>
      </c>
      <c r="G198" s="8">
        <v>36.96</v>
      </c>
      <c r="H198" s="8">
        <v>0</v>
      </c>
      <c r="I198" s="8">
        <f t="shared" si="4"/>
        <v>13870.569999999996</v>
      </c>
      <c r="J198" s="12"/>
    </row>
    <row r="199" spans="3:10" hidden="1" x14ac:dyDescent="0.25">
      <c r="C199" s="9"/>
      <c r="D199" s="10">
        <v>45686</v>
      </c>
      <c r="E199" t="s">
        <v>7987</v>
      </c>
      <c r="F199" s="11" t="s">
        <v>462</v>
      </c>
      <c r="G199" s="8">
        <v>-6.17</v>
      </c>
      <c r="H199" s="8">
        <v>0</v>
      </c>
      <c r="I199" s="8">
        <f t="shared" si="4"/>
        <v>13864.399999999996</v>
      </c>
      <c r="J199" s="12"/>
    </row>
    <row r="200" spans="3:10" hidden="1" x14ac:dyDescent="0.25">
      <c r="C200" s="9"/>
      <c r="D200" s="10">
        <v>45687</v>
      </c>
      <c r="E200" t="s">
        <v>7991</v>
      </c>
      <c r="F200" s="11" t="s">
        <v>328</v>
      </c>
      <c r="G200" s="8">
        <v>13.61</v>
      </c>
      <c r="H200" s="8">
        <v>0</v>
      </c>
      <c r="I200" s="8">
        <f t="shared" si="4"/>
        <v>13878.009999999997</v>
      </c>
      <c r="J200" s="12"/>
    </row>
    <row r="201" spans="3:10" hidden="1" x14ac:dyDescent="0.25">
      <c r="C201" s="9"/>
      <c r="D201" s="10">
        <v>45687</v>
      </c>
      <c r="E201" t="s">
        <v>7992</v>
      </c>
      <c r="F201" s="11" t="s">
        <v>7993</v>
      </c>
      <c r="G201" s="8">
        <v>39.46</v>
      </c>
      <c r="H201" s="8">
        <v>0</v>
      </c>
      <c r="I201" s="8">
        <f t="shared" si="4"/>
        <v>13917.469999999996</v>
      </c>
      <c r="J201" s="12"/>
    </row>
    <row r="202" spans="3:10" hidden="1" x14ac:dyDescent="0.25">
      <c r="C202" s="9"/>
      <c r="D202" s="10">
        <v>45687</v>
      </c>
      <c r="E202" t="s">
        <v>7943</v>
      </c>
      <c r="F202" s="11" t="s">
        <v>1032</v>
      </c>
      <c r="G202" s="8">
        <v>47.08</v>
      </c>
      <c r="H202" s="8">
        <v>0</v>
      </c>
      <c r="I202" s="8">
        <f t="shared" si="4"/>
        <v>13964.549999999996</v>
      </c>
      <c r="J202" s="12"/>
    </row>
    <row r="203" spans="3:10" hidden="1" x14ac:dyDescent="0.25">
      <c r="C203" s="9"/>
      <c r="D203" s="10">
        <v>45687</v>
      </c>
      <c r="E203" t="s">
        <v>7994</v>
      </c>
      <c r="F203" s="11" t="s">
        <v>817</v>
      </c>
      <c r="G203" s="8">
        <v>135.02000000000001</v>
      </c>
      <c r="H203" s="8">
        <v>0</v>
      </c>
      <c r="I203" s="8">
        <f t="shared" si="4"/>
        <v>14099.569999999996</v>
      </c>
      <c r="J203" s="12"/>
    </row>
    <row r="204" spans="3:10" hidden="1" x14ac:dyDescent="0.25">
      <c r="C204" s="9"/>
      <c r="D204" s="10">
        <v>45687</v>
      </c>
      <c r="E204" t="s">
        <v>7995</v>
      </c>
      <c r="F204" s="11" t="s">
        <v>187</v>
      </c>
      <c r="G204" s="8">
        <v>638.69000000000005</v>
      </c>
      <c r="H204" s="8">
        <v>0</v>
      </c>
      <c r="I204" s="8">
        <f t="shared" si="4"/>
        <v>14738.259999999997</v>
      </c>
      <c r="J204" s="12"/>
    </row>
    <row r="205" spans="3:10" hidden="1" x14ac:dyDescent="0.25">
      <c r="C205" s="9"/>
      <c r="D205" s="10">
        <v>45687</v>
      </c>
      <c r="E205" t="s">
        <v>7971</v>
      </c>
      <c r="F205" s="11" t="s">
        <v>737</v>
      </c>
      <c r="G205" s="8">
        <v>548.09</v>
      </c>
      <c r="H205" s="8">
        <v>0</v>
      </c>
      <c r="I205" s="8">
        <f t="shared" si="4"/>
        <v>15286.349999999997</v>
      </c>
      <c r="J205" s="12"/>
    </row>
    <row r="206" spans="3:10" hidden="1" x14ac:dyDescent="0.25">
      <c r="C206" s="9"/>
      <c r="D206" s="10">
        <v>45687</v>
      </c>
      <c r="E206" t="s">
        <v>7919</v>
      </c>
      <c r="F206" s="11" t="s">
        <v>644</v>
      </c>
      <c r="G206" s="8">
        <v>180.19</v>
      </c>
      <c r="H206" s="8">
        <v>0</v>
      </c>
      <c r="I206" s="8">
        <f t="shared" si="4"/>
        <v>15466.539999999997</v>
      </c>
      <c r="J206" s="12"/>
    </row>
    <row r="207" spans="3:10" hidden="1" x14ac:dyDescent="0.25">
      <c r="C207" s="9"/>
      <c r="D207" s="10">
        <v>45687</v>
      </c>
      <c r="E207" t="s">
        <v>7917</v>
      </c>
      <c r="F207" s="11" t="s">
        <v>1320</v>
      </c>
      <c r="G207" s="8">
        <v>60.25</v>
      </c>
      <c r="H207" s="8">
        <v>0</v>
      </c>
      <c r="I207" s="8">
        <f t="shared" si="4"/>
        <v>15526.789999999997</v>
      </c>
      <c r="J207" s="12"/>
    </row>
    <row r="208" spans="3:10" hidden="1" x14ac:dyDescent="0.25">
      <c r="C208" s="9"/>
      <c r="D208" s="10">
        <v>45687</v>
      </c>
      <c r="E208" t="s">
        <v>7959</v>
      </c>
      <c r="F208" s="11" t="s">
        <v>1069</v>
      </c>
      <c r="G208" s="8">
        <v>54.36</v>
      </c>
      <c r="H208" s="8">
        <v>0</v>
      </c>
      <c r="I208" s="8">
        <f t="shared" si="4"/>
        <v>15581.149999999998</v>
      </c>
      <c r="J208" s="12"/>
    </row>
    <row r="209" spans="3:10" hidden="1" x14ac:dyDescent="0.25">
      <c r="C209" s="9"/>
      <c r="D209" s="10">
        <v>45688</v>
      </c>
      <c r="E209" t="s">
        <v>7996</v>
      </c>
      <c r="F209" s="11" t="s">
        <v>1100</v>
      </c>
      <c r="G209" s="8">
        <v>16.8</v>
      </c>
      <c r="H209" s="8">
        <v>0</v>
      </c>
      <c r="I209" s="8">
        <f t="shared" ref="I209:I272" si="5">G209-H209+I208</f>
        <v>15597.949999999997</v>
      </c>
      <c r="J209" s="12"/>
    </row>
    <row r="210" spans="3:10" hidden="1" x14ac:dyDescent="0.25">
      <c r="C210" s="9"/>
      <c r="D210" s="10">
        <v>45688</v>
      </c>
      <c r="E210" t="s">
        <v>7997</v>
      </c>
      <c r="F210" s="11" t="s">
        <v>64</v>
      </c>
      <c r="G210" s="8">
        <v>20.2</v>
      </c>
      <c r="H210" s="8">
        <v>0</v>
      </c>
      <c r="I210" s="8">
        <f t="shared" si="5"/>
        <v>15618.149999999998</v>
      </c>
      <c r="J210" s="12"/>
    </row>
    <row r="211" spans="3:10" hidden="1" x14ac:dyDescent="0.25">
      <c r="C211" s="9"/>
      <c r="D211" s="10">
        <v>45688</v>
      </c>
      <c r="E211" t="s">
        <v>7998</v>
      </c>
      <c r="F211" s="11" t="s">
        <v>7999</v>
      </c>
      <c r="G211" s="8">
        <v>145.35</v>
      </c>
      <c r="H211" s="8">
        <v>0</v>
      </c>
      <c r="I211" s="8">
        <f t="shared" si="5"/>
        <v>15763.499999999998</v>
      </c>
      <c r="J211" s="12"/>
    </row>
    <row r="212" spans="3:10" hidden="1" x14ac:dyDescent="0.25">
      <c r="C212" s="9"/>
      <c r="D212" s="10">
        <v>45688</v>
      </c>
      <c r="E212" t="s">
        <v>7947</v>
      </c>
      <c r="F212" s="11" t="s">
        <v>1273</v>
      </c>
      <c r="G212" s="8">
        <v>10.47</v>
      </c>
      <c r="H212" s="8">
        <v>0</v>
      </c>
      <c r="I212" s="8">
        <f t="shared" si="5"/>
        <v>15773.969999999998</v>
      </c>
      <c r="J212" s="12"/>
    </row>
    <row r="213" spans="3:10" hidden="1" x14ac:dyDescent="0.25">
      <c r="C213" s="9"/>
      <c r="D213" s="10">
        <v>45688</v>
      </c>
      <c r="E213" t="s">
        <v>7969</v>
      </c>
      <c r="F213" s="11" t="s">
        <v>1498</v>
      </c>
      <c r="G213" s="8">
        <v>115.4</v>
      </c>
      <c r="H213" s="8">
        <v>0</v>
      </c>
      <c r="I213" s="8">
        <f t="shared" si="5"/>
        <v>15889.369999999997</v>
      </c>
      <c r="J213" s="12"/>
    </row>
    <row r="214" spans="3:10" hidden="1" x14ac:dyDescent="0.25">
      <c r="C214" s="9"/>
      <c r="D214" s="10">
        <v>45688</v>
      </c>
      <c r="E214" t="s">
        <v>7956</v>
      </c>
      <c r="F214" s="11" t="s">
        <v>300</v>
      </c>
      <c r="G214" s="8">
        <v>340.81</v>
      </c>
      <c r="H214" s="8">
        <v>0</v>
      </c>
      <c r="I214" s="8">
        <f t="shared" si="5"/>
        <v>16230.179999999997</v>
      </c>
      <c r="J214" s="12"/>
    </row>
    <row r="215" spans="3:10" hidden="1" x14ac:dyDescent="0.25">
      <c r="C215" s="9"/>
      <c r="D215" s="10">
        <v>45688</v>
      </c>
      <c r="E215" t="s">
        <v>8000</v>
      </c>
      <c r="F215" s="11" t="s">
        <v>14</v>
      </c>
      <c r="G215" s="8">
        <v>58.31</v>
      </c>
      <c r="H215" s="8">
        <v>0</v>
      </c>
      <c r="I215" s="8">
        <f t="shared" si="5"/>
        <v>16288.489999999996</v>
      </c>
      <c r="J215" s="12"/>
    </row>
    <row r="216" spans="3:10" hidden="1" x14ac:dyDescent="0.25">
      <c r="C216" s="9"/>
      <c r="D216" s="10">
        <v>45688</v>
      </c>
      <c r="E216" t="s">
        <v>7926</v>
      </c>
      <c r="F216" s="11" t="s">
        <v>1183</v>
      </c>
      <c r="G216" s="8">
        <v>82.08</v>
      </c>
      <c r="H216" s="8">
        <v>0</v>
      </c>
      <c r="I216" s="8">
        <f t="shared" si="5"/>
        <v>16370.569999999996</v>
      </c>
      <c r="J216" s="12"/>
    </row>
    <row r="217" spans="3:10" hidden="1" x14ac:dyDescent="0.25">
      <c r="C217" s="9"/>
      <c r="D217" s="10">
        <v>45688</v>
      </c>
      <c r="E217" t="s">
        <v>8001</v>
      </c>
      <c r="F217" s="11" t="s">
        <v>267</v>
      </c>
      <c r="G217" s="8">
        <v>84.17</v>
      </c>
      <c r="H217" s="8">
        <v>0</v>
      </c>
      <c r="I217" s="8">
        <f t="shared" si="5"/>
        <v>16454.739999999994</v>
      </c>
      <c r="J217" s="12"/>
    </row>
    <row r="218" spans="3:10" hidden="1" x14ac:dyDescent="0.25">
      <c r="C218" s="9"/>
      <c r="D218" s="10">
        <v>45688</v>
      </c>
      <c r="E218" t="s">
        <v>8002</v>
      </c>
      <c r="F218" s="11" t="s">
        <v>1003</v>
      </c>
      <c r="G218" s="8">
        <v>25.2</v>
      </c>
      <c r="H218" s="8">
        <v>0</v>
      </c>
      <c r="I218" s="8">
        <f t="shared" si="5"/>
        <v>16479.939999999995</v>
      </c>
      <c r="J218" s="12"/>
    </row>
    <row r="219" spans="3:10" hidden="1" x14ac:dyDescent="0.25">
      <c r="C219" s="9"/>
      <c r="D219" s="10">
        <v>45688</v>
      </c>
      <c r="E219" t="s">
        <v>7944</v>
      </c>
      <c r="F219" s="11" t="s">
        <v>166</v>
      </c>
      <c r="G219" s="8">
        <v>47.87</v>
      </c>
      <c r="H219" s="8">
        <v>0</v>
      </c>
      <c r="I219" s="8">
        <f t="shared" si="5"/>
        <v>16527.809999999994</v>
      </c>
      <c r="J219" s="12"/>
    </row>
    <row r="220" spans="3:10" hidden="1" x14ac:dyDescent="0.25">
      <c r="C220" s="9"/>
      <c r="D220" s="10">
        <v>45688</v>
      </c>
      <c r="E220" t="s">
        <v>7944</v>
      </c>
      <c r="F220" s="11" t="s">
        <v>168</v>
      </c>
      <c r="G220" s="8">
        <v>34.94</v>
      </c>
      <c r="H220" s="8">
        <v>0</v>
      </c>
      <c r="I220" s="8">
        <f t="shared" si="5"/>
        <v>16562.749999999993</v>
      </c>
      <c r="J220" s="12"/>
    </row>
    <row r="221" spans="3:10" hidden="1" x14ac:dyDescent="0.25">
      <c r="C221" s="9"/>
      <c r="D221" s="10">
        <v>45688</v>
      </c>
      <c r="E221" t="s">
        <v>7944</v>
      </c>
      <c r="F221" s="11" t="s">
        <v>170</v>
      </c>
      <c r="G221" s="8">
        <v>16.53</v>
      </c>
      <c r="H221" s="8">
        <v>0</v>
      </c>
      <c r="I221" s="8">
        <f t="shared" si="5"/>
        <v>16579.279999999992</v>
      </c>
      <c r="J221" s="12"/>
    </row>
    <row r="222" spans="3:10" hidden="1" x14ac:dyDescent="0.25">
      <c r="C222" s="9"/>
      <c r="D222" s="10">
        <v>45688</v>
      </c>
      <c r="E222" t="s">
        <v>8003</v>
      </c>
      <c r="F222" s="11" t="s">
        <v>1223</v>
      </c>
      <c r="G222" s="8">
        <v>75.599999999999994</v>
      </c>
      <c r="H222" s="8">
        <v>0</v>
      </c>
      <c r="I222" s="8">
        <f t="shared" si="5"/>
        <v>16654.87999999999</v>
      </c>
      <c r="J222" s="12"/>
    </row>
    <row r="223" spans="3:10" hidden="1" x14ac:dyDescent="0.25">
      <c r="C223" s="9"/>
      <c r="D223" s="10">
        <v>45688</v>
      </c>
      <c r="E223" t="s">
        <v>7948</v>
      </c>
      <c r="F223" s="11" t="s">
        <v>1126</v>
      </c>
      <c r="G223" s="8">
        <v>103.68</v>
      </c>
      <c r="H223" s="8">
        <v>0</v>
      </c>
      <c r="I223" s="8">
        <f t="shared" si="5"/>
        <v>16758.55999999999</v>
      </c>
      <c r="J223" s="12"/>
    </row>
    <row r="224" spans="3:10" hidden="1" x14ac:dyDescent="0.25">
      <c r="C224" s="9"/>
      <c r="D224" s="10">
        <v>45688</v>
      </c>
      <c r="E224" t="s">
        <v>8004</v>
      </c>
      <c r="F224" s="11" t="s">
        <v>1386</v>
      </c>
      <c r="G224" s="8">
        <v>41.24</v>
      </c>
      <c r="H224" s="8">
        <v>0</v>
      </c>
      <c r="I224" s="8">
        <f t="shared" si="5"/>
        <v>16799.799999999992</v>
      </c>
      <c r="J224" s="12"/>
    </row>
    <row r="225" spans="3:10" hidden="1" x14ac:dyDescent="0.25">
      <c r="C225" s="9"/>
      <c r="D225" s="10">
        <v>45688</v>
      </c>
      <c r="E225" t="s">
        <v>8005</v>
      </c>
      <c r="F225" s="11" t="s">
        <v>182</v>
      </c>
      <c r="G225" s="8">
        <v>27.18</v>
      </c>
      <c r="H225" s="8">
        <v>0</v>
      </c>
      <c r="I225" s="8">
        <f t="shared" si="5"/>
        <v>16826.979999999992</v>
      </c>
      <c r="J225" s="12"/>
    </row>
    <row r="226" spans="3:10" hidden="1" x14ac:dyDescent="0.25">
      <c r="C226" s="9"/>
      <c r="D226" s="10">
        <v>45688</v>
      </c>
      <c r="E226" t="s">
        <v>7987</v>
      </c>
      <c r="F226" s="11" t="s">
        <v>464</v>
      </c>
      <c r="G226" s="8">
        <v>10.6</v>
      </c>
      <c r="H226" s="8">
        <v>0</v>
      </c>
      <c r="I226" s="8">
        <f t="shared" si="5"/>
        <v>16837.579999999991</v>
      </c>
      <c r="J226" s="12"/>
    </row>
    <row r="227" spans="3:10" hidden="1" x14ac:dyDescent="0.25">
      <c r="C227" s="9"/>
      <c r="D227" s="10">
        <v>45688</v>
      </c>
      <c r="E227" t="s">
        <v>8006</v>
      </c>
      <c r="F227" s="11" t="s">
        <v>389</v>
      </c>
      <c r="G227" s="8">
        <v>26.39</v>
      </c>
      <c r="H227" s="8">
        <v>0</v>
      </c>
      <c r="I227" s="8">
        <f t="shared" si="5"/>
        <v>16863.96999999999</v>
      </c>
      <c r="J227" s="12"/>
    </row>
    <row r="228" spans="3:10" hidden="1" x14ac:dyDescent="0.25">
      <c r="C228" s="9"/>
      <c r="D228" s="10">
        <v>45688</v>
      </c>
      <c r="E228" t="s">
        <v>8007</v>
      </c>
      <c r="F228" s="11" t="s">
        <v>1139</v>
      </c>
      <c r="G228" s="8">
        <v>177.65</v>
      </c>
      <c r="H228" s="8">
        <v>0</v>
      </c>
      <c r="I228" s="8">
        <f t="shared" si="5"/>
        <v>17041.619999999992</v>
      </c>
      <c r="J228" s="12"/>
    </row>
    <row r="229" spans="3:10" hidden="1" x14ac:dyDescent="0.25">
      <c r="C229" s="9"/>
      <c r="D229" s="10">
        <v>45688</v>
      </c>
      <c r="E229" t="s">
        <v>8008</v>
      </c>
      <c r="F229" s="11" t="s">
        <v>579</v>
      </c>
      <c r="G229" s="8">
        <v>108.35</v>
      </c>
      <c r="H229" s="8">
        <v>0</v>
      </c>
      <c r="I229" s="8">
        <f t="shared" si="5"/>
        <v>17149.96999999999</v>
      </c>
      <c r="J229" s="12"/>
    </row>
    <row r="230" spans="3:10" hidden="1" x14ac:dyDescent="0.25">
      <c r="C230" s="9"/>
      <c r="D230" s="10">
        <v>45688</v>
      </c>
      <c r="E230" t="s">
        <v>7900</v>
      </c>
      <c r="F230" s="11" t="s">
        <v>982</v>
      </c>
      <c r="G230" s="8">
        <v>357.81</v>
      </c>
      <c r="H230" s="8">
        <v>0</v>
      </c>
      <c r="I230" s="8">
        <f t="shared" si="5"/>
        <v>17507.779999999992</v>
      </c>
      <c r="J230" s="12"/>
    </row>
    <row r="231" spans="3:10" hidden="1" x14ac:dyDescent="0.25">
      <c r="C231" s="9"/>
      <c r="D231" s="10">
        <v>45688</v>
      </c>
      <c r="E231" t="s">
        <v>8009</v>
      </c>
      <c r="F231" s="11" t="s">
        <v>8010</v>
      </c>
      <c r="G231" s="8">
        <v>38.43</v>
      </c>
      <c r="H231" s="8">
        <v>0</v>
      </c>
      <c r="I231" s="8">
        <f t="shared" si="5"/>
        <v>17546.209999999992</v>
      </c>
      <c r="J231" s="12"/>
    </row>
    <row r="232" spans="3:10" hidden="1" x14ac:dyDescent="0.25">
      <c r="C232" s="9"/>
      <c r="D232" s="10">
        <v>45688</v>
      </c>
      <c r="E232" t="s">
        <v>7960</v>
      </c>
      <c r="F232" s="11" t="s">
        <v>780</v>
      </c>
      <c r="G232" s="8">
        <v>47.25</v>
      </c>
      <c r="H232" s="8">
        <v>0</v>
      </c>
      <c r="I232" s="8">
        <f t="shared" si="5"/>
        <v>17593.459999999992</v>
      </c>
      <c r="J232" s="12"/>
    </row>
    <row r="233" spans="3:10" hidden="1" x14ac:dyDescent="0.25">
      <c r="C233" s="9"/>
      <c r="D233" s="10">
        <v>45688</v>
      </c>
      <c r="E233" t="s">
        <v>8011</v>
      </c>
      <c r="F233" s="11" t="s">
        <v>149</v>
      </c>
      <c r="G233" s="8">
        <v>38.28</v>
      </c>
      <c r="H233" s="8">
        <v>0</v>
      </c>
      <c r="I233" s="8">
        <f t="shared" si="5"/>
        <v>17631.739999999991</v>
      </c>
      <c r="J233" s="12"/>
    </row>
    <row r="234" spans="3:10" hidden="1" x14ac:dyDescent="0.25">
      <c r="C234" s="9"/>
      <c r="D234" s="10">
        <v>45688</v>
      </c>
      <c r="E234" t="s">
        <v>8012</v>
      </c>
      <c r="F234" s="11" t="s">
        <v>696</v>
      </c>
      <c r="G234" s="8">
        <v>176.1</v>
      </c>
      <c r="H234" s="8">
        <v>0</v>
      </c>
      <c r="I234" s="8">
        <f t="shared" si="5"/>
        <v>17807.839999999989</v>
      </c>
      <c r="J234" s="12"/>
    </row>
    <row r="235" spans="3:10" hidden="1" x14ac:dyDescent="0.25">
      <c r="C235" s="9"/>
      <c r="D235" s="10">
        <v>45688</v>
      </c>
      <c r="E235" t="s">
        <v>7952</v>
      </c>
      <c r="F235" s="11" t="s">
        <v>252</v>
      </c>
      <c r="G235" s="8">
        <v>19.850000000000001</v>
      </c>
      <c r="H235" s="8">
        <v>0</v>
      </c>
      <c r="I235" s="8">
        <f t="shared" si="5"/>
        <v>17827.689999999988</v>
      </c>
      <c r="J235" s="12"/>
    </row>
    <row r="236" spans="3:10" hidden="1" x14ac:dyDescent="0.25">
      <c r="C236" s="9"/>
      <c r="D236" s="10">
        <v>45688</v>
      </c>
      <c r="E236" t="s">
        <v>8013</v>
      </c>
      <c r="F236" s="11" t="s">
        <v>873</v>
      </c>
      <c r="G236" s="8">
        <v>235.62</v>
      </c>
      <c r="H236" s="8">
        <v>0</v>
      </c>
      <c r="I236" s="8">
        <f t="shared" si="5"/>
        <v>18063.309999999987</v>
      </c>
      <c r="J236" s="12"/>
    </row>
    <row r="237" spans="3:10" hidden="1" x14ac:dyDescent="0.25">
      <c r="C237" s="9"/>
      <c r="D237" s="10">
        <v>45688</v>
      </c>
      <c r="E237" t="s">
        <v>7971</v>
      </c>
      <c r="F237" s="11" t="s">
        <v>739</v>
      </c>
      <c r="G237" s="8">
        <v>14.54</v>
      </c>
      <c r="H237" s="8">
        <v>0</v>
      </c>
      <c r="I237" s="8">
        <f t="shared" si="5"/>
        <v>18077.849999999988</v>
      </c>
      <c r="J237" s="12"/>
    </row>
    <row r="238" spans="3:10" hidden="1" x14ac:dyDescent="0.25">
      <c r="C238" s="9"/>
      <c r="D238" s="10">
        <v>45688</v>
      </c>
      <c r="E238" t="s">
        <v>7945</v>
      </c>
      <c r="F238" s="11" t="s">
        <v>1205</v>
      </c>
      <c r="G238" s="8">
        <v>202.95</v>
      </c>
      <c r="H238" s="8">
        <v>0</v>
      </c>
      <c r="I238" s="8">
        <f t="shared" si="5"/>
        <v>18280.799999999988</v>
      </c>
      <c r="J238" s="12"/>
    </row>
    <row r="239" spans="3:10" hidden="1" x14ac:dyDescent="0.25">
      <c r="C239" s="9"/>
      <c r="D239" s="10">
        <v>45688</v>
      </c>
      <c r="E239" t="s">
        <v>7955</v>
      </c>
      <c r="F239" s="11" t="s">
        <v>859</v>
      </c>
      <c r="G239" s="8">
        <v>199.17</v>
      </c>
      <c r="H239" s="8">
        <v>0</v>
      </c>
      <c r="I239" s="8">
        <f t="shared" si="5"/>
        <v>18479.969999999987</v>
      </c>
      <c r="J239" s="12"/>
    </row>
    <row r="240" spans="3:10" hidden="1" x14ac:dyDescent="0.25">
      <c r="C240" s="9"/>
      <c r="D240" s="10">
        <v>45688</v>
      </c>
      <c r="E240" t="s">
        <v>8014</v>
      </c>
      <c r="F240" s="11" t="s">
        <v>911</v>
      </c>
      <c r="G240" s="8">
        <v>125.75</v>
      </c>
      <c r="H240" s="8">
        <v>0</v>
      </c>
      <c r="I240" s="8">
        <f t="shared" si="5"/>
        <v>18605.719999999987</v>
      </c>
      <c r="J240" s="12"/>
    </row>
    <row r="241" spans="3:10" hidden="1" x14ac:dyDescent="0.25">
      <c r="C241" s="9"/>
      <c r="D241" s="10">
        <v>45688</v>
      </c>
      <c r="E241" t="s">
        <v>8015</v>
      </c>
      <c r="F241" s="11" t="s">
        <v>157</v>
      </c>
      <c r="G241" s="8">
        <v>36.49</v>
      </c>
      <c r="H241" s="8">
        <v>0</v>
      </c>
      <c r="I241" s="8">
        <f t="shared" si="5"/>
        <v>18642.209999999988</v>
      </c>
      <c r="J241" s="12"/>
    </row>
    <row r="242" spans="3:10" hidden="1" x14ac:dyDescent="0.25">
      <c r="C242" s="9"/>
      <c r="D242" s="10">
        <v>45688</v>
      </c>
      <c r="E242" t="s">
        <v>7962</v>
      </c>
      <c r="F242" s="11" t="s">
        <v>1291</v>
      </c>
      <c r="G242" s="8">
        <v>509.41</v>
      </c>
      <c r="H242" s="8">
        <v>0</v>
      </c>
      <c r="I242" s="8">
        <f t="shared" si="5"/>
        <v>19151.619999999988</v>
      </c>
      <c r="J242" s="12"/>
    </row>
    <row r="243" spans="3:10" hidden="1" x14ac:dyDescent="0.25">
      <c r="C243" s="9"/>
      <c r="D243" s="10">
        <v>45688</v>
      </c>
      <c r="E243" t="s">
        <v>7927</v>
      </c>
      <c r="F243" s="11" t="s">
        <v>1435</v>
      </c>
      <c r="G243" s="8">
        <v>0.14000000000000001</v>
      </c>
      <c r="H243" s="8">
        <v>0</v>
      </c>
      <c r="I243" s="8">
        <f t="shared" si="5"/>
        <v>19151.759999999987</v>
      </c>
      <c r="J243" s="12"/>
    </row>
    <row r="244" spans="3:10" hidden="1" x14ac:dyDescent="0.25">
      <c r="C244" s="9"/>
      <c r="D244" s="10">
        <v>45688</v>
      </c>
      <c r="E244" t="s">
        <v>7979</v>
      </c>
      <c r="F244" s="11" t="s">
        <v>79</v>
      </c>
      <c r="G244" s="8">
        <v>250.18</v>
      </c>
      <c r="H244" s="8">
        <v>0</v>
      </c>
      <c r="I244" s="8">
        <f t="shared" si="5"/>
        <v>19401.939999999988</v>
      </c>
      <c r="J244" s="12"/>
    </row>
    <row r="245" spans="3:10" hidden="1" x14ac:dyDescent="0.25">
      <c r="C245" s="9"/>
      <c r="D245" s="10">
        <v>45688</v>
      </c>
      <c r="E245" t="s">
        <v>7954</v>
      </c>
      <c r="F245" s="11" t="s">
        <v>237</v>
      </c>
      <c r="G245" s="8">
        <v>132.13</v>
      </c>
      <c r="H245" s="8">
        <v>0</v>
      </c>
      <c r="I245" s="8">
        <f t="shared" si="5"/>
        <v>19534.069999999989</v>
      </c>
      <c r="J245" s="12"/>
    </row>
    <row r="246" spans="3:10" hidden="1" x14ac:dyDescent="0.25">
      <c r="C246" s="9"/>
      <c r="D246" s="10">
        <v>45688</v>
      </c>
      <c r="E246" t="s">
        <v>7912</v>
      </c>
      <c r="F246" s="11" t="s">
        <v>411</v>
      </c>
      <c r="G246" s="8">
        <v>760.42</v>
      </c>
      <c r="H246" s="8">
        <v>0</v>
      </c>
      <c r="I246" s="8">
        <f t="shared" si="5"/>
        <v>20294.489999999987</v>
      </c>
      <c r="J246" s="12"/>
    </row>
    <row r="247" spans="3:10" hidden="1" x14ac:dyDescent="0.25">
      <c r="C247" s="9"/>
      <c r="D247" s="10">
        <v>45688</v>
      </c>
      <c r="E247" t="s">
        <v>7978</v>
      </c>
      <c r="F247" s="11" t="s">
        <v>1232</v>
      </c>
      <c r="G247" s="8">
        <v>83.27</v>
      </c>
      <c r="H247" s="8">
        <v>0</v>
      </c>
      <c r="I247" s="8">
        <f t="shared" si="5"/>
        <v>20377.759999999987</v>
      </c>
      <c r="J247" s="12"/>
    </row>
    <row r="248" spans="3:10" hidden="1" x14ac:dyDescent="0.25">
      <c r="C248" s="9"/>
      <c r="D248" s="10">
        <v>45688</v>
      </c>
      <c r="E248" t="s">
        <v>8016</v>
      </c>
      <c r="F248" s="11" t="s">
        <v>1172</v>
      </c>
      <c r="G248" s="8">
        <v>95.5</v>
      </c>
      <c r="H248" s="8">
        <v>0</v>
      </c>
      <c r="I248" s="8">
        <f t="shared" si="5"/>
        <v>20473.259999999987</v>
      </c>
      <c r="J248" s="12"/>
    </row>
    <row r="249" spans="3:10" hidden="1" x14ac:dyDescent="0.25">
      <c r="C249" s="9"/>
      <c r="D249" s="10">
        <v>45688</v>
      </c>
      <c r="E249" t="s">
        <v>8017</v>
      </c>
      <c r="F249" s="11" t="s">
        <v>1088</v>
      </c>
      <c r="G249" s="8">
        <v>22.59</v>
      </c>
      <c r="H249" s="8">
        <v>0</v>
      </c>
      <c r="I249" s="8">
        <f t="shared" si="5"/>
        <v>20495.849999999988</v>
      </c>
      <c r="J249" s="12"/>
    </row>
    <row r="250" spans="3:10" hidden="1" x14ac:dyDescent="0.25">
      <c r="C250" s="9"/>
      <c r="D250" s="10">
        <v>45688</v>
      </c>
      <c r="E250" t="s">
        <v>8018</v>
      </c>
      <c r="F250" s="11" t="s">
        <v>623</v>
      </c>
      <c r="G250" s="8">
        <v>69</v>
      </c>
      <c r="H250" s="8">
        <v>0</v>
      </c>
      <c r="I250" s="8">
        <f t="shared" si="5"/>
        <v>20564.849999999988</v>
      </c>
      <c r="J250" s="12"/>
    </row>
    <row r="251" spans="3:10" hidden="1" x14ac:dyDescent="0.25">
      <c r="C251" s="9"/>
      <c r="D251" s="10">
        <v>45688</v>
      </c>
      <c r="E251" t="s">
        <v>8019</v>
      </c>
      <c r="F251" s="11" t="s">
        <v>317</v>
      </c>
      <c r="G251" s="8">
        <v>31.71</v>
      </c>
      <c r="H251" s="8">
        <v>0</v>
      </c>
      <c r="I251" s="8">
        <f t="shared" si="5"/>
        <v>20596.559999999987</v>
      </c>
      <c r="J251" s="12"/>
    </row>
    <row r="252" spans="3:10" hidden="1" x14ac:dyDescent="0.25">
      <c r="C252" s="9"/>
      <c r="D252" s="10">
        <v>45688</v>
      </c>
      <c r="E252" t="s">
        <v>8019</v>
      </c>
      <c r="F252" s="11" t="s">
        <v>317</v>
      </c>
      <c r="G252" s="8">
        <v>18.71</v>
      </c>
      <c r="H252" s="8">
        <v>0</v>
      </c>
      <c r="I252" s="8">
        <f t="shared" si="5"/>
        <v>20615.269999999986</v>
      </c>
      <c r="J252" s="12"/>
    </row>
    <row r="253" spans="3:10" hidden="1" x14ac:dyDescent="0.25">
      <c r="C253" s="9"/>
      <c r="D253" s="10">
        <v>45688</v>
      </c>
      <c r="E253" t="s">
        <v>8020</v>
      </c>
      <c r="F253" s="11" t="s">
        <v>372</v>
      </c>
      <c r="G253" s="8">
        <v>229.09</v>
      </c>
      <c r="H253" s="8">
        <v>0</v>
      </c>
      <c r="I253" s="8">
        <f t="shared" si="5"/>
        <v>20844.359999999986</v>
      </c>
      <c r="J253" s="12"/>
    </row>
    <row r="254" spans="3:10" hidden="1" x14ac:dyDescent="0.25">
      <c r="C254" s="9"/>
      <c r="D254" s="10">
        <v>45688</v>
      </c>
      <c r="E254" t="s">
        <v>7885</v>
      </c>
      <c r="F254" s="11" t="s">
        <v>102</v>
      </c>
      <c r="G254" s="8">
        <v>67.52</v>
      </c>
      <c r="H254" s="8">
        <v>0</v>
      </c>
      <c r="I254" s="8">
        <f t="shared" si="5"/>
        <v>20911.879999999986</v>
      </c>
      <c r="J254" s="12"/>
    </row>
    <row r="255" spans="3:10" hidden="1" x14ac:dyDescent="0.25">
      <c r="C255" s="9"/>
      <c r="D255" s="10">
        <v>45688</v>
      </c>
      <c r="E255" t="s">
        <v>7966</v>
      </c>
      <c r="F255" s="11" t="s">
        <v>121</v>
      </c>
      <c r="G255" s="8">
        <v>8.3699999999999992</v>
      </c>
      <c r="H255" s="8">
        <v>0</v>
      </c>
      <c r="I255" s="8">
        <f t="shared" si="5"/>
        <v>20920.249999999985</v>
      </c>
      <c r="J255" s="12"/>
    </row>
    <row r="256" spans="3:10" hidden="1" x14ac:dyDescent="0.25">
      <c r="C256" s="9"/>
      <c r="D256" s="10">
        <v>45688</v>
      </c>
      <c r="E256" t="s">
        <v>7966</v>
      </c>
      <c r="F256" s="11" t="s">
        <v>123</v>
      </c>
      <c r="G256" s="8">
        <v>454.32</v>
      </c>
      <c r="H256" s="8">
        <v>0</v>
      </c>
      <c r="I256" s="8">
        <f t="shared" si="5"/>
        <v>21374.569999999985</v>
      </c>
      <c r="J256" s="12"/>
    </row>
    <row r="257" spans="3:10" hidden="1" x14ac:dyDescent="0.25">
      <c r="C257" s="9"/>
      <c r="D257" s="10">
        <v>45688</v>
      </c>
      <c r="E257" t="s">
        <v>7949</v>
      </c>
      <c r="F257" s="11" t="s">
        <v>937</v>
      </c>
      <c r="G257" s="8">
        <v>300.08999999999997</v>
      </c>
      <c r="H257" s="8">
        <v>0</v>
      </c>
      <c r="I257" s="8">
        <f t="shared" si="5"/>
        <v>21674.659999999985</v>
      </c>
      <c r="J257" s="12"/>
    </row>
    <row r="258" spans="3:10" hidden="1" x14ac:dyDescent="0.25">
      <c r="C258" s="9"/>
      <c r="D258" s="10">
        <v>45688</v>
      </c>
      <c r="E258" t="s">
        <v>8021</v>
      </c>
      <c r="F258" s="11" t="s">
        <v>8022</v>
      </c>
      <c r="G258" s="8">
        <v>10.96</v>
      </c>
      <c r="H258" s="8">
        <v>0</v>
      </c>
      <c r="I258" s="8">
        <f t="shared" si="5"/>
        <v>21685.619999999984</v>
      </c>
      <c r="J258" s="12"/>
    </row>
    <row r="259" spans="3:10" hidden="1" x14ac:dyDescent="0.25">
      <c r="C259" s="9"/>
      <c r="D259" s="10">
        <v>45688</v>
      </c>
      <c r="E259" t="s">
        <v>7977</v>
      </c>
      <c r="F259" s="11" t="s">
        <v>1048</v>
      </c>
      <c r="G259" s="8">
        <v>8.93</v>
      </c>
      <c r="H259" s="8">
        <v>0</v>
      </c>
      <c r="I259" s="8">
        <f t="shared" si="5"/>
        <v>21694.549999999985</v>
      </c>
      <c r="J259" s="12"/>
    </row>
    <row r="260" spans="3:10" hidden="1" x14ac:dyDescent="0.25">
      <c r="C260" s="9"/>
      <c r="D260" s="10">
        <v>45688</v>
      </c>
      <c r="E260" t="s">
        <v>7994</v>
      </c>
      <c r="F260" s="11" t="s">
        <v>819</v>
      </c>
      <c r="G260" s="8">
        <v>26.04</v>
      </c>
      <c r="H260" s="8">
        <v>0</v>
      </c>
      <c r="I260" s="8">
        <f t="shared" si="5"/>
        <v>21720.589999999986</v>
      </c>
      <c r="J260" s="12"/>
    </row>
    <row r="261" spans="3:10" hidden="1" x14ac:dyDescent="0.25">
      <c r="C261" s="9"/>
      <c r="D261" s="10">
        <v>45688</v>
      </c>
      <c r="E261" t="s">
        <v>7880</v>
      </c>
      <c r="F261" s="11" t="s">
        <v>497</v>
      </c>
      <c r="G261" s="8">
        <v>202.84</v>
      </c>
      <c r="H261" s="8">
        <v>0</v>
      </c>
      <c r="I261" s="8">
        <f t="shared" si="5"/>
        <v>21923.429999999986</v>
      </c>
      <c r="J261" s="12"/>
    </row>
    <row r="262" spans="3:10" hidden="1" x14ac:dyDescent="0.25">
      <c r="C262" s="9"/>
      <c r="D262" s="10">
        <v>45688</v>
      </c>
      <c r="E262" t="s">
        <v>7946</v>
      </c>
      <c r="F262" s="11" t="s">
        <v>587</v>
      </c>
      <c r="G262" s="8">
        <v>16.05</v>
      </c>
      <c r="H262" s="8">
        <v>0</v>
      </c>
      <c r="I262" s="8">
        <f t="shared" si="5"/>
        <v>21939.479999999985</v>
      </c>
      <c r="J262" s="12"/>
    </row>
    <row r="263" spans="3:10" hidden="1" x14ac:dyDescent="0.25">
      <c r="C263" s="9"/>
      <c r="D263" s="10">
        <v>45688</v>
      </c>
      <c r="E263" t="s">
        <v>8023</v>
      </c>
      <c r="F263" s="11" t="s">
        <v>570</v>
      </c>
      <c r="G263" s="8">
        <v>138.4</v>
      </c>
      <c r="H263" s="8">
        <v>0</v>
      </c>
      <c r="I263" s="8">
        <f t="shared" si="5"/>
        <v>22077.879999999986</v>
      </c>
      <c r="J263" s="12"/>
    </row>
    <row r="264" spans="3:10" hidden="1" x14ac:dyDescent="0.25">
      <c r="C264" s="9"/>
      <c r="D264" s="10">
        <v>45688</v>
      </c>
      <c r="E264" t="s">
        <v>7973</v>
      </c>
      <c r="F264" s="11" t="s">
        <v>522</v>
      </c>
      <c r="G264" s="8">
        <v>4.45</v>
      </c>
      <c r="H264" s="8">
        <v>0</v>
      </c>
      <c r="I264" s="8">
        <f t="shared" si="5"/>
        <v>22082.329999999987</v>
      </c>
      <c r="J264" s="12"/>
    </row>
    <row r="265" spans="3:10" hidden="1" x14ac:dyDescent="0.25">
      <c r="C265" s="9"/>
      <c r="D265" s="10">
        <v>45688</v>
      </c>
      <c r="E265" t="s">
        <v>7957</v>
      </c>
      <c r="F265" s="11" t="s">
        <v>210</v>
      </c>
      <c r="G265" s="8">
        <v>598.08000000000004</v>
      </c>
      <c r="H265" s="8">
        <v>0</v>
      </c>
      <c r="I265" s="8">
        <f t="shared" si="5"/>
        <v>22680.409999999989</v>
      </c>
      <c r="J265" s="12"/>
    </row>
    <row r="266" spans="3:10" hidden="1" x14ac:dyDescent="0.25">
      <c r="C266" s="9"/>
      <c r="D266" s="10">
        <v>45688</v>
      </c>
      <c r="E266" t="s">
        <v>8024</v>
      </c>
      <c r="F266" s="11" t="s">
        <v>833</v>
      </c>
      <c r="G266" s="8">
        <v>116.65</v>
      </c>
      <c r="H266" s="8">
        <v>0</v>
      </c>
      <c r="I266" s="8">
        <f t="shared" si="5"/>
        <v>22797.05999999999</v>
      </c>
      <c r="J266" s="12"/>
    </row>
    <row r="267" spans="3:10" hidden="1" x14ac:dyDescent="0.25">
      <c r="C267" s="9"/>
      <c r="D267" s="10">
        <v>45689</v>
      </c>
      <c r="E267" t="s">
        <v>7901</v>
      </c>
      <c r="F267" s="11" t="s">
        <v>8025</v>
      </c>
      <c r="G267" s="8">
        <v>100.38</v>
      </c>
      <c r="H267" s="8">
        <v>0</v>
      </c>
      <c r="I267" s="8">
        <f t="shared" si="5"/>
        <v>22897.439999999991</v>
      </c>
      <c r="J267" s="12"/>
    </row>
    <row r="268" spans="3:10" hidden="1" x14ac:dyDescent="0.25">
      <c r="C268" s="9"/>
      <c r="D268" s="10">
        <v>45689</v>
      </c>
      <c r="E268" t="s">
        <v>7905</v>
      </c>
      <c r="F268" s="11" t="s">
        <v>53</v>
      </c>
      <c r="G268" s="8">
        <v>60.31</v>
      </c>
      <c r="H268" s="8">
        <v>0</v>
      </c>
      <c r="I268" s="8">
        <f t="shared" si="5"/>
        <v>22957.749999999993</v>
      </c>
      <c r="J268" s="12"/>
    </row>
    <row r="269" spans="3:10" hidden="1" x14ac:dyDescent="0.25">
      <c r="C269" s="9"/>
      <c r="D269" s="10">
        <v>45689</v>
      </c>
      <c r="E269" t="s">
        <v>7906</v>
      </c>
      <c r="F269" s="11" t="s">
        <v>37</v>
      </c>
      <c r="G269" s="8">
        <v>1.72</v>
      </c>
      <c r="H269" s="8">
        <v>0</v>
      </c>
      <c r="I269" s="8">
        <f t="shared" si="5"/>
        <v>22959.469999999994</v>
      </c>
      <c r="J269" s="12"/>
    </row>
    <row r="270" spans="3:10" hidden="1" x14ac:dyDescent="0.25">
      <c r="C270" s="9"/>
      <c r="D270" s="10">
        <v>45689</v>
      </c>
      <c r="E270" t="s">
        <v>7906</v>
      </c>
      <c r="F270" s="11" t="s">
        <v>39</v>
      </c>
      <c r="G270" s="8">
        <v>2.1</v>
      </c>
      <c r="H270" s="8">
        <v>0</v>
      </c>
      <c r="I270" s="8">
        <f t="shared" si="5"/>
        <v>22961.569999999992</v>
      </c>
      <c r="J270" s="12"/>
    </row>
    <row r="271" spans="3:10" hidden="1" x14ac:dyDescent="0.25">
      <c r="C271" s="9"/>
      <c r="D271" s="10">
        <v>45689</v>
      </c>
      <c r="E271" t="s">
        <v>7903</v>
      </c>
      <c r="F271" s="11" t="s">
        <v>8026</v>
      </c>
      <c r="G271" s="8">
        <v>92.08</v>
      </c>
      <c r="H271" s="8">
        <v>0</v>
      </c>
      <c r="I271" s="8">
        <f t="shared" si="5"/>
        <v>23053.649999999994</v>
      </c>
      <c r="J271" s="12"/>
    </row>
    <row r="272" spans="3:10" hidden="1" x14ac:dyDescent="0.25">
      <c r="C272" s="9"/>
      <c r="D272" s="10">
        <v>45689</v>
      </c>
      <c r="E272" t="s">
        <v>8027</v>
      </c>
      <c r="F272" s="11" t="s">
        <v>1400</v>
      </c>
      <c r="G272" s="8">
        <v>209.64</v>
      </c>
      <c r="H272" s="8">
        <v>0</v>
      </c>
      <c r="I272" s="8">
        <f t="shared" si="5"/>
        <v>23263.289999999994</v>
      </c>
      <c r="J272" s="12"/>
    </row>
    <row r="273" spans="3:10" hidden="1" x14ac:dyDescent="0.25">
      <c r="C273" s="9"/>
      <c r="D273" s="10">
        <v>45691</v>
      </c>
      <c r="E273" t="s">
        <v>7919</v>
      </c>
      <c r="F273" s="11" t="s">
        <v>646</v>
      </c>
      <c r="G273" s="8">
        <v>30.77</v>
      </c>
      <c r="H273" s="8">
        <v>0</v>
      </c>
      <c r="I273" s="8">
        <f t="shared" ref="I273:I336" si="6">G273-H273+I272</f>
        <v>23294.059999999994</v>
      </c>
      <c r="J273" s="12"/>
    </row>
    <row r="274" spans="3:10" hidden="1" x14ac:dyDescent="0.25">
      <c r="C274" s="9"/>
      <c r="D274" s="10">
        <v>45691</v>
      </c>
      <c r="E274" t="s">
        <v>7977</v>
      </c>
      <c r="F274" s="11" t="s">
        <v>1050</v>
      </c>
      <c r="G274" s="8">
        <v>36.5</v>
      </c>
      <c r="H274" s="8">
        <v>0</v>
      </c>
      <c r="I274" s="8">
        <f t="shared" si="6"/>
        <v>23330.559999999994</v>
      </c>
      <c r="J274" s="12"/>
    </row>
    <row r="275" spans="3:10" hidden="1" x14ac:dyDescent="0.25">
      <c r="C275" s="9"/>
      <c r="D275" s="10">
        <v>45692</v>
      </c>
      <c r="E275" t="s">
        <v>7909</v>
      </c>
      <c r="F275" s="11" t="s">
        <v>1475</v>
      </c>
      <c r="G275" s="8">
        <v>229.42</v>
      </c>
      <c r="H275" s="8">
        <v>0</v>
      </c>
      <c r="I275" s="8">
        <f t="shared" si="6"/>
        <v>23559.979999999992</v>
      </c>
      <c r="J275" s="12"/>
    </row>
    <row r="276" spans="3:10" hidden="1" x14ac:dyDescent="0.25">
      <c r="C276" s="9"/>
      <c r="D276" s="10">
        <v>45692</v>
      </c>
      <c r="E276" t="s">
        <v>7891</v>
      </c>
      <c r="F276" s="11" t="s">
        <v>8028</v>
      </c>
      <c r="G276" s="8">
        <v>20.73</v>
      </c>
      <c r="H276" s="8">
        <v>0</v>
      </c>
      <c r="I276" s="8">
        <f t="shared" si="6"/>
        <v>23580.709999999992</v>
      </c>
      <c r="J276" s="12"/>
    </row>
    <row r="277" spans="3:10" hidden="1" x14ac:dyDescent="0.25">
      <c r="C277" s="9"/>
      <c r="D277" s="10">
        <v>45692</v>
      </c>
      <c r="E277" t="s">
        <v>7934</v>
      </c>
      <c r="F277" s="11" t="s">
        <v>8029</v>
      </c>
      <c r="G277" s="8">
        <v>48.55</v>
      </c>
      <c r="H277" s="8">
        <v>0</v>
      </c>
      <c r="I277" s="8">
        <f t="shared" si="6"/>
        <v>23629.259999999991</v>
      </c>
      <c r="J277" s="12"/>
    </row>
    <row r="278" spans="3:10" hidden="1" x14ac:dyDescent="0.25">
      <c r="C278" s="9"/>
      <c r="D278" s="10">
        <v>45692</v>
      </c>
      <c r="E278" t="s">
        <v>7934</v>
      </c>
      <c r="F278" s="11" t="s">
        <v>8030</v>
      </c>
      <c r="G278" s="8">
        <v>39.19</v>
      </c>
      <c r="H278" s="8">
        <v>0</v>
      </c>
      <c r="I278" s="8">
        <f t="shared" si="6"/>
        <v>23668.44999999999</v>
      </c>
      <c r="J278" s="12"/>
    </row>
    <row r="279" spans="3:10" hidden="1" x14ac:dyDescent="0.25">
      <c r="C279" s="9"/>
      <c r="D279" s="10">
        <v>45692</v>
      </c>
      <c r="E279" t="s">
        <v>7978</v>
      </c>
      <c r="F279" s="11" t="s">
        <v>1234</v>
      </c>
      <c r="G279" s="8">
        <v>155.11000000000001</v>
      </c>
      <c r="H279" s="8">
        <v>0</v>
      </c>
      <c r="I279" s="8">
        <f t="shared" si="6"/>
        <v>23823.55999999999</v>
      </c>
      <c r="J279" s="12"/>
    </row>
    <row r="280" spans="3:10" hidden="1" x14ac:dyDescent="0.25">
      <c r="C280" s="9"/>
      <c r="D280" s="10">
        <v>45692</v>
      </c>
      <c r="E280" t="s">
        <v>7990</v>
      </c>
      <c r="F280" s="11" t="s">
        <v>338</v>
      </c>
      <c r="G280" s="8">
        <v>65.08</v>
      </c>
      <c r="H280" s="8">
        <v>0</v>
      </c>
      <c r="I280" s="8">
        <f t="shared" si="6"/>
        <v>23888.639999999992</v>
      </c>
      <c r="J280" s="12"/>
    </row>
    <row r="281" spans="3:10" hidden="1" x14ac:dyDescent="0.25">
      <c r="C281" s="9"/>
      <c r="D281" s="10">
        <v>45693</v>
      </c>
      <c r="E281" t="s">
        <v>7941</v>
      </c>
      <c r="F281" s="11" t="s">
        <v>356</v>
      </c>
      <c r="G281" s="8">
        <v>12.6</v>
      </c>
      <c r="H281" s="8">
        <v>0</v>
      </c>
      <c r="I281" s="8">
        <f t="shared" si="6"/>
        <v>23901.239999999991</v>
      </c>
      <c r="J281" s="12"/>
    </row>
    <row r="282" spans="3:10" hidden="1" x14ac:dyDescent="0.25">
      <c r="C282" s="9"/>
      <c r="D282" s="10">
        <v>45693</v>
      </c>
      <c r="E282" t="s">
        <v>8031</v>
      </c>
      <c r="F282" s="11" t="s">
        <v>8032</v>
      </c>
      <c r="G282" s="8">
        <v>153.30000000000001</v>
      </c>
      <c r="H282" s="8">
        <v>0</v>
      </c>
      <c r="I282" s="8">
        <f t="shared" si="6"/>
        <v>24054.53999999999</v>
      </c>
      <c r="J282" s="12"/>
    </row>
    <row r="283" spans="3:10" hidden="1" x14ac:dyDescent="0.25">
      <c r="C283" s="9"/>
      <c r="D283" s="10">
        <v>45693</v>
      </c>
      <c r="E283" t="s">
        <v>7983</v>
      </c>
      <c r="F283" s="11" t="s">
        <v>606</v>
      </c>
      <c r="G283" s="8">
        <v>82.25</v>
      </c>
      <c r="H283" s="8">
        <v>0</v>
      </c>
      <c r="I283" s="8">
        <f t="shared" si="6"/>
        <v>24136.78999999999</v>
      </c>
      <c r="J283" s="12"/>
    </row>
    <row r="284" spans="3:10" hidden="1" x14ac:dyDescent="0.25">
      <c r="C284" s="9"/>
      <c r="D284" s="10">
        <v>45693</v>
      </c>
      <c r="E284" t="s">
        <v>7971</v>
      </c>
      <c r="F284" s="11" t="s">
        <v>741</v>
      </c>
      <c r="G284" s="8">
        <v>42.45</v>
      </c>
      <c r="H284" s="8">
        <v>0</v>
      </c>
      <c r="I284" s="8">
        <f t="shared" si="6"/>
        <v>24179.239999999991</v>
      </c>
      <c r="J284" s="12"/>
    </row>
    <row r="285" spans="3:10" hidden="1" x14ac:dyDescent="0.25">
      <c r="C285" s="9"/>
      <c r="D285" s="10">
        <v>45693</v>
      </c>
      <c r="E285" t="s">
        <v>7912</v>
      </c>
      <c r="F285" s="11" t="s">
        <v>413</v>
      </c>
      <c r="G285" s="8">
        <v>102.92</v>
      </c>
      <c r="H285" s="8">
        <v>0</v>
      </c>
      <c r="I285" s="8">
        <f t="shared" si="6"/>
        <v>24282.159999999989</v>
      </c>
      <c r="J285" s="12"/>
    </row>
    <row r="286" spans="3:10" hidden="1" x14ac:dyDescent="0.25">
      <c r="C286" s="9"/>
      <c r="D286" s="10">
        <v>45693</v>
      </c>
      <c r="E286" t="s">
        <v>7930</v>
      </c>
      <c r="F286" s="11" t="s">
        <v>538</v>
      </c>
      <c r="G286" s="8">
        <v>27.75</v>
      </c>
      <c r="H286" s="8">
        <v>0</v>
      </c>
      <c r="I286" s="8">
        <f t="shared" si="6"/>
        <v>24309.909999999989</v>
      </c>
      <c r="J286" s="12"/>
    </row>
    <row r="287" spans="3:10" hidden="1" x14ac:dyDescent="0.25">
      <c r="C287" s="9"/>
      <c r="D287" s="10">
        <v>45694</v>
      </c>
      <c r="E287" t="s">
        <v>8033</v>
      </c>
      <c r="F287" s="11" t="s">
        <v>811</v>
      </c>
      <c r="G287" s="8">
        <v>301.14</v>
      </c>
      <c r="H287" s="8">
        <v>0</v>
      </c>
      <c r="I287" s="8">
        <f t="shared" si="6"/>
        <v>24611.049999999988</v>
      </c>
      <c r="J287" s="12"/>
    </row>
    <row r="288" spans="3:10" hidden="1" x14ac:dyDescent="0.25">
      <c r="C288" s="9"/>
      <c r="D288" s="10">
        <v>45694</v>
      </c>
      <c r="E288" t="s">
        <v>7979</v>
      </c>
      <c r="F288" s="11" t="s">
        <v>81</v>
      </c>
      <c r="G288" s="8">
        <v>-2057.37</v>
      </c>
      <c r="H288" s="8">
        <v>0</v>
      </c>
      <c r="I288" s="8">
        <f t="shared" si="6"/>
        <v>22553.679999999989</v>
      </c>
      <c r="J288" s="12"/>
    </row>
    <row r="289" spans="3:10" hidden="1" x14ac:dyDescent="0.25">
      <c r="C289" s="9"/>
      <c r="D289" s="10">
        <v>45694</v>
      </c>
      <c r="E289" t="s">
        <v>7916</v>
      </c>
      <c r="F289" s="11" t="s">
        <v>1483</v>
      </c>
      <c r="G289" s="8">
        <v>3.15</v>
      </c>
      <c r="H289" s="8">
        <v>0</v>
      </c>
      <c r="I289" s="8">
        <f t="shared" si="6"/>
        <v>22556.829999999991</v>
      </c>
      <c r="J289" s="12"/>
    </row>
    <row r="290" spans="3:10" hidden="1" x14ac:dyDescent="0.25">
      <c r="C290" s="9"/>
      <c r="D290" s="10">
        <v>45694</v>
      </c>
      <c r="E290" t="s">
        <v>8034</v>
      </c>
      <c r="F290" s="11" t="s">
        <v>8035</v>
      </c>
      <c r="G290" s="8">
        <v>179.5</v>
      </c>
      <c r="H290" s="8">
        <v>0</v>
      </c>
      <c r="I290" s="8">
        <f t="shared" si="6"/>
        <v>22736.329999999991</v>
      </c>
      <c r="J290" s="12"/>
    </row>
    <row r="291" spans="3:10" hidden="1" x14ac:dyDescent="0.25">
      <c r="C291" s="9"/>
      <c r="D291" s="10">
        <v>45694</v>
      </c>
      <c r="E291" t="s">
        <v>7936</v>
      </c>
      <c r="F291" s="11" t="s">
        <v>8036</v>
      </c>
      <c r="G291" s="8">
        <v>68.040000000000006</v>
      </c>
      <c r="H291" s="8">
        <v>0</v>
      </c>
      <c r="I291" s="8">
        <f t="shared" si="6"/>
        <v>22804.369999999992</v>
      </c>
      <c r="J291" s="12"/>
    </row>
    <row r="292" spans="3:10" hidden="1" x14ac:dyDescent="0.25">
      <c r="C292" s="9"/>
      <c r="D292" s="10">
        <v>45694</v>
      </c>
      <c r="E292" t="s">
        <v>7917</v>
      </c>
      <c r="F292" s="11" t="s">
        <v>1322</v>
      </c>
      <c r="G292" s="8">
        <v>3.68</v>
      </c>
      <c r="H292" s="8">
        <v>0</v>
      </c>
      <c r="I292" s="8">
        <f t="shared" si="6"/>
        <v>22808.049999999992</v>
      </c>
      <c r="J292" s="12"/>
    </row>
    <row r="293" spans="3:10" hidden="1" x14ac:dyDescent="0.25">
      <c r="C293" s="9"/>
      <c r="D293" s="10">
        <v>45694</v>
      </c>
      <c r="E293" t="s">
        <v>8037</v>
      </c>
      <c r="F293" s="11" t="s">
        <v>689</v>
      </c>
      <c r="G293" s="8">
        <v>117.94</v>
      </c>
      <c r="H293" s="8">
        <v>0</v>
      </c>
      <c r="I293" s="8">
        <f t="shared" si="6"/>
        <v>22925.989999999991</v>
      </c>
      <c r="J293" s="12"/>
    </row>
    <row r="294" spans="3:10" hidden="1" x14ac:dyDescent="0.25">
      <c r="C294" s="9"/>
      <c r="D294" s="10">
        <v>45694</v>
      </c>
      <c r="E294" t="s">
        <v>7915</v>
      </c>
      <c r="F294" s="11" t="s">
        <v>555</v>
      </c>
      <c r="G294" s="8">
        <v>71.63</v>
      </c>
      <c r="H294" s="8">
        <v>0</v>
      </c>
      <c r="I294" s="8">
        <f t="shared" si="6"/>
        <v>22997.619999999992</v>
      </c>
      <c r="J294" s="12"/>
    </row>
    <row r="295" spans="3:10" hidden="1" x14ac:dyDescent="0.25">
      <c r="C295" s="9"/>
      <c r="D295" s="10">
        <v>45694</v>
      </c>
      <c r="E295" t="s">
        <v>7918</v>
      </c>
      <c r="F295" s="11" t="s">
        <v>1155</v>
      </c>
      <c r="G295" s="8">
        <v>179.63</v>
      </c>
      <c r="H295" s="8">
        <v>0</v>
      </c>
      <c r="I295" s="8">
        <f t="shared" si="6"/>
        <v>23177.249999999993</v>
      </c>
      <c r="J295" s="12"/>
    </row>
    <row r="296" spans="3:10" hidden="1" x14ac:dyDescent="0.25">
      <c r="C296" s="9"/>
      <c r="D296" s="10">
        <v>45694</v>
      </c>
      <c r="E296" t="s">
        <v>8038</v>
      </c>
      <c r="F296" s="11" t="s">
        <v>1117</v>
      </c>
      <c r="G296" s="8">
        <v>74.34</v>
      </c>
      <c r="H296" s="8">
        <v>0</v>
      </c>
      <c r="I296" s="8">
        <f t="shared" si="6"/>
        <v>23251.589999999993</v>
      </c>
      <c r="J296" s="12"/>
    </row>
    <row r="297" spans="3:10" hidden="1" x14ac:dyDescent="0.25">
      <c r="C297" s="9"/>
      <c r="D297" s="10">
        <v>45695</v>
      </c>
      <c r="E297" t="s">
        <v>7917</v>
      </c>
      <c r="F297" s="11" t="s">
        <v>1324</v>
      </c>
      <c r="G297" s="8">
        <v>52.72</v>
      </c>
      <c r="H297" s="8">
        <v>0</v>
      </c>
      <c r="I297" s="8">
        <f t="shared" si="6"/>
        <v>23304.309999999994</v>
      </c>
      <c r="J297" s="12"/>
    </row>
    <row r="298" spans="3:10" hidden="1" x14ac:dyDescent="0.25">
      <c r="C298" s="9"/>
      <c r="D298" s="10">
        <v>45695</v>
      </c>
      <c r="E298" t="s">
        <v>8039</v>
      </c>
      <c r="F298" s="11" t="s">
        <v>8040</v>
      </c>
      <c r="G298" s="8">
        <v>529.48</v>
      </c>
      <c r="H298" s="8">
        <v>0</v>
      </c>
      <c r="I298" s="8">
        <f t="shared" si="6"/>
        <v>23833.789999999994</v>
      </c>
      <c r="J298" s="12"/>
    </row>
    <row r="299" spans="3:10" hidden="1" x14ac:dyDescent="0.25">
      <c r="C299" s="9"/>
      <c r="D299" s="10">
        <v>45695</v>
      </c>
      <c r="E299" t="s">
        <v>7929</v>
      </c>
      <c r="F299" s="11" t="s">
        <v>755</v>
      </c>
      <c r="G299" s="8">
        <v>49.4</v>
      </c>
      <c r="H299" s="8">
        <v>0</v>
      </c>
      <c r="I299" s="8">
        <f t="shared" si="6"/>
        <v>23883.189999999995</v>
      </c>
      <c r="J299" s="12"/>
    </row>
    <row r="300" spans="3:10" hidden="1" x14ac:dyDescent="0.25">
      <c r="C300" s="9"/>
      <c r="D300" s="10">
        <v>45695</v>
      </c>
      <c r="E300" t="s">
        <v>7880</v>
      </c>
      <c r="F300" s="11" t="s">
        <v>499</v>
      </c>
      <c r="G300" s="8">
        <v>11.49</v>
      </c>
      <c r="H300" s="8">
        <v>0</v>
      </c>
      <c r="I300" s="8">
        <f t="shared" si="6"/>
        <v>23894.679999999997</v>
      </c>
      <c r="J300" s="12"/>
    </row>
    <row r="301" spans="3:10" hidden="1" x14ac:dyDescent="0.25">
      <c r="C301" s="9"/>
      <c r="D301" s="10">
        <v>45695</v>
      </c>
      <c r="E301" t="s">
        <v>7933</v>
      </c>
      <c r="F301" s="11" t="s">
        <v>1019</v>
      </c>
      <c r="G301" s="8">
        <v>87.43</v>
      </c>
      <c r="H301" s="8">
        <v>0</v>
      </c>
      <c r="I301" s="8">
        <f t="shared" si="6"/>
        <v>23982.109999999997</v>
      </c>
      <c r="J301" s="12"/>
    </row>
    <row r="302" spans="3:10" hidden="1" x14ac:dyDescent="0.25">
      <c r="C302" s="9"/>
      <c r="D302" s="10">
        <v>45698</v>
      </c>
      <c r="E302" t="s">
        <v>7924</v>
      </c>
      <c r="F302" s="11" t="s">
        <v>1450</v>
      </c>
      <c r="G302" s="8">
        <v>427.04</v>
      </c>
      <c r="H302" s="8">
        <v>0</v>
      </c>
      <c r="I302" s="8">
        <f t="shared" si="6"/>
        <v>24409.149999999998</v>
      </c>
      <c r="J302" s="12"/>
    </row>
    <row r="303" spans="3:10" hidden="1" x14ac:dyDescent="0.25">
      <c r="C303" s="9"/>
      <c r="D303" s="10">
        <v>45698</v>
      </c>
      <c r="E303" t="s">
        <v>7924</v>
      </c>
      <c r="F303" s="11" t="s">
        <v>1452</v>
      </c>
      <c r="G303" s="8">
        <v>441.99</v>
      </c>
      <c r="H303" s="8">
        <v>0</v>
      </c>
      <c r="I303" s="8">
        <f t="shared" si="6"/>
        <v>24851.14</v>
      </c>
      <c r="J303" s="12"/>
    </row>
    <row r="304" spans="3:10" hidden="1" x14ac:dyDescent="0.25">
      <c r="C304" s="9"/>
      <c r="D304" s="10">
        <v>45698</v>
      </c>
      <c r="E304" t="s">
        <v>8041</v>
      </c>
      <c r="F304" s="11" t="s">
        <v>1503</v>
      </c>
      <c r="G304" s="8">
        <v>2.1</v>
      </c>
      <c r="H304" s="8">
        <v>0</v>
      </c>
      <c r="I304" s="8">
        <f t="shared" si="6"/>
        <v>24853.239999999998</v>
      </c>
      <c r="J304" s="12"/>
    </row>
    <row r="305" spans="3:10" hidden="1" x14ac:dyDescent="0.25">
      <c r="C305" s="9"/>
      <c r="D305" s="10">
        <v>45698</v>
      </c>
      <c r="E305" t="s">
        <v>8002</v>
      </c>
      <c r="F305" s="11" t="s">
        <v>1005</v>
      </c>
      <c r="G305" s="8">
        <v>25.2</v>
      </c>
      <c r="H305" s="8">
        <v>0</v>
      </c>
      <c r="I305" s="8">
        <f t="shared" si="6"/>
        <v>24878.44</v>
      </c>
      <c r="J305" s="12"/>
    </row>
    <row r="306" spans="3:10" hidden="1" x14ac:dyDescent="0.25">
      <c r="C306" s="9"/>
      <c r="D306" s="10">
        <v>45698</v>
      </c>
      <c r="E306" t="s">
        <v>8042</v>
      </c>
      <c r="F306" s="11" t="s">
        <v>8043</v>
      </c>
      <c r="G306" s="8">
        <v>49.39</v>
      </c>
      <c r="H306" s="8">
        <v>0</v>
      </c>
      <c r="I306" s="8">
        <f t="shared" si="6"/>
        <v>24927.829999999998</v>
      </c>
      <c r="J306" s="12"/>
    </row>
    <row r="307" spans="3:10" hidden="1" x14ac:dyDescent="0.25">
      <c r="C307" s="9"/>
      <c r="D307" s="10">
        <v>45698</v>
      </c>
      <c r="E307" t="s">
        <v>7912</v>
      </c>
      <c r="F307" s="11" t="s">
        <v>415</v>
      </c>
      <c r="G307" s="8">
        <v>424.19</v>
      </c>
      <c r="H307" s="8">
        <v>0</v>
      </c>
      <c r="I307" s="8">
        <f t="shared" si="6"/>
        <v>25352.019999999997</v>
      </c>
      <c r="J307" s="12"/>
    </row>
    <row r="308" spans="3:10" hidden="1" x14ac:dyDescent="0.25">
      <c r="C308" s="9"/>
      <c r="D308" s="10">
        <v>45698</v>
      </c>
      <c r="E308" t="s">
        <v>7978</v>
      </c>
      <c r="F308" s="11" t="s">
        <v>1236</v>
      </c>
      <c r="G308" s="8">
        <v>52.33</v>
      </c>
      <c r="H308" s="8">
        <v>0</v>
      </c>
      <c r="I308" s="8">
        <f t="shared" si="6"/>
        <v>25404.35</v>
      </c>
      <c r="J308" s="12"/>
    </row>
    <row r="309" spans="3:10" hidden="1" x14ac:dyDescent="0.25">
      <c r="C309" s="9"/>
      <c r="D309" s="10">
        <v>45699</v>
      </c>
      <c r="E309" t="s">
        <v>7966</v>
      </c>
      <c r="F309" s="11" t="s">
        <v>127</v>
      </c>
      <c r="G309" s="8">
        <v>-505.23</v>
      </c>
      <c r="H309" s="8">
        <v>0</v>
      </c>
      <c r="I309" s="8">
        <f t="shared" si="6"/>
        <v>24899.119999999999</v>
      </c>
      <c r="J309" s="12"/>
    </row>
    <row r="310" spans="3:10" hidden="1" x14ac:dyDescent="0.25">
      <c r="C310" s="9"/>
      <c r="D310" s="10">
        <v>45699</v>
      </c>
      <c r="E310" t="s">
        <v>7918</v>
      </c>
      <c r="F310" s="11" t="s">
        <v>1157</v>
      </c>
      <c r="G310" s="8">
        <v>33.51</v>
      </c>
      <c r="H310" s="8">
        <v>0</v>
      </c>
      <c r="I310" s="8">
        <f t="shared" si="6"/>
        <v>24932.629999999997</v>
      </c>
      <c r="J310" s="12"/>
    </row>
    <row r="311" spans="3:10" hidden="1" x14ac:dyDescent="0.25">
      <c r="C311" s="9"/>
      <c r="D311" s="10">
        <v>45699</v>
      </c>
      <c r="E311" t="s">
        <v>7917</v>
      </c>
      <c r="F311" s="11" t="s">
        <v>1330</v>
      </c>
      <c r="G311" s="8">
        <v>100.09</v>
      </c>
      <c r="H311" s="8">
        <v>0</v>
      </c>
      <c r="I311" s="8">
        <f t="shared" si="6"/>
        <v>25032.719999999998</v>
      </c>
      <c r="J311" s="12"/>
    </row>
    <row r="312" spans="3:10" hidden="1" x14ac:dyDescent="0.25">
      <c r="C312" s="9"/>
      <c r="D312" s="10">
        <v>45699</v>
      </c>
      <c r="E312" t="s">
        <v>7983</v>
      </c>
      <c r="F312" s="11" t="s">
        <v>608</v>
      </c>
      <c r="G312" s="8">
        <v>183.62</v>
      </c>
      <c r="H312" s="8">
        <v>0</v>
      </c>
      <c r="I312" s="8">
        <f t="shared" si="6"/>
        <v>25216.339999999997</v>
      </c>
      <c r="J312" s="12"/>
    </row>
    <row r="313" spans="3:10" hidden="1" x14ac:dyDescent="0.25">
      <c r="C313" s="9"/>
      <c r="D313" s="10">
        <v>45699</v>
      </c>
      <c r="E313" t="s">
        <v>7919</v>
      </c>
      <c r="F313" s="11" t="s">
        <v>648</v>
      </c>
      <c r="G313" s="8">
        <v>48.55</v>
      </c>
      <c r="H313" s="8">
        <v>0</v>
      </c>
      <c r="I313" s="8">
        <f t="shared" si="6"/>
        <v>25264.889999999996</v>
      </c>
      <c r="J313" s="12"/>
    </row>
    <row r="314" spans="3:10" hidden="1" x14ac:dyDescent="0.25">
      <c r="C314" s="9"/>
      <c r="D314" s="10">
        <v>45699</v>
      </c>
      <c r="E314" t="s">
        <v>7917</v>
      </c>
      <c r="F314" s="11" t="s">
        <v>1332</v>
      </c>
      <c r="G314" s="8">
        <v>389.39</v>
      </c>
      <c r="H314" s="8">
        <v>0</v>
      </c>
      <c r="I314" s="8">
        <f t="shared" si="6"/>
        <v>25654.279999999995</v>
      </c>
      <c r="J314" s="12"/>
    </row>
    <row r="315" spans="3:10" hidden="1" x14ac:dyDescent="0.25">
      <c r="C315" s="9"/>
      <c r="D315" s="10">
        <v>45700</v>
      </c>
      <c r="E315" t="s">
        <v>7917</v>
      </c>
      <c r="F315" s="11" t="s">
        <v>1334</v>
      </c>
      <c r="G315" s="8">
        <v>35.700000000000003</v>
      </c>
      <c r="H315" s="8">
        <v>0</v>
      </c>
      <c r="I315" s="8">
        <f t="shared" si="6"/>
        <v>25689.979999999996</v>
      </c>
      <c r="J315" s="12"/>
    </row>
    <row r="316" spans="3:10" hidden="1" x14ac:dyDescent="0.25">
      <c r="C316" s="9"/>
      <c r="D316" s="10">
        <v>45700</v>
      </c>
      <c r="E316" t="s">
        <v>7917</v>
      </c>
      <c r="F316" s="11" t="s">
        <v>1336</v>
      </c>
      <c r="G316" s="8">
        <v>34.71</v>
      </c>
      <c r="H316" s="8">
        <v>0</v>
      </c>
      <c r="I316" s="8">
        <f t="shared" si="6"/>
        <v>25724.689999999995</v>
      </c>
      <c r="J316" s="12"/>
    </row>
    <row r="317" spans="3:10" hidden="1" x14ac:dyDescent="0.25">
      <c r="C317" s="9"/>
      <c r="D317" s="10">
        <v>45700</v>
      </c>
      <c r="E317" t="s">
        <v>7928</v>
      </c>
      <c r="F317" s="11" t="s">
        <v>678</v>
      </c>
      <c r="G317" s="8">
        <v>280.45</v>
      </c>
      <c r="H317" s="8">
        <v>0</v>
      </c>
      <c r="I317" s="8">
        <f t="shared" si="6"/>
        <v>26005.139999999996</v>
      </c>
      <c r="J317" s="12"/>
    </row>
    <row r="318" spans="3:10" hidden="1" x14ac:dyDescent="0.25">
      <c r="C318" s="9"/>
      <c r="D318" s="10">
        <v>45700</v>
      </c>
      <c r="E318" t="s">
        <v>8044</v>
      </c>
      <c r="F318" s="11" t="s">
        <v>196</v>
      </c>
      <c r="G318" s="8">
        <v>23.08</v>
      </c>
      <c r="H318" s="8">
        <v>0</v>
      </c>
      <c r="I318" s="8">
        <f t="shared" si="6"/>
        <v>26028.219999999998</v>
      </c>
      <c r="J318" s="12"/>
    </row>
    <row r="319" spans="3:10" hidden="1" x14ac:dyDescent="0.25">
      <c r="C319" s="9"/>
      <c r="D319" s="10">
        <v>45700</v>
      </c>
      <c r="E319" t="s">
        <v>7978</v>
      </c>
      <c r="F319" s="11" t="s">
        <v>1238</v>
      </c>
      <c r="G319" s="8">
        <v>62.58</v>
      </c>
      <c r="H319" s="8">
        <v>0</v>
      </c>
      <c r="I319" s="8">
        <f t="shared" si="6"/>
        <v>26090.799999999999</v>
      </c>
      <c r="J319" s="12"/>
    </row>
    <row r="320" spans="3:10" hidden="1" x14ac:dyDescent="0.25">
      <c r="C320" s="9"/>
      <c r="D320" s="10">
        <v>45700</v>
      </c>
      <c r="E320" t="s">
        <v>7978</v>
      </c>
      <c r="F320" s="11" t="s">
        <v>1240</v>
      </c>
      <c r="G320" s="8">
        <v>20.74</v>
      </c>
      <c r="H320" s="8">
        <v>0</v>
      </c>
      <c r="I320" s="8">
        <f t="shared" si="6"/>
        <v>26111.54</v>
      </c>
      <c r="J320" s="12"/>
    </row>
    <row r="321" spans="3:10" hidden="1" x14ac:dyDescent="0.25">
      <c r="C321" s="9"/>
      <c r="D321" s="10">
        <v>45700</v>
      </c>
      <c r="E321" t="s">
        <v>8045</v>
      </c>
      <c r="F321" s="11" t="s">
        <v>728</v>
      </c>
      <c r="G321" s="8">
        <v>33.22</v>
      </c>
      <c r="H321" s="8">
        <v>0</v>
      </c>
      <c r="I321" s="8">
        <f t="shared" si="6"/>
        <v>26144.760000000002</v>
      </c>
      <c r="J321" s="12"/>
    </row>
    <row r="322" spans="3:10" hidden="1" x14ac:dyDescent="0.25">
      <c r="C322" s="9"/>
      <c r="D322" s="10">
        <v>45701</v>
      </c>
      <c r="E322" t="s">
        <v>7917</v>
      </c>
      <c r="F322" s="11" t="s">
        <v>1338</v>
      </c>
      <c r="G322" s="8">
        <v>824.29</v>
      </c>
      <c r="H322" s="8">
        <v>0</v>
      </c>
      <c r="I322" s="8">
        <f t="shared" si="6"/>
        <v>26969.050000000003</v>
      </c>
      <c r="J322" s="12"/>
    </row>
    <row r="323" spans="3:10" hidden="1" x14ac:dyDescent="0.25">
      <c r="C323" s="9"/>
      <c r="D323" s="10">
        <v>45701</v>
      </c>
      <c r="E323" t="s">
        <v>8046</v>
      </c>
      <c r="F323" s="11" t="s">
        <v>719</v>
      </c>
      <c r="G323" s="8">
        <v>92.32</v>
      </c>
      <c r="H323" s="8">
        <v>0</v>
      </c>
      <c r="I323" s="8">
        <f t="shared" si="6"/>
        <v>27061.370000000003</v>
      </c>
      <c r="J323" s="12"/>
    </row>
    <row r="324" spans="3:10" hidden="1" x14ac:dyDescent="0.25">
      <c r="C324" s="9"/>
      <c r="D324" s="10">
        <v>45702</v>
      </c>
      <c r="E324" t="s">
        <v>7942</v>
      </c>
      <c r="F324" s="11" t="s">
        <v>769</v>
      </c>
      <c r="G324" s="8">
        <v>93.74</v>
      </c>
      <c r="H324" s="8">
        <v>0</v>
      </c>
      <c r="I324" s="8">
        <f t="shared" si="6"/>
        <v>27155.110000000004</v>
      </c>
      <c r="J324" s="12"/>
    </row>
    <row r="325" spans="3:10" hidden="1" x14ac:dyDescent="0.25">
      <c r="C325" s="9"/>
      <c r="D325" s="10">
        <v>45702</v>
      </c>
      <c r="E325" t="s">
        <v>8001</v>
      </c>
      <c r="F325" s="11" t="s">
        <v>269</v>
      </c>
      <c r="G325" s="8">
        <v>26.24</v>
      </c>
      <c r="H325" s="8">
        <v>0</v>
      </c>
      <c r="I325" s="8">
        <f t="shared" si="6"/>
        <v>27181.350000000006</v>
      </c>
      <c r="J325" s="12"/>
    </row>
    <row r="326" spans="3:10" hidden="1" x14ac:dyDescent="0.25">
      <c r="C326" s="9"/>
      <c r="D326" s="10">
        <v>45702</v>
      </c>
      <c r="E326" t="s">
        <v>7962</v>
      </c>
      <c r="F326" s="11" t="s">
        <v>1293</v>
      </c>
      <c r="G326" s="8">
        <v>530.70000000000005</v>
      </c>
      <c r="H326" s="8">
        <v>0</v>
      </c>
      <c r="I326" s="8">
        <f t="shared" si="6"/>
        <v>27712.050000000007</v>
      </c>
      <c r="J326" s="12"/>
    </row>
    <row r="327" spans="3:10" hidden="1" x14ac:dyDescent="0.25">
      <c r="C327" s="9"/>
      <c r="D327" s="10">
        <v>45702</v>
      </c>
      <c r="E327" t="s">
        <v>7948</v>
      </c>
      <c r="F327" s="11" t="s">
        <v>1128</v>
      </c>
      <c r="G327" s="8">
        <v>8.31</v>
      </c>
      <c r="H327" s="8">
        <v>0</v>
      </c>
      <c r="I327" s="8">
        <f t="shared" si="6"/>
        <v>27720.360000000008</v>
      </c>
      <c r="J327" s="12"/>
    </row>
    <row r="328" spans="3:10" hidden="1" x14ac:dyDescent="0.25">
      <c r="C328" s="9"/>
      <c r="D328" s="10">
        <v>45702</v>
      </c>
      <c r="E328" t="s">
        <v>7958</v>
      </c>
      <c r="F328" s="11" t="s">
        <v>1467</v>
      </c>
      <c r="G328" s="8">
        <v>408.05</v>
      </c>
      <c r="H328" s="8">
        <v>0</v>
      </c>
      <c r="I328" s="8">
        <f t="shared" si="6"/>
        <v>28128.410000000007</v>
      </c>
      <c r="J328" s="12"/>
    </row>
    <row r="329" spans="3:10" hidden="1" x14ac:dyDescent="0.25">
      <c r="C329" s="9"/>
      <c r="D329" s="10">
        <v>45702</v>
      </c>
      <c r="E329" t="s">
        <v>8047</v>
      </c>
      <c r="F329" s="11" t="s">
        <v>8048</v>
      </c>
      <c r="G329" s="8">
        <v>57.71</v>
      </c>
      <c r="H329" s="8">
        <v>0</v>
      </c>
      <c r="I329" s="8">
        <f t="shared" si="6"/>
        <v>28186.120000000006</v>
      </c>
      <c r="J329" s="12"/>
    </row>
    <row r="330" spans="3:10" hidden="1" x14ac:dyDescent="0.25">
      <c r="C330" s="9"/>
      <c r="D330" s="10">
        <v>45702</v>
      </c>
      <c r="E330" t="s">
        <v>7952</v>
      </c>
      <c r="F330" s="11" t="s">
        <v>254</v>
      </c>
      <c r="G330" s="8">
        <v>40.659999999999997</v>
      </c>
      <c r="H330" s="8">
        <v>0</v>
      </c>
      <c r="I330" s="8">
        <f t="shared" si="6"/>
        <v>28226.780000000006</v>
      </c>
      <c r="J330" s="12"/>
    </row>
    <row r="331" spans="3:10" hidden="1" x14ac:dyDescent="0.25">
      <c r="C331" s="9"/>
      <c r="D331" s="10">
        <v>45703</v>
      </c>
      <c r="E331" t="s">
        <v>7941</v>
      </c>
      <c r="F331" s="11" t="s">
        <v>358</v>
      </c>
      <c r="G331" s="8">
        <v>378</v>
      </c>
      <c r="H331" s="8">
        <v>0</v>
      </c>
      <c r="I331" s="8">
        <f t="shared" si="6"/>
        <v>28604.780000000006</v>
      </c>
      <c r="J331" s="12"/>
    </row>
    <row r="332" spans="3:10" hidden="1" x14ac:dyDescent="0.25">
      <c r="C332" s="9"/>
      <c r="D332" s="10">
        <v>45703</v>
      </c>
      <c r="E332" t="s">
        <v>7943</v>
      </c>
      <c r="F332" s="11" t="s">
        <v>1034</v>
      </c>
      <c r="G332" s="8">
        <v>83.25</v>
      </c>
      <c r="H332" s="8">
        <v>0</v>
      </c>
      <c r="I332" s="8">
        <f t="shared" si="6"/>
        <v>28688.030000000006</v>
      </c>
      <c r="J332" s="12"/>
    </row>
    <row r="333" spans="3:10" hidden="1" x14ac:dyDescent="0.25">
      <c r="C333" s="9"/>
      <c r="D333" s="10">
        <v>45703</v>
      </c>
      <c r="E333" t="s">
        <v>8049</v>
      </c>
      <c r="F333" s="11" t="s">
        <v>508</v>
      </c>
      <c r="G333" s="8">
        <v>41.74</v>
      </c>
      <c r="H333" s="8">
        <v>0</v>
      </c>
      <c r="I333" s="8">
        <f t="shared" si="6"/>
        <v>28729.770000000008</v>
      </c>
      <c r="J333" s="12"/>
    </row>
    <row r="334" spans="3:10" hidden="1" x14ac:dyDescent="0.25">
      <c r="C334" s="9"/>
      <c r="D334" s="10">
        <v>45703</v>
      </c>
      <c r="E334" t="s">
        <v>8050</v>
      </c>
      <c r="F334" s="11" t="s">
        <v>957</v>
      </c>
      <c r="G334" s="8">
        <v>20.88</v>
      </c>
      <c r="H334" s="8">
        <v>0</v>
      </c>
      <c r="I334" s="8">
        <f t="shared" si="6"/>
        <v>28750.650000000009</v>
      </c>
      <c r="J334" s="12"/>
    </row>
    <row r="335" spans="3:10" hidden="1" x14ac:dyDescent="0.25">
      <c r="C335" s="9"/>
      <c r="D335" s="10">
        <v>45703</v>
      </c>
      <c r="E335" t="s">
        <v>7946</v>
      </c>
      <c r="F335" s="11" t="s">
        <v>589</v>
      </c>
      <c r="G335" s="8">
        <v>10.84</v>
      </c>
      <c r="H335" s="8">
        <v>0</v>
      </c>
      <c r="I335" s="8">
        <f t="shared" si="6"/>
        <v>28761.490000000009</v>
      </c>
      <c r="J335" s="12"/>
    </row>
    <row r="336" spans="3:10" hidden="1" x14ac:dyDescent="0.25">
      <c r="C336" s="9"/>
      <c r="D336" s="10">
        <v>45703</v>
      </c>
      <c r="E336" t="s">
        <v>7947</v>
      </c>
      <c r="F336" s="11" t="s">
        <v>1275</v>
      </c>
      <c r="G336" s="8">
        <v>4.29</v>
      </c>
      <c r="H336" s="8">
        <v>0</v>
      </c>
      <c r="I336" s="8">
        <f t="shared" si="6"/>
        <v>28765.78000000001</v>
      </c>
      <c r="J336" s="12"/>
    </row>
    <row r="337" spans="3:10" hidden="1" x14ac:dyDescent="0.25">
      <c r="C337" s="9"/>
      <c r="D337" s="10">
        <v>45703</v>
      </c>
      <c r="E337" t="s">
        <v>7957</v>
      </c>
      <c r="F337" s="11" t="s">
        <v>212</v>
      </c>
      <c r="G337" s="8">
        <v>571.55999999999995</v>
      </c>
      <c r="H337" s="8">
        <v>0</v>
      </c>
      <c r="I337" s="8">
        <f t="shared" ref="I337:I400" si="7">G337-H337+I336</f>
        <v>29337.340000000011</v>
      </c>
      <c r="J337" s="12"/>
    </row>
    <row r="338" spans="3:10" hidden="1" x14ac:dyDescent="0.25">
      <c r="C338" s="9"/>
      <c r="D338" s="10">
        <v>45703</v>
      </c>
      <c r="E338" t="s">
        <v>7957</v>
      </c>
      <c r="F338" s="11" t="s">
        <v>214</v>
      </c>
      <c r="G338" s="8">
        <v>-49.13</v>
      </c>
      <c r="H338" s="8">
        <v>0</v>
      </c>
      <c r="I338" s="8">
        <f t="shared" si="7"/>
        <v>29288.21000000001</v>
      </c>
      <c r="J338" s="12"/>
    </row>
    <row r="339" spans="3:10" hidden="1" x14ac:dyDescent="0.25">
      <c r="C339" s="9"/>
      <c r="D339" s="10">
        <v>45703</v>
      </c>
      <c r="E339" t="s">
        <v>7949</v>
      </c>
      <c r="F339" s="11" t="s">
        <v>939</v>
      </c>
      <c r="G339" s="8">
        <v>270.33999999999997</v>
      </c>
      <c r="H339" s="8">
        <v>0</v>
      </c>
      <c r="I339" s="8">
        <f t="shared" si="7"/>
        <v>29558.55000000001</v>
      </c>
      <c r="J339" s="12"/>
    </row>
    <row r="340" spans="3:10" hidden="1" x14ac:dyDescent="0.25">
      <c r="C340" s="9"/>
      <c r="D340" s="10">
        <v>45703</v>
      </c>
      <c r="E340" t="s">
        <v>7885</v>
      </c>
      <c r="F340" s="11" t="s">
        <v>104</v>
      </c>
      <c r="G340" s="8">
        <v>124.75</v>
      </c>
      <c r="H340" s="8">
        <v>0</v>
      </c>
      <c r="I340" s="8">
        <f t="shared" si="7"/>
        <v>29683.30000000001</v>
      </c>
      <c r="J340" s="12"/>
    </row>
    <row r="341" spans="3:10" hidden="1" x14ac:dyDescent="0.25">
      <c r="C341" s="9"/>
      <c r="D341" s="10">
        <v>45703</v>
      </c>
      <c r="E341" t="s">
        <v>7945</v>
      </c>
      <c r="F341" s="11" t="s">
        <v>1207</v>
      </c>
      <c r="G341" s="8">
        <v>113.58</v>
      </c>
      <c r="H341" s="8">
        <v>0</v>
      </c>
      <c r="I341" s="8">
        <f t="shared" si="7"/>
        <v>29796.880000000012</v>
      </c>
      <c r="J341" s="12"/>
    </row>
    <row r="342" spans="3:10" hidden="1" x14ac:dyDescent="0.25">
      <c r="C342" s="9"/>
      <c r="D342" s="10">
        <v>45703</v>
      </c>
      <c r="E342" t="s">
        <v>7886</v>
      </c>
      <c r="F342" s="11" t="s">
        <v>8051</v>
      </c>
      <c r="G342" s="8">
        <v>91.04</v>
      </c>
      <c r="H342" s="8">
        <v>0</v>
      </c>
      <c r="I342" s="8">
        <f t="shared" si="7"/>
        <v>29887.920000000013</v>
      </c>
      <c r="J342" s="12"/>
    </row>
    <row r="343" spans="3:10" hidden="1" x14ac:dyDescent="0.25">
      <c r="C343" s="9"/>
      <c r="D343" s="10">
        <v>45703</v>
      </c>
      <c r="E343" t="s">
        <v>7954</v>
      </c>
      <c r="F343" s="11" t="s">
        <v>239</v>
      </c>
      <c r="G343" s="8">
        <v>140.31</v>
      </c>
      <c r="H343" s="8">
        <v>0</v>
      </c>
      <c r="I343" s="8">
        <f t="shared" si="7"/>
        <v>30028.230000000014</v>
      </c>
      <c r="J343" s="12"/>
    </row>
    <row r="344" spans="3:10" hidden="1" x14ac:dyDescent="0.25">
      <c r="C344" s="9"/>
      <c r="D344" s="10">
        <v>45703</v>
      </c>
      <c r="E344" t="s">
        <v>7926</v>
      </c>
      <c r="F344" s="11" t="s">
        <v>1185</v>
      </c>
      <c r="G344" s="8">
        <v>127.88</v>
      </c>
      <c r="H344" s="8">
        <v>0</v>
      </c>
      <c r="I344" s="8">
        <f t="shared" si="7"/>
        <v>30156.110000000015</v>
      </c>
      <c r="J344" s="12"/>
    </row>
    <row r="345" spans="3:10" hidden="1" x14ac:dyDescent="0.25">
      <c r="C345" s="9"/>
      <c r="D345" s="10">
        <v>45703</v>
      </c>
      <c r="E345" t="s">
        <v>7956</v>
      </c>
      <c r="F345" s="11" t="s">
        <v>302</v>
      </c>
      <c r="G345" s="8">
        <v>120.08</v>
      </c>
      <c r="H345" s="8">
        <v>0</v>
      </c>
      <c r="I345" s="8">
        <f t="shared" si="7"/>
        <v>30276.190000000017</v>
      </c>
      <c r="J345" s="12"/>
    </row>
    <row r="346" spans="3:10" hidden="1" x14ac:dyDescent="0.25">
      <c r="C346" s="9"/>
      <c r="D346" s="10">
        <v>45703</v>
      </c>
      <c r="E346" t="s">
        <v>8009</v>
      </c>
      <c r="F346" s="11" t="s">
        <v>8052</v>
      </c>
      <c r="G346" s="8">
        <v>24.96</v>
      </c>
      <c r="H346" s="8">
        <v>0</v>
      </c>
      <c r="I346" s="8">
        <f t="shared" si="7"/>
        <v>30301.150000000016</v>
      </c>
      <c r="J346" s="12"/>
    </row>
    <row r="347" spans="3:10" hidden="1" x14ac:dyDescent="0.25">
      <c r="C347" s="9"/>
      <c r="D347" s="10">
        <v>45703</v>
      </c>
      <c r="E347" t="s">
        <v>7955</v>
      </c>
      <c r="F347" s="11" t="s">
        <v>861</v>
      </c>
      <c r="G347" s="8">
        <v>76.430000000000007</v>
      </c>
      <c r="H347" s="8">
        <v>0</v>
      </c>
      <c r="I347" s="8">
        <f t="shared" si="7"/>
        <v>30377.580000000016</v>
      </c>
      <c r="J347" s="12"/>
    </row>
    <row r="348" spans="3:10" hidden="1" x14ac:dyDescent="0.25">
      <c r="C348" s="9"/>
      <c r="D348" s="10">
        <v>45703</v>
      </c>
      <c r="E348" t="s">
        <v>8053</v>
      </c>
      <c r="F348" s="11" t="s">
        <v>972</v>
      </c>
      <c r="G348" s="8">
        <v>96.11</v>
      </c>
      <c r="H348" s="8">
        <v>0</v>
      </c>
      <c r="I348" s="8">
        <f t="shared" si="7"/>
        <v>30473.690000000017</v>
      </c>
      <c r="J348" s="12"/>
    </row>
    <row r="349" spans="3:10" hidden="1" x14ac:dyDescent="0.25">
      <c r="C349" s="9"/>
      <c r="D349" s="10">
        <v>45703</v>
      </c>
      <c r="E349" t="s">
        <v>7966</v>
      </c>
      <c r="F349" s="11" t="s">
        <v>129</v>
      </c>
      <c r="G349" s="8">
        <v>918.24</v>
      </c>
      <c r="H349" s="8">
        <v>0</v>
      </c>
      <c r="I349" s="8">
        <f t="shared" si="7"/>
        <v>31391.930000000018</v>
      </c>
      <c r="J349" s="12"/>
    </row>
    <row r="350" spans="3:10" hidden="1" x14ac:dyDescent="0.25">
      <c r="C350" s="9"/>
      <c r="D350" s="10">
        <v>45703</v>
      </c>
      <c r="E350" t="s">
        <v>7963</v>
      </c>
      <c r="F350" s="11" t="s">
        <v>800</v>
      </c>
      <c r="G350" s="8">
        <v>248.98</v>
      </c>
      <c r="H350" s="8">
        <v>0</v>
      </c>
      <c r="I350" s="8">
        <f t="shared" si="7"/>
        <v>31640.910000000018</v>
      </c>
      <c r="J350" s="12"/>
    </row>
    <row r="351" spans="3:10" hidden="1" x14ac:dyDescent="0.25">
      <c r="C351" s="9"/>
      <c r="D351" s="10">
        <v>45703</v>
      </c>
      <c r="E351" t="s">
        <v>8054</v>
      </c>
      <c r="F351" s="11" t="s">
        <v>1408</v>
      </c>
      <c r="G351" s="8">
        <v>230.37</v>
      </c>
      <c r="H351" s="8">
        <v>0</v>
      </c>
      <c r="I351" s="8">
        <f t="shared" si="7"/>
        <v>31871.280000000017</v>
      </c>
      <c r="J351" s="12"/>
    </row>
    <row r="352" spans="3:10" hidden="1" x14ac:dyDescent="0.25">
      <c r="C352" s="9"/>
      <c r="D352" s="10">
        <v>45703</v>
      </c>
      <c r="E352" t="s">
        <v>7961</v>
      </c>
      <c r="F352" s="11" t="s">
        <v>1376</v>
      </c>
      <c r="G352" s="8">
        <v>241.87</v>
      </c>
      <c r="H352" s="8">
        <v>0</v>
      </c>
      <c r="I352" s="8">
        <f t="shared" si="7"/>
        <v>32113.150000000016</v>
      </c>
      <c r="J352" s="12"/>
    </row>
    <row r="353" spans="3:10" hidden="1" x14ac:dyDescent="0.25">
      <c r="C353" s="9"/>
      <c r="D353" s="10">
        <v>45703</v>
      </c>
      <c r="E353" t="s">
        <v>7959</v>
      </c>
      <c r="F353" s="11" t="s">
        <v>1071</v>
      </c>
      <c r="G353" s="8">
        <v>339.65</v>
      </c>
      <c r="H353" s="8">
        <v>0</v>
      </c>
      <c r="I353" s="8">
        <f t="shared" si="7"/>
        <v>32452.800000000017</v>
      </c>
      <c r="J353" s="12"/>
    </row>
    <row r="354" spans="3:10" hidden="1" x14ac:dyDescent="0.25">
      <c r="C354" s="9"/>
      <c r="D354" s="10">
        <v>45703</v>
      </c>
      <c r="E354" t="s">
        <v>7966</v>
      </c>
      <c r="F354" s="11" t="s">
        <v>131</v>
      </c>
      <c r="G354" s="8">
        <v>51.16</v>
      </c>
      <c r="H354" s="8">
        <v>0</v>
      </c>
      <c r="I354" s="8">
        <f t="shared" si="7"/>
        <v>32503.960000000017</v>
      </c>
      <c r="J354" s="12"/>
    </row>
    <row r="355" spans="3:10" hidden="1" x14ac:dyDescent="0.25">
      <c r="C355" s="9"/>
      <c r="D355" s="10">
        <v>45703</v>
      </c>
      <c r="E355" t="s">
        <v>8012</v>
      </c>
      <c r="F355" s="11" t="s">
        <v>699</v>
      </c>
      <c r="G355" s="8">
        <v>85.86</v>
      </c>
      <c r="H355" s="8">
        <v>0</v>
      </c>
      <c r="I355" s="8">
        <f t="shared" si="7"/>
        <v>32589.820000000018</v>
      </c>
      <c r="J355" s="12"/>
    </row>
    <row r="356" spans="3:10" hidden="1" x14ac:dyDescent="0.25">
      <c r="C356" s="9"/>
      <c r="D356" s="10">
        <v>45703</v>
      </c>
      <c r="E356" t="s">
        <v>7912</v>
      </c>
      <c r="F356" s="11" t="s">
        <v>417</v>
      </c>
      <c r="G356" s="8">
        <v>720.85</v>
      </c>
      <c r="H356" s="8">
        <v>0</v>
      </c>
      <c r="I356" s="8">
        <f t="shared" si="7"/>
        <v>33310.67000000002</v>
      </c>
      <c r="J356" s="12"/>
    </row>
    <row r="357" spans="3:10" hidden="1" x14ac:dyDescent="0.25">
      <c r="C357" s="9"/>
      <c r="D357" s="10">
        <v>45703</v>
      </c>
      <c r="E357" t="s">
        <v>8004</v>
      </c>
      <c r="F357" s="11" t="s">
        <v>1388</v>
      </c>
      <c r="G357" s="8">
        <v>24.4</v>
      </c>
      <c r="H357" s="8">
        <v>0</v>
      </c>
      <c r="I357" s="8">
        <f t="shared" si="7"/>
        <v>33335.070000000022</v>
      </c>
      <c r="J357" s="12"/>
    </row>
    <row r="358" spans="3:10" hidden="1" x14ac:dyDescent="0.25">
      <c r="C358" s="9"/>
      <c r="D358" s="10">
        <v>45705</v>
      </c>
      <c r="E358" t="s">
        <v>7973</v>
      </c>
      <c r="F358" s="11" t="s">
        <v>524</v>
      </c>
      <c r="G358" s="8">
        <v>28.86</v>
      </c>
      <c r="H358" s="8">
        <v>0</v>
      </c>
      <c r="I358" s="8">
        <f t="shared" si="7"/>
        <v>33363.930000000022</v>
      </c>
      <c r="J358" s="12"/>
    </row>
    <row r="359" spans="3:10" hidden="1" x14ac:dyDescent="0.25">
      <c r="C359" s="9"/>
      <c r="D359" s="10">
        <v>45705</v>
      </c>
      <c r="E359" t="s">
        <v>7917</v>
      </c>
      <c r="F359" s="11" t="s">
        <v>1344</v>
      </c>
      <c r="G359" s="8">
        <v>130.62</v>
      </c>
      <c r="H359" s="8">
        <v>0</v>
      </c>
      <c r="I359" s="8">
        <f t="shared" si="7"/>
        <v>33494.550000000025</v>
      </c>
      <c r="J359" s="12"/>
    </row>
    <row r="360" spans="3:10" hidden="1" x14ac:dyDescent="0.25">
      <c r="C360" s="9"/>
      <c r="D360" s="10">
        <v>45705</v>
      </c>
      <c r="E360" t="s">
        <v>7880</v>
      </c>
      <c r="F360" s="11" t="s">
        <v>501</v>
      </c>
      <c r="G360" s="8">
        <v>16.309999999999999</v>
      </c>
      <c r="H360" s="8">
        <v>0</v>
      </c>
      <c r="I360" s="8">
        <f t="shared" si="7"/>
        <v>33510.860000000022</v>
      </c>
      <c r="J360" s="12"/>
    </row>
    <row r="361" spans="3:10" hidden="1" x14ac:dyDescent="0.25">
      <c r="C361" s="9"/>
      <c r="D361" s="10">
        <v>45705</v>
      </c>
      <c r="E361" t="s">
        <v>7960</v>
      </c>
      <c r="F361" s="11" t="s">
        <v>782</v>
      </c>
      <c r="G361" s="8">
        <v>75.58</v>
      </c>
      <c r="H361" s="8">
        <v>0</v>
      </c>
      <c r="I361" s="8">
        <f t="shared" si="7"/>
        <v>33586.440000000024</v>
      </c>
      <c r="J361" s="12"/>
    </row>
    <row r="362" spans="3:10" hidden="1" x14ac:dyDescent="0.25">
      <c r="C362" s="9"/>
      <c r="D362" s="10">
        <v>45706</v>
      </c>
      <c r="E362" t="s">
        <v>7917</v>
      </c>
      <c r="F362" s="11" t="s">
        <v>1346</v>
      </c>
      <c r="G362" s="8">
        <v>107.1</v>
      </c>
      <c r="H362" s="8">
        <v>0</v>
      </c>
      <c r="I362" s="8">
        <f t="shared" si="7"/>
        <v>33693.540000000023</v>
      </c>
      <c r="J362" s="12"/>
    </row>
    <row r="363" spans="3:10" hidden="1" x14ac:dyDescent="0.25">
      <c r="C363" s="9"/>
      <c r="D363" s="10">
        <v>45706</v>
      </c>
      <c r="E363" t="s">
        <v>8055</v>
      </c>
      <c r="F363" s="11" t="s">
        <v>486</v>
      </c>
      <c r="G363" s="8">
        <v>93.67</v>
      </c>
      <c r="H363" s="8">
        <v>0</v>
      </c>
      <c r="I363" s="8">
        <f t="shared" si="7"/>
        <v>33787.210000000021</v>
      </c>
      <c r="J363" s="12"/>
    </row>
    <row r="364" spans="3:10" hidden="1" x14ac:dyDescent="0.25">
      <c r="C364" s="9"/>
      <c r="D364" s="10">
        <v>45707</v>
      </c>
      <c r="E364" t="s">
        <v>8056</v>
      </c>
      <c r="F364" s="11" t="s">
        <v>894</v>
      </c>
      <c r="G364" s="8">
        <v>37.659999999999997</v>
      </c>
      <c r="H364" s="8">
        <v>0</v>
      </c>
      <c r="I364" s="8">
        <f t="shared" si="7"/>
        <v>33824.870000000024</v>
      </c>
      <c r="J364" s="12"/>
    </row>
    <row r="365" spans="3:10" hidden="1" x14ac:dyDescent="0.25">
      <c r="C365" s="9"/>
      <c r="D365" s="10">
        <v>45707</v>
      </c>
      <c r="E365" t="s">
        <v>7942</v>
      </c>
      <c r="F365" s="11" t="s">
        <v>773</v>
      </c>
      <c r="G365" s="8">
        <v>-30.94</v>
      </c>
      <c r="H365" s="8">
        <v>0</v>
      </c>
      <c r="I365" s="8">
        <f t="shared" si="7"/>
        <v>33793.930000000022</v>
      </c>
      <c r="J365" s="12"/>
    </row>
    <row r="366" spans="3:10" hidden="1" x14ac:dyDescent="0.25">
      <c r="C366" s="9"/>
      <c r="D366" s="10">
        <v>45707</v>
      </c>
      <c r="E366" t="s">
        <v>7930</v>
      </c>
      <c r="F366" s="11" t="s">
        <v>540</v>
      </c>
      <c r="G366" s="8">
        <v>31.26</v>
      </c>
      <c r="H366" s="8">
        <v>0</v>
      </c>
      <c r="I366" s="8">
        <f t="shared" si="7"/>
        <v>33825.190000000024</v>
      </c>
      <c r="J366" s="12"/>
    </row>
    <row r="367" spans="3:10" hidden="1" x14ac:dyDescent="0.25">
      <c r="C367" s="9"/>
      <c r="D367" s="10">
        <v>45707</v>
      </c>
      <c r="E367" t="s">
        <v>7979</v>
      </c>
      <c r="F367" s="11" t="s">
        <v>84</v>
      </c>
      <c r="G367" s="8">
        <v>2655.08</v>
      </c>
      <c r="H367" s="8">
        <v>0</v>
      </c>
      <c r="I367" s="8">
        <f t="shared" si="7"/>
        <v>36480.270000000026</v>
      </c>
      <c r="J367" s="12"/>
    </row>
    <row r="368" spans="3:10" hidden="1" x14ac:dyDescent="0.25">
      <c r="C368" s="9"/>
      <c r="D368" s="10">
        <v>45707</v>
      </c>
      <c r="E368" t="s">
        <v>7983</v>
      </c>
      <c r="F368" s="11" t="s">
        <v>611</v>
      </c>
      <c r="G368" s="8">
        <v>58.63</v>
      </c>
      <c r="H368" s="8">
        <v>0</v>
      </c>
      <c r="I368" s="8">
        <f t="shared" si="7"/>
        <v>36538.900000000023</v>
      </c>
      <c r="J368" s="12"/>
    </row>
    <row r="369" spans="3:10" hidden="1" x14ac:dyDescent="0.25">
      <c r="C369" s="9"/>
      <c r="D369" s="10">
        <v>45707</v>
      </c>
      <c r="E369" t="s">
        <v>7990</v>
      </c>
      <c r="F369" s="11" t="s">
        <v>341</v>
      </c>
      <c r="G369" s="8">
        <v>148.54</v>
      </c>
      <c r="H369" s="8">
        <v>0</v>
      </c>
      <c r="I369" s="8">
        <f t="shared" si="7"/>
        <v>36687.440000000024</v>
      </c>
      <c r="J369" s="12"/>
    </row>
    <row r="370" spans="3:10" hidden="1" x14ac:dyDescent="0.25">
      <c r="C370" s="9"/>
      <c r="D370" s="10">
        <v>45708</v>
      </c>
      <c r="E370" t="s">
        <v>7966</v>
      </c>
      <c r="F370" s="11" t="s">
        <v>133</v>
      </c>
      <c r="G370" s="8">
        <v>-3.36</v>
      </c>
      <c r="H370" s="8">
        <v>0</v>
      </c>
      <c r="I370" s="8">
        <f t="shared" si="7"/>
        <v>36684.080000000024</v>
      </c>
      <c r="J370" s="12"/>
    </row>
    <row r="371" spans="3:10" hidden="1" x14ac:dyDescent="0.25">
      <c r="C371" s="9"/>
      <c r="D371" s="10">
        <v>45708</v>
      </c>
      <c r="E371" t="s">
        <v>8057</v>
      </c>
      <c r="F371" s="11" t="s">
        <v>8058</v>
      </c>
      <c r="G371" s="8">
        <v>89.97</v>
      </c>
      <c r="H371" s="8">
        <v>0</v>
      </c>
      <c r="I371" s="8">
        <f t="shared" si="7"/>
        <v>36774.050000000025</v>
      </c>
      <c r="J371" s="12"/>
    </row>
    <row r="372" spans="3:10" hidden="1" x14ac:dyDescent="0.25">
      <c r="C372" s="9"/>
      <c r="D372" s="10">
        <v>45708</v>
      </c>
      <c r="E372" t="s">
        <v>8059</v>
      </c>
      <c r="F372" s="11" t="s">
        <v>472</v>
      </c>
      <c r="G372" s="8">
        <v>1.26</v>
      </c>
      <c r="H372" s="8">
        <v>0</v>
      </c>
      <c r="I372" s="8">
        <f t="shared" si="7"/>
        <v>36775.310000000027</v>
      </c>
      <c r="J372" s="12"/>
    </row>
    <row r="373" spans="3:10" hidden="1" x14ac:dyDescent="0.25">
      <c r="C373" s="9"/>
      <c r="D373" s="10">
        <v>45708</v>
      </c>
      <c r="E373" t="s">
        <v>8002</v>
      </c>
      <c r="F373" s="11" t="s">
        <v>1007</v>
      </c>
      <c r="G373" s="8">
        <v>10.4</v>
      </c>
      <c r="H373" s="8">
        <v>0</v>
      </c>
      <c r="I373" s="8">
        <f t="shared" si="7"/>
        <v>36785.710000000028</v>
      </c>
      <c r="J373" s="12"/>
    </row>
    <row r="374" spans="3:10" hidden="1" x14ac:dyDescent="0.25">
      <c r="C374" s="9"/>
      <c r="D374" s="10">
        <v>45708</v>
      </c>
      <c r="E374" t="s">
        <v>8060</v>
      </c>
      <c r="F374" s="11" t="s">
        <v>928</v>
      </c>
      <c r="G374" s="8">
        <v>65.67</v>
      </c>
      <c r="H374" s="8">
        <v>0</v>
      </c>
      <c r="I374" s="8">
        <f t="shared" si="7"/>
        <v>36851.380000000026</v>
      </c>
      <c r="J374" s="12"/>
    </row>
    <row r="375" spans="3:10" hidden="1" x14ac:dyDescent="0.25">
      <c r="C375" s="9"/>
      <c r="D375" s="10">
        <v>45708</v>
      </c>
      <c r="E375" t="s">
        <v>8061</v>
      </c>
      <c r="F375" s="11" t="s">
        <v>1114</v>
      </c>
      <c r="G375" s="8">
        <v>104.5</v>
      </c>
      <c r="H375" s="8">
        <v>0</v>
      </c>
      <c r="I375" s="8">
        <f t="shared" si="7"/>
        <v>36955.880000000026</v>
      </c>
      <c r="J375" s="12"/>
    </row>
    <row r="376" spans="3:10" hidden="1" x14ac:dyDescent="0.25">
      <c r="C376" s="9"/>
      <c r="D376" s="10">
        <v>45708</v>
      </c>
      <c r="E376" t="s">
        <v>7912</v>
      </c>
      <c r="F376" s="11" t="s">
        <v>419</v>
      </c>
      <c r="G376" s="8">
        <v>379.81</v>
      </c>
      <c r="H376" s="8">
        <v>0</v>
      </c>
      <c r="I376" s="8">
        <f t="shared" si="7"/>
        <v>37335.690000000024</v>
      </c>
      <c r="J376" s="12"/>
    </row>
    <row r="377" spans="3:10" hidden="1" x14ac:dyDescent="0.25">
      <c r="C377" s="9"/>
      <c r="D377" s="10">
        <v>45708</v>
      </c>
      <c r="E377" t="s">
        <v>8062</v>
      </c>
      <c r="F377" s="11" t="s">
        <v>8063</v>
      </c>
      <c r="G377" s="8">
        <v>-258.83999999999997</v>
      </c>
      <c r="H377" s="8">
        <v>0</v>
      </c>
      <c r="I377" s="8">
        <f t="shared" si="7"/>
        <v>37076.850000000028</v>
      </c>
      <c r="J377" s="12"/>
    </row>
    <row r="378" spans="3:10" hidden="1" x14ac:dyDescent="0.25">
      <c r="C378" s="9"/>
      <c r="D378" s="10">
        <v>45708</v>
      </c>
      <c r="E378" t="s">
        <v>7976</v>
      </c>
      <c r="F378" s="11" t="s">
        <v>478</v>
      </c>
      <c r="G378" s="8">
        <v>-71.69</v>
      </c>
      <c r="H378" s="8">
        <v>0</v>
      </c>
      <c r="I378" s="8">
        <f t="shared" si="7"/>
        <v>37005.160000000025</v>
      </c>
      <c r="J378" s="12"/>
    </row>
    <row r="379" spans="3:10" hidden="1" x14ac:dyDescent="0.25">
      <c r="C379" s="9"/>
      <c r="D379" s="10">
        <v>45709</v>
      </c>
      <c r="E379" t="s">
        <v>7927</v>
      </c>
      <c r="F379" s="11" t="s">
        <v>1437</v>
      </c>
      <c r="G379" s="8">
        <v>0.24</v>
      </c>
      <c r="H379" s="8">
        <v>0</v>
      </c>
      <c r="I379" s="8">
        <f t="shared" si="7"/>
        <v>37005.400000000023</v>
      </c>
      <c r="J379" s="12"/>
    </row>
    <row r="380" spans="3:10" hidden="1" x14ac:dyDescent="0.25">
      <c r="C380" s="9"/>
      <c r="D380" s="10">
        <v>45709</v>
      </c>
      <c r="E380" t="s">
        <v>7919</v>
      </c>
      <c r="F380" s="11" t="s">
        <v>655</v>
      </c>
      <c r="G380" s="8">
        <v>77.400000000000006</v>
      </c>
      <c r="H380" s="8">
        <v>0</v>
      </c>
      <c r="I380" s="8">
        <f t="shared" si="7"/>
        <v>37082.800000000025</v>
      </c>
      <c r="J380" s="12"/>
    </row>
    <row r="381" spans="3:10" hidden="1" x14ac:dyDescent="0.25">
      <c r="C381" s="9"/>
      <c r="D381" s="10">
        <v>45709</v>
      </c>
      <c r="E381" t="s">
        <v>7918</v>
      </c>
      <c r="F381" s="11" t="s">
        <v>1160</v>
      </c>
      <c r="G381" s="8">
        <v>248.12</v>
      </c>
      <c r="H381" s="8">
        <v>0</v>
      </c>
      <c r="I381" s="8">
        <f t="shared" si="7"/>
        <v>37330.920000000027</v>
      </c>
      <c r="J381" s="12"/>
    </row>
    <row r="382" spans="3:10" hidden="1" x14ac:dyDescent="0.25">
      <c r="C382" s="9"/>
      <c r="D382" s="10">
        <v>45712</v>
      </c>
      <c r="E382" t="s">
        <v>8056</v>
      </c>
      <c r="F382" s="11" t="s">
        <v>896</v>
      </c>
      <c r="G382" s="8">
        <v>23.96</v>
      </c>
      <c r="H382" s="8">
        <v>0</v>
      </c>
      <c r="I382" s="8">
        <f t="shared" si="7"/>
        <v>37354.880000000026</v>
      </c>
      <c r="J382" s="12"/>
    </row>
    <row r="383" spans="3:10" hidden="1" x14ac:dyDescent="0.25">
      <c r="C383" s="9"/>
      <c r="D383" s="10">
        <v>45712</v>
      </c>
      <c r="E383" t="s">
        <v>7978</v>
      </c>
      <c r="F383" s="11" t="s">
        <v>1252</v>
      </c>
      <c r="G383" s="8">
        <v>133.21</v>
      </c>
      <c r="H383" s="8">
        <v>0</v>
      </c>
      <c r="I383" s="8">
        <f t="shared" si="7"/>
        <v>37488.090000000026</v>
      </c>
      <c r="J383" s="12"/>
    </row>
    <row r="384" spans="3:10" hidden="1" x14ac:dyDescent="0.25">
      <c r="C384" s="9"/>
      <c r="D384" s="10">
        <v>45712</v>
      </c>
      <c r="E384" t="s">
        <v>8064</v>
      </c>
      <c r="F384" s="11" t="s">
        <v>512</v>
      </c>
      <c r="G384" s="8">
        <v>105.1</v>
      </c>
      <c r="H384" s="8">
        <v>0</v>
      </c>
      <c r="I384" s="8">
        <f t="shared" si="7"/>
        <v>37593.190000000024</v>
      </c>
      <c r="J384" s="12"/>
    </row>
    <row r="385" spans="3:10" hidden="1" x14ac:dyDescent="0.25">
      <c r="C385" s="9"/>
      <c r="D385" s="10">
        <v>45713</v>
      </c>
      <c r="E385" t="s">
        <v>7905</v>
      </c>
      <c r="F385" s="11" t="s">
        <v>55</v>
      </c>
      <c r="G385" s="8">
        <v>25.49</v>
      </c>
      <c r="H385" s="8">
        <v>0</v>
      </c>
      <c r="I385" s="8">
        <f t="shared" si="7"/>
        <v>37618.680000000022</v>
      </c>
      <c r="J385" s="12"/>
    </row>
    <row r="386" spans="3:10" hidden="1" x14ac:dyDescent="0.25">
      <c r="C386" s="9"/>
      <c r="D386" s="10">
        <v>45713</v>
      </c>
      <c r="E386" t="s">
        <v>7984</v>
      </c>
      <c r="F386" s="11" t="s">
        <v>998</v>
      </c>
      <c r="G386" s="8">
        <v>74.73</v>
      </c>
      <c r="H386" s="8">
        <v>0</v>
      </c>
      <c r="I386" s="8">
        <f t="shared" si="7"/>
        <v>37693.410000000025</v>
      </c>
      <c r="J386" s="12"/>
    </row>
    <row r="387" spans="3:10" hidden="1" x14ac:dyDescent="0.25">
      <c r="C387" s="9"/>
      <c r="D387" s="10">
        <v>45713</v>
      </c>
      <c r="E387" t="s">
        <v>7938</v>
      </c>
      <c r="F387" s="11" t="s">
        <v>923</v>
      </c>
      <c r="G387" s="8">
        <v>218.51</v>
      </c>
      <c r="H387" s="8">
        <v>0</v>
      </c>
      <c r="I387" s="8">
        <f t="shared" si="7"/>
        <v>37911.920000000027</v>
      </c>
      <c r="J387" s="12"/>
    </row>
    <row r="388" spans="3:10" hidden="1" x14ac:dyDescent="0.25">
      <c r="C388" s="9"/>
      <c r="D388" s="10">
        <v>45713</v>
      </c>
      <c r="E388" t="s">
        <v>7917</v>
      </c>
      <c r="F388" s="11" t="s">
        <v>1348</v>
      </c>
      <c r="G388" s="8">
        <v>57.71</v>
      </c>
      <c r="H388" s="8">
        <v>0</v>
      </c>
      <c r="I388" s="8">
        <f t="shared" si="7"/>
        <v>37969.630000000026</v>
      </c>
      <c r="J388" s="12"/>
    </row>
    <row r="389" spans="3:10" hidden="1" x14ac:dyDescent="0.25">
      <c r="C389" s="9"/>
      <c r="D389" s="10">
        <v>45713</v>
      </c>
      <c r="E389" t="s">
        <v>7917</v>
      </c>
      <c r="F389" s="11" t="s">
        <v>1350</v>
      </c>
      <c r="G389" s="8">
        <v>262.77</v>
      </c>
      <c r="H389" s="8">
        <v>0</v>
      </c>
      <c r="I389" s="8">
        <f t="shared" si="7"/>
        <v>38232.400000000023</v>
      </c>
      <c r="J389" s="12"/>
    </row>
    <row r="390" spans="3:10" hidden="1" x14ac:dyDescent="0.25">
      <c r="C390" s="9"/>
      <c r="D390" s="10">
        <v>45713</v>
      </c>
      <c r="E390" t="s">
        <v>7912</v>
      </c>
      <c r="F390" s="11" t="s">
        <v>421</v>
      </c>
      <c r="G390" s="8">
        <v>64.709999999999994</v>
      </c>
      <c r="H390" s="8">
        <v>0</v>
      </c>
      <c r="I390" s="8">
        <f t="shared" si="7"/>
        <v>38297.110000000022</v>
      </c>
      <c r="J390" s="12"/>
    </row>
    <row r="391" spans="3:10" hidden="1" x14ac:dyDescent="0.25">
      <c r="C391" s="9"/>
      <c r="D391" s="10">
        <v>45713</v>
      </c>
      <c r="E391" t="s">
        <v>7977</v>
      </c>
      <c r="F391" s="11" t="s">
        <v>1054</v>
      </c>
      <c r="G391" s="8">
        <v>16.34</v>
      </c>
      <c r="H391" s="8">
        <v>0</v>
      </c>
      <c r="I391" s="8">
        <f t="shared" si="7"/>
        <v>38313.450000000019</v>
      </c>
      <c r="J391" s="12"/>
    </row>
    <row r="392" spans="3:10" hidden="1" x14ac:dyDescent="0.25">
      <c r="C392" s="9"/>
      <c r="D392" s="10">
        <v>45713</v>
      </c>
      <c r="E392" t="s">
        <v>8065</v>
      </c>
      <c r="F392" s="11" t="s">
        <v>1396</v>
      </c>
      <c r="G392" s="8">
        <v>61.99</v>
      </c>
      <c r="H392" s="8">
        <v>0</v>
      </c>
      <c r="I392" s="8">
        <f t="shared" si="7"/>
        <v>38375.440000000017</v>
      </c>
      <c r="J392" s="12"/>
    </row>
    <row r="393" spans="3:10" hidden="1" x14ac:dyDescent="0.25">
      <c r="C393" s="9"/>
      <c r="D393" s="10">
        <v>45714</v>
      </c>
      <c r="E393" t="s">
        <v>7915</v>
      </c>
      <c r="F393" s="11" t="s">
        <v>559</v>
      </c>
      <c r="G393" s="8">
        <v>127.55</v>
      </c>
      <c r="H393" s="8">
        <v>0</v>
      </c>
      <c r="I393" s="8">
        <f t="shared" si="7"/>
        <v>38502.99000000002</v>
      </c>
      <c r="J393" s="12"/>
    </row>
    <row r="394" spans="3:10" hidden="1" x14ac:dyDescent="0.25">
      <c r="C394" s="9"/>
      <c r="D394" s="10">
        <v>45715</v>
      </c>
      <c r="E394" t="s">
        <v>7890</v>
      </c>
      <c r="F394" s="11" t="s">
        <v>884</v>
      </c>
      <c r="G394" s="8">
        <v>88.64</v>
      </c>
      <c r="H394" s="8">
        <v>0</v>
      </c>
      <c r="I394" s="8">
        <f t="shared" si="7"/>
        <v>38591.630000000019</v>
      </c>
      <c r="J394" s="12"/>
    </row>
    <row r="395" spans="3:10" hidden="1" x14ac:dyDescent="0.25">
      <c r="C395" s="9"/>
      <c r="D395" s="10">
        <v>45715</v>
      </c>
      <c r="E395" t="s">
        <v>8066</v>
      </c>
      <c r="F395" s="11" t="s">
        <v>566</v>
      </c>
      <c r="G395" s="8">
        <v>161.44</v>
      </c>
      <c r="H395" s="8">
        <v>0</v>
      </c>
      <c r="I395" s="8">
        <f t="shared" si="7"/>
        <v>38753.070000000022</v>
      </c>
      <c r="J395" s="12"/>
    </row>
    <row r="396" spans="3:10" hidden="1" x14ac:dyDescent="0.25">
      <c r="C396" s="9"/>
      <c r="D396" s="10">
        <v>45715</v>
      </c>
      <c r="E396" t="s">
        <v>7911</v>
      </c>
      <c r="F396" s="11" t="s">
        <v>27</v>
      </c>
      <c r="G396" s="8">
        <v>239.85</v>
      </c>
      <c r="H396" s="8">
        <v>0</v>
      </c>
      <c r="I396" s="8">
        <f t="shared" si="7"/>
        <v>38992.92000000002</v>
      </c>
      <c r="J396" s="12"/>
    </row>
    <row r="397" spans="3:10" hidden="1" x14ac:dyDescent="0.25">
      <c r="C397" s="9"/>
      <c r="D397" s="10">
        <v>45716</v>
      </c>
      <c r="E397" t="s">
        <v>7991</v>
      </c>
      <c r="F397" s="11" t="s">
        <v>330</v>
      </c>
      <c r="G397" s="8">
        <v>13.61</v>
      </c>
      <c r="H397" s="8">
        <v>0</v>
      </c>
      <c r="I397" s="8">
        <f t="shared" si="7"/>
        <v>39006.530000000021</v>
      </c>
      <c r="J397" s="12"/>
    </row>
    <row r="398" spans="3:10" hidden="1" x14ac:dyDescent="0.25">
      <c r="C398" s="9"/>
      <c r="D398" s="10">
        <v>45716</v>
      </c>
      <c r="E398" t="s">
        <v>7996</v>
      </c>
      <c r="F398" s="11" t="s">
        <v>1102</v>
      </c>
      <c r="G398" s="8">
        <v>13.61</v>
      </c>
      <c r="H398" s="8">
        <v>0</v>
      </c>
      <c r="I398" s="8">
        <f t="shared" si="7"/>
        <v>39020.140000000021</v>
      </c>
      <c r="J398" s="12"/>
    </row>
    <row r="399" spans="3:10" hidden="1" x14ac:dyDescent="0.25">
      <c r="C399" s="9"/>
      <c r="D399" s="10">
        <v>45716</v>
      </c>
      <c r="E399" t="s">
        <v>7998</v>
      </c>
      <c r="F399" s="11" t="s">
        <v>8067</v>
      </c>
      <c r="G399" s="8">
        <v>114.2</v>
      </c>
      <c r="H399" s="8">
        <v>0</v>
      </c>
      <c r="I399" s="8">
        <f t="shared" si="7"/>
        <v>39134.340000000018</v>
      </c>
      <c r="J399" s="12"/>
    </row>
    <row r="400" spans="3:10" hidden="1" x14ac:dyDescent="0.25">
      <c r="C400" s="9"/>
      <c r="D400" s="10">
        <v>45716</v>
      </c>
      <c r="E400" t="s">
        <v>8068</v>
      </c>
      <c r="F400" s="11" t="s">
        <v>8069</v>
      </c>
      <c r="G400" s="8">
        <v>205.3</v>
      </c>
      <c r="H400" s="8">
        <v>0</v>
      </c>
      <c r="I400" s="8">
        <f t="shared" si="7"/>
        <v>39339.640000000021</v>
      </c>
      <c r="J400" s="12"/>
    </row>
    <row r="401" spans="3:10" hidden="1" x14ac:dyDescent="0.25">
      <c r="C401" s="9"/>
      <c r="D401" s="10">
        <v>45716</v>
      </c>
      <c r="E401" t="s">
        <v>7948</v>
      </c>
      <c r="F401" s="11" t="s">
        <v>1131</v>
      </c>
      <c r="G401" s="8">
        <v>15.04</v>
      </c>
      <c r="H401" s="8">
        <v>0</v>
      </c>
      <c r="I401" s="8">
        <f t="shared" ref="I401:I464" si="8">G401-H401+I400</f>
        <v>39354.680000000022</v>
      </c>
      <c r="J401" s="12"/>
    </row>
    <row r="402" spans="3:10" hidden="1" x14ac:dyDescent="0.25">
      <c r="C402" s="9"/>
      <c r="D402" s="10">
        <v>45716</v>
      </c>
      <c r="E402" t="s">
        <v>7955</v>
      </c>
      <c r="F402" s="11" t="s">
        <v>865</v>
      </c>
      <c r="G402" s="8">
        <v>87.57</v>
      </c>
      <c r="H402" s="8">
        <v>0</v>
      </c>
      <c r="I402" s="8">
        <f t="shared" si="8"/>
        <v>39442.250000000022</v>
      </c>
      <c r="J402" s="12"/>
    </row>
    <row r="403" spans="3:10" hidden="1" x14ac:dyDescent="0.25">
      <c r="C403" s="9"/>
      <c r="D403" s="10">
        <v>45716</v>
      </c>
      <c r="E403" t="s">
        <v>7956</v>
      </c>
      <c r="F403" s="11" t="s">
        <v>306</v>
      </c>
      <c r="G403" s="8">
        <v>-56.32</v>
      </c>
      <c r="H403" s="8">
        <v>0</v>
      </c>
      <c r="I403" s="8">
        <f t="shared" si="8"/>
        <v>39385.930000000022</v>
      </c>
      <c r="J403" s="12"/>
    </row>
    <row r="404" spans="3:10" hidden="1" x14ac:dyDescent="0.25">
      <c r="C404" s="9"/>
      <c r="D404" s="10">
        <v>45716</v>
      </c>
      <c r="E404" t="s">
        <v>7956</v>
      </c>
      <c r="F404" s="11" t="s">
        <v>308</v>
      </c>
      <c r="G404" s="8">
        <v>96.04</v>
      </c>
      <c r="H404" s="8">
        <v>0</v>
      </c>
      <c r="I404" s="8">
        <f t="shared" si="8"/>
        <v>39481.970000000023</v>
      </c>
      <c r="J404" s="12"/>
    </row>
    <row r="405" spans="3:10" hidden="1" x14ac:dyDescent="0.25">
      <c r="C405" s="9"/>
      <c r="D405" s="10">
        <v>45716</v>
      </c>
      <c r="E405" t="s">
        <v>8000</v>
      </c>
      <c r="F405" s="11" t="s">
        <v>17</v>
      </c>
      <c r="G405" s="8">
        <v>5.36</v>
      </c>
      <c r="H405" s="8">
        <v>0</v>
      </c>
      <c r="I405" s="8">
        <f t="shared" si="8"/>
        <v>39487.330000000024</v>
      </c>
      <c r="J405" s="12"/>
    </row>
    <row r="406" spans="3:10" hidden="1" x14ac:dyDescent="0.25">
      <c r="C406" s="9"/>
      <c r="D406" s="10">
        <v>45716</v>
      </c>
      <c r="E406" t="s">
        <v>7954</v>
      </c>
      <c r="F406" s="11" t="s">
        <v>242</v>
      </c>
      <c r="G406" s="8">
        <v>82.52</v>
      </c>
      <c r="H406" s="8">
        <v>0</v>
      </c>
      <c r="I406" s="8">
        <f t="shared" si="8"/>
        <v>39569.85000000002</v>
      </c>
      <c r="J406" s="12"/>
    </row>
    <row r="407" spans="3:10" hidden="1" x14ac:dyDescent="0.25">
      <c r="C407" s="9"/>
      <c r="D407" s="10">
        <v>45716</v>
      </c>
      <c r="E407" t="s">
        <v>7997</v>
      </c>
      <c r="F407" s="11" t="s">
        <v>67</v>
      </c>
      <c r="G407" s="8">
        <v>20.2</v>
      </c>
      <c r="H407" s="8">
        <v>0</v>
      </c>
      <c r="I407" s="8">
        <f t="shared" si="8"/>
        <v>39590.050000000017</v>
      </c>
      <c r="J407" s="12"/>
    </row>
    <row r="408" spans="3:10" hidden="1" x14ac:dyDescent="0.25">
      <c r="C408" s="9"/>
      <c r="D408" s="10">
        <v>45716</v>
      </c>
      <c r="E408" t="s">
        <v>7969</v>
      </c>
      <c r="F408" s="11" t="s">
        <v>1500</v>
      </c>
      <c r="G408" s="8">
        <v>111.03</v>
      </c>
      <c r="H408" s="8">
        <v>0</v>
      </c>
      <c r="I408" s="8">
        <f t="shared" si="8"/>
        <v>39701.080000000016</v>
      </c>
      <c r="J408" s="12"/>
    </row>
    <row r="409" spans="3:10" hidden="1" x14ac:dyDescent="0.25">
      <c r="C409" s="9"/>
      <c r="D409" s="10">
        <v>45716</v>
      </c>
      <c r="E409" t="s">
        <v>8003</v>
      </c>
      <c r="F409" s="11" t="s">
        <v>1225</v>
      </c>
      <c r="G409" s="8">
        <v>75.599999999999994</v>
      </c>
      <c r="H409" s="8">
        <v>0</v>
      </c>
      <c r="I409" s="8">
        <f t="shared" si="8"/>
        <v>39776.680000000015</v>
      </c>
      <c r="J409" s="12"/>
    </row>
    <row r="410" spans="3:10" hidden="1" x14ac:dyDescent="0.25">
      <c r="C410" s="9"/>
      <c r="D410" s="10">
        <v>45716</v>
      </c>
      <c r="E410" t="s">
        <v>7947</v>
      </c>
      <c r="F410" s="11" t="s">
        <v>1278</v>
      </c>
      <c r="G410" s="8">
        <v>5.62</v>
      </c>
      <c r="H410" s="8">
        <v>0</v>
      </c>
      <c r="I410" s="8">
        <f t="shared" si="8"/>
        <v>39782.300000000017</v>
      </c>
      <c r="J410" s="12"/>
    </row>
    <row r="411" spans="3:10" hidden="1" x14ac:dyDescent="0.25">
      <c r="C411" s="9"/>
      <c r="D411" s="10">
        <v>45716</v>
      </c>
      <c r="E411" t="s">
        <v>7943</v>
      </c>
      <c r="F411" s="11" t="s">
        <v>1036</v>
      </c>
      <c r="G411" s="8">
        <v>19.43</v>
      </c>
      <c r="H411" s="8">
        <v>0</v>
      </c>
      <c r="I411" s="8">
        <f t="shared" si="8"/>
        <v>39801.730000000018</v>
      </c>
      <c r="J411" s="12"/>
    </row>
    <row r="412" spans="3:10" hidden="1" x14ac:dyDescent="0.25">
      <c r="C412" s="9"/>
      <c r="D412" s="10">
        <v>45716</v>
      </c>
      <c r="E412" t="s">
        <v>7952</v>
      </c>
      <c r="F412" s="11" t="s">
        <v>259</v>
      </c>
      <c r="G412" s="8">
        <v>7.82</v>
      </c>
      <c r="H412" s="8">
        <v>0</v>
      </c>
      <c r="I412" s="8">
        <f t="shared" si="8"/>
        <v>39809.550000000017</v>
      </c>
      <c r="J412" s="12"/>
    </row>
    <row r="413" spans="3:10" hidden="1" x14ac:dyDescent="0.25">
      <c r="C413" s="9"/>
      <c r="D413" s="10">
        <v>45716</v>
      </c>
      <c r="E413" t="s">
        <v>7946</v>
      </c>
      <c r="F413" s="11" t="s">
        <v>593</v>
      </c>
      <c r="G413" s="8">
        <v>29.91</v>
      </c>
      <c r="H413" s="8">
        <v>0</v>
      </c>
      <c r="I413" s="8">
        <f t="shared" si="8"/>
        <v>39839.460000000021</v>
      </c>
      <c r="J413" s="12"/>
    </row>
    <row r="414" spans="3:10" hidden="1" x14ac:dyDescent="0.25">
      <c r="C414" s="9"/>
      <c r="D414" s="10">
        <v>45716</v>
      </c>
      <c r="E414" t="s">
        <v>7977</v>
      </c>
      <c r="F414" s="11" t="s">
        <v>1056</v>
      </c>
      <c r="G414" s="8">
        <v>25.13</v>
      </c>
      <c r="H414" s="8">
        <v>0</v>
      </c>
      <c r="I414" s="8">
        <f t="shared" si="8"/>
        <v>39864.590000000018</v>
      </c>
      <c r="J414" s="12"/>
    </row>
    <row r="415" spans="3:10" hidden="1" x14ac:dyDescent="0.25">
      <c r="C415" s="9"/>
      <c r="D415" s="10">
        <v>45716</v>
      </c>
      <c r="E415" t="s">
        <v>8070</v>
      </c>
      <c r="F415" s="11" t="s">
        <v>281</v>
      </c>
      <c r="G415" s="8">
        <v>11.26</v>
      </c>
      <c r="H415" s="8">
        <v>0</v>
      </c>
      <c r="I415" s="8">
        <f t="shared" si="8"/>
        <v>39875.85000000002</v>
      </c>
      <c r="J415" s="12"/>
    </row>
    <row r="416" spans="3:10" hidden="1" x14ac:dyDescent="0.25">
      <c r="C416" s="9"/>
      <c r="D416" s="10">
        <v>45716</v>
      </c>
      <c r="E416" t="s">
        <v>7885</v>
      </c>
      <c r="F416" s="11" t="s">
        <v>108</v>
      </c>
      <c r="G416" s="8">
        <v>215.23</v>
      </c>
      <c r="H416" s="8">
        <v>0</v>
      </c>
      <c r="I416" s="8">
        <f t="shared" si="8"/>
        <v>40091.080000000024</v>
      </c>
      <c r="J416" s="12"/>
    </row>
    <row r="417" spans="3:10" hidden="1" x14ac:dyDescent="0.25">
      <c r="C417" s="9"/>
      <c r="D417" s="10">
        <v>45716</v>
      </c>
      <c r="E417" t="s">
        <v>7900</v>
      </c>
      <c r="F417" s="11" t="s">
        <v>985</v>
      </c>
      <c r="G417" s="8">
        <v>496.6</v>
      </c>
      <c r="H417" s="8">
        <v>0</v>
      </c>
      <c r="I417" s="8">
        <f t="shared" si="8"/>
        <v>40587.680000000022</v>
      </c>
      <c r="J417" s="12"/>
    </row>
    <row r="418" spans="3:10" hidden="1" x14ac:dyDescent="0.25">
      <c r="C418" s="9"/>
      <c r="D418" s="10">
        <v>45716</v>
      </c>
      <c r="E418" t="s">
        <v>7912</v>
      </c>
      <c r="F418" s="11" t="s">
        <v>423</v>
      </c>
      <c r="G418" s="8">
        <v>231.76</v>
      </c>
      <c r="H418" s="8">
        <v>0</v>
      </c>
      <c r="I418" s="8">
        <f t="shared" si="8"/>
        <v>40819.440000000024</v>
      </c>
      <c r="J418" s="12"/>
    </row>
    <row r="419" spans="3:10" hidden="1" x14ac:dyDescent="0.25">
      <c r="C419" s="9"/>
      <c r="D419" s="10">
        <v>45716</v>
      </c>
      <c r="E419" t="s">
        <v>7966</v>
      </c>
      <c r="F419" s="11" t="s">
        <v>136</v>
      </c>
      <c r="G419" s="8">
        <v>4.34</v>
      </c>
      <c r="H419" s="8">
        <v>0</v>
      </c>
      <c r="I419" s="8">
        <f t="shared" si="8"/>
        <v>40823.780000000021</v>
      </c>
      <c r="J419" s="12"/>
    </row>
    <row r="420" spans="3:10" hidden="1" x14ac:dyDescent="0.25">
      <c r="C420" s="9"/>
      <c r="D420" s="10">
        <v>45716</v>
      </c>
      <c r="E420" t="s">
        <v>7966</v>
      </c>
      <c r="F420" s="11" t="s">
        <v>138</v>
      </c>
      <c r="G420" s="8">
        <v>654.28</v>
      </c>
      <c r="H420" s="8">
        <v>0</v>
      </c>
      <c r="I420" s="8">
        <f t="shared" si="8"/>
        <v>41478.060000000019</v>
      </c>
      <c r="J420" s="12"/>
    </row>
    <row r="421" spans="3:10" hidden="1" x14ac:dyDescent="0.25">
      <c r="C421" s="9"/>
      <c r="D421" s="10">
        <v>45716</v>
      </c>
      <c r="E421" t="s">
        <v>8071</v>
      </c>
      <c r="F421" s="11" t="s">
        <v>443</v>
      </c>
      <c r="G421" s="8">
        <v>75.91</v>
      </c>
      <c r="H421" s="8">
        <v>0</v>
      </c>
      <c r="I421" s="8">
        <f t="shared" si="8"/>
        <v>41553.970000000023</v>
      </c>
      <c r="J421" s="12"/>
    </row>
    <row r="422" spans="3:10" hidden="1" x14ac:dyDescent="0.25">
      <c r="C422" s="9"/>
      <c r="D422" s="10">
        <v>45716</v>
      </c>
      <c r="E422" t="s">
        <v>7983</v>
      </c>
      <c r="F422" s="11" t="s">
        <v>613</v>
      </c>
      <c r="G422" s="8">
        <v>87.91</v>
      </c>
      <c r="H422" s="8">
        <v>0</v>
      </c>
      <c r="I422" s="8">
        <f t="shared" si="8"/>
        <v>41641.880000000026</v>
      </c>
      <c r="J422" s="12"/>
    </row>
    <row r="423" spans="3:10" hidden="1" x14ac:dyDescent="0.25">
      <c r="C423" s="9"/>
      <c r="D423" s="10">
        <v>45716</v>
      </c>
      <c r="E423" t="s">
        <v>7962</v>
      </c>
      <c r="F423" s="11" t="s">
        <v>1297</v>
      </c>
      <c r="G423" s="8">
        <v>1103.43</v>
      </c>
      <c r="H423" s="8">
        <v>0</v>
      </c>
      <c r="I423" s="8">
        <f t="shared" si="8"/>
        <v>42745.310000000027</v>
      </c>
      <c r="J423" s="12"/>
    </row>
    <row r="424" spans="3:10" hidden="1" x14ac:dyDescent="0.25">
      <c r="C424" s="9"/>
      <c r="D424" s="10">
        <v>45716</v>
      </c>
      <c r="E424" t="s">
        <v>7962</v>
      </c>
      <c r="F424" s="11" t="s">
        <v>1299</v>
      </c>
      <c r="G424" s="8">
        <v>-124.79</v>
      </c>
      <c r="H424" s="8">
        <v>0</v>
      </c>
      <c r="I424" s="8">
        <f t="shared" si="8"/>
        <v>42620.520000000026</v>
      </c>
      <c r="J424" s="12"/>
    </row>
    <row r="425" spans="3:10" hidden="1" x14ac:dyDescent="0.25">
      <c r="C425" s="9"/>
      <c r="D425" s="10">
        <v>45716</v>
      </c>
      <c r="E425" t="s">
        <v>7976</v>
      </c>
      <c r="F425" s="11" t="s">
        <v>480</v>
      </c>
      <c r="G425" s="8">
        <v>12.22</v>
      </c>
      <c r="H425" s="8">
        <v>0</v>
      </c>
      <c r="I425" s="8">
        <f t="shared" si="8"/>
        <v>42632.740000000027</v>
      </c>
      <c r="J425" s="12"/>
    </row>
    <row r="426" spans="3:10" hidden="1" x14ac:dyDescent="0.25">
      <c r="C426" s="9"/>
      <c r="D426" s="10">
        <v>45716</v>
      </c>
      <c r="E426" t="s">
        <v>8020</v>
      </c>
      <c r="F426" s="11" t="s">
        <v>376</v>
      </c>
      <c r="G426" s="8">
        <v>233.57</v>
      </c>
      <c r="H426" s="8">
        <v>0</v>
      </c>
      <c r="I426" s="8">
        <f t="shared" si="8"/>
        <v>42866.310000000027</v>
      </c>
      <c r="J426" s="12"/>
    </row>
    <row r="427" spans="3:10" hidden="1" x14ac:dyDescent="0.25">
      <c r="C427" s="9"/>
      <c r="D427" s="10">
        <v>45716</v>
      </c>
      <c r="E427" t="s">
        <v>7953</v>
      </c>
      <c r="F427" s="11" t="s">
        <v>847</v>
      </c>
      <c r="G427" s="8">
        <v>273.83999999999997</v>
      </c>
      <c r="H427" s="8">
        <v>0</v>
      </c>
      <c r="I427" s="8">
        <f t="shared" si="8"/>
        <v>43140.150000000023</v>
      </c>
      <c r="J427" s="12"/>
    </row>
    <row r="428" spans="3:10" hidden="1" x14ac:dyDescent="0.25">
      <c r="C428" s="9"/>
      <c r="D428" s="10">
        <v>45716</v>
      </c>
      <c r="E428" t="s">
        <v>8014</v>
      </c>
      <c r="F428" s="11" t="s">
        <v>914</v>
      </c>
      <c r="G428" s="8">
        <v>48.76</v>
      </c>
      <c r="H428" s="8">
        <v>0</v>
      </c>
      <c r="I428" s="8">
        <f t="shared" si="8"/>
        <v>43188.910000000025</v>
      </c>
      <c r="J428" s="12"/>
    </row>
    <row r="429" spans="3:10" hidden="1" x14ac:dyDescent="0.25">
      <c r="C429" s="9"/>
      <c r="D429" s="10">
        <v>45716</v>
      </c>
      <c r="E429" t="s">
        <v>8024</v>
      </c>
      <c r="F429" s="11" t="s">
        <v>836</v>
      </c>
      <c r="G429" s="8">
        <v>142.35</v>
      </c>
      <c r="H429" s="8">
        <v>0</v>
      </c>
      <c r="I429" s="8">
        <f t="shared" si="8"/>
        <v>43331.260000000024</v>
      </c>
      <c r="J429" s="12"/>
    </row>
    <row r="430" spans="3:10" hidden="1" x14ac:dyDescent="0.25">
      <c r="C430" s="9"/>
      <c r="D430" s="10">
        <v>45716</v>
      </c>
      <c r="E430" t="s">
        <v>8017</v>
      </c>
      <c r="F430" s="11" t="s">
        <v>1092</v>
      </c>
      <c r="G430" s="8">
        <v>49.6</v>
      </c>
      <c r="H430" s="8">
        <v>0</v>
      </c>
      <c r="I430" s="8">
        <f t="shared" si="8"/>
        <v>43380.860000000022</v>
      </c>
      <c r="J430" s="12"/>
    </row>
    <row r="431" spans="3:10" hidden="1" x14ac:dyDescent="0.25">
      <c r="C431" s="9"/>
      <c r="D431" s="10">
        <v>45716</v>
      </c>
      <c r="E431" t="s">
        <v>8006</v>
      </c>
      <c r="F431" s="11" t="s">
        <v>391</v>
      </c>
      <c r="G431" s="8">
        <v>28.53</v>
      </c>
      <c r="H431" s="8">
        <v>0</v>
      </c>
      <c r="I431" s="8">
        <f t="shared" si="8"/>
        <v>43409.390000000021</v>
      </c>
      <c r="J431" s="12"/>
    </row>
    <row r="432" spans="3:10" hidden="1" x14ac:dyDescent="0.25">
      <c r="C432" s="9"/>
      <c r="D432" s="10">
        <v>45716</v>
      </c>
      <c r="E432" t="s">
        <v>7961</v>
      </c>
      <c r="F432" s="11" t="s">
        <v>1379</v>
      </c>
      <c r="G432" s="8">
        <v>322.54000000000002</v>
      </c>
      <c r="H432" s="8">
        <v>0</v>
      </c>
      <c r="I432" s="8">
        <f t="shared" si="8"/>
        <v>43731.930000000022</v>
      </c>
      <c r="J432" s="12"/>
    </row>
    <row r="433" spans="3:10" hidden="1" x14ac:dyDescent="0.25">
      <c r="C433" s="9"/>
      <c r="D433" s="10">
        <v>45716</v>
      </c>
      <c r="E433" t="s">
        <v>7963</v>
      </c>
      <c r="F433" s="11" t="s">
        <v>803</v>
      </c>
      <c r="G433" s="8">
        <v>248.61</v>
      </c>
      <c r="H433" s="8">
        <v>0</v>
      </c>
      <c r="I433" s="8">
        <f t="shared" si="8"/>
        <v>43980.540000000023</v>
      </c>
      <c r="J433" s="12"/>
    </row>
    <row r="434" spans="3:10" hidden="1" x14ac:dyDescent="0.25">
      <c r="C434" s="9"/>
      <c r="D434" s="10">
        <v>45716</v>
      </c>
      <c r="E434" t="s">
        <v>8019</v>
      </c>
      <c r="F434" s="11" t="s">
        <v>322</v>
      </c>
      <c r="G434" s="8">
        <v>212.26</v>
      </c>
      <c r="H434" s="8">
        <v>0</v>
      </c>
      <c r="I434" s="8">
        <f t="shared" si="8"/>
        <v>44192.800000000025</v>
      </c>
      <c r="J434" s="12"/>
    </row>
    <row r="435" spans="3:10" hidden="1" x14ac:dyDescent="0.25">
      <c r="C435" s="9"/>
      <c r="D435" s="10">
        <v>45716</v>
      </c>
      <c r="E435" t="s">
        <v>8019</v>
      </c>
      <c r="F435" s="11" t="s">
        <v>322</v>
      </c>
      <c r="G435" s="8">
        <v>9.36</v>
      </c>
      <c r="H435" s="8">
        <v>0</v>
      </c>
      <c r="I435" s="8">
        <f t="shared" si="8"/>
        <v>44202.160000000025</v>
      </c>
      <c r="J435" s="12"/>
    </row>
    <row r="436" spans="3:10" hidden="1" x14ac:dyDescent="0.25">
      <c r="C436" s="9"/>
      <c r="D436" s="10">
        <v>45716</v>
      </c>
      <c r="E436" t="s">
        <v>8072</v>
      </c>
      <c r="F436" s="11" t="s">
        <v>1084</v>
      </c>
      <c r="G436" s="8">
        <v>174.11</v>
      </c>
      <c r="H436" s="8">
        <v>0</v>
      </c>
      <c r="I436" s="8">
        <f t="shared" si="8"/>
        <v>44376.270000000026</v>
      </c>
      <c r="J436" s="12"/>
    </row>
    <row r="437" spans="3:10" hidden="1" x14ac:dyDescent="0.25">
      <c r="C437" s="9"/>
      <c r="D437" s="10">
        <v>45716</v>
      </c>
      <c r="E437" t="s">
        <v>7979</v>
      </c>
      <c r="F437" s="11" t="s">
        <v>88</v>
      </c>
      <c r="G437" s="8">
        <v>639.01</v>
      </c>
      <c r="H437" s="8">
        <v>0</v>
      </c>
      <c r="I437" s="8">
        <f t="shared" si="8"/>
        <v>45015.280000000028</v>
      </c>
      <c r="J437" s="12"/>
    </row>
    <row r="438" spans="3:10" hidden="1" x14ac:dyDescent="0.25">
      <c r="C438" s="9"/>
      <c r="D438" s="10">
        <v>45716</v>
      </c>
      <c r="E438" t="s">
        <v>7945</v>
      </c>
      <c r="F438" s="11" t="s">
        <v>1210</v>
      </c>
      <c r="G438" s="8">
        <v>134.24</v>
      </c>
      <c r="H438" s="8">
        <v>0</v>
      </c>
      <c r="I438" s="8">
        <f t="shared" si="8"/>
        <v>45149.520000000026</v>
      </c>
      <c r="J438" s="12"/>
    </row>
    <row r="439" spans="3:10" hidden="1" x14ac:dyDescent="0.25">
      <c r="C439" s="9"/>
      <c r="D439" s="10">
        <v>45716</v>
      </c>
      <c r="E439" t="s">
        <v>7973</v>
      </c>
      <c r="F439" s="11" t="s">
        <v>527</v>
      </c>
      <c r="G439" s="8">
        <v>62.9</v>
      </c>
      <c r="H439" s="8">
        <v>0</v>
      </c>
      <c r="I439" s="8">
        <f t="shared" si="8"/>
        <v>45212.420000000027</v>
      </c>
      <c r="J439" s="12"/>
    </row>
    <row r="440" spans="3:10" hidden="1" x14ac:dyDescent="0.25">
      <c r="C440" s="9"/>
      <c r="D440" s="10">
        <v>45716</v>
      </c>
      <c r="E440" t="s">
        <v>7957</v>
      </c>
      <c r="F440" s="11" t="s">
        <v>220</v>
      </c>
      <c r="G440" s="8">
        <v>722.05</v>
      </c>
      <c r="H440" s="8">
        <v>0</v>
      </c>
      <c r="I440" s="8">
        <f t="shared" si="8"/>
        <v>45934.47000000003</v>
      </c>
      <c r="J440" s="12"/>
    </row>
    <row r="441" spans="3:10" hidden="1" x14ac:dyDescent="0.25">
      <c r="C441" s="9"/>
      <c r="D441" s="10">
        <v>45716</v>
      </c>
      <c r="E441" t="s">
        <v>7960</v>
      </c>
      <c r="F441" s="11" t="s">
        <v>786</v>
      </c>
      <c r="G441" s="8">
        <v>112.32</v>
      </c>
      <c r="H441" s="8">
        <v>0</v>
      </c>
      <c r="I441" s="8">
        <f t="shared" si="8"/>
        <v>46046.79000000003</v>
      </c>
      <c r="J441" s="12"/>
    </row>
    <row r="442" spans="3:10" hidden="1" x14ac:dyDescent="0.25">
      <c r="C442" s="9"/>
      <c r="D442" s="10">
        <v>45716</v>
      </c>
      <c r="E442" t="s">
        <v>8073</v>
      </c>
      <c r="F442" s="11" t="s">
        <v>451</v>
      </c>
      <c r="G442" s="8">
        <v>190.23</v>
      </c>
      <c r="H442" s="8">
        <v>0</v>
      </c>
      <c r="I442" s="8">
        <f t="shared" si="8"/>
        <v>46237.020000000033</v>
      </c>
      <c r="J442" s="12"/>
    </row>
    <row r="443" spans="3:10" hidden="1" x14ac:dyDescent="0.25">
      <c r="C443" s="9"/>
      <c r="D443" s="10">
        <v>45716</v>
      </c>
      <c r="E443" t="s">
        <v>7995</v>
      </c>
      <c r="F443" s="11" t="s">
        <v>190</v>
      </c>
      <c r="G443" s="8">
        <v>303.41000000000003</v>
      </c>
      <c r="H443" s="8">
        <v>0</v>
      </c>
      <c r="I443" s="8">
        <f t="shared" si="8"/>
        <v>46540.430000000037</v>
      </c>
      <c r="J443" s="12"/>
    </row>
    <row r="444" spans="3:10" hidden="1" x14ac:dyDescent="0.25">
      <c r="C444" s="9"/>
      <c r="D444" s="10">
        <v>45716</v>
      </c>
      <c r="E444" t="s">
        <v>8044</v>
      </c>
      <c r="F444" s="11" t="s">
        <v>198</v>
      </c>
      <c r="G444" s="8">
        <v>10.91</v>
      </c>
      <c r="H444" s="8">
        <v>0</v>
      </c>
      <c r="I444" s="8">
        <f t="shared" si="8"/>
        <v>46551.34000000004</v>
      </c>
      <c r="J444" s="12"/>
    </row>
    <row r="445" spans="3:10" hidden="1" x14ac:dyDescent="0.25">
      <c r="C445" s="9"/>
      <c r="D445" s="10">
        <v>45716</v>
      </c>
      <c r="E445" t="s">
        <v>8007</v>
      </c>
      <c r="F445" s="11" t="s">
        <v>1142</v>
      </c>
      <c r="G445" s="8">
        <v>61.39</v>
      </c>
      <c r="H445" s="8">
        <v>0</v>
      </c>
      <c r="I445" s="8">
        <f t="shared" si="8"/>
        <v>46612.73000000004</v>
      </c>
      <c r="J445" s="12"/>
    </row>
    <row r="446" spans="3:10" hidden="1" x14ac:dyDescent="0.25">
      <c r="C446" s="9"/>
      <c r="D446" s="10">
        <v>45716</v>
      </c>
      <c r="E446" t="s">
        <v>8023</v>
      </c>
      <c r="F446" s="11" t="s">
        <v>573</v>
      </c>
      <c r="G446" s="8">
        <v>76.989999999999995</v>
      </c>
      <c r="H446" s="8">
        <v>0</v>
      </c>
      <c r="I446" s="8">
        <f t="shared" si="8"/>
        <v>46689.720000000038</v>
      </c>
      <c r="J446" s="12"/>
    </row>
    <row r="447" spans="3:10" hidden="1" x14ac:dyDescent="0.25">
      <c r="C447" s="9"/>
      <c r="D447" s="10">
        <v>45716</v>
      </c>
      <c r="E447" t="s">
        <v>7949</v>
      </c>
      <c r="F447" s="11" t="s">
        <v>943</v>
      </c>
      <c r="G447" s="8">
        <v>120.94</v>
      </c>
      <c r="H447" s="8">
        <v>0</v>
      </c>
      <c r="I447" s="8">
        <f t="shared" si="8"/>
        <v>46810.66000000004</v>
      </c>
      <c r="J447" s="12"/>
    </row>
    <row r="448" spans="3:10" hidden="1" x14ac:dyDescent="0.25">
      <c r="C448" s="9"/>
      <c r="D448" s="10">
        <v>45716</v>
      </c>
      <c r="E448" t="s">
        <v>7959</v>
      </c>
      <c r="F448" s="11" t="s">
        <v>1075</v>
      </c>
      <c r="G448" s="8">
        <v>73.849999999999994</v>
      </c>
      <c r="H448" s="8">
        <v>0</v>
      </c>
      <c r="I448" s="8">
        <f t="shared" si="8"/>
        <v>46884.510000000038</v>
      </c>
      <c r="J448" s="12"/>
    </row>
    <row r="449" spans="3:10" hidden="1" x14ac:dyDescent="0.25">
      <c r="C449" s="9"/>
      <c r="D449" s="10">
        <v>45716</v>
      </c>
      <c r="E449" t="s">
        <v>7974</v>
      </c>
      <c r="F449" s="11" t="s">
        <v>714</v>
      </c>
      <c r="G449" s="8">
        <v>4.2</v>
      </c>
      <c r="H449" s="8">
        <v>0</v>
      </c>
      <c r="I449" s="8">
        <f t="shared" si="8"/>
        <v>46888.710000000036</v>
      </c>
      <c r="J449" s="12"/>
    </row>
    <row r="450" spans="3:10" hidden="1" x14ac:dyDescent="0.25">
      <c r="C450" s="9"/>
      <c r="D450" s="10">
        <v>45716</v>
      </c>
      <c r="E450" t="s">
        <v>8011</v>
      </c>
      <c r="F450" s="11" t="s">
        <v>152</v>
      </c>
      <c r="G450" s="8">
        <v>80.77</v>
      </c>
      <c r="H450" s="8">
        <v>0</v>
      </c>
      <c r="I450" s="8">
        <f t="shared" si="8"/>
        <v>46969.480000000032</v>
      </c>
      <c r="J450" s="12"/>
    </row>
    <row r="451" spans="3:10" hidden="1" x14ac:dyDescent="0.25">
      <c r="C451" s="9"/>
      <c r="D451" s="10">
        <v>45716</v>
      </c>
      <c r="E451" t="s">
        <v>8074</v>
      </c>
      <c r="F451" s="11" t="s">
        <v>1393</v>
      </c>
      <c r="G451" s="8">
        <v>40.35</v>
      </c>
      <c r="H451" s="8">
        <v>0</v>
      </c>
      <c r="I451" s="8">
        <f t="shared" si="8"/>
        <v>47009.830000000031</v>
      </c>
      <c r="J451" s="12"/>
    </row>
    <row r="452" spans="3:10" hidden="1" x14ac:dyDescent="0.25">
      <c r="C452" s="9"/>
      <c r="D452" s="10">
        <v>45716</v>
      </c>
      <c r="E452" t="s">
        <v>8013</v>
      </c>
      <c r="F452" s="11" t="s">
        <v>876</v>
      </c>
      <c r="G452" s="8">
        <v>376.46</v>
      </c>
      <c r="H452" s="8">
        <v>0</v>
      </c>
      <c r="I452" s="8">
        <f t="shared" si="8"/>
        <v>47386.29000000003</v>
      </c>
      <c r="J452" s="12"/>
    </row>
    <row r="453" spans="3:10" hidden="1" x14ac:dyDescent="0.25">
      <c r="C453" s="9"/>
      <c r="D453" s="10">
        <v>45716</v>
      </c>
      <c r="E453" t="s">
        <v>8021</v>
      </c>
      <c r="F453" s="11" t="s">
        <v>8075</v>
      </c>
      <c r="G453" s="8">
        <v>28.29</v>
      </c>
      <c r="H453" s="8">
        <v>0</v>
      </c>
      <c r="I453" s="8">
        <f t="shared" si="8"/>
        <v>47414.580000000031</v>
      </c>
      <c r="J453" s="12"/>
    </row>
    <row r="454" spans="3:10" hidden="1" x14ac:dyDescent="0.25">
      <c r="C454" s="9"/>
      <c r="D454" s="10">
        <v>45717</v>
      </c>
      <c r="E454" t="s">
        <v>7901</v>
      </c>
      <c r="F454" s="11" t="s">
        <v>8076</v>
      </c>
      <c r="G454" s="8">
        <v>100.38</v>
      </c>
      <c r="H454" s="8">
        <v>0</v>
      </c>
      <c r="I454" s="8">
        <f t="shared" si="8"/>
        <v>47514.960000000028</v>
      </c>
      <c r="J454" s="12"/>
    </row>
    <row r="455" spans="3:10" hidden="1" x14ac:dyDescent="0.25">
      <c r="C455" s="9"/>
      <c r="D455" s="10">
        <v>45717</v>
      </c>
      <c r="E455" t="s">
        <v>7903</v>
      </c>
      <c r="F455" s="11" t="s">
        <v>8077</v>
      </c>
      <c r="G455" s="8">
        <v>92.08</v>
      </c>
      <c r="H455" s="8">
        <v>0</v>
      </c>
      <c r="I455" s="8">
        <f t="shared" si="8"/>
        <v>47607.04000000003</v>
      </c>
      <c r="J455" s="12"/>
    </row>
    <row r="456" spans="3:10" hidden="1" x14ac:dyDescent="0.25">
      <c r="C456" s="9"/>
      <c r="D456" s="10">
        <v>45717</v>
      </c>
      <c r="E456" t="s">
        <v>7905</v>
      </c>
      <c r="F456" s="11" t="s">
        <v>57</v>
      </c>
      <c r="G456" s="8">
        <v>60.95</v>
      </c>
      <c r="H456" s="8">
        <v>0</v>
      </c>
      <c r="I456" s="8">
        <f t="shared" si="8"/>
        <v>47667.990000000027</v>
      </c>
      <c r="J456" s="12"/>
    </row>
    <row r="457" spans="3:10" hidden="1" x14ac:dyDescent="0.25">
      <c r="C457" s="9"/>
      <c r="D457" s="10">
        <v>45717</v>
      </c>
      <c r="E457" t="s">
        <v>7906</v>
      </c>
      <c r="F457" s="11" t="s">
        <v>44</v>
      </c>
      <c r="G457" s="8">
        <v>1.85</v>
      </c>
      <c r="H457" s="8">
        <v>0</v>
      </c>
      <c r="I457" s="8">
        <f t="shared" si="8"/>
        <v>47669.840000000026</v>
      </c>
      <c r="J457" s="12"/>
    </row>
    <row r="458" spans="3:10" hidden="1" x14ac:dyDescent="0.25">
      <c r="C458" s="9"/>
      <c r="D458" s="10">
        <v>45717</v>
      </c>
      <c r="E458" t="s">
        <v>7906</v>
      </c>
      <c r="F458" s="11" t="s">
        <v>46</v>
      </c>
      <c r="G458" s="8">
        <v>2.52</v>
      </c>
      <c r="H458" s="8">
        <v>0</v>
      </c>
      <c r="I458" s="8">
        <f t="shared" si="8"/>
        <v>47672.360000000022</v>
      </c>
      <c r="J458" s="12"/>
    </row>
    <row r="459" spans="3:10" hidden="1" x14ac:dyDescent="0.25">
      <c r="C459" s="9"/>
      <c r="D459" s="10">
        <v>45719</v>
      </c>
      <c r="E459" t="s">
        <v>7985</v>
      </c>
      <c r="F459" s="11" t="s">
        <v>8078</v>
      </c>
      <c r="G459" s="8">
        <v>50.03</v>
      </c>
      <c r="H459" s="8">
        <v>0</v>
      </c>
      <c r="I459" s="8">
        <f t="shared" si="8"/>
        <v>47722.390000000021</v>
      </c>
      <c r="J459" s="12"/>
    </row>
    <row r="460" spans="3:10" hidden="1" x14ac:dyDescent="0.25">
      <c r="C460" s="9"/>
      <c r="D460" s="10">
        <v>45719</v>
      </c>
      <c r="E460" t="s">
        <v>7910</v>
      </c>
      <c r="F460" s="11" t="s">
        <v>1421</v>
      </c>
      <c r="G460" s="8">
        <v>85.01</v>
      </c>
      <c r="H460" s="8">
        <v>0</v>
      </c>
      <c r="I460" s="8">
        <f t="shared" si="8"/>
        <v>47807.400000000023</v>
      </c>
      <c r="J460" s="12"/>
    </row>
    <row r="461" spans="3:10" hidden="1" x14ac:dyDescent="0.25">
      <c r="C461" s="9"/>
      <c r="D461" s="10">
        <v>45719</v>
      </c>
      <c r="E461" t="s">
        <v>7910</v>
      </c>
      <c r="F461" s="11" t="s">
        <v>1422</v>
      </c>
      <c r="G461" s="8">
        <v>35.06</v>
      </c>
      <c r="H461" s="8">
        <v>0</v>
      </c>
      <c r="I461" s="8">
        <f t="shared" si="8"/>
        <v>47842.460000000021</v>
      </c>
      <c r="J461" s="12"/>
    </row>
    <row r="462" spans="3:10" hidden="1" x14ac:dyDescent="0.25">
      <c r="C462" s="9"/>
      <c r="D462" s="10">
        <v>45720</v>
      </c>
      <c r="E462" t="s">
        <v>8079</v>
      </c>
      <c r="F462" s="11" t="s">
        <v>8080</v>
      </c>
      <c r="G462" s="8">
        <v>29.54</v>
      </c>
      <c r="H462" s="8">
        <v>0</v>
      </c>
      <c r="I462" s="8">
        <f t="shared" si="8"/>
        <v>47872.000000000022</v>
      </c>
      <c r="J462" s="12"/>
    </row>
    <row r="463" spans="3:10" hidden="1" x14ac:dyDescent="0.25">
      <c r="C463" s="9"/>
      <c r="D463" s="10">
        <v>45720</v>
      </c>
      <c r="E463" t="s">
        <v>7938</v>
      </c>
      <c r="F463" s="11" t="s">
        <v>925</v>
      </c>
      <c r="G463" s="8">
        <v>-70.31</v>
      </c>
      <c r="H463" s="8">
        <v>0</v>
      </c>
      <c r="I463" s="8">
        <f t="shared" si="8"/>
        <v>47801.690000000024</v>
      </c>
      <c r="J463" s="12"/>
    </row>
    <row r="464" spans="3:10" hidden="1" x14ac:dyDescent="0.25">
      <c r="C464" s="9"/>
      <c r="D464" s="10">
        <v>45720</v>
      </c>
      <c r="E464" t="s">
        <v>8081</v>
      </c>
      <c r="F464" s="11" t="s">
        <v>8082</v>
      </c>
      <c r="G464" s="8">
        <v>17.100000000000001</v>
      </c>
      <c r="H464" s="8">
        <v>0</v>
      </c>
      <c r="I464" s="8">
        <f t="shared" si="8"/>
        <v>47818.790000000023</v>
      </c>
      <c r="J464" s="12"/>
    </row>
    <row r="465" spans="3:10" hidden="1" x14ac:dyDescent="0.25">
      <c r="C465" s="9"/>
      <c r="D465" s="10">
        <v>45720</v>
      </c>
      <c r="E465" t="s">
        <v>7909</v>
      </c>
      <c r="F465" s="11" t="s">
        <v>1477</v>
      </c>
      <c r="G465" s="8">
        <v>229.42</v>
      </c>
      <c r="H465" s="8">
        <v>0</v>
      </c>
      <c r="I465" s="8">
        <f t="shared" ref="I465:I528" si="9">G465-H465+I464</f>
        <v>48048.210000000021</v>
      </c>
      <c r="J465" s="12"/>
    </row>
    <row r="466" spans="3:10" hidden="1" x14ac:dyDescent="0.25">
      <c r="C466" s="9"/>
      <c r="D466" s="10">
        <v>45720</v>
      </c>
      <c r="E466" t="s">
        <v>8083</v>
      </c>
      <c r="F466" s="11" t="s">
        <v>179</v>
      </c>
      <c r="G466" s="8">
        <v>112.23</v>
      </c>
      <c r="H466" s="8">
        <v>0</v>
      </c>
      <c r="I466" s="8">
        <f t="shared" si="9"/>
        <v>48160.440000000024</v>
      </c>
      <c r="J466" s="12"/>
    </row>
    <row r="467" spans="3:10" hidden="1" x14ac:dyDescent="0.25">
      <c r="C467" s="9"/>
      <c r="D467" s="10">
        <v>45720</v>
      </c>
      <c r="E467" t="s">
        <v>7918</v>
      </c>
      <c r="F467" s="11" t="s">
        <v>1162</v>
      </c>
      <c r="G467" s="8">
        <v>534.07000000000005</v>
      </c>
      <c r="H467" s="8">
        <v>0</v>
      </c>
      <c r="I467" s="8">
        <f t="shared" si="9"/>
        <v>48694.510000000024</v>
      </c>
      <c r="J467" s="12"/>
    </row>
    <row r="468" spans="3:10" hidden="1" x14ac:dyDescent="0.25">
      <c r="C468" s="9"/>
      <c r="D468" s="10">
        <v>45721</v>
      </c>
      <c r="E468" t="s">
        <v>7927</v>
      </c>
      <c r="F468" s="11" t="s">
        <v>1439</v>
      </c>
      <c r="G468" s="8">
        <v>0.42</v>
      </c>
      <c r="H468" s="8">
        <v>0</v>
      </c>
      <c r="I468" s="8">
        <f t="shared" si="9"/>
        <v>48694.930000000022</v>
      </c>
      <c r="J468" s="12"/>
    </row>
    <row r="469" spans="3:10" hidden="1" x14ac:dyDescent="0.25">
      <c r="C469" s="9"/>
      <c r="D469" s="10">
        <v>45721</v>
      </c>
      <c r="E469" t="s">
        <v>8084</v>
      </c>
      <c r="F469" s="11" t="s">
        <v>1425</v>
      </c>
      <c r="G469" s="8">
        <v>137.12</v>
      </c>
      <c r="H469" s="8">
        <v>0</v>
      </c>
      <c r="I469" s="8">
        <f t="shared" si="9"/>
        <v>48832.050000000025</v>
      </c>
      <c r="J469" s="12"/>
    </row>
    <row r="470" spans="3:10" hidden="1" x14ac:dyDescent="0.25">
      <c r="C470" s="9"/>
      <c r="D470" s="10">
        <v>45721</v>
      </c>
      <c r="E470" t="s">
        <v>7912</v>
      </c>
      <c r="F470" s="11" t="s">
        <v>425</v>
      </c>
      <c r="G470" s="8">
        <v>365.68</v>
      </c>
      <c r="H470" s="8">
        <v>0</v>
      </c>
      <c r="I470" s="8">
        <f t="shared" si="9"/>
        <v>49197.730000000025</v>
      </c>
      <c r="J470" s="12"/>
    </row>
    <row r="471" spans="3:10" hidden="1" x14ac:dyDescent="0.25">
      <c r="C471" s="9"/>
      <c r="D471" s="10">
        <v>45722</v>
      </c>
      <c r="E471" t="s">
        <v>7916</v>
      </c>
      <c r="F471" s="11" t="s">
        <v>1485</v>
      </c>
      <c r="G471" s="8">
        <v>3.15</v>
      </c>
      <c r="H471" s="8">
        <v>0</v>
      </c>
      <c r="I471" s="8">
        <f t="shared" si="9"/>
        <v>49200.880000000026</v>
      </c>
      <c r="J471" s="12"/>
    </row>
    <row r="472" spans="3:10" hidden="1" x14ac:dyDescent="0.25">
      <c r="C472" s="9"/>
      <c r="D472" s="10">
        <v>45722</v>
      </c>
      <c r="E472" t="s">
        <v>7983</v>
      </c>
      <c r="F472" s="11" t="s">
        <v>615</v>
      </c>
      <c r="G472" s="8">
        <v>197.35</v>
      </c>
      <c r="H472" s="8">
        <v>0</v>
      </c>
      <c r="I472" s="8">
        <f t="shared" si="9"/>
        <v>49398.230000000025</v>
      </c>
      <c r="J472" s="12"/>
    </row>
    <row r="473" spans="3:10" hidden="1" x14ac:dyDescent="0.25">
      <c r="C473" s="9"/>
      <c r="D473" s="10">
        <v>45722</v>
      </c>
      <c r="E473" t="s">
        <v>7930</v>
      </c>
      <c r="F473" s="11" t="s">
        <v>542</v>
      </c>
      <c r="G473" s="8">
        <v>65.19</v>
      </c>
      <c r="H473" s="8">
        <v>0</v>
      </c>
      <c r="I473" s="8">
        <f t="shared" si="9"/>
        <v>49463.420000000027</v>
      </c>
      <c r="J473" s="12"/>
    </row>
    <row r="474" spans="3:10" hidden="1" x14ac:dyDescent="0.25">
      <c r="C474" s="9"/>
      <c r="D474" s="10">
        <v>45723</v>
      </c>
      <c r="E474" t="s">
        <v>7929</v>
      </c>
      <c r="F474" s="11" t="s">
        <v>758</v>
      </c>
      <c r="G474" s="8">
        <v>8.07</v>
      </c>
      <c r="H474" s="8">
        <v>0</v>
      </c>
      <c r="I474" s="8">
        <f t="shared" si="9"/>
        <v>49471.490000000027</v>
      </c>
      <c r="J474" s="12"/>
    </row>
    <row r="475" spans="3:10" hidden="1" x14ac:dyDescent="0.25">
      <c r="C475" s="9"/>
      <c r="D475" s="10">
        <v>45723</v>
      </c>
      <c r="E475" t="s">
        <v>7919</v>
      </c>
      <c r="F475" s="11" t="s">
        <v>657</v>
      </c>
      <c r="G475" s="8">
        <v>23.94</v>
      </c>
      <c r="H475" s="8">
        <v>0</v>
      </c>
      <c r="I475" s="8">
        <f t="shared" si="9"/>
        <v>49495.430000000029</v>
      </c>
      <c r="J475" s="12"/>
    </row>
    <row r="476" spans="3:10" hidden="1" x14ac:dyDescent="0.25">
      <c r="C476" s="9"/>
      <c r="D476" s="10">
        <v>45723</v>
      </c>
      <c r="E476" t="s">
        <v>8037</v>
      </c>
      <c r="F476" s="11" t="s">
        <v>691</v>
      </c>
      <c r="G476" s="8">
        <v>72.650000000000006</v>
      </c>
      <c r="H476" s="8">
        <v>0</v>
      </c>
      <c r="I476" s="8">
        <f t="shared" si="9"/>
        <v>49568.080000000031</v>
      </c>
      <c r="J476" s="12"/>
    </row>
    <row r="477" spans="3:10" hidden="1" x14ac:dyDescent="0.25">
      <c r="C477" s="9"/>
      <c r="D477" s="10">
        <v>45723</v>
      </c>
      <c r="E477" t="s">
        <v>8027</v>
      </c>
      <c r="F477" s="11" t="s">
        <v>1404</v>
      </c>
      <c r="G477" s="8">
        <v>66.53</v>
      </c>
      <c r="H477" s="8">
        <v>0</v>
      </c>
      <c r="I477" s="8">
        <f t="shared" si="9"/>
        <v>49634.61000000003</v>
      </c>
      <c r="J477" s="12"/>
    </row>
    <row r="478" spans="3:10" hidden="1" x14ac:dyDescent="0.25">
      <c r="C478" s="9"/>
      <c r="D478" s="10">
        <v>45726</v>
      </c>
      <c r="E478" t="s">
        <v>7924</v>
      </c>
      <c r="F478" s="11" t="s">
        <v>1457</v>
      </c>
      <c r="G478" s="8">
        <v>427.04</v>
      </c>
      <c r="H478" s="8">
        <v>0</v>
      </c>
      <c r="I478" s="8">
        <f t="shared" si="9"/>
        <v>50061.650000000031</v>
      </c>
      <c r="J478" s="12"/>
    </row>
    <row r="479" spans="3:10" hidden="1" x14ac:dyDescent="0.25">
      <c r="C479" s="9"/>
      <c r="D479" s="10">
        <v>45726</v>
      </c>
      <c r="E479" t="s">
        <v>7924</v>
      </c>
      <c r="F479" s="11" t="s">
        <v>911</v>
      </c>
      <c r="G479" s="8">
        <v>441.99</v>
      </c>
      <c r="H479" s="8">
        <v>0</v>
      </c>
      <c r="I479" s="8">
        <f t="shared" si="9"/>
        <v>50503.640000000029</v>
      </c>
      <c r="J479" s="12"/>
    </row>
    <row r="480" spans="3:10" hidden="1" x14ac:dyDescent="0.25">
      <c r="C480" s="9"/>
      <c r="D480" s="10">
        <v>45726</v>
      </c>
      <c r="E480" t="s">
        <v>8085</v>
      </c>
      <c r="F480" s="11" t="s">
        <v>8086</v>
      </c>
      <c r="G480" s="8">
        <v>12.6</v>
      </c>
      <c r="H480" s="8">
        <v>0</v>
      </c>
      <c r="I480" s="8">
        <f t="shared" si="9"/>
        <v>50516.240000000027</v>
      </c>
      <c r="J480" s="12"/>
    </row>
    <row r="481" spans="3:10" hidden="1" x14ac:dyDescent="0.25">
      <c r="C481" s="9"/>
      <c r="D481" s="10">
        <v>45726</v>
      </c>
      <c r="E481" t="s">
        <v>8087</v>
      </c>
      <c r="F481" s="11" t="s">
        <v>825</v>
      </c>
      <c r="G481" s="8">
        <v>188.15</v>
      </c>
      <c r="H481" s="8">
        <v>0</v>
      </c>
      <c r="I481" s="8">
        <f t="shared" si="9"/>
        <v>50704.390000000029</v>
      </c>
      <c r="J481" s="12"/>
    </row>
    <row r="482" spans="3:10" hidden="1" x14ac:dyDescent="0.25">
      <c r="C482" s="9"/>
      <c r="D482" s="10">
        <v>45726</v>
      </c>
      <c r="E482" t="s">
        <v>7977</v>
      </c>
      <c r="F482" s="11" t="s">
        <v>1058</v>
      </c>
      <c r="G482" s="8">
        <v>23.02</v>
      </c>
      <c r="H482" s="8">
        <v>0</v>
      </c>
      <c r="I482" s="8">
        <f t="shared" si="9"/>
        <v>50727.410000000025</v>
      </c>
      <c r="J482" s="12"/>
    </row>
    <row r="483" spans="3:10" hidden="1" x14ac:dyDescent="0.25">
      <c r="C483" s="9"/>
      <c r="D483" s="10">
        <v>45726</v>
      </c>
      <c r="E483" t="s">
        <v>8088</v>
      </c>
      <c r="F483" s="11" t="s">
        <v>351</v>
      </c>
      <c r="G483" s="8">
        <v>63.06</v>
      </c>
      <c r="H483" s="8">
        <v>0</v>
      </c>
      <c r="I483" s="8">
        <f t="shared" si="9"/>
        <v>50790.470000000023</v>
      </c>
      <c r="J483" s="12"/>
    </row>
    <row r="484" spans="3:10" hidden="1" x14ac:dyDescent="0.25">
      <c r="C484" s="9"/>
      <c r="D484" s="10">
        <v>45726</v>
      </c>
      <c r="E484" t="s">
        <v>7912</v>
      </c>
      <c r="F484" s="11" t="s">
        <v>427</v>
      </c>
      <c r="G484" s="8">
        <v>67.13</v>
      </c>
      <c r="H484" s="8">
        <v>0</v>
      </c>
      <c r="I484" s="8">
        <f t="shared" si="9"/>
        <v>50857.60000000002</v>
      </c>
      <c r="J484" s="12"/>
    </row>
    <row r="485" spans="3:10" hidden="1" x14ac:dyDescent="0.25">
      <c r="C485" s="9"/>
      <c r="D485" s="10">
        <v>45726</v>
      </c>
      <c r="E485" t="s">
        <v>8089</v>
      </c>
      <c r="F485" s="11" t="s">
        <v>1109</v>
      </c>
      <c r="G485" s="8">
        <v>33.36</v>
      </c>
      <c r="H485" s="8">
        <v>0</v>
      </c>
      <c r="I485" s="8">
        <f t="shared" si="9"/>
        <v>50890.960000000021</v>
      </c>
      <c r="J485" s="12"/>
    </row>
    <row r="486" spans="3:10" hidden="1" x14ac:dyDescent="0.25">
      <c r="C486" s="9"/>
      <c r="D486" s="10">
        <v>45726</v>
      </c>
      <c r="E486" t="s">
        <v>8053</v>
      </c>
      <c r="F486" s="11" t="s">
        <v>974</v>
      </c>
      <c r="G486" s="8">
        <v>119.51</v>
      </c>
      <c r="H486" s="8">
        <v>0</v>
      </c>
      <c r="I486" s="8">
        <f t="shared" si="9"/>
        <v>51010.470000000023</v>
      </c>
      <c r="J486" s="12"/>
    </row>
    <row r="487" spans="3:10" hidden="1" x14ac:dyDescent="0.25">
      <c r="C487" s="9"/>
      <c r="D487" s="10">
        <v>45726</v>
      </c>
      <c r="E487" t="s">
        <v>7987</v>
      </c>
      <c r="F487" s="11" t="s">
        <v>466</v>
      </c>
      <c r="G487" s="8">
        <v>125.13</v>
      </c>
      <c r="H487" s="8">
        <v>0</v>
      </c>
      <c r="I487" s="8">
        <f t="shared" si="9"/>
        <v>51135.60000000002</v>
      </c>
      <c r="J487" s="12"/>
    </row>
    <row r="488" spans="3:10" hidden="1" x14ac:dyDescent="0.25">
      <c r="C488" s="9"/>
      <c r="D488" s="10">
        <v>45727</v>
      </c>
      <c r="E488" t="s">
        <v>8090</v>
      </c>
      <c r="F488" s="11" t="s">
        <v>8091</v>
      </c>
      <c r="G488" s="8">
        <v>29.13</v>
      </c>
      <c r="H488" s="8">
        <v>0</v>
      </c>
      <c r="I488" s="8">
        <f t="shared" si="9"/>
        <v>51164.730000000018</v>
      </c>
      <c r="J488" s="12"/>
    </row>
    <row r="489" spans="3:10" hidden="1" x14ac:dyDescent="0.25">
      <c r="C489" s="9"/>
      <c r="D489" s="10">
        <v>45727</v>
      </c>
      <c r="E489" t="s">
        <v>7917</v>
      </c>
      <c r="F489" s="11" t="s">
        <v>1352</v>
      </c>
      <c r="G489" s="8">
        <v>46.59</v>
      </c>
      <c r="H489" s="8">
        <v>0</v>
      </c>
      <c r="I489" s="8">
        <f t="shared" si="9"/>
        <v>51211.320000000014</v>
      </c>
      <c r="J489" s="12"/>
    </row>
    <row r="490" spans="3:10" hidden="1" x14ac:dyDescent="0.25">
      <c r="C490" s="9"/>
      <c r="D490" s="10">
        <v>45727</v>
      </c>
      <c r="E490" t="s">
        <v>8092</v>
      </c>
      <c r="F490" s="11" t="s">
        <v>1026</v>
      </c>
      <c r="G490" s="8">
        <v>68.73</v>
      </c>
      <c r="H490" s="8">
        <v>0</v>
      </c>
      <c r="I490" s="8">
        <f t="shared" si="9"/>
        <v>51280.050000000017</v>
      </c>
      <c r="J490" s="12"/>
    </row>
    <row r="491" spans="3:10" hidden="1" x14ac:dyDescent="0.25">
      <c r="C491" s="9"/>
      <c r="D491" s="10">
        <v>45728</v>
      </c>
      <c r="E491" t="s">
        <v>7941</v>
      </c>
      <c r="F491" s="11" t="s">
        <v>362</v>
      </c>
      <c r="G491" s="8">
        <v>4.2</v>
      </c>
      <c r="H491" s="8">
        <v>0</v>
      </c>
      <c r="I491" s="8">
        <f t="shared" si="9"/>
        <v>51284.250000000015</v>
      </c>
      <c r="J491" s="12"/>
    </row>
    <row r="492" spans="3:10" hidden="1" x14ac:dyDescent="0.25">
      <c r="C492" s="9"/>
      <c r="D492" s="10">
        <v>45728</v>
      </c>
      <c r="E492" t="s">
        <v>7990</v>
      </c>
      <c r="F492" s="11" t="s">
        <v>343</v>
      </c>
      <c r="G492" s="8">
        <v>183.14</v>
      </c>
      <c r="H492" s="8">
        <v>0</v>
      </c>
      <c r="I492" s="8">
        <f t="shared" si="9"/>
        <v>51467.390000000014</v>
      </c>
      <c r="J492" s="12"/>
    </row>
    <row r="493" spans="3:10" hidden="1" x14ac:dyDescent="0.25">
      <c r="C493" s="9"/>
      <c r="D493" s="10">
        <v>45728</v>
      </c>
      <c r="E493" t="s">
        <v>7917</v>
      </c>
      <c r="F493" s="11" t="s">
        <v>1354</v>
      </c>
      <c r="G493" s="8">
        <v>101.71</v>
      </c>
      <c r="H493" s="8">
        <v>0</v>
      </c>
      <c r="I493" s="8">
        <f t="shared" si="9"/>
        <v>51569.100000000013</v>
      </c>
      <c r="J493" s="12"/>
    </row>
    <row r="494" spans="3:10" hidden="1" x14ac:dyDescent="0.25">
      <c r="C494" s="9"/>
      <c r="D494" s="10">
        <v>45728</v>
      </c>
      <c r="E494" t="s">
        <v>7917</v>
      </c>
      <c r="F494" s="11" t="s">
        <v>1356</v>
      </c>
      <c r="G494" s="8">
        <v>107.78</v>
      </c>
      <c r="H494" s="8">
        <v>0</v>
      </c>
      <c r="I494" s="8">
        <f t="shared" si="9"/>
        <v>51676.880000000012</v>
      </c>
      <c r="J494" s="12"/>
    </row>
    <row r="495" spans="3:10" hidden="1" x14ac:dyDescent="0.25">
      <c r="C495" s="9"/>
      <c r="D495" s="10">
        <v>45728</v>
      </c>
      <c r="E495" t="s">
        <v>8087</v>
      </c>
      <c r="F495" s="11" t="s">
        <v>827</v>
      </c>
      <c r="G495" s="8">
        <v>74.72</v>
      </c>
      <c r="H495" s="8">
        <v>0</v>
      </c>
      <c r="I495" s="8">
        <f t="shared" si="9"/>
        <v>51751.600000000013</v>
      </c>
      <c r="J495" s="12"/>
    </row>
    <row r="496" spans="3:10" hidden="1" x14ac:dyDescent="0.25">
      <c r="C496" s="9"/>
      <c r="D496" s="10">
        <v>45728</v>
      </c>
      <c r="E496" t="s">
        <v>7927</v>
      </c>
      <c r="F496" s="11" t="s">
        <v>1441</v>
      </c>
      <c r="G496" s="8">
        <v>0.2</v>
      </c>
      <c r="H496" s="8">
        <v>0</v>
      </c>
      <c r="I496" s="8">
        <f t="shared" si="9"/>
        <v>51751.80000000001</v>
      </c>
      <c r="J496" s="12"/>
    </row>
    <row r="497" spans="3:10" hidden="1" x14ac:dyDescent="0.25">
      <c r="C497" s="9"/>
      <c r="D497" s="10">
        <v>45728</v>
      </c>
      <c r="E497" t="s">
        <v>7915</v>
      </c>
      <c r="F497" s="11" t="s">
        <v>561</v>
      </c>
      <c r="G497" s="8">
        <v>57.14</v>
      </c>
      <c r="H497" s="8">
        <v>0</v>
      </c>
      <c r="I497" s="8">
        <f t="shared" si="9"/>
        <v>51808.94000000001</v>
      </c>
      <c r="J497" s="12"/>
    </row>
    <row r="498" spans="3:10" hidden="1" x14ac:dyDescent="0.25">
      <c r="C498" s="9"/>
      <c r="D498" s="10">
        <v>45730</v>
      </c>
      <c r="E498" t="s">
        <v>7958</v>
      </c>
      <c r="F498" s="11" t="s">
        <v>283</v>
      </c>
      <c r="G498" s="8">
        <v>286.5</v>
      </c>
      <c r="H498" s="8">
        <v>0</v>
      </c>
      <c r="I498" s="8">
        <f t="shared" si="9"/>
        <v>52095.44000000001</v>
      </c>
      <c r="J498" s="12"/>
    </row>
    <row r="499" spans="3:10" hidden="1" x14ac:dyDescent="0.25">
      <c r="C499" s="9"/>
      <c r="D499" s="10">
        <v>45730</v>
      </c>
      <c r="E499" t="s">
        <v>7962</v>
      </c>
      <c r="F499" s="11" t="s">
        <v>1301</v>
      </c>
      <c r="G499" s="8">
        <v>607.21</v>
      </c>
      <c r="H499" s="8">
        <v>0</v>
      </c>
      <c r="I499" s="8">
        <f t="shared" si="9"/>
        <v>52702.650000000009</v>
      </c>
      <c r="J499" s="12"/>
    </row>
    <row r="500" spans="3:10" hidden="1" x14ac:dyDescent="0.25">
      <c r="C500" s="9"/>
      <c r="D500" s="10">
        <v>45730</v>
      </c>
      <c r="E500" t="s">
        <v>7948</v>
      </c>
      <c r="F500" s="11" t="s">
        <v>1133</v>
      </c>
      <c r="G500" s="8">
        <v>12.4</v>
      </c>
      <c r="H500" s="8">
        <v>0</v>
      </c>
      <c r="I500" s="8">
        <f t="shared" si="9"/>
        <v>52715.05000000001</v>
      </c>
      <c r="J500" s="12"/>
    </row>
    <row r="501" spans="3:10" hidden="1" x14ac:dyDescent="0.25">
      <c r="C501" s="9"/>
      <c r="D501" s="10">
        <v>45730</v>
      </c>
      <c r="E501" t="s">
        <v>7973</v>
      </c>
      <c r="F501" s="11" t="s">
        <v>529</v>
      </c>
      <c r="G501" s="8">
        <v>102.37</v>
      </c>
      <c r="H501" s="8">
        <v>0</v>
      </c>
      <c r="I501" s="8">
        <f t="shared" si="9"/>
        <v>52817.420000000013</v>
      </c>
      <c r="J501" s="12"/>
    </row>
    <row r="502" spans="3:10" hidden="1" x14ac:dyDescent="0.25">
      <c r="C502" s="9"/>
      <c r="D502" s="10">
        <v>45730</v>
      </c>
      <c r="E502" t="s">
        <v>7952</v>
      </c>
      <c r="F502" s="11" t="s">
        <v>261</v>
      </c>
      <c r="G502" s="8">
        <v>29.52</v>
      </c>
      <c r="H502" s="8">
        <v>0</v>
      </c>
      <c r="I502" s="8">
        <f t="shared" si="9"/>
        <v>52846.94000000001</v>
      </c>
      <c r="J502" s="12"/>
    </row>
    <row r="503" spans="3:10" hidden="1" x14ac:dyDescent="0.25">
      <c r="C503" s="9"/>
      <c r="D503" s="10">
        <v>45730</v>
      </c>
      <c r="E503" t="s">
        <v>8016</v>
      </c>
      <c r="F503" s="11" t="s">
        <v>1174</v>
      </c>
      <c r="G503" s="8">
        <v>114</v>
      </c>
      <c r="H503" s="8">
        <v>0</v>
      </c>
      <c r="I503" s="8">
        <f t="shared" si="9"/>
        <v>52960.94000000001</v>
      </c>
      <c r="J503" s="12"/>
    </row>
    <row r="504" spans="3:10" hidden="1" x14ac:dyDescent="0.25">
      <c r="C504" s="9"/>
      <c r="D504" s="10">
        <v>45730</v>
      </c>
      <c r="E504" t="s">
        <v>7929</v>
      </c>
      <c r="F504" s="11" t="s">
        <v>760</v>
      </c>
      <c r="G504" s="8">
        <v>37.94</v>
      </c>
      <c r="H504" s="8">
        <v>0</v>
      </c>
      <c r="I504" s="8">
        <f t="shared" si="9"/>
        <v>52998.880000000012</v>
      </c>
      <c r="J504" s="12"/>
    </row>
    <row r="505" spans="3:10" hidden="1" x14ac:dyDescent="0.25">
      <c r="C505" s="9"/>
      <c r="D505" s="10">
        <v>45730</v>
      </c>
      <c r="E505" t="s">
        <v>7919</v>
      </c>
      <c r="F505" s="11" t="s">
        <v>659</v>
      </c>
      <c r="G505" s="8">
        <v>-22.85</v>
      </c>
      <c r="H505" s="8">
        <v>0</v>
      </c>
      <c r="I505" s="8">
        <f t="shared" si="9"/>
        <v>52976.030000000013</v>
      </c>
      <c r="J505" s="12"/>
    </row>
    <row r="506" spans="3:10" hidden="1" x14ac:dyDescent="0.25">
      <c r="C506" s="9"/>
      <c r="D506" s="10">
        <v>45730</v>
      </c>
      <c r="E506" t="s">
        <v>7978</v>
      </c>
      <c r="F506" s="11" t="s">
        <v>1254</v>
      </c>
      <c r="G506" s="8">
        <v>15.2</v>
      </c>
      <c r="H506" s="8">
        <v>0</v>
      </c>
      <c r="I506" s="8">
        <f t="shared" si="9"/>
        <v>52991.23000000001</v>
      </c>
      <c r="J506" s="12"/>
    </row>
    <row r="507" spans="3:10" hidden="1" x14ac:dyDescent="0.25">
      <c r="C507" s="9"/>
      <c r="D507" s="10">
        <v>45731</v>
      </c>
      <c r="E507" t="s">
        <v>7941</v>
      </c>
      <c r="F507" s="11" t="s">
        <v>364</v>
      </c>
      <c r="G507" s="8">
        <v>378</v>
      </c>
      <c r="H507" s="8">
        <v>0</v>
      </c>
      <c r="I507" s="8">
        <f t="shared" si="9"/>
        <v>53369.23000000001</v>
      </c>
      <c r="J507" s="12"/>
    </row>
    <row r="508" spans="3:10" hidden="1" x14ac:dyDescent="0.25">
      <c r="C508" s="9"/>
      <c r="D508" s="10">
        <v>45731</v>
      </c>
      <c r="E508" t="s">
        <v>8050</v>
      </c>
      <c r="F508" s="11" t="s">
        <v>959</v>
      </c>
      <c r="G508" s="8">
        <v>19.3</v>
      </c>
      <c r="H508" s="8">
        <v>0</v>
      </c>
      <c r="I508" s="8">
        <f t="shared" si="9"/>
        <v>53388.530000000013</v>
      </c>
      <c r="J508" s="12"/>
    </row>
    <row r="509" spans="3:10" hidden="1" x14ac:dyDescent="0.25">
      <c r="C509" s="9"/>
      <c r="D509" s="10">
        <v>45731</v>
      </c>
      <c r="E509" t="s">
        <v>7943</v>
      </c>
      <c r="F509" s="11" t="s">
        <v>1038</v>
      </c>
      <c r="G509" s="8">
        <v>60.64</v>
      </c>
      <c r="H509" s="8">
        <v>0</v>
      </c>
      <c r="I509" s="8">
        <f t="shared" si="9"/>
        <v>53449.170000000013</v>
      </c>
      <c r="J509" s="12"/>
    </row>
    <row r="510" spans="3:10" hidden="1" x14ac:dyDescent="0.25">
      <c r="C510" s="9"/>
      <c r="D510" s="10">
        <v>45731</v>
      </c>
      <c r="E510" t="s">
        <v>8093</v>
      </c>
      <c r="F510" s="11" t="s">
        <v>631</v>
      </c>
      <c r="G510" s="8">
        <v>73.790000000000006</v>
      </c>
      <c r="H510" s="8">
        <v>0</v>
      </c>
      <c r="I510" s="8">
        <f t="shared" si="9"/>
        <v>53522.960000000014</v>
      </c>
      <c r="J510" s="12"/>
    </row>
    <row r="511" spans="3:10" hidden="1" x14ac:dyDescent="0.25">
      <c r="C511" s="9"/>
      <c r="D511" s="10">
        <v>45731</v>
      </c>
      <c r="E511" t="s">
        <v>7885</v>
      </c>
      <c r="F511" s="11" t="s">
        <v>110</v>
      </c>
      <c r="G511" s="8">
        <v>121.96</v>
      </c>
      <c r="H511" s="8">
        <v>0</v>
      </c>
      <c r="I511" s="8">
        <f t="shared" si="9"/>
        <v>53644.920000000013</v>
      </c>
      <c r="J511" s="12"/>
    </row>
    <row r="512" spans="3:10" hidden="1" x14ac:dyDescent="0.25">
      <c r="C512" s="9"/>
      <c r="D512" s="10">
        <v>45731</v>
      </c>
      <c r="E512" t="s">
        <v>8054</v>
      </c>
      <c r="F512" s="11" t="s">
        <v>1410</v>
      </c>
      <c r="G512" s="8">
        <v>247.17</v>
      </c>
      <c r="H512" s="8">
        <v>0</v>
      </c>
      <c r="I512" s="8">
        <f t="shared" si="9"/>
        <v>53892.090000000011</v>
      </c>
      <c r="J512" s="12"/>
    </row>
    <row r="513" spans="3:10" hidden="1" x14ac:dyDescent="0.25">
      <c r="C513" s="9"/>
      <c r="D513" s="10">
        <v>45731</v>
      </c>
      <c r="E513" t="s">
        <v>7963</v>
      </c>
      <c r="F513" s="11" t="s">
        <v>805</v>
      </c>
      <c r="G513" s="8">
        <v>77.709999999999994</v>
      </c>
      <c r="H513" s="8">
        <v>0</v>
      </c>
      <c r="I513" s="8">
        <f t="shared" si="9"/>
        <v>53969.80000000001</v>
      </c>
      <c r="J513" s="12"/>
    </row>
    <row r="514" spans="3:10" hidden="1" x14ac:dyDescent="0.25">
      <c r="C514" s="9"/>
      <c r="D514" s="10">
        <v>45731</v>
      </c>
      <c r="E514" t="s">
        <v>7926</v>
      </c>
      <c r="F514" s="11" t="s">
        <v>1187</v>
      </c>
      <c r="G514" s="8">
        <v>72.33</v>
      </c>
      <c r="H514" s="8">
        <v>0</v>
      </c>
      <c r="I514" s="8">
        <f t="shared" si="9"/>
        <v>54042.130000000012</v>
      </c>
      <c r="J514" s="12"/>
    </row>
    <row r="515" spans="3:10" hidden="1" x14ac:dyDescent="0.25">
      <c r="C515" s="9"/>
      <c r="D515" s="10">
        <v>45731</v>
      </c>
      <c r="E515" t="s">
        <v>8094</v>
      </c>
      <c r="F515" s="11" t="s">
        <v>290</v>
      </c>
      <c r="G515" s="8">
        <v>28.77</v>
      </c>
      <c r="H515" s="8">
        <v>0</v>
      </c>
      <c r="I515" s="8">
        <f t="shared" si="9"/>
        <v>54070.900000000009</v>
      </c>
      <c r="J515" s="12"/>
    </row>
    <row r="516" spans="3:10" hidden="1" x14ac:dyDescent="0.25">
      <c r="C516" s="9"/>
      <c r="D516" s="10">
        <v>45731</v>
      </c>
      <c r="E516" t="s">
        <v>7954</v>
      </c>
      <c r="F516" s="11" t="s">
        <v>244</v>
      </c>
      <c r="G516" s="8">
        <v>63.54</v>
      </c>
      <c r="H516" s="8">
        <v>0</v>
      </c>
      <c r="I516" s="8">
        <f t="shared" si="9"/>
        <v>54134.44000000001</v>
      </c>
      <c r="J516" s="12"/>
    </row>
    <row r="517" spans="3:10" hidden="1" x14ac:dyDescent="0.25">
      <c r="C517" s="9"/>
      <c r="D517" s="10">
        <v>45731</v>
      </c>
      <c r="E517" t="s">
        <v>7956</v>
      </c>
      <c r="F517" s="11" t="s">
        <v>310</v>
      </c>
      <c r="G517" s="8">
        <v>292.45999999999998</v>
      </c>
      <c r="H517" s="8">
        <v>0</v>
      </c>
      <c r="I517" s="8">
        <f t="shared" si="9"/>
        <v>54426.900000000009</v>
      </c>
      <c r="J517" s="12"/>
    </row>
    <row r="518" spans="3:10" hidden="1" x14ac:dyDescent="0.25">
      <c r="C518" s="9"/>
      <c r="D518" s="10">
        <v>45731</v>
      </c>
      <c r="E518" t="s">
        <v>7912</v>
      </c>
      <c r="F518" s="11" t="s">
        <v>429</v>
      </c>
      <c r="G518" s="8">
        <v>205.23</v>
      </c>
      <c r="H518" s="8">
        <v>0</v>
      </c>
      <c r="I518" s="8">
        <f t="shared" si="9"/>
        <v>54632.130000000012</v>
      </c>
      <c r="J518" s="12"/>
    </row>
    <row r="519" spans="3:10" hidden="1" x14ac:dyDescent="0.25">
      <c r="C519" s="9"/>
      <c r="D519" s="10">
        <v>45731</v>
      </c>
      <c r="E519" t="s">
        <v>7957</v>
      </c>
      <c r="F519" s="11" t="s">
        <v>222</v>
      </c>
      <c r="G519" s="8">
        <v>351.51</v>
      </c>
      <c r="H519" s="8">
        <v>0</v>
      </c>
      <c r="I519" s="8">
        <f t="shared" si="9"/>
        <v>54983.640000000014</v>
      </c>
      <c r="J519" s="12"/>
    </row>
    <row r="520" spans="3:10" hidden="1" x14ac:dyDescent="0.25">
      <c r="C520" s="9"/>
      <c r="D520" s="10">
        <v>45731</v>
      </c>
      <c r="E520" t="s">
        <v>7966</v>
      </c>
      <c r="F520" s="11" t="s">
        <v>140</v>
      </c>
      <c r="G520" s="8">
        <v>571.29</v>
      </c>
      <c r="H520" s="8">
        <v>0</v>
      </c>
      <c r="I520" s="8">
        <f t="shared" si="9"/>
        <v>55554.930000000015</v>
      </c>
      <c r="J520" s="12"/>
    </row>
    <row r="521" spans="3:10" hidden="1" x14ac:dyDescent="0.25">
      <c r="C521" s="9"/>
      <c r="D521" s="10">
        <v>45731</v>
      </c>
      <c r="E521" t="s">
        <v>7949</v>
      </c>
      <c r="F521" s="11" t="s">
        <v>945</v>
      </c>
      <c r="G521" s="8">
        <v>129.29</v>
      </c>
      <c r="H521" s="8">
        <v>0</v>
      </c>
      <c r="I521" s="8">
        <f t="shared" si="9"/>
        <v>55684.220000000016</v>
      </c>
      <c r="J521" s="12"/>
    </row>
    <row r="522" spans="3:10" hidden="1" x14ac:dyDescent="0.25">
      <c r="C522" s="9"/>
      <c r="D522" s="10">
        <v>45731</v>
      </c>
      <c r="E522" t="s">
        <v>7944</v>
      </c>
      <c r="F522" s="11" t="s">
        <v>173</v>
      </c>
      <c r="G522" s="8">
        <v>31.02</v>
      </c>
      <c r="H522" s="8">
        <v>0</v>
      </c>
      <c r="I522" s="8">
        <f t="shared" si="9"/>
        <v>55715.240000000013</v>
      </c>
      <c r="J522" s="12"/>
    </row>
    <row r="523" spans="3:10" hidden="1" x14ac:dyDescent="0.25">
      <c r="C523" s="9"/>
      <c r="D523" s="10">
        <v>45731</v>
      </c>
      <c r="E523" t="s">
        <v>8071</v>
      </c>
      <c r="F523" s="11" t="s">
        <v>445</v>
      </c>
      <c r="G523" s="8">
        <v>25.3</v>
      </c>
      <c r="H523" s="8">
        <v>0</v>
      </c>
      <c r="I523" s="8">
        <f t="shared" si="9"/>
        <v>55740.540000000015</v>
      </c>
      <c r="J523" s="12"/>
    </row>
    <row r="524" spans="3:10" hidden="1" x14ac:dyDescent="0.25">
      <c r="C524" s="9"/>
      <c r="D524" s="10">
        <v>45731</v>
      </c>
      <c r="E524" t="s">
        <v>8006</v>
      </c>
      <c r="F524" s="11" t="s">
        <v>393</v>
      </c>
      <c r="G524" s="8">
        <v>37.590000000000003</v>
      </c>
      <c r="H524" s="8">
        <v>0</v>
      </c>
      <c r="I524" s="8">
        <f t="shared" si="9"/>
        <v>55778.130000000012</v>
      </c>
      <c r="J524" s="12"/>
    </row>
    <row r="525" spans="3:10" hidden="1" x14ac:dyDescent="0.25">
      <c r="C525" s="9"/>
      <c r="D525" s="10">
        <v>45731</v>
      </c>
      <c r="E525" t="s">
        <v>7960</v>
      </c>
      <c r="F525" s="11" t="s">
        <v>789</v>
      </c>
      <c r="G525" s="8">
        <v>48.33</v>
      </c>
      <c r="H525" s="8">
        <v>0</v>
      </c>
      <c r="I525" s="8">
        <f t="shared" si="9"/>
        <v>55826.460000000014</v>
      </c>
      <c r="J525" s="12"/>
    </row>
    <row r="526" spans="3:10" hidden="1" x14ac:dyDescent="0.25">
      <c r="C526" s="9"/>
      <c r="D526" s="10">
        <v>45731</v>
      </c>
      <c r="E526" t="s">
        <v>7955</v>
      </c>
      <c r="F526" s="11" t="s">
        <v>867</v>
      </c>
      <c r="G526" s="8">
        <v>99.41</v>
      </c>
      <c r="H526" s="8">
        <v>0</v>
      </c>
      <c r="I526" s="8">
        <f t="shared" si="9"/>
        <v>55925.870000000017</v>
      </c>
      <c r="J526" s="12"/>
    </row>
    <row r="527" spans="3:10" hidden="1" x14ac:dyDescent="0.25">
      <c r="C527" s="9"/>
      <c r="D527" s="10">
        <v>45731</v>
      </c>
      <c r="E527" t="s">
        <v>7945</v>
      </c>
      <c r="F527" s="11" t="s">
        <v>1212</v>
      </c>
      <c r="G527" s="8">
        <v>90.81</v>
      </c>
      <c r="H527" s="8">
        <v>0</v>
      </c>
      <c r="I527" s="8">
        <f t="shared" si="9"/>
        <v>56016.680000000015</v>
      </c>
      <c r="J527" s="12"/>
    </row>
    <row r="528" spans="3:10" hidden="1" x14ac:dyDescent="0.25">
      <c r="C528" s="9"/>
      <c r="D528" s="10">
        <v>45731</v>
      </c>
      <c r="E528" t="s">
        <v>7959</v>
      </c>
      <c r="F528" s="11" t="s">
        <v>1077</v>
      </c>
      <c r="G528" s="8">
        <v>132.63</v>
      </c>
      <c r="H528" s="8">
        <v>0</v>
      </c>
      <c r="I528" s="8">
        <f t="shared" si="9"/>
        <v>56149.310000000012</v>
      </c>
      <c r="J528" s="12"/>
    </row>
    <row r="529" spans="3:10" hidden="1" x14ac:dyDescent="0.25">
      <c r="C529" s="9"/>
      <c r="D529" s="10">
        <v>45731</v>
      </c>
      <c r="E529" t="s">
        <v>8008</v>
      </c>
      <c r="F529" s="11" t="s">
        <v>581</v>
      </c>
      <c r="G529" s="8">
        <v>105.67</v>
      </c>
      <c r="H529" s="8">
        <v>0</v>
      </c>
      <c r="I529" s="8">
        <f t="shared" ref="I529:I592" si="10">G529-H529+I528</f>
        <v>56254.98000000001</v>
      </c>
      <c r="J529" s="12"/>
    </row>
    <row r="530" spans="3:10" hidden="1" x14ac:dyDescent="0.25">
      <c r="C530" s="9"/>
      <c r="D530" s="10">
        <v>45731</v>
      </c>
      <c r="E530" t="s">
        <v>7947</v>
      </c>
      <c r="F530" s="11" t="s">
        <v>1280</v>
      </c>
      <c r="G530" s="8">
        <v>148.27000000000001</v>
      </c>
      <c r="H530" s="8">
        <v>0</v>
      </c>
      <c r="I530" s="8">
        <f t="shared" si="10"/>
        <v>56403.250000000007</v>
      </c>
      <c r="J530" s="12"/>
    </row>
    <row r="531" spans="3:10" hidden="1" x14ac:dyDescent="0.25">
      <c r="C531" s="9"/>
      <c r="D531" s="10">
        <v>45731</v>
      </c>
      <c r="E531" t="s">
        <v>7946</v>
      </c>
      <c r="F531" s="11" t="s">
        <v>595</v>
      </c>
      <c r="G531" s="8">
        <v>132.22999999999999</v>
      </c>
      <c r="H531" s="8">
        <v>0</v>
      </c>
      <c r="I531" s="8">
        <f t="shared" si="10"/>
        <v>56535.48000000001</v>
      </c>
      <c r="J531" s="12"/>
    </row>
    <row r="532" spans="3:10" hidden="1" x14ac:dyDescent="0.25">
      <c r="C532" s="9"/>
      <c r="D532" s="10">
        <v>45733</v>
      </c>
      <c r="E532" t="s">
        <v>8095</v>
      </c>
      <c r="F532" s="11" t="s">
        <v>8096</v>
      </c>
      <c r="G532" s="8">
        <v>8.81</v>
      </c>
      <c r="H532" s="8">
        <v>0</v>
      </c>
      <c r="I532" s="8">
        <f t="shared" si="10"/>
        <v>56544.290000000008</v>
      </c>
      <c r="J532" s="12"/>
    </row>
    <row r="533" spans="3:10" hidden="1" x14ac:dyDescent="0.25">
      <c r="C533" s="9"/>
      <c r="D533" s="10">
        <v>45734</v>
      </c>
      <c r="E533" t="s">
        <v>8087</v>
      </c>
      <c r="F533" s="11" t="s">
        <v>829</v>
      </c>
      <c r="G533" s="8">
        <v>40.9</v>
      </c>
      <c r="H533" s="8">
        <v>0</v>
      </c>
      <c r="I533" s="8">
        <f t="shared" si="10"/>
        <v>56585.19000000001</v>
      </c>
      <c r="J533" s="12"/>
    </row>
    <row r="534" spans="3:10" hidden="1" x14ac:dyDescent="0.25">
      <c r="C534" s="9"/>
      <c r="D534" s="10">
        <v>45735</v>
      </c>
      <c r="E534" t="s">
        <v>8056</v>
      </c>
      <c r="F534" s="11" t="s">
        <v>898</v>
      </c>
      <c r="G534" s="8">
        <v>10.41</v>
      </c>
      <c r="H534" s="8">
        <v>0</v>
      </c>
      <c r="I534" s="8">
        <f t="shared" si="10"/>
        <v>56595.600000000013</v>
      </c>
      <c r="J534" s="12"/>
    </row>
    <row r="535" spans="3:10" hidden="1" x14ac:dyDescent="0.25">
      <c r="C535" s="9"/>
      <c r="D535" s="10">
        <v>45735</v>
      </c>
      <c r="E535" t="s">
        <v>7919</v>
      </c>
      <c r="F535" s="11" t="s">
        <v>662</v>
      </c>
      <c r="G535" s="8">
        <v>85.3</v>
      </c>
      <c r="H535" s="8">
        <v>0</v>
      </c>
      <c r="I535" s="8">
        <f t="shared" si="10"/>
        <v>56680.900000000016</v>
      </c>
      <c r="J535" s="12"/>
    </row>
    <row r="536" spans="3:10" hidden="1" x14ac:dyDescent="0.25">
      <c r="C536" s="9"/>
      <c r="D536" s="10">
        <v>45735</v>
      </c>
      <c r="E536" t="s">
        <v>7928</v>
      </c>
      <c r="F536" s="11" t="s">
        <v>684</v>
      </c>
      <c r="G536" s="8">
        <v>217.42</v>
      </c>
      <c r="H536" s="8">
        <v>0</v>
      </c>
      <c r="I536" s="8">
        <f t="shared" si="10"/>
        <v>56898.320000000014</v>
      </c>
      <c r="J536" s="12"/>
    </row>
    <row r="537" spans="3:10" hidden="1" x14ac:dyDescent="0.25">
      <c r="C537" s="9"/>
      <c r="D537" s="10">
        <v>45735</v>
      </c>
      <c r="E537" t="s">
        <v>7983</v>
      </c>
      <c r="F537" s="11" t="s">
        <v>617</v>
      </c>
      <c r="G537" s="8">
        <v>159.34</v>
      </c>
      <c r="H537" s="8">
        <v>0</v>
      </c>
      <c r="I537" s="8">
        <f t="shared" si="10"/>
        <v>57057.660000000011</v>
      </c>
      <c r="J537" s="12"/>
    </row>
    <row r="538" spans="3:10" hidden="1" x14ac:dyDescent="0.25">
      <c r="C538" s="9"/>
      <c r="D538" s="10">
        <v>45736</v>
      </c>
      <c r="E538" t="s">
        <v>7975</v>
      </c>
      <c r="F538" s="11" t="s">
        <v>276</v>
      </c>
      <c r="G538" s="8">
        <v>175.41</v>
      </c>
      <c r="H538" s="8">
        <v>0</v>
      </c>
      <c r="I538" s="8">
        <f t="shared" si="10"/>
        <v>57233.070000000014</v>
      </c>
      <c r="J538" s="12"/>
    </row>
    <row r="539" spans="3:10" hidden="1" x14ac:dyDescent="0.25">
      <c r="C539" s="9"/>
      <c r="D539" s="10">
        <v>45736</v>
      </c>
      <c r="E539" t="s">
        <v>7926</v>
      </c>
      <c r="F539" s="11" t="s">
        <v>1190</v>
      </c>
      <c r="G539" s="8">
        <v>47.98</v>
      </c>
      <c r="H539" s="8">
        <v>0</v>
      </c>
      <c r="I539" s="8">
        <f t="shared" si="10"/>
        <v>57281.050000000017</v>
      </c>
      <c r="J539" s="12"/>
    </row>
    <row r="540" spans="3:10" hidden="1" x14ac:dyDescent="0.25">
      <c r="C540" s="9"/>
      <c r="D540" s="10">
        <v>45736</v>
      </c>
      <c r="E540" t="s">
        <v>7971</v>
      </c>
      <c r="F540" s="11" t="s">
        <v>746</v>
      </c>
      <c r="G540" s="8">
        <v>110.87</v>
      </c>
      <c r="H540" s="8">
        <v>0</v>
      </c>
      <c r="I540" s="8">
        <f t="shared" si="10"/>
        <v>57391.92000000002</v>
      </c>
      <c r="J540" s="12"/>
    </row>
    <row r="541" spans="3:10" hidden="1" x14ac:dyDescent="0.25">
      <c r="C541" s="9"/>
      <c r="D541" s="10">
        <v>45736</v>
      </c>
      <c r="E541" t="s">
        <v>7912</v>
      </c>
      <c r="F541" s="11" t="s">
        <v>431</v>
      </c>
      <c r="G541" s="8">
        <v>350.81</v>
      </c>
      <c r="H541" s="8">
        <v>0</v>
      </c>
      <c r="I541" s="8">
        <f t="shared" si="10"/>
        <v>57742.730000000018</v>
      </c>
      <c r="J541" s="12"/>
    </row>
    <row r="542" spans="3:10" hidden="1" x14ac:dyDescent="0.25">
      <c r="C542" s="9"/>
      <c r="D542" s="10">
        <v>45736</v>
      </c>
      <c r="E542" t="s">
        <v>7978</v>
      </c>
      <c r="F542" s="11" t="s">
        <v>1256</v>
      </c>
      <c r="G542" s="8">
        <v>31.92</v>
      </c>
      <c r="H542" s="8">
        <v>0</v>
      </c>
      <c r="I542" s="8">
        <f t="shared" si="10"/>
        <v>57774.650000000016</v>
      </c>
      <c r="J542" s="12"/>
    </row>
    <row r="543" spans="3:10" hidden="1" x14ac:dyDescent="0.25">
      <c r="C543" s="9"/>
      <c r="D543" s="10">
        <v>45737</v>
      </c>
      <c r="E543" t="s">
        <v>7996</v>
      </c>
      <c r="F543" s="11" t="s">
        <v>1104</v>
      </c>
      <c r="G543" s="8">
        <v>31.75</v>
      </c>
      <c r="H543" s="8">
        <v>0</v>
      </c>
      <c r="I543" s="8">
        <f t="shared" si="10"/>
        <v>57806.400000000016</v>
      </c>
      <c r="J543" s="12"/>
    </row>
    <row r="544" spans="3:10" hidden="1" x14ac:dyDescent="0.25">
      <c r="C544" s="9"/>
      <c r="D544" s="10">
        <v>45737</v>
      </c>
      <c r="E544" t="s">
        <v>7929</v>
      </c>
      <c r="F544" s="11" t="s">
        <v>762</v>
      </c>
      <c r="G544" s="8">
        <v>3.76</v>
      </c>
      <c r="H544" s="8">
        <v>0</v>
      </c>
      <c r="I544" s="8">
        <f t="shared" si="10"/>
        <v>57810.160000000018</v>
      </c>
      <c r="J544" s="12"/>
    </row>
    <row r="545" spans="3:10" hidden="1" x14ac:dyDescent="0.25">
      <c r="C545" s="9"/>
      <c r="D545" s="10">
        <v>45737</v>
      </c>
      <c r="E545" t="s">
        <v>7917</v>
      </c>
      <c r="F545" s="11" t="s">
        <v>1363</v>
      </c>
      <c r="G545" s="8">
        <v>647.54999999999995</v>
      </c>
      <c r="H545" s="8">
        <v>0</v>
      </c>
      <c r="I545" s="8">
        <f t="shared" si="10"/>
        <v>58457.710000000021</v>
      </c>
      <c r="J545" s="12"/>
    </row>
    <row r="546" spans="3:10" hidden="1" x14ac:dyDescent="0.25">
      <c r="C546" s="9"/>
      <c r="D546" s="10">
        <v>45737</v>
      </c>
      <c r="E546" t="s">
        <v>7919</v>
      </c>
      <c r="F546" s="11" t="s">
        <v>664</v>
      </c>
      <c r="G546" s="8">
        <v>31.5</v>
      </c>
      <c r="H546" s="8">
        <v>0</v>
      </c>
      <c r="I546" s="8">
        <f t="shared" si="10"/>
        <v>58489.210000000021</v>
      </c>
      <c r="J546" s="12"/>
    </row>
    <row r="547" spans="3:10" hidden="1" x14ac:dyDescent="0.25">
      <c r="C547" s="9"/>
      <c r="D547" s="10">
        <v>45737</v>
      </c>
      <c r="E547" t="s">
        <v>7978</v>
      </c>
      <c r="F547" s="11" t="s">
        <v>1258</v>
      </c>
      <c r="G547" s="8">
        <v>26.25</v>
      </c>
      <c r="H547" s="8">
        <v>0</v>
      </c>
      <c r="I547" s="8">
        <f t="shared" si="10"/>
        <v>58515.460000000021</v>
      </c>
      <c r="J547" s="12"/>
    </row>
    <row r="548" spans="3:10" hidden="1" x14ac:dyDescent="0.25">
      <c r="C548" s="9"/>
      <c r="D548" s="10">
        <v>45740</v>
      </c>
      <c r="E548" t="s">
        <v>7912</v>
      </c>
      <c r="F548" s="11" t="s">
        <v>433</v>
      </c>
      <c r="G548" s="8">
        <v>-23.94</v>
      </c>
      <c r="H548" s="8">
        <v>0</v>
      </c>
      <c r="I548" s="8">
        <f t="shared" si="10"/>
        <v>58491.520000000019</v>
      </c>
      <c r="J548" s="12"/>
    </row>
    <row r="549" spans="3:10" hidden="1" x14ac:dyDescent="0.25">
      <c r="C549" s="9"/>
      <c r="D549" s="10">
        <v>45740</v>
      </c>
      <c r="E549" t="s">
        <v>7985</v>
      </c>
      <c r="F549" s="11" t="s">
        <v>8097</v>
      </c>
      <c r="G549" s="8">
        <v>45.03</v>
      </c>
      <c r="H549" s="8">
        <v>0</v>
      </c>
      <c r="I549" s="8">
        <f t="shared" si="10"/>
        <v>58536.550000000017</v>
      </c>
      <c r="J549" s="12"/>
    </row>
    <row r="550" spans="3:10" hidden="1" x14ac:dyDescent="0.25">
      <c r="C550" s="9"/>
      <c r="D550" s="10">
        <v>45740</v>
      </c>
      <c r="E550" t="s">
        <v>7987</v>
      </c>
      <c r="F550" s="11" t="s">
        <v>468</v>
      </c>
      <c r="G550" s="8">
        <v>101.17</v>
      </c>
      <c r="H550" s="8">
        <v>0</v>
      </c>
      <c r="I550" s="8">
        <f t="shared" si="10"/>
        <v>58637.720000000016</v>
      </c>
      <c r="J550" s="12"/>
    </row>
    <row r="551" spans="3:10" hidden="1" x14ac:dyDescent="0.25">
      <c r="C551" s="9"/>
      <c r="D551" s="10">
        <v>45740</v>
      </c>
      <c r="E551" t="s">
        <v>7915</v>
      </c>
      <c r="F551" s="11" t="s">
        <v>563</v>
      </c>
      <c r="G551" s="8">
        <v>102.2</v>
      </c>
      <c r="H551" s="8">
        <v>0</v>
      </c>
      <c r="I551" s="8">
        <f t="shared" si="10"/>
        <v>58739.920000000013</v>
      </c>
      <c r="J551" s="12"/>
    </row>
    <row r="552" spans="3:10" hidden="1" x14ac:dyDescent="0.25">
      <c r="C552" s="9"/>
      <c r="D552" s="10">
        <v>45741</v>
      </c>
      <c r="E552" t="s">
        <v>7984</v>
      </c>
      <c r="F552" s="11" t="s">
        <v>1000</v>
      </c>
      <c r="G552" s="8">
        <v>74.73</v>
      </c>
      <c r="H552" s="8">
        <v>0</v>
      </c>
      <c r="I552" s="8">
        <f t="shared" si="10"/>
        <v>58814.650000000016</v>
      </c>
      <c r="J552" s="12"/>
    </row>
    <row r="553" spans="3:10" hidden="1" x14ac:dyDescent="0.25">
      <c r="C553" s="9"/>
      <c r="D553" s="10">
        <v>45741</v>
      </c>
      <c r="E553" t="s">
        <v>7905</v>
      </c>
      <c r="F553" s="11" t="s">
        <v>59</v>
      </c>
      <c r="G553" s="8">
        <v>25.13</v>
      </c>
      <c r="H553" s="8">
        <v>0</v>
      </c>
      <c r="I553" s="8">
        <f t="shared" si="10"/>
        <v>58839.780000000013</v>
      </c>
      <c r="J553" s="12"/>
    </row>
    <row r="554" spans="3:10" hidden="1" x14ac:dyDescent="0.25">
      <c r="C554" s="9"/>
      <c r="D554" s="10">
        <v>45741</v>
      </c>
      <c r="E554" t="s">
        <v>8090</v>
      </c>
      <c r="F554" s="11" t="s">
        <v>8098</v>
      </c>
      <c r="G554" s="8">
        <v>28.7</v>
      </c>
      <c r="H554" s="8">
        <v>0</v>
      </c>
      <c r="I554" s="8">
        <f t="shared" si="10"/>
        <v>58868.48000000001</v>
      </c>
      <c r="J554" s="12"/>
    </row>
    <row r="555" spans="3:10" hidden="1" x14ac:dyDescent="0.25">
      <c r="C555" s="9"/>
      <c r="D555" s="10">
        <v>45741</v>
      </c>
      <c r="E555" t="s">
        <v>7926</v>
      </c>
      <c r="F555" s="11" t="s">
        <v>1192</v>
      </c>
      <c r="G555" s="8">
        <v>63.61</v>
      </c>
      <c r="H555" s="8">
        <v>0</v>
      </c>
      <c r="I555" s="8">
        <f t="shared" si="10"/>
        <v>58932.090000000011</v>
      </c>
      <c r="J555" s="12"/>
    </row>
    <row r="556" spans="3:10" hidden="1" x14ac:dyDescent="0.25">
      <c r="C556" s="9"/>
      <c r="D556" s="10">
        <v>45741</v>
      </c>
      <c r="E556" t="s">
        <v>7912</v>
      </c>
      <c r="F556" s="11" t="s">
        <v>435</v>
      </c>
      <c r="G556" s="8">
        <v>176.26</v>
      </c>
      <c r="H556" s="8">
        <v>0</v>
      </c>
      <c r="I556" s="8">
        <f t="shared" si="10"/>
        <v>59108.350000000013</v>
      </c>
      <c r="J556" s="12"/>
    </row>
    <row r="557" spans="3:10" hidden="1" x14ac:dyDescent="0.25">
      <c r="C557" s="9"/>
      <c r="D557" s="10">
        <v>45741</v>
      </c>
      <c r="E557" t="s">
        <v>7971</v>
      </c>
      <c r="F557" s="11" t="s">
        <v>748</v>
      </c>
      <c r="G557" s="8">
        <v>213.03</v>
      </c>
      <c r="H557" s="8">
        <v>0</v>
      </c>
      <c r="I557" s="8">
        <f t="shared" si="10"/>
        <v>59321.380000000012</v>
      </c>
      <c r="J557" s="12"/>
    </row>
    <row r="558" spans="3:10" hidden="1" x14ac:dyDescent="0.25">
      <c r="C558" s="9"/>
      <c r="D558" s="10">
        <v>45742</v>
      </c>
      <c r="E558" t="s">
        <v>8099</v>
      </c>
      <c r="F558" s="11" t="s">
        <v>8100</v>
      </c>
      <c r="G558" s="8">
        <v>3.97</v>
      </c>
      <c r="H558" s="8">
        <v>0</v>
      </c>
      <c r="I558" s="8">
        <f t="shared" si="10"/>
        <v>59325.350000000013</v>
      </c>
      <c r="J558" s="12"/>
    </row>
    <row r="559" spans="3:10" hidden="1" x14ac:dyDescent="0.25">
      <c r="C559" s="9"/>
      <c r="D559" s="10">
        <v>45742</v>
      </c>
      <c r="E559" t="s">
        <v>8079</v>
      </c>
      <c r="F559" s="11" t="s">
        <v>8101</v>
      </c>
      <c r="G559" s="8">
        <v>87.62</v>
      </c>
      <c r="H559" s="8">
        <v>0</v>
      </c>
      <c r="I559" s="8">
        <f t="shared" si="10"/>
        <v>59412.970000000016</v>
      </c>
      <c r="J559" s="12"/>
    </row>
    <row r="560" spans="3:10" hidden="1" x14ac:dyDescent="0.25">
      <c r="C560" s="9"/>
      <c r="D560" s="10">
        <v>45742</v>
      </c>
      <c r="E560" t="s">
        <v>7979</v>
      </c>
      <c r="F560" s="11" t="s">
        <v>91</v>
      </c>
      <c r="G560" s="8">
        <v>3.48</v>
      </c>
      <c r="H560" s="8">
        <v>0</v>
      </c>
      <c r="I560" s="8">
        <f t="shared" si="10"/>
        <v>59416.450000000019</v>
      </c>
      <c r="J560" s="12"/>
    </row>
    <row r="561" spans="3:10" hidden="1" x14ac:dyDescent="0.25">
      <c r="C561" s="9"/>
      <c r="D561" s="10">
        <v>45742</v>
      </c>
      <c r="E561" t="s">
        <v>7979</v>
      </c>
      <c r="F561" s="11" t="s">
        <v>93</v>
      </c>
      <c r="G561" s="8">
        <v>1169.77</v>
      </c>
      <c r="H561" s="8">
        <v>0</v>
      </c>
      <c r="I561" s="8">
        <f t="shared" si="10"/>
        <v>60586.220000000016</v>
      </c>
      <c r="J561" s="12"/>
    </row>
    <row r="562" spans="3:10" hidden="1" x14ac:dyDescent="0.25">
      <c r="C562" s="9"/>
      <c r="D562" s="10">
        <v>45742</v>
      </c>
      <c r="E562" t="s">
        <v>7912</v>
      </c>
      <c r="F562" s="11" t="s">
        <v>437</v>
      </c>
      <c r="G562" s="8">
        <v>-127.57</v>
      </c>
      <c r="H562" s="8">
        <v>0</v>
      </c>
      <c r="I562" s="8">
        <f t="shared" si="10"/>
        <v>60458.650000000016</v>
      </c>
      <c r="J562" s="12"/>
    </row>
    <row r="563" spans="3:10" hidden="1" x14ac:dyDescent="0.25">
      <c r="C563" s="9"/>
      <c r="D563" s="10">
        <v>45742</v>
      </c>
      <c r="E563" t="s">
        <v>7917</v>
      </c>
      <c r="F563" s="11" t="s">
        <v>1365</v>
      </c>
      <c r="G563" s="8">
        <v>1.69</v>
      </c>
      <c r="H563" s="8">
        <v>0</v>
      </c>
      <c r="I563" s="8">
        <f t="shared" si="10"/>
        <v>60460.340000000018</v>
      </c>
      <c r="J563" s="12"/>
    </row>
    <row r="564" spans="3:10" hidden="1" x14ac:dyDescent="0.25">
      <c r="C564" s="9"/>
      <c r="D564" s="10">
        <v>45743</v>
      </c>
      <c r="E564" t="s">
        <v>7917</v>
      </c>
      <c r="F564" s="11" t="s">
        <v>1367</v>
      </c>
      <c r="G564" s="8">
        <v>144.46</v>
      </c>
      <c r="H564" s="8">
        <v>0</v>
      </c>
      <c r="I564" s="8">
        <f t="shared" si="10"/>
        <v>60604.800000000017</v>
      </c>
      <c r="J564" s="12"/>
    </row>
    <row r="565" spans="3:10" hidden="1" x14ac:dyDescent="0.25">
      <c r="C565" s="9"/>
      <c r="D565" s="10">
        <v>45743</v>
      </c>
      <c r="E565" t="s">
        <v>7911</v>
      </c>
      <c r="F565" s="11" t="s">
        <v>30</v>
      </c>
      <c r="G565" s="8">
        <v>66.48</v>
      </c>
      <c r="H565" s="8">
        <v>0</v>
      </c>
      <c r="I565" s="8">
        <f t="shared" si="10"/>
        <v>60671.280000000021</v>
      </c>
      <c r="J565" s="12"/>
    </row>
    <row r="566" spans="3:10" hidden="1" x14ac:dyDescent="0.25">
      <c r="C566" s="9"/>
      <c r="D566" s="10">
        <v>45743</v>
      </c>
      <c r="E566" t="s">
        <v>8102</v>
      </c>
      <c r="F566" s="11" t="s">
        <v>547</v>
      </c>
      <c r="G566" s="8">
        <v>51.24</v>
      </c>
      <c r="H566" s="8">
        <v>0</v>
      </c>
      <c r="I566" s="8">
        <f t="shared" si="10"/>
        <v>60722.520000000019</v>
      </c>
      <c r="J566" s="12"/>
    </row>
    <row r="567" spans="3:10" hidden="1" x14ac:dyDescent="0.25">
      <c r="C567" s="9"/>
      <c r="D567" s="10">
        <v>45743</v>
      </c>
      <c r="E567" t="s">
        <v>7983</v>
      </c>
      <c r="F567" s="11" t="s">
        <v>619</v>
      </c>
      <c r="G567" s="8">
        <v>87.27</v>
      </c>
      <c r="H567" s="8">
        <v>0</v>
      </c>
      <c r="I567" s="8">
        <f t="shared" si="10"/>
        <v>60809.790000000015</v>
      </c>
      <c r="J567" s="12"/>
    </row>
    <row r="568" spans="3:10" hidden="1" x14ac:dyDescent="0.25">
      <c r="C568" s="9"/>
      <c r="D568" s="10">
        <v>45743</v>
      </c>
      <c r="E568" t="s">
        <v>7977</v>
      </c>
      <c r="F568" s="11" t="s">
        <v>1061</v>
      </c>
      <c r="G568" s="8">
        <v>38.97</v>
      </c>
      <c r="H568" s="8">
        <v>0</v>
      </c>
      <c r="I568" s="8">
        <f t="shared" si="10"/>
        <v>60848.760000000017</v>
      </c>
      <c r="J568" s="12"/>
    </row>
    <row r="569" spans="3:10" hidden="1" x14ac:dyDescent="0.25">
      <c r="C569" s="9"/>
      <c r="D569" s="10">
        <v>45743</v>
      </c>
      <c r="E569" t="s">
        <v>8064</v>
      </c>
      <c r="F569" s="11" t="s">
        <v>515</v>
      </c>
      <c r="G569" s="8">
        <v>97.92</v>
      </c>
      <c r="H569" s="8">
        <v>0</v>
      </c>
      <c r="I569" s="8">
        <f t="shared" si="10"/>
        <v>60946.680000000015</v>
      </c>
      <c r="J569" s="12"/>
    </row>
    <row r="570" spans="3:10" hidden="1" x14ac:dyDescent="0.25">
      <c r="C570" s="9"/>
      <c r="D570" s="10">
        <v>45744</v>
      </c>
      <c r="E570" t="s">
        <v>8070</v>
      </c>
      <c r="F570" s="11" t="s">
        <v>283</v>
      </c>
      <c r="G570" s="8">
        <v>36.75</v>
      </c>
      <c r="H570" s="8">
        <v>0</v>
      </c>
      <c r="I570" s="8">
        <f t="shared" si="10"/>
        <v>60983.430000000015</v>
      </c>
      <c r="J570" s="12"/>
    </row>
    <row r="571" spans="3:10" hidden="1" x14ac:dyDescent="0.25">
      <c r="C571" s="9"/>
      <c r="D571" s="10">
        <v>45744</v>
      </c>
      <c r="E571" t="s">
        <v>8103</v>
      </c>
      <c r="F571" s="11" t="s">
        <v>969</v>
      </c>
      <c r="G571" s="8">
        <v>239.81</v>
      </c>
      <c r="H571" s="8">
        <v>0</v>
      </c>
      <c r="I571" s="8">
        <f t="shared" si="10"/>
        <v>61223.240000000013</v>
      </c>
      <c r="J571" s="12"/>
    </row>
    <row r="572" spans="3:10" hidden="1" x14ac:dyDescent="0.25">
      <c r="C572" s="9"/>
      <c r="D572" s="10">
        <v>45744</v>
      </c>
      <c r="E572" t="s">
        <v>8104</v>
      </c>
      <c r="F572" s="11" t="s">
        <v>1097</v>
      </c>
      <c r="G572" s="8">
        <v>474.29</v>
      </c>
      <c r="H572" s="8">
        <v>0</v>
      </c>
      <c r="I572" s="8">
        <f t="shared" si="10"/>
        <v>61697.530000000013</v>
      </c>
      <c r="J572" s="12"/>
    </row>
    <row r="573" spans="3:10" hidden="1" x14ac:dyDescent="0.25">
      <c r="C573" s="9"/>
      <c r="D573" s="10">
        <v>45744</v>
      </c>
      <c r="E573" t="s">
        <v>7930</v>
      </c>
      <c r="F573" s="11" t="s">
        <v>544</v>
      </c>
      <c r="G573" s="8">
        <v>80.8</v>
      </c>
      <c r="H573" s="8">
        <v>0</v>
      </c>
      <c r="I573" s="8">
        <f t="shared" si="10"/>
        <v>61778.330000000016</v>
      </c>
      <c r="J573" s="12"/>
    </row>
    <row r="574" spans="3:10" hidden="1" x14ac:dyDescent="0.25">
      <c r="C574" s="9"/>
      <c r="D574" s="10">
        <v>45744</v>
      </c>
      <c r="E574" t="s">
        <v>7980</v>
      </c>
      <c r="F574" s="11" t="s">
        <v>1492</v>
      </c>
      <c r="G574" s="8">
        <v>36.54</v>
      </c>
      <c r="H574" s="8">
        <v>0</v>
      </c>
      <c r="I574" s="8">
        <f t="shared" si="10"/>
        <v>61814.870000000017</v>
      </c>
      <c r="J574" s="12"/>
    </row>
    <row r="575" spans="3:10" hidden="1" x14ac:dyDescent="0.25">
      <c r="C575" s="9"/>
      <c r="D575" s="10">
        <v>45746</v>
      </c>
      <c r="E575" t="s">
        <v>7991</v>
      </c>
      <c r="F575" s="11" t="s">
        <v>331</v>
      </c>
      <c r="G575" s="8">
        <v>13.61</v>
      </c>
      <c r="H575" s="8">
        <v>0</v>
      </c>
      <c r="I575" s="8">
        <f t="shared" si="10"/>
        <v>61828.480000000018</v>
      </c>
      <c r="J575" s="12"/>
    </row>
    <row r="576" spans="3:10" hidden="1" x14ac:dyDescent="0.25">
      <c r="C576" s="9"/>
      <c r="D576" s="10">
        <v>45746</v>
      </c>
      <c r="E576" t="s">
        <v>7963</v>
      </c>
      <c r="F576" s="11" t="s">
        <v>807</v>
      </c>
      <c r="G576" s="8">
        <v>505.3</v>
      </c>
      <c r="H576" s="8">
        <v>0</v>
      </c>
      <c r="I576" s="8">
        <f t="shared" si="10"/>
        <v>62333.780000000021</v>
      </c>
      <c r="J576" s="12"/>
    </row>
    <row r="577" spans="3:10" hidden="1" x14ac:dyDescent="0.25">
      <c r="C577" s="9"/>
      <c r="D577" s="10">
        <v>45746</v>
      </c>
      <c r="E577" t="s">
        <v>7978</v>
      </c>
      <c r="F577" s="11" t="s">
        <v>1260</v>
      </c>
      <c r="G577" s="8">
        <v>11.95</v>
      </c>
      <c r="H577" s="8">
        <v>0</v>
      </c>
      <c r="I577" s="8">
        <f t="shared" si="10"/>
        <v>62345.730000000018</v>
      </c>
      <c r="J577" s="12"/>
    </row>
    <row r="578" spans="3:10" hidden="1" x14ac:dyDescent="0.25">
      <c r="C578" s="9"/>
      <c r="D578" s="10">
        <v>45746</v>
      </c>
      <c r="E578" t="s">
        <v>7978</v>
      </c>
      <c r="F578" s="11" t="s">
        <v>1262</v>
      </c>
      <c r="G578" s="8">
        <v>4.82</v>
      </c>
      <c r="H578" s="8">
        <v>0</v>
      </c>
      <c r="I578" s="8">
        <f t="shared" si="10"/>
        <v>62350.550000000017</v>
      </c>
      <c r="J578" s="12"/>
    </row>
    <row r="579" spans="3:10" hidden="1" x14ac:dyDescent="0.25">
      <c r="C579" s="9"/>
      <c r="D579" s="10">
        <v>45746</v>
      </c>
      <c r="E579" t="s">
        <v>7978</v>
      </c>
      <c r="F579" s="11" t="s">
        <v>1264</v>
      </c>
      <c r="G579" s="8">
        <v>15.2</v>
      </c>
      <c r="H579" s="8">
        <v>0</v>
      </c>
      <c r="I579" s="8">
        <f t="shared" si="10"/>
        <v>62365.750000000015</v>
      </c>
      <c r="J579" s="12"/>
    </row>
    <row r="580" spans="3:10" hidden="1" x14ac:dyDescent="0.25">
      <c r="C580" s="9"/>
      <c r="D580" s="10">
        <v>45746</v>
      </c>
      <c r="E580" t="s">
        <v>7995</v>
      </c>
      <c r="F580" s="11" t="s">
        <v>193</v>
      </c>
      <c r="G580" s="8">
        <v>459.56</v>
      </c>
      <c r="H580" s="8">
        <v>0</v>
      </c>
      <c r="I580" s="8">
        <f t="shared" si="10"/>
        <v>62825.310000000012</v>
      </c>
      <c r="J580" s="12"/>
    </row>
    <row r="581" spans="3:10" hidden="1" x14ac:dyDescent="0.25">
      <c r="C581" s="9"/>
      <c r="D581" s="10">
        <v>45746</v>
      </c>
      <c r="E581" t="s">
        <v>7959</v>
      </c>
      <c r="F581" s="11" t="s">
        <v>1080</v>
      </c>
      <c r="G581" s="8">
        <v>103.79</v>
      </c>
      <c r="H581" s="8">
        <v>0</v>
      </c>
      <c r="I581" s="8">
        <f t="shared" si="10"/>
        <v>62929.100000000013</v>
      </c>
      <c r="J581" s="12"/>
    </row>
    <row r="582" spans="3:10" hidden="1" x14ac:dyDescent="0.25">
      <c r="C582" s="9"/>
      <c r="D582" s="10">
        <v>45747</v>
      </c>
      <c r="E582" t="s">
        <v>7998</v>
      </c>
      <c r="F582" s="11" t="s">
        <v>8105</v>
      </c>
      <c r="G582" s="8">
        <v>122.25</v>
      </c>
      <c r="H582" s="8">
        <v>0</v>
      </c>
      <c r="I582" s="8">
        <f t="shared" si="10"/>
        <v>63051.350000000013</v>
      </c>
      <c r="J582" s="12"/>
    </row>
    <row r="583" spans="3:10" hidden="1" x14ac:dyDescent="0.25">
      <c r="C583" s="9"/>
      <c r="D583" s="10">
        <v>45747</v>
      </c>
      <c r="E583" t="s">
        <v>7943</v>
      </c>
      <c r="F583" s="11" t="s">
        <v>1041</v>
      </c>
      <c r="G583" s="8">
        <v>25.83</v>
      </c>
      <c r="H583" s="8">
        <v>0</v>
      </c>
      <c r="I583" s="8">
        <f t="shared" si="10"/>
        <v>63077.180000000015</v>
      </c>
      <c r="J583" s="12"/>
    </row>
    <row r="584" spans="3:10" hidden="1" x14ac:dyDescent="0.25">
      <c r="C584" s="9"/>
      <c r="D584" s="10">
        <v>45747</v>
      </c>
      <c r="E584" t="s">
        <v>8050</v>
      </c>
      <c r="F584" s="11" t="s">
        <v>961</v>
      </c>
      <c r="G584" s="8">
        <v>3.44</v>
      </c>
      <c r="H584" s="8">
        <v>0</v>
      </c>
      <c r="I584" s="8">
        <f t="shared" si="10"/>
        <v>63080.620000000017</v>
      </c>
      <c r="J584" s="12"/>
    </row>
    <row r="585" spans="3:10" hidden="1" x14ac:dyDescent="0.25">
      <c r="C585" s="9"/>
      <c r="D585" s="10">
        <v>45747</v>
      </c>
      <c r="E585" t="s">
        <v>8106</v>
      </c>
      <c r="F585" s="11" t="s">
        <v>954</v>
      </c>
      <c r="G585" s="8">
        <v>14.32</v>
      </c>
      <c r="H585" s="8">
        <v>0</v>
      </c>
      <c r="I585" s="8">
        <f t="shared" si="10"/>
        <v>63094.940000000017</v>
      </c>
      <c r="J585" s="12"/>
    </row>
    <row r="586" spans="3:10" hidden="1" x14ac:dyDescent="0.25">
      <c r="C586" s="9"/>
      <c r="D586" s="10">
        <v>45747</v>
      </c>
      <c r="E586" t="s">
        <v>8003</v>
      </c>
      <c r="F586" s="11" t="s">
        <v>1226</v>
      </c>
      <c r="G586" s="8">
        <v>75.599999999999994</v>
      </c>
      <c r="H586" s="8">
        <v>0</v>
      </c>
      <c r="I586" s="8">
        <f t="shared" si="10"/>
        <v>63170.540000000015</v>
      </c>
      <c r="J586" s="12"/>
    </row>
    <row r="587" spans="3:10" hidden="1" x14ac:dyDescent="0.25">
      <c r="C587" s="9"/>
      <c r="D587" s="10">
        <v>45747</v>
      </c>
      <c r="E587" t="s">
        <v>7947</v>
      </c>
      <c r="F587" s="11" t="s">
        <v>1283</v>
      </c>
      <c r="G587" s="8">
        <v>56.88</v>
      </c>
      <c r="H587" s="8">
        <v>0</v>
      </c>
      <c r="I587" s="8">
        <f t="shared" si="10"/>
        <v>63227.420000000013</v>
      </c>
      <c r="J587" s="12"/>
    </row>
    <row r="588" spans="3:10" hidden="1" x14ac:dyDescent="0.25">
      <c r="C588" s="9"/>
      <c r="D588" s="10">
        <v>45747</v>
      </c>
      <c r="E588" t="s">
        <v>7948</v>
      </c>
      <c r="F588" s="11" t="s">
        <v>1135</v>
      </c>
      <c r="G588" s="8">
        <v>45.62</v>
      </c>
      <c r="H588" s="8">
        <v>0</v>
      </c>
      <c r="I588" s="8">
        <f t="shared" si="10"/>
        <v>63273.040000000015</v>
      </c>
      <c r="J588" s="12"/>
    </row>
    <row r="589" spans="3:10" hidden="1" x14ac:dyDescent="0.25">
      <c r="C589" s="9"/>
      <c r="D589" s="10">
        <v>45747</v>
      </c>
      <c r="E589" t="s">
        <v>8107</v>
      </c>
      <c r="F589" s="11" t="s">
        <v>1013</v>
      </c>
      <c r="G589" s="8">
        <v>26.9</v>
      </c>
      <c r="H589" s="8">
        <v>0</v>
      </c>
      <c r="I589" s="8">
        <f t="shared" si="10"/>
        <v>63299.940000000017</v>
      </c>
      <c r="J589" s="12"/>
    </row>
    <row r="590" spans="3:10" hidden="1" x14ac:dyDescent="0.25">
      <c r="C590" s="9"/>
      <c r="D590" s="10">
        <v>45747</v>
      </c>
      <c r="E590" t="s">
        <v>8108</v>
      </c>
      <c r="F590" s="11" t="s">
        <v>232</v>
      </c>
      <c r="G590" s="8">
        <v>17.690000000000001</v>
      </c>
      <c r="H590" s="8">
        <v>0</v>
      </c>
      <c r="I590" s="8">
        <f t="shared" si="10"/>
        <v>63317.630000000019</v>
      </c>
      <c r="J590" s="12"/>
    </row>
    <row r="591" spans="3:10" hidden="1" x14ac:dyDescent="0.25">
      <c r="C591" s="9"/>
      <c r="D591" s="10">
        <v>45747</v>
      </c>
      <c r="E591" t="s">
        <v>8109</v>
      </c>
      <c r="F591" s="11" t="s">
        <v>1120</v>
      </c>
      <c r="G591" s="8">
        <v>74.59</v>
      </c>
      <c r="H591" s="8">
        <v>0</v>
      </c>
      <c r="I591" s="8">
        <f t="shared" si="10"/>
        <v>63392.220000000016</v>
      </c>
      <c r="J591" s="12"/>
    </row>
    <row r="592" spans="3:10" hidden="1" x14ac:dyDescent="0.25">
      <c r="C592" s="9"/>
      <c r="D592" s="10">
        <v>45747</v>
      </c>
      <c r="E592" t="s">
        <v>8000</v>
      </c>
      <c r="F592" s="11" t="s">
        <v>19</v>
      </c>
      <c r="G592" s="8">
        <v>48.82</v>
      </c>
      <c r="H592" s="8">
        <v>0</v>
      </c>
      <c r="I592" s="8">
        <f t="shared" si="10"/>
        <v>63441.040000000015</v>
      </c>
      <c r="J592" s="12"/>
    </row>
    <row r="593" spans="3:10" hidden="1" x14ac:dyDescent="0.25">
      <c r="C593" s="9"/>
      <c r="D593" s="10">
        <v>45747</v>
      </c>
      <c r="E593" t="s">
        <v>8110</v>
      </c>
      <c r="F593" s="11" t="s">
        <v>992</v>
      </c>
      <c r="G593" s="8">
        <v>2.02</v>
      </c>
      <c r="H593" s="8">
        <v>0</v>
      </c>
      <c r="I593" s="8">
        <f t="shared" ref="I593:I636" si="11">G593-H593+I592</f>
        <v>63443.060000000012</v>
      </c>
      <c r="J593" s="12"/>
    </row>
    <row r="594" spans="3:10" hidden="1" x14ac:dyDescent="0.25">
      <c r="C594" s="9"/>
      <c r="D594" s="10">
        <v>45747</v>
      </c>
      <c r="E594" t="s">
        <v>7926</v>
      </c>
      <c r="F594" s="11" t="s">
        <v>1194</v>
      </c>
      <c r="G594" s="8">
        <v>51.7</v>
      </c>
      <c r="H594" s="8">
        <v>0</v>
      </c>
      <c r="I594" s="8">
        <f t="shared" si="11"/>
        <v>63494.760000000009</v>
      </c>
      <c r="J594" s="12"/>
    </row>
    <row r="595" spans="3:10" hidden="1" x14ac:dyDescent="0.25">
      <c r="C595" s="9"/>
      <c r="D595" s="10">
        <v>45747</v>
      </c>
      <c r="E595" t="s">
        <v>7997</v>
      </c>
      <c r="F595" s="11" t="s">
        <v>70</v>
      </c>
      <c r="G595" s="8">
        <v>20.2</v>
      </c>
      <c r="H595" s="8">
        <v>0</v>
      </c>
      <c r="I595" s="8">
        <f t="shared" si="11"/>
        <v>63514.960000000006</v>
      </c>
      <c r="J595" s="12"/>
    </row>
    <row r="596" spans="3:10" hidden="1" x14ac:dyDescent="0.25">
      <c r="C596" s="9"/>
      <c r="D596" s="10">
        <v>45747</v>
      </c>
      <c r="E596" t="s">
        <v>8111</v>
      </c>
      <c r="F596" s="11" t="s">
        <v>1461</v>
      </c>
      <c r="G596" s="8">
        <v>85.75</v>
      </c>
      <c r="H596" s="8">
        <v>0</v>
      </c>
      <c r="I596" s="8">
        <f t="shared" si="11"/>
        <v>63600.710000000006</v>
      </c>
      <c r="J596" s="12"/>
    </row>
    <row r="597" spans="3:10" hidden="1" x14ac:dyDescent="0.25">
      <c r="C597" s="9"/>
      <c r="D597" s="10">
        <v>45747</v>
      </c>
      <c r="E597" t="s">
        <v>7955</v>
      </c>
      <c r="F597" s="11" t="s">
        <v>869</v>
      </c>
      <c r="G597" s="8">
        <v>159.59</v>
      </c>
      <c r="H597" s="8">
        <v>0</v>
      </c>
      <c r="I597" s="8">
        <f t="shared" si="11"/>
        <v>63760.3</v>
      </c>
      <c r="J597" s="12"/>
    </row>
    <row r="598" spans="3:10" hidden="1" x14ac:dyDescent="0.25">
      <c r="C598" s="9"/>
      <c r="D598" s="10">
        <v>45747</v>
      </c>
      <c r="E598" t="s">
        <v>8014</v>
      </c>
      <c r="F598" s="11" t="s">
        <v>917</v>
      </c>
      <c r="G598" s="8">
        <v>134.44</v>
      </c>
      <c r="H598" s="8">
        <v>0</v>
      </c>
      <c r="I598" s="8">
        <f t="shared" si="11"/>
        <v>63894.740000000005</v>
      </c>
      <c r="J598" s="12"/>
    </row>
    <row r="599" spans="3:10" hidden="1" x14ac:dyDescent="0.25">
      <c r="C599" s="9"/>
      <c r="D599" s="10">
        <v>45747</v>
      </c>
      <c r="E599" t="s">
        <v>8044</v>
      </c>
      <c r="F599" s="11" t="s">
        <v>203</v>
      </c>
      <c r="G599" s="8">
        <v>4.5199999999999996</v>
      </c>
      <c r="H599" s="8">
        <v>0</v>
      </c>
      <c r="I599" s="8">
        <f t="shared" si="11"/>
        <v>63899.26</v>
      </c>
      <c r="J599" s="12"/>
    </row>
    <row r="600" spans="3:10" hidden="1" x14ac:dyDescent="0.25">
      <c r="C600" s="9"/>
      <c r="D600" s="10">
        <v>45747</v>
      </c>
      <c r="E600" t="s">
        <v>7956</v>
      </c>
      <c r="F600" s="11" t="s">
        <v>312</v>
      </c>
      <c r="G600" s="8">
        <v>233.79</v>
      </c>
      <c r="H600" s="8">
        <v>0</v>
      </c>
      <c r="I600" s="8">
        <f t="shared" si="11"/>
        <v>64133.05</v>
      </c>
      <c r="J600" s="12"/>
    </row>
    <row r="601" spans="3:10" hidden="1" x14ac:dyDescent="0.25">
      <c r="C601" s="9"/>
      <c r="D601" s="10">
        <v>45747</v>
      </c>
      <c r="E601" t="s">
        <v>8073</v>
      </c>
      <c r="F601" s="11" t="s">
        <v>454</v>
      </c>
      <c r="G601" s="8">
        <v>23.97</v>
      </c>
      <c r="H601" s="8">
        <v>0</v>
      </c>
      <c r="I601" s="8">
        <f t="shared" si="11"/>
        <v>64157.020000000004</v>
      </c>
      <c r="J601" s="12"/>
    </row>
    <row r="602" spans="3:10" hidden="1" x14ac:dyDescent="0.25">
      <c r="C602" s="9"/>
      <c r="D602" s="10">
        <v>45747</v>
      </c>
      <c r="E602" t="s">
        <v>7953</v>
      </c>
      <c r="F602" s="11" t="s">
        <v>850</v>
      </c>
      <c r="G602" s="8">
        <v>370.47</v>
      </c>
      <c r="H602" s="8">
        <v>0</v>
      </c>
      <c r="I602" s="8">
        <f t="shared" si="11"/>
        <v>64527.490000000005</v>
      </c>
      <c r="J602" s="12"/>
    </row>
    <row r="603" spans="3:10" hidden="1" x14ac:dyDescent="0.25">
      <c r="C603" s="9"/>
      <c r="D603" s="10">
        <v>45747</v>
      </c>
      <c r="E603" t="s">
        <v>8019</v>
      </c>
      <c r="F603" s="11" t="s">
        <v>324</v>
      </c>
      <c r="G603" s="8">
        <v>37.42</v>
      </c>
      <c r="H603" s="8">
        <v>0</v>
      </c>
      <c r="I603" s="8">
        <f t="shared" si="11"/>
        <v>64564.91</v>
      </c>
      <c r="J603" s="12"/>
    </row>
    <row r="604" spans="3:10" hidden="1" x14ac:dyDescent="0.25">
      <c r="C604" s="9"/>
      <c r="D604" s="10">
        <v>45747</v>
      </c>
      <c r="E604" t="s">
        <v>8007</v>
      </c>
      <c r="F604" s="11" t="s">
        <v>1146</v>
      </c>
      <c r="G604" s="8">
        <v>29.49</v>
      </c>
      <c r="H604" s="8">
        <v>0</v>
      </c>
      <c r="I604" s="8">
        <f t="shared" si="11"/>
        <v>64594.400000000001</v>
      </c>
      <c r="J604" s="12"/>
    </row>
    <row r="605" spans="3:10" hidden="1" x14ac:dyDescent="0.25">
      <c r="C605" s="9"/>
      <c r="D605" s="10">
        <v>45747</v>
      </c>
      <c r="E605" t="s">
        <v>8046</v>
      </c>
      <c r="F605" s="11" t="s">
        <v>725</v>
      </c>
      <c r="G605" s="8">
        <v>150.13</v>
      </c>
      <c r="H605" s="8">
        <v>0</v>
      </c>
      <c r="I605" s="8">
        <f t="shared" si="11"/>
        <v>64744.53</v>
      </c>
      <c r="J605" s="12"/>
    </row>
    <row r="606" spans="3:10" hidden="1" x14ac:dyDescent="0.25">
      <c r="C606" s="9"/>
      <c r="D606" s="10">
        <v>45747</v>
      </c>
      <c r="E606" t="s">
        <v>7966</v>
      </c>
      <c r="F606" s="11" t="s">
        <v>143</v>
      </c>
      <c r="G606" s="8">
        <v>79.67</v>
      </c>
      <c r="H606" s="8">
        <v>0</v>
      </c>
      <c r="I606" s="8">
        <f t="shared" si="11"/>
        <v>64824.2</v>
      </c>
      <c r="J606" s="12"/>
    </row>
    <row r="607" spans="3:10" hidden="1" x14ac:dyDescent="0.25">
      <c r="C607" s="9"/>
      <c r="D607" s="10">
        <v>45747</v>
      </c>
      <c r="E607" t="s">
        <v>7900</v>
      </c>
      <c r="F607" s="11" t="s">
        <v>988</v>
      </c>
      <c r="G607" s="8">
        <v>886.41</v>
      </c>
      <c r="H607" s="8">
        <v>0</v>
      </c>
      <c r="I607" s="8">
        <f t="shared" si="11"/>
        <v>65710.61</v>
      </c>
      <c r="J607" s="12"/>
    </row>
    <row r="608" spans="3:10" hidden="1" x14ac:dyDescent="0.25">
      <c r="C608" s="9"/>
      <c r="D608" s="10">
        <v>45747</v>
      </c>
      <c r="E608" t="s">
        <v>7919</v>
      </c>
      <c r="F608" s="11" t="s">
        <v>666</v>
      </c>
      <c r="G608" s="8">
        <v>45.7</v>
      </c>
      <c r="H608" s="8">
        <v>0</v>
      </c>
      <c r="I608" s="8">
        <f t="shared" si="11"/>
        <v>65756.31</v>
      </c>
      <c r="J608" s="12"/>
    </row>
    <row r="609" spans="3:10" hidden="1" x14ac:dyDescent="0.25">
      <c r="C609" s="9"/>
      <c r="D609" s="10">
        <v>45747</v>
      </c>
      <c r="E609" t="s">
        <v>7949</v>
      </c>
      <c r="F609" s="11" t="s">
        <v>949</v>
      </c>
      <c r="G609" s="8">
        <v>187.29</v>
      </c>
      <c r="H609" s="8">
        <v>0</v>
      </c>
      <c r="I609" s="8">
        <f t="shared" si="11"/>
        <v>65943.599999999991</v>
      </c>
      <c r="J609" s="12"/>
    </row>
    <row r="610" spans="3:10" hidden="1" x14ac:dyDescent="0.25">
      <c r="C610" s="9"/>
      <c r="D610" s="10">
        <v>45747</v>
      </c>
      <c r="E610" t="s">
        <v>8013</v>
      </c>
      <c r="F610" s="11" t="s">
        <v>879</v>
      </c>
      <c r="G610" s="8">
        <v>199.57</v>
      </c>
      <c r="H610" s="8">
        <v>0</v>
      </c>
      <c r="I610" s="8">
        <f t="shared" si="11"/>
        <v>66143.17</v>
      </c>
      <c r="J610" s="12"/>
    </row>
    <row r="611" spans="3:10" hidden="1" x14ac:dyDescent="0.25">
      <c r="C611" s="9"/>
      <c r="D611" s="10">
        <v>45747</v>
      </c>
      <c r="E611" t="s">
        <v>7960</v>
      </c>
      <c r="F611" s="11" t="s">
        <v>792</v>
      </c>
      <c r="G611" s="8">
        <v>53.61</v>
      </c>
      <c r="H611" s="8">
        <v>0</v>
      </c>
      <c r="I611" s="8">
        <f t="shared" si="11"/>
        <v>66196.78</v>
      </c>
      <c r="J611" s="12"/>
    </row>
    <row r="612" spans="3:10" hidden="1" x14ac:dyDescent="0.25">
      <c r="C612" s="9"/>
      <c r="D612" s="10">
        <v>45747</v>
      </c>
      <c r="E612" t="s">
        <v>8023</v>
      </c>
      <c r="F612" s="11" t="s">
        <v>576</v>
      </c>
      <c r="G612" s="8">
        <v>60.23</v>
      </c>
      <c r="H612" s="8">
        <v>0</v>
      </c>
      <c r="I612" s="8">
        <f t="shared" si="11"/>
        <v>66257.009999999995</v>
      </c>
      <c r="J612" s="12"/>
    </row>
    <row r="613" spans="3:10" hidden="1" x14ac:dyDescent="0.25">
      <c r="C613" s="9"/>
      <c r="D613" s="10">
        <v>45747</v>
      </c>
      <c r="E613" t="s">
        <v>8112</v>
      </c>
      <c r="F613" s="11" t="s">
        <v>814</v>
      </c>
      <c r="G613" s="8">
        <v>16.39</v>
      </c>
      <c r="H613" s="8">
        <v>0</v>
      </c>
      <c r="I613" s="8">
        <f t="shared" si="11"/>
        <v>66273.399999999994</v>
      </c>
      <c r="J613" s="12"/>
    </row>
    <row r="614" spans="3:10" hidden="1" x14ac:dyDescent="0.25">
      <c r="C614" s="9"/>
      <c r="D614" s="10">
        <v>45747</v>
      </c>
      <c r="E614" t="s">
        <v>8020</v>
      </c>
      <c r="F614" s="11" t="s">
        <v>379</v>
      </c>
      <c r="G614" s="8">
        <v>126.54</v>
      </c>
      <c r="H614" s="8">
        <v>0</v>
      </c>
      <c r="I614" s="8">
        <f t="shared" si="11"/>
        <v>66399.939999999988</v>
      </c>
      <c r="J614" s="12"/>
    </row>
    <row r="615" spans="3:10" hidden="1" x14ac:dyDescent="0.25">
      <c r="C615" s="9"/>
      <c r="D615" s="10">
        <v>45747</v>
      </c>
      <c r="E615" t="s">
        <v>8024</v>
      </c>
      <c r="F615" s="11" t="s">
        <v>839</v>
      </c>
      <c r="G615" s="8">
        <v>89.97</v>
      </c>
      <c r="H615" s="8">
        <v>0</v>
      </c>
      <c r="I615" s="8">
        <f t="shared" si="11"/>
        <v>66489.909999999989</v>
      </c>
      <c r="J615" s="12"/>
    </row>
    <row r="616" spans="3:10" hidden="1" x14ac:dyDescent="0.25">
      <c r="C616" s="9"/>
      <c r="D616" s="10">
        <v>45747</v>
      </c>
      <c r="E616" t="s">
        <v>8017</v>
      </c>
      <c r="F616" s="11" t="s">
        <v>1094</v>
      </c>
      <c r="G616" s="8">
        <v>32.26</v>
      </c>
      <c r="H616" s="8">
        <v>0</v>
      </c>
      <c r="I616" s="8">
        <f t="shared" si="11"/>
        <v>66522.169999999984</v>
      </c>
      <c r="J616" s="12"/>
    </row>
    <row r="617" spans="3:10" hidden="1" x14ac:dyDescent="0.25">
      <c r="C617" s="9"/>
      <c r="D617" s="10">
        <v>45747</v>
      </c>
      <c r="E617" t="s">
        <v>8012</v>
      </c>
      <c r="F617" s="11" t="s">
        <v>704</v>
      </c>
      <c r="G617" s="8">
        <v>211.03</v>
      </c>
      <c r="H617" s="8">
        <v>0</v>
      </c>
      <c r="I617" s="8">
        <f t="shared" si="11"/>
        <v>66733.199999999983</v>
      </c>
      <c r="J617" s="12"/>
    </row>
    <row r="618" spans="3:10" hidden="1" x14ac:dyDescent="0.25">
      <c r="C618" s="9"/>
      <c r="D618" s="10">
        <v>45747</v>
      </c>
      <c r="E618" t="s">
        <v>7973</v>
      </c>
      <c r="F618" s="11" t="s">
        <v>532</v>
      </c>
      <c r="G618" s="8">
        <v>53.55</v>
      </c>
      <c r="H618" s="8">
        <v>0</v>
      </c>
      <c r="I618" s="8">
        <f t="shared" si="11"/>
        <v>66786.749999999985</v>
      </c>
      <c r="J618" s="12"/>
    </row>
    <row r="619" spans="3:10" hidden="1" x14ac:dyDescent="0.25">
      <c r="C619" s="9"/>
      <c r="D619" s="10">
        <v>45747</v>
      </c>
      <c r="E619" t="s">
        <v>7952</v>
      </c>
      <c r="F619" s="11" t="s">
        <v>264</v>
      </c>
      <c r="G619" s="8">
        <v>63.13</v>
      </c>
      <c r="H619" s="8">
        <v>0</v>
      </c>
      <c r="I619" s="8">
        <f t="shared" si="11"/>
        <v>66849.87999999999</v>
      </c>
      <c r="J619" s="12"/>
    </row>
    <row r="620" spans="3:10" hidden="1" x14ac:dyDescent="0.25">
      <c r="C620" s="9"/>
      <c r="D620" s="10">
        <v>45747</v>
      </c>
      <c r="E620" t="s">
        <v>8113</v>
      </c>
      <c r="F620" s="11" t="s">
        <v>1218</v>
      </c>
      <c r="G620" s="8">
        <v>3.74</v>
      </c>
      <c r="H620" s="8">
        <v>0</v>
      </c>
      <c r="I620" s="8">
        <f t="shared" si="11"/>
        <v>66853.62</v>
      </c>
      <c r="J620" s="12"/>
    </row>
    <row r="621" spans="3:10" hidden="1" x14ac:dyDescent="0.25">
      <c r="C621" s="9"/>
      <c r="D621" s="10">
        <v>45747</v>
      </c>
      <c r="E621" t="s">
        <v>8114</v>
      </c>
      <c r="F621" s="11" t="s">
        <v>965</v>
      </c>
      <c r="G621" s="8">
        <v>291.22000000000003</v>
      </c>
      <c r="H621" s="8">
        <v>0</v>
      </c>
      <c r="I621" s="8">
        <f t="shared" si="11"/>
        <v>67144.84</v>
      </c>
      <c r="J621" s="12"/>
    </row>
    <row r="622" spans="3:10" hidden="1" x14ac:dyDescent="0.25">
      <c r="C622" s="9"/>
      <c r="D622" s="10">
        <v>45747</v>
      </c>
      <c r="E622" t="s">
        <v>7946</v>
      </c>
      <c r="F622" s="11" t="s">
        <v>598</v>
      </c>
      <c r="G622" s="8">
        <v>19.260000000000002</v>
      </c>
      <c r="H622" s="8">
        <v>0</v>
      </c>
      <c r="I622" s="8">
        <f t="shared" si="11"/>
        <v>67164.099999999991</v>
      </c>
      <c r="J622" s="12"/>
    </row>
    <row r="623" spans="3:10" hidden="1" x14ac:dyDescent="0.25">
      <c r="C623" s="9"/>
      <c r="D623" s="10">
        <v>45747</v>
      </c>
      <c r="E623" t="s">
        <v>8115</v>
      </c>
      <c r="F623" s="11" t="s">
        <v>383</v>
      </c>
      <c r="G623" s="8">
        <v>161.28</v>
      </c>
      <c r="H623" s="8">
        <v>0</v>
      </c>
      <c r="I623" s="8">
        <f t="shared" si="11"/>
        <v>67325.37999999999</v>
      </c>
      <c r="J623" s="12"/>
    </row>
    <row r="624" spans="3:10" hidden="1" x14ac:dyDescent="0.25">
      <c r="C624" s="9"/>
      <c r="D624" s="10">
        <v>45747</v>
      </c>
      <c r="E624" t="s">
        <v>8018</v>
      </c>
      <c r="F624" s="11" t="s">
        <v>627</v>
      </c>
      <c r="G624" s="8">
        <v>51.46</v>
      </c>
      <c r="H624" s="8">
        <v>0</v>
      </c>
      <c r="I624" s="8">
        <f t="shared" si="11"/>
        <v>67376.84</v>
      </c>
      <c r="J624" s="12"/>
    </row>
    <row r="625" spans="1:10" hidden="1" x14ac:dyDescent="0.25">
      <c r="C625" s="9"/>
      <c r="D625" s="10">
        <v>45747</v>
      </c>
      <c r="E625" t="s">
        <v>7961</v>
      </c>
      <c r="F625" s="11" t="s">
        <v>1382</v>
      </c>
      <c r="G625" s="8">
        <v>365.64</v>
      </c>
      <c r="H625" s="8">
        <v>0</v>
      </c>
      <c r="I625" s="8">
        <f t="shared" si="11"/>
        <v>67742.48</v>
      </c>
      <c r="J625" s="12"/>
    </row>
    <row r="626" spans="1:10" hidden="1" x14ac:dyDescent="0.25">
      <c r="C626" s="9"/>
      <c r="D626" s="10">
        <v>45747</v>
      </c>
      <c r="E626" t="s">
        <v>8018</v>
      </c>
      <c r="F626" s="11" t="s">
        <v>628</v>
      </c>
      <c r="G626" s="8">
        <v>82.63</v>
      </c>
      <c r="H626" s="8">
        <v>0</v>
      </c>
      <c r="I626" s="8">
        <f t="shared" si="11"/>
        <v>67825.11</v>
      </c>
      <c r="J626" s="12"/>
    </row>
    <row r="627" spans="1:10" hidden="1" x14ac:dyDescent="0.25">
      <c r="C627" s="9"/>
      <c r="D627" s="10">
        <v>45747</v>
      </c>
      <c r="E627" t="s">
        <v>7966</v>
      </c>
      <c r="F627" s="11" t="s">
        <v>145</v>
      </c>
      <c r="G627" s="8">
        <v>5708.6</v>
      </c>
      <c r="H627" s="8">
        <v>0</v>
      </c>
      <c r="I627" s="8">
        <f t="shared" si="11"/>
        <v>73533.710000000006</v>
      </c>
      <c r="J627" s="12"/>
    </row>
    <row r="628" spans="1:10" hidden="1" x14ac:dyDescent="0.25">
      <c r="C628" s="9"/>
      <c r="D628" s="10">
        <v>45747</v>
      </c>
      <c r="E628" t="s">
        <v>7957</v>
      </c>
      <c r="F628" s="11" t="s">
        <v>225</v>
      </c>
      <c r="G628" s="8">
        <v>3100.07</v>
      </c>
      <c r="H628" s="8">
        <v>0</v>
      </c>
      <c r="I628" s="8">
        <f t="shared" si="11"/>
        <v>76633.780000000013</v>
      </c>
      <c r="J628" s="12"/>
    </row>
    <row r="629" spans="1:10" hidden="1" x14ac:dyDescent="0.25">
      <c r="C629" s="9"/>
      <c r="D629" s="10">
        <v>45747</v>
      </c>
      <c r="E629" t="s">
        <v>7957</v>
      </c>
      <c r="F629" s="11" t="s">
        <v>227</v>
      </c>
      <c r="G629" s="8">
        <v>-9.27</v>
      </c>
      <c r="H629" s="8">
        <v>0</v>
      </c>
      <c r="I629" s="8">
        <f t="shared" si="11"/>
        <v>76624.510000000009</v>
      </c>
      <c r="J629" s="12"/>
    </row>
    <row r="630" spans="1:10" hidden="1" x14ac:dyDescent="0.25">
      <c r="C630" s="9"/>
      <c r="D630" s="10">
        <v>45747</v>
      </c>
      <c r="E630" t="s">
        <v>7945</v>
      </c>
      <c r="F630" s="11" t="s">
        <v>1215</v>
      </c>
      <c r="G630" s="8">
        <v>80.83</v>
      </c>
      <c r="H630" s="8">
        <v>0</v>
      </c>
      <c r="I630" s="8">
        <f t="shared" si="11"/>
        <v>76705.340000000011</v>
      </c>
      <c r="J630" s="12"/>
    </row>
    <row r="631" spans="1:10" hidden="1" x14ac:dyDescent="0.25">
      <c r="C631" s="9"/>
      <c r="D631" s="10">
        <v>45747</v>
      </c>
      <c r="E631" t="s">
        <v>7962</v>
      </c>
      <c r="F631" s="11" t="s">
        <v>1304</v>
      </c>
      <c r="G631" s="8">
        <v>1143.44</v>
      </c>
      <c r="H631" s="8">
        <v>0</v>
      </c>
      <c r="I631" s="8">
        <f t="shared" si="11"/>
        <v>77848.780000000013</v>
      </c>
      <c r="J631" s="12"/>
    </row>
    <row r="632" spans="1:10" hidden="1" x14ac:dyDescent="0.25">
      <c r="C632" s="9"/>
      <c r="D632" s="10">
        <v>45747</v>
      </c>
      <c r="E632" t="s">
        <v>7912</v>
      </c>
      <c r="F632" s="11" t="s">
        <v>440</v>
      </c>
      <c r="G632" s="8">
        <v>139.34</v>
      </c>
      <c r="H632" s="8">
        <v>0</v>
      </c>
      <c r="I632" s="8">
        <f t="shared" si="11"/>
        <v>77988.12000000001</v>
      </c>
      <c r="J632" s="12"/>
    </row>
    <row r="633" spans="1:10" hidden="1" x14ac:dyDescent="0.25">
      <c r="C633" s="9"/>
      <c r="D633" s="10">
        <v>45747</v>
      </c>
      <c r="E633" t="s">
        <v>7957</v>
      </c>
      <c r="F633" s="11" t="s">
        <v>229</v>
      </c>
      <c r="G633" s="8">
        <v>294.91000000000003</v>
      </c>
      <c r="H633" s="8">
        <v>0</v>
      </c>
      <c r="I633" s="8">
        <f t="shared" si="11"/>
        <v>78283.030000000013</v>
      </c>
      <c r="J633" s="12"/>
    </row>
    <row r="634" spans="1:10" hidden="1" x14ac:dyDescent="0.25">
      <c r="C634" s="9"/>
      <c r="D634" s="10">
        <v>45747</v>
      </c>
      <c r="E634" t="s">
        <v>7885</v>
      </c>
      <c r="F634" s="11" t="s">
        <v>113</v>
      </c>
      <c r="G634" s="8">
        <v>292.45</v>
      </c>
      <c r="H634" s="8">
        <v>0</v>
      </c>
      <c r="I634" s="8">
        <f t="shared" si="11"/>
        <v>78575.48000000001</v>
      </c>
      <c r="J634" s="12"/>
    </row>
    <row r="635" spans="1:10" hidden="1" x14ac:dyDescent="0.25">
      <c r="C635" s="9"/>
      <c r="D635" s="10">
        <v>45747</v>
      </c>
      <c r="E635" t="s">
        <v>8116</v>
      </c>
      <c r="F635" s="11" t="s">
        <v>8117</v>
      </c>
      <c r="G635" s="8">
        <v>0</v>
      </c>
      <c r="H635" s="8">
        <v>78575.48</v>
      </c>
      <c r="I635" s="8">
        <f t="shared" si="11"/>
        <v>0</v>
      </c>
      <c r="J635" s="12"/>
    </row>
    <row r="636" spans="1:10" hidden="1" x14ac:dyDescent="0.25">
      <c r="C636" s="9"/>
      <c r="D636" s="10">
        <v>45761</v>
      </c>
      <c r="E636" t="s">
        <v>8056</v>
      </c>
      <c r="F636" s="11" t="s">
        <v>900</v>
      </c>
      <c r="G636" s="8">
        <v>61.42</v>
      </c>
      <c r="H636" s="8">
        <v>0</v>
      </c>
      <c r="I636" s="8">
        <f t="shared" si="11"/>
        <v>61.42</v>
      </c>
      <c r="J636" s="12"/>
    </row>
    <row r="637" spans="1:10" hidden="1" x14ac:dyDescent="0.25">
      <c r="E637" s="4" t="s">
        <v>20</v>
      </c>
      <c r="G637" s="8">
        <f>SUM(G80:G636)</f>
        <v>78636.900000000009</v>
      </c>
      <c r="H637" s="8">
        <f>SUM(H80:H636)</f>
        <v>78575.48</v>
      </c>
      <c r="I637" s="8">
        <f>G637-H637</f>
        <v>61.420000000012806</v>
      </c>
    </row>
    <row r="639" spans="1:10" hidden="1" x14ac:dyDescent="0.25">
      <c r="A639" s="5">
        <v>4750000</v>
      </c>
      <c r="B639" s="6" t="s">
        <v>8118</v>
      </c>
      <c r="C639" s="7"/>
      <c r="D639" s="7"/>
      <c r="E639" s="7"/>
      <c r="F639" s="7"/>
      <c r="G639" s="7"/>
      <c r="H639" s="7"/>
      <c r="I639" s="7"/>
      <c r="J639" s="7"/>
    </row>
    <row r="640" spans="1:10" hidden="1" x14ac:dyDescent="0.25">
      <c r="E640" s="4" t="s">
        <v>10</v>
      </c>
      <c r="G640" s="8">
        <v>0</v>
      </c>
      <c r="H640" s="8">
        <v>34845.85</v>
      </c>
      <c r="I640" s="8">
        <f>G640-H640</f>
        <v>-34845.85</v>
      </c>
    </row>
    <row r="641" spans="1:10" hidden="1" x14ac:dyDescent="0.25">
      <c r="C641" s="9"/>
      <c r="D641" s="10">
        <v>45687</v>
      </c>
      <c r="E641" t="s">
        <v>8119</v>
      </c>
      <c r="F641" s="11" t="s">
        <v>42</v>
      </c>
      <c r="G641" s="8">
        <v>34845.85</v>
      </c>
      <c r="H641" s="8">
        <v>0</v>
      </c>
      <c r="I641" s="8">
        <f>G641-H641+I640</f>
        <v>0</v>
      </c>
      <c r="J641" s="12"/>
    </row>
    <row r="642" spans="1:10" hidden="1" x14ac:dyDescent="0.25">
      <c r="C642" s="9"/>
      <c r="D642" s="10">
        <v>45747</v>
      </c>
      <c r="E642" t="s">
        <v>8116</v>
      </c>
      <c r="F642" s="11" t="s">
        <v>8117</v>
      </c>
      <c r="G642" s="8">
        <v>0</v>
      </c>
      <c r="H642" s="8">
        <v>24393.08</v>
      </c>
      <c r="I642" s="8">
        <f>G642-H642+I641</f>
        <v>-24393.08</v>
      </c>
      <c r="J642" s="12"/>
    </row>
    <row r="643" spans="1:10" hidden="1" x14ac:dyDescent="0.25">
      <c r="E643" s="4" t="s">
        <v>20</v>
      </c>
      <c r="G643" s="8">
        <f>SUM(G640:G642)</f>
        <v>34845.85</v>
      </c>
      <c r="H643" s="8">
        <f>SUM(H640:H642)</f>
        <v>59238.93</v>
      </c>
      <c r="I643" s="8">
        <f>G643-H643</f>
        <v>-24393.08</v>
      </c>
    </row>
    <row r="645" spans="1:10" hidden="1" x14ac:dyDescent="0.25">
      <c r="A645" s="5">
        <v>4751000</v>
      </c>
      <c r="B645" s="6" t="s">
        <v>8120</v>
      </c>
      <c r="C645" s="7"/>
      <c r="D645" s="7"/>
      <c r="E645" s="7"/>
      <c r="F645" s="7"/>
      <c r="G645" s="7"/>
      <c r="H645" s="7"/>
      <c r="I645" s="7"/>
      <c r="J645" s="7"/>
    </row>
    <row r="646" spans="1:10" hidden="1" x14ac:dyDescent="0.25">
      <c r="E646" s="4" t="s">
        <v>10</v>
      </c>
      <c r="G646" s="8">
        <v>0</v>
      </c>
      <c r="H646" s="39">
        <v>22945.19</v>
      </c>
      <c r="I646" s="8">
        <f>G646-H646</f>
        <v>-22945.19</v>
      </c>
    </row>
    <row r="647" spans="1:10" hidden="1" x14ac:dyDescent="0.25">
      <c r="C647" s="9"/>
      <c r="D647" s="10">
        <v>45658</v>
      </c>
      <c r="E647" t="s">
        <v>8121</v>
      </c>
      <c r="F647" s="11" t="s">
        <v>7895</v>
      </c>
      <c r="G647" s="8">
        <v>0</v>
      </c>
      <c r="H647" s="8">
        <v>38.03</v>
      </c>
      <c r="I647" s="8">
        <f t="shared" ref="I647:I652" si="12">G647-H647+I646</f>
        <v>-22983.219999999998</v>
      </c>
      <c r="J647" s="12"/>
    </row>
    <row r="648" spans="1:10" hidden="1" x14ac:dyDescent="0.25">
      <c r="C648" s="9"/>
      <c r="D648" s="10">
        <v>45674</v>
      </c>
      <c r="E648" t="s">
        <v>8121</v>
      </c>
      <c r="F648" s="11" t="s">
        <v>7972</v>
      </c>
      <c r="G648" s="8">
        <v>0</v>
      </c>
      <c r="H648" s="8">
        <v>39.24</v>
      </c>
      <c r="I648" s="8">
        <f t="shared" si="12"/>
        <v>-23022.46</v>
      </c>
      <c r="J648" s="12"/>
    </row>
    <row r="649" spans="1:10" hidden="1" x14ac:dyDescent="0.25">
      <c r="C649" s="9"/>
      <c r="D649" s="10">
        <v>45677</v>
      </c>
      <c r="E649" t="s">
        <v>8119</v>
      </c>
      <c r="F649" s="11" t="s">
        <v>42</v>
      </c>
      <c r="G649" s="39">
        <v>22945.19</v>
      </c>
      <c r="H649" s="8">
        <v>0</v>
      </c>
      <c r="I649" s="8">
        <f t="shared" si="12"/>
        <v>-77.270000000000437</v>
      </c>
      <c r="J649" s="12"/>
    </row>
    <row r="650" spans="1:10" hidden="1" x14ac:dyDescent="0.25">
      <c r="C650" s="9"/>
      <c r="D650" s="10">
        <v>45688</v>
      </c>
      <c r="E650" t="s">
        <v>8122</v>
      </c>
      <c r="F650" s="11" t="s">
        <v>42</v>
      </c>
      <c r="G650" s="8">
        <v>0</v>
      </c>
      <c r="H650" s="8">
        <v>5795.15</v>
      </c>
      <c r="I650" s="8">
        <f t="shared" si="12"/>
        <v>-5872.42</v>
      </c>
      <c r="J650" s="12"/>
    </row>
    <row r="651" spans="1:10" hidden="1" x14ac:dyDescent="0.25">
      <c r="C651" s="9"/>
      <c r="D651" s="10">
        <v>45716</v>
      </c>
      <c r="E651" t="s">
        <v>8122</v>
      </c>
      <c r="F651" s="11" t="s">
        <v>42</v>
      </c>
      <c r="G651" s="8">
        <v>0</v>
      </c>
      <c r="H651" s="8">
        <v>6013.68</v>
      </c>
      <c r="I651" s="8">
        <f t="shared" si="12"/>
        <v>-11886.1</v>
      </c>
      <c r="J651" s="12"/>
    </row>
    <row r="652" spans="1:10" hidden="1" x14ac:dyDescent="0.25">
      <c r="C652" s="9"/>
      <c r="D652" s="10">
        <v>45747</v>
      </c>
      <c r="E652" t="s">
        <v>8122</v>
      </c>
      <c r="F652" s="11" t="s">
        <v>42</v>
      </c>
      <c r="G652" s="8">
        <v>0</v>
      </c>
      <c r="H652" s="8">
        <v>5809.39</v>
      </c>
      <c r="I652" s="8">
        <f t="shared" si="12"/>
        <v>-17695.490000000002</v>
      </c>
      <c r="J652" s="12"/>
    </row>
    <row r="653" spans="1:10" hidden="1" x14ac:dyDescent="0.25">
      <c r="E653" s="4" t="s">
        <v>20</v>
      </c>
      <c r="G653" s="8">
        <f>SUM(G646:G652)</f>
        <v>22945.19</v>
      </c>
      <c r="H653" s="8">
        <f>SUM(H646:H652)</f>
        <v>40640.68</v>
      </c>
      <c r="I653" s="8">
        <f>G653-H653</f>
        <v>-17695.490000000002</v>
      </c>
    </row>
    <row r="655" spans="1:10" hidden="1" x14ac:dyDescent="0.25">
      <c r="A655" s="5">
        <v>4752000</v>
      </c>
      <c r="B655" s="6" t="s">
        <v>8123</v>
      </c>
      <c r="C655" s="7"/>
      <c r="D655" s="7"/>
      <c r="E655" s="7"/>
      <c r="F655" s="7"/>
      <c r="G655" s="7"/>
      <c r="H655" s="7"/>
      <c r="I655" s="7"/>
      <c r="J655" s="7"/>
    </row>
    <row r="656" spans="1:10" hidden="1" x14ac:dyDescent="0.25">
      <c r="E656" s="4" t="s">
        <v>10</v>
      </c>
      <c r="G656" s="8">
        <v>0</v>
      </c>
      <c r="H656" s="8">
        <v>4371.8599999999997</v>
      </c>
      <c r="I656" s="8">
        <f>G656-H656</f>
        <v>-4371.8599999999997</v>
      </c>
    </row>
    <row r="657" spans="1:10" hidden="1" x14ac:dyDescent="0.25">
      <c r="E657" s="4" t="s">
        <v>20</v>
      </c>
      <c r="G657" s="8">
        <f>G656</f>
        <v>0</v>
      </c>
      <c r="H657" s="8">
        <f>H656</f>
        <v>4371.8599999999997</v>
      </c>
      <c r="I657" s="8">
        <f>G657-H657</f>
        <v>-4371.8599999999997</v>
      </c>
    </row>
    <row r="658" spans="1:10" hidden="1" x14ac:dyDescent="0.25"/>
    <row r="659" spans="1:10" hidden="1" x14ac:dyDescent="0.25">
      <c r="A659" s="5">
        <v>4760000</v>
      </c>
      <c r="B659" s="6" t="s">
        <v>8124</v>
      </c>
      <c r="C659" s="7"/>
      <c r="D659" s="7"/>
      <c r="E659" s="7"/>
      <c r="F659" s="7"/>
      <c r="G659" s="7"/>
      <c r="H659" s="7"/>
      <c r="I659" s="7"/>
      <c r="J659" s="7"/>
    </row>
    <row r="660" spans="1:10" hidden="1" x14ac:dyDescent="0.25">
      <c r="E660" s="4" t="s">
        <v>10</v>
      </c>
      <c r="G660" s="8">
        <v>0</v>
      </c>
      <c r="H660" s="8">
        <v>5061.4399999999996</v>
      </c>
      <c r="I660" s="8">
        <f>G660-H660</f>
        <v>-5061.4399999999996</v>
      </c>
    </row>
    <row r="661" spans="1:10" hidden="1" x14ac:dyDescent="0.25">
      <c r="C661" s="9"/>
      <c r="D661" s="10">
        <v>45688</v>
      </c>
      <c r="E661" t="s">
        <v>8125</v>
      </c>
      <c r="F661" s="11" t="s">
        <v>42</v>
      </c>
      <c r="G661" s="8">
        <v>0</v>
      </c>
      <c r="H661" s="8">
        <v>5082.2700000000004</v>
      </c>
      <c r="I661" s="8">
        <f t="shared" ref="I661:I666" si="13">G661-H661+I660</f>
        <v>-10143.709999999999</v>
      </c>
      <c r="J661" s="12"/>
    </row>
    <row r="662" spans="1:10" hidden="1" x14ac:dyDescent="0.25">
      <c r="C662" s="9"/>
      <c r="D662" s="10">
        <v>45688</v>
      </c>
      <c r="E662" t="s">
        <v>8126</v>
      </c>
      <c r="F662" s="11" t="s">
        <v>42</v>
      </c>
      <c r="G662" s="8">
        <v>5061.43</v>
      </c>
      <c r="H662" s="8">
        <v>0</v>
      </c>
      <c r="I662" s="8">
        <f t="shared" si="13"/>
        <v>-5082.2799999999988</v>
      </c>
      <c r="J662" s="12"/>
    </row>
    <row r="663" spans="1:10" hidden="1" x14ac:dyDescent="0.25">
      <c r="C663" s="9"/>
      <c r="D663" s="10">
        <v>45716</v>
      </c>
      <c r="E663" t="s">
        <v>8125</v>
      </c>
      <c r="F663" s="11" t="s">
        <v>42</v>
      </c>
      <c r="G663" s="8">
        <v>0</v>
      </c>
      <c r="H663" s="8">
        <v>5029.5600000000004</v>
      </c>
      <c r="I663" s="8">
        <f t="shared" si="13"/>
        <v>-10111.84</v>
      </c>
      <c r="J663" s="12"/>
    </row>
    <row r="664" spans="1:10" hidden="1" x14ac:dyDescent="0.25">
      <c r="C664" s="9"/>
      <c r="D664" s="10">
        <v>45716</v>
      </c>
      <c r="E664" t="s">
        <v>8126</v>
      </c>
      <c r="F664" s="11" t="s">
        <v>42</v>
      </c>
      <c r="G664" s="8">
        <v>5082.2700000000004</v>
      </c>
      <c r="H664" s="8">
        <v>0</v>
      </c>
      <c r="I664" s="8">
        <f t="shared" si="13"/>
        <v>-5029.57</v>
      </c>
      <c r="J664" s="12"/>
    </row>
    <row r="665" spans="1:10" hidden="1" x14ac:dyDescent="0.25">
      <c r="C665" s="9"/>
      <c r="D665" s="10">
        <v>45747</v>
      </c>
      <c r="E665" t="s">
        <v>8125</v>
      </c>
      <c r="F665" s="11" t="s">
        <v>42</v>
      </c>
      <c r="G665" s="8">
        <v>0</v>
      </c>
      <c r="H665" s="8">
        <v>5082.46</v>
      </c>
      <c r="I665" s="8">
        <f t="shared" si="13"/>
        <v>-10112.029999999999</v>
      </c>
      <c r="J665" s="12"/>
    </row>
    <row r="666" spans="1:10" hidden="1" x14ac:dyDescent="0.25">
      <c r="C666" s="9"/>
      <c r="D666" s="10">
        <v>45747</v>
      </c>
      <c r="E666" t="s">
        <v>8126</v>
      </c>
      <c r="F666" s="11" t="s">
        <v>42</v>
      </c>
      <c r="G666" s="8">
        <v>5029.5600000000004</v>
      </c>
      <c r="H666" s="8">
        <v>0</v>
      </c>
      <c r="I666" s="8">
        <f t="shared" si="13"/>
        <v>-5082.4699999999984</v>
      </c>
      <c r="J666" s="12"/>
    </row>
    <row r="667" spans="1:10" hidden="1" x14ac:dyDescent="0.25">
      <c r="E667" s="4" t="s">
        <v>20</v>
      </c>
      <c r="G667" s="8">
        <f>SUM(G660:G666)</f>
        <v>15173.260000000002</v>
      </c>
      <c r="H667" s="8">
        <f>SUM(H660:H666)</f>
        <v>20255.73</v>
      </c>
      <c r="I667" s="8">
        <f>G667-H667</f>
        <v>-5082.4699999999975</v>
      </c>
    </row>
    <row r="669" spans="1:10" hidden="1" x14ac:dyDescent="0.25">
      <c r="A669" s="5">
        <v>5400002</v>
      </c>
      <c r="B669" s="6" t="s">
        <v>8127</v>
      </c>
      <c r="C669" s="7"/>
      <c r="D669" s="7"/>
      <c r="E669" s="7"/>
      <c r="F669" s="7"/>
      <c r="G669" s="7"/>
      <c r="H669" s="7"/>
      <c r="I669" s="7"/>
      <c r="J669" s="7"/>
    </row>
    <row r="670" spans="1:10" hidden="1" x14ac:dyDescent="0.25">
      <c r="E670" s="4" t="s">
        <v>10</v>
      </c>
      <c r="G670" s="8">
        <v>1034.82</v>
      </c>
      <c r="H670" s="8">
        <v>0</v>
      </c>
      <c r="I670" s="8">
        <f>G670-H670</f>
        <v>1034.82</v>
      </c>
    </row>
    <row r="671" spans="1:10" hidden="1" x14ac:dyDescent="0.25">
      <c r="E671" s="4" t="s">
        <v>20</v>
      </c>
      <c r="G671" s="8">
        <f>G670</f>
        <v>1034.82</v>
      </c>
      <c r="H671" s="8">
        <f>H670</f>
        <v>0</v>
      </c>
      <c r="I671" s="8">
        <f>G671-H671</f>
        <v>1034.82</v>
      </c>
    </row>
    <row r="672" spans="1:10" hidden="1" x14ac:dyDescent="0.25"/>
    <row r="673" spans="1:10" hidden="1" x14ac:dyDescent="0.25">
      <c r="A673" s="5">
        <v>5400003</v>
      </c>
      <c r="B673" s="6" t="s">
        <v>8128</v>
      </c>
      <c r="C673" s="7"/>
      <c r="D673" s="7"/>
      <c r="E673" s="7"/>
      <c r="F673" s="7"/>
      <c r="G673" s="7"/>
      <c r="H673" s="7"/>
      <c r="I673" s="7"/>
      <c r="J673" s="7"/>
    </row>
    <row r="674" spans="1:10" hidden="1" x14ac:dyDescent="0.25">
      <c r="E674" s="4" t="s">
        <v>10</v>
      </c>
      <c r="G674" s="8">
        <v>4412.4799999999996</v>
      </c>
      <c r="H674" s="8">
        <v>0</v>
      </c>
      <c r="I674" s="8">
        <f>G674-H674</f>
        <v>4412.4799999999996</v>
      </c>
    </row>
    <row r="675" spans="1:10" hidden="1" x14ac:dyDescent="0.25">
      <c r="E675" s="4" t="s">
        <v>20</v>
      </c>
      <c r="G675" s="8">
        <f>G674</f>
        <v>4412.4799999999996</v>
      </c>
      <c r="H675" s="8">
        <f>H674</f>
        <v>0</v>
      </c>
      <c r="I675" s="8">
        <f>G675-H675</f>
        <v>4412.4799999999996</v>
      </c>
    </row>
    <row r="676" spans="1:10" hidden="1" x14ac:dyDescent="0.25"/>
    <row r="677" spans="1:10" hidden="1" x14ac:dyDescent="0.25">
      <c r="A677" s="5">
        <v>5400006</v>
      </c>
      <c r="B677" s="6" t="s">
        <v>8129</v>
      </c>
      <c r="C677" s="7"/>
      <c r="D677" s="7"/>
      <c r="E677" s="7"/>
      <c r="F677" s="7"/>
      <c r="G677" s="7"/>
      <c r="H677" s="7"/>
      <c r="I677" s="7"/>
      <c r="J677" s="7"/>
    </row>
    <row r="678" spans="1:10" hidden="1" x14ac:dyDescent="0.25">
      <c r="E678" s="4" t="s">
        <v>10</v>
      </c>
      <c r="G678" s="8">
        <v>3877.2</v>
      </c>
      <c r="H678" s="8">
        <v>0</v>
      </c>
      <c r="I678" s="8">
        <f>G678-H678</f>
        <v>3877.2</v>
      </c>
    </row>
    <row r="679" spans="1:10" hidden="1" x14ac:dyDescent="0.25">
      <c r="C679" s="9"/>
      <c r="D679" s="10">
        <v>45665</v>
      </c>
      <c r="E679" t="s">
        <v>8130</v>
      </c>
      <c r="F679" s="11" t="s">
        <v>42</v>
      </c>
      <c r="G679" s="8">
        <v>0</v>
      </c>
      <c r="H679" s="8">
        <v>10.4</v>
      </c>
      <c r="I679" s="8">
        <f>G679-H679+I678</f>
        <v>3866.7999999999997</v>
      </c>
      <c r="J679" s="12"/>
    </row>
    <row r="680" spans="1:10" hidden="1" x14ac:dyDescent="0.25">
      <c r="E680" s="4" t="s">
        <v>20</v>
      </c>
      <c r="G680" s="8">
        <f>SUM(G678:G679)</f>
        <v>3877.2</v>
      </c>
      <c r="H680" s="8">
        <f>SUM(H678:H679)</f>
        <v>10.4</v>
      </c>
      <c r="I680" s="8">
        <f>G680-H680</f>
        <v>3866.7999999999997</v>
      </c>
    </row>
    <row r="681" spans="1:10" hidden="1" x14ac:dyDescent="0.25"/>
    <row r="682" spans="1:10" hidden="1" x14ac:dyDescent="0.25">
      <c r="A682" s="5">
        <v>5400009</v>
      </c>
      <c r="B682" s="6" t="s">
        <v>8131</v>
      </c>
      <c r="C682" s="7"/>
      <c r="D682" s="7"/>
      <c r="E682" s="7"/>
      <c r="F682" s="7"/>
      <c r="G682" s="7"/>
      <c r="H682" s="7"/>
      <c r="I682" s="7"/>
      <c r="J682" s="7"/>
    </row>
    <row r="683" spans="1:10" hidden="1" x14ac:dyDescent="0.25">
      <c r="E683" s="4" t="s">
        <v>10</v>
      </c>
      <c r="G683" s="8">
        <v>4353.09</v>
      </c>
      <c r="H683" s="8">
        <v>0</v>
      </c>
      <c r="I683" s="8">
        <f>G683-H683</f>
        <v>4353.09</v>
      </c>
    </row>
    <row r="684" spans="1:10" hidden="1" x14ac:dyDescent="0.25">
      <c r="E684" s="4" t="s">
        <v>20</v>
      </c>
      <c r="G684" s="8">
        <f>G683</f>
        <v>4353.09</v>
      </c>
      <c r="H684" s="8">
        <f>H683</f>
        <v>0</v>
      </c>
      <c r="I684" s="8">
        <f>G684-H684</f>
        <v>4353.09</v>
      </c>
    </row>
    <row r="685" spans="1:10" hidden="1" x14ac:dyDescent="0.25"/>
    <row r="686" spans="1:10" hidden="1" x14ac:dyDescent="0.25">
      <c r="A686" s="5">
        <v>5510000</v>
      </c>
      <c r="B686" s="6" t="s">
        <v>8132</v>
      </c>
      <c r="C686" s="7"/>
      <c r="D686" s="7"/>
      <c r="E686" s="7"/>
      <c r="F686" s="7"/>
      <c r="G686" s="7"/>
      <c r="H686" s="7"/>
      <c r="I686" s="7"/>
      <c r="J686" s="7"/>
    </row>
    <row r="687" spans="1:10" hidden="1" x14ac:dyDescent="0.25">
      <c r="C687" s="9"/>
      <c r="D687" s="10">
        <v>45721</v>
      </c>
      <c r="E687" t="s">
        <v>8133</v>
      </c>
      <c r="F687" s="11" t="s">
        <v>8134</v>
      </c>
      <c r="G687" s="8">
        <v>19.989999999999998</v>
      </c>
      <c r="H687" s="8">
        <v>0</v>
      </c>
      <c r="I687" s="8">
        <f>G687-H687</f>
        <v>19.989999999999998</v>
      </c>
      <c r="J687" s="12"/>
    </row>
    <row r="688" spans="1:10" hidden="1" x14ac:dyDescent="0.25">
      <c r="E688" s="4" t="s">
        <v>20</v>
      </c>
      <c r="G688" s="8">
        <f>G687</f>
        <v>19.989999999999998</v>
      </c>
      <c r="H688" s="8">
        <f>H687</f>
        <v>0</v>
      </c>
      <c r="I688" s="8">
        <f>G688-H688</f>
        <v>19.989999999999998</v>
      </c>
    </row>
    <row r="689" spans="1:10" hidden="1" x14ac:dyDescent="0.25"/>
    <row r="690" spans="1:10" hidden="1" x14ac:dyDescent="0.25">
      <c r="A690" s="5">
        <v>5510001</v>
      </c>
      <c r="B690" s="6" t="s">
        <v>8135</v>
      </c>
      <c r="C690" s="7"/>
      <c r="D690" s="7"/>
      <c r="E690" s="7"/>
      <c r="F690" s="7"/>
      <c r="G690" s="7"/>
      <c r="H690" s="7"/>
      <c r="I690" s="7"/>
      <c r="J690" s="7"/>
    </row>
    <row r="691" spans="1:10" hidden="1" x14ac:dyDescent="0.25">
      <c r="E691" s="4" t="s">
        <v>10</v>
      </c>
      <c r="G691" s="8">
        <v>0</v>
      </c>
      <c r="H691" s="8">
        <v>6532.9</v>
      </c>
      <c r="I691" s="8">
        <f>G691-H691</f>
        <v>-6532.9</v>
      </c>
    </row>
    <row r="692" spans="1:10" hidden="1" x14ac:dyDescent="0.25">
      <c r="E692" s="4" t="s">
        <v>20</v>
      </c>
      <c r="G692" s="8">
        <f>G691</f>
        <v>0</v>
      </c>
      <c r="H692" s="8">
        <f>H691</f>
        <v>6532.9</v>
      </c>
      <c r="I692" s="8">
        <f>G692-H692</f>
        <v>-6532.9</v>
      </c>
    </row>
    <row r="693" spans="1:10" hidden="1" x14ac:dyDescent="0.25"/>
    <row r="694" spans="1:10" hidden="1" x14ac:dyDescent="0.25">
      <c r="A694" s="5">
        <v>5510002</v>
      </c>
      <c r="B694" s="6" t="s">
        <v>8136</v>
      </c>
      <c r="C694" s="7"/>
      <c r="D694" s="7"/>
      <c r="E694" s="7"/>
      <c r="F694" s="7"/>
      <c r="G694" s="7"/>
      <c r="H694" s="7"/>
      <c r="I694" s="7"/>
      <c r="J694" s="7"/>
    </row>
    <row r="695" spans="1:10" hidden="1" x14ac:dyDescent="0.25">
      <c r="E695" s="4" t="s">
        <v>10</v>
      </c>
      <c r="G695" s="8">
        <v>0</v>
      </c>
      <c r="H695" s="8">
        <v>3500</v>
      </c>
      <c r="I695" s="8">
        <f>G695-H695</f>
        <v>-3500</v>
      </c>
    </row>
    <row r="696" spans="1:10" hidden="1" x14ac:dyDescent="0.25">
      <c r="E696" s="4" t="s">
        <v>20</v>
      </c>
      <c r="G696" s="8">
        <f>G695</f>
        <v>0</v>
      </c>
      <c r="H696" s="8">
        <f>H695</f>
        <v>3500</v>
      </c>
      <c r="I696" s="8">
        <f>G696-H696</f>
        <v>-3500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PROVEEDORES</vt:lpstr>
      <vt:lpstr>CLIENTES</vt:lpstr>
      <vt:lpstr>OTRAS CUENTAS</vt:lpstr>
      <vt:lpstr>PROVEEDORES!Área_de_impresión</vt:lpstr>
      <vt:lpstr>PROVEEDORES!Títulos_a_imprimir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dcterms:created xsi:type="dcterms:W3CDTF">2025-06-04T08:38:59Z</dcterms:created>
  <dcterms:modified xsi:type="dcterms:W3CDTF">2025-06-12T11:51:49Z</dcterms:modified>
  <cp:category/>
</cp:coreProperties>
</file>
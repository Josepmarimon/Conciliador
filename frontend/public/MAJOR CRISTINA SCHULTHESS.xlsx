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Documentos c\PROGRAMES\DOCUMENTOS\listados marimon IA\"/>
    </mc:Choice>
  </mc:AlternateContent>
  <xr:revisionPtr revIDLastSave="0" documentId="13_ncr:1_{A140A98D-BD8A-4E34-B8DF-D2CB7A290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ntas corrientes" sheetId="2" r:id="rId1"/>
  </sheets>
  <definedNames>
    <definedName name="_xlnm.Print_Area" localSheetId="0">'Cuentas corrientes'!$A$1:$J$4572</definedName>
    <definedName name="_xlnm.Print_Titles" localSheetId="0">'Cuentas corrientes'!$1:$8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5" i="2" l="1"/>
  <c r="I136" i="2"/>
  <c r="I137" i="2"/>
  <c r="I10" i="2"/>
  <c r="H4572" i="2"/>
  <c r="G4572" i="2"/>
  <c r="I4572" i="2" s="1"/>
  <c r="I4522" i="2"/>
  <c r="I4523" i="2" s="1"/>
  <c r="I4524" i="2" s="1"/>
  <c r="I4525" i="2" s="1"/>
  <c r="I4526" i="2" s="1"/>
  <c r="I4527" i="2" s="1"/>
  <c r="I4528" i="2" s="1"/>
  <c r="I4529" i="2" s="1"/>
  <c r="I4530" i="2" s="1"/>
  <c r="I4531" i="2" s="1"/>
  <c r="I4532" i="2" s="1"/>
  <c r="I4533" i="2" s="1"/>
  <c r="I4534" i="2" s="1"/>
  <c r="I4535" i="2" s="1"/>
  <c r="I4536" i="2" s="1"/>
  <c r="I4537" i="2" s="1"/>
  <c r="I4538" i="2" s="1"/>
  <c r="I4539" i="2" s="1"/>
  <c r="I4540" i="2" s="1"/>
  <c r="I4541" i="2" s="1"/>
  <c r="I4542" i="2" s="1"/>
  <c r="I4543" i="2" s="1"/>
  <c r="I4544" i="2" s="1"/>
  <c r="I4545" i="2" s="1"/>
  <c r="I4546" i="2" s="1"/>
  <c r="I4547" i="2" s="1"/>
  <c r="I4548" i="2" s="1"/>
  <c r="I4549" i="2" s="1"/>
  <c r="I4550" i="2" s="1"/>
  <c r="I4551" i="2" s="1"/>
  <c r="I4552" i="2" s="1"/>
  <c r="I4553" i="2" s="1"/>
  <c r="I4554" i="2" s="1"/>
  <c r="I4555" i="2" s="1"/>
  <c r="I4556" i="2" s="1"/>
  <c r="I4557" i="2" s="1"/>
  <c r="I4558" i="2" s="1"/>
  <c r="I4559" i="2" s="1"/>
  <c r="I4560" i="2" s="1"/>
  <c r="I4561" i="2" s="1"/>
  <c r="I4562" i="2" s="1"/>
  <c r="I4563" i="2" s="1"/>
  <c r="I4564" i="2" s="1"/>
  <c r="I4565" i="2" s="1"/>
  <c r="I4566" i="2" s="1"/>
  <c r="I4567" i="2" s="1"/>
  <c r="I4568" i="2" s="1"/>
  <c r="I4569" i="2" s="1"/>
  <c r="I4570" i="2" s="1"/>
  <c r="I4571" i="2" s="1"/>
  <c r="H4519" i="2"/>
  <c r="G4519" i="2"/>
  <c r="I4518" i="2"/>
  <c r="H4515" i="2"/>
  <c r="G4515" i="2"/>
  <c r="I4515" i="2" s="1"/>
  <c r="I4511" i="2"/>
  <c r="I4512" i="2" s="1"/>
  <c r="I4513" i="2" s="1"/>
  <c r="I4514" i="2" s="1"/>
  <c r="H4508" i="2"/>
  <c r="G4508" i="2"/>
  <c r="I4508" i="2" s="1"/>
  <c r="I4494" i="2"/>
  <c r="I4495" i="2" s="1"/>
  <c r="I4496" i="2" s="1"/>
  <c r="I4497" i="2" s="1"/>
  <c r="I4498" i="2" s="1"/>
  <c r="I4499" i="2" s="1"/>
  <c r="I4500" i="2" s="1"/>
  <c r="I4501" i="2" s="1"/>
  <c r="I4502" i="2" s="1"/>
  <c r="I4503" i="2" s="1"/>
  <c r="I4504" i="2" s="1"/>
  <c r="I4505" i="2" s="1"/>
  <c r="I4506" i="2" s="1"/>
  <c r="I4507" i="2" s="1"/>
  <c r="H4491" i="2"/>
  <c r="G4491" i="2"/>
  <c r="I4491" i="2" s="1"/>
  <c r="I3467" i="2"/>
  <c r="I3468" i="2" s="1"/>
  <c r="I3469" i="2" s="1"/>
  <c r="I3470" i="2" s="1"/>
  <c r="I3471" i="2" s="1"/>
  <c r="I3472" i="2" s="1"/>
  <c r="I3473" i="2" s="1"/>
  <c r="I3474" i="2" s="1"/>
  <c r="I3475" i="2" s="1"/>
  <c r="I3476" i="2" s="1"/>
  <c r="I3477" i="2" s="1"/>
  <c r="I3478" i="2" s="1"/>
  <c r="I3479" i="2" s="1"/>
  <c r="I3480" i="2" s="1"/>
  <c r="I3481" i="2" s="1"/>
  <c r="I3482" i="2" s="1"/>
  <c r="I3483" i="2" s="1"/>
  <c r="I3484" i="2" s="1"/>
  <c r="I3485" i="2" s="1"/>
  <c r="I3486" i="2" s="1"/>
  <c r="I3487" i="2" s="1"/>
  <c r="I3488" i="2" s="1"/>
  <c r="I3489" i="2" s="1"/>
  <c r="I3490" i="2" s="1"/>
  <c r="I3491" i="2" s="1"/>
  <c r="I3492" i="2" s="1"/>
  <c r="I3493" i="2" s="1"/>
  <c r="I3494" i="2" s="1"/>
  <c r="I3495" i="2" s="1"/>
  <c r="I3496" i="2" s="1"/>
  <c r="I3497" i="2" s="1"/>
  <c r="I3498" i="2" s="1"/>
  <c r="I3499" i="2" s="1"/>
  <c r="I3500" i="2" s="1"/>
  <c r="I3501" i="2" s="1"/>
  <c r="I3502" i="2" s="1"/>
  <c r="I3503" i="2" s="1"/>
  <c r="I3504" i="2" s="1"/>
  <c r="I3505" i="2" s="1"/>
  <c r="I3506" i="2" s="1"/>
  <c r="I3507" i="2" s="1"/>
  <c r="I3508" i="2" s="1"/>
  <c r="I3509" i="2" s="1"/>
  <c r="I3510" i="2" s="1"/>
  <c r="I3511" i="2" s="1"/>
  <c r="I3512" i="2" s="1"/>
  <c r="I3513" i="2" s="1"/>
  <c r="I3514" i="2" s="1"/>
  <c r="I3515" i="2" s="1"/>
  <c r="I3516" i="2" s="1"/>
  <c r="I3517" i="2" s="1"/>
  <c r="I3518" i="2" s="1"/>
  <c r="I3519" i="2" s="1"/>
  <c r="I3520" i="2" s="1"/>
  <c r="I3521" i="2" s="1"/>
  <c r="I3522" i="2" s="1"/>
  <c r="I3523" i="2" s="1"/>
  <c r="I3524" i="2" s="1"/>
  <c r="I3525" i="2" s="1"/>
  <c r="I3526" i="2" s="1"/>
  <c r="I3527" i="2" s="1"/>
  <c r="I3528" i="2" s="1"/>
  <c r="I3529" i="2" s="1"/>
  <c r="I3530" i="2" s="1"/>
  <c r="I3531" i="2" s="1"/>
  <c r="I3532" i="2" s="1"/>
  <c r="I3533" i="2" s="1"/>
  <c r="I3534" i="2" s="1"/>
  <c r="I3535" i="2" s="1"/>
  <c r="I3536" i="2" s="1"/>
  <c r="I3537" i="2" s="1"/>
  <c r="I3538" i="2" s="1"/>
  <c r="I3539" i="2" s="1"/>
  <c r="I3540" i="2" s="1"/>
  <c r="I3541" i="2" s="1"/>
  <c r="I3542" i="2" s="1"/>
  <c r="I3543" i="2" s="1"/>
  <c r="I3544" i="2" s="1"/>
  <c r="I3545" i="2" s="1"/>
  <c r="I3546" i="2" s="1"/>
  <c r="I3547" i="2" s="1"/>
  <c r="I3548" i="2" s="1"/>
  <c r="I3549" i="2" s="1"/>
  <c r="I3550" i="2" s="1"/>
  <c r="I3551" i="2" s="1"/>
  <c r="I3552" i="2" s="1"/>
  <c r="I3553" i="2" s="1"/>
  <c r="I3554" i="2" s="1"/>
  <c r="I3555" i="2" s="1"/>
  <c r="I3556" i="2" s="1"/>
  <c r="I3557" i="2" s="1"/>
  <c r="I3558" i="2" s="1"/>
  <c r="I3559" i="2" s="1"/>
  <c r="I3560" i="2" s="1"/>
  <c r="I3561" i="2" s="1"/>
  <c r="I3562" i="2" s="1"/>
  <c r="I3563" i="2" s="1"/>
  <c r="I3564" i="2" s="1"/>
  <c r="I3565" i="2" s="1"/>
  <c r="I3566" i="2" s="1"/>
  <c r="I3567" i="2" s="1"/>
  <c r="I3568" i="2" s="1"/>
  <c r="I3569" i="2" s="1"/>
  <c r="I3570" i="2" s="1"/>
  <c r="I3571" i="2" s="1"/>
  <c r="I3572" i="2" s="1"/>
  <c r="I3573" i="2" s="1"/>
  <c r="I3574" i="2" s="1"/>
  <c r="I3575" i="2" s="1"/>
  <c r="I3576" i="2" s="1"/>
  <c r="I3577" i="2" s="1"/>
  <c r="I3578" i="2" s="1"/>
  <c r="I3579" i="2" s="1"/>
  <c r="I3580" i="2" s="1"/>
  <c r="I3581" i="2" s="1"/>
  <c r="I3582" i="2" s="1"/>
  <c r="I3583" i="2" s="1"/>
  <c r="I3584" i="2" s="1"/>
  <c r="I3585" i="2" s="1"/>
  <c r="I3586" i="2" s="1"/>
  <c r="I3587" i="2" s="1"/>
  <c r="I3588" i="2" s="1"/>
  <c r="I3589" i="2" s="1"/>
  <c r="I3590" i="2" s="1"/>
  <c r="I3591" i="2" s="1"/>
  <c r="I3592" i="2" s="1"/>
  <c r="I3593" i="2" s="1"/>
  <c r="I3594" i="2" s="1"/>
  <c r="I3595" i="2" s="1"/>
  <c r="I3596" i="2" s="1"/>
  <c r="I3597" i="2" s="1"/>
  <c r="I3598" i="2" s="1"/>
  <c r="I3599" i="2" s="1"/>
  <c r="I3600" i="2" s="1"/>
  <c r="I3601" i="2" s="1"/>
  <c r="I3602" i="2" s="1"/>
  <c r="I3603" i="2" s="1"/>
  <c r="I3604" i="2" s="1"/>
  <c r="I3605" i="2" s="1"/>
  <c r="I3606" i="2" s="1"/>
  <c r="I3607" i="2" s="1"/>
  <c r="I3608" i="2" s="1"/>
  <c r="I3609" i="2" s="1"/>
  <c r="I3610" i="2" s="1"/>
  <c r="I3611" i="2" s="1"/>
  <c r="I3612" i="2" s="1"/>
  <c r="I3613" i="2" s="1"/>
  <c r="I3614" i="2" s="1"/>
  <c r="I3615" i="2" s="1"/>
  <c r="I3616" i="2" s="1"/>
  <c r="I3617" i="2" s="1"/>
  <c r="I3618" i="2" s="1"/>
  <c r="I3619" i="2" s="1"/>
  <c r="I3620" i="2" s="1"/>
  <c r="I3621" i="2" s="1"/>
  <c r="I3622" i="2" s="1"/>
  <c r="I3623" i="2" s="1"/>
  <c r="I3624" i="2" s="1"/>
  <c r="I3625" i="2" s="1"/>
  <c r="I3626" i="2" s="1"/>
  <c r="I3627" i="2" s="1"/>
  <c r="I3628" i="2" s="1"/>
  <c r="I3629" i="2" s="1"/>
  <c r="I3630" i="2" s="1"/>
  <c r="I3631" i="2" s="1"/>
  <c r="I3632" i="2" s="1"/>
  <c r="I3633" i="2" s="1"/>
  <c r="I3634" i="2" s="1"/>
  <c r="I3635" i="2" s="1"/>
  <c r="I3636" i="2" s="1"/>
  <c r="I3637" i="2" s="1"/>
  <c r="I3638" i="2" s="1"/>
  <c r="I3639" i="2" s="1"/>
  <c r="I3640" i="2" s="1"/>
  <c r="I3641" i="2" s="1"/>
  <c r="I3642" i="2" s="1"/>
  <c r="I3643" i="2" s="1"/>
  <c r="I3644" i="2" s="1"/>
  <c r="I3645" i="2" s="1"/>
  <c r="I3646" i="2" s="1"/>
  <c r="I3647" i="2" s="1"/>
  <c r="I3648" i="2" s="1"/>
  <c r="I3649" i="2" s="1"/>
  <c r="I3650" i="2" s="1"/>
  <c r="I3651" i="2" s="1"/>
  <c r="I3652" i="2" s="1"/>
  <c r="I3653" i="2" s="1"/>
  <c r="I3654" i="2" s="1"/>
  <c r="I3655" i="2" s="1"/>
  <c r="I3656" i="2" s="1"/>
  <c r="I3657" i="2" s="1"/>
  <c r="I3658" i="2" s="1"/>
  <c r="I3659" i="2" s="1"/>
  <c r="I3660" i="2" s="1"/>
  <c r="I3661" i="2" s="1"/>
  <c r="I3662" i="2" s="1"/>
  <c r="I3663" i="2" s="1"/>
  <c r="I3664" i="2" s="1"/>
  <c r="I3665" i="2" s="1"/>
  <c r="I3666" i="2" s="1"/>
  <c r="I3667" i="2" s="1"/>
  <c r="I3668" i="2" s="1"/>
  <c r="I3669" i="2" s="1"/>
  <c r="I3670" i="2" s="1"/>
  <c r="I3671" i="2" s="1"/>
  <c r="I3672" i="2" s="1"/>
  <c r="I3673" i="2" s="1"/>
  <c r="I3674" i="2" s="1"/>
  <c r="I3675" i="2" s="1"/>
  <c r="I3676" i="2" s="1"/>
  <c r="I3677" i="2" s="1"/>
  <c r="I3678" i="2" s="1"/>
  <c r="I3679" i="2" s="1"/>
  <c r="I3680" i="2" s="1"/>
  <c r="I3681" i="2" s="1"/>
  <c r="I3682" i="2" s="1"/>
  <c r="I3683" i="2" s="1"/>
  <c r="I3684" i="2" s="1"/>
  <c r="I3685" i="2" s="1"/>
  <c r="I3686" i="2" s="1"/>
  <c r="I3687" i="2" s="1"/>
  <c r="I3688" i="2" s="1"/>
  <c r="I3689" i="2" s="1"/>
  <c r="I3690" i="2" s="1"/>
  <c r="I3691" i="2" s="1"/>
  <c r="I3692" i="2" s="1"/>
  <c r="I3693" i="2" s="1"/>
  <c r="I3694" i="2" s="1"/>
  <c r="I3695" i="2" s="1"/>
  <c r="I3696" i="2" s="1"/>
  <c r="I3697" i="2" s="1"/>
  <c r="I3698" i="2" s="1"/>
  <c r="I3699" i="2" s="1"/>
  <c r="I3700" i="2" s="1"/>
  <c r="I3701" i="2" s="1"/>
  <c r="I3702" i="2" s="1"/>
  <c r="I3703" i="2" s="1"/>
  <c r="I3704" i="2" s="1"/>
  <c r="I3705" i="2" s="1"/>
  <c r="I3706" i="2" s="1"/>
  <c r="I3707" i="2" s="1"/>
  <c r="I3708" i="2" s="1"/>
  <c r="I3709" i="2" s="1"/>
  <c r="I3710" i="2" s="1"/>
  <c r="I3711" i="2" s="1"/>
  <c r="I3712" i="2" s="1"/>
  <c r="I3713" i="2" s="1"/>
  <c r="I3714" i="2" s="1"/>
  <c r="I3715" i="2" s="1"/>
  <c r="I3716" i="2" s="1"/>
  <c r="I3717" i="2" s="1"/>
  <c r="I3718" i="2" s="1"/>
  <c r="I3719" i="2" s="1"/>
  <c r="I3720" i="2" s="1"/>
  <c r="I3721" i="2" s="1"/>
  <c r="I3722" i="2" s="1"/>
  <c r="I3723" i="2" s="1"/>
  <c r="I3724" i="2" s="1"/>
  <c r="I3725" i="2" s="1"/>
  <c r="I3726" i="2" s="1"/>
  <c r="I3727" i="2" s="1"/>
  <c r="I3728" i="2" s="1"/>
  <c r="I3729" i="2" s="1"/>
  <c r="I3730" i="2" s="1"/>
  <c r="I3731" i="2" s="1"/>
  <c r="I3732" i="2" s="1"/>
  <c r="I3733" i="2" s="1"/>
  <c r="I3734" i="2" s="1"/>
  <c r="I3735" i="2" s="1"/>
  <c r="I3736" i="2" s="1"/>
  <c r="I3737" i="2" s="1"/>
  <c r="I3738" i="2" s="1"/>
  <c r="I3739" i="2" s="1"/>
  <c r="I3740" i="2" s="1"/>
  <c r="I3741" i="2" s="1"/>
  <c r="I3742" i="2" s="1"/>
  <c r="I3743" i="2" s="1"/>
  <c r="I3744" i="2" s="1"/>
  <c r="I3745" i="2" s="1"/>
  <c r="I3746" i="2" s="1"/>
  <c r="I3747" i="2" s="1"/>
  <c r="I3748" i="2" s="1"/>
  <c r="I3749" i="2" s="1"/>
  <c r="I3750" i="2" s="1"/>
  <c r="I3751" i="2" s="1"/>
  <c r="I3752" i="2" s="1"/>
  <c r="I3753" i="2" s="1"/>
  <c r="I3754" i="2" s="1"/>
  <c r="I3755" i="2" s="1"/>
  <c r="I3756" i="2" s="1"/>
  <c r="I3757" i="2" s="1"/>
  <c r="I3758" i="2" s="1"/>
  <c r="I3759" i="2" s="1"/>
  <c r="I3760" i="2" s="1"/>
  <c r="I3761" i="2" s="1"/>
  <c r="I3762" i="2" s="1"/>
  <c r="I3763" i="2" s="1"/>
  <c r="I3764" i="2" s="1"/>
  <c r="I3765" i="2" s="1"/>
  <c r="I3766" i="2" s="1"/>
  <c r="I3767" i="2" s="1"/>
  <c r="I3768" i="2" s="1"/>
  <c r="I3769" i="2" s="1"/>
  <c r="I3770" i="2" s="1"/>
  <c r="I3771" i="2" s="1"/>
  <c r="I3772" i="2" s="1"/>
  <c r="I3773" i="2" s="1"/>
  <c r="I3774" i="2" s="1"/>
  <c r="I3775" i="2" s="1"/>
  <c r="I3776" i="2" s="1"/>
  <c r="I3777" i="2" s="1"/>
  <c r="I3778" i="2" s="1"/>
  <c r="I3779" i="2" s="1"/>
  <c r="I3780" i="2" s="1"/>
  <c r="I3781" i="2" s="1"/>
  <c r="I3782" i="2" s="1"/>
  <c r="I3783" i="2" s="1"/>
  <c r="I3784" i="2" s="1"/>
  <c r="I3785" i="2" s="1"/>
  <c r="I3786" i="2" s="1"/>
  <c r="I3787" i="2" s="1"/>
  <c r="I3788" i="2" s="1"/>
  <c r="I3789" i="2" s="1"/>
  <c r="I3790" i="2" s="1"/>
  <c r="I3791" i="2" s="1"/>
  <c r="I3792" i="2" s="1"/>
  <c r="I3793" i="2" s="1"/>
  <c r="I3794" i="2" s="1"/>
  <c r="I3795" i="2" s="1"/>
  <c r="I3796" i="2" s="1"/>
  <c r="I3797" i="2" s="1"/>
  <c r="I3798" i="2" s="1"/>
  <c r="I3799" i="2" s="1"/>
  <c r="I3800" i="2" s="1"/>
  <c r="I3801" i="2" s="1"/>
  <c r="I3802" i="2" s="1"/>
  <c r="I3803" i="2" s="1"/>
  <c r="I3804" i="2" s="1"/>
  <c r="I3805" i="2" s="1"/>
  <c r="I3806" i="2" s="1"/>
  <c r="I3807" i="2" s="1"/>
  <c r="I3808" i="2" s="1"/>
  <c r="I3809" i="2" s="1"/>
  <c r="I3810" i="2" s="1"/>
  <c r="I3811" i="2" s="1"/>
  <c r="I3812" i="2" s="1"/>
  <c r="I3813" i="2" s="1"/>
  <c r="I3814" i="2" s="1"/>
  <c r="I3815" i="2" s="1"/>
  <c r="I3816" i="2" s="1"/>
  <c r="I3817" i="2" s="1"/>
  <c r="I3818" i="2" s="1"/>
  <c r="I3819" i="2" s="1"/>
  <c r="I3820" i="2" s="1"/>
  <c r="I3821" i="2" s="1"/>
  <c r="I3822" i="2" s="1"/>
  <c r="I3823" i="2" s="1"/>
  <c r="I3824" i="2" s="1"/>
  <c r="I3825" i="2" s="1"/>
  <c r="I3826" i="2" s="1"/>
  <c r="I3827" i="2" s="1"/>
  <c r="I3828" i="2" s="1"/>
  <c r="I3829" i="2" s="1"/>
  <c r="I3830" i="2" s="1"/>
  <c r="I3831" i="2" s="1"/>
  <c r="I3832" i="2" s="1"/>
  <c r="I3833" i="2" s="1"/>
  <c r="I3834" i="2" s="1"/>
  <c r="I3835" i="2" s="1"/>
  <c r="I3836" i="2" s="1"/>
  <c r="I3837" i="2" s="1"/>
  <c r="I3838" i="2" s="1"/>
  <c r="I3839" i="2" s="1"/>
  <c r="I3840" i="2" s="1"/>
  <c r="I3841" i="2" s="1"/>
  <c r="I3842" i="2" s="1"/>
  <c r="I3843" i="2" s="1"/>
  <c r="I3844" i="2" s="1"/>
  <c r="I3845" i="2" s="1"/>
  <c r="I3846" i="2" s="1"/>
  <c r="I3847" i="2" s="1"/>
  <c r="I3848" i="2" s="1"/>
  <c r="I3849" i="2" s="1"/>
  <c r="I3850" i="2" s="1"/>
  <c r="I3851" i="2" s="1"/>
  <c r="I3852" i="2" s="1"/>
  <c r="I3853" i="2" s="1"/>
  <c r="I3854" i="2" s="1"/>
  <c r="I3855" i="2" s="1"/>
  <c r="I3856" i="2" s="1"/>
  <c r="I3857" i="2" s="1"/>
  <c r="I3858" i="2" s="1"/>
  <c r="I3859" i="2" s="1"/>
  <c r="I3860" i="2" s="1"/>
  <c r="I3861" i="2" s="1"/>
  <c r="I3862" i="2" s="1"/>
  <c r="I3863" i="2" s="1"/>
  <c r="I3864" i="2" s="1"/>
  <c r="I3865" i="2" s="1"/>
  <c r="I3866" i="2" s="1"/>
  <c r="I3867" i="2" s="1"/>
  <c r="I3868" i="2" s="1"/>
  <c r="I3869" i="2" s="1"/>
  <c r="I3870" i="2" s="1"/>
  <c r="I3871" i="2" s="1"/>
  <c r="I3872" i="2" s="1"/>
  <c r="I3873" i="2" s="1"/>
  <c r="I3874" i="2" s="1"/>
  <c r="I3875" i="2" s="1"/>
  <c r="I3876" i="2" s="1"/>
  <c r="I3877" i="2" s="1"/>
  <c r="I3878" i="2" s="1"/>
  <c r="I3879" i="2" s="1"/>
  <c r="I3880" i="2" s="1"/>
  <c r="I3881" i="2" s="1"/>
  <c r="I3882" i="2" s="1"/>
  <c r="I3883" i="2" s="1"/>
  <c r="I3884" i="2" s="1"/>
  <c r="I3885" i="2" s="1"/>
  <c r="I3886" i="2" s="1"/>
  <c r="I3887" i="2" s="1"/>
  <c r="I3888" i="2" s="1"/>
  <c r="I3889" i="2" s="1"/>
  <c r="I3890" i="2" s="1"/>
  <c r="I3891" i="2" s="1"/>
  <c r="I3892" i="2" s="1"/>
  <c r="I3893" i="2" s="1"/>
  <c r="I3894" i="2" s="1"/>
  <c r="I3895" i="2" s="1"/>
  <c r="I3896" i="2" s="1"/>
  <c r="I3897" i="2" s="1"/>
  <c r="I3898" i="2" s="1"/>
  <c r="I3899" i="2" s="1"/>
  <c r="I3900" i="2" s="1"/>
  <c r="I3901" i="2" s="1"/>
  <c r="I3902" i="2" s="1"/>
  <c r="I3903" i="2" s="1"/>
  <c r="I3904" i="2" s="1"/>
  <c r="I3905" i="2" s="1"/>
  <c r="I3906" i="2" s="1"/>
  <c r="I3907" i="2" s="1"/>
  <c r="I3908" i="2" s="1"/>
  <c r="I3909" i="2" s="1"/>
  <c r="I3910" i="2" s="1"/>
  <c r="I3911" i="2" s="1"/>
  <c r="I3912" i="2" s="1"/>
  <c r="I3913" i="2" s="1"/>
  <c r="I3914" i="2" s="1"/>
  <c r="I3915" i="2" s="1"/>
  <c r="I3916" i="2" s="1"/>
  <c r="I3917" i="2" s="1"/>
  <c r="I3918" i="2" s="1"/>
  <c r="I3919" i="2" s="1"/>
  <c r="I3920" i="2" s="1"/>
  <c r="I3921" i="2" s="1"/>
  <c r="I3922" i="2" s="1"/>
  <c r="I3923" i="2" s="1"/>
  <c r="I3924" i="2" s="1"/>
  <c r="I3925" i="2" s="1"/>
  <c r="I3926" i="2" s="1"/>
  <c r="I3927" i="2" s="1"/>
  <c r="I3928" i="2" s="1"/>
  <c r="I3929" i="2" s="1"/>
  <c r="I3930" i="2" s="1"/>
  <c r="I3931" i="2" s="1"/>
  <c r="I3932" i="2" s="1"/>
  <c r="I3933" i="2" s="1"/>
  <c r="I3934" i="2" s="1"/>
  <c r="I3935" i="2" s="1"/>
  <c r="I3936" i="2" s="1"/>
  <c r="I3937" i="2" s="1"/>
  <c r="I3938" i="2" s="1"/>
  <c r="I3939" i="2" s="1"/>
  <c r="I3940" i="2" s="1"/>
  <c r="I3941" i="2" s="1"/>
  <c r="I3942" i="2" s="1"/>
  <c r="I3943" i="2" s="1"/>
  <c r="I3944" i="2" s="1"/>
  <c r="I3945" i="2" s="1"/>
  <c r="I3946" i="2" s="1"/>
  <c r="I3947" i="2" s="1"/>
  <c r="I3948" i="2" s="1"/>
  <c r="I3949" i="2" s="1"/>
  <c r="I3950" i="2" s="1"/>
  <c r="I3951" i="2" s="1"/>
  <c r="I3952" i="2" s="1"/>
  <c r="I3953" i="2" s="1"/>
  <c r="I3954" i="2" s="1"/>
  <c r="I3955" i="2" s="1"/>
  <c r="I3956" i="2" s="1"/>
  <c r="I3957" i="2" s="1"/>
  <c r="I3958" i="2" s="1"/>
  <c r="I3959" i="2" s="1"/>
  <c r="I3960" i="2" s="1"/>
  <c r="I3961" i="2" s="1"/>
  <c r="I3962" i="2" s="1"/>
  <c r="I3963" i="2" s="1"/>
  <c r="I3964" i="2" s="1"/>
  <c r="I3965" i="2" s="1"/>
  <c r="I3966" i="2" s="1"/>
  <c r="I3967" i="2" s="1"/>
  <c r="I3968" i="2" s="1"/>
  <c r="I3969" i="2" s="1"/>
  <c r="I3970" i="2" s="1"/>
  <c r="I3971" i="2" s="1"/>
  <c r="I3972" i="2" s="1"/>
  <c r="I3973" i="2" s="1"/>
  <c r="I3974" i="2" s="1"/>
  <c r="I3975" i="2" s="1"/>
  <c r="I3976" i="2" s="1"/>
  <c r="I3977" i="2" s="1"/>
  <c r="I3978" i="2" s="1"/>
  <c r="I3979" i="2" s="1"/>
  <c r="I3980" i="2" s="1"/>
  <c r="I3981" i="2" s="1"/>
  <c r="I3982" i="2" s="1"/>
  <c r="I3983" i="2" s="1"/>
  <c r="I3984" i="2" s="1"/>
  <c r="I3985" i="2" s="1"/>
  <c r="I3986" i="2" s="1"/>
  <c r="I3987" i="2" s="1"/>
  <c r="I3988" i="2" s="1"/>
  <c r="I3989" i="2" s="1"/>
  <c r="I3990" i="2" s="1"/>
  <c r="I3991" i="2" s="1"/>
  <c r="I3992" i="2" s="1"/>
  <c r="I3993" i="2" s="1"/>
  <c r="I3994" i="2" s="1"/>
  <c r="I3995" i="2" s="1"/>
  <c r="I3996" i="2" s="1"/>
  <c r="I3997" i="2" s="1"/>
  <c r="I3998" i="2" s="1"/>
  <c r="I3999" i="2" s="1"/>
  <c r="I4000" i="2" s="1"/>
  <c r="I4001" i="2" s="1"/>
  <c r="I4002" i="2" s="1"/>
  <c r="I4003" i="2" s="1"/>
  <c r="I4004" i="2" s="1"/>
  <c r="I4005" i="2" s="1"/>
  <c r="I4006" i="2" s="1"/>
  <c r="I4007" i="2" s="1"/>
  <c r="I4008" i="2" s="1"/>
  <c r="I4009" i="2" s="1"/>
  <c r="I4010" i="2" s="1"/>
  <c r="I4011" i="2" s="1"/>
  <c r="I4012" i="2" s="1"/>
  <c r="I4013" i="2" s="1"/>
  <c r="I4014" i="2" s="1"/>
  <c r="I4015" i="2" s="1"/>
  <c r="I4016" i="2" s="1"/>
  <c r="I4017" i="2" s="1"/>
  <c r="I4018" i="2" s="1"/>
  <c r="I4019" i="2" s="1"/>
  <c r="I4020" i="2" s="1"/>
  <c r="I4021" i="2" s="1"/>
  <c r="I4022" i="2" s="1"/>
  <c r="I4023" i="2" s="1"/>
  <c r="I4024" i="2" s="1"/>
  <c r="I4025" i="2" s="1"/>
  <c r="I4026" i="2" s="1"/>
  <c r="I4027" i="2" s="1"/>
  <c r="I4028" i="2" s="1"/>
  <c r="I4029" i="2" s="1"/>
  <c r="I4030" i="2" s="1"/>
  <c r="I4031" i="2" s="1"/>
  <c r="I4032" i="2" s="1"/>
  <c r="I4033" i="2" s="1"/>
  <c r="I4034" i="2" s="1"/>
  <c r="I4035" i="2" s="1"/>
  <c r="I4036" i="2" s="1"/>
  <c r="I4037" i="2" s="1"/>
  <c r="I4038" i="2" s="1"/>
  <c r="I4039" i="2" s="1"/>
  <c r="I4040" i="2" s="1"/>
  <c r="I4041" i="2" s="1"/>
  <c r="I4042" i="2" s="1"/>
  <c r="I4043" i="2" s="1"/>
  <c r="I4044" i="2" s="1"/>
  <c r="I4045" i="2" s="1"/>
  <c r="I4046" i="2" s="1"/>
  <c r="I4047" i="2" s="1"/>
  <c r="I4048" i="2" s="1"/>
  <c r="I4049" i="2" s="1"/>
  <c r="I4050" i="2" s="1"/>
  <c r="I4051" i="2" s="1"/>
  <c r="I4052" i="2" s="1"/>
  <c r="I4053" i="2" s="1"/>
  <c r="I4054" i="2" s="1"/>
  <c r="I4055" i="2" s="1"/>
  <c r="I4056" i="2" s="1"/>
  <c r="I4057" i="2" s="1"/>
  <c r="I4058" i="2" s="1"/>
  <c r="I4059" i="2" s="1"/>
  <c r="I4060" i="2" s="1"/>
  <c r="I4061" i="2" s="1"/>
  <c r="I4062" i="2" s="1"/>
  <c r="I4063" i="2" s="1"/>
  <c r="I4064" i="2" s="1"/>
  <c r="I4065" i="2" s="1"/>
  <c r="I4066" i="2" s="1"/>
  <c r="I4067" i="2" s="1"/>
  <c r="I4068" i="2" s="1"/>
  <c r="I4069" i="2" s="1"/>
  <c r="I4070" i="2" s="1"/>
  <c r="I4071" i="2" s="1"/>
  <c r="I4072" i="2" s="1"/>
  <c r="I4073" i="2" s="1"/>
  <c r="I4074" i="2" s="1"/>
  <c r="I4075" i="2" s="1"/>
  <c r="I4076" i="2" s="1"/>
  <c r="I4077" i="2" s="1"/>
  <c r="I4078" i="2" s="1"/>
  <c r="I4079" i="2" s="1"/>
  <c r="I4080" i="2" s="1"/>
  <c r="I4081" i="2" s="1"/>
  <c r="I4082" i="2" s="1"/>
  <c r="I4083" i="2" s="1"/>
  <c r="I4084" i="2" s="1"/>
  <c r="I4085" i="2" s="1"/>
  <c r="I4086" i="2" s="1"/>
  <c r="I4087" i="2" s="1"/>
  <c r="I4088" i="2" s="1"/>
  <c r="I4089" i="2" s="1"/>
  <c r="I4090" i="2" s="1"/>
  <c r="I4091" i="2" s="1"/>
  <c r="I4092" i="2" s="1"/>
  <c r="I4093" i="2" s="1"/>
  <c r="I4094" i="2" s="1"/>
  <c r="I4095" i="2" s="1"/>
  <c r="I4096" i="2" s="1"/>
  <c r="I4097" i="2" s="1"/>
  <c r="I4098" i="2" s="1"/>
  <c r="I4099" i="2" s="1"/>
  <c r="I4100" i="2" s="1"/>
  <c r="I4101" i="2" s="1"/>
  <c r="I4102" i="2" s="1"/>
  <c r="I4103" i="2" s="1"/>
  <c r="I4104" i="2" s="1"/>
  <c r="I4105" i="2" s="1"/>
  <c r="I4106" i="2" s="1"/>
  <c r="I4107" i="2" s="1"/>
  <c r="I4108" i="2" s="1"/>
  <c r="I4109" i="2" s="1"/>
  <c r="I4110" i="2" s="1"/>
  <c r="I4111" i="2" s="1"/>
  <c r="I4112" i="2" s="1"/>
  <c r="I4113" i="2" s="1"/>
  <c r="I4114" i="2" s="1"/>
  <c r="I4115" i="2" s="1"/>
  <c r="I4116" i="2" s="1"/>
  <c r="I4117" i="2" s="1"/>
  <c r="I4118" i="2" s="1"/>
  <c r="I4119" i="2" s="1"/>
  <c r="I4120" i="2" s="1"/>
  <c r="I4121" i="2" s="1"/>
  <c r="I4122" i="2" s="1"/>
  <c r="I4123" i="2" s="1"/>
  <c r="I4124" i="2" s="1"/>
  <c r="I4125" i="2" s="1"/>
  <c r="I4126" i="2" s="1"/>
  <c r="I4127" i="2" s="1"/>
  <c r="I4128" i="2" s="1"/>
  <c r="I4129" i="2" s="1"/>
  <c r="I4130" i="2" s="1"/>
  <c r="I4131" i="2" s="1"/>
  <c r="I4132" i="2" s="1"/>
  <c r="I4133" i="2" s="1"/>
  <c r="I4134" i="2" s="1"/>
  <c r="I4135" i="2" s="1"/>
  <c r="I4136" i="2" s="1"/>
  <c r="I4137" i="2" s="1"/>
  <c r="I4138" i="2" s="1"/>
  <c r="I4139" i="2" s="1"/>
  <c r="I4140" i="2" s="1"/>
  <c r="I4141" i="2" s="1"/>
  <c r="I4142" i="2" s="1"/>
  <c r="I4143" i="2" s="1"/>
  <c r="I4144" i="2" s="1"/>
  <c r="I4145" i="2" s="1"/>
  <c r="I4146" i="2" s="1"/>
  <c r="I4147" i="2" s="1"/>
  <c r="I4148" i="2" s="1"/>
  <c r="I4149" i="2" s="1"/>
  <c r="I4150" i="2" s="1"/>
  <c r="I4151" i="2" s="1"/>
  <c r="I4152" i="2" s="1"/>
  <c r="I4153" i="2" s="1"/>
  <c r="I4154" i="2" s="1"/>
  <c r="I4155" i="2" s="1"/>
  <c r="I4156" i="2" s="1"/>
  <c r="I4157" i="2" s="1"/>
  <c r="I4158" i="2" s="1"/>
  <c r="I4159" i="2" s="1"/>
  <c r="I4160" i="2" s="1"/>
  <c r="I4161" i="2" s="1"/>
  <c r="I4162" i="2" s="1"/>
  <c r="I4163" i="2" s="1"/>
  <c r="I4164" i="2" s="1"/>
  <c r="I4165" i="2" s="1"/>
  <c r="I4166" i="2" s="1"/>
  <c r="I4167" i="2" s="1"/>
  <c r="I4168" i="2" s="1"/>
  <c r="I4169" i="2" s="1"/>
  <c r="I4170" i="2" s="1"/>
  <c r="I4171" i="2" s="1"/>
  <c r="I4172" i="2" s="1"/>
  <c r="I4173" i="2" s="1"/>
  <c r="I4174" i="2" s="1"/>
  <c r="I4175" i="2" s="1"/>
  <c r="I4176" i="2" s="1"/>
  <c r="I4177" i="2" s="1"/>
  <c r="I4178" i="2" s="1"/>
  <c r="I4179" i="2" s="1"/>
  <c r="I4180" i="2" s="1"/>
  <c r="I4181" i="2" s="1"/>
  <c r="I4182" i="2" s="1"/>
  <c r="I4183" i="2" s="1"/>
  <c r="I4184" i="2" s="1"/>
  <c r="I4185" i="2" s="1"/>
  <c r="I4186" i="2" s="1"/>
  <c r="I4187" i="2" s="1"/>
  <c r="I4188" i="2" s="1"/>
  <c r="I4189" i="2" s="1"/>
  <c r="I4190" i="2" s="1"/>
  <c r="I4191" i="2" s="1"/>
  <c r="I4192" i="2" s="1"/>
  <c r="I4193" i="2" s="1"/>
  <c r="I4194" i="2" s="1"/>
  <c r="I4195" i="2" s="1"/>
  <c r="I4196" i="2" s="1"/>
  <c r="I4197" i="2" s="1"/>
  <c r="I4198" i="2" s="1"/>
  <c r="I4199" i="2" s="1"/>
  <c r="I4200" i="2" s="1"/>
  <c r="I4201" i="2" s="1"/>
  <c r="I4202" i="2" s="1"/>
  <c r="I4203" i="2" s="1"/>
  <c r="I4204" i="2" s="1"/>
  <c r="I4205" i="2" s="1"/>
  <c r="I4206" i="2" s="1"/>
  <c r="I4207" i="2" s="1"/>
  <c r="I4208" i="2" s="1"/>
  <c r="I4209" i="2" s="1"/>
  <c r="I4210" i="2" s="1"/>
  <c r="I4211" i="2" s="1"/>
  <c r="I4212" i="2" s="1"/>
  <c r="I4213" i="2" s="1"/>
  <c r="I4214" i="2" s="1"/>
  <c r="I4215" i="2" s="1"/>
  <c r="I4216" i="2" s="1"/>
  <c r="I4217" i="2" s="1"/>
  <c r="I4218" i="2" s="1"/>
  <c r="I4219" i="2" s="1"/>
  <c r="I4220" i="2" s="1"/>
  <c r="I4221" i="2" s="1"/>
  <c r="I4222" i="2" s="1"/>
  <c r="I4223" i="2" s="1"/>
  <c r="I4224" i="2" s="1"/>
  <c r="I4225" i="2" s="1"/>
  <c r="I4226" i="2" s="1"/>
  <c r="I4227" i="2" s="1"/>
  <c r="I4228" i="2" s="1"/>
  <c r="I4229" i="2" s="1"/>
  <c r="I4230" i="2" s="1"/>
  <c r="I4231" i="2" s="1"/>
  <c r="I4232" i="2" s="1"/>
  <c r="I4233" i="2" s="1"/>
  <c r="I4234" i="2" s="1"/>
  <c r="I4235" i="2" s="1"/>
  <c r="I4236" i="2" s="1"/>
  <c r="I4237" i="2" s="1"/>
  <c r="I4238" i="2" s="1"/>
  <c r="I4239" i="2" s="1"/>
  <c r="I4240" i="2" s="1"/>
  <c r="I4241" i="2" s="1"/>
  <c r="I4242" i="2" s="1"/>
  <c r="I4243" i="2" s="1"/>
  <c r="I4244" i="2" s="1"/>
  <c r="I4245" i="2" s="1"/>
  <c r="I4246" i="2" s="1"/>
  <c r="I4247" i="2" s="1"/>
  <c r="I4248" i="2" s="1"/>
  <c r="I4249" i="2" s="1"/>
  <c r="I4250" i="2" s="1"/>
  <c r="I4251" i="2" s="1"/>
  <c r="I4252" i="2" s="1"/>
  <c r="I4253" i="2" s="1"/>
  <c r="I4254" i="2" s="1"/>
  <c r="I4255" i="2" s="1"/>
  <c r="I4256" i="2" s="1"/>
  <c r="I4257" i="2" s="1"/>
  <c r="I4258" i="2" s="1"/>
  <c r="I4259" i="2" s="1"/>
  <c r="I4260" i="2" s="1"/>
  <c r="I4261" i="2" s="1"/>
  <c r="I4262" i="2" s="1"/>
  <c r="I4263" i="2" s="1"/>
  <c r="I4264" i="2" s="1"/>
  <c r="I4265" i="2" s="1"/>
  <c r="I4266" i="2" s="1"/>
  <c r="I4267" i="2" s="1"/>
  <c r="I4268" i="2" s="1"/>
  <c r="I4269" i="2" s="1"/>
  <c r="I4270" i="2" s="1"/>
  <c r="I4271" i="2" s="1"/>
  <c r="I4272" i="2" s="1"/>
  <c r="I4273" i="2" s="1"/>
  <c r="I4274" i="2" s="1"/>
  <c r="I4275" i="2" s="1"/>
  <c r="I4276" i="2" s="1"/>
  <c r="I4277" i="2" s="1"/>
  <c r="I4278" i="2" s="1"/>
  <c r="I4279" i="2" s="1"/>
  <c r="I4280" i="2" s="1"/>
  <c r="I4281" i="2" s="1"/>
  <c r="I4282" i="2" s="1"/>
  <c r="I4283" i="2" s="1"/>
  <c r="I4284" i="2" s="1"/>
  <c r="I4285" i="2" s="1"/>
  <c r="I4286" i="2" s="1"/>
  <c r="I4287" i="2" s="1"/>
  <c r="I4288" i="2" s="1"/>
  <c r="I4289" i="2" s="1"/>
  <c r="I4290" i="2" s="1"/>
  <c r="I4291" i="2" s="1"/>
  <c r="I4292" i="2" s="1"/>
  <c r="I4293" i="2" s="1"/>
  <c r="I4294" i="2" s="1"/>
  <c r="I4295" i="2" s="1"/>
  <c r="I4296" i="2" s="1"/>
  <c r="I4297" i="2" s="1"/>
  <c r="I4298" i="2" s="1"/>
  <c r="I4299" i="2" s="1"/>
  <c r="I4300" i="2" s="1"/>
  <c r="I4301" i="2" s="1"/>
  <c r="I4302" i="2" s="1"/>
  <c r="I4303" i="2" s="1"/>
  <c r="I4304" i="2" s="1"/>
  <c r="I4305" i="2" s="1"/>
  <c r="I4306" i="2" s="1"/>
  <c r="I4307" i="2" s="1"/>
  <c r="I4308" i="2" s="1"/>
  <c r="I4309" i="2" s="1"/>
  <c r="I4310" i="2" s="1"/>
  <c r="I4311" i="2" s="1"/>
  <c r="I4312" i="2" s="1"/>
  <c r="I4313" i="2" s="1"/>
  <c r="I4314" i="2" s="1"/>
  <c r="I4315" i="2" s="1"/>
  <c r="I4316" i="2" s="1"/>
  <c r="I4317" i="2" s="1"/>
  <c r="I4318" i="2" s="1"/>
  <c r="I4319" i="2" s="1"/>
  <c r="I4320" i="2" s="1"/>
  <c r="I4321" i="2" s="1"/>
  <c r="I4322" i="2" s="1"/>
  <c r="I4323" i="2" s="1"/>
  <c r="I4324" i="2" s="1"/>
  <c r="I4325" i="2" s="1"/>
  <c r="I4326" i="2" s="1"/>
  <c r="I4327" i="2" s="1"/>
  <c r="I4328" i="2" s="1"/>
  <c r="I4329" i="2" s="1"/>
  <c r="I4330" i="2" s="1"/>
  <c r="I4331" i="2" s="1"/>
  <c r="I4332" i="2" s="1"/>
  <c r="I4333" i="2" s="1"/>
  <c r="I4334" i="2" s="1"/>
  <c r="I4335" i="2" s="1"/>
  <c r="I4336" i="2" s="1"/>
  <c r="I4337" i="2" s="1"/>
  <c r="I4338" i="2" s="1"/>
  <c r="I4339" i="2" s="1"/>
  <c r="I4340" i="2" s="1"/>
  <c r="I4341" i="2" s="1"/>
  <c r="I4342" i="2" s="1"/>
  <c r="I4343" i="2" s="1"/>
  <c r="I4344" i="2" s="1"/>
  <c r="I4345" i="2" s="1"/>
  <c r="I4346" i="2" s="1"/>
  <c r="I4347" i="2" s="1"/>
  <c r="I4348" i="2" s="1"/>
  <c r="I4349" i="2" s="1"/>
  <c r="I4350" i="2" s="1"/>
  <c r="I4351" i="2" s="1"/>
  <c r="I4352" i="2" s="1"/>
  <c r="I4353" i="2" s="1"/>
  <c r="I4354" i="2" s="1"/>
  <c r="I4355" i="2" s="1"/>
  <c r="I4356" i="2" s="1"/>
  <c r="I4357" i="2" s="1"/>
  <c r="I4358" i="2" s="1"/>
  <c r="I4359" i="2" s="1"/>
  <c r="I4360" i="2" s="1"/>
  <c r="I4361" i="2" s="1"/>
  <c r="I4362" i="2" s="1"/>
  <c r="I4363" i="2" s="1"/>
  <c r="I4364" i="2" s="1"/>
  <c r="I4365" i="2" s="1"/>
  <c r="I4366" i="2" s="1"/>
  <c r="I4367" i="2" s="1"/>
  <c r="I4368" i="2" s="1"/>
  <c r="I4369" i="2" s="1"/>
  <c r="I4370" i="2" s="1"/>
  <c r="I4371" i="2" s="1"/>
  <c r="I4372" i="2" s="1"/>
  <c r="I4373" i="2" s="1"/>
  <c r="I4374" i="2" s="1"/>
  <c r="I4375" i="2" s="1"/>
  <c r="I4376" i="2" s="1"/>
  <c r="I4377" i="2" s="1"/>
  <c r="I4378" i="2" s="1"/>
  <c r="I4379" i="2" s="1"/>
  <c r="I4380" i="2" s="1"/>
  <c r="I4381" i="2" s="1"/>
  <c r="I4382" i="2" s="1"/>
  <c r="I4383" i="2" s="1"/>
  <c r="I4384" i="2" s="1"/>
  <c r="I4385" i="2" s="1"/>
  <c r="I4386" i="2" s="1"/>
  <c r="I4387" i="2" s="1"/>
  <c r="I4388" i="2" s="1"/>
  <c r="I4389" i="2" s="1"/>
  <c r="I4390" i="2" s="1"/>
  <c r="I4391" i="2" s="1"/>
  <c r="I4392" i="2" s="1"/>
  <c r="I4393" i="2" s="1"/>
  <c r="I4394" i="2" s="1"/>
  <c r="I4395" i="2" s="1"/>
  <c r="I4396" i="2" s="1"/>
  <c r="I4397" i="2" s="1"/>
  <c r="I4398" i="2" s="1"/>
  <c r="I4399" i="2" s="1"/>
  <c r="I4400" i="2" s="1"/>
  <c r="I4401" i="2" s="1"/>
  <c r="I4402" i="2" s="1"/>
  <c r="I4403" i="2" s="1"/>
  <c r="I4404" i="2" s="1"/>
  <c r="I4405" i="2" s="1"/>
  <c r="I4406" i="2" s="1"/>
  <c r="I4407" i="2" s="1"/>
  <c r="I4408" i="2" s="1"/>
  <c r="I4409" i="2" s="1"/>
  <c r="I4410" i="2" s="1"/>
  <c r="I4411" i="2" s="1"/>
  <c r="I4412" i="2" s="1"/>
  <c r="I4413" i="2" s="1"/>
  <c r="I4414" i="2" s="1"/>
  <c r="I4415" i="2" s="1"/>
  <c r="I4416" i="2" s="1"/>
  <c r="I4417" i="2" s="1"/>
  <c r="I4418" i="2" s="1"/>
  <c r="I4419" i="2" s="1"/>
  <c r="I4420" i="2" s="1"/>
  <c r="I4421" i="2" s="1"/>
  <c r="I4422" i="2" s="1"/>
  <c r="I4423" i="2" s="1"/>
  <c r="I4424" i="2" s="1"/>
  <c r="I4425" i="2" s="1"/>
  <c r="I4426" i="2" s="1"/>
  <c r="I4427" i="2" s="1"/>
  <c r="I4428" i="2" s="1"/>
  <c r="I4429" i="2" s="1"/>
  <c r="I4430" i="2" s="1"/>
  <c r="I4431" i="2" s="1"/>
  <c r="I4432" i="2" s="1"/>
  <c r="I4433" i="2" s="1"/>
  <c r="I4434" i="2" s="1"/>
  <c r="I4435" i="2" s="1"/>
  <c r="I4436" i="2" s="1"/>
  <c r="I4437" i="2" s="1"/>
  <c r="I4438" i="2" s="1"/>
  <c r="I4439" i="2" s="1"/>
  <c r="I4440" i="2" s="1"/>
  <c r="I4441" i="2" s="1"/>
  <c r="I4442" i="2" s="1"/>
  <c r="I4443" i="2" s="1"/>
  <c r="I4444" i="2" s="1"/>
  <c r="I4445" i="2" s="1"/>
  <c r="I4446" i="2" s="1"/>
  <c r="I4447" i="2" s="1"/>
  <c r="I4448" i="2" s="1"/>
  <c r="I4449" i="2" s="1"/>
  <c r="I4450" i="2" s="1"/>
  <c r="I4451" i="2" s="1"/>
  <c r="I4452" i="2" s="1"/>
  <c r="I4453" i="2" s="1"/>
  <c r="I4454" i="2" s="1"/>
  <c r="I4455" i="2" s="1"/>
  <c r="I4456" i="2" s="1"/>
  <c r="I4457" i="2" s="1"/>
  <c r="I4458" i="2" s="1"/>
  <c r="I4459" i="2" s="1"/>
  <c r="I4460" i="2" s="1"/>
  <c r="I4461" i="2" s="1"/>
  <c r="I4462" i="2" s="1"/>
  <c r="I4463" i="2" s="1"/>
  <c r="I4464" i="2" s="1"/>
  <c r="I4465" i="2" s="1"/>
  <c r="I4466" i="2" s="1"/>
  <c r="I4467" i="2" s="1"/>
  <c r="I4468" i="2" s="1"/>
  <c r="I4469" i="2" s="1"/>
  <c r="I4470" i="2" s="1"/>
  <c r="I4471" i="2" s="1"/>
  <c r="I4472" i="2" s="1"/>
  <c r="I4473" i="2" s="1"/>
  <c r="I4474" i="2" s="1"/>
  <c r="I4475" i="2" s="1"/>
  <c r="I4476" i="2" s="1"/>
  <c r="I4477" i="2" s="1"/>
  <c r="I4478" i="2" s="1"/>
  <c r="I4479" i="2" s="1"/>
  <c r="I4480" i="2" s="1"/>
  <c r="I4481" i="2" s="1"/>
  <c r="I4482" i="2" s="1"/>
  <c r="I4483" i="2" s="1"/>
  <c r="I4484" i="2" s="1"/>
  <c r="I4485" i="2" s="1"/>
  <c r="I4486" i="2" s="1"/>
  <c r="I4487" i="2" s="1"/>
  <c r="I4488" i="2" s="1"/>
  <c r="I4489" i="2" s="1"/>
  <c r="I4490" i="2" s="1"/>
  <c r="I3466" i="2"/>
  <c r="H3463" i="2"/>
  <c r="G3463" i="2"/>
  <c r="I3444" i="2"/>
  <c r="I3445" i="2" s="1"/>
  <c r="I3446" i="2" s="1"/>
  <c r="I3447" i="2" s="1"/>
  <c r="I3448" i="2" s="1"/>
  <c r="I3449" i="2" s="1"/>
  <c r="I3450" i="2" s="1"/>
  <c r="I3451" i="2" s="1"/>
  <c r="I3452" i="2" s="1"/>
  <c r="I3453" i="2" s="1"/>
  <c r="I3454" i="2" s="1"/>
  <c r="I3455" i="2" s="1"/>
  <c r="I3456" i="2" s="1"/>
  <c r="I3457" i="2" s="1"/>
  <c r="I3458" i="2" s="1"/>
  <c r="I3459" i="2" s="1"/>
  <c r="I3460" i="2" s="1"/>
  <c r="I3461" i="2" s="1"/>
  <c r="I3462" i="2" s="1"/>
  <c r="H3441" i="2"/>
  <c r="G3441" i="2"/>
  <c r="I3441" i="2" s="1"/>
  <c r="I3402" i="2"/>
  <c r="I3403" i="2" s="1"/>
  <c r="I3404" i="2" s="1"/>
  <c r="I3405" i="2" s="1"/>
  <c r="I3406" i="2" s="1"/>
  <c r="I3407" i="2" s="1"/>
  <c r="I3408" i="2" s="1"/>
  <c r="I3409" i="2" s="1"/>
  <c r="I3410" i="2" s="1"/>
  <c r="I3411" i="2" s="1"/>
  <c r="I3412" i="2" s="1"/>
  <c r="I3413" i="2" s="1"/>
  <c r="I3414" i="2" s="1"/>
  <c r="I3415" i="2" s="1"/>
  <c r="I3416" i="2" s="1"/>
  <c r="I3417" i="2" s="1"/>
  <c r="I3418" i="2" s="1"/>
  <c r="I3419" i="2" s="1"/>
  <c r="I3420" i="2" s="1"/>
  <c r="I3421" i="2" s="1"/>
  <c r="I3422" i="2" s="1"/>
  <c r="I3423" i="2" s="1"/>
  <c r="I3424" i="2" s="1"/>
  <c r="I3425" i="2" s="1"/>
  <c r="I3426" i="2" s="1"/>
  <c r="I3427" i="2" s="1"/>
  <c r="I3428" i="2" s="1"/>
  <c r="I3429" i="2" s="1"/>
  <c r="I3430" i="2" s="1"/>
  <c r="I3431" i="2" s="1"/>
  <c r="I3432" i="2" s="1"/>
  <c r="I3433" i="2" s="1"/>
  <c r="I3434" i="2" s="1"/>
  <c r="I3435" i="2" s="1"/>
  <c r="I3436" i="2" s="1"/>
  <c r="I3437" i="2" s="1"/>
  <c r="I3438" i="2" s="1"/>
  <c r="I3439" i="2" s="1"/>
  <c r="I3440" i="2" s="1"/>
  <c r="I3400" i="2"/>
  <c r="I3401" i="2" s="1"/>
  <c r="H3397" i="2"/>
  <c r="G3397" i="2"/>
  <c r="I3397" i="2" s="1"/>
  <c r="I3384" i="2"/>
  <c r="I3385" i="2" s="1"/>
  <c r="I3386" i="2" s="1"/>
  <c r="I3387" i="2" s="1"/>
  <c r="I3388" i="2" s="1"/>
  <c r="I3389" i="2" s="1"/>
  <c r="I3390" i="2" s="1"/>
  <c r="I3391" i="2" s="1"/>
  <c r="I3392" i="2" s="1"/>
  <c r="I3393" i="2" s="1"/>
  <c r="I3394" i="2" s="1"/>
  <c r="I3395" i="2" s="1"/>
  <c r="I3396" i="2" s="1"/>
  <c r="H3381" i="2"/>
  <c r="G3381" i="2"/>
  <c r="I3381" i="2" s="1"/>
  <c r="I3380" i="2"/>
  <c r="H3377" i="2"/>
  <c r="I3377" i="2" s="1"/>
  <c r="G3377" i="2"/>
  <c r="I2709" i="2"/>
  <c r="I2710" i="2" s="1"/>
  <c r="I2711" i="2" s="1"/>
  <c r="I2712" i="2" s="1"/>
  <c r="I2713" i="2" s="1"/>
  <c r="I2714" i="2" s="1"/>
  <c r="I2715" i="2" s="1"/>
  <c r="I2716" i="2" s="1"/>
  <c r="I2717" i="2" s="1"/>
  <c r="I2718" i="2" s="1"/>
  <c r="I2719" i="2" s="1"/>
  <c r="I2720" i="2" s="1"/>
  <c r="I2721" i="2" s="1"/>
  <c r="I2722" i="2" s="1"/>
  <c r="I2723" i="2" s="1"/>
  <c r="I2724" i="2" s="1"/>
  <c r="I2725" i="2" s="1"/>
  <c r="I2726" i="2" s="1"/>
  <c r="I2727" i="2" s="1"/>
  <c r="I2728" i="2" s="1"/>
  <c r="I2729" i="2" s="1"/>
  <c r="I2730" i="2" s="1"/>
  <c r="I2731" i="2" s="1"/>
  <c r="I2732" i="2" s="1"/>
  <c r="I2733" i="2" s="1"/>
  <c r="I2734" i="2" s="1"/>
  <c r="I2735" i="2" s="1"/>
  <c r="I2736" i="2" s="1"/>
  <c r="I2737" i="2" s="1"/>
  <c r="I2738" i="2" s="1"/>
  <c r="I2739" i="2" s="1"/>
  <c r="I2740" i="2" s="1"/>
  <c r="I2741" i="2" s="1"/>
  <c r="I2742" i="2" s="1"/>
  <c r="I2743" i="2" s="1"/>
  <c r="I2744" i="2" s="1"/>
  <c r="I2745" i="2" s="1"/>
  <c r="I2746" i="2" s="1"/>
  <c r="I2747" i="2" s="1"/>
  <c r="I2748" i="2" s="1"/>
  <c r="I2749" i="2" s="1"/>
  <c r="I2750" i="2" s="1"/>
  <c r="I2751" i="2" s="1"/>
  <c r="I2752" i="2" s="1"/>
  <c r="I2753" i="2" s="1"/>
  <c r="I2754" i="2" s="1"/>
  <c r="I2755" i="2" s="1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I2766" i="2" s="1"/>
  <c r="I2767" i="2" s="1"/>
  <c r="I2768" i="2" s="1"/>
  <c r="I2769" i="2" s="1"/>
  <c r="I2770" i="2" s="1"/>
  <c r="I2771" i="2" s="1"/>
  <c r="I2772" i="2" s="1"/>
  <c r="I2773" i="2" s="1"/>
  <c r="I2774" i="2" s="1"/>
  <c r="I2775" i="2" s="1"/>
  <c r="I2776" i="2" s="1"/>
  <c r="I2777" i="2" s="1"/>
  <c r="I2778" i="2" s="1"/>
  <c r="I2779" i="2" s="1"/>
  <c r="I2780" i="2" s="1"/>
  <c r="I2781" i="2" s="1"/>
  <c r="I2782" i="2" s="1"/>
  <c r="I2783" i="2" s="1"/>
  <c r="I2784" i="2" s="1"/>
  <c r="I2785" i="2" s="1"/>
  <c r="I2786" i="2" s="1"/>
  <c r="I2787" i="2" s="1"/>
  <c r="I2788" i="2" s="1"/>
  <c r="I2789" i="2" s="1"/>
  <c r="I2790" i="2" s="1"/>
  <c r="I2791" i="2" s="1"/>
  <c r="I2792" i="2" s="1"/>
  <c r="I2793" i="2" s="1"/>
  <c r="I2794" i="2" s="1"/>
  <c r="I2795" i="2" s="1"/>
  <c r="I2796" i="2" s="1"/>
  <c r="I2797" i="2" s="1"/>
  <c r="I2798" i="2" s="1"/>
  <c r="I2799" i="2" s="1"/>
  <c r="I2800" i="2" s="1"/>
  <c r="I2801" i="2" s="1"/>
  <c r="I2802" i="2" s="1"/>
  <c r="I2803" i="2" s="1"/>
  <c r="I2804" i="2" s="1"/>
  <c r="I2805" i="2" s="1"/>
  <c r="I2806" i="2" s="1"/>
  <c r="I2807" i="2" s="1"/>
  <c r="I2808" i="2" s="1"/>
  <c r="I2809" i="2" s="1"/>
  <c r="I2810" i="2" s="1"/>
  <c r="I2811" i="2" s="1"/>
  <c r="I2812" i="2" s="1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I2826" i="2" s="1"/>
  <c r="I2827" i="2" s="1"/>
  <c r="I2828" i="2" s="1"/>
  <c r="I2829" i="2" s="1"/>
  <c r="I2830" i="2" s="1"/>
  <c r="I2831" i="2" s="1"/>
  <c r="I2832" i="2" s="1"/>
  <c r="I2833" i="2" s="1"/>
  <c r="I2834" i="2" s="1"/>
  <c r="I2835" i="2" s="1"/>
  <c r="I2836" i="2" s="1"/>
  <c r="I2837" i="2" s="1"/>
  <c r="I2838" i="2" s="1"/>
  <c r="I2839" i="2" s="1"/>
  <c r="I2840" i="2" s="1"/>
  <c r="I2841" i="2" s="1"/>
  <c r="I2842" i="2" s="1"/>
  <c r="I2843" i="2" s="1"/>
  <c r="I2844" i="2" s="1"/>
  <c r="I2845" i="2" s="1"/>
  <c r="I2846" i="2" s="1"/>
  <c r="I2847" i="2" s="1"/>
  <c r="I2848" i="2" s="1"/>
  <c r="I2849" i="2" s="1"/>
  <c r="I2850" i="2" s="1"/>
  <c r="I2851" i="2" s="1"/>
  <c r="I2852" i="2" s="1"/>
  <c r="I2853" i="2" s="1"/>
  <c r="I2854" i="2" s="1"/>
  <c r="I2855" i="2" s="1"/>
  <c r="I2856" i="2" s="1"/>
  <c r="I2857" i="2" s="1"/>
  <c r="I2858" i="2" s="1"/>
  <c r="I2859" i="2" s="1"/>
  <c r="I2860" i="2" s="1"/>
  <c r="I2861" i="2" s="1"/>
  <c r="I2862" i="2" s="1"/>
  <c r="I2863" i="2" s="1"/>
  <c r="I2864" i="2" s="1"/>
  <c r="I2865" i="2" s="1"/>
  <c r="I2866" i="2" s="1"/>
  <c r="I2867" i="2" s="1"/>
  <c r="I2868" i="2" s="1"/>
  <c r="I2869" i="2" s="1"/>
  <c r="I2870" i="2" s="1"/>
  <c r="I2871" i="2" s="1"/>
  <c r="I2872" i="2" s="1"/>
  <c r="I2873" i="2" s="1"/>
  <c r="I2874" i="2" s="1"/>
  <c r="I2875" i="2" s="1"/>
  <c r="I2876" i="2" s="1"/>
  <c r="I2877" i="2" s="1"/>
  <c r="I2878" i="2" s="1"/>
  <c r="I2879" i="2" s="1"/>
  <c r="I2880" i="2" s="1"/>
  <c r="I2881" i="2" s="1"/>
  <c r="I2882" i="2" s="1"/>
  <c r="I2883" i="2" s="1"/>
  <c r="I2884" i="2" s="1"/>
  <c r="I2885" i="2" s="1"/>
  <c r="I2886" i="2" s="1"/>
  <c r="I2887" i="2" s="1"/>
  <c r="I2888" i="2" s="1"/>
  <c r="I2889" i="2" s="1"/>
  <c r="I2890" i="2" s="1"/>
  <c r="I2891" i="2" s="1"/>
  <c r="I2892" i="2" s="1"/>
  <c r="I2893" i="2" s="1"/>
  <c r="I2894" i="2" s="1"/>
  <c r="I2895" i="2" s="1"/>
  <c r="I2896" i="2" s="1"/>
  <c r="I2897" i="2" s="1"/>
  <c r="I2898" i="2" s="1"/>
  <c r="I2899" i="2" s="1"/>
  <c r="I2900" i="2" s="1"/>
  <c r="I2901" i="2" s="1"/>
  <c r="I2902" i="2" s="1"/>
  <c r="I2903" i="2" s="1"/>
  <c r="I2904" i="2" s="1"/>
  <c r="I2905" i="2" s="1"/>
  <c r="I2906" i="2" s="1"/>
  <c r="I2907" i="2" s="1"/>
  <c r="I2908" i="2" s="1"/>
  <c r="I2909" i="2" s="1"/>
  <c r="I2910" i="2" s="1"/>
  <c r="I2911" i="2" s="1"/>
  <c r="I2912" i="2" s="1"/>
  <c r="I2913" i="2" s="1"/>
  <c r="I2914" i="2" s="1"/>
  <c r="I2915" i="2" s="1"/>
  <c r="I2916" i="2" s="1"/>
  <c r="I2917" i="2" s="1"/>
  <c r="I2918" i="2" s="1"/>
  <c r="I2919" i="2" s="1"/>
  <c r="I2920" i="2" s="1"/>
  <c r="I2921" i="2" s="1"/>
  <c r="I2922" i="2" s="1"/>
  <c r="I2923" i="2" s="1"/>
  <c r="I2924" i="2" s="1"/>
  <c r="I2925" i="2" s="1"/>
  <c r="I2926" i="2" s="1"/>
  <c r="I2927" i="2" s="1"/>
  <c r="I2928" i="2" s="1"/>
  <c r="I2929" i="2" s="1"/>
  <c r="I2930" i="2" s="1"/>
  <c r="I2931" i="2" s="1"/>
  <c r="I2932" i="2" s="1"/>
  <c r="I2933" i="2" s="1"/>
  <c r="I2934" i="2" s="1"/>
  <c r="I2935" i="2" s="1"/>
  <c r="I2936" i="2" s="1"/>
  <c r="I2937" i="2" s="1"/>
  <c r="I2938" i="2" s="1"/>
  <c r="I2939" i="2" s="1"/>
  <c r="I2940" i="2" s="1"/>
  <c r="I2941" i="2" s="1"/>
  <c r="I2942" i="2" s="1"/>
  <c r="I2943" i="2" s="1"/>
  <c r="I2944" i="2" s="1"/>
  <c r="I2945" i="2" s="1"/>
  <c r="I2946" i="2" s="1"/>
  <c r="I2947" i="2" s="1"/>
  <c r="I2948" i="2" s="1"/>
  <c r="I2949" i="2" s="1"/>
  <c r="I2950" i="2" s="1"/>
  <c r="I2951" i="2" s="1"/>
  <c r="I2952" i="2" s="1"/>
  <c r="I2953" i="2" s="1"/>
  <c r="I2954" i="2" s="1"/>
  <c r="I2955" i="2" s="1"/>
  <c r="I2956" i="2" s="1"/>
  <c r="I2957" i="2" s="1"/>
  <c r="I2958" i="2" s="1"/>
  <c r="I2959" i="2" s="1"/>
  <c r="I2960" i="2" s="1"/>
  <c r="I2961" i="2" s="1"/>
  <c r="I2962" i="2" s="1"/>
  <c r="I2963" i="2" s="1"/>
  <c r="I2964" i="2" s="1"/>
  <c r="I2965" i="2" s="1"/>
  <c r="I2966" i="2" s="1"/>
  <c r="I2967" i="2" s="1"/>
  <c r="I2968" i="2" s="1"/>
  <c r="I2969" i="2" s="1"/>
  <c r="I2970" i="2" s="1"/>
  <c r="I2971" i="2" s="1"/>
  <c r="I2972" i="2" s="1"/>
  <c r="I2973" i="2" s="1"/>
  <c r="I2974" i="2" s="1"/>
  <c r="I2975" i="2" s="1"/>
  <c r="I2976" i="2" s="1"/>
  <c r="I2977" i="2" s="1"/>
  <c r="I2978" i="2" s="1"/>
  <c r="I2979" i="2" s="1"/>
  <c r="I2980" i="2" s="1"/>
  <c r="I2981" i="2" s="1"/>
  <c r="I2982" i="2" s="1"/>
  <c r="I2983" i="2" s="1"/>
  <c r="I2984" i="2" s="1"/>
  <c r="I2985" i="2" s="1"/>
  <c r="I2986" i="2" s="1"/>
  <c r="I2987" i="2" s="1"/>
  <c r="I2988" i="2" s="1"/>
  <c r="I2989" i="2" s="1"/>
  <c r="I2990" i="2" s="1"/>
  <c r="I2991" i="2" s="1"/>
  <c r="I2992" i="2" s="1"/>
  <c r="I2993" i="2" s="1"/>
  <c r="I2994" i="2" s="1"/>
  <c r="I2995" i="2" s="1"/>
  <c r="I2996" i="2" s="1"/>
  <c r="I2997" i="2" s="1"/>
  <c r="I2998" i="2" s="1"/>
  <c r="I2999" i="2" s="1"/>
  <c r="I3000" i="2" s="1"/>
  <c r="I3001" i="2" s="1"/>
  <c r="I3002" i="2" s="1"/>
  <c r="I3003" i="2" s="1"/>
  <c r="I3004" i="2" s="1"/>
  <c r="I3005" i="2" s="1"/>
  <c r="I3006" i="2" s="1"/>
  <c r="I3007" i="2" s="1"/>
  <c r="I3008" i="2" s="1"/>
  <c r="I3009" i="2" s="1"/>
  <c r="I3010" i="2" s="1"/>
  <c r="I3011" i="2" s="1"/>
  <c r="I3012" i="2" s="1"/>
  <c r="I3013" i="2" s="1"/>
  <c r="I3014" i="2" s="1"/>
  <c r="I3015" i="2" s="1"/>
  <c r="I3016" i="2" s="1"/>
  <c r="I3017" i="2" s="1"/>
  <c r="I3018" i="2" s="1"/>
  <c r="I3019" i="2" s="1"/>
  <c r="I3020" i="2" s="1"/>
  <c r="I3021" i="2" s="1"/>
  <c r="I3022" i="2" s="1"/>
  <c r="I3023" i="2" s="1"/>
  <c r="I3024" i="2" s="1"/>
  <c r="I3025" i="2" s="1"/>
  <c r="I3026" i="2" s="1"/>
  <c r="I3027" i="2" s="1"/>
  <c r="I3028" i="2" s="1"/>
  <c r="I3029" i="2" s="1"/>
  <c r="I3030" i="2" s="1"/>
  <c r="I3031" i="2" s="1"/>
  <c r="I3032" i="2" s="1"/>
  <c r="I3033" i="2" s="1"/>
  <c r="I3034" i="2" s="1"/>
  <c r="I3035" i="2" s="1"/>
  <c r="I3036" i="2" s="1"/>
  <c r="I3037" i="2" s="1"/>
  <c r="I3038" i="2" s="1"/>
  <c r="I3039" i="2" s="1"/>
  <c r="I3040" i="2" s="1"/>
  <c r="I3041" i="2" s="1"/>
  <c r="I3042" i="2" s="1"/>
  <c r="I3043" i="2" s="1"/>
  <c r="I3044" i="2" s="1"/>
  <c r="I3045" i="2" s="1"/>
  <c r="I3046" i="2" s="1"/>
  <c r="I3047" i="2" s="1"/>
  <c r="I3048" i="2" s="1"/>
  <c r="I3049" i="2" s="1"/>
  <c r="I3050" i="2" s="1"/>
  <c r="I3051" i="2" s="1"/>
  <c r="I3052" i="2" s="1"/>
  <c r="I3053" i="2" s="1"/>
  <c r="I3054" i="2" s="1"/>
  <c r="I3055" i="2" s="1"/>
  <c r="I3056" i="2" s="1"/>
  <c r="I3057" i="2" s="1"/>
  <c r="I3058" i="2" s="1"/>
  <c r="I3059" i="2" s="1"/>
  <c r="I3060" i="2" s="1"/>
  <c r="I3061" i="2" s="1"/>
  <c r="I3062" i="2" s="1"/>
  <c r="I3063" i="2" s="1"/>
  <c r="I3064" i="2" s="1"/>
  <c r="I3065" i="2" s="1"/>
  <c r="I3066" i="2" s="1"/>
  <c r="I3067" i="2" s="1"/>
  <c r="I3068" i="2" s="1"/>
  <c r="I3069" i="2" s="1"/>
  <c r="I3070" i="2" s="1"/>
  <c r="I3071" i="2" s="1"/>
  <c r="I3072" i="2" s="1"/>
  <c r="I3073" i="2" s="1"/>
  <c r="I3074" i="2" s="1"/>
  <c r="I3075" i="2" s="1"/>
  <c r="I3076" i="2" s="1"/>
  <c r="I3077" i="2" s="1"/>
  <c r="I3078" i="2" s="1"/>
  <c r="I3079" i="2" s="1"/>
  <c r="I3080" i="2" s="1"/>
  <c r="I3081" i="2" s="1"/>
  <c r="I3082" i="2" s="1"/>
  <c r="I3083" i="2" s="1"/>
  <c r="I3084" i="2" s="1"/>
  <c r="I3085" i="2" s="1"/>
  <c r="I3086" i="2" s="1"/>
  <c r="I3087" i="2" s="1"/>
  <c r="I3088" i="2" s="1"/>
  <c r="I3089" i="2" s="1"/>
  <c r="I3090" i="2" s="1"/>
  <c r="I3091" i="2" s="1"/>
  <c r="I3092" i="2" s="1"/>
  <c r="I3093" i="2" s="1"/>
  <c r="I3094" i="2" s="1"/>
  <c r="I3095" i="2" s="1"/>
  <c r="I3096" i="2" s="1"/>
  <c r="I3097" i="2" s="1"/>
  <c r="I3098" i="2" s="1"/>
  <c r="I3099" i="2" s="1"/>
  <c r="I3100" i="2" s="1"/>
  <c r="I3101" i="2" s="1"/>
  <c r="I3102" i="2" s="1"/>
  <c r="I3103" i="2" s="1"/>
  <c r="I3104" i="2" s="1"/>
  <c r="I3105" i="2" s="1"/>
  <c r="I3106" i="2" s="1"/>
  <c r="I3107" i="2" s="1"/>
  <c r="I3108" i="2" s="1"/>
  <c r="I3109" i="2" s="1"/>
  <c r="I3110" i="2" s="1"/>
  <c r="I3111" i="2" s="1"/>
  <c r="I3112" i="2" s="1"/>
  <c r="I3113" i="2" s="1"/>
  <c r="I3114" i="2" s="1"/>
  <c r="I3115" i="2" s="1"/>
  <c r="I3116" i="2" s="1"/>
  <c r="I3117" i="2" s="1"/>
  <c r="I3118" i="2" s="1"/>
  <c r="I3119" i="2" s="1"/>
  <c r="I3120" i="2" s="1"/>
  <c r="I3121" i="2" s="1"/>
  <c r="I3122" i="2" s="1"/>
  <c r="I3123" i="2" s="1"/>
  <c r="I3124" i="2" s="1"/>
  <c r="I3125" i="2" s="1"/>
  <c r="I3126" i="2" s="1"/>
  <c r="I3127" i="2" s="1"/>
  <c r="I3128" i="2" s="1"/>
  <c r="I3129" i="2" s="1"/>
  <c r="I3130" i="2" s="1"/>
  <c r="I3131" i="2" s="1"/>
  <c r="I3132" i="2" s="1"/>
  <c r="I3133" i="2" s="1"/>
  <c r="I3134" i="2" s="1"/>
  <c r="I3135" i="2" s="1"/>
  <c r="I3136" i="2" s="1"/>
  <c r="I3137" i="2" s="1"/>
  <c r="I3138" i="2" s="1"/>
  <c r="I3139" i="2" s="1"/>
  <c r="I3140" i="2" s="1"/>
  <c r="I3141" i="2" s="1"/>
  <c r="I3142" i="2" s="1"/>
  <c r="I3143" i="2" s="1"/>
  <c r="I3144" i="2" s="1"/>
  <c r="I3145" i="2" s="1"/>
  <c r="I3146" i="2" s="1"/>
  <c r="I3147" i="2" s="1"/>
  <c r="I3148" i="2" s="1"/>
  <c r="I3149" i="2" s="1"/>
  <c r="I3150" i="2" s="1"/>
  <c r="I3151" i="2" s="1"/>
  <c r="I3152" i="2" s="1"/>
  <c r="I3153" i="2" s="1"/>
  <c r="I3154" i="2" s="1"/>
  <c r="I3155" i="2" s="1"/>
  <c r="I3156" i="2" s="1"/>
  <c r="I3157" i="2" s="1"/>
  <c r="I3158" i="2" s="1"/>
  <c r="I3159" i="2" s="1"/>
  <c r="I3160" i="2" s="1"/>
  <c r="I3161" i="2" s="1"/>
  <c r="I3162" i="2" s="1"/>
  <c r="I3163" i="2" s="1"/>
  <c r="I3164" i="2" s="1"/>
  <c r="I3165" i="2" s="1"/>
  <c r="I3166" i="2" s="1"/>
  <c r="I3167" i="2" s="1"/>
  <c r="I3168" i="2" s="1"/>
  <c r="I3169" i="2" s="1"/>
  <c r="I3170" i="2" s="1"/>
  <c r="I3171" i="2" s="1"/>
  <c r="I3172" i="2" s="1"/>
  <c r="I3173" i="2" s="1"/>
  <c r="I3174" i="2" s="1"/>
  <c r="I3175" i="2" s="1"/>
  <c r="I3176" i="2" s="1"/>
  <c r="I3177" i="2" s="1"/>
  <c r="I3178" i="2" s="1"/>
  <c r="I3179" i="2" s="1"/>
  <c r="I3180" i="2" s="1"/>
  <c r="I3181" i="2" s="1"/>
  <c r="I3182" i="2" s="1"/>
  <c r="I3183" i="2" s="1"/>
  <c r="I3184" i="2" s="1"/>
  <c r="I3185" i="2" s="1"/>
  <c r="I3186" i="2" s="1"/>
  <c r="I3187" i="2" s="1"/>
  <c r="I3188" i="2" s="1"/>
  <c r="I3189" i="2" s="1"/>
  <c r="I3190" i="2" s="1"/>
  <c r="I3191" i="2" s="1"/>
  <c r="I3192" i="2" s="1"/>
  <c r="I3193" i="2" s="1"/>
  <c r="I3194" i="2" s="1"/>
  <c r="I3195" i="2" s="1"/>
  <c r="I3196" i="2" s="1"/>
  <c r="I3197" i="2" s="1"/>
  <c r="I3198" i="2" s="1"/>
  <c r="I3199" i="2" s="1"/>
  <c r="I3200" i="2" s="1"/>
  <c r="I3201" i="2" s="1"/>
  <c r="I3202" i="2" s="1"/>
  <c r="I3203" i="2" s="1"/>
  <c r="I3204" i="2" s="1"/>
  <c r="I3205" i="2" s="1"/>
  <c r="I3206" i="2" s="1"/>
  <c r="I3207" i="2" s="1"/>
  <c r="I3208" i="2" s="1"/>
  <c r="I3209" i="2" s="1"/>
  <c r="I3210" i="2" s="1"/>
  <c r="I3211" i="2" s="1"/>
  <c r="I3212" i="2" s="1"/>
  <c r="I3213" i="2" s="1"/>
  <c r="I3214" i="2" s="1"/>
  <c r="I3215" i="2" s="1"/>
  <c r="I3216" i="2" s="1"/>
  <c r="I3217" i="2" s="1"/>
  <c r="I3218" i="2" s="1"/>
  <c r="I3219" i="2" s="1"/>
  <c r="I3220" i="2" s="1"/>
  <c r="I3221" i="2" s="1"/>
  <c r="I3222" i="2" s="1"/>
  <c r="I3223" i="2" s="1"/>
  <c r="I3224" i="2" s="1"/>
  <c r="I3225" i="2" s="1"/>
  <c r="I3226" i="2" s="1"/>
  <c r="I3227" i="2" s="1"/>
  <c r="I3228" i="2" s="1"/>
  <c r="I3229" i="2" s="1"/>
  <c r="I3230" i="2" s="1"/>
  <c r="I3231" i="2" s="1"/>
  <c r="I3232" i="2" s="1"/>
  <c r="I3233" i="2" s="1"/>
  <c r="I3234" i="2" s="1"/>
  <c r="I3235" i="2" s="1"/>
  <c r="I3236" i="2" s="1"/>
  <c r="I3237" i="2" s="1"/>
  <c r="I3238" i="2" s="1"/>
  <c r="I3239" i="2" s="1"/>
  <c r="I3240" i="2" s="1"/>
  <c r="I3241" i="2" s="1"/>
  <c r="I3242" i="2" s="1"/>
  <c r="I3243" i="2" s="1"/>
  <c r="I3244" i="2" s="1"/>
  <c r="I3245" i="2" s="1"/>
  <c r="I3246" i="2" s="1"/>
  <c r="I3247" i="2" s="1"/>
  <c r="I3248" i="2" s="1"/>
  <c r="I3249" i="2" s="1"/>
  <c r="I3250" i="2" s="1"/>
  <c r="I3251" i="2" s="1"/>
  <c r="I3252" i="2" s="1"/>
  <c r="I3253" i="2" s="1"/>
  <c r="I3254" i="2" s="1"/>
  <c r="I3255" i="2" s="1"/>
  <c r="I3256" i="2" s="1"/>
  <c r="I3257" i="2" s="1"/>
  <c r="I3258" i="2" s="1"/>
  <c r="I3259" i="2" s="1"/>
  <c r="I3260" i="2" s="1"/>
  <c r="I3261" i="2" s="1"/>
  <c r="I3262" i="2" s="1"/>
  <c r="I3263" i="2" s="1"/>
  <c r="I3264" i="2" s="1"/>
  <c r="I3265" i="2" s="1"/>
  <c r="I3266" i="2" s="1"/>
  <c r="I3267" i="2" s="1"/>
  <c r="I3268" i="2" s="1"/>
  <c r="I3269" i="2" s="1"/>
  <c r="I3270" i="2" s="1"/>
  <c r="I3271" i="2" s="1"/>
  <c r="I3272" i="2" s="1"/>
  <c r="I3273" i="2" s="1"/>
  <c r="I3274" i="2" s="1"/>
  <c r="I3275" i="2" s="1"/>
  <c r="I3276" i="2" s="1"/>
  <c r="I3277" i="2" s="1"/>
  <c r="I3278" i="2" s="1"/>
  <c r="I3279" i="2" s="1"/>
  <c r="I3280" i="2" s="1"/>
  <c r="I3281" i="2" s="1"/>
  <c r="I3282" i="2" s="1"/>
  <c r="I3283" i="2" s="1"/>
  <c r="I3284" i="2" s="1"/>
  <c r="I3285" i="2" s="1"/>
  <c r="I3286" i="2" s="1"/>
  <c r="I3287" i="2" s="1"/>
  <c r="I3288" i="2" s="1"/>
  <c r="I3289" i="2" s="1"/>
  <c r="I3290" i="2" s="1"/>
  <c r="I3291" i="2" s="1"/>
  <c r="I3292" i="2" s="1"/>
  <c r="I3293" i="2" s="1"/>
  <c r="I3294" i="2" s="1"/>
  <c r="I3295" i="2" s="1"/>
  <c r="I3296" i="2" s="1"/>
  <c r="I3297" i="2" s="1"/>
  <c r="I3298" i="2" s="1"/>
  <c r="I3299" i="2" s="1"/>
  <c r="I3300" i="2" s="1"/>
  <c r="I3301" i="2" s="1"/>
  <c r="I3302" i="2" s="1"/>
  <c r="I3303" i="2" s="1"/>
  <c r="I3304" i="2" s="1"/>
  <c r="I3305" i="2" s="1"/>
  <c r="I3306" i="2" s="1"/>
  <c r="I3307" i="2" s="1"/>
  <c r="I3308" i="2" s="1"/>
  <c r="I3309" i="2" s="1"/>
  <c r="I3310" i="2" s="1"/>
  <c r="I3311" i="2" s="1"/>
  <c r="I3312" i="2" s="1"/>
  <c r="I3313" i="2" s="1"/>
  <c r="I3314" i="2" s="1"/>
  <c r="I3315" i="2" s="1"/>
  <c r="I3316" i="2" s="1"/>
  <c r="I3317" i="2" s="1"/>
  <c r="I3318" i="2" s="1"/>
  <c r="I3319" i="2" s="1"/>
  <c r="I3320" i="2" s="1"/>
  <c r="I3321" i="2" s="1"/>
  <c r="I3322" i="2" s="1"/>
  <c r="I3323" i="2" s="1"/>
  <c r="I3324" i="2" s="1"/>
  <c r="I3325" i="2" s="1"/>
  <c r="I3326" i="2" s="1"/>
  <c r="I3327" i="2" s="1"/>
  <c r="I3328" i="2" s="1"/>
  <c r="I3329" i="2" s="1"/>
  <c r="I3330" i="2" s="1"/>
  <c r="I3331" i="2" s="1"/>
  <c r="I3332" i="2" s="1"/>
  <c r="I3333" i="2" s="1"/>
  <c r="I3334" i="2" s="1"/>
  <c r="I3335" i="2" s="1"/>
  <c r="I3336" i="2" s="1"/>
  <c r="I3337" i="2" s="1"/>
  <c r="I3338" i="2" s="1"/>
  <c r="I3339" i="2" s="1"/>
  <c r="I3340" i="2" s="1"/>
  <c r="I3341" i="2" s="1"/>
  <c r="I3342" i="2" s="1"/>
  <c r="I3343" i="2" s="1"/>
  <c r="I3344" i="2" s="1"/>
  <c r="I3345" i="2" s="1"/>
  <c r="I3346" i="2" s="1"/>
  <c r="I3347" i="2" s="1"/>
  <c r="I3348" i="2" s="1"/>
  <c r="I3349" i="2" s="1"/>
  <c r="I3350" i="2" s="1"/>
  <c r="I3351" i="2" s="1"/>
  <c r="I3352" i="2" s="1"/>
  <c r="I3353" i="2" s="1"/>
  <c r="I3354" i="2" s="1"/>
  <c r="I3355" i="2" s="1"/>
  <c r="I3356" i="2" s="1"/>
  <c r="I3357" i="2" s="1"/>
  <c r="I3358" i="2" s="1"/>
  <c r="I3359" i="2" s="1"/>
  <c r="I3360" i="2" s="1"/>
  <c r="I3361" i="2" s="1"/>
  <c r="I3362" i="2" s="1"/>
  <c r="I3363" i="2" s="1"/>
  <c r="I3364" i="2" s="1"/>
  <c r="I3365" i="2" s="1"/>
  <c r="I3366" i="2" s="1"/>
  <c r="I3367" i="2" s="1"/>
  <c r="I3368" i="2" s="1"/>
  <c r="I3369" i="2" s="1"/>
  <c r="I3370" i="2" s="1"/>
  <c r="I3371" i="2" s="1"/>
  <c r="I3372" i="2" s="1"/>
  <c r="I3373" i="2" s="1"/>
  <c r="I3374" i="2" s="1"/>
  <c r="I3375" i="2" s="1"/>
  <c r="I3376" i="2" s="1"/>
  <c r="I2707" i="2"/>
  <c r="I2708" i="2" s="1"/>
  <c r="I2705" i="2"/>
  <c r="I2706" i="2" s="1"/>
  <c r="H2702" i="2"/>
  <c r="G2702" i="2"/>
  <c r="I2654" i="2"/>
  <c r="I2655" i="2" s="1"/>
  <c r="I2656" i="2" s="1"/>
  <c r="I2657" i="2" s="1"/>
  <c r="I2658" i="2" s="1"/>
  <c r="I2659" i="2" s="1"/>
  <c r="I2660" i="2" s="1"/>
  <c r="I2661" i="2" s="1"/>
  <c r="I2662" i="2" s="1"/>
  <c r="I2663" i="2" s="1"/>
  <c r="I2664" i="2" s="1"/>
  <c r="I2665" i="2" s="1"/>
  <c r="I2666" i="2" s="1"/>
  <c r="I2667" i="2" s="1"/>
  <c r="I2668" i="2" s="1"/>
  <c r="I2669" i="2" s="1"/>
  <c r="I2670" i="2" s="1"/>
  <c r="I2671" i="2" s="1"/>
  <c r="I2672" i="2" s="1"/>
  <c r="I2673" i="2" s="1"/>
  <c r="I2674" i="2" s="1"/>
  <c r="I2675" i="2" s="1"/>
  <c r="I2676" i="2" s="1"/>
  <c r="I2677" i="2" s="1"/>
  <c r="I2678" i="2" s="1"/>
  <c r="I2679" i="2" s="1"/>
  <c r="I2680" i="2" s="1"/>
  <c r="I2681" i="2" s="1"/>
  <c r="I2682" i="2" s="1"/>
  <c r="I2683" i="2" s="1"/>
  <c r="I2684" i="2" s="1"/>
  <c r="I2685" i="2" s="1"/>
  <c r="I2686" i="2" s="1"/>
  <c r="I2687" i="2" s="1"/>
  <c r="I2688" i="2" s="1"/>
  <c r="I2689" i="2" s="1"/>
  <c r="I2690" i="2" s="1"/>
  <c r="I2691" i="2" s="1"/>
  <c r="I2692" i="2" s="1"/>
  <c r="I2693" i="2" s="1"/>
  <c r="I2694" i="2" s="1"/>
  <c r="I2695" i="2" s="1"/>
  <c r="I2696" i="2" s="1"/>
  <c r="I2697" i="2" s="1"/>
  <c r="I2698" i="2" s="1"/>
  <c r="I2699" i="2" s="1"/>
  <c r="I2700" i="2" s="1"/>
  <c r="I2701" i="2" s="1"/>
  <c r="H2651" i="2"/>
  <c r="G2651" i="2"/>
  <c r="I2651" i="2" s="1"/>
  <c r="I2650" i="2"/>
  <c r="H2647" i="2"/>
  <c r="G2647" i="2"/>
  <c r="I2647" i="2" s="1"/>
  <c r="I2646" i="2"/>
  <c r="H2643" i="2"/>
  <c r="G2643" i="2"/>
  <c r="I2643" i="2" s="1"/>
  <c r="I2641" i="2"/>
  <c r="I2642" i="2" s="1"/>
  <c r="I2640" i="2"/>
  <c r="H2637" i="2"/>
  <c r="G2637" i="2"/>
  <c r="I2630" i="2"/>
  <c r="I2631" i="2" s="1"/>
  <c r="I2632" i="2" s="1"/>
  <c r="I2633" i="2" s="1"/>
  <c r="I2634" i="2" s="1"/>
  <c r="I2635" i="2" s="1"/>
  <c r="I2636" i="2" s="1"/>
  <c r="I2627" i="2"/>
  <c r="H2627" i="2"/>
  <c r="G2627" i="2"/>
  <c r="I2617" i="2"/>
  <c r="I2618" i="2" s="1"/>
  <c r="I2619" i="2" s="1"/>
  <c r="I2620" i="2" s="1"/>
  <c r="I2621" i="2" s="1"/>
  <c r="I2622" i="2" s="1"/>
  <c r="I2623" i="2" s="1"/>
  <c r="I2624" i="2" s="1"/>
  <c r="I2625" i="2" s="1"/>
  <c r="I2626" i="2" s="1"/>
  <c r="H2614" i="2"/>
  <c r="G2614" i="2"/>
  <c r="I2597" i="2"/>
  <c r="I2598" i="2" s="1"/>
  <c r="I2599" i="2" s="1"/>
  <c r="I2600" i="2" s="1"/>
  <c r="I2601" i="2" s="1"/>
  <c r="I2602" i="2" s="1"/>
  <c r="I2603" i="2" s="1"/>
  <c r="I2604" i="2" s="1"/>
  <c r="I2605" i="2" s="1"/>
  <c r="I2606" i="2" s="1"/>
  <c r="I2607" i="2" s="1"/>
  <c r="I2608" i="2" s="1"/>
  <c r="I2609" i="2" s="1"/>
  <c r="I2610" i="2" s="1"/>
  <c r="I2611" i="2" s="1"/>
  <c r="I2612" i="2" s="1"/>
  <c r="I2613" i="2" s="1"/>
  <c r="H2594" i="2"/>
  <c r="G2594" i="2"/>
  <c r="I2577" i="2"/>
  <c r="I2578" i="2" s="1"/>
  <c r="I2579" i="2" s="1"/>
  <c r="I2580" i="2" s="1"/>
  <c r="I2581" i="2" s="1"/>
  <c r="I2582" i="2" s="1"/>
  <c r="I2583" i="2" s="1"/>
  <c r="I2584" i="2" s="1"/>
  <c r="I2585" i="2" s="1"/>
  <c r="I2586" i="2" s="1"/>
  <c r="I2587" i="2" s="1"/>
  <c r="I2588" i="2" s="1"/>
  <c r="I2589" i="2" s="1"/>
  <c r="I2590" i="2" s="1"/>
  <c r="I2591" i="2" s="1"/>
  <c r="I2592" i="2" s="1"/>
  <c r="I2593" i="2" s="1"/>
  <c r="H2574" i="2"/>
  <c r="G2574" i="2"/>
  <c r="I2573" i="2"/>
  <c r="H2570" i="2"/>
  <c r="G2570" i="2"/>
  <c r="I2565" i="2"/>
  <c r="I2566" i="2" s="1"/>
  <c r="I2567" i="2" s="1"/>
  <c r="I2568" i="2" s="1"/>
  <c r="I2569" i="2" s="1"/>
  <c r="H2562" i="2"/>
  <c r="G2562" i="2"/>
  <c r="I2548" i="2"/>
  <c r="I2549" i="2" s="1"/>
  <c r="I2550" i="2" s="1"/>
  <c r="I2551" i="2" s="1"/>
  <c r="I2552" i="2" s="1"/>
  <c r="I2553" i="2" s="1"/>
  <c r="I2554" i="2" s="1"/>
  <c r="I2555" i="2" s="1"/>
  <c r="I2556" i="2" s="1"/>
  <c r="I2557" i="2" s="1"/>
  <c r="I2558" i="2" s="1"/>
  <c r="I2559" i="2" s="1"/>
  <c r="I2560" i="2" s="1"/>
  <c r="I2561" i="2" s="1"/>
  <c r="H2545" i="2"/>
  <c r="G2545" i="2"/>
  <c r="I2541" i="2"/>
  <c r="I2542" i="2" s="1"/>
  <c r="I2543" i="2" s="1"/>
  <c r="I2544" i="2" s="1"/>
  <c r="H2538" i="2"/>
  <c r="G2538" i="2"/>
  <c r="I2511" i="2"/>
  <c r="I2512" i="2" s="1"/>
  <c r="I2513" i="2" s="1"/>
  <c r="I2514" i="2" s="1"/>
  <c r="I2515" i="2" s="1"/>
  <c r="I2516" i="2" s="1"/>
  <c r="I2517" i="2" s="1"/>
  <c r="I2518" i="2" s="1"/>
  <c r="I2519" i="2" s="1"/>
  <c r="I2520" i="2" s="1"/>
  <c r="I2521" i="2" s="1"/>
  <c r="I2522" i="2" s="1"/>
  <c r="I2523" i="2" s="1"/>
  <c r="I2524" i="2" s="1"/>
  <c r="I2525" i="2" s="1"/>
  <c r="I2526" i="2" s="1"/>
  <c r="I2527" i="2" s="1"/>
  <c r="I2528" i="2" s="1"/>
  <c r="I2529" i="2" s="1"/>
  <c r="I2530" i="2" s="1"/>
  <c r="I2531" i="2" s="1"/>
  <c r="I2532" i="2" s="1"/>
  <c r="I2533" i="2" s="1"/>
  <c r="I2534" i="2" s="1"/>
  <c r="I2535" i="2" s="1"/>
  <c r="I2536" i="2" s="1"/>
  <c r="I2537" i="2" s="1"/>
  <c r="H2508" i="2"/>
  <c r="I2508" i="2" s="1"/>
  <c r="G2508" i="2"/>
  <c r="I2500" i="2"/>
  <c r="I2501" i="2" s="1"/>
  <c r="I2502" i="2" s="1"/>
  <c r="I2503" i="2" s="1"/>
  <c r="I2504" i="2" s="1"/>
  <c r="I2505" i="2" s="1"/>
  <c r="I2506" i="2" s="1"/>
  <c r="I2507" i="2" s="1"/>
  <c r="H2497" i="2"/>
  <c r="G2497" i="2"/>
  <c r="I2496" i="2"/>
  <c r="I2493" i="2"/>
  <c r="H2493" i="2"/>
  <c r="G2493" i="2"/>
  <c r="I2492" i="2"/>
  <c r="H2489" i="2"/>
  <c r="I2489" i="2" s="1"/>
  <c r="G2489" i="2"/>
  <c r="I2484" i="2"/>
  <c r="I2485" i="2" s="1"/>
  <c r="I2486" i="2" s="1"/>
  <c r="I2487" i="2" s="1"/>
  <c r="I2488" i="2" s="1"/>
  <c r="H2481" i="2"/>
  <c r="G2481" i="2"/>
  <c r="I2479" i="2"/>
  <c r="I2480" i="2" s="1"/>
  <c r="I2478" i="2"/>
  <c r="H2475" i="2"/>
  <c r="I2475" i="2" s="1"/>
  <c r="G2475" i="2"/>
  <c r="I2474" i="2"/>
  <c r="H2471" i="2"/>
  <c r="I2471" i="2" s="1"/>
  <c r="G2471" i="2"/>
  <c r="I2470" i="2"/>
  <c r="H2467" i="2"/>
  <c r="G2467" i="2"/>
  <c r="I2459" i="2"/>
  <c r="I2460" i="2" s="1"/>
  <c r="I2461" i="2" s="1"/>
  <c r="I2462" i="2" s="1"/>
  <c r="I2463" i="2" s="1"/>
  <c r="I2464" i="2" s="1"/>
  <c r="I2465" i="2" s="1"/>
  <c r="I2466" i="2" s="1"/>
  <c r="I2457" i="2"/>
  <c r="I2458" i="2" s="1"/>
  <c r="I2455" i="2"/>
  <c r="I2456" i="2" s="1"/>
  <c r="H2452" i="2"/>
  <c r="G2452" i="2"/>
  <c r="I2452" i="2" s="1"/>
  <c r="I2451" i="2"/>
  <c r="H2448" i="2"/>
  <c r="I2448" i="2" s="1"/>
  <c r="G2448" i="2"/>
  <c r="I2437" i="2"/>
  <c r="I2438" i="2" s="1"/>
  <c r="I2439" i="2" s="1"/>
  <c r="I2440" i="2" s="1"/>
  <c r="I2441" i="2" s="1"/>
  <c r="I2442" i="2" s="1"/>
  <c r="I2443" i="2" s="1"/>
  <c r="I2444" i="2" s="1"/>
  <c r="I2445" i="2" s="1"/>
  <c r="I2446" i="2" s="1"/>
  <c r="I2447" i="2" s="1"/>
  <c r="I2436" i="2"/>
  <c r="H2433" i="2"/>
  <c r="G2433" i="2"/>
  <c r="I2427" i="2"/>
  <c r="I2428" i="2" s="1"/>
  <c r="I2429" i="2" s="1"/>
  <c r="I2430" i="2" s="1"/>
  <c r="I2431" i="2" s="1"/>
  <c r="I2432" i="2" s="1"/>
  <c r="H2424" i="2"/>
  <c r="G2424" i="2"/>
  <c r="I2424" i="2" s="1"/>
  <c r="I2419" i="2"/>
  <c r="I2420" i="2" s="1"/>
  <c r="I2421" i="2" s="1"/>
  <c r="I2422" i="2" s="1"/>
  <c r="I2423" i="2" s="1"/>
  <c r="I2416" i="2"/>
  <c r="I2417" i="2" s="1"/>
  <c r="I2418" i="2" s="1"/>
  <c r="H2413" i="2"/>
  <c r="G2413" i="2"/>
  <c r="I2411" i="2"/>
  <c r="I2412" i="2" s="1"/>
  <c r="I2410" i="2"/>
  <c r="H2407" i="2"/>
  <c r="G2407" i="2"/>
  <c r="I2407" i="2" s="1"/>
  <c r="I2401" i="2"/>
  <c r="I2402" i="2" s="1"/>
  <c r="I2403" i="2" s="1"/>
  <c r="I2404" i="2" s="1"/>
  <c r="I2405" i="2" s="1"/>
  <c r="I2406" i="2" s="1"/>
  <c r="H2398" i="2"/>
  <c r="G2398" i="2"/>
  <c r="I2394" i="2"/>
  <c r="I2395" i="2" s="1"/>
  <c r="I2396" i="2" s="1"/>
  <c r="I2397" i="2" s="1"/>
  <c r="I2393" i="2"/>
  <c r="H2390" i="2"/>
  <c r="G2390" i="2"/>
  <c r="I2390" i="2" s="1"/>
  <c r="I2389" i="2"/>
  <c r="H2386" i="2"/>
  <c r="I2386" i="2" s="1"/>
  <c r="G2386" i="2"/>
  <c r="I2383" i="2"/>
  <c r="I2384" i="2" s="1"/>
  <c r="I2385" i="2" s="1"/>
  <c r="I2380" i="2"/>
  <c r="H2380" i="2"/>
  <c r="G2380" i="2"/>
  <c r="I2379" i="2"/>
  <c r="H2376" i="2"/>
  <c r="I2376" i="2" s="1"/>
  <c r="G2376" i="2"/>
  <c r="I2372" i="2"/>
  <c r="I2373" i="2" s="1"/>
  <c r="I2374" i="2" s="1"/>
  <c r="I2375" i="2" s="1"/>
  <c r="I2369" i="2"/>
  <c r="H2369" i="2"/>
  <c r="G2369" i="2"/>
  <c r="I2368" i="2"/>
  <c r="H2365" i="2"/>
  <c r="G2365" i="2"/>
  <c r="I2361" i="2"/>
  <c r="I2362" i="2" s="1"/>
  <c r="I2363" i="2" s="1"/>
  <c r="I2364" i="2" s="1"/>
  <c r="H2358" i="2"/>
  <c r="G2358" i="2"/>
  <c r="I2351" i="2"/>
  <c r="I2352" i="2" s="1"/>
  <c r="I2353" i="2" s="1"/>
  <c r="I2354" i="2" s="1"/>
  <c r="I2355" i="2" s="1"/>
  <c r="I2356" i="2" s="1"/>
  <c r="I2357" i="2" s="1"/>
  <c r="H2348" i="2"/>
  <c r="G2348" i="2"/>
  <c r="I2343" i="2"/>
  <c r="I2344" i="2" s="1"/>
  <c r="I2345" i="2" s="1"/>
  <c r="I2346" i="2" s="1"/>
  <c r="I2347" i="2" s="1"/>
  <c r="H2340" i="2"/>
  <c r="G2340" i="2"/>
  <c r="I2330" i="2"/>
  <c r="I2331" i="2" s="1"/>
  <c r="I2332" i="2" s="1"/>
  <c r="I2333" i="2" s="1"/>
  <c r="I2334" i="2" s="1"/>
  <c r="I2335" i="2" s="1"/>
  <c r="I2336" i="2" s="1"/>
  <c r="I2337" i="2" s="1"/>
  <c r="I2338" i="2" s="1"/>
  <c r="I2339" i="2" s="1"/>
  <c r="H2327" i="2"/>
  <c r="G2327" i="2"/>
  <c r="I2327" i="2" s="1"/>
  <c r="I2323" i="2"/>
  <c r="I2324" i="2" s="1"/>
  <c r="I2325" i="2" s="1"/>
  <c r="I2326" i="2" s="1"/>
  <c r="I2322" i="2"/>
  <c r="H2319" i="2"/>
  <c r="G2319" i="2"/>
  <c r="I2319" i="2" s="1"/>
  <c r="I2318" i="2"/>
  <c r="I2315" i="2"/>
  <c r="H2315" i="2"/>
  <c r="G2315" i="2"/>
  <c r="I2301" i="2"/>
  <c r="I2302" i="2" s="1"/>
  <c r="I2303" i="2" s="1"/>
  <c r="I2304" i="2" s="1"/>
  <c r="I2305" i="2" s="1"/>
  <c r="I2306" i="2" s="1"/>
  <c r="I2307" i="2" s="1"/>
  <c r="I2308" i="2" s="1"/>
  <c r="I2309" i="2" s="1"/>
  <c r="I2310" i="2" s="1"/>
  <c r="I2311" i="2" s="1"/>
  <c r="I2312" i="2" s="1"/>
  <c r="I2313" i="2" s="1"/>
  <c r="I2314" i="2" s="1"/>
  <c r="I2300" i="2"/>
  <c r="I2297" i="2"/>
  <c r="H2297" i="2"/>
  <c r="G2297" i="2"/>
  <c r="I2283" i="2"/>
  <c r="I2284" i="2" s="1"/>
  <c r="I2285" i="2" s="1"/>
  <c r="I2286" i="2" s="1"/>
  <c r="I2287" i="2" s="1"/>
  <c r="I2288" i="2" s="1"/>
  <c r="I2289" i="2" s="1"/>
  <c r="I2290" i="2" s="1"/>
  <c r="I2291" i="2" s="1"/>
  <c r="I2292" i="2" s="1"/>
  <c r="I2293" i="2" s="1"/>
  <c r="I2294" i="2" s="1"/>
  <c r="I2295" i="2" s="1"/>
  <c r="I2296" i="2" s="1"/>
  <c r="H2280" i="2"/>
  <c r="I2280" i="2" s="1"/>
  <c r="G2280" i="2"/>
  <c r="I2270" i="2"/>
  <c r="I2271" i="2" s="1"/>
  <c r="I2272" i="2" s="1"/>
  <c r="I2273" i="2" s="1"/>
  <c r="I2274" i="2" s="1"/>
  <c r="I2275" i="2" s="1"/>
  <c r="I2276" i="2" s="1"/>
  <c r="I2277" i="2" s="1"/>
  <c r="I2278" i="2" s="1"/>
  <c r="I2279" i="2" s="1"/>
  <c r="H2267" i="2"/>
  <c r="G2267" i="2"/>
  <c r="I2267" i="2" s="1"/>
  <c r="I2258" i="2"/>
  <c r="I2259" i="2" s="1"/>
  <c r="I2260" i="2" s="1"/>
  <c r="I2261" i="2" s="1"/>
  <c r="I2262" i="2" s="1"/>
  <c r="I2263" i="2" s="1"/>
  <c r="I2264" i="2" s="1"/>
  <c r="I2265" i="2" s="1"/>
  <c r="I2266" i="2" s="1"/>
  <c r="H2255" i="2"/>
  <c r="G2255" i="2"/>
  <c r="I2255" i="2" s="1"/>
  <c r="I2254" i="2"/>
  <c r="I2251" i="2"/>
  <c r="H2251" i="2"/>
  <c r="G2251" i="2"/>
  <c r="I2226" i="2"/>
  <c r="I2227" i="2" s="1"/>
  <c r="I2228" i="2" s="1"/>
  <c r="I2229" i="2" s="1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I2245" i="2" s="1"/>
  <c r="I2246" i="2" s="1"/>
  <c r="I2247" i="2" s="1"/>
  <c r="I2248" i="2" s="1"/>
  <c r="I2249" i="2" s="1"/>
  <c r="I2250" i="2" s="1"/>
  <c r="I2225" i="2"/>
  <c r="H2222" i="2"/>
  <c r="G2222" i="2"/>
  <c r="I2210" i="2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09" i="2"/>
  <c r="H2206" i="2"/>
  <c r="G2206" i="2"/>
  <c r="I2203" i="2"/>
  <c r="I2204" i="2" s="1"/>
  <c r="I2205" i="2" s="1"/>
  <c r="H2200" i="2"/>
  <c r="G2200" i="2"/>
  <c r="I2200" i="2" s="1"/>
  <c r="I2193" i="2"/>
  <c r="I2194" i="2" s="1"/>
  <c r="I2195" i="2" s="1"/>
  <c r="I2196" i="2" s="1"/>
  <c r="I2197" i="2" s="1"/>
  <c r="I2198" i="2" s="1"/>
  <c r="I2199" i="2" s="1"/>
  <c r="I2191" i="2"/>
  <c r="I2192" i="2" s="1"/>
  <c r="I2188" i="2"/>
  <c r="H2188" i="2"/>
  <c r="G2188" i="2"/>
  <c r="I2184" i="2"/>
  <c r="I2185" i="2" s="1"/>
  <c r="I2186" i="2" s="1"/>
  <c r="I2187" i="2" s="1"/>
  <c r="I2181" i="2"/>
  <c r="H2181" i="2"/>
  <c r="G2181" i="2"/>
  <c r="I2150" i="2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I2168" i="2" s="1"/>
  <c r="I2169" i="2" s="1"/>
  <c r="I2170" i="2" s="1"/>
  <c r="I2171" i="2" s="1"/>
  <c r="I2172" i="2" s="1"/>
  <c r="I2173" i="2" s="1"/>
  <c r="I2174" i="2" s="1"/>
  <c r="I2175" i="2" s="1"/>
  <c r="I2176" i="2" s="1"/>
  <c r="I2177" i="2" s="1"/>
  <c r="I2178" i="2" s="1"/>
  <c r="I2179" i="2" s="1"/>
  <c r="I2180" i="2" s="1"/>
  <c r="H2147" i="2"/>
  <c r="G2147" i="2"/>
  <c r="I2147" i="2" s="1"/>
  <c r="I2138" i="2"/>
  <c r="I2139" i="2" s="1"/>
  <c r="I2140" i="2" s="1"/>
  <c r="I2141" i="2" s="1"/>
  <c r="I2142" i="2" s="1"/>
  <c r="I2143" i="2" s="1"/>
  <c r="I2144" i="2" s="1"/>
  <c r="I2145" i="2" s="1"/>
  <c r="I2146" i="2" s="1"/>
  <c r="I2135" i="2"/>
  <c r="I2136" i="2" s="1"/>
  <c r="I2137" i="2" s="1"/>
  <c r="I2134" i="2"/>
  <c r="H2131" i="2"/>
  <c r="G2131" i="2"/>
  <c r="I2131" i="2" s="1"/>
  <c r="I2116" i="2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128" i="2" s="1"/>
  <c r="I2129" i="2" s="1"/>
  <c r="I2130" i="2" s="1"/>
  <c r="H2113" i="2"/>
  <c r="G2113" i="2"/>
  <c r="I2113" i="2" s="1"/>
  <c r="I2087" i="2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086" i="2"/>
  <c r="I2083" i="2"/>
  <c r="H2083" i="2"/>
  <c r="G2083" i="2"/>
  <c r="I2076" i="2"/>
  <c r="I2077" i="2" s="1"/>
  <c r="I2078" i="2" s="1"/>
  <c r="I2079" i="2" s="1"/>
  <c r="I2080" i="2" s="1"/>
  <c r="I2081" i="2" s="1"/>
  <c r="I2082" i="2" s="1"/>
  <c r="H2073" i="2"/>
  <c r="G2073" i="2"/>
  <c r="I2073" i="2" s="1"/>
  <c r="I2067" i="2"/>
  <c r="I2068" i="2" s="1"/>
  <c r="I2069" i="2" s="1"/>
  <c r="I2070" i="2" s="1"/>
  <c r="I2071" i="2" s="1"/>
  <c r="I2072" i="2" s="1"/>
  <c r="H2064" i="2"/>
  <c r="I2064" i="2" s="1"/>
  <c r="G2064" i="2"/>
  <c r="I2061" i="2"/>
  <c r="I2062" i="2" s="1"/>
  <c r="I2063" i="2" s="1"/>
  <c r="I2058" i="2"/>
  <c r="I2059" i="2" s="1"/>
  <c r="I2060" i="2" s="1"/>
  <c r="I2057" i="2"/>
  <c r="H2054" i="2"/>
  <c r="G2054" i="2"/>
  <c r="I2054" i="2" s="1"/>
  <c r="I2051" i="2"/>
  <c r="I2052" i="2" s="1"/>
  <c r="I2053" i="2" s="1"/>
  <c r="I2050" i="2"/>
  <c r="H2047" i="2"/>
  <c r="G2047" i="2"/>
  <c r="I2047" i="2" s="1"/>
  <c r="I2037" i="2"/>
  <c r="I2038" i="2" s="1"/>
  <c r="I2039" i="2" s="1"/>
  <c r="I2040" i="2" s="1"/>
  <c r="I2041" i="2" s="1"/>
  <c r="I2042" i="2" s="1"/>
  <c r="I2043" i="2" s="1"/>
  <c r="I2044" i="2" s="1"/>
  <c r="I2045" i="2" s="1"/>
  <c r="I2046" i="2" s="1"/>
  <c r="I2036" i="2"/>
  <c r="H2033" i="2"/>
  <c r="I2033" i="2" s="1"/>
  <c r="G2033" i="2"/>
  <c r="I2027" i="2"/>
  <c r="I2028" i="2" s="1"/>
  <c r="I2029" i="2" s="1"/>
  <c r="I2030" i="2" s="1"/>
  <c r="I2031" i="2" s="1"/>
  <c r="I2032" i="2" s="1"/>
  <c r="H2024" i="2"/>
  <c r="G2024" i="2"/>
  <c r="I2020" i="2"/>
  <c r="I2021" i="2" s="1"/>
  <c r="I2022" i="2" s="1"/>
  <c r="I2023" i="2" s="1"/>
  <c r="H2017" i="2"/>
  <c r="G2017" i="2"/>
  <c r="I2016" i="2"/>
  <c r="H2013" i="2"/>
  <c r="G2013" i="2"/>
  <c r="I1999" i="2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1996" i="2"/>
  <c r="H1996" i="2"/>
  <c r="G1996" i="2"/>
  <c r="I1993" i="2"/>
  <c r="I1994" i="2" s="1"/>
  <c r="I1995" i="2" s="1"/>
  <c r="I1992" i="2"/>
  <c r="I1989" i="2"/>
  <c r="H1989" i="2"/>
  <c r="G1989" i="2"/>
  <c r="I1966" i="2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H1963" i="2"/>
  <c r="G1963" i="2"/>
  <c r="I1963" i="2" s="1"/>
  <c r="I1944" i="2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H1941" i="2"/>
  <c r="G1941" i="2"/>
  <c r="I1935" i="2"/>
  <c r="I1936" i="2" s="1"/>
  <c r="I1937" i="2" s="1"/>
  <c r="I1938" i="2" s="1"/>
  <c r="I1939" i="2" s="1"/>
  <c r="I1940" i="2" s="1"/>
  <c r="I1933" i="2"/>
  <c r="I1934" i="2" s="1"/>
  <c r="I1930" i="2"/>
  <c r="I1931" i="2" s="1"/>
  <c r="I1932" i="2" s="1"/>
  <c r="H1927" i="2"/>
  <c r="G1927" i="2"/>
  <c r="I1927" i="2" s="1"/>
  <c r="I1924" i="2"/>
  <c r="I1925" i="2" s="1"/>
  <c r="I1926" i="2" s="1"/>
  <c r="I1923" i="2"/>
  <c r="H1920" i="2"/>
  <c r="G1920" i="2"/>
  <c r="I1920" i="2" s="1"/>
  <c r="I1916" i="2"/>
  <c r="I1917" i="2" s="1"/>
  <c r="I1918" i="2" s="1"/>
  <c r="I1919" i="2" s="1"/>
  <c r="H1913" i="2"/>
  <c r="G1913" i="2"/>
  <c r="I1902" i="2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01" i="2"/>
  <c r="I1900" i="2"/>
  <c r="H1897" i="2"/>
  <c r="G1897" i="2"/>
  <c r="I1897" i="2" s="1"/>
  <c r="I1891" i="2"/>
  <c r="I1892" i="2" s="1"/>
  <c r="I1893" i="2" s="1"/>
  <c r="I1894" i="2" s="1"/>
  <c r="I1895" i="2" s="1"/>
  <c r="I1896" i="2" s="1"/>
  <c r="H1888" i="2"/>
  <c r="G1888" i="2"/>
  <c r="I1885" i="2"/>
  <c r="I1886" i="2" s="1"/>
  <c r="I1887" i="2" s="1"/>
  <c r="I1884" i="2"/>
  <c r="H1881" i="2"/>
  <c r="G1881" i="2"/>
  <c r="I1881" i="2" s="1"/>
  <c r="I1873" i="2"/>
  <c r="I1874" i="2" s="1"/>
  <c r="I1875" i="2" s="1"/>
  <c r="I1876" i="2" s="1"/>
  <c r="I1877" i="2" s="1"/>
  <c r="I1878" i="2" s="1"/>
  <c r="I1879" i="2" s="1"/>
  <c r="I1880" i="2" s="1"/>
  <c r="I1872" i="2"/>
  <c r="I1871" i="2"/>
  <c r="H1868" i="2"/>
  <c r="I1868" i="2" s="1"/>
  <c r="G1868" i="2"/>
  <c r="I1867" i="2"/>
  <c r="H1864" i="2"/>
  <c r="G1864" i="2"/>
  <c r="I1863" i="2"/>
  <c r="H1860" i="2"/>
  <c r="G1860" i="2"/>
  <c r="I1859" i="2"/>
  <c r="H1856" i="2"/>
  <c r="G1856" i="2"/>
  <c r="I1856" i="2" s="1"/>
  <c r="I1854" i="2"/>
  <c r="I1855" i="2" s="1"/>
  <c r="H1851" i="2"/>
  <c r="G1851" i="2"/>
  <c r="I1851" i="2" s="1"/>
  <c r="I1850" i="2"/>
  <c r="H1847" i="2"/>
  <c r="G1847" i="2"/>
  <c r="I1847" i="2" s="1"/>
  <c r="I1846" i="2"/>
  <c r="H1843" i="2"/>
  <c r="I1843" i="2" s="1"/>
  <c r="G1843" i="2"/>
  <c r="I1842" i="2"/>
  <c r="H1839" i="2"/>
  <c r="G1839" i="2"/>
  <c r="I1839" i="2" s="1"/>
  <c r="I1838" i="2"/>
  <c r="I1835" i="2"/>
  <c r="H1835" i="2"/>
  <c r="G1835" i="2"/>
  <c r="I1832" i="2"/>
  <c r="I1833" i="2" s="1"/>
  <c r="I1834" i="2" s="1"/>
  <c r="I1831" i="2"/>
  <c r="H1828" i="2"/>
  <c r="I1828" i="2" s="1"/>
  <c r="G1828" i="2"/>
  <c r="I1823" i="2"/>
  <c r="I1824" i="2" s="1"/>
  <c r="I1825" i="2" s="1"/>
  <c r="I1826" i="2" s="1"/>
  <c r="I1827" i="2" s="1"/>
  <c r="H1820" i="2"/>
  <c r="G1820" i="2"/>
  <c r="I1820" i="2" s="1"/>
  <c r="I1804" i="2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H1801" i="2"/>
  <c r="G1801" i="2"/>
  <c r="I1801" i="2" s="1"/>
  <c r="I1796" i="2"/>
  <c r="I1797" i="2" s="1"/>
  <c r="I1798" i="2" s="1"/>
  <c r="I1799" i="2" s="1"/>
  <c r="I1800" i="2" s="1"/>
  <c r="H1793" i="2"/>
  <c r="G1793" i="2"/>
  <c r="I1782" i="2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81" i="2"/>
  <c r="H1778" i="2"/>
  <c r="G1778" i="2"/>
  <c r="I1778" i="2" s="1"/>
  <c r="I1770" i="2"/>
  <c r="I1771" i="2" s="1"/>
  <c r="I1772" i="2" s="1"/>
  <c r="I1773" i="2" s="1"/>
  <c r="I1774" i="2" s="1"/>
  <c r="I1775" i="2" s="1"/>
  <c r="I1776" i="2" s="1"/>
  <c r="I1777" i="2" s="1"/>
  <c r="I1769" i="2"/>
  <c r="H1766" i="2"/>
  <c r="G1766" i="2"/>
  <c r="I1760" i="2"/>
  <c r="I1761" i="2" s="1"/>
  <c r="I1762" i="2" s="1"/>
  <c r="I1763" i="2" s="1"/>
  <c r="I1764" i="2" s="1"/>
  <c r="I1765" i="2" s="1"/>
  <c r="I1759" i="2"/>
  <c r="I1756" i="2"/>
  <c r="H1756" i="2"/>
  <c r="G1756" i="2"/>
  <c r="I1735" i="2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I1753" i="2" s="1"/>
  <c r="I1754" i="2" s="1"/>
  <c r="I1755" i="2" s="1"/>
  <c r="H1732" i="2"/>
  <c r="I1732" i="2" s="1"/>
  <c r="G1732" i="2"/>
  <c r="I1725" i="2"/>
  <c r="I1726" i="2" s="1"/>
  <c r="I1727" i="2" s="1"/>
  <c r="I1728" i="2" s="1"/>
  <c r="I1729" i="2" s="1"/>
  <c r="I1730" i="2" s="1"/>
  <c r="I1731" i="2" s="1"/>
  <c r="H1722" i="2"/>
  <c r="G1722" i="2"/>
  <c r="I1721" i="2"/>
  <c r="I1718" i="2"/>
  <c r="H1718" i="2"/>
  <c r="G1718" i="2"/>
  <c r="I1705" i="2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04" i="2"/>
  <c r="H1701" i="2"/>
  <c r="G1701" i="2"/>
  <c r="I1701" i="2" s="1"/>
  <c r="I1686" i="2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H1683" i="2"/>
  <c r="G1683" i="2"/>
  <c r="I1683" i="2" s="1"/>
  <c r="I1678" i="2"/>
  <c r="I1679" i="2" s="1"/>
  <c r="I1680" i="2" s="1"/>
  <c r="I1681" i="2" s="1"/>
  <c r="I1682" i="2" s="1"/>
  <c r="H1675" i="2"/>
  <c r="G1675" i="2"/>
  <c r="I1671" i="2"/>
  <c r="I1672" i="2" s="1"/>
  <c r="I1673" i="2" s="1"/>
  <c r="I1674" i="2" s="1"/>
  <c r="H1668" i="2"/>
  <c r="G1668" i="2"/>
  <c r="I1667" i="2"/>
  <c r="H1664" i="2"/>
  <c r="I1664" i="2" s="1"/>
  <c r="G1664" i="2"/>
  <c r="I1661" i="2"/>
  <c r="I1662" i="2" s="1"/>
  <c r="I1663" i="2" s="1"/>
  <c r="I1652" i="2"/>
  <c r="I1653" i="2" s="1"/>
  <c r="I1654" i="2" s="1"/>
  <c r="I1655" i="2" s="1"/>
  <c r="I1656" i="2" s="1"/>
  <c r="I1657" i="2" s="1"/>
  <c r="I1658" i="2" s="1"/>
  <c r="I1659" i="2" s="1"/>
  <c r="I1660" i="2" s="1"/>
  <c r="I1651" i="2"/>
  <c r="H1648" i="2"/>
  <c r="G1648" i="2"/>
  <c r="I1618" i="2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17" i="2"/>
  <c r="H1614" i="2"/>
  <c r="G1614" i="2"/>
  <c r="I1614" i="2" s="1"/>
  <c r="I1599" i="2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589" i="2"/>
  <c r="I1590" i="2" s="1"/>
  <c r="I1591" i="2" s="1"/>
  <c r="I1592" i="2" s="1"/>
  <c r="I1593" i="2" s="1"/>
  <c r="I1594" i="2" s="1"/>
  <c r="I1595" i="2" s="1"/>
  <c r="I1596" i="2" s="1"/>
  <c r="I1597" i="2" s="1"/>
  <c r="I1598" i="2" s="1"/>
  <c r="I1586" i="2"/>
  <c r="H1586" i="2"/>
  <c r="G1586" i="2"/>
  <c r="I1585" i="2"/>
  <c r="H1582" i="2"/>
  <c r="G1582" i="2"/>
  <c r="I1581" i="2"/>
  <c r="H1578" i="2"/>
  <c r="G1578" i="2"/>
  <c r="I1578" i="2" s="1"/>
  <c r="I1560" i="2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H1557" i="2"/>
  <c r="G1557" i="2"/>
  <c r="I1547" i="2"/>
  <c r="I1548" i="2" s="1"/>
  <c r="I1549" i="2" s="1"/>
  <c r="I1550" i="2" s="1"/>
  <c r="I1551" i="2" s="1"/>
  <c r="I1552" i="2" s="1"/>
  <c r="I1553" i="2" s="1"/>
  <c r="I1554" i="2" s="1"/>
  <c r="I1555" i="2" s="1"/>
  <c r="I1556" i="2" s="1"/>
  <c r="I1544" i="2"/>
  <c r="H1544" i="2"/>
  <c r="G1544" i="2"/>
  <c r="I1527" i="2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H1524" i="2"/>
  <c r="G1524" i="2"/>
  <c r="I1522" i="2"/>
  <c r="I1523" i="2" s="1"/>
  <c r="I1521" i="2"/>
  <c r="H1518" i="2"/>
  <c r="G1518" i="2"/>
  <c r="I1518" i="2" s="1"/>
  <c r="I1510" i="2"/>
  <c r="I1511" i="2" s="1"/>
  <c r="I1512" i="2" s="1"/>
  <c r="I1513" i="2" s="1"/>
  <c r="I1514" i="2" s="1"/>
  <c r="I1515" i="2" s="1"/>
  <c r="I1516" i="2" s="1"/>
  <c r="I1517" i="2" s="1"/>
  <c r="I1508" i="2"/>
  <c r="I1509" i="2" s="1"/>
  <c r="I1507" i="2"/>
  <c r="H1504" i="2"/>
  <c r="G1504" i="2"/>
  <c r="I1491" i="2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490" i="2"/>
  <c r="I1487" i="2"/>
  <c r="H1487" i="2"/>
  <c r="G1487" i="2"/>
  <c r="I1432" i="2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I1453" i="2" s="1"/>
  <c r="I1454" i="2" s="1"/>
  <c r="I1455" i="2" s="1"/>
  <c r="I1456" i="2" s="1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29" i="2"/>
  <c r="H1429" i="2"/>
  <c r="G1429" i="2"/>
  <c r="I1421" i="2"/>
  <c r="I1422" i="2" s="1"/>
  <c r="I1423" i="2" s="1"/>
  <c r="I1424" i="2" s="1"/>
  <c r="I1425" i="2" s="1"/>
  <c r="I1426" i="2" s="1"/>
  <c r="I1427" i="2" s="1"/>
  <c r="I1428" i="2" s="1"/>
  <c r="H1418" i="2"/>
  <c r="G1418" i="2"/>
  <c r="I1417" i="2"/>
  <c r="H1414" i="2"/>
  <c r="G1414" i="2"/>
  <c r="I1414" i="2" s="1"/>
  <c r="I1402" i="2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H1399" i="2"/>
  <c r="G1399" i="2"/>
  <c r="I1399" i="2" s="1"/>
  <c r="I1398" i="2"/>
  <c r="I1393" i="2"/>
  <c r="I1394" i="2" s="1"/>
  <c r="I1395" i="2" s="1"/>
  <c r="I1396" i="2" s="1"/>
  <c r="I1397" i="2" s="1"/>
  <c r="I1390" i="2"/>
  <c r="I1391" i="2" s="1"/>
  <c r="I1392" i="2" s="1"/>
  <c r="H1387" i="2"/>
  <c r="G1387" i="2"/>
  <c r="I1387" i="2" s="1"/>
  <c r="I1378" i="2"/>
  <c r="I1379" i="2" s="1"/>
  <c r="I1380" i="2" s="1"/>
  <c r="I1381" i="2" s="1"/>
  <c r="I1382" i="2" s="1"/>
  <c r="I1383" i="2" s="1"/>
  <c r="I1384" i="2" s="1"/>
  <c r="I1385" i="2" s="1"/>
  <c r="I1386" i="2" s="1"/>
  <c r="H1375" i="2"/>
  <c r="G1375" i="2"/>
  <c r="I1375" i="2" s="1"/>
  <c r="I1360" i="2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59" i="2"/>
  <c r="H1356" i="2"/>
  <c r="G1356" i="2"/>
  <c r="I1356" i="2" s="1"/>
  <c r="I1348" i="2"/>
  <c r="I1349" i="2" s="1"/>
  <c r="I1350" i="2" s="1"/>
  <c r="I1351" i="2" s="1"/>
  <c r="I1352" i="2" s="1"/>
  <c r="I1353" i="2" s="1"/>
  <c r="I1354" i="2" s="1"/>
  <c r="I1355" i="2" s="1"/>
  <c r="I1347" i="2"/>
  <c r="H1344" i="2"/>
  <c r="G1344" i="2"/>
  <c r="I1337" i="2"/>
  <c r="I1338" i="2" s="1"/>
  <c r="I1339" i="2" s="1"/>
  <c r="I1340" i="2" s="1"/>
  <c r="I1341" i="2" s="1"/>
  <c r="I1342" i="2" s="1"/>
  <c r="I1343" i="2" s="1"/>
  <c r="H1334" i="2"/>
  <c r="G1334" i="2"/>
  <c r="I1333" i="2"/>
  <c r="I1332" i="2"/>
  <c r="H1329" i="2"/>
  <c r="G1329" i="2"/>
  <c r="I1328" i="2"/>
  <c r="H1325" i="2"/>
  <c r="G1325" i="2"/>
  <c r="I1315" i="2"/>
  <c r="I1316" i="2" s="1"/>
  <c r="I1317" i="2" s="1"/>
  <c r="I1318" i="2" s="1"/>
  <c r="I1319" i="2" s="1"/>
  <c r="I1320" i="2" s="1"/>
  <c r="I1321" i="2" s="1"/>
  <c r="I1322" i="2" s="1"/>
  <c r="I1323" i="2" s="1"/>
  <c r="I1324" i="2" s="1"/>
  <c r="H1312" i="2"/>
  <c r="G1312" i="2"/>
  <c r="I1307" i="2"/>
  <c r="I1308" i="2" s="1"/>
  <c r="I1309" i="2" s="1"/>
  <c r="I1310" i="2" s="1"/>
  <c r="I1311" i="2" s="1"/>
  <c r="H1304" i="2"/>
  <c r="G1304" i="2"/>
  <c r="I1304" i="2" s="1"/>
  <c r="I1297" i="2"/>
  <c r="I1298" i="2" s="1"/>
  <c r="I1299" i="2" s="1"/>
  <c r="I1300" i="2" s="1"/>
  <c r="I1301" i="2" s="1"/>
  <c r="I1302" i="2" s="1"/>
  <c r="I1303" i="2" s="1"/>
  <c r="I1294" i="2"/>
  <c r="I1295" i="2" s="1"/>
  <c r="I1296" i="2" s="1"/>
  <c r="H1291" i="2"/>
  <c r="G1291" i="2"/>
  <c r="I1284" i="2"/>
  <c r="I1285" i="2" s="1"/>
  <c r="I1286" i="2" s="1"/>
  <c r="I1287" i="2" s="1"/>
  <c r="I1288" i="2" s="1"/>
  <c r="I1289" i="2" s="1"/>
  <c r="I1290" i="2" s="1"/>
  <c r="H1281" i="2"/>
  <c r="G1281" i="2"/>
  <c r="I1280" i="2"/>
  <c r="H1277" i="2"/>
  <c r="G1277" i="2"/>
  <c r="I1277" i="2" s="1"/>
  <c r="I1276" i="2"/>
  <c r="I1273" i="2"/>
  <c r="H1273" i="2"/>
  <c r="G1273" i="2"/>
  <c r="I1272" i="2"/>
  <c r="H1269" i="2"/>
  <c r="G1269" i="2"/>
  <c r="I1269" i="2" s="1"/>
  <c r="I1268" i="2"/>
  <c r="H1265" i="2"/>
  <c r="G1265" i="2"/>
  <c r="I1265" i="2" s="1"/>
  <c r="I1263" i="2"/>
  <c r="I1264" i="2" s="1"/>
  <c r="H1260" i="2"/>
  <c r="G1260" i="2"/>
  <c r="I1260" i="2" s="1"/>
  <c r="I1258" i="2"/>
  <c r="I1259" i="2" s="1"/>
  <c r="I1252" i="2"/>
  <c r="I1253" i="2" s="1"/>
  <c r="I1254" i="2" s="1"/>
  <c r="I1255" i="2" s="1"/>
  <c r="I1256" i="2" s="1"/>
  <c r="I1257" i="2" s="1"/>
  <c r="H1249" i="2"/>
  <c r="G1249" i="2"/>
  <c r="I1249" i="2" s="1"/>
  <c r="I1225" i="2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H1222" i="2"/>
  <c r="G1222" i="2"/>
  <c r="I1222" i="2" s="1"/>
  <c r="I1215" i="2"/>
  <c r="I1216" i="2" s="1"/>
  <c r="I1217" i="2" s="1"/>
  <c r="I1218" i="2" s="1"/>
  <c r="I1219" i="2" s="1"/>
  <c r="I1220" i="2" s="1"/>
  <c r="I1221" i="2" s="1"/>
  <c r="I1208" i="2"/>
  <c r="I1209" i="2" s="1"/>
  <c r="I1210" i="2" s="1"/>
  <c r="I1211" i="2" s="1"/>
  <c r="I1212" i="2" s="1"/>
  <c r="I1213" i="2" s="1"/>
  <c r="I1214" i="2" s="1"/>
  <c r="H1205" i="2"/>
  <c r="G1205" i="2"/>
  <c r="I1205" i="2" s="1"/>
  <c r="I1203" i="2"/>
  <c r="I1204" i="2" s="1"/>
  <c r="I1201" i="2"/>
  <c r="I1202" i="2" s="1"/>
  <c r="H1198" i="2"/>
  <c r="G1198" i="2"/>
  <c r="I1198" i="2" s="1"/>
  <c r="I1176" i="2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I1191" i="2" s="1"/>
  <c r="I1192" i="2" s="1"/>
  <c r="I1193" i="2" s="1"/>
  <c r="I1194" i="2" s="1"/>
  <c r="I1195" i="2" s="1"/>
  <c r="I1196" i="2" s="1"/>
  <c r="I1197" i="2" s="1"/>
  <c r="H1173" i="2"/>
  <c r="G1173" i="2"/>
  <c r="I1144" i="2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43" i="2"/>
  <c r="H1140" i="2"/>
  <c r="G1140" i="2"/>
  <c r="I1140" i="2" s="1"/>
  <c r="I1139" i="2"/>
  <c r="H1136" i="2"/>
  <c r="G1136" i="2"/>
  <c r="I1136" i="2" s="1"/>
  <c r="I1128" i="2"/>
  <c r="I1129" i="2" s="1"/>
  <c r="I1130" i="2" s="1"/>
  <c r="I1131" i="2" s="1"/>
  <c r="I1132" i="2" s="1"/>
  <c r="I1133" i="2" s="1"/>
  <c r="I1134" i="2" s="1"/>
  <c r="I1135" i="2" s="1"/>
  <c r="H1125" i="2"/>
  <c r="G1125" i="2"/>
  <c r="I1124" i="2"/>
  <c r="H1121" i="2"/>
  <c r="G1121" i="2"/>
  <c r="I1109" i="2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H1106" i="2"/>
  <c r="G1106" i="2"/>
  <c r="I1098" i="2"/>
  <c r="I1099" i="2" s="1"/>
  <c r="I1100" i="2" s="1"/>
  <c r="I1101" i="2" s="1"/>
  <c r="I1102" i="2" s="1"/>
  <c r="I1103" i="2" s="1"/>
  <c r="I1104" i="2" s="1"/>
  <c r="I1105" i="2" s="1"/>
  <c r="H1095" i="2"/>
  <c r="G1095" i="2"/>
  <c r="I1095" i="2" s="1"/>
  <c r="I1077" i="2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H1074" i="2"/>
  <c r="G1074" i="2"/>
  <c r="I1074" i="2" s="1"/>
  <c r="I1069" i="2"/>
  <c r="I1070" i="2" s="1"/>
  <c r="I1071" i="2" s="1"/>
  <c r="I1072" i="2" s="1"/>
  <c r="I1073" i="2" s="1"/>
  <c r="H1066" i="2"/>
  <c r="G1066" i="2"/>
  <c r="I1063" i="2"/>
  <c r="I1064" i="2" s="1"/>
  <c r="I1065" i="2" s="1"/>
  <c r="H1060" i="2"/>
  <c r="G1060" i="2"/>
  <c r="I1060" i="2" s="1"/>
  <c r="I1056" i="2"/>
  <c r="I1057" i="2" s="1"/>
  <c r="I1058" i="2" s="1"/>
  <c r="I1059" i="2" s="1"/>
  <c r="I1055" i="2"/>
  <c r="H1052" i="2"/>
  <c r="I1052" i="2" s="1"/>
  <c r="G1052" i="2"/>
  <c r="I1045" i="2"/>
  <c r="I1046" i="2" s="1"/>
  <c r="I1047" i="2" s="1"/>
  <c r="I1048" i="2" s="1"/>
  <c r="I1049" i="2" s="1"/>
  <c r="I1050" i="2" s="1"/>
  <c r="I1051" i="2" s="1"/>
  <c r="H1042" i="2"/>
  <c r="G1042" i="2"/>
  <c r="I1034" i="2"/>
  <c r="I1035" i="2" s="1"/>
  <c r="I1036" i="2" s="1"/>
  <c r="I1037" i="2" s="1"/>
  <c r="I1038" i="2" s="1"/>
  <c r="I1039" i="2" s="1"/>
  <c r="I1040" i="2" s="1"/>
  <c r="I1041" i="2" s="1"/>
  <c r="H1031" i="2"/>
  <c r="G1031" i="2"/>
  <c r="I1023" i="2"/>
  <c r="I1024" i="2" s="1"/>
  <c r="I1025" i="2" s="1"/>
  <c r="I1026" i="2" s="1"/>
  <c r="I1027" i="2" s="1"/>
  <c r="I1028" i="2" s="1"/>
  <c r="I1029" i="2" s="1"/>
  <c r="I1030" i="2" s="1"/>
  <c r="H1020" i="2"/>
  <c r="G1020" i="2"/>
  <c r="I1015" i="2"/>
  <c r="I1016" i="2" s="1"/>
  <c r="I1017" i="2" s="1"/>
  <c r="I1018" i="2" s="1"/>
  <c r="I1019" i="2" s="1"/>
  <c r="H1012" i="2"/>
  <c r="G1012" i="2"/>
  <c r="I1002" i="2"/>
  <c r="I1003" i="2" s="1"/>
  <c r="I1004" i="2" s="1"/>
  <c r="I1005" i="2" s="1"/>
  <c r="I1006" i="2" s="1"/>
  <c r="I1007" i="2" s="1"/>
  <c r="I1008" i="2" s="1"/>
  <c r="I1009" i="2" s="1"/>
  <c r="I1010" i="2" s="1"/>
  <c r="I1011" i="2" s="1"/>
  <c r="H999" i="2"/>
  <c r="G999" i="2"/>
  <c r="I999" i="2" s="1"/>
  <c r="I992" i="2"/>
  <c r="I993" i="2" s="1"/>
  <c r="I994" i="2" s="1"/>
  <c r="I995" i="2" s="1"/>
  <c r="I996" i="2" s="1"/>
  <c r="I997" i="2" s="1"/>
  <c r="I998" i="2" s="1"/>
  <c r="H989" i="2"/>
  <c r="G989" i="2"/>
  <c r="I967" i="2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H964" i="2"/>
  <c r="G964" i="2"/>
  <c r="I954" i="2"/>
  <c r="I955" i="2" s="1"/>
  <c r="I956" i="2" s="1"/>
  <c r="I957" i="2" s="1"/>
  <c r="I958" i="2" s="1"/>
  <c r="I959" i="2" s="1"/>
  <c r="I960" i="2" s="1"/>
  <c r="I961" i="2" s="1"/>
  <c r="I962" i="2" s="1"/>
  <c r="I963" i="2" s="1"/>
  <c r="H951" i="2"/>
  <c r="G951" i="2"/>
  <c r="I951" i="2" s="1"/>
  <c r="I910" i="2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H907" i="2"/>
  <c r="G907" i="2"/>
  <c r="I907" i="2" s="1"/>
  <c r="I904" i="2"/>
  <c r="I905" i="2" s="1"/>
  <c r="I906" i="2" s="1"/>
  <c r="H901" i="2"/>
  <c r="G901" i="2"/>
  <c r="I892" i="2"/>
  <c r="I893" i="2" s="1"/>
  <c r="I894" i="2" s="1"/>
  <c r="I895" i="2" s="1"/>
  <c r="I896" i="2" s="1"/>
  <c r="I897" i="2" s="1"/>
  <c r="I898" i="2" s="1"/>
  <c r="I899" i="2" s="1"/>
  <c r="I900" i="2" s="1"/>
  <c r="H889" i="2"/>
  <c r="G889" i="2"/>
  <c r="I889" i="2" s="1"/>
  <c r="I886" i="2"/>
  <c r="I887" i="2" s="1"/>
  <c r="I888" i="2" s="1"/>
  <c r="I883" i="2"/>
  <c r="H883" i="2"/>
  <c r="G883" i="2"/>
  <c r="I882" i="2"/>
  <c r="I879" i="2"/>
  <c r="H879" i="2"/>
  <c r="G879" i="2"/>
  <c r="I878" i="2"/>
  <c r="H875" i="2"/>
  <c r="G875" i="2"/>
  <c r="I875" i="2" s="1"/>
  <c r="I873" i="2"/>
  <c r="I874" i="2" s="1"/>
  <c r="H870" i="2"/>
  <c r="G870" i="2"/>
  <c r="I864" i="2"/>
  <c r="I865" i="2" s="1"/>
  <c r="I866" i="2" s="1"/>
  <c r="I867" i="2" s="1"/>
  <c r="I868" i="2" s="1"/>
  <c r="I869" i="2" s="1"/>
  <c r="H861" i="2"/>
  <c r="G861" i="2"/>
  <c r="I860" i="2"/>
  <c r="H857" i="2"/>
  <c r="G857" i="2"/>
  <c r="I857" i="2" s="1"/>
  <c r="I854" i="2"/>
  <c r="I855" i="2" s="1"/>
  <c r="I856" i="2" s="1"/>
  <c r="I853" i="2"/>
  <c r="H850" i="2"/>
  <c r="G850" i="2"/>
  <c r="I850" i="2" s="1"/>
  <c r="I586" i="2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583" i="2"/>
  <c r="H583" i="2"/>
  <c r="G583" i="2"/>
  <c r="I563" i="2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H560" i="2"/>
  <c r="G560" i="2"/>
  <c r="I560" i="2" s="1"/>
  <c r="I558" i="2"/>
  <c r="I559" i="2" s="1"/>
  <c r="H555" i="2"/>
  <c r="I555" i="2" s="1"/>
  <c r="G555" i="2"/>
  <c r="I549" i="2"/>
  <c r="I550" i="2" s="1"/>
  <c r="I551" i="2" s="1"/>
  <c r="I552" i="2" s="1"/>
  <c r="I553" i="2" s="1"/>
  <c r="I554" i="2" s="1"/>
  <c r="H546" i="2"/>
  <c r="G546" i="2"/>
  <c r="I529" i="2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H526" i="2"/>
  <c r="G526" i="2"/>
  <c r="I526" i="2" s="1"/>
  <c r="I507" i="2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H504" i="2"/>
  <c r="G504" i="2"/>
  <c r="I499" i="2"/>
  <c r="I500" i="2" s="1"/>
  <c r="I501" i="2" s="1"/>
  <c r="I502" i="2" s="1"/>
  <c r="I503" i="2" s="1"/>
  <c r="H496" i="2"/>
  <c r="G496" i="2"/>
  <c r="I491" i="2"/>
  <c r="I492" i="2" s="1"/>
  <c r="I493" i="2" s="1"/>
  <c r="I494" i="2" s="1"/>
  <c r="I495" i="2" s="1"/>
  <c r="H488" i="2"/>
  <c r="G488" i="2"/>
  <c r="I488" i="2" s="1"/>
  <c r="I458" i="2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H455" i="2"/>
  <c r="G455" i="2"/>
  <c r="I455" i="2" s="1"/>
  <c r="I454" i="2"/>
  <c r="H451" i="2"/>
  <c r="G451" i="2"/>
  <c r="I451" i="2" s="1"/>
  <c r="I450" i="2"/>
  <c r="H447" i="2"/>
  <c r="G447" i="2"/>
  <c r="I447" i="2" s="1"/>
  <c r="I446" i="2"/>
  <c r="H443" i="2"/>
  <c r="G443" i="2"/>
  <c r="I443" i="2" s="1"/>
  <c r="I432" i="2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H429" i="2"/>
  <c r="G429" i="2"/>
  <c r="I429" i="2" s="1"/>
  <c r="I422" i="2"/>
  <c r="I423" i="2" s="1"/>
  <c r="I424" i="2" s="1"/>
  <c r="I425" i="2" s="1"/>
  <c r="I426" i="2" s="1"/>
  <c r="I427" i="2" s="1"/>
  <c r="I428" i="2" s="1"/>
  <c r="H419" i="2"/>
  <c r="I419" i="2" s="1"/>
  <c r="G419" i="2"/>
  <c r="I412" i="2"/>
  <c r="I413" i="2" s="1"/>
  <c r="I414" i="2" s="1"/>
  <c r="I415" i="2" s="1"/>
  <c r="I416" i="2" s="1"/>
  <c r="I417" i="2" s="1"/>
  <c r="I418" i="2" s="1"/>
  <c r="H409" i="2"/>
  <c r="G409" i="2"/>
  <c r="I409" i="2" s="1"/>
  <c r="I406" i="2"/>
  <c r="I407" i="2" s="1"/>
  <c r="I408" i="2" s="1"/>
  <c r="H403" i="2"/>
  <c r="G403" i="2"/>
  <c r="I403" i="2" s="1"/>
  <c r="I376" i="2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H373" i="2"/>
  <c r="G373" i="2"/>
  <c r="I373" i="2" s="1"/>
  <c r="I346" i="2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H343" i="2"/>
  <c r="G343" i="2"/>
  <c r="I343" i="2" s="1"/>
  <c r="I327" i="2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H324" i="2"/>
  <c r="G324" i="2"/>
  <c r="I324" i="2" s="1"/>
  <c r="I322" i="2"/>
  <c r="I323" i="2" s="1"/>
  <c r="I321" i="2"/>
  <c r="H318" i="2"/>
  <c r="G318" i="2"/>
  <c r="I318" i="2" s="1"/>
  <c r="I304" i="2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H301" i="2"/>
  <c r="G301" i="2"/>
  <c r="I256" i="2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255" i="2"/>
  <c r="H252" i="2"/>
  <c r="G252" i="2"/>
  <c r="I252" i="2" s="1"/>
  <c r="I239" i="2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36" i="2"/>
  <c r="H236" i="2"/>
  <c r="G236" i="2"/>
  <c r="I226" i="2"/>
  <c r="I227" i="2" s="1"/>
  <c r="I228" i="2" s="1"/>
  <c r="I229" i="2" s="1"/>
  <c r="I230" i="2" s="1"/>
  <c r="I231" i="2" s="1"/>
  <c r="I232" i="2" s="1"/>
  <c r="I233" i="2" s="1"/>
  <c r="I234" i="2" s="1"/>
  <c r="I235" i="2" s="1"/>
  <c r="I225" i="2"/>
  <c r="H222" i="2"/>
  <c r="G222" i="2"/>
  <c r="I222" i="2" s="1"/>
  <c r="I208" i="2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H205" i="2"/>
  <c r="G205" i="2"/>
  <c r="I202" i="2"/>
  <c r="I203" i="2" s="1"/>
  <c r="I204" i="2" s="1"/>
  <c r="H199" i="2"/>
  <c r="G199" i="2"/>
  <c r="I173" i="2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66" i="2"/>
  <c r="I167" i="2" s="1"/>
  <c r="I168" i="2" s="1"/>
  <c r="I169" i="2" s="1"/>
  <c r="I170" i="2" s="1"/>
  <c r="I171" i="2" s="1"/>
  <c r="I172" i="2" s="1"/>
  <c r="H163" i="2"/>
  <c r="G163" i="2"/>
  <c r="I160" i="2"/>
  <c r="I161" i="2" s="1"/>
  <c r="I162" i="2" s="1"/>
  <c r="H157" i="2"/>
  <c r="G157" i="2"/>
  <c r="I142" i="2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41" i="2"/>
  <c r="H138" i="2"/>
  <c r="G138" i="2"/>
  <c r="I138" i="2" s="1"/>
  <c r="I11" i="2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2222" i="2" l="1"/>
  <c r="I157" i="2"/>
  <c r="I205" i="2"/>
  <c r="I1125" i="2"/>
  <c r="I1312" i="2"/>
  <c r="I1334" i="2"/>
  <c r="I1722" i="2"/>
  <c r="I2481" i="2"/>
  <c r="I2497" i="2"/>
  <c r="I2467" i="2"/>
  <c r="I2398" i="2"/>
  <c r="I1418" i="2"/>
  <c r="I1766" i="2"/>
  <c r="I2340" i="2"/>
  <c r="I163" i="2"/>
  <c r="I1325" i="2"/>
  <c r="I2594" i="2"/>
  <c r="I861" i="2"/>
  <c r="I1042" i="2"/>
  <c r="I1066" i="2"/>
  <c r="I1106" i="2"/>
  <c r="I2348" i="2"/>
  <c r="I2637" i="2"/>
  <c r="I496" i="2"/>
  <c r="I546" i="2"/>
  <c r="I901" i="2"/>
  <c r="I964" i="2"/>
  <c r="I1582" i="2"/>
  <c r="I1648" i="2"/>
  <c r="I1675" i="2"/>
  <c r="I2433" i="2"/>
  <c r="I3463" i="2"/>
  <c r="I199" i="2"/>
  <c r="I301" i="2"/>
  <c r="I504" i="2"/>
  <c r="I870" i="2"/>
  <c r="I989" i="2"/>
  <c r="I1020" i="2"/>
  <c r="I1864" i="2"/>
  <c r="I2013" i="2"/>
  <c r="I2358" i="2"/>
  <c r="I2538" i="2"/>
  <c r="I2570" i="2"/>
  <c r="I2614" i="2"/>
  <c r="I1888" i="2"/>
  <c r="I1504" i="2"/>
  <c r="I1012" i="2"/>
  <c r="I1031" i="2"/>
  <c r="I1793" i="2"/>
  <c r="I1941" i="2"/>
  <c r="I2017" i="2"/>
  <c r="I2206" i="2"/>
  <c r="I1291" i="2"/>
  <c r="I1344" i="2"/>
  <c r="I1524" i="2"/>
  <c r="I1329" i="2"/>
  <c r="I1860" i="2"/>
  <c r="I2562" i="2"/>
  <c r="I1121" i="2"/>
  <c r="I1173" i="2"/>
  <c r="I1281" i="2"/>
  <c r="I1913" i="2"/>
  <c r="I1668" i="2"/>
  <c r="I1557" i="2"/>
  <c r="I2365" i="2"/>
  <c r="I2413" i="2"/>
  <c r="I2545" i="2"/>
  <c r="I2024" i="2"/>
  <c r="I2574" i="2"/>
  <c r="I2702" i="2"/>
  <c r="I4519" i="2"/>
</calcChain>
</file>

<file path=xl/sharedStrings.xml><?xml version="1.0" encoding="utf-8"?>
<sst xmlns="http://schemas.openxmlformats.org/spreadsheetml/2006/main" count="10817" uniqueCount="3465">
  <si>
    <t>Cuenta</t>
  </si>
  <si>
    <t>Descripción</t>
  </si>
  <si>
    <t>Punt.</t>
  </si>
  <si>
    <t>Fecha</t>
  </si>
  <si>
    <t>Concepto</t>
  </si>
  <si>
    <t>Documento</t>
  </si>
  <si>
    <t>Debe</t>
  </si>
  <si>
    <t>Haber</t>
  </si>
  <si>
    <t>Saldo</t>
  </si>
  <si>
    <t>Contrapartida</t>
  </si>
  <si>
    <t>GIRBAU, S.A.</t>
  </si>
  <si>
    <t>Saldos anteriores</t>
  </si>
  <si>
    <t>Sí</t>
  </si>
  <si>
    <t>SALDO PENDIENTE GIRBAU 2024</t>
  </si>
  <si>
    <t/>
  </si>
  <si>
    <t>FACTURA 2144642</t>
  </si>
  <si>
    <t>17-09-24</t>
  </si>
  <si>
    <t>FACTURA 2144860</t>
  </si>
  <si>
    <t>24-09-24</t>
  </si>
  <si>
    <t>FACTURA 2145589</t>
  </si>
  <si>
    <t>11-10-24</t>
  </si>
  <si>
    <t>FACTURA 2146170</t>
  </si>
  <si>
    <t>29-10-24</t>
  </si>
  <si>
    <t>Anula factura duplicada</t>
  </si>
  <si>
    <t>GIRBAU, S.A._2148131_03-01-2</t>
  </si>
  <si>
    <t>2148131</t>
  </si>
  <si>
    <t>GIRBAU, S.A._2148169_07-01-2</t>
  </si>
  <si>
    <t>2148169</t>
  </si>
  <si>
    <t>GIRBAU, S.A._2148218_08-01-2</t>
  </si>
  <si>
    <t>2148218</t>
  </si>
  <si>
    <t>GIRBAU, S.A._2148277_09-01-2</t>
  </si>
  <si>
    <t>2148277</t>
  </si>
  <si>
    <t>GIRBAU, S.A._2148353_13-01-2</t>
  </si>
  <si>
    <t>2148353</t>
  </si>
  <si>
    <t>PAGO A PROVEEDORES.</t>
  </si>
  <si>
    <t>GIRBAU, S.A._2148397_14-01-2</t>
  </si>
  <si>
    <t>2148397</t>
  </si>
  <si>
    <t>GIRBAU, S.A._2148424_15-01-2</t>
  </si>
  <si>
    <t>2148424</t>
  </si>
  <si>
    <t>GIRBAU, S.A._2148478_16-01-2</t>
  </si>
  <si>
    <t>2148478</t>
  </si>
  <si>
    <t>GIRBAU, S.A._2148537_17-01-2</t>
  </si>
  <si>
    <t>2148537</t>
  </si>
  <si>
    <t>GIRBAU, S.A._2148601_21-01-2</t>
  </si>
  <si>
    <t>2148601</t>
  </si>
  <si>
    <t>GIRBAU, S.A._2148602_21-01-2</t>
  </si>
  <si>
    <t>2148602</t>
  </si>
  <si>
    <t>GIRBAU, S.A._2148641_22-01-2</t>
  </si>
  <si>
    <t>2148641</t>
  </si>
  <si>
    <t>GIRBAU, S.A._2148707_23-01-2</t>
  </si>
  <si>
    <t>2148707</t>
  </si>
  <si>
    <t>GIRBAU, S.A._2148758_24-01-2</t>
  </si>
  <si>
    <t>2148758</t>
  </si>
  <si>
    <t>GIRBAU, S.A._2148759_24-01-2</t>
  </si>
  <si>
    <t>2148759</t>
  </si>
  <si>
    <t>GIRBAU, S.A._2148798_27-01-2</t>
  </si>
  <si>
    <t>2148798</t>
  </si>
  <si>
    <t>GIRBAU, S.A._2148860_28-01-2</t>
  </si>
  <si>
    <t>2148860</t>
  </si>
  <si>
    <t>GIRBAU, S.A._2148897_29-01-2</t>
  </si>
  <si>
    <t>2148897</t>
  </si>
  <si>
    <t>GIRBAU, S.A._2148916_29-01-2</t>
  </si>
  <si>
    <t>2148916</t>
  </si>
  <si>
    <t>GIRBAU, S.A._2148955_30-01-2</t>
  </si>
  <si>
    <t>2148955</t>
  </si>
  <si>
    <t>GIRBAU, S.A._2149206_07-02-2</t>
  </si>
  <si>
    <t>2149206</t>
  </si>
  <si>
    <t>GIRBAU, S.A._2149236_10-02-2</t>
  </si>
  <si>
    <t>2149236</t>
  </si>
  <si>
    <t>COMPENSACIÓN CLIENTE</t>
  </si>
  <si>
    <t>GIRBAU, S.A._2149651_20-02-2</t>
  </si>
  <si>
    <t>2149651</t>
  </si>
  <si>
    <t>GIRBAU, S.A._2149706_21-02-2</t>
  </si>
  <si>
    <t>2149706</t>
  </si>
  <si>
    <t>GIRBAU, S.A._2149762_24-02-2</t>
  </si>
  <si>
    <t>2149762</t>
  </si>
  <si>
    <t>GIRBAU, S.A._2149838_25-02-2</t>
  </si>
  <si>
    <t>2149838</t>
  </si>
  <si>
    <t>DEVOLUCIÓN PAGO GIRBAU</t>
  </si>
  <si>
    <t>GIRBAU, S.A._2149943_27-02-2</t>
  </si>
  <si>
    <t>2149943</t>
  </si>
  <si>
    <t>GIRBAU, S.A._2150037_03-03-2</t>
  </si>
  <si>
    <t>2150037</t>
  </si>
  <si>
    <t>GIRBAU, S.A._2150135_05-03-2</t>
  </si>
  <si>
    <t>2150135</t>
  </si>
  <si>
    <t>GIRBAU, S.A._2150213_07-03-2</t>
  </si>
  <si>
    <t>2150213</t>
  </si>
  <si>
    <t>GIRBAU, S.A._2150464_17-03-2</t>
  </si>
  <si>
    <t>2150464</t>
  </si>
  <si>
    <t>GIRBAU, S.A._2150530_18-03-2</t>
  </si>
  <si>
    <t>2150530</t>
  </si>
  <si>
    <t>GIRBAU, S.A._2150582_19-03-2</t>
  </si>
  <si>
    <t>2150582</t>
  </si>
  <si>
    <t>GIRBAU, S.A._2150646_21-03-2</t>
  </si>
  <si>
    <t>2150646</t>
  </si>
  <si>
    <t>GIRBAU, S.A._2150768_25-03-2</t>
  </si>
  <si>
    <t>2150768</t>
  </si>
  <si>
    <t>GIRBAU SA_2149431 14-02-25</t>
  </si>
  <si>
    <t>2149431</t>
  </si>
  <si>
    <t>Importe fra recibida 05-02-2</t>
  </si>
  <si>
    <t>2149125</t>
  </si>
  <si>
    <t>Importe fra recibida 11-02-2</t>
  </si>
  <si>
    <t>2149275</t>
  </si>
  <si>
    <t>Importe fra recibida 12-02-2</t>
  </si>
  <si>
    <t>2149320</t>
  </si>
  <si>
    <t>Importe fra recibida 17-02-2</t>
  </si>
  <si>
    <t>2149484</t>
  </si>
  <si>
    <t>ADEUDO RECIBO GIRBAU S.A.</t>
  </si>
  <si>
    <t>TRANSFERÈNCIES</t>
  </si>
  <si>
    <t>Importe factura recibida.</t>
  </si>
  <si>
    <t>2154387</t>
  </si>
  <si>
    <t>GIRBAU, S.A._2154387_18-07-2</t>
  </si>
  <si>
    <t>GIRBAU, S.A._2155595_28-08-2</t>
  </si>
  <si>
    <t>2155595</t>
  </si>
  <si>
    <t>GIRBAU, S.A._2155821_05-09-2</t>
  </si>
  <si>
    <t>2155821</t>
  </si>
  <si>
    <t>Total cuenta</t>
  </si>
  <si>
    <t>PUNTS DE LLOGUER, SL</t>
  </si>
  <si>
    <t>PUNTS DE LLOGUE_F170137814_2</t>
  </si>
  <si>
    <t>F170137814</t>
  </si>
  <si>
    <t>Liquidación tarjeta</t>
  </si>
  <si>
    <t>PUNTS DE LLOGUE_F170138031_1</t>
  </si>
  <si>
    <t>F170138031</t>
  </si>
  <si>
    <t>PUNTS DE LLOGUE_170138308_10</t>
  </si>
  <si>
    <t>170138308</t>
  </si>
  <si>
    <t>LIQUIDACIÓN TARJETA</t>
  </si>
  <si>
    <t>PUNTS DE LLOGUE_8909_15-05-2</t>
  </si>
  <si>
    <t>8909</t>
  </si>
  <si>
    <t>PUNTS DE LLOGUE_170138972_30</t>
  </si>
  <si>
    <t>170138972</t>
  </si>
  <si>
    <t>MOVIMIENTOS TARJETA MAYO</t>
  </si>
  <si>
    <t>PUNTS DE LLOGUE_39401_13-06-</t>
  </si>
  <si>
    <t>39401</t>
  </si>
  <si>
    <t>PUNTS DE LLOGUE_39509_20-06-</t>
  </si>
  <si>
    <t>39509</t>
  </si>
  <si>
    <t>moviments tarjeta BBVA</t>
  </si>
  <si>
    <t>PUNTS DE LLOGUE_170139988_30</t>
  </si>
  <si>
    <t>170139988</t>
  </si>
  <si>
    <t>PUNTS DE LLOGUE_170140299_27</t>
  </si>
  <si>
    <t>170140299</t>
  </si>
  <si>
    <t>TRANSGOURMET IBERICA, SA</t>
  </si>
  <si>
    <t>TRANSGOURMET IB_28228_06-06-</t>
  </si>
  <si>
    <t>28228</t>
  </si>
  <si>
    <t>TRANSGOURMET IB_35255_11-07-</t>
  </si>
  <si>
    <t>35255</t>
  </si>
  <si>
    <t>HOGAR TINTORERO, S.L.</t>
  </si>
  <si>
    <t>HOGAR TINTORERO_35_08-01-202</t>
  </si>
  <si>
    <t>35</t>
  </si>
  <si>
    <t>HOGAR TINTORERO_184_16-01-20</t>
  </si>
  <si>
    <t>184</t>
  </si>
  <si>
    <t>HOGAR TINTORERO_880_25-02-20</t>
  </si>
  <si>
    <t>880</t>
  </si>
  <si>
    <t>HOGAR TINTORERO_1309_20-03-2</t>
  </si>
  <si>
    <t>1309</t>
  </si>
  <si>
    <t>HOGAR TINTORERO_1341_21-03-2</t>
  </si>
  <si>
    <t>1341</t>
  </si>
  <si>
    <t>HOGAR TINTORERO_1387_25-03-2</t>
  </si>
  <si>
    <t>1387</t>
  </si>
  <si>
    <t>HOGAR TINTORERO_1500_31-03-2</t>
  </si>
  <si>
    <t>1500</t>
  </si>
  <si>
    <t>HOGAR TINTORERO_1633_07-04-2</t>
  </si>
  <si>
    <t>1633</t>
  </si>
  <si>
    <t>HOGAR TINTORERO_1671_09-04-2</t>
  </si>
  <si>
    <t>1671</t>
  </si>
  <si>
    <t>HOGAR TINTORERO_1748_14-04-2</t>
  </si>
  <si>
    <t>1748</t>
  </si>
  <si>
    <t>HOGAR TINTORERO_1790_16-04-2</t>
  </si>
  <si>
    <t>1790</t>
  </si>
  <si>
    <t>REBUT DOMICILIAT</t>
  </si>
  <si>
    <t>HOGAR TINTORERO_2335_20-05-2</t>
  </si>
  <si>
    <t>2335</t>
  </si>
  <si>
    <t>HOGAR TINTORERO_2515_29-05-2</t>
  </si>
  <si>
    <t>2515</t>
  </si>
  <si>
    <t>HOGAR TINTORERO_2517_29-05-2</t>
  </si>
  <si>
    <t>2517</t>
  </si>
  <si>
    <t>HOGAR TINTORERO_3702_25-07-2</t>
  </si>
  <si>
    <t>3702</t>
  </si>
  <si>
    <t>HOGAR TINTORERO_3997_01-09-2</t>
  </si>
  <si>
    <t>3997</t>
  </si>
  <si>
    <t>HOGAR TINTORERO_4019_02-09-2</t>
  </si>
  <si>
    <t>4019</t>
  </si>
  <si>
    <t>CAROL AUTOMATISMES TERRASSA, S</t>
  </si>
  <si>
    <t>CAROL AUTOMATIS_6194902_15-0</t>
  </si>
  <si>
    <t>6194902</t>
  </si>
  <si>
    <t>CAROL AUTOMATIS_6196567_30-0</t>
  </si>
  <si>
    <t>6196567</t>
  </si>
  <si>
    <t>TORRAS SUMIN.INDUSTRIALES,S.L.</t>
  </si>
  <si>
    <t>TORRAS SUMIN.IN_T287336_03-0</t>
  </si>
  <si>
    <t>T287336</t>
  </si>
  <si>
    <t>TORRAS SUMIN.IN_T287916_17-0</t>
  </si>
  <si>
    <t>T287916</t>
  </si>
  <si>
    <t>TORRAS SUMIN.IN_9195_16-04-2</t>
  </si>
  <si>
    <t>9195</t>
  </si>
  <si>
    <t>TORRAS SUMIN.IN_T291675_16-0</t>
  </si>
  <si>
    <t>T291675</t>
  </si>
  <si>
    <t>TORRAS SUMIN.IN_292323_30-06</t>
  </si>
  <si>
    <t>292323</t>
  </si>
  <si>
    <t>TORRAS SUMIN.IN_3617_31-07-2</t>
  </si>
  <si>
    <t>3617</t>
  </si>
  <si>
    <t>TORRAS SUMIN.IN_294933_15-09</t>
  </si>
  <si>
    <t>294933</t>
  </si>
  <si>
    <t>SUMRRASSA, S.L.</t>
  </si>
  <si>
    <t>Importe fra recibida 08-10-2</t>
  </si>
  <si>
    <t>157362</t>
  </si>
  <si>
    <t>SUMRRASSA, S.L._163735_23-04</t>
  </si>
  <si>
    <t>163735</t>
  </si>
  <si>
    <t>SUMRRASSA, S.L._164585_19-05</t>
  </si>
  <si>
    <t>164585</t>
  </si>
  <si>
    <t>SUMRRASSA, S.L._165559_13-06</t>
  </si>
  <si>
    <t>165559</t>
  </si>
  <si>
    <t>SUMRRASSA, S.L._166032_30-06</t>
  </si>
  <si>
    <t>166032</t>
  </si>
  <si>
    <t>SUMRRASSA, S.L._167619_29-08</t>
  </si>
  <si>
    <t>167619</t>
  </si>
  <si>
    <t>SUMRRASSA, S.L._168033_12-09</t>
  </si>
  <si>
    <t>168033</t>
  </si>
  <si>
    <t>GLOBAL SABADELL, S.L.U.</t>
  </si>
  <si>
    <t>GLOBAL SABADELL_21_10-01-202</t>
  </si>
  <si>
    <t>21</t>
  </si>
  <si>
    <t>GLOBAL SABADELL_759_30-03-20</t>
  </si>
  <si>
    <t>759</t>
  </si>
  <si>
    <t>GLOBAL SABADELL_1041_30-04-2</t>
  </si>
  <si>
    <t>1041</t>
  </si>
  <si>
    <t>PAGO PROVEEDOR</t>
  </si>
  <si>
    <t>GLOBAL SABADELL_1505_20-06-2</t>
  </si>
  <si>
    <t>1505</t>
  </si>
  <si>
    <t>GLOBAL SABADELL_1693_15-07-2</t>
  </si>
  <si>
    <t>1693</t>
  </si>
  <si>
    <t>GLOBAL SABADELL_1944_30-08-2</t>
  </si>
  <si>
    <t>1944</t>
  </si>
  <si>
    <t>ACJ SYSTEMS, S.L.</t>
  </si>
  <si>
    <t>ACJ SYSTEMS, S._11625_17-01-</t>
  </si>
  <si>
    <t>11625</t>
  </si>
  <si>
    <t>ACJ SYSTEMS, S._11670_31-01-</t>
  </si>
  <si>
    <t>11670</t>
  </si>
  <si>
    <t>ACJ SYSTEMS, S._11759_21-02-</t>
  </si>
  <si>
    <t>11759</t>
  </si>
  <si>
    <t>ACJ SYSTEMS, S._11799_07-03-</t>
  </si>
  <si>
    <t>11799</t>
  </si>
  <si>
    <t>FACTURA RETORNADA</t>
  </si>
  <si>
    <t>ACJ SYSTEMS, S._11872_21-03-</t>
  </si>
  <si>
    <t>11872</t>
  </si>
  <si>
    <t>ACJ SYSTEMS, S._11892_31-03-</t>
  </si>
  <si>
    <t>11892</t>
  </si>
  <si>
    <t>ACJ SYSTEMS, S._11938_11-04-</t>
  </si>
  <si>
    <t>11938</t>
  </si>
  <si>
    <t>ACJ SYSTEMS, S._11974_25-04-</t>
  </si>
  <si>
    <t>11974</t>
  </si>
  <si>
    <t>ACJ SYSTEMS, S._12017_30-04-</t>
  </si>
  <si>
    <t>12017</t>
  </si>
  <si>
    <t>ACJ SYSTEMS, S._12018_30-04-</t>
  </si>
  <si>
    <t>12018</t>
  </si>
  <si>
    <t>ACJ SYSTEMS, S._12047_09-05-</t>
  </si>
  <si>
    <t>12047</t>
  </si>
  <si>
    <t>ACJ SYSTEMS, S._12131_30-05-</t>
  </si>
  <si>
    <t>12131</t>
  </si>
  <si>
    <t>ACJ SYSTEMS, S._12150_06-06-</t>
  </si>
  <si>
    <t>12150</t>
  </si>
  <si>
    <t>ACJ SYSTEMS, S._12198_20-06-</t>
  </si>
  <si>
    <t>12198</t>
  </si>
  <si>
    <t>ACJ SYSTEMS, S._12256_30-06-</t>
  </si>
  <si>
    <t>12256</t>
  </si>
  <si>
    <t>ACJ SYSTEMS, S._12258_30-06-</t>
  </si>
  <si>
    <t>12258</t>
  </si>
  <si>
    <t>ACJ SYSTEMS, S._12338_23-07-</t>
  </si>
  <si>
    <t>12338</t>
  </si>
  <si>
    <t>ACJ SYSTEMS, S._12342_25-07-</t>
  </si>
  <si>
    <t>12342</t>
  </si>
  <si>
    <t>ACJ SYSTEMS, S._12393_07-08-</t>
  </si>
  <si>
    <t>12393</t>
  </si>
  <si>
    <t>ACJ SYSTEMS, S._12436_20-08-</t>
  </si>
  <si>
    <t>12436</t>
  </si>
  <si>
    <t>ACJ SYSTEMS, S._12496_29-08-</t>
  </si>
  <si>
    <t>12496</t>
  </si>
  <si>
    <t>ACJ SYSTEMS, S._12500_08-09-</t>
  </si>
  <si>
    <t>12500</t>
  </si>
  <si>
    <t>ACJ SYSTEMS, S._12525_12-09-</t>
  </si>
  <si>
    <t>12525</t>
  </si>
  <si>
    <t>ACJ SYSTEMS, S._12549_19-09-</t>
  </si>
  <si>
    <t>12549</t>
  </si>
  <si>
    <t>M&amp;M IBERICA, S.L.</t>
  </si>
  <si>
    <t>M&amp;M IBERICA, S._32228_24-01-</t>
  </si>
  <si>
    <t>32228</t>
  </si>
  <si>
    <t>M&amp;M IBERICA, S._32331_10-02-</t>
  </si>
  <si>
    <t>32331</t>
  </si>
  <si>
    <t>M&amp;M IBERICA, S._32580_25-03-</t>
  </si>
  <si>
    <t>32580</t>
  </si>
  <si>
    <t>M&amp;M IBERICA, S._32842_15-05-</t>
  </si>
  <si>
    <t>32842</t>
  </si>
  <si>
    <t>M&amp;M IBERICA, S._32870_20-05-</t>
  </si>
  <si>
    <t>32870</t>
  </si>
  <si>
    <t>M&amp;M IBERICA, S._33224_18-07-</t>
  </si>
  <si>
    <t>33224</t>
  </si>
  <si>
    <t>M&amp;M IBERICA, S._33442_29-08-</t>
  </si>
  <si>
    <t>33442</t>
  </si>
  <si>
    <t>M&amp;M IBERICA, S._33476_10-09-</t>
  </si>
  <si>
    <t>33476</t>
  </si>
  <si>
    <t>SALTOKI BARBERA SL</t>
  </si>
  <si>
    <t>SALTOKI BARBERA_4450_20-01-2</t>
  </si>
  <si>
    <t>4450</t>
  </si>
  <si>
    <t>SALTOKI BARBERA_76050_13-08-</t>
  </si>
  <si>
    <t>76050</t>
  </si>
  <si>
    <t>TALLERES ELECTRICOS BRIM SL</t>
  </si>
  <si>
    <t>TALLERES ELECTR_2232_13-05-2</t>
  </si>
  <si>
    <t>2232</t>
  </si>
  <si>
    <t>TRANSFERENCIES</t>
  </si>
  <si>
    <t>TALLERES ELECTR_2239_15-05-2</t>
  </si>
  <si>
    <t>2239</t>
  </si>
  <si>
    <t>TALLERES ELECTR_2249_11-06-2</t>
  </si>
  <si>
    <t>2249</t>
  </si>
  <si>
    <t>TALLERES ELECTR_25407_30-06-</t>
  </si>
  <si>
    <t>25407</t>
  </si>
  <si>
    <t>TALLERES ELECTR_25406_30-06-</t>
  </si>
  <si>
    <t>25406</t>
  </si>
  <si>
    <t>TALLERES ELECTR_25448_15-07-</t>
  </si>
  <si>
    <t>25448</t>
  </si>
  <si>
    <t>TALLERES ELECTR_25480_30-07-</t>
  </si>
  <si>
    <t>25480</t>
  </si>
  <si>
    <t>TALLERES ELECTR_25524_30-08-</t>
  </si>
  <si>
    <t>25524</t>
  </si>
  <si>
    <t>TALLERES ELECTR_25573_15-09-</t>
  </si>
  <si>
    <t>25573</t>
  </si>
  <si>
    <t>SCHULTHESS</t>
  </si>
  <si>
    <t>Compra schulthess SUIZA</t>
  </si>
  <si>
    <t>39456</t>
  </si>
  <si>
    <t>70055</t>
  </si>
  <si>
    <t>IMPORTACIÓN SCHULTHESS</t>
  </si>
  <si>
    <t>2079256</t>
  </si>
  <si>
    <t>2080814</t>
  </si>
  <si>
    <t>2080990</t>
  </si>
  <si>
    <t>Importe factura recibida</t>
  </si>
  <si>
    <t>82095</t>
  </si>
  <si>
    <t>82579</t>
  </si>
  <si>
    <t>90249</t>
  </si>
  <si>
    <t>2100057</t>
  </si>
  <si>
    <t>2100398</t>
  </si>
  <si>
    <t>Importación SCHULTHESS</t>
  </si>
  <si>
    <t>104553</t>
  </si>
  <si>
    <t>104558</t>
  </si>
  <si>
    <t>importación SCHULTHESS</t>
  </si>
  <si>
    <t>139456</t>
  </si>
  <si>
    <t>108284</t>
  </si>
  <si>
    <t>108150</t>
  </si>
  <si>
    <t>108149</t>
  </si>
  <si>
    <t>108285</t>
  </si>
  <si>
    <t>Importacion schulthess</t>
  </si>
  <si>
    <t>2115337</t>
  </si>
  <si>
    <t>2117602</t>
  </si>
  <si>
    <t>2117605</t>
  </si>
  <si>
    <t>2118081</t>
  </si>
  <si>
    <t>2118525</t>
  </si>
  <si>
    <t>2123070</t>
  </si>
  <si>
    <t>importacion schulthess</t>
  </si>
  <si>
    <t>2132113</t>
  </si>
  <si>
    <t>2132010</t>
  </si>
  <si>
    <t>UPGRADE YOUR BIZ SLU</t>
  </si>
  <si>
    <t>UPGRADE YOUR BI_F25004_18-03</t>
  </si>
  <si>
    <t>F25004</t>
  </si>
  <si>
    <t>UPGRADE YOUR BI_F250008_01-0</t>
  </si>
  <si>
    <t>F250008</t>
  </si>
  <si>
    <t>UPGRADE YOUR BI_F250009_01-0</t>
  </si>
  <si>
    <t>F250009</t>
  </si>
  <si>
    <t>UPGRADE YOUR BI_F250010_01-0</t>
  </si>
  <si>
    <t>F250010</t>
  </si>
  <si>
    <t>UPGRADE YOUR BI_F250011_01-0</t>
  </si>
  <si>
    <t>F250011</t>
  </si>
  <si>
    <t>UPGRADE YOUR BI_F250012_01-0</t>
  </si>
  <si>
    <t>F250012</t>
  </si>
  <si>
    <t>UPGRADE YOUR BI_F250005_01-0</t>
  </si>
  <si>
    <t>F250005</t>
  </si>
  <si>
    <t>UPGRADE YOUR BI_F25006_01-04</t>
  </si>
  <si>
    <t>F25006</t>
  </si>
  <si>
    <t>UPGRADE YOUR BI_F250007_01-0</t>
  </si>
  <si>
    <t>F250007</t>
  </si>
  <si>
    <t>UPGRADE YOUR BI_F250013_15-0</t>
  </si>
  <si>
    <t>F250013</t>
  </si>
  <si>
    <t>UPGRADE YOUR BI_F250015_15-0</t>
  </si>
  <si>
    <t>F250015</t>
  </si>
  <si>
    <t>UPGRADE YOUR BI_F250014_15-0</t>
  </si>
  <si>
    <t>F250014</t>
  </si>
  <si>
    <t>FACTURES F250005/</t>
  </si>
  <si>
    <t>UPGRADE YOUR BI_CN250007_25-</t>
  </si>
  <si>
    <t>CN250007</t>
  </si>
  <si>
    <t>UPGRADE YOUR BI_CN250008_25-</t>
  </si>
  <si>
    <t>CN250008</t>
  </si>
  <si>
    <t>UPGRADE YOUR BI_CN250009_25-</t>
  </si>
  <si>
    <t>CN250009</t>
  </si>
  <si>
    <t>UPGRADE YOUR BI_CN250010_25-</t>
  </si>
  <si>
    <t>CN250010</t>
  </si>
  <si>
    <t>UPGRADE YOUR BI_CN250011_25-</t>
  </si>
  <si>
    <t>CN250011</t>
  </si>
  <si>
    <t>UPGRADE YOUR BI_CN250001_25-</t>
  </si>
  <si>
    <t>CN250001</t>
  </si>
  <si>
    <t>UPGRADE YOUR BI_CN250004_25-</t>
  </si>
  <si>
    <t>CN250004</t>
  </si>
  <si>
    <t>UPGRADE YOUR BI_CN250002_25-</t>
  </si>
  <si>
    <t>CN250002</t>
  </si>
  <si>
    <t>UPGRADE YOUR BI_CN250003_25-</t>
  </si>
  <si>
    <t>CN250003</t>
  </si>
  <si>
    <t>UPGRADE YOUR BI_CN250005_25-</t>
  </si>
  <si>
    <t>CN250005</t>
  </si>
  <si>
    <t>UPGRADE YOUR BI_CN250006_25-</t>
  </si>
  <si>
    <t>CN250006</t>
  </si>
  <si>
    <t>UPGRADE YOUR BI_F250016_07-0</t>
  </si>
  <si>
    <t>F250016</t>
  </si>
  <si>
    <t>ELEKTRA CATALUNYA XXI SL</t>
  </si>
  <si>
    <t>ELEKTRA CATALUN_83_10-04-202</t>
  </si>
  <si>
    <t>83</t>
  </si>
  <si>
    <t>ELEKTRA CATALUN_2025083_08-0</t>
  </si>
  <si>
    <t>2025083</t>
  </si>
  <si>
    <t>BLADAS ROLDAN, MIGUEL ANGEL</t>
  </si>
  <si>
    <t>BLADAS ROLDAN, _9531717_29-0</t>
  </si>
  <si>
    <t>9531717</t>
  </si>
  <si>
    <t>BLADAS ROLDAN, _9531760_03-0</t>
  </si>
  <si>
    <t>9531760</t>
  </si>
  <si>
    <t>TR COMPONENTES</t>
  </si>
  <si>
    <t>BLADAS ROLDAN, _9531778_11-0</t>
  </si>
  <si>
    <t>9531778</t>
  </si>
  <si>
    <t>MOVIMIENTOS TARJETA JUNIO</t>
  </si>
  <si>
    <t>BLADAS ROLDAN, _9531868_16-0</t>
  </si>
  <si>
    <t>9531868</t>
  </si>
  <si>
    <t>PLEO TECHNOLOGIES AS</t>
  </si>
  <si>
    <t>PLEO TECHNOLOGI_641770_03-06</t>
  </si>
  <si>
    <t>641770</t>
  </si>
  <si>
    <t>PLEO TECHNOLOGI_643996_05-06</t>
  </si>
  <si>
    <t>643996</t>
  </si>
  <si>
    <t>PLEO FINANCIAL SERVICES</t>
  </si>
  <si>
    <t>PLEO TECHNOLOGI_691338_05-07</t>
  </si>
  <si>
    <t>691338</t>
  </si>
  <si>
    <t>PLEO TECHNOLOGI_738560_05-08</t>
  </si>
  <si>
    <t>738560</t>
  </si>
  <si>
    <t>PLEO TECHNOLOGI_786618_05-09</t>
  </si>
  <si>
    <t>786618</t>
  </si>
  <si>
    <t>INDUTEX MULETONES Y ACCESORIOS</t>
  </si>
  <si>
    <t>INDUTEX MULETON_25494_30-06-</t>
  </si>
  <si>
    <t>25494</t>
  </si>
  <si>
    <t>INDUTEX MULETON_5502_02-07-2</t>
  </si>
  <si>
    <t>5502</t>
  </si>
  <si>
    <t>INDUTEX MULETON_25547_17-07-</t>
  </si>
  <si>
    <t>25547</t>
  </si>
  <si>
    <t>INDUTEX MULETON_25568_28-07-</t>
  </si>
  <si>
    <t>25568</t>
  </si>
  <si>
    <t>INDUTEX MULETON_25572_29-07-</t>
  </si>
  <si>
    <t>25572</t>
  </si>
  <si>
    <t>INDUTEX MULETON_25573_29-07-</t>
  </si>
  <si>
    <t>INDUTEX MULETON_25592_05-08-</t>
  </si>
  <si>
    <t>25592</t>
  </si>
  <si>
    <t>INDUTEX MULETON_25666_29-08-</t>
  </si>
  <si>
    <t>25666</t>
  </si>
  <si>
    <t>INDUTEX MULETON_25687_13-09-</t>
  </si>
  <si>
    <t>25687</t>
  </si>
  <si>
    <t>SOLE SUBMINISTRAMENTS INDUSTRI</t>
  </si>
  <si>
    <t>SOLE SUBMINISTR_15592_02-07-</t>
  </si>
  <si>
    <t>15592</t>
  </si>
  <si>
    <t>PLANETA SA</t>
  </si>
  <si>
    <t>FACTURA RECIBIDA 07-08-25</t>
  </si>
  <si>
    <t>1448</t>
  </si>
  <si>
    <t>SUMINISTROS INDUSTRIALES CALSE</t>
  </si>
  <si>
    <t>SUMINISTROS IND_2501722_09-0</t>
  </si>
  <si>
    <t>2501722</t>
  </si>
  <si>
    <t>AMAZON EU SARL</t>
  </si>
  <si>
    <t>AMAZON EU SARL_1AEUI_19-01-2</t>
  </si>
  <si>
    <t>1AEUI</t>
  </si>
  <si>
    <t>AMAZON EU SARL_XAEUI_20-01-2</t>
  </si>
  <si>
    <t>XAEUI</t>
  </si>
  <si>
    <t>Moviments tarjeta BBVA</t>
  </si>
  <si>
    <t>AMAZON</t>
  </si>
  <si>
    <t>AMAZON EU SARL_T2AEUI_26-03-</t>
  </si>
  <si>
    <t>T2AEUI</t>
  </si>
  <si>
    <t>Importe fra recibida 05-11-2</t>
  </si>
  <si>
    <t>4391</t>
  </si>
  <si>
    <t>AMAZON EU SARL_65818_14-04-2</t>
  </si>
  <si>
    <t>65818</t>
  </si>
  <si>
    <t>BUSINESS PRIME</t>
  </si>
  <si>
    <t>AMAZON EU SARL_2YAEUI_14-05-</t>
  </si>
  <si>
    <t>2YAEUI</t>
  </si>
  <si>
    <t>AMAZON EU SARL_BCAEUI_29-05-</t>
  </si>
  <si>
    <t>BCAEUI</t>
  </si>
  <si>
    <t>AMAZON EU SARL_IOAEUI_29-05-</t>
  </si>
  <si>
    <t>IOAEUI</t>
  </si>
  <si>
    <t>AMAZON EU SARL_HBAEUI_03-06-</t>
  </si>
  <si>
    <t>HBAEUI</t>
  </si>
  <si>
    <t>AMAZON EU SARL_TRAEUI_03-06-</t>
  </si>
  <si>
    <t>TRAEUI</t>
  </si>
  <si>
    <t>AMAZON EU SARL_MMAEUI_11-06-</t>
  </si>
  <si>
    <t>MMAEUI</t>
  </si>
  <si>
    <t>AMAZON EU SARL_PAEUI_17-06-2</t>
  </si>
  <si>
    <t>PAEUI</t>
  </si>
  <si>
    <t>MOviments tarjeta BBVA</t>
  </si>
  <si>
    <t>10-06</t>
  </si>
  <si>
    <t>AMAZON EU SARL_RAEUI_13-07-2</t>
  </si>
  <si>
    <t>RAEUI</t>
  </si>
  <si>
    <t>AMAZON EU SARL_ZAEUI_13-07-2</t>
  </si>
  <si>
    <t>ZAEUI</t>
  </si>
  <si>
    <t>AMAZON EU SARL_6ZAEUI_15-07-</t>
  </si>
  <si>
    <t>6ZAEUI</t>
  </si>
  <si>
    <t>GRUES I TRANSPORTS VERGES SL</t>
  </si>
  <si>
    <t>GRUES I TRANSPO_A/67_30-03-2</t>
  </si>
  <si>
    <t>A/67</t>
  </si>
  <si>
    <t>GRUES I TRANSPO_169_30-06-20</t>
  </si>
  <si>
    <t>169</t>
  </si>
  <si>
    <t>GRUES I TRANSPO_A/214_30-07-</t>
  </si>
  <si>
    <t>A/214</t>
  </si>
  <si>
    <t>GRUES I TRANSPO_214_30-07-20</t>
  </si>
  <si>
    <t>214</t>
  </si>
  <si>
    <t>AUBERT SUMINISTROS INDUSTRIALE</t>
  </si>
  <si>
    <t>AUBERT SUMINIST_42502403_15-</t>
  </si>
  <si>
    <t>42502403</t>
  </si>
  <si>
    <t>AUBERT SUMINIST_501014_21-05</t>
  </si>
  <si>
    <t>501014</t>
  </si>
  <si>
    <t>AUBERT SUMINIST_2501704_01-0</t>
  </si>
  <si>
    <t>2501704</t>
  </si>
  <si>
    <t>SOLRED, S.A.</t>
  </si>
  <si>
    <t>Importe fra recibida 30-11-2</t>
  </si>
  <si>
    <t>7101</t>
  </si>
  <si>
    <t>Importe fra recibida 31-12-2</t>
  </si>
  <si>
    <t>3791</t>
  </si>
  <si>
    <t>Importe fra recibida 31-03-2</t>
  </si>
  <si>
    <t>6873</t>
  </si>
  <si>
    <t>Importe fra recibida 31-01-2</t>
  </si>
  <si>
    <t>2247</t>
  </si>
  <si>
    <t>Importe fra recibida 28-02-2</t>
  </si>
  <si>
    <t>9701</t>
  </si>
  <si>
    <t>6691</t>
  </si>
  <si>
    <t>SOLRED, S.A._CX/25/00358866_</t>
  </si>
  <si>
    <t>5/00358866</t>
  </si>
  <si>
    <t>SOLRED, S.A._CX/25/00450915_</t>
  </si>
  <si>
    <t>5/00450915</t>
  </si>
  <si>
    <t>SOLRED, S.A._CX/25/00546160_</t>
  </si>
  <si>
    <t>5/00546160</t>
  </si>
  <si>
    <t>SOLRED, S.A._CX/25/00642283_</t>
  </si>
  <si>
    <t>5/00642283</t>
  </si>
  <si>
    <t>PREVENGRAF, S.L.</t>
  </si>
  <si>
    <t>PREVENGRAF, S.L_185023_31-01</t>
  </si>
  <si>
    <t>185023</t>
  </si>
  <si>
    <t>PREVENGRAF, S.L_185841_28-02</t>
  </si>
  <si>
    <t>185841</t>
  </si>
  <si>
    <t>PREVENGRAF, S.L_186757_31-03</t>
  </si>
  <si>
    <t>186757</t>
  </si>
  <si>
    <t>PREVENGRAF, S.L_187625_30-04</t>
  </si>
  <si>
    <t>187625</t>
  </si>
  <si>
    <t>PREVENGRAF, S.L_188444_31-05</t>
  </si>
  <si>
    <t>188444</t>
  </si>
  <si>
    <t>PREVENGRAF, S.L_189372_30-06</t>
  </si>
  <si>
    <t>189372</t>
  </si>
  <si>
    <t>PREVENGRAF, S.L_190244_31-07</t>
  </si>
  <si>
    <t>190244</t>
  </si>
  <si>
    <t>PREVENGRAF, S.L_191019_31-08</t>
  </si>
  <si>
    <t>191019</t>
  </si>
  <si>
    <t>REGISTRO MERCANTIL BARCELONA</t>
  </si>
  <si>
    <t>33771</t>
  </si>
  <si>
    <t>REGISTRO MERCAN_2025/4503541</t>
  </si>
  <si>
    <t>5/45035411</t>
  </si>
  <si>
    <t>REGISTRO MERCAN_2025/4503539</t>
  </si>
  <si>
    <t>5/45035395</t>
  </si>
  <si>
    <t>REGISTRO MERCAN_2025/4503911</t>
  </si>
  <si>
    <t>5/45039116</t>
  </si>
  <si>
    <t>REGISTRO MERCAN_025/10991598</t>
  </si>
  <si>
    <t>1099159877</t>
  </si>
  <si>
    <t>159877</t>
  </si>
  <si>
    <t>BOLETIN OFIC.RGTRO.MERCANTIL</t>
  </si>
  <si>
    <t>BOLETIN OFIC.RG_B/45532550_0</t>
  </si>
  <si>
    <t>B/45532550</t>
  </si>
  <si>
    <t>BOLETIN OFIC.RG_B/45529453_0</t>
  </si>
  <si>
    <t>B/45529453</t>
  </si>
  <si>
    <t>SALVADOR MEMBRILLA, FRANCISCA</t>
  </si>
  <si>
    <t>1</t>
  </si>
  <si>
    <t>ALQUILER MES EN C</t>
  </si>
  <si>
    <t>2</t>
  </si>
  <si>
    <t>3</t>
  </si>
  <si>
    <t>4</t>
  </si>
  <si>
    <t>5</t>
  </si>
  <si>
    <t>6</t>
  </si>
  <si>
    <t>SALVADOR MEMBRI_7_01-07-2025</t>
  </si>
  <si>
    <t>7</t>
  </si>
  <si>
    <t>SALVADOR MEMBRI_8_01-08-2025</t>
  </si>
  <si>
    <t>8</t>
  </si>
  <si>
    <t>SALVADOR MEMBRI_9_01-09-2025</t>
  </si>
  <si>
    <t>9</t>
  </si>
  <si>
    <t>BANCO DE SABADELL, S.A.</t>
  </si>
  <si>
    <t>Importe fra recibida 27-12-2</t>
  </si>
  <si>
    <t>1552</t>
  </si>
  <si>
    <t>Importe fra recibida 24-12-2</t>
  </si>
  <si>
    <t>9481</t>
  </si>
  <si>
    <t>Importe fra recibida 22-11-2</t>
  </si>
  <si>
    <t>2821</t>
  </si>
  <si>
    <t>Importe fra recibida 14-11-2</t>
  </si>
  <si>
    <t>9798</t>
  </si>
  <si>
    <t>GASTOS REMESA DÉBIT.DIRECT.S</t>
  </si>
  <si>
    <t>7486</t>
  </si>
  <si>
    <t>20816</t>
  </si>
  <si>
    <t>2544</t>
  </si>
  <si>
    <t>6900</t>
  </si>
  <si>
    <t>8438</t>
  </si>
  <si>
    <t>30152</t>
  </si>
  <si>
    <t>30153</t>
  </si>
  <si>
    <t>GASTOS IMPAG.DÉBITOS DIR.SEP</t>
  </si>
  <si>
    <t>5115</t>
  </si>
  <si>
    <t>5114</t>
  </si>
  <si>
    <t>7546</t>
  </si>
  <si>
    <t>5699</t>
  </si>
  <si>
    <t>5317</t>
  </si>
  <si>
    <t>2410</t>
  </si>
  <si>
    <t>5985</t>
  </si>
  <si>
    <t>9397</t>
  </si>
  <si>
    <t>9396</t>
  </si>
  <si>
    <t>4098</t>
  </si>
  <si>
    <t>7016</t>
  </si>
  <si>
    <t>9666</t>
  </si>
  <si>
    <t>5389</t>
  </si>
  <si>
    <t>8325</t>
  </si>
  <si>
    <t>1373</t>
  </si>
  <si>
    <t>1374</t>
  </si>
  <si>
    <t>Importe fra recibida 10-02-2</t>
  </si>
  <si>
    <t>1556</t>
  </si>
  <si>
    <t>1557</t>
  </si>
  <si>
    <t>2959</t>
  </si>
  <si>
    <t>Importe fra recibida 13-02-2</t>
  </si>
  <si>
    <t>6112</t>
  </si>
  <si>
    <t>8613</t>
  </si>
  <si>
    <t>Importe fra recibida 18-02-2</t>
  </si>
  <si>
    <t>60119</t>
  </si>
  <si>
    <t>Importe fra recibida 21-02-2</t>
  </si>
  <si>
    <t>4419</t>
  </si>
  <si>
    <t>Importe fra recibida 24-02-2</t>
  </si>
  <si>
    <t>1292</t>
  </si>
  <si>
    <t>Importe fra recibida 07-02-2</t>
  </si>
  <si>
    <t>3319</t>
  </si>
  <si>
    <t>6088</t>
  </si>
  <si>
    <t>50817</t>
  </si>
  <si>
    <t>9435</t>
  </si>
  <si>
    <t>9557</t>
  </si>
  <si>
    <t>4859</t>
  </si>
  <si>
    <t>2791</t>
  </si>
  <si>
    <t>6175</t>
  </si>
  <si>
    <t>8476</t>
  </si>
  <si>
    <t>9515</t>
  </si>
  <si>
    <t>40195</t>
  </si>
  <si>
    <t>4380</t>
  </si>
  <si>
    <t>6392</t>
  </si>
  <si>
    <t>8347</t>
  </si>
  <si>
    <t>2076</t>
  </si>
  <si>
    <t>6787</t>
  </si>
  <si>
    <t>3228</t>
  </si>
  <si>
    <t>50285</t>
  </si>
  <si>
    <t>3308</t>
  </si>
  <si>
    <t>8643</t>
  </si>
  <si>
    <t>2785</t>
  </si>
  <si>
    <t>4483</t>
  </si>
  <si>
    <t>8193</t>
  </si>
  <si>
    <t>65470</t>
  </si>
  <si>
    <t>74689</t>
  </si>
  <si>
    <t>78427</t>
  </si>
  <si>
    <t>82273</t>
  </si>
  <si>
    <t>69746</t>
  </si>
  <si>
    <t>8620</t>
  </si>
  <si>
    <t>1182</t>
  </si>
  <si>
    <t>3933</t>
  </si>
  <si>
    <t>7285</t>
  </si>
  <si>
    <t>1609</t>
  </si>
  <si>
    <t>3440</t>
  </si>
  <si>
    <t>9439</t>
  </si>
  <si>
    <t>7387</t>
  </si>
  <si>
    <t>6181</t>
  </si>
  <si>
    <t>9471</t>
  </si>
  <si>
    <t>1396</t>
  </si>
  <si>
    <t>4431</t>
  </si>
  <si>
    <t>6881</t>
  </si>
  <si>
    <t>6187</t>
  </si>
  <si>
    <t>8520</t>
  </si>
  <si>
    <t>2882</t>
  </si>
  <si>
    <t>8154</t>
  </si>
  <si>
    <t>9861</t>
  </si>
  <si>
    <t>1664</t>
  </si>
  <si>
    <t>1088</t>
  </si>
  <si>
    <t>4931</t>
  </si>
  <si>
    <t>9249</t>
  </si>
  <si>
    <t>2252</t>
  </si>
  <si>
    <t>5005</t>
  </si>
  <si>
    <t>7532</t>
  </si>
  <si>
    <t>BANCO DE SABADE_100011161122</t>
  </si>
  <si>
    <t>0011161122</t>
  </si>
  <si>
    <t>BANCO DE SABADE_100011167549</t>
  </si>
  <si>
    <t>0011167549</t>
  </si>
  <si>
    <t>BANCO DE SABADE_100011171000</t>
  </si>
  <si>
    <t>0011171000</t>
  </si>
  <si>
    <t>BANCO DE SABADE_000004108344</t>
  </si>
  <si>
    <t>0004108344</t>
  </si>
  <si>
    <t>BANCO DE SABADE_000004109039</t>
  </si>
  <si>
    <t>0004109039</t>
  </si>
  <si>
    <t>BANCO DE SABADE_100011175422</t>
  </si>
  <si>
    <t>0011175422</t>
  </si>
  <si>
    <t>BANCO DE SABADE_100011179980</t>
  </si>
  <si>
    <t>0011179980</t>
  </si>
  <si>
    <t>BANCO DE SABADE_100011183479</t>
  </si>
  <si>
    <t>0011183479</t>
  </si>
  <si>
    <t>BANCO DE SABADE_100011185670</t>
  </si>
  <si>
    <t>0011185670</t>
  </si>
  <si>
    <t>BANCO DE SABADE_100011189192</t>
  </si>
  <si>
    <t>0011189192</t>
  </si>
  <si>
    <t>BANCO DE SABADE_100011192356</t>
  </si>
  <si>
    <t>0011192356</t>
  </si>
  <si>
    <t>BANCO DE SABADE_302307_01-08</t>
  </si>
  <si>
    <t>302307</t>
  </si>
  <si>
    <t>COMISIONES DE SERVICIO INFOR</t>
  </si>
  <si>
    <t>BANCO DE SABADE_100011196974</t>
  </si>
  <si>
    <t>0011196974</t>
  </si>
  <si>
    <t>BANCO DE SABADE_100011202129</t>
  </si>
  <si>
    <t>0011202129</t>
  </si>
  <si>
    <t>BANCO DE SABADE_100011205878</t>
  </si>
  <si>
    <t>0011205878</t>
  </si>
  <si>
    <t>BANCO DE SABADE_100011209438</t>
  </si>
  <si>
    <t>0011209438</t>
  </si>
  <si>
    <t>BANCO DE SABADE_000004118587</t>
  </si>
  <si>
    <t>0004118587</t>
  </si>
  <si>
    <t>BANCO DE SABADE_000004119290</t>
  </si>
  <si>
    <t>0004119290</t>
  </si>
  <si>
    <t>BANCO DE SABADE_100011215502</t>
  </si>
  <si>
    <t>0011215502</t>
  </si>
  <si>
    <t>BANCO DE SABADE_100011219558</t>
  </si>
  <si>
    <t>0011219558</t>
  </si>
  <si>
    <t>BANCO DE SABADE_100011222348</t>
  </si>
  <si>
    <t>0011222348</t>
  </si>
  <si>
    <t>BANCO DE SABADE_100011224880</t>
  </si>
  <si>
    <t>0011224880</t>
  </si>
  <si>
    <t>BANCO DE SABADE_100011227119</t>
  </si>
  <si>
    <t>0011227119</t>
  </si>
  <si>
    <t>BANCO DE SABADE_000004124438</t>
  </si>
  <si>
    <t>0004124438</t>
  </si>
  <si>
    <t>BANCO DE SABADE_100011228599</t>
  </si>
  <si>
    <t>0011228599</t>
  </si>
  <si>
    <t>BANCO DE SABADE_100011231925</t>
  </si>
  <si>
    <t>0011231925</t>
  </si>
  <si>
    <t>BANCO DE SABADE_100011235779</t>
  </si>
  <si>
    <t>0011235779</t>
  </si>
  <si>
    <t>BANCO DE SABADE_100011239315</t>
  </si>
  <si>
    <t>0011239315</t>
  </si>
  <si>
    <t>BANCO DE SABADE_100011243534</t>
  </si>
  <si>
    <t>0011243534</t>
  </si>
  <si>
    <t>BANCO DE SABADE_100011246508</t>
  </si>
  <si>
    <t>0011246508</t>
  </si>
  <si>
    <t>BANCO DE SABADE_100011247940</t>
  </si>
  <si>
    <t>0011247940</t>
  </si>
  <si>
    <t>BANCO DE SABADE_100011249507</t>
  </si>
  <si>
    <t>0011249507</t>
  </si>
  <si>
    <t>BANCO DE SABADE_100011252017</t>
  </si>
  <si>
    <t>0011252017</t>
  </si>
  <si>
    <t>BANCO DE SABADE_000004131308</t>
  </si>
  <si>
    <t>0004131308</t>
  </si>
  <si>
    <t>BANCO DE SABADE_100011254985</t>
  </si>
  <si>
    <t>0011254985</t>
  </si>
  <si>
    <t>BANCO DE SABADE_100011259823</t>
  </si>
  <si>
    <t>0011259823</t>
  </si>
  <si>
    <t>BANCO DE SABADE_000004133665</t>
  </si>
  <si>
    <t>0004133665</t>
  </si>
  <si>
    <t>BANCO DE SABADE_100011262307</t>
  </si>
  <si>
    <t>0011262307</t>
  </si>
  <si>
    <t>BANCO DE SABADE_100011263974</t>
  </si>
  <si>
    <t>0011263974</t>
  </si>
  <si>
    <t>BANCO DE SABADE_000004135001</t>
  </si>
  <si>
    <t>0004135001</t>
  </si>
  <si>
    <t>BANCO DE SABADE_100011267413</t>
  </si>
  <si>
    <t>0011267413</t>
  </si>
  <si>
    <t>ARGOFILL, S.L.</t>
  </si>
  <si>
    <t>PAGO TRANSFERENCIAS</t>
  </si>
  <si>
    <t>APPLUS ITEUVE TECHNOLOGY, S.L.</t>
  </si>
  <si>
    <t>APPLUS ITEUVE T_1140623_09-0</t>
  </si>
  <si>
    <t>1140623</t>
  </si>
  <si>
    <t>BRICOLAJE BRICOMAN, S.L.U.</t>
  </si>
  <si>
    <t>BRICOLAJE BRICO_830163_13-01</t>
  </si>
  <si>
    <t>830163</t>
  </si>
  <si>
    <t>BRICOLAJE BRICO_605898_27-01</t>
  </si>
  <si>
    <t>605898</t>
  </si>
  <si>
    <t>BRICOLAJE BRICO_939512_02-08</t>
  </si>
  <si>
    <t>939512</t>
  </si>
  <si>
    <t>BRICOLAJE BRICO_000998_10-09</t>
  </si>
  <si>
    <t>000998</t>
  </si>
  <si>
    <t>BANCO BILBAO VIZCAYA ARGENTARI</t>
  </si>
  <si>
    <t>BANCO BILBAO VI_50797A002992</t>
  </si>
  <si>
    <t>7A00299218</t>
  </si>
  <si>
    <t>BANCO BILBAO VI_50430A000229</t>
  </si>
  <si>
    <t>0A00022916</t>
  </si>
  <si>
    <t>MEDIA MARKT TERRASSA, S.A.</t>
  </si>
  <si>
    <t>MEDIA MARKT</t>
  </si>
  <si>
    <t>08-04-25</t>
  </si>
  <si>
    <t>MICROSOFT IRELAND OPERATIONS L</t>
  </si>
  <si>
    <t>ATHLON CAR LEASE, S.A.</t>
  </si>
  <si>
    <t>ATHLON CAR LEAS_70576340_01-</t>
  </si>
  <si>
    <t>70576340</t>
  </si>
  <si>
    <t>ADEUDO RECIBO ESP PRD ATHLON</t>
  </si>
  <si>
    <t>CASTELLANOS MARIN, JOSE R.(MOT</t>
  </si>
  <si>
    <t>CASTELLANOS MAR_6889_29-02-2</t>
  </si>
  <si>
    <t>6889</t>
  </si>
  <si>
    <t>CASTELLANOS MAR_7386_20-02-2</t>
  </si>
  <si>
    <t>7386</t>
  </si>
  <si>
    <t>CASTELLANOS MAR_7387_20-02-2</t>
  </si>
  <si>
    <t>ANULA FACTURA DUPLICADA</t>
  </si>
  <si>
    <t>5328</t>
  </si>
  <si>
    <t>CASTELLANOS MAR_7617_08-07-2</t>
  </si>
  <si>
    <t>7617</t>
  </si>
  <si>
    <t>CASTELLANOS MAR_7682_19-09-2</t>
  </si>
  <si>
    <t>7682</t>
  </si>
  <si>
    <t>PRIETO SANTOS, MONTSERRAT (NOT</t>
  </si>
  <si>
    <t>Importe fra recibida 07-08-2</t>
  </si>
  <si>
    <t>867</t>
  </si>
  <si>
    <t>PRIETO SANTOS, _910_08-08-20</t>
  </si>
  <si>
    <t>910</t>
  </si>
  <si>
    <t>GAS OILS ROVIRA, SL</t>
  </si>
  <si>
    <t>GAS OILS ROVIRA_1921_31-01-2</t>
  </si>
  <si>
    <t>1921</t>
  </si>
  <si>
    <t>GAS OILS ROVIRA_1163_31-01-2</t>
  </si>
  <si>
    <t>1163</t>
  </si>
  <si>
    <t>GAS OILS ROVIRA_5815_28-02-2</t>
  </si>
  <si>
    <t>5815</t>
  </si>
  <si>
    <t>GAS OILS ROVIRA_5042_28-02-2</t>
  </si>
  <si>
    <t>5042</t>
  </si>
  <si>
    <t>GAS OILS ROVIRA_4446_28-02-2</t>
  </si>
  <si>
    <t>4446</t>
  </si>
  <si>
    <t>GAS OILS ROVIRA_9755_31-03-2</t>
  </si>
  <si>
    <t>9755</t>
  </si>
  <si>
    <t>GAS OILS ROVIRA_8974_31-03-2</t>
  </si>
  <si>
    <t>8974</t>
  </si>
  <si>
    <t>GAS OILS ROVIRA_12918_30-04-</t>
  </si>
  <si>
    <t>12918</t>
  </si>
  <si>
    <t>GAS OILS ROVIRA_16746_31-05-</t>
  </si>
  <si>
    <t>16746</t>
  </si>
  <si>
    <t>GAS OILS ROVIRA_17485_31-05-</t>
  </si>
  <si>
    <t>17485</t>
  </si>
  <si>
    <t>GAS OILS ROVIRA_20697_30-06-</t>
  </si>
  <si>
    <t>20697</t>
  </si>
  <si>
    <t>GAS OILS ROVIRA_21452_30-06-</t>
  </si>
  <si>
    <t>21452</t>
  </si>
  <si>
    <t>GAS OILS ROVIRA_24676_31-07-</t>
  </si>
  <si>
    <t>24676</t>
  </si>
  <si>
    <t>GAS OILS ROVIRA_25467_31-07-</t>
  </si>
  <si>
    <t>25467</t>
  </si>
  <si>
    <t>GAS OILS ROVIRA_29239_31-08-</t>
  </si>
  <si>
    <t>29239</t>
  </si>
  <si>
    <t>GAS OILS ROVIRA_28585_31-08-</t>
  </si>
  <si>
    <t>28585</t>
  </si>
  <si>
    <t>SERGALEX SL</t>
  </si>
  <si>
    <t>SERGALEX SL_17_01-01-2025</t>
  </si>
  <si>
    <t>17</t>
  </si>
  <si>
    <t>SERGALEX SL_57_01-02-2025</t>
  </si>
  <si>
    <t>57</t>
  </si>
  <si>
    <t>TRANSFERENCIA A INMOEUROPEAS</t>
  </si>
  <si>
    <t>SERGALEX SL_98_01-03-2025</t>
  </si>
  <si>
    <t>98</t>
  </si>
  <si>
    <t>TRANSFERENCIA A Inmoeuropeas</t>
  </si>
  <si>
    <t>Importe fra recibida</t>
  </si>
  <si>
    <t>138</t>
  </si>
  <si>
    <t>DEVOLUCIÓN TRANSFER</t>
  </si>
  <si>
    <t>HOLDED TECHNOLOGIES SL</t>
  </si>
  <si>
    <t>HOLDED TECHNOLO_2254_02-01-2</t>
  </si>
  <si>
    <t>2254</t>
  </si>
  <si>
    <t>HOLDED TECHNOLO_9647_22-11-2</t>
  </si>
  <si>
    <t>9647</t>
  </si>
  <si>
    <t>HOLDED TECHNOLO_23843_02-01-</t>
  </si>
  <si>
    <t>23843</t>
  </si>
  <si>
    <t>TRASPASO SALDO CUENTA</t>
  </si>
  <si>
    <t>HOLDED TECHNOLO_25521_22-01-</t>
  </si>
  <si>
    <t>25521</t>
  </si>
  <si>
    <t>HOLDED TECHNOLO_1000_22-03-2</t>
  </si>
  <si>
    <t>1000</t>
  </si>
  <si>
    <t>Importe fra recibida 22-02-2</t>
  </si>
  <si>
    <t>2806</t>
  </si>
  <si>
    <t>HOLDED TECHNOLO_40671_22-04-</t>
  </si>
  <si>
    <t>40671</t>
  </si>
  <si>
    <t>HOLDED TECHNOLO_180328_22-05</t>
  </si>
  <si>
    <t>180328</t>
  </si>
  <si>
    <t>HOLDED TECHNOLO_188262_28-05</t>
  </si>
  <si>
    <t>188262</t>
  </si>
  <si>
    <t>HOLDED TECHNOLO_221057_22-06</t>
  </si>
  <si>
    <t>221057</t>
  </si>
  <si>
    <t>HOLDED TECHNOLO_80679_03-08-</t>
  </si>
  <si>
    <t>80679</t>
  </si>
  <si>
    <t>HOLDED TECHNOLO_306218_22-08</t>
  </si>
  <si>
    <t>306218</t>
  </si>
  <si>
    <t>PULGARIN SUAREZ JUAN MARIA</t>
  </si>
  <si>
    <t>PULGARIN SUAREZ_006-2025_04-</t>
  </si>
  <si>
    <t>006-2025</t>
  </si>
  <si>
    <t>PULGARIN SUAREZ_002-2025_04-</t>
  </si>
  <si>
    <t>002-2025</t>
  </si>
  <si>
    <t>PULGARIN SUAREZ_005-2025_06-</t>
  </si>
  <si>
    <t>005-2025</t>
  </si>
  <si>
    <t>Parte factura num</t>
  </si>
  <si>
    <t>COBRO DE CLIENTES.</t>
  </si>
  <si>
    <t>LEASYS SPA</t>
  </si>
  <si>
    <t>LEASYS SPA_00202540045517_27</t>
  </si>
  <si>
    <t>2540045517</t>
  </si>
  <si>
    <t>LEASYS SPA_59619_03-04-2025</t>
  </si>
  <si>
    <t>59619</t>
  </si>
  <si>
    <t>LEASYS SPA_00202540075252_05</t>
  </si>
  <si>
    <t>2540075252</t>
  </si>
  <si>
    <t>LEASYS SPA_00202540091489_03</t>
  </si>
  <si>
    <t>2540091489</t>
  </si>
  <si>
    <t>LEASYS SPA_00202540107546_03</t>
  </si>
  <si>
    <t>2540107546</t>
  </si>
  <si>
    <t>LEASYS SPA_00202540131624_05</t>
  </si>
  <si>
    <t>2540131624</t>
  </si>
  <si>
    <t>LEASYS SPA_00202540151452_03</t>
  </si>
  <si>
    <t>2540151452</t>
  </si>
  <si>
    <t>BAR RESTAURANT MILENNIUM SL</t>
  </si>
  <si>
    <t>BAR RESTAURANT _28/25_05-05-</t>
  </si>
  <si>
    <t>28/25</t>
  </si>
  <si>
    <t>BAR RESTAURANT _34/25_23-05-</t>
  </si>
  <si>
    <t>34/25</t>
  </si>
  <si>
    <t>BAR RESTAURANT _43/25_25-06-</t>
  </si>
  <si>
    <t>43/25</t>
  </si>
  <si>
    <t>BAR RESTAURANT _52/25_31-07-</t>
  </si>
  <si>
    <t>52/25</t>
  </si>
  <si>
    <t>ARVAL SERVICE LEASE SA</t>
  </si>
  <si>
    <t>ARVAL SERVICE L_4654_30-04-2</t>
  </si>
  <si>
    <t>4654</t>
  </si>
  <si>
    <t>ARVAL SERVICE L_6566_01-05-2</t>
  </si>
  <si>
    <t>6566</t>
  </si>
  <si>
    <t>ARVAL SERVICE L_28880_01-06-</t>
  </si>
  <si>
    <t>28880</t>
  </si>
  <si>
    <t>ARVAL SERVICE L_1423_01-07-2</t>
  </si>
  <si>
    <t>1423</t>
  </si>
  <si>
    <t>ARVAL SERVICE L_88062_01-09-</t>
  </si>
  <si>
    <t>88062</t>
  </si>
  <si>
    <t>ANTAL INTERNATIONAL SPAIN SL</t>
  </si>
  <si>
    <t>ANTAL INTERNATI_F230/2025_12</t>
  </si>
  <si>
    <t>F230/2025</t>
  </si>
  <si>
    <t>ANTAL INTERNATI_ 08-04-25</t>
  </si>
  <si>
    <t>F180/2025</t>
  </si>
  <si>
    <t>F181/2025</t>
  </si>
  <si>
    <t>ANTAL INTERNATI_F285/2025_01</t>
  </si>
  <si>
    <t>F285/2025</t>
  </si>
  <si>
    <t>ANTAL INTERNATI_F339/2025_02</t>
  </si>
  <si>
    <t>F339/2025</t>
  </si>
  <si>
    <t>VACACIONES EDREAMS SL</t>
  </si>
  <si>
    <t>VACACIONES EDRE_SAL7-0067197</t>
  </si>
  <si>
    <t>-006719798</t>
  </si>
  <si>
    <t>VACACIONES EDRE_SAL7-0067196</t>
  </si>
  <si>
    <t>-006719649</t>
  </si>
  <si>
    <t>edreams</t>
  </si>
  <si>
    <t>12-06</t>
  </si>
  <si>
    <t>EDREAMS</t>
  </si>
  <si>
    <t>COMPRA TARJ. 5540XXXXXXXX401</t>
  </si>
  <si>
    <t>LOGISTICA LLOBREGAT SL</t>
  </si>
  <si>
    <t>LOGISTICA LLOBR_477_30-06-20</t>
  </si>
  <si>
    <t>477</t>
  </si>
  <si>
    <t>LOGISTICA LLOBR_5000566_31-0</t>
  </si>
  <si>
    <t>5000566</t>
  </si>
  <si>
    <t>LOGISTICA LLOBR_645_31-08-20</t>
  </si>
  <si>
    <t>645</t>
  </si>
  <si>
    <t>ADOBE SYSTEMS SOFTWARE IRELAND</t>
  </si>
  <si>
    <t>ADOBE SYSTEMS S_E20250084545</t>
  </si>
  <si>
    <t>5008454506</t>
  </si>
  <si>
    <t>ADOBE</t>
  </si>
  <si>
    <t>HOSTINGER INTERNATIONAL LTD</t>
  </si>
  <si>
    <t>HOSTINGER INTER_7293_15-06-2</t>
  </si>
  <si>
    <t>7293</t>
  </si>
  <si>
    <t>HOSTINGER INTER_6050_16-06-2</t>
  </si>
  <si>
    <t>6050</t>
  </si>
  <si>
    <t>HOSTINGER INTER_6184_16-06-2</t>
  </si>
  <si>
    <t>6184</t>
  </si>
  <si>
    <t>HOSTINGER</t>
  </si>
  <si>
    <t>M.C. TRINTER SA</t>
  </si>
  <si>
    <t>M.C. TRINTER SA_530923_01-07</t>
  </si>
  <si>
    <t>530923</t>
  </si>
  <si>
    <t>M.C. TRINTER SA_530925_01-07</t>
  </si>
  <si>
    <t>530925</t>
  </si>
  <si>
    <t>530924</t>
  </si>
  <si>
    <t>PAGO FRA. 1/53092 MC TRAINER</t>
  </si>
  <si>
    <t>M.C. TRINTER SA_533980_28-07</t>
  </si>
  <si>
    <t>533980</t>
  </si>
  <si>
    <t>533981</t>
  </si>
  <si>
    <t>M.C. TRINTER SA_534518_01-08</t>
  </si>
  <si>
    <t>534518</t>
  </si>
  <si>
    <t>534519</t>
  </si>
  <si>
    <t>M.C. TRINTER SA_536392_21-08</t>
  </si>
  <si>
    <t>536392</t>
  </si>
  <si>
    <t>536393</t>
  </si>
  <si>
    <t>M.C. TRINTER SA_538378_18-09</t>
  </si>
  <si>
    <t>538378</t>
  </si>
  <si>
    <t>538379</t>
  </si>
  <si>
    <t>FEDEX EXPRESS SPAIN SLU</t>
  </si>
  <si>
    <t>FEDEX EXPRESS S_4878 19-06-2</t>
  </si>
  <si>
    <t>4878</t>
  </si>
  <si>
    <t>FEDEX EXPRESS S_0182 16-06-2</t>
  </si>
  <si>
    <t>74057</t>
  </si>
  <si>
    <t>Importe fra recibida 27-06-2</t>
  </si>
  <si>
    <t>9358</t>
  </si>
  <si>
    <t>Importe fra recibida 16-06-2</t>
  </si>
  <si>
    <t>4057</t>
  </si>
  <si>
    <t>Importe fra recibida 19-06-2</t>
  </si>
  <si>
    <t>FEDEX EXPRESS S_7899_07-07-2</t>
  </si>
  <si>
    <t>7899</t>
  </si>
  <si>
    <t>fedex proforma</t>
  </si>
  <si>
    <t>8895</t>
  </si>
  <si>
    <t>ROSSELLO MESTRE, ANTONIO</t>
  </si>
  <si>
    <t>ANTONIOROSSELLO 11-04-25</t>
  </si>
  <si>
    <t>250960</t>
  </si>
  <si>
    <t>250963</t>
  </si>
  <si>
    <t>ROSSELLO MESTRE_250259_01-07</t>
  </si>
  <si>
    <t>250259</t>
  </si>
  <si>
    <t>ROSSELLO MESTRE_250285_01-07</t>
  </si>
  <si>
    <t>250285</t>
  </si>
  <si>
    <t>ROSSELLO MESTRE_251222_01-07</t>
  </si>
  <si>
    <t>251222</t>
  </si>
  <si>
    <t>250961</t>
  </si>
  <si>
    <t>ANTONIOROSSELLO 29-05-25</t>
  </si>
  <si>
    <t>251446</t>
  </si>
  <si>
    <t>FMD RASMACOR SL (AMAZON)</t>
  </si>
  <si>
    <t>FMD RASMACOR SL_7K1TI_15-07-</t>
  </si>
  <si>
    <t>7K1TI</t>
  </si>
  <si>
    <t>CITY SELF STORAGE SL</t>
  </si>
  <si>
    <t>CITY SELF STORA_6246_12-08-2</t>
  </si>
  <si>
    <t>6246</t>
  </si>
  <si>
    <t>CITY SELF STORA_6255_12-08-2</t>
  </si>
  <si>
    <t>6255</t>
  </si>
  <si>
    <t>CITY SELF STORA_7026_19-08-2</t>
  </si>
  <si>
    <t>7026</t>
  </si>
  <si>
    <t>CITY SELF STORA_7066_26-08-2</t>
  </si>
  <si>
    <t>7066</t>
  </si>
  <si>
    <t>CITY SELF STORA_6916_01-09-2</t>
  </si>
  <si>
    <t>6916</t>
  </si>
  <si>
    <t>ADEUDO RECIBO CITY SELF STOR</t>
  </si>
  <si>
    <t>F4F EVENTS SL</t>
  </si>
  <si>
    <t>F4F EVENTS SL_SCS25_058_15-0</t>
  </si>
  <si>
    <t>SCS25_058</t>
  </si>
  <si>
    <t>fra1405</t>
  </si>
  <si>
    <t>fra1448</t>
  </si>
  <si>
    <t>fra1449</t>
  </si>
  <si>
    <t>fra1454</t>
  </si>
  <si>
    <t>CÀRREC PER EFECTES RETORNATS</t>
  </si>
  <si>
    <t>GIRBAU, S.A._F250061_16-01-2</t>
  </si>
  <si>
    <t>F250061</t>
  </si>
  <si>
    <t>IMPAGADO DÉBITOS DIRECTOS SE</t>
  </si>
  <si>
    <t>GIRBAU, S.A._F250097_27-01-2</t>
  </si>
  <si>
    <t>F250097</t>
  </si>
  <si>
    <t>GIRBAU, S.A._F250176_10-02-2</t>
  </si>
  <si>
    <t>F250176</t>
  </si>
  <si>
    <t>SERTEC SLU</t>
  </si>
  <si>
    <t>24001021</t>
  </si>
  <si>
    <t>RECOBRAMENT DEUTE VENÇUT PER</t>
  </si>
  <si>
    <t>CONF:ANTICIPO FRA.</t>
  </si>
  <si>
    <t>GIRBAU, S.A._F250352_21-03-2</t>
  </si>
  <si>
    <t>F250352</t>
  </si>
  <si>
    <t>GIRBAU, S.A._CN250012_25-03-</t>
  </si>
  <si>
    <t>CN250012</t>
  </si>
  <si>
    <t>GIRBAU, S.A._F250366_25-03-2</t>
  </si>
  <si>
    <t>F250366</t>
  </si>
  <si>
    <t>GIRBAU, S.A._F250458_22-04-2</t>
  </si>
  <si>
    <t>F250458</t>
  </si>
  <si>
    <t>GIRBAU, S.A._F250459_22-04-2</t>
  </si>
  <si>
    <t>F250459</t>
  </si>
  <si>
    <t>GIRBAU, S.A._F250460_22-04-2</t>
  </si>
  <si>
    <t>F250460</t>
  </si>
  <si>
    <t>GIRBAU, S.A._F250461_22-04-2</t>
  </si>
  <si>
    <t>F250461</t>
  </si>
  <si>
    <t>GIRBAU, S.A._F250462_22-04-2</t>
  </si>
  <si>
    <t>F250462</t>
  </si>
  <si>
    <t>BUGADERIA PARDALS, S.L.</t>
  </si>
  <si>
    <t>BUGADERIA PARDA_F250036_13-0</t>
  </si>
  <si>
    <t>F250036</t>
  </si>
  <si>
    <t>REMESA DÉBITOS DIRECTOS SEPA</t>
  </si>
  <si>
    <t>BUGADERIA PARDA_F250052_16-0</t>
  </si>
  <si>
    <t>F250052</t>
  </si>
  <si>
    <t>BUGADERIA PARDA_F250420_09-0</t>
  </si>
  <si>
    <t>F250420</t>
  </si>
  <si>
    <t>BUGADERIA PARDA_F250464_23-0</t>
  </si>
  <si>
    <t>F250464</t>
  </si>
  <si>
    <t>BUGADERIA PARDA_F250622_12-0</t>
  </si>
  <si>
    <t>F250622</t>
  </si>
  <si>
    <t>BUGADERIA PARDA_F250691_07-0</t>
  </si>
  <si>
    <t>F250691</t>
  </si>
  <si>
    <t>BUGADERIA PARDA_F250721_15-0</t>
  </si>
  <si>
    <t>F250721</t>
  </si>
  <si>
    <t>BUGADERIA PARDA_F250797_04-0</t>
  </si>
  <si>
    <t>F250797</t>
  </si>
  <si>
    <t>BUGADERIA PARDA_F250813_07-0</t>
  </si>
  <si>
    <t>F250813</t>
  </si>
  <si>
    <t>BUGADERIA PARDA_F250868_26-0</t>
  </si>
  <si>
    <t>F250868</t>
  </si>
  <si>
    <t>BUGADERIA PARDA_F250911_05-0</t>
  </si>
  <si>
    <t>F250911</t>
  </si>
  <si>
    <t>BUGADERIA PARDA_F250938_12-0</t>
  </si>
  <si>
    <t>F250938</t>
  </si>
  <si>
    <t>LES CORTS DIR, S.A.</t>
  </si>
  <si>
    <t>LES CORTS DIR, _F250568_27-0</t>
  </si>
  <si>
    <t>F250568</t>
  </si>
  <si>
    <t>PRODIS.FUND.PRIVADA TERRASENCA</t>
  </si>
  <si>
    <t>PRODIS.FUND.PRI_F250184_12-0</t>
  </si>
  <si>
    <t>F250184</t>
  </si>
  <si>
    <t>PRODIS.FUND.PRI_F250423_09-0</t>
  </si>
  <si>
    <t>F250423</t>
  </si>
  <si>
    <t>PRODIS.FUND.PRI_F250466_23-0</t>
  </si>
  <si>
    <t>F250466</t>
  </si>
  <si>
    <t>PRODIS.FUND.PRI_F250508_06-0</t>
  </si>
  <si>
    <t>F250508</t>
  </si>
  <si>
    <t>PRODIS.FUND.PRI_F250516_09-0</t>
  </si>
  <si>
    <t>F250516</t>
  </si>
  <si>
    <t>PRODIS.FUND.PRI_F250652_19-0</t>
  </si>
  <si>
    <t>F250652</t>
  </si>
  <si>
    <t>PRODIS.FUND.PRI_F250815_07-0</t>
  </si>
  <si>
    <t>F250815</t>
  </si>
  <si>
    <t>PRODIS.FUND.PRI_F250857_26-0</t>
  </si>
  <si>
    <t>F250857</t>
  </si>
  <si>
    <t>HORIZONTES ESTRATEGICOS, S.L.</t>
  </si>
  <si>
    <t>SALDO INICIO 04-03-22</t>
  </si>
  <si>
    <t>22000226</t>
  </si>
  <si>
    <t>HORIZONTES ESTR_F250092_22-0</t>
  </si>
  <si>
    <t>F250092</t>
  </si>
  <si>
    <t>HORIZONTES ESTR_F250142_31-0</t>
  </si>
  <si>
    <t>F250142</t>
  </si>
  <si>
    <t>HORIZONTES ESTR_F250182_11-0</t>
  </si>
  <si>
    <t>F250182</t>
  </si>
  <si>
    <t>HORIZONTES ESTR_F250267_04-0</t>
  </si>
  <si>
    <t>F250267</t>
  </si>
  <si>
    <t>HORIZONTES ESTR_F250284_07-0</t>
  </si>
  <si>
    <t>F250284</t>
  </si>
  <si>
    <t>HORIZONTES ESTR_F250344_20-0</t>
  </si>
  <si>
    <t>F250344</t>
  </si>
  <si>
    <t>HORIZONTES ESTR_F250531_14-0</t>
  </si>
  <si>
    <t>F250531</t>
  </si>
  <si>
    <t>HORIZONTES ESTR_F250720_15-0</t>
  </si>
  <si>
    <t>F250720</t>
  </si>
  <si>
    <t>HORIZONTES ESTR_F250800_05-0</t>
  </si>
  <si>
    <t>F250800</t>
  </si>
  <si>
    <t>HORIZONTES ESTR_F250907_05-0</t>
  </si>
  <si>
    <t>F250907</t>
  </si>
  <si>
    <t>CLARISEC2023, SL</t>
  </si>
  <si>
    <t>ABONAMENT DE REMESA</t>
  </si>
  <si>
    <t>24001503</t>
  </si>
  <si>
    <t>SALDO INICIO 07-12-24</t>
  </si>
  <si>
    <t>24001396</t>
  </si>
  <si>
    <t>CLARISEC2023, S_F250455_22-0</t>
  </si>
  <si>
    <t>F250455</t>
  </si>
  <si>
    <t>CLARISEC2023, S_F250909_05-0</t>
  </si>
  <si>
    <t>F250909</t>
  </si>
  <si>
    <t>CLARISEC2023, S_F250951_17-0</t>
  </si>
  <si>
    <t>F250951</t>
  </si>
  <si>
    <t>VIMA RESIDENCIAL, S.L.U.</t>
  </si>
  <si>
    <t>VIMA RESIDENCIA_F250841_14-0</t>
  </si>
  <si>
    <t>F250841</t>
  </si>
  <si>
    <t>VIMA RESIDENCIA_F250846_19-0</t>
  </si>
  <si>
    <t>F250846</t>
  </si>
  <si>
    <t>GERMANES HOSPITALARIES CASA SA</t>
  </si>
  <si>
    <t>FABREGAT MARTINEZ, SHEILA</t>
  </si>
  <si>
    <t>FUNDACIO LA VALL</t>
  </si>
  <si>
    <t>FUNDACIO LA VAL_F250935_12-0</t>
  </si>
  <si>
    <t>F250935</t>
  </si>
  <si>
    <t>CAR CENTRE ALT RENDIMENT ESPOR</t>
  </si>
  <si>
    <t>CAR CENTRE ALT _F250256_27-0</t>
  </si>
  <si>
    <t>F250256</t>
  </si>
  <si>
    <t>CASTRO, MAURICIO</t>
  </si>
  <si>
    <t>CASTRO, MAURICI_F250130_30-0</t>
  </si>
  <si>
    <t>F250130</t>
  </si>
  <si>
    <t>CASTRO, MAURICI_F250407_07-0</t>
  </si>
  <si>
    <t>F250407</t>
  </si>
  <si>
    <t>CASTRO, MAURICI_F250665_26-0</t>
  </si>
  <si>
    <t>F250665</t>
  </si>
  <si>
    <t>CASTRO, MAURICI_F250961_19-0</t>
  </si>
  <si>
    <t>F250961</t>
  </si>
  <si>
    <t>PLANIGER, SA</t>
  </si>
  <si>
    <t>PLANIGER, SA_F250058_16-01-2</t>
  </si>
  <si>
    <t>F250058</t>
  </si>
  <si>
    <t>PLANIGER, SA_F250158_06-02-2</t>
  </si>
  <si>
    <t>F250158</t>
  </si>
  <si>
    <t>PLANIGER, SA_F250397_02-04-2</t>
  </si>
  <si>
    <t>F250397</t>
  </si>
  <si>
    <t>PLANIGER, SA_F250787_31-07-2</t>
  </si>
  <si>
    <t>F250787</t>
  </si>
  <si>
    <t>PLANIGER, SA_F250838_14-08-2</t>
  </si>
  <si>
    <t>F250838</t>
  </si>
  <si>
    <t>LISERSA SL</t>
  </si>
  <si>
    <t>LISERSA SL_F250673_30-06-202</t>
  </si>
  <si>
    <t>F250673</t>
  </si>
  <si>
    <t>LISERSA SL_CN250038_12-08-20</t>
  </si>
  <si>
    <t>CN250038</t>
  </si>
  <si>
    <t>RESIDENCIA AVIS DE NAVAS</t>
  </si>
  <si>
    <t>RESIDENCIA AVIS_F250093_22-0</t>
  </si>
  <si>
    <t>F250093</t>
  </si>
  <si>
    <t>RESIDENCIA AVIS_F250140_31-0</t>
  </si>
  <si>
    <t>F250140</t>
  </si>
  <si>
    <t>RESIDENCIA AVIS_F250441_14-0</t>
  </si>
  <si>
    <t>F250441</t>
  </si>
  <si>
    <t>RESIDENCIA AVIS_F250626_16-0</t>
  </si>
  <si>
    <t>F250626</t>
  </si>
  <si>
    <t>FUNDACIO LA PLANA</t>
  </si>
  <si>
    <t>FUNDACIO LA PLA_F250847_19-0</t>
  </si>
  <si>
    <t>F250847</t>
  </si>
  <si>
    <t>TAJULI 3 SL</t>
  </si>
  <si>
    <t>TAJULI 3 SL_F250034_13-01-20</t>
  </si>
  <si>
    <t>F250034</t>
  </si>
  <si>
    <t>TINTORERIA I BUGADERIA LES COR</t>
  </si>
  <si>
    <t>TINTORERIA I BU_F250162_10-0</t>
  </si>
  <si>
    <t>F250162</t>
  </si>
  <si>
    <t>TINTORERIA I BU_F250387_31-0</t>
  </si>
  <si>
    <t>F250387</t>
  </si>
  <si>
    <t>TINTORERIA I BU_F250480_25-0</t>
  </si>
  <si>
    <t>F250480</t>
  </si>
  <si>
    <t>ESMEANGEL ZARAGOZA SL</t>
  </si>
  <si>
    <t>ESMEANGEL ZARAG_F250082_22-0</t>
  </si>
  <si>
    <t>F250082</t>
  </si>
  <si>
    <t>ESMEANGEL ZARAG_F250316_13-0</t>
  </si>
  <si>
    <t>F250316</t>
  </si>
  <si>
    <t>ESMEANGEL ZARAG_F250370_25-0</t>
  </si>
  <si>
    <t>F250370</t>
  </si>
  <si>
    <t>ESMEANGEL ZARAG_F250510_07-0</t>
  </si>
  <si>
    <t>F250510</t>
  </si>
  <si>
    <t>ESMEANGEL ZARAG_F250829_12-0</t>
  </si>
  <si>
    <t>F250829</t>
  </si>
  <si>
    <t>ECO-NET MULBERRY, SCP</t>
  </si>
  <si>
    <t>ECO-NET MULBERR_F250114_28-0</t>
  </si>
  <si>
    <t>F250114</t>
  </si>
  <si>
    <t>ECO-NET MULBERR_F250161_10-0</t>
  </si>
  <si>
    <t>F250161</t>
  </si>
  <si>
    <t>ECO-NET MULBERR_F250213_20-0</t>
  </si>
  <si>
    <t>F250213</t>
  </si>
  <si>
    <t>ECO-NET MULBERR_F250367_25-0</t>
  </si>
  <si>
    <t>F250367</t>
  </si>
  <si>
    <t>ECO-NET MULBERR_F250628_16-0</t>
  </si>
  <si>
    <t>F250628</t>
  </si>
  <si>
    <t>ECO-NET MULBERR_F250791_31-0</t>
  </si>
  <si>
    <t>F250791</t>
  </si>
  <si>
    <t>ECO-NET MULBERR_F250869_27-0</t>
  </si>
  <si>
    <t>F250869</t>
  </si>
  <si>
    <t>ECO-NET MULBERR_F250877_31-0</t>
  </si>
  <si>
    <t>F250877</t>
  </si>
  <si>
    <t>CABELLO LARA, CARMEN</t>
  </si>
  <si>
    <t>CABELLO LARA, C_F250083_22-0</t>
  </si>
  <si>
    <t>F250083</t>
  </si>
  <si>
    <t>CABELLO LARA, C_F250605_06-0</t>
  </si>
  <si>
    <t>F250605</t>
  </si>
  <si>
    <t>CABELLO LARA, C_CN250025_06-</t>
  </si>
  <si>
    <t>CN250025</t>
  </si>
  <si>
    <t>CABELLO LARA, C_F250608_09-0</t>
  </si>
  <si>
    <t>F250608</t>
  </si>
  <si>
    <t>CABELLO LARA, C_F250795_31-0</t>
  </si>
  <si>
    <t>F250795</t>
  </si>
  <si>
    <t>CABELLO LARA, C_F250895_01-0</t>
  </si>
  <si>
    <t>F250895</t>
  </si>
  <si>
    <t>JARDINS DE CASTELLARNAU, SL</t>
  </si>
  <si>
    <t>JARDINS DE CAST_F250051_15-0</t>
  </si>
  <si>
    <t>F250051</t>
  </si>
  <si>
    <t>JARDINS DE CAST_F250247_27-0</t>
  </si>
  <si>
    <t>F250247</t>
  </si>
  <si>
    <t>JARDINS DE CAST_F250317_13-0</t>
  </si>
  <si>
    <t>F250317</t>
  </si>
  <si>
    <t>JARDINS DE CAST_F250368_25-0</t>
  </si>
  <si>
    <t>F250368</t>
  </si>
  <si>
    <t>JARDINS DE CAST_F250942_15-0</t>
  </si>
  <si>
    <t>F250942</t>
  </si>
  <si>
    <t>CRISTOFANI GIMENEZ, ANGEL MARI</t>
  </si>
  <si>
    <t>CRISTOFANI GIME_F250055_16-0</t>
  </si>
  <si>
    <t>F250055</t>
  </si>
  <si>
    <t>CRISTOFANI GIME_F250546_19-0</t>
  </si>
  <si>
    <t>F250546</t>
  </si>
  <si>
    <t>CRISTOFANI GIME_F250550_20-0</t>
  </si>
  <si>
    <t>F250550</t>
  </si>
  <si>
    <t>CRISTOFANI GIME_F250610_10-0</t>
  </si>
  <si>
    <t>F250610</t>
  </si>
  <si>
    <t>CRISTOFANI GIME_F250675_30-0</t>
  </si>
  <si>
    <t>F250675</t>
  </si>
  <si>
    <t>CRISTOFANI GIME_F250864_26-0</t>
  </si>
  <si>
    <t>F250864</t>
  </si>
  <si>
    <t>NETEGEM VALLES, S.L.</t>
  </si>
  <si>
    <t>ASSOCIACIO FOGALL</t>
  </si>
  <si>
    <t>ASSOCIACIO FOGA_F250111_27-0</t>
  </si>
  <si>
    <t>F250111</t>
  </si>
  <si>
    <t>TRASPASO</t>
  </si>
  <si>
    <t>ASSOCIACIO FOGA_F250259_28-0</t>
  </si>
  <si>
    <t>F250259</t>
  </si>
  <si>
    <t>ASSOCIACIO FOGA_F250298_10-0</t>
  </si>
  <si>
    <t>F250298</t>
  </si>
  <si>
    <t>ASSOCIACIO FOGA_F250299_10-0</t>
  </si>
  <si>
    <t>F250299</t>
  </si>
  <si>
    <t>ASSOCIACIO FOGA_F250957_17-0</t>
  </si>
  <si>
    <t>F250957</t>
  </si>
  <si>
    <t>CENTRO DE LAVADO SIGLO, S.L.</t>
  </si>
  <si>
    <t>CENTRO DE LAVAD_F250035_13-0</t>
  </si>
  <si>
    <t>F250035</t>
  </si>
  <si>
    <t>CENTRO DE LAVAD_F250044_15-0</t>
  </si>
  <si>
    <t>F250044</t>
  </si>
  <si>
    <t>CENTRO DE LAVAD_F250079_21-0</t>
  </si>
  <si>
    <t>F250079</t>
  </si>
  <si>
    <t>CENTRO DE LAVAD_CN250003_03-</t>
  </si>
  <si>
    <t>CENTRO DE LAVAD_F250188_14-0</t>
  </si>
  <si>
    <t>F250188</t>
  </si>
  <si>
    <t>CENTRO DE LAVAD_F250199_17-0</t>
  </si>
  <si>
    <t>F250199</t>
  </si>
  <si>
    <t>CENTRO DE LAVAD_F250225_21-0</t>
  </si>
  <si>
    <t>F250225</t>
  </si>
  <si>
    <t>CENTRO DE LAVAD_F250237_24-0</t>
  </si>
  <si>
    <t>F250237</t>
  </si>
  <si>
    <t>CENTRO DE LAVAD_F250260_28-0</t>
  </si>
  <si>
    <t>F250260</t>
  </si>
  <si>
    <t>CENTRO DE LAVAD_F250321_14-0</t>
  </si>
  <si>
    <t>F250321</t>
  </si>
  <si>
    <t>CENTRO DE LAVAD_F250372_25-0</t>
  </si>
  <si>
    <t>F250372</t>
  </si>
  <si>
    <t>CENTRO DE LAVAD_F250396_02-0</t>
  </si>
  <si>
    <t>F250396</t>
  </si>
  <si>
    <t>CENTRO DE LAVAD_F250492_29-0</t>
  </si>
  <si>
    <t>F250492</t>
  </si>
  <si>
    <t>CENTRO DE LAVAD_F250511_07-0</t>
  </si>
  <si>
    <t>F250511</t>
  </si>
  <si>
    <t>Importe factura expedida.</t>
  </si>
  <si>
    <t>F250526</t>
  </si>
  <si>
    <t>CENTRO DE LAVAD_F250555_21-0</t>
  </si>
  <si>
    <t>F250555</t>
  </si>
  <si>
    <t>CENTRO DE LAVAD_F250578_28-0</t>
  </si>
  <si>
    <t>F250578</t>
  </si>
  <si>
    <t>CENTRO DE LAVAD_F250591_02-0</t>
  </si>
  <si>
    <t>F250591</t>
  </si>
  <si>
    <t>CENTRO DE LAVAD_F250609_10-0</t>
  </si>
  <si>
    <t>F250609</t>
  </si>
  <si>
    <t>CENTRO DE LAVAD_F250690_04-0</t>
  </si>
  <si>
    <t>F250690</t>
  </si>
  <si>
    <t>CENTRO DE LAVAD_F250689_04-0</t>
  </si>
  <si>
    <t>F250689</t>
  </si>
  <si>
    <t>CENTRO DE LAVAD_F250749_23-0</t>
  </si>
  <si>
    <t>F250749</t>
  </si>
  <si>
    <t>CENTRO DE LAVAD_F250801_05-0</t>
  </si>
  <si>
    <t>F250801</t>
  </si>
  <si>
    <t>CENTRO DE LAVAD_F250814_07-0</t>
  </si>
  <si>
    <t>F250814</t>
  </si>
  <si>
    <t>CENTRO DE LAVAD_F250828_12-0</t>
  </si>
  <si>
    <t>F250828</t>
  </si>
  <si>
    <t>CENTRO DE LAVAD_F250878_31-0</t>
  </si>
  <si>
    <t>F250878</t>
  </si>
  <si>
    <t>CENTRO DE LAVAD_F250912_05-0</t>
  </si>
  <si>
    <t>F250912</t>
  </si>
  <si>
    <t>CENTRO DE LAVAD_F250947_17-0</t>
  </si>
  <si>
    <t>F250947</t>
  </si>
  <si>
    <t>CENTRO DE LAVAD_F250950_17-0</t>
  </si>
  <si>
    <t>F250950</t>
  </si>
  <si>
    <t>F. PAPIOL, SL</t>
  </si>
  <si>
    <t>F. PAPIOL, SL_F250449_15-04-</t>
  </si>
  <si>
    <t>F250449</t>
  </si>
  <si>
    <t>F. PAPIOL, SL_F250699_09-07-</t>
  </si>
  <si>
    <t>F250699</t>
  </si>
  <si>
    <t>F. PAPIOL, SL_F250741_22-07-</t>
  </si>
  <si>
    <t>F250741</t>
  </si>
  <si>
    <t>F. PAPIOL, SL_F250805_05-08-</t>
  </si>
  <si>
    <t>F250805</t>
  </si>
  <si>
    <t>F. PAPIOL, SL_F250827_12-08-</t>
  </si>
  <si>
    <t>F250827</t>
  </si>
  <si>
    <t>ACABATS SOLER RIUS SCP</t>
  </si>
  <si>
    <t>ACABATS SOLER R_F250349_20-0</t>
  </si>
  <si>
    <t>F250349</t>
  </si>
  <si>
    <t>ACABATS SOLER R_F250576_28-0</t>
  </si>
  <si>
    <t>F250576</t>
  </si>
  <si>
    <t>ACABATS SOLER R_F250607_06-0</t>
  </si>
  <si>
    <t>F250607</t>
  </si>
  <si>
    <t>ACABATS SOLER R_F250702_09-0</t>
  </si>
  <si>
    <t>F250702</t>
  </si>
  <si>
    <t>ACABATS SOLER R_F250716_14-0</t>
  </si>
  <si>
    <t>F250716</t>
  </si>
  <si>
    <t>CAN CAMP RESIDENCIAL SL</t>
  </si>
  <si>
    <t>CAN CAMP RESIDE_F250139_31-0</t>
  </si>
  <si>
    <t>F250139</t>
  </si>
  <si>
    <t>AIRE ANCIENT BATHS, SL</t>
  </si>
  <si>
    <t>AIRE ANCIENT BA_F250107_27-0</t>
  </si>
  <si>
    <t>F250107</t>
  </si>
  <si>
    <t>AIRE ANCIENT BA_F250134_30-0</t>
  </si>
  <si>
    <t>F250134</t>
  </si>
  <si>
    <t>AIRE ANCIENT BA_F250206_17-0</t>
  </si>
  <si>
    <t>F250206</t>
  </si>
  <si>
    <t>AIRE ANCIENT BA_F250447_15-0</t>
  </si>
  <si>
    <t>F250447</t>
  </si>
  <si>
    <t>AIRE ANCIENT BA_F250582_29-0</t>
  </si>
  <si>
    <t>F250582</t>
  </si>
  <si>
    <t>AIRE ANCIENT BA_F250709_11-0</t>
  </si>
  <si>
    <t>F250709</t>
  </si>
  <si>
    <t>AIRE ANCIENT BA_F250743_22-0</t>
  </si>
  <si>
    <t>F250743</t>
  </si>
  <si>
    <t>FRAS 582+709+743</t>
  </si>
  <si>
    <t>AIRE ANCIENT BA_F250811_07-0</t>
  </si>
  <si>
    <t>F250811</t>
  </si>
  <si>
    <t>AIRE ANCIENT BA_F250819_11-0</t>
  </si>
  <si>
    <t>F250819</t>
  </si>
  <si>
    <t>TRANSFERENCIES 811+819</t>
  </si>
  <si>
    <t>AIRE ANCIENT BA_CN250042_09-</t>
  </si>
  <si>
    <t>CN250042</t>
  </si>
  <si>
    <t>AIRE ANCIENT BA_F250925_09-0</t>
  </si>
  <si>
    <t>F250925</t>
  </si>
  <si>
    <t>AIRE ANCIENT BA_F250916_09-0</t>
  </si>
  <si>
    <t>F250916</t>
  </si>
  <si>
    <t>AIRE ANCIENT BA_F250941_12-0</t>
  </si>
  <si>
    <t>F250941</t>
  </si>
  <si>
    <t>HOTEL SOFIA BARCELONA OPCO SL</t>
  </si>
  <si>
    <t>HOTEL SOFIA BAR_F250072_20-0</t>
  </si>
  <si>
    <t>F250072</t>
  </si>
  <si>
    <t>24001436+250072</t>
  </si>
  <si>
    <t>HOTEL SOFIA BAR_F250482_25-0</t>
  </si>
  <si>
    <t>F250482</t>
  </si>
  <si>
    <t>HOTEL SOFIA BAR_F250553_21-0</t>
  </si>
  <si>
    <t>F250553</t>
  </si>
  <si>
    <t>FRA 482</t>
  </si>
  <si>
    <t>HOTEL SOFIA BAR_F250929_12-0</t>
  </si>
  <si>
    <t>F250929</t>
  </si>
  <si>
    <t>SAN NICOLAS GIMENEZ, JOSE LUIS</t>
  </si>
  <si>
    <t>SAN NICOLAS GIM_F250053_16-0</t>
  </si>
  <si>
    <t>F250053</t>
  </si>
  <si>
    <t>SAN NICOLAS GIM_F250096_24-0</t>
  </si>
  <si>
    <t>F250096</t>
  </si>
  <si>
    <t>SAN NICOLAS GIM_F250208_17-0</t>
  </si>
  <si>
    <t>F250208</t>
  </si>
  <si>
    <t>SAN NICOLAS GIM_F250379_27-0</t>
  </si>
  <si>
    <t>F250379</t>
  </si>
  <si>
    <t>SAN NICOLAS GIM_F250631_16-0</t>
  </si>
  <si>
    <t>F250631</t>
  </si>
  <si>
    <t>SAN NICOLAS GIM_F250674_30-0</t>
  </si>
  <si>
    <t>F250674</t>
  </si>
  <si>
    <t>SAN NICOLAS GIM_F250726_16-0</t>
  </si>
  <si>
    <t>F250726</t>
  </si>
  <si>
    <t>SAN NICOLAS GIM_F250756_24-0</t>
  </si>
  <si>
    <t>F250756</t>
  </si>
  <si>
    <t>SAN NICOLAS GIM_F250863_26-0</t>
  </si>
  <si>
    <t>F250863</t>
  </si>
  <si>
    <t>SAN NICOLAS GIM_F250898_02-0</t>
  </si>
  <si>
    <t>F250898</t>
  </si>
  <si>
    <t>ORIGINAL BUFF, SA</t>
  </si>
  <si>
    <t>ORIGINAL BUFF, _F250794_31-0</t>
  </si>
  <si>
    <t>F250794</t>
  </si>
  <si>
    <t>CELLER CAN TORRENS SL</t>
  </si>
  <si>
    <t>BCB LAVANDERIA SL</t>
  </si>
  <si>
    <t>BCB LAVANDERIA _F250027_10-0</t>
  </si>
  <si>
    <t>F250027</t>
  </si>
  <si>
    <t>BCB LAVANDERIA _F250048_15-0</t>
  </si>
  <si>
    <t>F250048</t>
  </si>
  <si>
    <t>TRANSFERENCIA DE BCB LAVANDE</t>
  </si>
  <si>
    <t>BCB LAVANDERIA _F250113_28-0</t>
  </si>
  <si>
    <t>F250113</t>
  </si>
  <si>
    <t>BCB LAVANDERIA _F250276_05-0</t>
  </si>
  <si>
    <t>F250276</t>
  </si>
  <si>
    <t>BCB LAVANDERIA _F250286_07-0</t>
  </si>
  <si>
    <t>F250286</t>
  </si>
  <si>
    <t>BCB LAVANDERIA _F250346_20-0</t>
  </si>
  <si>
    <t>F250346</t>
  </si>
  <si>
    <t>BCB LAVANDERIA _F250383_31-0</t>
  </si>
  <si>
    <t>F250383</t>
  </si>
  <si>
    <t>BCB LAVANDERIA _F250427_09-0</t>
  </si>
  <si>
    <t>F250427</t>
  </si>
  <si>
    <t>BCB LAVANDERIA _F250506_06-0</t>
  </si>
  <si>
    <t>F250506</t>
  </si>
  <si>
    <t>BCB LAVANDERIA _F250592_02-0</t>
  </si>
  <si>
    <t>F250592</t>
  </si>
  <si>
    <t>BCB LAVANDERIA _F250688_03-0</t>
  </si>
  <si>
    <t>F250688</t>
  </si>
  <si>
    <t>BCB LAVANDERIA _F250802_05-0</t>
  </si>
  <si>
    <t>F250802</t>
  </si>
  <si>
    <t>BCB LAVANDERIA _F250812_07-0</t>
  </si>
  <si>
    <t>F250812</t>
  </si>
  <si>
    <t>BCB LAVANDERIA _F250855_26-0</t>
  </si>
  <si>
    <t>F250855</t>
  </si>
  <si>
    <t>TRASFERENCIAS</t>
  </si>
  <si>
    <t>BCB LAVANDERIA _F250920_09-0</t>
  </si>
  <si>
    <t>F250920</t>
  </si>
  <si>
    <t>INTRABERRY 3000, SL</t>
  </si>
  <si>
    <t>INTRABERRY 3000_F250049_15-0</t>
  </si>
  <si>
    <t>F250049</t>
  </si>
  <si>
    <t>INTRABERRY 3000_F250166_10-0</t>
  </si>
  <si>
    <t>F250166</t>
  </si>
  <si>
    <t>INTRABERRY 3000_F250209_17-0</t>
  </si>
  <si>
    <t>F250209</t>
  </si>
  <si>
    <t>INTRABERRY 3000_F250231_24-0</t>
  </si>
  <si>
    <t>F250231</t>
  </si>
  <si>
    <t>INTRABERRY 3000_F250236_24-0</t>
  </si>
  <si>
    <t>F250236</t>
  </si>
  <si>
    <t>INTRABERRY 3000_F250485_29-0</t>
  </si>
  <si>
    <t>F250485</t>
  </si>
  <si>
    <t>INTRABERRY 3000_F250556_21-0</t>
  </si>
  <si>
    <t>F250556</t>
  </si>
  <si>
    <t>INTRABERRY 3000_F250558_23-0</t>
  </si>
  <si>
    <t>F250558</t>
  </si>
  <si>
    <t>INTRABERRY 3000_F250584_29-0</t>
  </si>
  <si>
    <t>F250584</t>
  </si>
  <si>
    <t>INTRABERRY 3000_F250703_09-0</t>
  </si>
  <si>
    <t>F250703</t>
  </si>
  <si>
    <t>INTRABERRY 3000_F250747_17-0</t>
  </si>
  <si>
    <t>F250747</t>
  </si>
  <si>
    <t>INTRABERRY 3000_F250733_18-0</t>
  </si>
  <si>
    <t>F250733</t>
  </si>
  <si>
    <t>INTRABERRY 3000_F250786_31-0</t>
  </si>
  <si>
    <t>F250786</t>
  </si>
  <si>
    <t>INTRABERRY 3000_F250803_05-0</t>
  </si>
  <si>
    <t>F250803</t>
  </si>
  <si>
    <t>INTRABERRY 3000_F250849_21-0</t>
  </si>
  <si>
    <t>F250849</t>
  </si>
  <si>
    <t>INTRABERRY 3000_F250866_26-0</t>
  </si>
  <si>
    <t>F250866</t>
  </si>
  <si>
    <t>INTRABERRY 3000_F250860_26-0</t>
  </si>
  <si>
    <t>F250860</t>
  </si>
  <si>
    <t>LA SALETA CARE SLU</t>
  </si>
  <si>
    <t>LA SALETA CARE _F250230_24-0</t>
  </si>
  <si>
    <t>F250230</t>
  </si>
  <si>
    <t>LA SALETA CARE _F250563_23-0</t>
  </si>
  <si>
    <t>F250563</t>
  </si>
  <si>
    <t>LA SALETA CARE _F250579_28-0</t>
  </si>
  <si>
    <t>F250579</t>
  </si>
  <si>
    <t>LA SALETA CARE _F250732_18-0</t>
  </si>
  <si>
    <t>F250732</t>
  </si>
  <si>
    <t>LA SALETA CARE _F250766_28-0</t>
  </si>
  <si>
    <t>F250766</t>
  </si>
  <si>
    <t>LUNET, SLU</t>
  </si>
  <si>
    <t>AJUNTAMENT DE MONTMELO</t>
  </si>
  <si>
    <t>AJUNTAMENT DE M_F250197_17-0</t>
  </si>
  <si>
    <t>F250197</t>
  </si>
  <si>
    <t>AJUNTAMENT DE M_F250478_24-0</t>
  </si>
  <si>
    <t>F250478</t>
  </si>
  <si>
    <t>SUNRESORTS SL</t>
  </si>
  <si>
    <t>SUNRESORTS SL_F250393_31-03-</t>
  </si>
  <si>
    <t>F250393</t>
  </si>
  <si>
    <t>TRANSFERENCIES 393+277</t>
  </si>
  <si>
    <t>SUNRESORTS SL_F250856_26-08-</t>
  </si>
  <si>
    <t>F250856</t>
  </si>
  <si>
    <t>CASNOGAL WASH, S.L.</t>
  </si>
  <si>
    <t>CASNOGAL WASH, _F250091_22-0</t>
  </si>
  <si>
    <t>F250091</t>
  </si>
  <si>
    <t>CASNOGAL WASH, _F250105_27-0</t>
  </si>
  <si>
    <t>F250105</t>
  </si>
  <si>
    <t>CASNOGAL WASH, _F250159_06-0</t>
  </si>
  <si>
    <t>F250159</t>
  </si>
  <si>
    <t>CASNOGAL WASH, _F250222_20-0</t>
  </si>
  <si>
    <t>F250222</t>
  </si>
  <si>
    <t>fra 250503</t>
  </si>
  <si>
    <t>CASNOGAL WASH, _F250503_05-0</t>
  </si>
  <si>
    <t>F250503</t>
  </si>
  <si>
    <t>CASNOGAL WASH, _F250818_08-0</t>
  </si>
  <si>
    <t>F250818</t>
  </si>
  <si>
    <t>CASNOGAL WASH, _F250944_16-0</t>
  </si>
  <si>
    <t>F250944</t>
  </si>
  <si>
    <t>CENTRO DE OCUPACION ESPECIAL C</t>
  </si>
  <si>
    <t>CENTRO DE OCUPA_F250527_14-0</t>
  </si>
  <si>
    <t>F250527</t>
  </si>
  <si>
    <t>CENTRO DE OCUPA_F250632_17-0</t>
  </si>
  <si>
    <t>F250632</t>
  </si>
  <si>
    <t>CENTRO DE OCUPA_F250633_17-0</t>
  </si>
  <si>
    <t>F250633</t>
  </si>
  <si>
    <t>CENTRO DE OCUPA_F250634_17-0</t>
  </si>
  <si>
    <t>F250634</t>
  </si>
  <si>
    <t>CENTRO DE OCUPA_F250712_11-0</t>
  </si>
  <si>
    <t>F250712</t>
  </si>
  <si>
    <t>CENTRO DE OCUPA_F250865_26-0</t>
  </si>
  <si>
    <t>F250865</t>
  </si>
  <si>
    <t>CENTRO DE OCUPA_F250890_31-0</t>
  </si>
  <si>
    <t>F250890</t>
  </si>
  <si>
    <t>CENTRO DE OCUPA_F250962_19-0</t>
  </si>
  <si>
    <t>F250962</t>
  </si>
  <si>
    <t>CENTRO DE OCUPA_F250963_19-0</t>
  </si>
  <si>
    <t>F250963</t>
  </si>
  <si>
    <t>EL BADAOUI ARAISSI, HICHAM</t>
  </si>
  <si>
    <t>CINDAR GLOBAL SL</t>
  </si>
  <si>
    <t>CINDAR GLOBAL S_F250065_17-0</t>
  </si>
  <si>
    <t>F250065</t>
  </si>
  <si>
    <t>CINDAR GLOBAL S_F250357_21-0</t>
  </si>
  <si>
    <t>F250357</t>
  </si>
  <si>
    <t>CINDAR GLOBAL S_F250567_27-0</t>
  </si>
  <si>
    <t>F250567</t>
  </si>
  <si>
    <t>CINDAR GLOBAL S_F250739_21-0</t>
  </si>
  <si>
    <t>F250739</t>
  </si>
  <si>
    <t>MUTUAM MANRESA</t>
  </si>
  <si>
    <t>MUTUAM MANRESA_F250297_07-01</t>
  </si>
  <si>
    <t>F250297</t>
  </si>
  <si>
    <t>MUTUAM MANRESA_F250295_10-01</t>
  </si>
  <si>
    <t>F250295</t>
  </si>
  <si>
    <t>MUTUAM MANRESA_F250221_20-02</t>
  </si>
  <si>
    <t>F250221</t>
  </si>
  <si>
    <t>MUTUAM MANRESA_F250279_06-03</t>
  </si>
  <si>
    <t>F250279</t>
  </si>
  <si>
    <t>MUTUAM MANRESA_CN250004_06-0</t>
  </si>
  <si>
    <t>MUTUAM MANRESA_F250310_06-03</t>
  </si>
  <si>
    <t>F250310</t>
  </si>
  <si>
    <t>MUTUAM MANRESA_CN250005_11-0</t>
  </si>
  <si>
    <t>MUTUAM MANRESA_F250493_29-04</t>
  </si>
  <si>
    <t>F250493</t>
  </si>
  <si>
    <t>MUTUAM MANRESA_F250507_06-05</t>
  </si>
  <si>
    <t>F250507</t>
  </si>
  <si>
    <t>MUTUAM MANRESA_CN250020_14-0</t>
  </si>
  <si>
    <t>CN250020</t>
  </si>
  <si>
    <t>MUTUAM MANRESA_CN250021_14-0</t>
  </si>
  <si>
    <t>CN250021</t>
  </si>
  <si>
    <t>MUTUAM MANRESA_F250737_21-07</t>
  </si>
  <si>
    <t>F250737</t>
  </si>
  <si>
    <t>MUTUAM MANRESA_F250823_11-08</t>
  </si>
  <si>
    <t>F250823</t>
  </si>
  <si>
    <t>MUTUAM MANRESA_F250831_13-08</t>
  </si>
  <si>
    <t>F250831</t>
  </si>
  <si>
    <t>MUTUAM MANRESA_CN250039_14-0</t>
  </si>
  <si>
    <t>CN250039</t>
  </si>
  <si>
    <t>MUTUAM MANRESA_F250850_21-08</t>
  </si>
  <si>
    <t>F250850</t>
  </si>
  <si>
    <t>MUTUAM MANRESA_F250930_12-09</t>
  </si>
  <si>
    <t>F250930</t>
  </si>
  <si>
    <t>JOSEMU 18 SL</t>
  </si>
  <si>
    <t>JOSEMU 18 SL_F250293_10-03-2</t>
  </si>
  <si>
    <t>F250293</t>
  </si>
  <si>
    <t>JOSEMU 18 SL_F250501_30-04-2</t>
  </si>
  <si>
    <t>F250501</t>
  </si>
  <si>
    <t>JOSEMU 18 SL_F250662_25-06-2</t>
  </si>
  <si>
    <t>F250662</t>
  </si>
  <si>
    <t>JOSEMU 18 SL_F250904_04-09-2</t>
  </si>
  <si>
    <t>F250904</t>
  </si>
  <si>
    <t>GRENKE RENT SL</t>
  </si>
  <si>
    <t>GRENKE RENT SL_F250334_17-03</t>
  </si>
  <si>
    <t>F250334</t>
  </si>
  <si>
    <t>GRENKE RENT SL_F250433_11-04</t>
  </si>
  <si>
    <t>F250433</t>
  </si>
  <si>
    <t>ORDRE PAGAMENT REBUDA EN EUR</t>
  </si>
  <si>
    <t>GRENKE RENT SL_F250535_16-05</t>
  </si>
  <si>
    <t>F250535</t>
  </si>
  <si>
    <t>GRENKE RENT SL_CN250022_16-0</t>
  </si>
  <si>
    <t>CN250022</t>
  </si>
  <si>
    <t>GRENKE RENT SL_F250707_10-07</t>
  </si>
  <si>
    <t>F250707</t>
  </si>
  <si>
    <t>GRENKE RENT SL_F250774_29-07</t>
  </si>
  <si>
    <t>F250774</t>
  </si>
  <si>
    <t>GRENKE RENT SL_F250782_31-07</t>
  </si>
  <si>
    <t>F250782</t>
  </si>
  <si>
    <t>INTERNATIONAL WASH AND DRY SL</t>
  </si>
  <si>
    <t>INTERNATIONAL W_F250339_18-0</t>
  </si>
  <si>
    <t>F250339</t>
  </si>
  <si>
    <t>INTERNATIONAL W_F250340_18-0</t>
  </si>
  <si>
    <t>F250340</t>
  </si>
  <si>
    <t>f2533+f25219</t>
  </si>
  <si>
    <t>INTERNATIONAL W_F250542_16-0</t>
  </si>
  <si>
    <t>F250542</t>
  </si>
  <si>
    <t>MOMO INTERNATIONAL</t>
  </si>
  <si>
    <t>INTERNATIONAL W_F250663_25-0</t>
  </si>
  <si>
    <t>F250663</t>
  </si>
  <si>
    <t>CÀRREC A COMPTE SEU</t>
  </si>
  <si>
    <t>INTERNATIONAL W_F250768_29-0</t>
  </si>
  <si>
    <t>F250768</t>
  </si>
  <si>
    <t>INTERNATIONAL W_F250852_21-0</t>
  </si>
  <si>
    <t>F250852</t>
  </si>
  <si>
    <t>TOT IGUALADA 2021 SL</t>
  </si>
  <si>
    <t>TOT IGUALADA 20_F250356_21-0</t>
  </si>
  <si>
    <t>F250356</t>
  </si>
  <si>
    <t>TOT IGUALADA 20_CN250018_16-</t>
  </si>
  <si>
    <t>CN250018</t>
  </si>
  <si>
    <t>TOT IGUALADA 20_F250452_16-0</t>
  </si>
  <si>
    <t>F250452</t>
  </si>
  <si>
    <t>fra 250452</t>
  </si>
  <si>
    <t>TOT IGUALADA 20_F250900_03-0</t>
  </si>
  <si>
    <t>F250900</t>
  </si>
  <si>
    <t>COMERCIAL LAVANDA GOMEZ SL</t>
  </si>
  <si>
    <t>COMERCIAL LAVAN_F250519_09-0</t>
  </si>
  <si>
    <t>F250519</t>
  </si>
  <si>
    <t>COMERCIAL LAVAN_F250530_14-0</t>
  </si>
  <si>
    <t>F250530</t>
  </si>
  <si>
    <t>COMERCIAL LAVAN_CN250023_23-</t>
  </si>
  <si>
    <t>CN250023</t>
  </si>
  <si>
    <t>COMERCIAL LAVAN_F250623_13-0</t>
  </si>
  <si>
    <t>F250623</t>
  </si>
  <si>
    <t>COMERCIAL LAVAN_F250642_19-0</t>
  </si>
  <si>
    <t>F250642</t>
  </si>
  <si>
    <t>COMERCIAL LAVAN_F250728_17-0</t>
  </si>
  <si>
    <t>F250728</t>
  </si>
  <si>
    <t>COMERCIAL LAVAN_F250738_21-0</t>
  </si>
  <si>
    <t>F250738</t>
  </si>
  <si>
    <t>COMERCIAL LAVAN_F250875_29-0</t>
  </si>
  <si>
    <t>F250875</t>
  </si>
  <si>
    <t>COMERCIAL LAVAN_F250943_15-0</t>
  </si>
  <si>
    <t>F250943</t>
  </si>
  <si>
    <t>TRANSFERENCIES fra 537</t>
  </si>
  <si>
    <t>GRENKE ALQUILER SL</t>
  </si>
  <si>
    <t>GRENKE ALQUILER_F250536_16-0</t>
  </si>
  <si>
    <t>F250536</t>
  </si>
  <si>
    <t>IMBASAT SL</t>
  </si>
  <si>
    <t>IMBASAT SL_F250679_30-06-202</t>
  </si>
  <si>
    <t>F250679</t>
  </si>
  <si>
    <t>IMBASAT SL_CN250043_17-09-20</t>
  </si>
  <si>
    <t>CN250043</t>
  </si>
  <si>
    <t>IMBASAT SL_F250945_17-09-202</t>
  </si>
  <si>
    <t>F250945</t>
  </si>
  <si>
    <t>PERE MATA SOCIAL SA</t>
  </si>
  <si>
    <t>PERE MATA SOCIA_F250731_18-0</t>
  </si>
  <si>
    <t>F250731</t>
  </si>
  <si>
    <t>INSTITUT PERE MATA SA</t>
  </si>
  <si>
    <t>INSTITUT PERE M_F250779_30-0</t>
  </si>
  <si>
    <t>F250779</t>
  </si>
  <si>
    <t>IEMESA IEBOSA HOLDING SL</t>
  </si>
  <si>
    <t>IEMESA IEBOSA H_F250781_30-0</t>
  </si>
  <si>
    <t>F250781</t>
  </si>
  <si>
    <t>CADENA CARRERA, JAIME BORIS</t>
  </si>
  <si>
    <t>CADENA CARRERA,_F250853_25-0</t>
  </si>
  <si>
    <t>F250853</t>
  </si>
  <si>
    <t>INMOBILIARIA MANVI SL</t>
  </si>
  <si>
    <t>INMOBILIARIA MA_F250923_12-0</t>
  </si>
  <si>
    <t>F250923</t>
  </si>
  <si>
    <t>INMOBILIARIA MA_F250924_12-0</t>
  </si>
  <si>
    <t>F250924</t>
  </si>
  <si>
    <t>ZUMU 2025 BCN SL</t>
  </si>
  <si>
    <t>ZUMU 2025 BCN S_F250952_17-0</t>
  </si>
  <si>
    <t>F250952</t>
  </si>
  <si>
    <t>CATERING LA COCOCHA SL</t>
  </si>
  <si>
    <t>CATERING LA COC_F250958_19-0</t>
  </si>
  <si>
    <t>F250958</t>
  </si>
  <si>
    <t>TINTORERIA GIRIBET SL</t>
  </si>
  <si>
    <t>TINTORERIA GIRI_F250959_19-0</t>
  </si>
  <si>
    <t>F250959</t>
  </si>
  <si>
    <t>ILUNION BUGADERIAS DE CATALUNY</t>
  </si>
  <si>
    <t>ILUNION BUGADER_F250232_24-0</t>
  </si>
  <si>
    <t>F250232</t>
  </si>
  <si>
    <t>ILUNION BUGADER_F250264_28-0</t>
  </si>
  <si>
    <t>F250264</t>
  </si>
  <si>
    <t>ILUNION BUGADER_F250312_12-0</t>
  </si>
  <si>
    <t>F250312</t>
  </si>
  <si>
    <t>ILUNION BUGADER_F250314_12-0</t>
  </si>
  <si>
    <t>F250314</t>
  </si>
  <si>
    <t>fra 250232</t>
  </si>
  <si>
    <t>ELIS MANOMATIC, S.A.</t>
  </si>
  <si>
    <t>ELIS MANOMATIC,_F250682_30-0</t>
  </si>
  <si>
    <t>F250682</t>
  </si>
  <si>
    <t>ELIS MANOMATIC,_F250705_04-0</t>
  </si>
  <si>
    <t>F250705</t>
  </si>
  <si>
    <t>ELIS MANOMATIC,_F250832_14-0</t>
  </si>
  <si>
    <t>F250832</t>
  </si>
  <si>
    <t>COBRO CLIENTE</t>
  </si>
  <si>
    <t>DEPARTAMENT D'ACCIO SOC.I CIUT</t>
  </si>
  <si>
    <t>INGRÉS EN EFECTIU</t>
  </si>
  <si>
    <t>DEPARTAMENT D'A_F250630_16-0</t>
  </si>
  <si>
    <t>F250630</t>
  </si>
  <si>
    <t>DEPARTAMENT D'A_F250629_16-0</t>
  </si>
  <si>
    <t>F250629</t>
  </si>
  <si>
    <t>fra 250629</t>
  </si>
  <si>
    <t>FUNDACIO PRIVADA AURIA</t>
  </si>
  <si>
    <t>FUNDACIO PRIVAD_F250391_31-0</t>
  </si>
  <si>
    <t>F250391</t>
  </si>
  <si>
    <t>FUNDACIO PRIVAD_F250425_09-0</t>
  </si>
  <si>
    <t>F250425</t>
  </si>
  <si>
    <t>FUNDACIO PRIVAD_F250426_09-0</t>
  </si>
  <si>
    <t>F250426</t>
  </si>
  <si>
    <t>FUNDACIO PRIVAD_F250484_29-0</t>
  </si>
  <si>
    <t>F250484</t>
  </si>
  <si>
    <t>FUNDACIO PRIVAD_F250664_26-0</t>
  </si>
  <si>
    <t>F250664</t>
  </si>
  <si>
    <t>BLANCAFORT RESORT, S.L.</t>
  </si>
  <si>
    <t>BLANCAFORT RESO_F250601_05-0</t>
  </si>
  <si>
    <t>F250601</t>
  </si>
  <si>
    <t>BLANCAFORT RESO_F250708_11-0</t>
  </si>
  <si>
    <t>F250708</t>
  </si>
  <si>
    <t>BLANCAFORT RESO_F250946_17-0</t>
  </si>
  <si>
    <t>F250946</t>
  </si>
  <si>
    <t>F.Y M.RODRIGUEZ SOLER, S.C.P.</t>
  </si>
  <si>
    <t>F.Y M.RODRIGUEZ_F250257_28-0</t>
  </si>
  <si>
    <t>F250257</t>
  </si>
  <si>
    <t>F.Y M.RODRIGUEZ_F250858_26-0</t>
  </si>
  <si>
    <t>F250858</t>
  </si>
  <si>
    <t>F.Y M.RODRIGUEZ_F250892_31-0</t>
  </si>
  <si>
    <t>F250892</t>
  </si>
  <si>
    <t>BURBUNET, S.L.</t>
  </si>
  <si>
    <t>BURBUNET, S.L._F250271_05-03</t>
  </si>
  <si>
    <t>F250271</t>
  </si>
  <si>
    <t>BURBUNET, S.L._F250491_29-04</t>
  </si>
  <si>
    <t>F250491</t>
  </si>
  <si>
    <t>BURBUNET, S.L._F250639_18-06</t>
  </si>
  <si>
    <t>F250639</t>
  </si>
  <si>
    <t>EFECTO RECLAMADO 05522014025</t>
  </si>
  <si>
    <t>BURBUNET, S.L._F250746_14-07</t>
  </si>
  <si>
    <t>F250746</t>
  </si>
  <si>
    <t>SOLER FUSTE, MACINTA</t>
  </si>
  <si>
    <t>SOLER FUSTE, MA_ F250001_03-</t>
  </si>
  <si>
    <t>F250001</t>
  </si>
  <si>
    <t>SOLER FUSTE, MA_F250018_09-0</t>
  </si>
  <si>
    <t>F250018</t>
  </si>
  <si>
    <t>SOLER FUSTE, MA_F250090_22-0</t>
  </si>
  <si>
    <t>F250090</t>
  </si>
  <si>
    <t>DEV. COBRAMENT DU</t>
  </si>
  <si>
    <t>SOLER FUSTE, MA_F250163_10-0</t>
  </si>
  <si>
    <t>F250163</t>
  </si>
  <si>
    <t>SOLER FUSTE, MA_F250268_04-0</t>
  </si>
  <si>
    <t>F250268</t>
  </si>
  <si>
    <t>SOLER FUSTE, MA_F250693_07-0</t>
  </si>
  <si>
    <t>F250693</t>
  </si>
  <si>
    <t>TRANSFERENCIES fra 693 PARCI</t>
  </si>
  <si>
    <t>SOLER FUSTE, MA_F250891_31-0</t>
  </si>
  <si>
    <t>F250891</t>
  </si>
  <si>
    <t>SOLER FUSTE, MA_F250918_09-0</t>
  </si>
  <si>
    <t>F250918</t>
  </si>
  <si>
    <t>BUGADERIA GUBERN, S.L.</t>
  </si>
  <si>
    <t>BUGADERIA GUBER_F250135_30-0</t>
  </si>
  <si>
    <t>F250135</t>
  </si>
  <si>
    <t>BUGADERIA GUBER_F250201_17-0</t>
  </si>
  <si>
    <t>F250201</t>
  </si>
  <si>
    <t>BUGADERIA GUBER_F250278_06-0</t>
  </si>
  <si>
    <t>F250278</t>
  </si>
  <si>
    <t>BUGADERIA GUBER_F250521_13-0</t>
  </si>
  <si>
    <t>F250521</t>
  </si>
  <si>
    <t>BUGADERIA GUBER_F250566_26-0</t>
  </si>
  <si>
    <t>F250566</t>
  </si>
  <si>
    <t>BUGADERIA GUBER_F250565_26-0</t>
  </si>
  <si>
    <t>F250565</t>
  </si>
  <si>
    <t>BUGADERIA GUBER_CN250036_01-</t>
  </si>
  <si>
    <t>CN250036</t>
  </si>
  <si>
    <t>BUGADERIA GUBER_CN250037_01-</t>
  </si>
  <si>
    <t>CN250037</t>
  </si>
  <si>
    <t>DEVOL fra 566+565</t>
  </si>
  <si>
    <t>BUGADERIA GUBER_F250809_07-0</t>
  </si>
  <si>
    <t>F250809</t>
  </si>
  <si>
    <t>BUGADERIA GUBER_F250810_07-0</t>
  </si>
  <si>
    <t>F250810</t>
  </si>
  <si>
    <t>BUGADERIA GUBER_F250840_14-0</t>
  </si>
  <si>
    <t>F250840</t>
  </si>
  <si>
    <t>BUGADERIA GUBER_F250902_03-0</t>
  </si>
  <si>
    <t>F250902</t>
  </si>
  <si>
    <t>TOT PULIT, S.C.C.L.</t>
  </si>
  <si>
    <t>TOT PULIT, S.C._F250150_05-0</t>
  </si>
  <si>
    <t>F250150</t>
  </si>
  <si>
    <t>BUGADERIA NET I POLIT</t>
  </si>
  <si>
    <t>TOT PULIT, S.C._F250564_26-0</t>
  </si>
  <si>
    <t>F250564</t>
  </si>
  <si>
    <t>SOLSONET, S.C.P.</t>
  </si>
  <si>
    <t>SOLSONET, S.C.P_F250094_24-0</t>
  </si>
  <si>
    <t>F250094</t>
  </si>
  <si>
    <t>SOLSONET, S.C.P_F250300_10-0</t>
  </si>
  <si>
    <t>F250300</t>
  </si>
  <si>
    <t>SOLSONET, S.C.P_F250301_10-0</t>
  </si>
  <si>
    <t>F250301</t>
  </si>
  <si>
    <t>SOLSONET, S.C.P_CN250011_24-</t>
  </si>
  <si>
    <t>SOLSONET, S.C.P_F250620_12-0</t>
  </si>
  <si>
    <t>F250620</t>
  </si>
  <si>
    <t>SOLSONET, S.C.P_F250641_19-0</t>
  </si>
  <si>
    <t>F250641</t>
  </si>
  <si>
    <t>INGRESO CAJERO</t>
  </si>
  <si>
    <t>SOLSONET, S.C.P_F250953_17-0</t>
  </si>
  <si>
    <t>F250953</t>
  </si>
  <si>
    <t>TINTORERIA EL FOLLET, S.L.</t>
  </si>
  <si>
    <t>L'ART DEL RENTAT EN SEC, S.L.</t>
  </si>
  <si>
    <t>L'ART DEL RENTA_F250551_20-0</t>
  </si>
  <si>
    <t>F250551</t>
  </si>
  <si>
    <t>L'ART DEL RENTA_F250723_15-0</t>
  </si>
  <si>
    <t>F250723</t>
  </si>
  <si>
    <t>L'ART DEL RENTA_F250917_09-0</t>
  </si>
  <si>
    <t>F250917</t>
  </si>
  <si>
    <t>HOTEL COLON, S.A.</t>
  </si>
  <si>
    <t>HOTEL COLON, S._F250078_21-0</t>
  </si>
  <si>
    <t>F250078</t>
  </si>
  <si>
    <t>CONFIRMING SABADELL</t>
  </si>
  <si>
    <t>HOTEL COLON, S._F250428_09-0</t>
  </si>
  <si>
    <t>F250428</t>
  </si>
  <si>
    <t>HOTEL COLON, S._F250444_14-0</t>
  </si>
  <si>
    <t>F250444</t>
  </si>
  <si>
    <t>HOTEL COLON, S._CN250016_14-</t>
  </si>
  <si>
    <t>CN250016</t>
  </si>
  <si>
    <t>HOTEL COLON, S._F250927_12-0</t>
  </si>
  <si>
    <t>F250927</t>
  </si>
  <si>
    <t>HOTEL CONTINENTAL, S.A.</t>
  </si>
  <si>
    <t>HOTEL CONTINENT_F250613_10-0</t>
  </si>
  <si>
    <t>F250613</t>
  </si>
  <si>
    <t>HOTEL CONTINENT_F250647_19-0</t>
  </si>
  <si>
    <t>F250647</t>
  </si>
  <si>
    <t>HOTEL CONTINENT_F250649_19-0</t>
  </si>
  <si>
    <t>F250649</t>
  </si>
  <si>
    <t>HOTEL CONTINENT_F250661_25-0</t>
  </si>
  <si>
    <t>F250661</t>
  </si>
  <si>
    <t>HOTEL CONTINENT_F250755_22-0</t>
  </si>
  <si>
    <t>F250755</t>
  </si>
  <si>
    <t>HOTEL CONTINENT_F250883_31-0</t>
  </si>
  <si>
    <t>F250883</t>
  </si>
  <si>
    <t>HOTEL ROBERT, S.L.</t>
  </si>
  <si>
    <t>HOTEL ROBERT, S_F250596_04-0</t>
  </si>
  <si>
    <t>F250596</t>
  </si>
  <si>
    <t>HOTEL ROBERT, S_F250921_09-0</t>
  </si>
  <si>
    <t>F250921</t>
  </si>
  <si>
    <t>HOTEL ROBERT, S_F250954_17-0</t>
  </si>
  <si>
    <t>F250954</t>
  </si>
  <si>
    <t>HECAME, S.L.</t>
  </si>
  <si>
    <t>HECAME, S.L._F250245_27-02-2</t>
  </si>
  <si>
    <t>F250245</t>
  </si>
  <si>
    <t>HECAME, S.L._F250303_11-03-2</t>
  </si>
  <si>
    <t>F250303</t>
  </si>
  <si>
    <t>HECAME, S.L._F250839_14-08-2</t>
  </si>
  <si>
    <t>F250839</t>
  </si>
  <si>
    <t>HECAME, S.L._F250940_12-09-2</t>
  </si>
  <si>
    <t>F250940</t>
  </si>
  <si>
    <t>MAS NOU SALLENT, S.L.</t>
  </si>
  <si>
    <t>MAS NOU SALLENT_F250171_10-0</t>
  </si>
  <si>
    <t>F250171</t>
  </si>
  <si>
    <t>MAS NOU SALLENT_F250651_19-0</t>
  </si>
  <si>
    <t>F250651</t>
  </si>
  <si>
    <t>MAS NOU SALLENT_F250885_31-0</t>
  </si>
  <si>
    <t>F250885</t>
  </si>
  <si>
    <t>MAS NOU SALLENT_F250903_03-0</t>
  </si>
  <si>
    <t>F250903</t>
  </si>
  <si>
    <t>PROMOCIONES BRIXTON 2002, S.L.</t>
  </si>
  <si>
    <t>PROMOCIONES BRI_F250215_20-0</t>
  </si>
  <si>
    <t>F250215</t>
  </si>
  <si>
    <t>PROMOCIONES BRI_F250698_09-0</t>
  </si>
  <si>
    <t>F250698</t>
  </si>
  <si>
    <t>PROMOCIONES BRI_F250861_26-0</t>
  </si>
  <si>
    <t>F250861</t>
  </si>
  <si>
    <t>COMPLEJO MAR BELLA, S.A.</t>
  </si>
  <si>
    <t>COMPLEJO MAR BE_F250084_22-0</t>
  </si>
  <si>
    <t>F250084</t>
  </si>
  <si>
    <t>COMPLEJO MAR BE_F250108_27-0</t>
  </si>
  <si>
    <t>F250108</t>
  </si>
  <si>
    <t>COMPLEJO MAR BE_CN250002_30-</t>
  </si>
  <si>
    <t>COMPLEJO MAR BE_F250239_25-0</t>
  </si>
  <si>
    <t>F250239</t>
  </si>
  <si>
    <t>COMPLEJO MAR BE_F250265_28-0</t>
  </si>
  <si>
    <t>F250265</t>
  </si>
  <si>
    <t>COMPLEJO MAR BE_F250269_04-0</t>
  </si>
  <si>
    <t>F250269</t>
  </si>
  <si>
    <t>COMPLEJO MAR BE_CN250015_07-</t>
  </si>
  <si>
    <t>CN250015</t>
  </si>
  <si>
    <t>COMPLEJO MAR BE_F250403_07-0</t>
  </si>
  <si>
    <t>F250403</t>
  </si>
  <si>
    <t>COMPLEJO MAR BE_F250405_07-0</t>
  </si>
  <si>
    <t>F250405</t>
  </si>
  <si>
    <t>COMPLEJO MAR BE_F250422_09-0</t>
  </si>
  <si>
    <t>F250422</t>
  </si>
  <si>
    <t>COMPLEJO MAR BELL</t>
  </si>
  <si>
    <t>COMPLEJO MAR BE_F250541_16-0</t>
  </si>
  <si>
    <t>F250541</t>
  </si>
  <si>
    <t>COMPLEJO MAR BE_F250574_27-0</t>
  </si>
  <si>
    <t>F250574</t>
  </si>
  <si>
    <t>COMPLEJO MAR BE_F250714_11-0</t>
  </si>
  <si>
    <t>F250714</t>
  </si>
  <si>
    <t>COMPLEJO MAR BE_F250765_28-0</t>
  </si>
  <si>
    <t>F250765</t>
  </si>
  <si>
    <t>COMPLEJO MAR BE_F250770_29-0</t>
  </si>
  <si>
    <t>F250770</t>
  </si>
  <si>
    <t>COMPLEJO MAR BE_F250825_11-0</t>
  </si>
  <si>
    <t>F250825</t>
  </si>
  <si>
    <t>FUNDACION CONSORTES GUASCH</t>
  </si>
  <si>
    <t>FUNDACION CONSO_F250132_30-0</t>
  </si>
  <si>
    <t>F250132</t>
  </si>
  <si>
    <t>FUNDACION CONSO_F250148_05-0</t>
  </si>
  <si>
    <t>F250148</t>
  </si>
  <si>
    <t>FUNDACION CONSO_F250350_20-0</t>
  </si>
  <si>
    <t>F250350</t>
  </si>
  <si>
    <t>FUNDACION CONSO_F250400_04-0</t>
  </si>
  <si>
    <t>F250400</t>
  </si>
  <si>
    <t>FUNDACION CONSO_F250424_09-0</t>
  </si>
  <si>
    <t>F250424</t>
  </si>
  <si>
    <t>FUNDACION CONSO_F250773_30-0</t>
  </si>
  <si>
    <t>F250773</t>
  </si>
  <si>
    <t>FUNDACION CONSO_F250845_19-0</t>
  </si>
  <si>
    <t>F250845</t>
  </si>
  <si>
    <t>FUNDACION CONSO_F250879_31-0</t>
  </si>
  <si>
    <t>F250879</t>
  </si>
  <si>
    <t>FUNDACION CONSO_F250913_05-0</t>
  </si>
  <si>
    <t>F250913</t>
  </si>
  <si>
    <t>VILA VALDOREIX, S.L.</t>
  </si>
  <si>
    <t>VILA VALDOREIX,_F250009_07-0</t>
  </si>
  <si>
    <t>VILA VALDOREIX,_F250289_07-0</t>
  </si>
  <si>
    <t>F250289</t>
  </si>
  <si>
    <t>TRANSFERENCIA A VILA VALLDOR</t>
  </si>
  <si>
    <t>VILA VALDOREIX,_F250727_16-0</t>
  </si>
  <si>
    <t>F250727</t>
  </si>
  <si>
    <t>VILA VALDOREIX,_F250740_22-0</t>
  </si>
  <si>
    <t>F250740</t>
  </si>
  <si>
    <t>VILA VALDOREIX,_F250783_31-0</t>
  </si>
  <si>
    <t>F250783</t>
  </si>
  <si>
    <t>SOPHOS GESTIO, S.L./BARBERA</t>
  </si>
  <si>
    <t>SOPHOS GESTIO, _F250041_14-0</t>
  </si>
  <si>
    <t>F250041</t>
  </si>
  <si>
    <t>SOPHOS GESTIO, _F250207_17-0</t>
  </si>
  <si>
    <t>F250207</t>
  </si>
  <si>
    <t>SOPHOS GESTIO, _F250251_27-0</t>
  </si>
  <si>
    <t>F250251</t>
  </si>
  <si>
    <t>SOPHOS GESTIO, _F250272_05-0</t>
  </si>
  <si>
    <t>F250272</t>
  </si>
  <si>
    <t>SOPHOS GESTIO, _F250385_31-0</t>
  </si>
  <si>
    <t>F250385</t>
  </si>
  <si>
    <t>SOPHOS GESTIO, _F250392_31-0</t>
  </si>
  <si>
    <t>F250392</t>
  </si>
  <si>
    <t>DEVOLUCION COBRO DUP 1169</t>
  </si>
  <si>
    <t>SOPHOS GESTIO, _F250419_08-0</t>
  </si>
  <si>
    <t>F250419</t>
  </si>
  <si>
    <t>SOPHOS GESTIO, _F250439_14-0</t>
  </si>
  <si>
    <t>F250439</t>
  </si>
  <si>
    <t>SOPHOS GESTIO, _F250539_16-0</t>
  </si>
  <si>
    <t>F250539</t>
  </si>
  <si>
    <t>SOPHOS GESTIO, _F250606_06-0</t>
  </si>
  <si>
    <t>F250606</t>
  </si>
  <si>
    <t>SOPHOS GESTIO, _F250625_16-0</t>
  </si>
  <si>
    <t>F250625</t>
  </si>
  <si>
    <t>SOPHOS GESTIO, _F250686_03-0</t>
  </si>
  <si>
    <t>F250686</t>
  </si>
  <si>
    <t>SOPHOS GESTIO, _F250685_03-0</t>
  </si>
  <si>
    <t>F250685</t>
  </si>
  <si>
    <t>SOPHOS GESTIO, _F250725_16-0</t>
  </si>
  <si>
    <t>F250725</t>
  </si>
  <si>
    <t>SOPHOS GESTIO, _F250881_31-0</t>
  </si>
  <si>
    <t>F250881</t>
  </si>
  <si>
    <t>SOPHOS GESTIO, _F250908_05-0</t>
  </si>
  <si>
    <t>F250908</t>
  </si>
  <si>
    <t>FUNDACIO PRIVADA LLEGAT ROCA I</t>
  </si>
  <si>
    <t>FUNDACIO PRIVAD_F250569_27-0</t>
  </si>
  <si>
    <t>F250569</t>
  </si>
  <si>
    <t>FUNDACIO PRIVAD_F250668_30-0</t>
  </si>
  <si>
    <t>F250668</t>
  </si>
  <si>
    <t>FUNDACIO PRIVAD_F250886_31-0</t>
  </si>
  <si>
    <t>F250886</t>
  </si>
  <si>
    <t>HERM.ANC.DESAMPARADOS-HOGAR</t>
  </si>
  <si>
    <t>HERM.ANC.DESAMP_F250194_16-0</t>
  </si>
  <si>
    <t>F250194</t>
  </si>
  <si>
    <t>HERM.ANC.DESAMP_F250595_03-0</t>
  </si>
  <si>
    <t>F250595</t>
  </si>
  <si>
    <t>HERM.ANC.DESAMP_F250603_05-0</t>
  </si>
  <si>
    <t>F250603</t>
  </si>
  <si>
    <t>HERM.ANC.DESAMP_CN250027_17-</t>
  </si>
  <si>
    <t>CN250027</t>
  </si>
  <si>
    <t>HERM.ANC.DESAMP_F250798_04-0</t>
  </si>
  <si>
    <t>F250798</t>
  </si>
  <si>
    <t>HERM.ANC.DESAMP_F250934_12-0</t>
  </si>
  <si>
    <t>F250934</t>
  </si>
  <si>
    <t>SEASCER, S.L.</t>
  </si>
  <si>
    <t>SEASCER, S.L._F250767_28-07-</t>
  </si>
  <si>
    <t>F250767</t>
  </si>
  <si>
    <t>SEASCER, S.L._F250955_17-09-</t>
  </si>
  <si>
    <t>F250955</t>
  </si>
  <si>
    <t>RESIDENCIA BARCELONA, S.L.</t>
  </si>
  <si>
    <t>RESIDENCIA BARC_ F250000_03-</t>
  </si>
  <si>
    <t>F250000</t>
  </si>
  <si>
    <t>RESIDENCIA BARC_F250112_28-0</t>
  </si>
  <si>
    <t>F250112</t>
  </si>
  <si>
    <t>RESIDENCIA BARC_F250151_05-0</t>
  </si>
  <si>
    <t>F250151</t>
  </si>
  <si>
    <t>RESIDENCIA BARC_F250210_20-0</t>
  </si>
  <si>
    <t>F250210</t>
  </si>
  <si>
    <t>RESIDENCIA BARC_F250211_20-0</t>
  </si>
  <si>
    <t>F250211</t>
  </si>
  <si>
    <t>RESIDENCIA BARC_F250486_29-0</t>
  </si>
  <si>
    <t>F250486</t>
  </si>
  <si>
    <t>RESIDENCIA BARC_F250583_29-0</t>
  </si>
  <si>
    <t>F250583</t>
  </si>
  <si>
    <t>CORP.MED.INVERSIONES RESIDENCI</t>
  </si>
  <si>
    <t>CORP.MED.INVERS_ F250010_07-</t>
  </si>
  <si>
    <t>CORP.MED.INVERS_F250011_07-0</t>
  </si>
  <si>
    <t>CORP.MED.INVERS_F250160_06-0</t>
  </si>
  <si>
    <t>F250160</t>
  </si>
  <si>
    <t>CORP.MED.INVERS_F250287_07-0</t>
  </si>
  <si>
    <t>F250287</t>
  </si>
  <si>
    <t>CORP.MED.INVERS_F250421_09-0</t>
  </si>
  <si>
    <t>F250421</t>
  </si>
  <si>
    <t>CORP.MED.INVERS_F250473_23-0</t>
  </si>
  <si>
    <t>F250473</t>
  </si>
  <si>
    <t>CORP.MED.INVERS_F250509_07-0</t>
  </si>
  <si>
    <t>F250509</t>
  </si>
  <si>
    <t>CORP.MED.INVERS_F250523_13-0</t>
  </si>
  <si>
    <t>F250523</t>
  </si>
  <si>
    <t>CORP.MED.INVERS_F250615_11-0</t>
  </si>
  <si>
    <t>F250615</t>
  </si>
  <si>
    <t>CORP.MED.INVERS_F250729_17-0</t>
  </si>
  <si>
    <t>F250729</t>
  </si>
  <si>
    <t>CORP.MED.INVERS_F250761_24-0</t>
  </si>
  <si>
    <t>F250761</t>
  </si>
  <si>
    <t>CORP.MED.INVERS_F250769_24-0</t>
  </si>
  <si>
    <t>F250769</t>
  </si>
  <si>
    <t>CORP.MED.INVERS_F250771_24-0</t>
  </si>
  <si>
    <t>F250771</t>
  </si>
  <si>
    <t>FUNDACIO ANTONIA ROURE</t>
  </si>
  <si>
    <t>RESIDENCIA SAN BERNAT</t>
  </si>
  <si>
    <t>RESIDENCIA SAN _F250156_06-0</t>
  </si>
  <si>
    <t>F250156</t>
  </si>
  <si>
    <t>RESIDENCIA SAN _F250190_14-0</t>
  </si>
  <si>
    <t>F250190</t>
  </si>
  <si>
    <t>AJUNTAMENT SALLENT REPARACIO</t>
  </si>
  <si>
    <t>RESIDENCIA SAN _F250450_15-0</t>
  </si>
  <si>
    <t>F250450</t>
  </si>
  <si>
    <t>RESIDENCIA SAN _F250500_30-0</t>
  </si>
  <si>
    <t>F250500</t>
  </si>
  <si>
    <t>AJUNTAMENT SALLENT RECANVI</t>
  </si>
  <si>
    <t>RESIDENCIA SAN _F250734_18-0</t>
  </si>
  <si>
    <t>F250734</t>
  </si>
  <si>
    <t>FUND.CASAL VERGE DE MONTSERRAT</t>
  </si>
  <si>
    <t>FUND.CASAL VERG_F250204_17-0</t>
  </si>
  <si>
    <t>F250204</t>
  </si>
  <si>
    <t>FUND.CASAL VERG_F250250_27-0</t>
  </si>
  <si>
    <t>F250250</t>
  </si>
  <si>
    <t>FUND.CASAL VERG_F250337_18-0</t>
  </si>
  <si>
    <t>F250337</t>
  </si>
  <si>
    <t>FUND.CASAL VERG_F250884_31-0</t>
  </si>
  <si>
    <t>F250884</t>
  </si>
  <si>
    <t>FUND.CASAL VERG_F250901_03-0</t>
  </si>
  <si>
    <t>F250901</t>
  </si>
  <si>
    <t>FUND.CASAL VERG_F250905_04-0</t>
  </si>
  <si>
    <t>F250905</t>
  </si>
  <si>
    <t>FUND.CASAL VERG_CN250041_05-</t>
  </si>
  <si>
    <t>CN250041</t>
  </si>
  <si>
    <t>RESIDENCIAS MUTUAM, SLU</t>
  </si>
  <si>
    <t>RESIDENCIAS MUT_F250115_28-0</t>
  </si>
  <si>
    <t>F250115</t>
  </si>
  <si>
    <t>RESIDENCIAS MUT_F250529_14-0</t>
  </si>
  <si>
    <t>F250529</t>
  </si>
  <si>
    <t>RESIDENCIAS MUT_F250528_14-0</t>
  </si>
  <si>
    <t>F250528</t>
  </si>
  <si>
    <t>RESIDENCIAS MUT_F250538_16-0</t>
  </si>
  <si>
    <t>F250538</t>
  </si>
  <si>
    <t>RESIDENCIAS MUT_CN250034_21-</t>
  </si>
  <si>
    <t>CN250034</t>
  </si>
  <si>
    <t>RESIDENCIAS MUT_F250736_21-0</t>
  </si>
  <si>
    <t>F250736</t>
  </si>
  <si>
    <t>RESIDENCIAS MUT_F250842_14-0</t>
  </si>
  <si>
    <t>F250842</t>
  </si>
  <si>
    <t>RESIDENCIAS MUT_F250843_14-0</t>
  </si>
  <si>
    <t>F250843</t>
  </si>
  <si>
    <t>GERONTOCAT, S.L.</t>
  </si>
  <si>
    <t>GERONTOCAT, S.L_F250068_20-0</t>
  </si>
  <si>
    <t>F250068</t>
  </si>
  <si>
    <t>GERONTOCAT, S.L_F250235_24-0</t>
  </si>
  <si>
    <t>F250235</t>
  </si>
  <si>
    <t>GERONTOCAT, S.L_F250457_22-0</t>
  </si>
  <si>
    <t>F250457</t>
  </si>
  <si>
    <t>GERONTOCAT, S.L_F250532_14-0</t>
  </si>
  <si>
    <t>F250532</t>
  </si>
  <si>
    <t>GERONTOCAT, S.L_F250587_30-0</t>
  </si>
  <si>
    <t>F250587</t>
  </si>
  <si>
    <t>GERONTOCAT, S.L_F250793_31-0</t>
  </si>
  <si>
    <t>F250793</t>
  </si>
  <si>
    <t>GERONTOCAT, S.L_F250808_06-0</t>
  </si>
  <si>
    <t>F250808</t>
  </si>
  <si>
    <t>GERONTOCAT, S.L_F250880_31-0</t>
  </si>
  <si>
    <t>F250880</t>
  </si>
  <si>
    <t>GERONTOCAT, S.L_F250931_12-0</t>
  </si>
  <si>
    <t>F250931</t>
  </si>
  <si>
    <t>CONSELL CATALA DE  L'ESPORT</t>
  </si>
  <si>
    <t>CONSELL CATALA _F250754_23-0</t>
  </si>
  <si>
    <t>F250754</t>
  </si>
  <si>
    <t>FUNDACION VALLPARADIS, F.P.C.</t>
  </si>
  <si>
    <t>FUNDACION VALLP_F250280_07-0</t>
  </si>
  <si>
    <t>F250280</t>
  </si>
  <si>
    <t>FUNDACION VALLP_F250894_01-0</t>
  </si>
  <si>
    <t>F250894</t>
  </si>
  <si>
    <t>RSD.DE COLONIAS EXTRANJERAS DE</t>
  </si>
  <si>
    <t>RSD.DE COLONIAS_F250026_10-0</t>
  </si>
  <si>
    <t>F250026</t>
  </si>
  <si>
    <t>RSD.DE COLONIAS_F250328_14-0</t>
  </si>
  <si>
    <t>F250328</t>
  </si>
  <si>
    <t>RSD.DE COLONIAS_F250338_18-0</t>
  </si>
  <si>
    <t>F250338</t>
  </si>
  <si>
    <t>RSD.DE COLONIAS_CN250010_18-</t>
  </si>
  <si>
    <t>RSD.DE COLONIAS_F250533_15-0</t>
  </si>
  <si>
    <t>F250533</t>
  </si>
  <si>
    <t>RSD.DE COLONIAS_F250835_14-0</t>
  </si>
  <si>
    <t>F250835</t>
  </si>
  <si>
    <t>HNAS.HOSPITALARIAS SANTA CREU</t>
  </si>
  <si>
    <t>HNAS.HOSPITALAR_F250122_28-0</t>
  </si>
  <si>
    <t>F250122</t>
  </si>
  <si>
    <t>HNAS.HOSPITALAR_F250406_07-0</t>
  </si>
  <si>
    <t>F250406</t>
  </si>
  <si>
    <t>HNAS.HOSPITALAR_F250540_16-0</t>
  </si>
  <si>
    <t>F250540</t>
  </si>
  <si>
    <t>MUTUAM M.P.S.</t>
  </si>
  <si>
    <t>MUTUAM M.P.S._F250005_07-01-</t>
  </si>
  <si>
    <t>MUTUAM M.P.S._F250028_10-01-</t>
  </si>
  <si>
    <t>F250028</t>
  </si>
  <si>
    <t>MUTUAM M.P.S._F250296_10-03-</t>
  </si>
  <si>
    <t>F250296</t>
  </si>
  <si>
    <t>MUTUAM M.P.S._F250294_10-03-</t>
  </si>
  <si>
    <t>F250294</t>
  </si>
  <si>
    <t>MUTUAM M.P.S._F250309_11-03-</t>
  </si>
  <si>
    <t>F250309</t>
  </si>
  <si>
    <t>RESIDENCIA LA FONT DE L'ENAMOR</t>
  </si>
  <si>
    <t>RESIDENCIA LA F_F250700_09-0</t>
  </si>
  <si>
    <t>F250700</t>
  </si>
  <si>
    <t>RESIDENC.GERIATRICA SABADELL,</t>
  </si>
  <si>
    <t>RESIDENC.GERIAT_F250874_28-0</t>
  </si>
  <si>
    <t>F250874</t>
  </si>
  <si>
    <t>RESIDENCIA SITGES PARK, S.L.</t>
  </si>
  <si>
    <t>RESIDENCIA SITG_F250353_21-0</t>
  </si>
  <si>
    <t>F250353</t>
  </si>
  <si>
    <t>RESIDENCIA SITG_F250648_19-0</t>
  </si>
  <si>
    <t>F250648</t>
  </si>
  <si>
    <t>RESIDENCIA SITG_F250939_12-0</t>
  </si>
  <si>
    <t>F250939</t>
  </si>
  <si>
    <t>RESTAURANT CAN FARELL, S.L.</t>
  </si>
  <si>
    <t>RESTAURANT CAN _F250701_09-0</t>
  </si>
  <si>
    <t>F250701</t>
  </si>
  <si>
    <t>FAMILIA SOLA-LIEN</t>
  </si>
  <si>
    <t>FAMILIA SOLA-LI_F250006_07-0</t>
  </si>
  <si>
    <t>F250006</t>
  </si>
  <si>
    <t>RESTAURANT VINYA NOVA</t>
  </si>
  <si>
    <t>FAMILIA SOLA-LI_F250830_13-0</t>
  </si>
  <si>
    <t>F250830</t>
  </si>
  <si>
    <t>RESIDENCIA SAGRADA FAMILIA</t>
  </si>
  <si>
    <t>RESIDENCIA SAGR_F250922_10-0</t>
  </si>
  <si>
    <t>F250922</t>
  </si>
  <si>
    <t>BEL COSMETIC, S.A.</t>
  </si>
  <si>
    <t>BEL COSMETIC, S_F250669_30-0</t>
  </si>
  <si>
    <t>F250669</t>
  </si>
  <si>
    <t>BEL COSMETIC, S_F250777_30-0</t>
  </si>
  <si>
    <t>F250777</t>
  </si>
  <si>
    <t>BEL COSMETIC, S_F250804_05-0</t>
  </si>
  <si>
    <t>F250804</t>
  </si>
  <si>
    <t>BEL COSMETIC, S_F250844_19-0</t>
  </si>
  <si>
    <t>F250844</t>
  </si>
  <si>
    <t>ASSOCIACIO CAN SOTERES S.C.</t>
  </si>
  <si>
    <t>ASSOCIACIO CAN _F250557_23-0</t>
  </si>
  <si>
    <t>F250557</t>
  </si>
  <si>
    <t>ASSOCIACIO CAN _F250684_01-0</t>
  </si>
  <si>
    <t>F250684</t>
  </si>
  <si>
    <t>2.PAGO TOPLINE LAVADORA 8KG</t>
  </si>
  <si>
    <t>ASSOCIACIO CAN _F250933_12-0</t>
  </si>
  <si>
    <t>F250933</t>
  </si>
  <si>
    <t>SANT CUGAT DIR, S.A.</t>
  </si>
  <si>
    <t>SANT CUGAT DIR,_F250575_28-0</t>
  </si>
  <si>
    <t>F250575</t>
  </si>
  <si>
    <t>BALLINA YUSTE, NOEMI</t>
  </si>
  <si>
    <t>BALLINA YUSTE, _F250514_08-0</t>
  </si>
  <si>
    <t>F250514</t>
  </si>
  <si>
    <t>TRANSFERENCIA SCHULTHESS</t>
  </si>
  <si>
    <t>BALLINA YUSTE, _F250696_07-0</t>
  </si>
  <si>
    <t>F250696</t>
  </si>
  <si>
    <t>BALLINA YUSTE, _F250848_20-0</t>
  </si>
  <si>
    <t>F250848</t>
  </si>
  <si>
    <t>FUND.BENEF.NUESTRA SENORA DE F</t>
  </si>
  <si>
    <t>FUND.BENEF.NUES_F250016_09-0</t>
  </si>
  <si>
    <t>FUND.BENEF.NUES_F250411_07-0</t>
  </si>
  <si>
    <t>F250411</t>
  </si>
  <si>
    <t>FUND.BENEF.NUES_F250571_27-0</t>
  </si>
  <si>
    <t>F250571</t>
  </si>
  <si>
    <t>fra 571</t>
  </si>
  <si>
    <t>FUND.BENEF.NUES_F250859_26-0</t>
  </si>
  <si>
    <t>F250859</t>
  </si>
  <si>
    <t>RESIDENCIA SIGMA SALUD, S.L.</t>
  </si>
  <si>
    <t>RESIDENCIA SIGM_F250133_30-0</t>
  </si>
  <si>
    <t>F250133</t>
  </si>
  <si>
    <t>RESIDENCIA SIGM_F250415_08-0</t>
  </si>
  <si>
    <t>F250415</t>
  </si>
  <si>
    <t>RESIDENCIA SIGM_F250655_23-0</t>
  </si>
  <si>
    <t>F250655</t>
  </si>
  <si>
    <t>RESIDENCIA SIGM_F250711_11-0</t>
  </si>
  <si>
    <t>F250711</t>
  </si>
  <si>
    <t>RESIDENCIA SIGM_F250757_24-0</t>
  </si>
  <si>
    <t>F250757</t>
  </si>
  <si>
    <t>RESIDENCIA SIGM_F250887_31-0</t>
  </si>
  <si>
    <t>F250887</t>
  </si>
  <si>
    <t>RESIDENCIA SIGM_F250949_17-0</t>
  </si>
  <si>
    <t>F250949</t>
  </si>
  <si>
    <t>MONTSE ESTRUCH, S.L.</t>
  </si>
  <si>
    <t>ST.JUAN DE DEU SERV.SALUT MENT</t>
  </si>
  <si>
    <t>ST.JUAN DE DEU _F250288_07-0</t>
  </si>
  <si>
    <t>F250288</t>
  </si>
  <si>
    <t>ST.JUAN DE DEU _F250311_12-0</t>
  </si>
  <si>
    <t>F250311</t>
  </si>
  <si>
    <t>ST.JUAN DE DEU _F250499_29-0</t>
  </si>
  <si>
    <t>F250499</t>
  </si>
  <si>
    <t>ST.JUAN DE DEU _F250752_24-0</t>
  </si>
  <si>
    <t>F250752</t>
  </si>
  <si>
    <t>ST.JUAN DE DEU _F250753_24-0</t>
  </si>
  <si>
    <t>F250753</t>
  </si>
  <si>
    <t>ST.JUAN DE DEU _F250826_11-0</t>
  </si>
  <si>
    <t>F250826</t>
  </si>
  <si>
    <t>FUNDACION ALTAYA</t>
  </si>
  <si>
    <t>FUNDACION ALTAY_F250926_12-0</t>
  </si>
  <si>
    <t>F250926</t>
  </si>
  <si>
    <t>F.P.HOSTAL PERE MARTIR COLOMES</t>
  </si>
  <si>
    <t>F.P.HOSTAL PERE_F250936_12-0</t>
  </si>
  <si>
    <t>F250936</t>
  </si>
  <si>
    <t>KERN PHARMA, S.L.</t>
  </si>
  <si>
    <t>KERN PHARMA, S._F250650_19-0</t>
  </si>
  <si>
    <t>F250650</t>
  </si>
  <si>
    <t>KERN PHARMA, S._F250760_28-0</t>
  </si>
  <si>
    <t>F250760</t>
  </si>
  <si>
    <t>FUNDACIO PRIV.OBRA TUTELAR AGR</t>
  </si>
  <si>
    <t>FUNDACIO PRIV.O_F250098_27-0</t>
  </si>
  <si>
    <t>F250098</t>
  </si>
  <si>
    <t>FUNDACIO PRIV.O_F250149_05-0</t>
  </si>
  <si>
    <t>F250149</t>
  </si>
  <si>
    <t>FUNDACIO PRIV.O_F250889_31-0</t>
  </si>
  <si>
    <t>F250889</t>
  </si>
  <si>
    <t>CRESA</t>
  </si>
  <si>
    <t>CRESA_F250381_31-03-2025</t>
  </si>
  <si>
    <t>F250381</t>
  </si>
  <si>
    <t>CENTRE D'ESPORTS MANRESA</t>
  </si>
  <si>
    <t>CANTAMAR, S.L.</t>
  </si>
  <si>
    <t>CANTAMAR, S.L._F250594_02-06</t>
  </si>
  <si>
    <t>F250594</t>
  </si>
  <si>
    <t>CANTAMAR, S.L._F250796_31-07</t>
  </si>
  <si>
    <t>F250796</t>
  </si>
  <si>
    <t>CANTAMAR, S.L._F250806_06-08</t>
  </si>
  <si>
    <t>F250806</t>
  </si>
  <si>
    <t>CANTAMAR, S.L._F250882_31-08</t>
  </si>
  <si>
    <t>F250882</t>
  </si>
  <si>
    <t>CANTAMAR, S.L._F250937_12-09</t>
  </si>
  <si>
    <t>F250937</t>
  </si>
  <si>
    <t>FUNDACIO CATALANA DE L'ESPLAI</t>
  </si>
  <si>
    <t>FUNDACIO CATALA_F250155_06-0</t>
  </si>
  <si>
    <t>F250155</t>
  </si>
  <si>
    <t>FUNDACIO CATALA_F250226_21-0</t>
  </si>
  <si>
    <t>F250226</t>
  </si>
  <si>
    <t>FUNDACIO CATALA_F250249_27-0</t>
  </si>
  <si>
    <t>F250249</t>
  </si>
  <si>
    <t>FUNDACIO CATALA_F250277_05-0</t>
  </si>
  <si>
    <t>F250277</t>
  </si>
  <si>
    <t>FUNDACIO CATALA_F250386_31-0</t>
  </si>
  <si>
    <t>F250386</t>
  </si>
  <si>
    <t>FUNDACIO CATALA_F250429_09-0</t>
  </si>
  <si>
    <t>F250429</t>
  </si>
  <si>
    <t>FUNDACIO CATALA_F250430_09-0</t>
  </si>
  <si>
    <t>F250430</t>
  </si>
  <si>
    <t>FUNDACIO CATALA_F250465_23-0</t>
  </si>
  <si>
    <t>F250465</t>
  </si>
  <si>
    <t>FUNDACIO CATALA_F250483_29-0</t>
  </si>
  <si>
    <t>F250483</t>
  </si>
  <si>
    <t>FUNDACIO CATALA_F250581_29-0</t>
  </si>
  <si>
    <t>F250581</t>
  </si>
  <si>
    <t>FUNDACIO CATALA_F250644_19-0</t>
  </si>
  <si>
    <t>F250644</t>
  </si>
  <si>
    <t>FUNDACIO CATALA_F250660_20-0</t>
  </si>
  <si>
    <t>F250660</t>
  </si>
  <si>
    <t>FUNDACIO CATALA_F250659_25-0</t>
  </si>
  <si>
    <t>F250659</t>
  </si>
  <si>
    <t>FUNDACIO CATALA_F250694_07-0</t>
  </si>
  <si>
    <t>F250694</t>
  </si>
  <si>
    <t>FUNDACIO CATALA_F250772_21-0</t>
  </si>
  <si>
    <t>F250772</t>
  </si>
  <si>
    <t>FRAS 465 + 483</t>
  </si>
  <si>
    <t>FUNDACIO CATALA_F250799_04-0</t>
  </si>
  <si>
    <t>F250799</t>
  </si>
  <si>
    <t>FUNDACIO CATALA_F250871_27-0</t>
  </si>
  <si>
    <t>F250871</t>
  </si>
  <si>
    <t>FUNDACIO CATALA_F250919_09-0</t>
  </si>
  <si>
    <t>F250919</t>
  </si>
  <si>
    <t>TRANSFERENCIES 659+660+694</t>
  </si>
  <si>
    <t>PARADORES TURISMO ESPANA, S.A.</t>
  </si>
  <si>
    <t>PARADORES TURIS_F250476_24-0</t>
  </si>
  <si>
    <t>F250476</t>
  </si>
  <si>
    <t>PARADORES TURIS_F250776_30-0</t>
  </si>
  <si>
    <t>F250776</t>
  </si>
  <si>
    <t>PARADORES TURIS_F250960_19-0</t>
  </si>
  <si>
    <t>F250960</t>
  </si>
  <si>
    <t>MATA ESTEVE, LAIA</t>
  </si>
  <si>
    <t>MATA ESTEVE, LA_F250073_21-0</t>
  </si>
  <si>
    <t>F250073</t>
  </si>
  <si>
    <t>MATA ESTEVE, LA_F250099_27-0</t>
  </si>
  <si>
    <t>F250099</t>
  </si>
  <si>
    <t>MATA ESTEVE, LA_F250165_10-0</t>
  </si>
  <si>
    <t>F250165</t>
  </si>
  <si>
    <t>MATA ESTEVE, LA_F250617_11-0</t>
  </si>
  <si>
    <t>F250617</t>
  </si>
  <si>
    <t>MATA ESTEVE, LA_F250744_22-0</t>
  </si>
  <si>
    <t>F250744</t>
  </si>
  <si>
    <t>MATA ESTEVE, LA_F250824_11-0</t>
  </si>
  <si>
    <t>F250824</t>
  </si>
  <si>
    <t>MATA ESTEVE, LA_F250893_31-0</t>
  </si>
  <si>
    <t>F250893</t>
  </si>
  <si>
    <t>HERNANDEZ RECIO, JOSE EMILIO</t>
  </si>
  <si>
    <t>HERNANDEZ RECIO_F250164_10-0</t>
  </si>
  <si>
    <t>F250164</t>
  </si>
  <si>
    <t>HERNANDEZ RECIO_F250354_21-0</t>
  </si>
  <si>
    <t>F250354</t>
  </si>
  <si>
    <t>HERNANDEZ RECIO_F250948_17-0</t>
  </si>
  <si>
    <t>F250948</t>
  </si>
  <si>
    <t>COLONIES ROSA DELS VENTS SA</t>
  </si>
  <si>
    <t>COLONIES ROSA D_F250735_21-0</t>
  </si>
  <si>
    <t>F250735</t>
  </si>
  <si>
    <t>ROALJAME, S.L.</t>
  </si>
  <si>
    <t>ROALJAME, S.L._F250040_14-01</t>
  </si>
  <si>
    <t>F250040</t>
  </si>
  <si>
    <t>ROALJAME, S.L._F250119_28-01</t>
  </si>
  <si>
    <t>F250119</t>
  </si>
  <si>
    <t>ROALJAME, S.L._F250205_17-02</t>
  </si>
  <si>
    <t>F250205</t>
  </si>
  <si>
    <t>ROALJAME, S.L._F250323_14-03</t>
  </si>
  <si>
    <t>F250323</t>
  </si>
  <si>
    <t>ROALJAME, S.L._F250358_24-03</t>
  </si>
  <si>
    <t>F250358</t>
  </si>
  <si>
    <t>ROALJAME, S.L._F250359_24-03</t>
  </si>
  <si>
    <t>F250359</t>
  </si>
  <si>
    <t>ROALJAME, S.L._F250382_31-03</t>
  </si>
  <si>
    <t>F250382</t>
  </si>
  <si>
    <t>ROALJAME, S.L._F250435_14-04</t>
  </si>
  <si>
    <t>F250435</t>
  </si>
  <si>
    <t>FRAS 283+358+359</t>
  </si>
  <si>
    <t>ROALJAME, S.L._F250497_30-04</t>
  </si>
  <si>
    <t>F250497</t>
  </si>
  <si>
    <t>ROALJAME, S.L._F250670_30-06</t>
  </si>
  <si>
    <t>F250670</t>
  </si>
  <si>
    <t>ROALJAME, S.L._F250928_12-09</t>
  </si>
  <si>
    <t>F250928</t>
  </si>
  <si>
    <t>FAS-NET 2014, S.L.</t>
  </si>
  <si>
    <t>FAS-NET 2014, S_F250050_15-0</t>
  </si>
  <si>
    <t>F250050</t>
  </si>
  <si>
    <t>FAS-NET 2014, S_F250069_20-0</t>
  </si>
  <si>
    <t>F250069</t>
  </si>
  <si>
    <t>FAS-NET 2014, S_F250100_27-0</t>
  </si>
  <si>
    <t>F250100</t>
  </si>
  <si>
    <t>FAS-NET 2014, S_F250146_04-0</t>
  </si>
  <si>
    <t>F250146</t>
  </si>
  <si>
    <t>FAS-NET 2014, S_F250418_08-0</t>
  </si>
  <si>
    <t>F250418</t>
  </si>
  <si>
    <t>FAS-NET 2014, S_F250443_14-0</t>
  </si>
  <si>
    <t>F250443</t>
  </si>
  <si>
    <t>FAS-NET 2014, S_F250522_13-0</t>
  </si>
  <si>
    <t>F250522</t>
  </si>
  <si>
    <t>FAS-NET 2014, S_F250715_14-0</t>
  </si>
  <si>
    <t>F250715</t>
  </si>
  <si>
    <t>FAS-NET 2014, S_F250932_12-0</t>
  </si>
  <si>
    <t>F250932</t>
  </si>
  <si>
    <t>CORTES GUTIERREZ, SARA</t>
  </si>
  <si>
    <t>24001506</t>
  </si>
  <si>
    <t>CORTES GUTIERRE_F250192_14-0</t>
  </si>
  <si>
    <t>F250192</t>
  </si>
  <si>
    <t>CORTES GUTIERRE_F250228_21-0</t>
  </si>
  <si>
    <t>F250228</t>
  </si>
  <si>
    <t>CORTES GUTIERRE_F250192_27-0</t>
  </si>
  <si>
    <t>CN250013</t>
  </si>
  <si>
    <t>CORTES GUTIERRE_F250380_27-0</t>
  </si>
  <si>
    <t>F250380</t>
  </si>
  <si>
    <t>CN250013X</t>
  </si>
  <si>
    <t>CN250013OK</t>
  </si>
  <si>
    <t>CALAF RAJO Y ASOCIADOS, S.L.</t>
  </si>
  <si>
    <t>CALAF RAJO Y AS_F250187_14-0</t>
  </si>
  <si>
    <t>F250187</t>
  </si>
  <si>
    <t>CALAF RAJO Y AS_F250872_27-0</t>
  </si>
  <si>
    <t>F250872</t>
  </si>
  <si>
    <t>PARESLAP, S.L.</t>
  </si>
  <si>
    <t>PARESLAP, S.L._F250910_05-09</t>
  </si>
  <si>
    <t>F250910</t>
  </si>
  <si>
    <t>CLAROSOL 2015, S.L.</t>
  </si>
  <si>
    <t>ST.JOAN DE DEU SERV.SALUT MENT</t>
  </si>
  <si>
    <t>REMUNER.PENDIENTES PAGO</t>
  </si>
  <si>
    <t>TRANSFERENCIA A ORIOL BAGUNA</t>
  </si>
  <si>
    <t>Nomina diciembre</t>
  </si>
  <si>
    <t>PAGAM.DE NÒMINES PEL SEU COM</t>
  </si>
  <si>
    <t>Importe Líquido</t>
  </si>
  <si>
    <t>TRANSFERENCIA A MARIA DO CAR</t>
  </si>
  <si>
    <t>NOMINA GENER 2025</t>
  </si>
  <si>
    <t>NOMINA FEBRER 202</t>
  </si>
  <si>
    <t>NOMINA Febrero 20</t>
  </si>
  <si>
    <t>FINIQUITO A 16/04</t>
  </si>
  <si>
    <t>PAGAM.DE NOMINES PEL SEU COM</t>
  </si>
  <si>
    <t>ANTICIPO NOMINA JUAN PULGARI</t>
  </si>
  <si>
    <t>HDA.PUB.IVA SOP.BIENES CORR.</t>
  </si>
  <si>
    <t>IVA S./TYCO INTEGRATED SECUR</t>
  </si>
  <si>
    <t>40797</t>
  </si>
  <si>
    <t>IVA S./SERGALEX SL</t>
  </si>
  <si>
    <t>IVA S./TELEFONICA DE ESPANA,</t>
  </si>
  <si>
    <t>202193</t>
  </si>
  <si>
    <t>IVA S./CASTELLANOS MARIN, JO</t>
  </si>
  <si>
    <t>IVA S./FCA AUTO BANK SUC EN</t>
  </si>
  <si>
    <t>sin fra</t>
  </si>
  <si>
    <t>IVA S./BANCO DE SABADELL, S.</t>
  </si>
  <si>
    <t>IVA S./SOLRED, S.A.</t>
  </si>
  <si>
    <t>IVA S./SERVEI D'ENTREGA URGE</t>
  </si>
  <si>
    <t>74835</t>
  </si>
  <si>
    <t>72743</t>
  </si>
  <si>
    <t>IVA S./PRIETO SANTOS, MONTSE</t>
  </si>
  <si>
    <t>IVA S./HOLDED TECHNOLOGIES S</t>
  </si>
  <si>
    <t>IVA S./GIRBAU, S.A.</t>
  </si>
  <si>
    <t>IVA S./SALVADOR MEMBRILLA, F</t>
  </si>
  <si>
    <t>IVA S./MICROLOGIC, SLU</t>
  </si>
  <si>
    <t>1355</t>
  </si>
  <si>
    <t>IVA S./PAGINAS AMARILLAS SOL</t>
  </si>
  <si>
    <t>3565</t>
  </si>
  <si>
    <t>IVA S./HOGAR TINTORERO, S.L.</t>
  </si>
  <si>
    <t>IVA S./GLOBAL SABADELL, S.L.</t>
  </si>
  <si>
    <t>IVA S./BRICOLAJE BRICOMAN, S</t>
  </si>
  <si>
    <t>IVA S./SUBMINISTRAMENTS SUMH</t>
  </si>
  <si>
    <t>2500160</t>
  </si>
  <si>
    <t>39557</t>
  </si>
  <si>
    <t>IVA S./CAROL AUTOMATISMES TE</t>
  </si>
  <si>
    <t>IVA S./ASSESSORIA EGARA, SL</t>
  </si>
  <si>
    <t>1/0000115</t>
  </si>
  <si>
    <t>IVA S./ACJ SYSTEMS, S.L.</t>
  </si>
  <si>
    <t>IVA S./AMAZON EU SARL</t>
  </si>
  <si>
    <t>IVA S./SALTOKI BARBERA SL</t>
  </si>
  <si>
    <t>IVA S./MANZANO ORDONEZ MIGUE</t>
  </si>
  <si>
    <t>250021</t>
  </si>
  <si>
    <t>IVA S./M&amp;M IBERICA, S.L.</t>
  </si>
  <si>
    <t>4066</t>
  </si>
  <si>
    <t>IVA S./PREVENGRAF, S.L.</t>
  </si>
  <si>
    <t>75382</t>
  </si>
  <si>
    <t>IVA S./GAS OILS ROVIRA, SL</t>
  </si>
  <si>
    <t>IVA S./KING STEAK SL</t>
  </si>
  <si>
    <t>3709</t>
  </si>
  <si>
    <t>IVA S./GOMEZ PIMENTEL, JOSE</t>
  </si>
  <si>
    <t>223</t>
  </si>
  <si>
    <t>6345</t>
  </si>
  <si>
    <t>2666</t>
  </si>
  <si>
    <t>200470</t>
  </si>
  <si>
    <t>IVA S./TELEFONICA MOVILES ES</t>
  </si>
  <si>
    <t>5U1-083456</t>
  </si>
  <si>
    <t>IVA S./INOXCROM INTERNACIONA</t>
  </si>
  <si>
    <t>BBVNI</t>
  </si>
  <si>
    <t>IVA S./NOROTO, S.A.</t>
  </si>
  <si>
    <t>5910024502</t>
  </si>
  <si>
    <t>IVA S./PULGARIN SUAREZ JUAN</t>
  </si>
  <si>
    <t>IVA S./COSMOPARTNER SA</t>
  </si>
  <si>
    <t>20036</t>
  </si>
  <si>
    <t>47850</t>
  </si>
  <si>
    <t>IVA S./MARLES TORTOSA, CARLE</t>
  </si>
  <si>
    <t>1859</t>
  </si>
  <si>
    <t>IVA S./BALINVEST TRADE SL</t>
  </si>
  <si>
    <t>VKLNI</t>
  </si>
  <si>
    <t>38871</t>
  </si>
  <si>
    <t>1/0000283</t>
  </si>
  <si>
    <t>IVA S./SALVADOR ESCODA SA</t>
  </si>
  <si>
    <t>9151377</t>
  </si>
  <si>
    <t>IVA S./PUNTS DE LLOGUER, SL</t>
  </si>
  <si>
    <t>75651</t>
  </si>
  <si>
    <t>2500379</t>
  </si>
  <si>
    <t>8379</t>
  </si>
  <si>
    <t>20802</t>
  </si>
  <si>
    <t>3962</t>
  </si>
  <si>
    <t>35390753</t>
  </si>
  <si>
    <t>5U1-083971</t>
  </si>
  <si>
    <t>99015</t>
  </si>
  <si>
    <t>IVA S./TORRAS SUMIN.INDUSTRI</t>
  </si>
  <si>
    <t>IVA S./SANZ DIAZ, DAVID</t>
  </si>
  <si>
    <t>A25-100</t>
  </si>
  <si>
    <t>250091977</t>
  </si>
  <si>
    <t>IVA S./DAUNIS,S.A.</t>
  </si>
  <si>
    <t>931735</t>
  </si>
  <si>
    <t>IVA S./LEROY MERLIN ESPANA,S</t>
  </si>
  <si>
    <t>980062</t>
  </si>
  <si>
    <t>IVA S./NEW HOME PC SYSTEM SL</t>
  </si>
  <si>
    <t>190</t>
  </si>
  <si>
    <t>1/0000326</t>
  </si>
  <si>
    <t>1/0000327</t>
  </si>
  <si>
    <t>38258</t>
  </si>
  <si>
    <t>IVA S./ENERGIA XXI COMERC. D</t>
  </si>
  <si>
    <t>82059</t>
  </si>
  <si>
    <t>1/0000444</t>
  </si>
  <si>
    <t>IVA S./UPGRADE YOUR BIZ SLU</t>
  </si>
  <si>
    <t>IVA S./TECNITRAMO CATALUNYA,</t>
  </si>
  <si>
    <t>251030</t>
  </si>
  <si>
    <t>IVA S./ONLINE TRAVEL SOLUTIO</t>
  </si>
  <si>
    <t>250175474</t>
  </si>
  <si>
    <t>IVA S./MILIAN RETOLS,  SL</t>
  </si>
  <si>
    <t>2500348</t>
  </si>
  <si>
    <t>IVA S./TECNO SEGURETAT ANOIA</t>
  </si>
  <si>
    <t>1544</t>
  </si>
  <si>
    <t>IVA S./CASTERLI IBERIA, SL</t>
  </si>
  <si>
    <t>GTT96</t>
  </si>
  <si>
    <t>IVA S./CERTIO ITV, SL</t>
  </si>
  <si>
    <t>O000734221</t>
  </si>
  <si>
    <t>IVA S./JOYFAY INTERNATIONA L</t>
  </si>
  <si>
    <t>S456</t>
  </si>
  <si>
    <t>IVA S./ACCORINVEST SPAIN SA</t>
  </si>
  <si>
    <t>7438</t>
  </si>
  <si>
    <t>IVA S./RESTAURANTE JUANECA S</t>
  </si>
  <si>
    <t>120</t>
  </si>
  <si>
    <t>IVA S./LEASYS SPA</t>
  </si>
  <si>
    <t>883430</t>
  </si>
  <si>
    <t>IVA S./GRUES I TRANSPORTS VE</t>
  </si>
  <si>
    <t>Modelo 303 1 Trimestre</t>
  </si>
  <si>
    <t>IVA S./CAIXABANK, SA</t>
  </si>
  <si>
    <t>5365</t>
  </si>
  <si>
    <t>5U1-024797</t>
  </si>
  <si>
    <t>98208</t>
  </si>
  <si>
    <t>IVA S./SUMRRASSA, S.L.</t>
  </si>
  <si>
    <t>30834</t>
  </si>
  <si>
    <t>IVA S./DIOTRONIC S A</t>
  </si>
  <si>
    <t>7795</t>
  </si>
  <si>
    <t>5507</t>
  </si>
  <si>
    <t>13024</t>
  </si>
  <si>
    <t>3909</t>
  </si>
  <si>
    <t>8108</t>
  </si>
  <si>
    <t>255</t>
  </si>
  <si>
    <t>IVA S./LA ELECTRICA DE TERRA</t>
  </si>
  <si>
    <t>1826</t>
  </si>
  <si>
    <t>2500797</t>
  </si>
  <si>
    <t>IVA S./ELEKTRA CATALUNYA XXI</t>
  </si>
  <si>
    <t>37382</t>
  </si>
  <si>
    <t>251043</t>
  </si>
  <si>
    <t>1684</t>
  </si>
  <si>
    <t>886695</t>
  </si>
  <si>
    <t>1/0000582</t>
  </si>
  <si>
    <t>1932</t>
  </si>
  <si>
    <t>40547</t>
  </si>
  <si>
    <t>40548</t>
  </si>
  <si>
    <t>40561</t>
  </si>
  <si>
    <t>IVA S./REGISTRO MERCANTIL BA</t>
  </si>
  <si>
    <t>40939</t>
  </si>
  <si>
    <t>IVA S./ARVAL SERVICE LEASE S</t>
  </si>
  <si>
    <t>IVA S./SOPREMA, SL</t>
  </si>
  <si>
    <t>561</t>
  </si>
  <si>
    <t>IVA S./REPMATEL TORRES, S.L.</t>
  </si>
  <si>
    <t>50159</t>
  </si>
  <si>
    <t>41195</t>
  </si>
  <si>
    <t>5U1-075725</t>
  </si>
  <si>
    <t>198547</t>
  </si>
  <si>
    <t>35639395</t>
  </si>
  <si>
    <t>IVA S./BAR RESTAURANT MILENN</t>
  </si>
  <si>
    <t>6789</t>
  </si>
  <si>
    <t>78006</t>
  </si>
  <si>
    <t>50039</t>
  </si>
  <si>
    <t>IVA S./SDAD.EST.CORREOS Y TE</t>
  </si>
  <si>
    <t>F250209694</t>
  </si>
  <si>
    <t>8002</t>
  </si>
  <si>
    <t>IVA S./CARLOS CASTILLA INGEN</t>
  </si>
  <si>
    <t>9956</t>
  </si>
  <si>
    <t>IVA S./GROLTRATEC SL</t>
  </si>
  <si>
    <t>2074</t>
  </si>
  <si>
    <t>36079</t>
  </si>
  <si>
    <t>IVA S./ANTAL INTERNATIONAL S</t>
  </si>
  <si>
    <t>IVA S./TALLERES ELECTRICOS B</t>
  </si>
  <si>
    <t>6613</t>
  </si>
  <si>
    <t>70145</t>
  </si>
  <si>
    <t>IVA S./ERKE,S.A.</t>
  </si>
  <si>
    <t>3101</t>
  </si>
  <si>
    <t>IVA S./SHENZHENSHIWOSHANYAKE</t>
  </si>
  <si>
    <t>AQMN9I</t>
  </si>
  <si>
    <t>IVA S./AUBERT SUMINISTROS IN</t>
  </si>
  <si>
    <t>IVA S./LAYFIL SL</t>
  </si>
  <si>
    <t>1703</t>
  </si>
  <si>
    <t>1/0000718</t>
  </si>
  <si>
    <t>IVA S./VUELING AIRLINES, SA</t>
  </si>
  <si>
    <t>0000315568</t>
  </si>
  <si>
    <t>IVA S./SUBINMEC SL</t>
  </si>
  <si>
    <t>52191</t>
  </si>
  <si>
    <t>IVA S./DELGADO PEREZ MARIA D</t>
  </si>
  <si>
    <t>290</t>
  </si>
  <si>
    <t>52227</t>
  </si>
  <si>
    <t>2500993</t>
  </si>
  <si>
    <t>IVA S./GMP SRL</t>
  </si>
  <si>
    <t>610</t>
  </si>
  <si>
    <t>IVA S./BLADAS ROLDAN, MIGUEL</t>
  </si>
  <si>
    <t>IVA S./LOTIAMUS SL</t>
  </si>
  <si>
    <t>191058</t>
  </si>
  <si>
    <t>76451</t>
  </si>
  <si>
    <t>A8102</t>
  </si>
  <si>
    <t>98271</t>
  </si>
  <si>
    <t>35763742</t>
  </si>
  <si>
    <t>IVA S./PRODERMO 2013 SL</t>
  </si>
  <si>
    <t>1250737</t>
  </si>
  <si>
    <t>IVA S./PLEO TECHNOLOGIES AS</t>
  </si>
  <si>
    <t>IVA S./DHL EXPRESS SPAIN SLU</t>
  </si>
  <si>
    <t>12775</t>
  </si>
  <si>
    <t>38691</t>
  </si>
  <si>
    <t>IVA S./TRANSGOURMET IBERICA,</t>
  </si>
  <si>
    <t>19184</t>
  </si>
  <si>
    <t>2810</t>
  </si>
  <si>
    <t>1/0000757</t>
  </si>
  <si>
    <t>1/0000761</t>
  </si>
  <si>
    <t>PT2593</t>
  </si>
  <si>
    <t>35933</t>
  </si>
  <si>
    <t>1/0000835</t>
  </si>
  <si>
    <t>13686</t>
  </si>
  <si>
    <t>8646</t>
  </si>
  <si>
    <t>1/0000978</t>
  </si>
  <si>
    <t>IVA S./CECOPI DROGUERIA INDU</t>
  </si>
  <si>
    <t>266764</t>
  </si>
  <si>
    <t>IVA S./HOSTINGER INTERNATION</t>
  </si>
  <si>
    <t>2168</t>
  </si>
  <si>
    <t>23093</t>
  </si>
  <si>
    <t>IVA S./ESPINAR HOSTELERIA SL</t>
  </si>
  <si>
    <t>5407</t>
  </si>
  <si>
    <t>IVA S./GARDENLAND 202 SL</t>
  </si>
  <si>
    <t>869RI</t>
  </si>
  <si>
    <t>IVA S./MECSA VALLES SL</t>
  </si>
  <si>
    <t>97</t>
  </si>
  <si>
    <t>IVA S./ADOBE SYSTEMS SOFTWAR</t>
  </si>
  <si>
    <t>IVA S./INDUTEX MULETONES Y A</t>
  </si>
  <si>
    <t>IVA S./ROEIRASA SAU</t>
  </si>
  <si>
    <t>31735</t>
  </si>
  <si>
    <t>76707</t>
  </si>
  <si>
    <t>IVA S./LOGISTICA LLOBREGAT S</t>
  </si>
  <si>
    <t>IVA S./INKYPRINT, SL</t>
  </si>
  <si>
    <t>20911</t>
  </si>
  <si>
    <t>Modelo 303 2 Trimestre</t>
  </si>
  <si>
    <t>35887994</t>
  </si>
  <si>
    <t>IVA S./M.C. TRINTER SA</t>
  </si>
  <si>
    <t>9373</t>
  </si>
  <si>
    <t>85755</t>
  </si>
  <si>
    <t>5U1-071512</t>
  </si>
  <si>
    <t>739</t>
  </si>
  <si>
    <t>IVA S./FEDEX EXPRESS SPAIN S</t>
  </si>
  <si>
    <t>IVA S./BANCO BILBAO VIZCAYA</t>
  </si>
  <si>
    <t>IVA S./ROSSELLO MESTRE, ANTO</t>
  </si>
  <si>
    <t>IVA S./SOLE SUBMINISTRAMENTS</t>
  </si>
  <si>
    <t>60028</t>
  </si>
  <si>
    <t>940688</t>
  </si>
  <si>
    <t>IVA S./APPLUS ITEUVE TECHNOL</t>
  </si>
  <si>
    <t>IVA S./SERVICIO ASISTENCIA T</t>
  </si>
  <si>
    <t>6651</t>
  </si>
  <si>
    <t>1512</t>
  </si>
  <si>
    <t>5486</t>
  </si>
  <si>
    <t>6680</t>
  </si>
  <si>
    <t>20250243</t>
  </si>
  <si>
    <t>IVA S./FMD RASMACOR SL (AMAZ</t>
  </si>
  <si>
    <t>1/0001123</t>
  </si>
  <si>
    <t>IVA S./ABLUE SPAIN SL</t>
  </si>
  <si>
    <t>1362</t>
  </si>
  <si>
    <t>8192</t>
  </si>
  <si>
    <t>6913</t>
  </si>
  <si>
    <t>2025</t>
  </si>
  <si>
    <t>915124</t>
  </si>
  <si>
    <t>20250264</t>
  </si>
  <si>
    <t>2501455</t>
  </si>
  <si>
    <t>76966</t>
  </si>
  <si>
    <t>35993081</t>
  </si>
  <si>
    <t>9560</t>
  </si>
  <si>
    <t>5U1-072566</t>
  </si>
  <si>
    <t>10948</t>
  </si>
  <si>
    <t>IVA S./PLANETA SA</t>
  </si>
  <si>
    <t>300507</t>
  </si>
  <si>
    <t>IVA S./CITY SELF STORAGE SL</t>
  </si>
  <si>
    <t>342729</t>
  </si>
  <si>
    <t>34971</t>
  </si>
  <si>
    <t>IVA S./F4F EVENTS SL</t>
  </si>
  <si>
    <t>1/0001262</t>
  </si>
  <si>
    <t>248164</t>
  </si>
  <si>
    <t>IVA S./ATHLON CAR LEASE, S.A</t>
  </si>
  <si>
    <t>IVA S./INFOPENTA SL</t>
  </si>
  <si>
    <t>3018-2025</t>
  </si>
  <si>
    <t>12154</t>
  </si>
  <si>
    <t>36117693</t>
  </si>
  <si>
    <t>5U1-030129</t>
  </si>
  <si>
    <t>39980</t>
  </si>
  <si>
    <t>IVA S./SUMINISTROS INDUSTRIA</t>
  </si>
  <si>
    <t>793435</t>
  </si>
  <si>
    <t>34341</t>
  </si>
  <si>
    <t>1/0001402</t>
  </si>
  <si>
    <t>46860</t>
  </si>
  <si>
    <t>IVA S./RENFE VIAJEROS SOCIED</t>
  </si>
  <si>
    <t>0016312059</t>
  </si>
  <si>
    <t>0016312058</t>
  </si>
  <si>
    <t>HACIEN.PUBL.RETENCION PAGOS C.</t>
  </si>
  <si>
    <t>IMPOSTOS - TRIBUTS</t>
  </si>
  <si>
    <t>H.P. APLAZAMIENTO IVA</t>
  </si>
  <si>
    <t>CÀRREC PER PAGAMENT D'IMPOST</t>
  </si>
  <si>
    <t>CONCESION APLAZAMIENTO</t>
  </si>
  <si>
    <t>4T/2024</t>
  </si>
  <si>
    <t>CONCESIÓN APLAZAMIENTO</t>
  </si>
  <si>
    <t>HDA.PUB.RET.I.R.P.F.</t>
  </si>
  <si>
    <t>Reten./PRIETO SANTOS, MONTSE</t>
  </si>
  <si>
    <t>Reten./SALVADOR MEMBRILLA, F</t>
  </si>
  <si>
    <t>Imp.Ingr. a Cta. Esp. Cgo.Tr</t>
  </si>
  <si>
    <t>Reten./REGISTRO MERCANTIL BA</t>
  </si>
  <si>
    <t>TRIBUTACION I.R.P.F.</t>
  </si>
  <si>
    <t>Reten./ROSSELLO MESTRE, ANTO</t>
  </si>
  <si>
    <t>ORGANIS.SEG.SOCIAL ACREEDORA</t>
  </si>
  <si>
    <t>QUOTES DE LA SEGURETAT SOCIA</t>
  </si>
  <si>
    <t>Total TC1</t>
  </si>
  <si>
    <t>QUOTES DE SEGURETAT SOCIAL</t>
  </si>
  <si>
    <t>HDA.PUB.IVA REPERCUTIDO</t>
  </si>
  <si>
    <t>IVA R./ALBERTO DELLACASA, MA</t>
  </si>
  <si>
    <t>24001420</t>
  </si>
  <si>
    <t>IVA R./FUND PRIV AGUSTI STA</t>
  </si>
  <si>
    <t>24001180</t>
  </si>
  <si>
    <t>IVA R./RESIDENCIA BARCELONA,</t>
  </si>
  <si>
    <t>IVA R./SOLER FUSTE, MACINTA</t>
  </si>
  <si>
    <t>IVA R./CENTRE GERIATRIC SANT</t>
  </si>
  <si>
    <t>F250002</t>
  </si>
  <si>
    <t>IVA R./RESIDENCIA EL CEL DE</t>
  </si>
  <si>
    <t>F250003</t>
  </si>
  <si>
    <t>IVA R./REDORTA SABATE MARIA</t>
  </si>
  <si>
    <t>F250004</t>
  </si>
  <si>
    <t>IVA R./MUTUAM M.P.S.</t>
  </si>
  <si>
    <t>IVA R./FAMILIA SOLA-LIEN</t>
  </si>
  <si>
    <t>IVA R./MIRADOR ROIG SL</t>
  </si>
  <si>
    <t>IVA R./CODINA BATALLE, SILVI</t>
  </si>
  <si>
    <t>IVA R./VILA VALDOREIX, S.L.</t>
  </si>
  <si>
    <t>IVA R./CORP.MED.INVERSIONES</t>
  </si>
  <si>
    <t>IVA R./MUTUAM MANRESA</t>
  </si>
  <si>
    <t>IVA R./CAN COR 98, S.L.</t>
  </si>
  <si>
    <t>IVA R./VJ CANOSA, S.C.P.</t>
  </si>
  <si>
    <t>IVA R./MAIBA ASISTENCIA, S.L</t>
  </si>
  <si>
    <t>IVA R./SAEZ GOMEZ, SONIA</t>
  </si>
  <si>
    <t>IVA R./FUND.BENEF.NUESTRA SE</t>
  </si>
  <si>
    <t>IVA R./TRAVELODGE HOTELES ES</t>
  </si>
  <si>
    <t>F250017</t>
  </si>
  <si>
    <t>IVA R./PARC DE BELLOCH SL</t>
  </si>
  <si>
    <t>F250019</t>
  </si>
  <si>
    <t>IVA R./CLINICA SAN JOSE DE I</t>
  </si>
  <si>
    <t>F250020</t>
  </si>
  <si>
    <t>IVA R./ROCO INVESTMENTS, SL</t>
  </si>
  <si>
    <t>F250021</t>
  </si>
  <si>
    <t>IVA R./ARANDA CARBO, SL</t>
  </si>
  <si>
    <t>F250022</t>
  </si>
  <si>
    <t>IVA R./LAUNDRY QUALITY SERVI</t>
  </si>
  <si>
    <t>F250023</t>
  </si>
  <si>
    <t>IVA R./CASAGRANDE, ANNALISA</t>
  </si>
  <si>
    <t>F250024</t>
  </si>
  <si>
    <t>IVA R./SANT GERVASI PARADISE</t>
  </si>
  <si>
    <t>F250025</t>
  </si>
  <si>
    <t>IVA R./RSD.DE COLONIAS EXTRA</t>
  </si>
  <si>
    <t>IVA R./BCB LAVANDERIA SL</t>
  </si>
  <si>
    <t>IVA R./RESIDENCIA ST.BONIFAC</t>
  </si>
  <si>
    <t>F250029</t>
  </si>
  <si>
    <t>IVA R./OLIRO 2024 SL</t>
  </si>
  <si>
    <t>F250030</t>
  </si>
  <si>
    <t>IVA R./PROTECTORA D'ANIMALS</t>
  </si>
  <si>
    <t>F250031</t>
  </si>
  <si>
    <t>IVA R./WASH LA CRULLA, S.L.</t>
  </si>
  <si>
    <t>F250032</t>
  </si>
  <si>
    <t>IVA R./INTERNATIONAL WASH AN</t>
  </si>
  <si>
    <t>F250033</t>
  </si>
  <si>
    <t>IVA R./TAJULI 3 SL</t>
  </si>
  <si>
    <t>IVA R./CENTRO DE LAVADO SIGL</t>
  </si>
  <si>
    <t>IVA R./BUGADERIA PARDALS, S.</t>
  </si>
  <si>
    <t>IVA R./RESIDENCIA PALAU, S.L</t>
  </si>
  <si>
    <t>F250037</t>
  </si>
  <si>
    <t>F250038</t>
  </si>
  <si>
    <t>F250039</t>
  </si>
  <si>
    <t>IVA R./ROALJAME, S.L.</t>
  </si>
  <si>
    <t>IVA R./SOPHOS GESTIO, S.L./B</t>
  </si>
  <si>
    <t>IVA R./LEAL GOMEZ, TANIA</t>
  </si>
  <si>
    <t>F250042</t>
  </si>
  <si>
    <t>F250043</t>
  </si>
  <si>
    <t>IVA R./INTRABERRY 3000, SL</t>
  </si>
  <si>
    <t>IVA R./FAS-NET 2014, S.L.</t>
  </si>
  <si>
    <t>IVA R./JARDINS DE CASTELLARN</t>
  </si>
  <si>
    <t>IVA R./RESIDENCIA NORD EGARA</t>
  </si>
  <si>
    <t>F250045</t>
  </si>
  <si>
    <t>IVA R./HOTEL DANTE, S.L.</t>
  </si>
  <si>
    <t>F250046</t>
  </si>
  <si>
    <t>IVA R./TOTAL SAFETY CLEAN SL</t>
  </si>
  <si>
    <t>F250047</t>
  </si>
  <si>
    <t>IVA R./SAN NICOLAS GIMENEZ,</t>
  </si>
  <si>
    <t>IVA R./PLANAS ARNAZ, MARIA T</t>
  </si>
  <si>
    <t>F250054</t>
  </si>
  <si>
    <t>IVA R./CRISTOFANI GIMENEZ, A</t>
  </si>
  <si>
    <t>IVA R./RESIDENCIA ROMA,SL</t>
  </si>
  <si>
    <t>F250056</t>
  </si>
  <si>
    <t>IVA R./RESIDENCIA SANT JORDI</t>
  </si>
  <si>
    <t>F250057</t>
  </si>
  <si>
    <t>IVA R./PLANIGER, SA</t>
  </si>
  <si>
    <t>IVA R./SANT ANDREU SALUT FUN</t>
  </si>
  <si>
    <t>F250059</t>
  </si>
  <si>
    <t>F250060</t>
  </si>
  <si>
    <t>IVA R./GIRBAU, S.A.</t>
  </si>
  <si>
    <t>IVA R./TURRO JOVER, MIREIA (</t>
  </si>
  <si>
    <t>F250062</t>
  </si>
  <si>
    <t>IVA R./CATERGEST SA</t>
  </si>
  <si>
    <t>F250063</t>
  </si>
  <si>
    <t>IVA R./ALPASOL GRUP SL</t>
  </si>
  <si>
    <t>F250064</t>
  </si>
  <si>
    <t>IVA R./CINDAR GLOBAL SL</t>
  </si>
  <si>
    <t>F250066</t>
  </si>
  <si>
    <t>F250071</t>
  </si>
  <si>
    <t>IVA R./HOTEL SOFIA BARCELONA</t>
  </si>
  <si>
    <t>IVA R./CENTRO MEDICO MOLINS,</t>
  </si>
  <si>
    <t>F250067</t>
  </si>
  <si>
    <t>IVA R./GERONTOCAT, S.L.</t>
  </si>
  <si>
    <t>IVA R./BI-NETEXPRESS, S.L.</t>
  </si>
  <si>
    <t>F250070</t>
  </si>
  <si>
    <t>IVA R./MATA ESTEVE, LAIA</t>
  </si>
  <si>
    <t>IVA R./CODINA DIAZ, EMILIO</t>
  </si>
  <si>
    <t>F250074</t>
  </si>
  <si>
    <t>IVA R./FUNDACIO APIP ACAM</t>
  </si>
  <si>
    <t>F250075</t>
  </si>
  <si>
    <t>IVA R./PAULA PEREZ, MARIA</t>
  </si>
  <si>
    <t>F250076</t>
  </si>
  <si>
    <t>IVA R./ASSISTENCIAL CRESGRA</t>
  </si>
  <si>
    <t>F250077</t>
  </si>
  <si>
    <t>IVA R./HOTEL COLON, S.A.</t>
  </si>
  <si>
    <t>IVA R./CLARIS DIR, S.A.</t>
  </si>
  <si>
    <t>F250085</t>
  </si>
  <si>
    <t>F250087</t>
  </si>
  <si>
    <t>IVA R./MEDIN-1, S.A.</t>
  </si>
  <si>
    <t>F250089</t>
  </si>
  <si>
    <t>IVA R./CASNOGAL WASH, S.L.</t>
  </si>
  <si>
    <t>IVA R./HORIZONTES ESTRATEGIC</t>
  </si>
  <si>
    <t>IVA R./RESIDENCIA AVIS DE NA</t>
  </si>
  <si>
    <t>IVA R./FUND.ASIL HOSP.LA GAR</t>
  </si>
  <si>
    <t>F250080</t>
  </si>
  <si>
    <t>IVA R./ADQUISICIONES ROSEGAR</t>
  </si>
  <si>
    <t>F250081</t>
  </si>
  <si>
    <t>IVA R./ESMEANGEL ZARAGOZA SL</t>
  </si>
  <si>
    <t>IVA R./CABELLO LARA, CARMEN</t>
  </si>
  <si>
    <t>IVA R./COMPLEJO MAR BELLA, S</t>
  </si>
  <si>
    <t>IVA R./INSTAL.LACIONS MALE</t>
  </si>
  <si>
    <t>F250086</t>
  </si>
  <si>
    <t>IVA R./INSTALACIONS I REPARA</t>
  </si>
  <si>
    <t>F250088</t>
  </si>
  <si>
    <t>IVA R./SOLSONET, S.C.P.</t>
  </si>
  <si>
    <t>F250095</t>
  </si>
  <si>
    <t>IVA R./FUNDACIO PRIV.OBRA TU</t>
  </si>
  <si>
    <t>F250101</t>
  </si>
  <si>
    <t>IVA R./FUNDACIO PATRONAT DE</t>
  </si>
  <si>
    <t>F250102</t>
  </si>
  <si>
    <t>IVA R./RESIDENCIAS ASISTENCI</t>
  </si>
  <si>
    <t>F250103</t>
  </si>
  <si>
    <t>F250104</t>
  </si>
  <si>
    <t>IVA R./DIAGONAL DIR, S.A.</t>
  </si>
  <si>
    <t>F250106</t>
  </si>
  <si>
    <t>IVA R./AIRE ANCIENT BATHS, S</t>
  </si>
  <si>
    <t>IVA R./OHL SERVICIOS INGESAN</t>
  </si>
  <si>
    <t>F250109</t>
  </si>
  <si>
    <t>IVA R./BITE-N-RUN, S.L.</t>
  </si>
  <si>
    <t>F250110</t>
  </si>
  <si>
    <t>IVA R./ASSOCIACIO FOGALL</t>
  </si>
  <si>
    <t>IVA R./RESIDENCIAS MUTUAM, S</t>
  </si>
  <si>
    <t>IVA R./VICELO HOTELS SL</t>
  </si>
  <si>
    <t>F250116</t>
  </si>
  <si>
    <t>IVA R./SUPERBRASA SABADELL,</t>
  </si>
  <si>
    <t>F250117</t>
  </si>
  <si>
    <t>F250118</t>
  </si>
  <si>
    <t>F250120</t>
  </si>
  <si>
    <t>IVA R./VILAR SAFONT, SERGI</t>
  </si>
  <si>
    <t>F250121</t>
  </si>
  <si>
    <t>IVA R./HNAS.HOSPITALARIAS SA</t>
  </si>
  <si>
    <t>IVA R./ECO-NET MULBERRY, SCP</t>
  </si>
  <si>
    <t>IVA R./CAN TRAVER, S.L.</t>
  </si>
  <si>
    <t>F250124</t>
  </si>
  <si>
    <t>IVA R./RESIDENCIA CAN CALO</t>
  </si>
  <si>
    <t>F250125</t>
  </si>
  <si>
    <t>F250126</t>
  </si>
  <si>
    <t>F250127</t>
  </si>
  <si>
    <t>F250128</t>
  </si>
  <si>
    <t>IVA R./SABADELL ART, S.L.</t>
  </si>
  <si>
    <t>F250123</t>
  </si>
  <si>
    <t>F250129</t>
  </si>
  <si>
    <t>IVA R./RESIDENCIA SIGMA SALU</t>
  </si>
  <si>
    <t>IVA R./BUGADERIA GUBERN, S.L</t>
  </si>
  <si>
    <t>IVA R./FUNDACIO PRIVADA ATEN</t>
  </si>
  <si>
    <t>F250136</t>
  </si>
  <si>
    <t>IVA R./TRES TORRES DIR, S.A.</t>
  </si>
  <si>
    <t>F250137</t>
  </si>
  <si>
    <t>IVA R./CASTRO, MAURICIO</t>
  </si>
  <si>
    <t>IVA R./HOTIBES, S.A.</t>
  </si>
  <si>
    <t>F250131</t>
  </si>
  <si>
    <t>IVA R./FUNDACION CONSORTES G</t>
  </si>
  <si>
    <t>F250138</t>
  </si>
  <si>
    <t>IVA R./CAN CAMP RESIDENCIAL</t>
  </si>
  <si>
    <t>IVA R./BELLACRESTA, S.L.</t>
  </si>
  <si>
    <t>F250143</t>
  </si>
  <si>
    <t>F250144</t>
  </si>
  <si>
    <t>F250145</t>
  </si>
  <si>
    <t>IVA R./RESIDENCIA SAGRADA FA</t>
  </si>
  <si>
    <t>F250141</t>
  </si>
  <si>
    <t>IVA R./ASSOCIACIO CULTURAL C</t>
  </si>
  <si>
    <t>F250147</t>
  </si>
  <si>
    <t>IVA R./TOT PULIT, S.C.C.L.</t>
  </si>
  <si>
    <t>IVA R./GASCON SEGUNDO, JORDI</t>
  </si>
  <si>
    <t>F250152</t>
  </si>
  <si>
    <t>F250153</t>
  </si>
  <si>
    <t>IVA R./MUTUA DE GRANOLLERS M</t>
  </si>
  <si>
    <t>F250157</t>
  </si>
  <si>
    <t>IVA R./SANITAS MAYORES, S.L.</t>
  </si>
  <si>
    <t>F250154</t>
  </si>
  <si>
    <t>IVA R./FUNDACIO CATALANA DE</t>
  </si>
  <si>
    <t>IVA R./RESIDENCIA SAN BERNAT</t>
  </si>
  <si>
    <t>IVA R./TINTORERIA I BUGADERI</t>
  </si>
  <si>
    <t>IVA R./HERNANDEZ RECIO, JOSE</t>
  </si>
  <si>
    <t>F250167</t>
  </si>
  <si>
    <t>IVA R./D.MASIA2, S.L.</t>
  </si>
  <si>
    <t>F250168</t>
  </si>
  <si>
    <t>IVA R./HUESA FERNANDEZ, MANU</t>
  </si>
  <si>
    <t>F250169</t>
  </si>
  <si>
    <t>IVA R./CANUDAS BOSCH, SILVIA</t>
  </si>
  <si>
    <t>F250170</t>
  </si>
  <si>
    <t>IVA R./MAS NOU SALLENT, S.L.</t>
  </si>
  <si>
    <t>IVA R./AMPANS</t>
  </si>
  <si>
    <t>F250172</t>
  </si>
  <si>
    <t>F250173</t>
  </si>
  <si>
    <t>F250174</t>
  </si>
  <si>
    <t>IVA R./RESIDENCIA D'AVIS L'A</t>
  </si>
  <si>
    <t>F250175</t>
  </si>
  <si>
    <t>IVA R./HOGAR TINTORERO, S.L.</t>
  </si>
  <si>
    <t>F250177</t>
  </si>
  <si>
    <t>IVA R./VILLAR ARGENTE, ANNA</t>
  </si>
  <si>
    <t>F250178</t>
  </si>
  <si>
    <t>IVA R./HOTEL GRANOLLERS, S.L</t>
  </si>
  <si>
    <t>F250179</t>
  </si>
  <si>
    <t>IVA R./REYES MACIAS, MERCEDE</t>
  </si>
  <si>
    <t>F250180</t>
  </si>
  <si>
    <t>IVA R./FOAM FACTORY S.L</t>
  </si>
  <si>
    <t>F250181</t>
  </si>
  <si>
    <t>IVA R./CIPO, S.C.C.L.</t>
  </si>
  <si>
    <t>F250183</t>
  </si>
  <si>
    <t>IVA R./PRODIS.FUND.PRIVADA T</t>
  </si>
  <si>
    <t>F250185</t>
  </si>
  <si>
    <t>IVA R./NIETO MARTIN, MARIA M</t>
  </si>
  <si>
    <t>F250186</t>
  </si>
  <si>
    <t>IVA R./CALAF RAJO Y ASOCIADO</t>
  </si>
  <si>
    <t>F250189</t>
  </si>
  <si>
    <t>IVA R./CORTES GUTIERREZ, SAR</t>
  </si>
  <si>
    <t>IVA R./TALLERS GERONI DE MOR</t>
  </si>
  <si>
    <t>F250193</t>
  </si>
  <si>
    <t>F250191</t>
  </si>
  <si>
    <t>F250195</t>
  </si>
  <si>
    <t>IVA R./HERM.ANC.DESAMPARADOS</t>
  </si>
  <si>
    <t>IVA R./MARCHAL PENAS DAVID</t>
  </si>
  <si>
    <t>F250196</t>
  </si>
  <si>
    <t>IVA R./AJUNTAMENT DE MONTMEL</t>
  </si>
  <si>
    <t>F250198</t>
  </si>
  <si>
    <t>F250200</t>
  </si>
  <si>
    <t>F250202</t>
  </si>
  <si>
    <t>F250203</t>
  </si>
  <si>
    <t>IVA R./FUND.CASAL VERGE DE M</t>
  </si>
  <si>
    <t>IVA R./CAN JORDAN, S.L.</t>
  </si>
  <si>
    <t>F250212</t>
  </si>
  <si>
    <t>F250214</t>
  </si>
  <si>
    <t>IVA R./PROMOCIONES BRIXTON 2</t>
  </si>
  <si>
    <t>IVA R./RESIDENCIA SANT FRANC</t>
  </si>
  <si>
    <t>F250216</t>
  </si>
  <si>
    <t>F250217</t>
  </si>
  <si>
    <t>IVA R./RESIDENCIA INMACULADA</t>
  </si>
  <si>
    <t>F250218</t>
  </si>
  <si>
    <t>F250219</t>
  </si>
  <si>
    <t>IVA R./AXIOMA, S.A.</t>
  </si>
  <si>
    <t>F250220</t>
  </si>
  <si>
    <t>F250223</t>
  </si>
  <si>
    <t>IVA R./FUNDACIO PRIVADA VALL</t>
  </si>
  <si>
    <t>F250227</t>
  </si>
  <si>
    <t>F250229</t>
  </si>
  <si>
    <t>F250224</t>
  </si>
  <si>
    <t>IVA R./LA SALETA CARE SLU</t>
  </si>
  <si>
    <t>IVA R./ILUNION BUGADERIAS DE</t>
  </si>
  <si>
    <t>F250233</t>
  </si>
  <si>
    <t>IVA R./EZQUERRA LEZCANO, PIL</t>
  </si>
  <si>
    <t>F250234</t>
  </si>
  <si>
    <t>F250238</t>
  </si>
  <si>
    <t>F250246</t>
  </si>
  <si>
    <t>F250248</t>
  </si>
  <si>
    <t>IVA R./FUNDACIO PRIVADA VERG</t>
  </si>
  <si>
    <t>F250252</t>
  </si>
  <si>
    <t>IVA R./MONTANVAL MODA, S.L</t>
  </si>
  <si>
    <t>F250253</t>
  </si>
  <si>
    <t>F250254</t>
  </si>
  <si>
    <t>IVA R./BEL EDAD SANT FOST</t>
  </si>
  <si>
    <t>F250255</t>
  </si>
  <si>
    <t>IVA R./CAR CENTRE ALT RENDIM</t>
  </si>
  <si>
    <t>F250240</t>
  </si>
  <si>
    <t>F250241</t>
  </si>
  <si>
    <t>F250242</t>
  </si>
  <si>
    <t>IVA R./ALBERWAZ, S.L.</t>
  </si>
  <si>
    <t>F250243</t>
  </si>
  <si>
    <t>F250244</t>
  </si>
  <si>
    <t>IVA R./HECAME, S.L.</t>
  </si>
  <si>
    <t>F250262</t>
  </si>
  <si>
    <t>F250263</t>
  </si>
  <si>
    <t>F250266</t>
  </si>
  <si>
    <t>IVA R./F.Y M.RODRIGUEZ SOLER</t>
  </si>
  <si>
    <t>IVA R./BUGADERIA EXTERNA, S.</t>
  </si>
  <si>
    <t>F250258</t>
  </si>
  <si>
    <t>F250261</t>
  </si>
  <si>
    <t>IVA R./ILUNION CIPO, S.L.</t>
  </si>
  <si>
    <t>F250270</t>
  </si>
  <si>
    <t>IVA R./FUNDACION SANTA EULAL</t>
  </si>
  <si>
    <t>F250274</t>
  </si>
  <si>
    <t>IVA R./DELMAS ALAMINOS, EZEQ</t>
  </si>
  <si>
    <t>F250275</t>
  </si>
  <si>
    <t>IVA R./BURBUNET, S.L.</t>
  </si>
  <si>
    <t>F250273</t>
  </si>
  <si>
    <t>F250281</t>
  </si>
  <si>
    <t>IVA R./RESIDENCIA LES MORERE</t>
  </si>
  <si>
    <t>F250282</t>
  </si>
  <si>
    <t>IVA R./GARCIA MIJENS, CRISTO</t>
  </si>
  <si>
    <t>F250283</t>
  </si>
  <si>
    <t>F250285</t>
  </si>
  <si>
    <t>IVA R./ST.JUAN DE DEU SERV.S</t>
  </si>
  <si>
    <t>IVA R./FUNDACION VALLPARADIS</t>
  </si>
  <si>
    <t>F250291</t>
  </si>
  <si>
    <t>IVA R./MASIA CAN AMETLLER SL</t>
  </si>
  <si>
    <t>F250292</t>
  </si>
  <si>
    <t>IVA R./JOSEMU 18 SL</t>
  </si>
  <si>
    <t>F250290</t>
  </si>
  <si>
    <t>IVA R./ESTUDIS I RECURSOS GL</t>
  </si>
  <si>
    <t>F250304</t>
  </si>
  <si>
    <t>IVA R./UPLAN SA</t>
  </si>
  <si>
    <t>F250305</t>
  </si>
  <si>
    <t>IVA R./GLOVI, S.L.</t>
  </si>
  <si>
    <t>F250307</t>
  </si>
  <si>
    <t>IVA R./CARRERA SOLUTIONS, S.</t>
  </si>
  <si>
    <t>F250306</t>
  </si>
  <si>
    <t>IVA R./ADEU A LA TACA SL</t>
  </si>
  <si>
    <t>F250308</t>
  </si>
  <si>
    <t>F250302</t>
  </si>
  <si>
    <t>F250313</t>
  </si>
  <si>
    <t>F250318</t>
  </si>
  <si>
    <t>F250319</t>
  </si>
  <si>
    <t>F250320</t>
  </si>
  <si>
    <t>IVA R./LLAR NOSTRA SRA.DEL P</t>
  </si>
  <si>
    <t>F250315</t>
  </si>
  <si>
    <t>F250324</t>
  </si>
  <si>
    <t>IVA R./RESTAURANT MIRADOR DE</t>
  </si>
  <si>
    <t>F250325</t>
  </si>
  <si>
    <t>F250326</t>
  </si>
  <si>
    <t>IVA R./HOSTAL PENSIO MUNTANE</t>
  </si>
  <si>
    <t>F250327</t>
  </si>
  <si>
    <t>F250322</t>
  </si>
  <si>
    <t>F250332</t>
  </si>
  <si>
    <t>F250333</t>
  </si>
  <si>
    <t>IVA R./GRENKE RENT SL</t>
  </si>
  <si>
    <t>IVA R./LES TRES ALZINES SALA</t>
  </si>
  <si>
    <t>F250329</t>
  </si>
  <si>
    <t>F250331</t>
  </si>
  <si>
    <t>F250330</t>
  </si>
  <si>
    <t>IVA R./PARAREDA SELLES MIGUE</t>
  </si>
  <si>
    <t>F250335</t>
  </si>
  <si>
    <t>IVA R./NOGARCLIMA SL</t>
  </si>
  <si>
    <t>F250336</t>
  </si>
  <si>
    <t>IVA R./WASHROCKS BROTHERS SL</t>
  </si>
  <si>
    <t>F250341</t>
  </si>
  <si>
    <t>F250342</t>
  </si>
  <si>
    <t>IVA R./TECNILIMP, S.L.</t>
  </si>
  <si>
    <t>F250347</t>
  </si>
  <si>
    <t>IVA R./SOTO MARTINEZ, AGUSTI</t>
  </si>
  <si>
    <t>F250348</t>
  </si>
  <si>
    <t>IVA R./ACABATS SOLER RIUS SC</t>
  </si>
  <si>
    <t>F250343</t>
  </si>
  <si>
    <t>F250345</t>
  </si>
  <si>
    <t>F250351</t>
  </si>
  <si>
    <t>F250355</t>
  </si>
  <si>
    <t>IVA R./RESIDENCIA SITGES PAR</t>
  </si>
  <si>
    <t>IVA R./TOT IGUALADA 2021 SL</t>
  </si>
  <si>
    <t>F250360</t>
  </si>
  <si>
    <t>IVA R./NAULOVER, S.A.</t>
  </si>
  <si>
    <t>F250361</t>
  </si>
  <si>
    <t>F250362</t>
  </si>
  <si>
    <t>IVA R./ASSISTENCIAL RUBI, S.</t>
  </si>
  <si>
    <t>F250363</t>
  </si>
  <si>
    <t>IVA R./INTERCENTROS BALLESOL</t>
  </si>
  <si>
    <t>F250364</t>
  </si>
  <si>
    <t>F250365</t>
  </si>
  <si>
    <t>F250373</t>
  </si>
  <si>
    <t>F250374</t>
  </si>
  <si>
    <t>F250375</t>
  </si>
  <si>
    <t>F250369</t>
  </si>
  <si>
    <t>IVA R./BARESHOT, S.L.</t>
  </si>
  <si>
    <t>F250371</t>
  </si>
  <si>
    <t>IVA R./JOYFAY INTERNATIONA L</t>
  </si>
  <si>
    <t>F250377</t>
  </si>
  <si>
    <t>F250378</t>
  </si>
  <si>
    <t>IVA R./GERDREI, S.L.</t>
  </si>
  <si>
    <t>F250376</t>
  </si>
  <si>
    <t>IVA R./CAPELL, NURIA</t>
  </si>
  <si>
    <t>F250384</t>
  </si>
  <si>
    <t>F250388</t>
  </si>
  <si>
    <t>F250389</t>
  </si>
  <si>
    <t>IVA R./SUNRESORTS SL</t>
  </si>
  <si>
    <t>IVA R./CRESA</t>
  </si>
  <si>
    <t>F250390</t>
  </si>
  <si>
    <t>IVA R./FUNDACIO PRIVADA AURI</t>
  </si>
  <si>
    <t>IVA R./NOVUM HOTELS SPAIN SL</t>
  </si>
  <si>
    <t>F250395</t>
  </si>
  <si>
    <t>F250394</t>
  </si>
  <si>
    <t>CN250014</t>
  </si>
  <si>
    <t>IVA R./IDCQ HOSPITALES Y SAN</t>
  </si>
  <si>
    <t>F250398</t>
  </si>
  <si>
    <t>F250399</t>
  </si>
  <si>
    <t>F250401</t>
  </si>
  <si>
    <t>F250402</t>
  </si>
  <si>
    <t>F250408</t>
  </si>
  <si>
    <t>F250409</t>
  </si>
  <si>
    <t>F250410</t>
  </si>
  <si>
    <t>IVA R./YOUR OWN STAFF SL</t>
  </si>
  <si>
    <t>F250404</t>
  </si>
  <si>
    <t>IVA R./CENTRE RESIDENCIAL DE</t>
  </si>
  <si>
    <t>F250416</t>
  </si>
  <si>
    <t>F250417</t>
  </si>
  <si>
    <t>F250412</t>
  </si>
  <si>
    <t>IVA R./FUNDACIO SANTA SUSANN</t>
  </si>
  <si>
    <t>F250413</t>
  </si>
  <si>
    <t>F250414</t>
  </si>
  <si>
    <t>F250431</t>
  </si>
  <si>
    <t>F250432</t>
  </si>
  <si>
    <t>IVA R./CASTELLARNOU PROMOCIO</t>
  </si>
  <si>
    <t>F250436</t>
  </si>
  <si>
    <t>IVA R./FERNANDEZ CORONEL, S.</t>
  </si>
  <si>
    <t>F250437</t>
  </si>
  <si>
    <t>IVA R./REYES CARAVACA, EUGEN</t>
  </si>
  <si>
    <t>F250438</t>
  </si>
  <si>
    <t>F250440</t>
  </si>
  <si>
    <t>IVA R./GRUPO GADEA, SL</t>
  </si>
  <si>
    <t>F250442</t>
  </si>
  <si>
    <t>F250434</t>
  </si>
  <si>
    <t>F250446</t>
  </si>
  <si>
    <t>F250448</t>
  </si>
  <si>
    <t>IVA R./F. PAPIOL, SL</t>
  </si>
  <si>
    <t>CN250017</t>
  </si>
  <si>
    <t>F250445</t>
  </si>
  <si>
    <t>F250451</t>
  </si>
  <si>
    <t>F250453</t>
  </si>
  <si>
    <t>IVA R./ASISTENCIA GERIATRICA</t>
  </si>
  <si>
    <t>F250454</t>
  </si>
  <si>
    <t>IVA R./CLARISEC2023, SL</t>
  </si>
  <si>
    <t>IVA R./GONZALEZ MARTINEZ, YO</t>
  </si>
  <si>
    <t>F250456</t>
  </si>
  <si>
    <t>F250467</t>
  </si>
  <si>
    <t>F250468</t>
  </si>
  <si>
    <t>F250469</t>
  </si>
  <si>
    <t>F250470</t>
  </si>
  <si>
    <t>IVA R./RESIDENCIA QUIDAM, S.</t>
  </si>
  <si>
    <t>F250471</t>
  </si>
  <si>
    <t>F250472</t>
  </si>
  <si>
    <t>F250463</t>
  </si>
  <si>
    <t>F250474</t>
  </si>
  <si>
    <t>F250475</t>
  </si>
  <si>
    <t>IVA R./PARADORES TURISMO ESP</t>
  </si>
  <si>
    <t>F250477</t>
  </si>
  <si>
    <t>F250479</t>
  </si>
  <si>
    <t>F250481</t>
  </si>
  <si>
    <t>IVA R./LLORENS PRESSEGUE, SL</t>
  </si>
  <si>
    <t>F250498</t>
  </si>
  <si>
    <t>F250488</t>
  </si>
  <si>
    <t>F250489</t>
  </si>
  <si>
    <t>F250490</t>
  </si>
  <si>
    <t>F250487</t>
  </si>
  <si>
    <t>IVA R./GRAS BARRIL, ALFONS</t>
  </si>
  <si>
    <t>F250496</t>
  </si>
  <si>
    <t>F250494</t>
  </si>
  <si>
    <t>F250495</t>
  </si>
  <si>
    <t>F250502</t>
  </si>
  <si>
    <t>IVA R./CENTRE D'ACOLLIMENT E</t>
  </si>
  <si>
    <t>F250504</t>
  </si>
  <si>
    <t>F250505</t>
  </si>
  <si>
    <t>F250512</t>
  </si>
  <si>
    <t>F250513</t>
  </si>
  <si>
    <t>IVA R./BALLINA YUSTE, NOEMI</t>
  </si>
  <si>
    <t>F250515</t>
  </si>
  <si>
    <t>F250517</t>
  </si>
  <si>
    <t>IVA R./CASAS VILA, MARIA EST</t>
  </si>
  <si>
    <t>F250518</t>
  </si>
  <si>
    <t>IVA R./COMERCIAL LAVANDA GOM</t>
  </si>
  <si>
    <t>F250524</t>
  </si>
  <si>
    <t>IVA R./TINTORERIA LA VALL</t>
  </si>
  <si>
    <t>F250525</t>
  </si>
  <si>
    <t>F250520</t>
  </si>
  <si>
    <t>CN250019</t>
  </si>
  <si>
    <t>IVA R./CENTRO DE OCUPACION E</t>
  </si>
  <si>
    <t>F250534</t>
  </si>
  <si>
    <t>IVA R./SHENZHENSHIWOSHANYAKE</t>
  </si>
  <si>
    <t>IVA R./GRENKE ALQUILER SL</t>
  </si>
  <si>
    <t>F250537</t>
  </si>
  <si>
    <t>F250547</t>
  </si>
  <si>
    <t>F250545</t>
  </si>
  <si>
    <t>F250544</t>
  </si>
  <si>
    <t>IVA R./RESIDENCIA APINAS</t>
  </si>
  <si>
    <t>F250543</t>
  </si>
  <si>
    <t>IVA R./CARDONA FORNER, NEUS</t>
  </si>
  <si>
    <t>F250548</t>
  </si>
  <si>
    <t>IVA R./L'ART DEL RENTAT EN S</t>
  </si>
  <si>
    <t>F250549</t>
  </si>
  <si>
    <t>F250554</t>
  </si>
  <si>
    <t>F250552</t>
  </si>
  <si>
    <t>IVA R./FUNDACIO PRIVADA SANT</t>
  </si>
  <si>
    <t>F250562</t>
  </si>
  <si>
    <t>IVA R./CENTRO BORJA COMPANIA</t>
  </si>
  <si>
    <t>F250561</t>
  </si>
  <si>
    <t>IVA R./HOSMONISTROL, S.L.</t>
  </si>
  <si>
    <t>F250560</t>
  </si>
  <si>
    <t>F250559</t>
  </si>
  <si>
    <t>IVA R./ASSOCIACIO CAN SOTERE</t>
  </si>
  <si>
    <t>F250572</t>
  </si>
  <si>
    <t>IVA R./VILAGINES MARMI, ROGE</t>
  </si>
  <si>
    <t>F250570</t>
  </si>
  <si>
    <t>IVA R./FUNDACIO PRIVADA LLEG</t>
  </si>
  <si>
    <t>IVA R./LES CORTS DIR, S.A.</t>
  </si>
  <si>
    <t>IVA R./EXPLOTACION HOTELERA</t>
  </si>
  <si>
    <t>F250573</t>
  </si>
  <si>
    <t>F250577</t>
  </si>
  <si>
    <t>IVA R./SANT CUGAT DIR, S.A.</t>
  </si>
  <si>
    <t>F250580</t>
  </si>
  <si>
    <t>F250585</t>
  </si>
  <si>
    <t>IVA R./GMP SRL</t>
  </si>
  <si>
    <t>F250588</t>
  </si>
  <si>
    <t>F250590</t>
  </si>
  <si>
    <t>IVA R./INTECSUM SUPPLIES, SL</t>
  </si>
  <si>
    <t>F250586</t>
  </si>
  <si>
    <t>F250589</t>
  </si>
  <si>
    <t>CN250024</t>
  </si>
  <si>
    <t>CN0006</t>
  </si>
  <si>
    <t>CN250006OK</t>
  </si>
  <si>
    <t>IVA R./CANTAMAR, S.L.</t>
  </si>
  <si>
    <t>F250593</t>
  </si>
  <si>
    <t>IVA R./PLEO TECHNOLOGIES AS</t>
  </si>
  <si>
    <t>F250598</t>
  </si>
  <si>
    <t>F250597</t>
  </si>
  <si>
    <t>IVA R./HOTEL ROBERT, S.L.</t>
  </si>
  <si>
    <t>IVA R./BOFILL ROVIRA DE VILL</t>
  </si>
  <si>
    <t>F250604</t>
  </si>
  <si>
    <t>IVA R./CAL CARTER SL</t>
  </si>
  <si>
    <t>F250602</t>
  </si>
  <si>
    <t>IVA R./BLANCAFORT RESORT, S.</t>
  </si>
  <si>
    <t>F250600</t>
  </si>
  <si>
    <t>F250599</t>
  </si>
  <si>
    <t>F250611</t>
  </si>
  <si>
    <t>F250614</t>
  </si>
  <si>
    <t>IVA R./HOTEL CONTINENTAL, S.</t>
  </si>
  <si>
    <t>F250612</t>
  </si>
  <si>
    <t>F250616</t>
  </si>
  <si>
    <t>F250618</t>
  </si>
  <si>
    <t>IVA R./LLUNA DE LLORONA, S.L</t>
  </si>
  <si>
    <t>F250619</t>
  </si>
  <si>
    <t>IVA R./VIDAL FERVOS, FINA</t>
  </si>
  <si>
    <t>F250621</t>
  </si>
  <si>
    <t>IVA R./HOSTINGER INTERNATION</t>
  </si>
  <si>
    <t>IVA R./INEXTUR, S.A.</t>
  </si>
  <si>
    <t>F250627</t>
  </si>
  <si>
    <t>IVA R./RESIDENCIA GRAN VIA B</t>
  </si>
  <si>
    <t>F250624</t>
  </si>
  <si>
    <t>CN250026</t>
  </si>
  <si>
    <t>IVA R./DEPARTAMENT D'ACCIO S</t>
  </si>
  <si>
    <t>CN250030</t>
  </si>
  <si>
    <t>CN250028</t>
  </si>
  <si>
    <t>CN250029</t>
  </si>
  <si>
    <t>F250635</t>
  </si>
  <si>
    <t>IVA R./CAIXABANK EQUIPMENT F</t>
  </si>
  <si>
    <t>F250637</t>
  </si>
  <si>
    <t>F250636</t>
  </si>
  <si>
    <t>F250638</t>
  </si>
  <si>
    <t>IVA R./FORWARD PROJECTS SL</t>
  </si>
  <si>
    <t>F250640</t>
  </si>
  <si>
    <t>IVA R./SASEC ESPANA SAU</t>
  </si>
  <si>
    <t>F250643</t>
  </si>
  <si>
    <t>F250645</t>
  </si>
  <si>
    <t>F250646</t>
  </si>
  <si>
    <t>IVA R./KERN PHARMA, S.L.</t>
  </si>
  <si>
    <t>IVA R./DIUTEX IGUALADA, S.L.</t>
  </si>
  <si>
    <t>F250653</t>
  </si>
  <si>
    <t>F250654</t>
  </si>
  <si>
    <t>F250658</t>
  </si>
  <si>
    <t>IVA R./FUNDACIO IPSS</t>
  </si>
  <si>
    <t>F250656</t>
  </si>
  <si>
    <t>F250657</t>
  </si>
  <si>
    <t>F250666</t>
  </si>
  <si>
    <t>IVA R./ADOBE SYSTEMS SOFTWAR</t>
  </si>
  <si>
    <t>IVA R./CAMPING EL SOLSONES,</t>
  </si>
  <si>
    <t>F250667</t>
  </si>
  <si>
    <t>IVA R./BEL COSMETIC, S.A.</t>
  </si>
  <si>
    <t>IVA R./HOSTAL PEDRAFORCA, S.</t>
  </si>
  <si>
    <t>F250671</t>
  </si>
  <si>
    <t>IVA R./PROMOCION PROFESIONAL</t>
  </si>
  <si>
    <t>F250672</t>
  </si>
  <si>
    <t>IVA R./LISERSA SL</t>
  </si>
  <si>
    <t>F250676</t>
  </si>
  <si>
    <t>F250677</t>
  </si>
  <si>
    <t>F250678</t>
  </si>
  <si>
    <t>IVA R./ELIS MANOMATIC, S.A.</t>
  </si>
  <si>
    <t>IVA R./VALLES CAR OCASION SL</t>
  </si>
  <si>
    <t>F250681</t>
  </si>
  <si>
    <t>F250680</t>
  </si>
  <si>
    <t>IVA R./IMBASAT SL</t>
  </si>
  <si>
    <t>F250683</t>
  </si>
  <si>
    <t>CN250031</t>
  </si>
  <si>
    <t>IVA R./ACJ SYSTEMS, S.L.</t>
  </si>
  <si>
    <t>F250687</t>
  </si>
  <si>
    <t>F250692</t>
  </si>
  <si>
    <t>IVA R./LAVANDERIA ALBORADA,</t>
  </si>
  <si>
    <t>F250695</t>
  </si>
  <si>
    <t>F250704</t>
  </si>
  <si>
    <t>IVA R./RESTAURANT CAN FARELL</t>
  </si>
  <si>
    <t>IVA R./RESIDENCIA LA FONT DE</t>
  </si>
  <si>
    <t>F250697</t>
  </si>
  <si>
    <t>CN250032</t>
  </si>
  <si>
    <t>IVA R./KNIT SL</t>
  </si>
  <si>
    <t>F250706</t>
  </si>
  <si>
    <t>F250710</t>
  </si>
  <si>
    <t>F250713</t>
  </si>
  <si>
    <t>F250718</t>
  </si>
  <si>
    <t>F250717</t>
  </si>
  <si>
    <t>IVA R./FERCAS NETEGES, S.L.</t>
  </si>
  <si>
    <t>F250719</t>
  </si>
  <si>
    <t>F250722</t>
  </si>
  <si>
    <t>CN250033</t>
  </si>
  <si>
    <t>F250724</t>
  </si>
  <si>
    <t>F250730</t>
  </si>
  <si>
    <t>IVA R./PERE MATA SOCIAL SA</t>
  </si>
  <si>
    <t>IVA R./COLONIES ROSA DELS VE</t>
  </si>
  <si>
    <t>F250748</t>
  </si>
  <si>
    <t>F250742</t>
  </si>
  <si>
    <t>IVA R./PROT.PAT.VERGE DEL C.</t>
  </si>
  <si>
    <t>F250745</t>
  </si>
  <si>
    <t>IVA R./CONSELL CATALA DE  L'</t>
  </si>
  <si>
    <t>IVA R./ANUNEZ LLONCH PERE</t>
  </si>
  <si>
    <t>F250758</t>
  </si>
  <si>
    <t>IVA R./HOSTAL ROC VALLES, S.</t>
  </si>
  <si>
    <t>F250750</t>
  </si>
  <si>
    <t>IVA R./GARCIA TORRES, BIENVE</t>
  </si>
  <si>
    <t>F250751</t>
  </si>
  <si>
    <t>F250762</t>
  </si>
  <si>
    <t>F250763</t>
  </si>
  <si>
    <t>F250764</t>
  </si>
  <si>
    <t>IVA R./SEASCER, S.L.</t>
  </si>
  <si>
    <t>F250759</t>
  </si>
  <si>
    <t>F250775</t>
  </si>
  <si>
    <t>IVA R./INSTITUT PERE MATA SA</t>
  </si>
  <si>
    <t>F250780</t>
  </si>
  <si>
    <t>IVA R./IEMESA IEBOSA HOLDING</t>
  </si>
  <si>
    <t>IVA R./OPTIMANET SL</t>
  </si>
  <si>
    <t>F250778</t>
  </si>
  <si>
    <t>F250784</t>
  </si>
  <si>
    <t>F250785</t>
  </si>
  <si>
    <t>IVA R./FUNDACIO HOSPITAL CLI</t>
  </si>
  <si>
    <t>F250788</t>
  </si>
  <si>
    <t>IVA R./FUNDACIO GERMA TOMAS</t>
  </si>
  <si>
    <t>F250789</t>
  </si>
  <si>
    <t>F250790</t>
  </si>
  <si>
    <t>F250792</t>
  </si>
  <si>
    <t>CN250035</t>
  </si>
  <si>
    <t>IVA R./ORIGINAL BUFF, SA</t>
  </si>
  <si>
    <t>F250807</t>
  </si>
  <si>
    <t>IVA R./COLEGI MONTSERRAT</t>
  </si>
  <si>
    <t>F250816</t>
  </si>
  <si>
    <t>F250817</t>
  </si>
  <si>
    <t>F250820</t>
  </si>
  <si>
    <t>F250821</t>
  </si>
  <si>
    <t>F250822</t>
  </si>
  <si>
    <t>IVA R./HERMANITAS ANCIANOS D</t>
  </si>
  <si>
    <t>F250837</t>
  </si>
  <si>
    <t>IVA R./VIMA RESIDENCIAL, S.L</t>
  </si>
  <si>
    <t>F250833</t>
  </si>
  <si>
    <t>F250834</t>
  </si>
  <si>
    <t>IVA R./ENTRETENIMIENTO MUSIC</t>
  </si>
  <si>
    <t>F250836</t>
  </si>
  <si>
    <t>IVA R./FUNDACIO LA PLANA</t>
  </si>
  <si>
    <t>F250851</t>
  </si>
  <si>
    <t>IVA R./CADENA CARRERA, JAIME</t>
  </si>
  <si>
    <t>IVA R./TURISMO HOTELES Y RES</t>
  </si>
  <si>
    <t>F250854</t>
  </si>
  <si>
    <t>IVA R./RESIDENCIA GERIATRICA</t>
  </si>
  <si>
    <t>F250862</t>
  </si>
  <si>
    <t>CN250040</t>
  </si>
  <si>
    <t>F250870</t>
  </si>
  <si>
    <t>F250873</t>
  </si>
  <si>
    <t>IVA R./RESIDENC.GERIATRICA S</t>
  </si>
  <si>
    <t>IVA R./RESIDENCIA PATRIMONIA</t>
  </si>
  <si>
    <t>F250876</t>
  </si>
  <si>
    <t>F250888</t>
  </si>
  <si>
    <t>F250896</t>
  </si>
  <si>
    <t>F250897</t>
  </si>
  <si>
    <t>F250899</t>
  </si>
  <si>
    <t>IVA R./GRANER BRULLET, JOSEP</t>
  </si>
  <si>
    <t>F250906</t>
  </si>
  <si>
    <t>IVA R./PARESLAP, S.L.</t>
  </si>
  <si>
    <t>IVA R./PLANA ALVARO JORDI</t>
  </si>
  <si>
    <t>F250914</t>
  </si>
  <si>
    <t>F250915</t>
  </si>
  <si>
    <t>IVA R./FUNDACION ALTAYA</t>
  </si>
  <si>
    <t>IVA R./FUNDACIO LA VALL</t>
  </si>
  <si>
    <t>IVA R./F.P.HOSTAL PERE MARTI</t>
  </si>
  <si>
    <t>IVA R./INMOBILIARIA MANVI SL</t>
  </si>
  <si>
    <t>IVA R./ZUMU 2025 BCN SL</t>
  </si>
  <si>
    <t>F250956</t>
  </si>
  <si>
    <t>IVA R./CATERING LA COCOCHA S</t>
  </si>
  <si>
    <t>IVA R./TINTORERIA GIRIBET SL</t>
  </si>
  <si>
    <t>TARJETA PLEO</t>
  </si>
  <si>
    <t>RECARGA TARJETAS</t>
  </si>
  <si>
    <t>PLEO FINAN</t>
  </si>
  <si>
    <t>RECARGA SCHULTHESS</t>
  </si>
  <si>
    <t>EXTRACTO PLEO JUNIO</t>
  </si>
  <si>
    <t>TRANSFERENCIA A Pleo Financi</t>
  </si>
  <si>
    <t>RECARGA PLEO</t>
  </si>
  <si>
    <t>CTA.CTE.SOCIOS Y ADMINIST.</t>
  </si>
  <si>
    <t>Regularización saldo caja</t>
  </si>
  <si>
    <t>TRANSFERENCIES ORIOL</t>
  </si>
  <si>
    <t>PREST.ORIOL BAGUÑA</t>
  </si>
  <si>
    <t>PARTIDAS PTES DE APLICACION</t>
  </si>
  <si>
    <t>JIANGSU CHANDAO WASHING MACH</t>
  </si>
  <si>
    <t>schulthess orden pago 01-04-</t>
  </si>
  <si>
    <t>GOLD CAR MALLORCA</t>
  </si>
  <si>
    <t>LAMARO HOTEL SA CONFIRMING</t>
  </si>
  <si>
    <t>jiangsu chandao intelligent</t>
  </si>
  <si>
    <t>2co.com bitdefender</t>
  </si>
  <si>
    <t>11-06</t>
  </si>
  <si>
    <t>HTL*HTELBELLERIVE</t>
  </si>
  <si>
    <t>13-06</t>
  </si>
  <si>
    <t>IBERIA LAE</t>
  </si>
  <si>
    <t>Maquina de rentar</t>
  </si>
  <si>
    <t>TRANSFERENCIES E250125</t>
  </si>
  <si>
    <t>TARJETA CREDITO SCHULTHESS I</t>
  </si>
  <si>
    <t>TARJETA CREDITO JUAN RUIZ GO</t>
  </si>
  <si>
    <t>TRANSFERENCIES fra MAQUINA</t>
  </si>
  <si>
    <t>REBUT MENSUAL TARGETA</t>
  </si>
  <si>
    <t>PASO S/FRA JUNY</t>
  </si>
  <si>
    <t>GR066425 - 20250820</t>
  </si>
  <si>
    <t>RECEPCION MERCANCIAS AGOSTO</t>
  </si>
  <si>
    <t>OFERTA 80971</t>
  </si>
  <si>
    <t>GASTOS INTERVENCIÓN NOTARIAL</t>
  </si>
  <si>
    <t>FACTURA A250400</t>
  </si>
  <si>
    <t>ALBARAN A250420 18-09-25</t>
  </si>
  <si>
    <t>ANTICIPO PRESUPUESTO</t>
  </si>
  <si>
    <t>MaRIA ANGELICA GAUNA PEREIRA</t>
  </si>
  <si>
    <t>Cuentas corrientes.</t>
  </si>
  <si>
    <t>Empresa: SCHULTHESS IBERIA SL</t>
  </si>
  <si>
    <t>Período: de 01/01/2025 a 31/12/2025</t>
  </si>
  <si>
    <t>Fecha: 03/10/2025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</si>
</sst>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"/>
    <numFmt numFmtId="165" formatCode="dd/mm/yyyy;dd/mm/yyyy;"/>
    <numFmt numFmtId="166" formatCode="#,##0.00;[Red]\-#,##0.00;0"/>
  </numFmts>
  <fonts count="4" x14ac:knownFonts="1">
    <font>
      <sz val="11"/>
      <color theme="1"/>
      <name val="Calibri"/>
      <family val="2"/>
    </font>
    <font>
      <b/>
      <i/>
      <sz val="18"/>
      <color theme="1"/>
      <name val="Arial"/>
      <family val="2"/>
    </font>
    <font>
      <b/>
      <sz val="11"/>
      <color theme="1"/>
      <name val="Calibri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quotePrefix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EB5B-20A9-4353-84A5-410558861626}">
  <sheetPr>
    <pageSetUpPr fitToPage="1"/>
  </sheetPr>
  <dimension ref="A1:J4572"/>
  <sheetViews>
    <sheetView tabSelected="1" topLeftCell="A126" workbookViewId="0">
      <pane xSplit="2" topLeftCell="C1" activePane="topRight" state="frozen"/>
      <selection pane="topRight" activeCell="I134" sqref="I134:I137"/>
    </sheetView>
  </sheetViews>
  <sheetFormatPr baseColWidth="10" defaultColWidth="8.88671875" defaultRowHeight="14.4" x14ac:dyDescent="0.3"/>
  <cols>
    <col min="1" max="1" width="10.33203125" customWidth="1"/>
    <col min="2" max="2" width="33.6640625" customWidth="1"/>
    <col min="3" max="3" width="5.6640625" customWidth="1"/>
    <col min="4" max="4" width="11" customWidth="1"/>
    <col min="5" max="5" width="27.88671875" customWidth="1"/>
    <col min="6" max="6" width="11.33203125" customWidth="1"/>
    <col min="7" max="7" width="10.109375" customWidth="1"/>
    <col min="8" max="8" width="10.44140625" customWidth="1"/>
    <col min="9" max="9" width="10.6640625" bestFit="1" customWidth="1"/>
    <col min="10" max="10" width="12.33203125" customWidth="1"/>
  </cols>
  <sheetData>
    <row r="1" spans="1:10" ht="22.8" x14ac:dyDescent="0.4">
      <c r="A1" s="13" t="s">
        <v>3461</v>
      </c>
    </row>
    <row r="3" spans="1:10" x14ac:dyDescent="0.3">
      <c r="A3" s="4" t="s">
        <v>3462</v>
      </c>
    </row>
    <row r="4" spans="1:10" x14ac:dyDescent="0.3">
      <c r="A4" s="4" t="s">
        <v>3463</v>
      </c>
    </row>
    <row r="5" spans="1:10" x14ac:dyDescent="0.3">
      <c r="A5" s="4" t="s">
        <v>3464</v>
      </c>
    </row>
    <row r="7" spans="1:10" ht="15.6" thickTop="1" thickBot="1" x14ac:dyDescent="0.3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  <c r="H7" s="3" t="s">
        <v>7</v>
      </c>
      <c r="I7" s="3" t="s">
        <v>8</v>
      </c>
      <c r="J7" s="2" t="s">
        <v>9</v>
      </c>
    </row>
    <row r="9" spans="1:10" x14ac:dyDescent="0.3">
      <c r="A9" s="5">
        <v>400000001</v>
      </c>
      <c r="B9" s="6" t="s">
        <v>10</v>
      </c>
      <c r="C9" s="7"/>
      <c r="D9" s="7"/>
      <c r="E9" s="7"/>
      <c r="F9" s="7"/>
      <c r="G9" s="7"/>
      <c r="H9" s="7"/>
      <c r="I9" s="7"/>
      <c r="J9" s="7"/>
    </row>
    <row r="10" spans="1:10" x14ac:dyDescent="0.3">
      <c r="E10" s="4" t="s">
        <v>11</v>
      </c>
      <c r="G10" s="8">
        <v>0</v>
      </c>
      <c r="H10" s="8">
        <v>60412.94</v>
      </c>
      <c r="I10" s="8">
        <f>G10-H10</f>
        <v>-60412.94</v>
      </c>
    </row>
    <row r="11" spans="1:10" x14ac:dyDescent="0.3">
      <c r="C11" s="9" t="s">
        <v>12</v>
      </c>
      <c r="D11" s="10">
        <v>45658</v>
      </c>
      <c r="E11" t="s">
        <v>13</v>
      </c>
      <c r="F11" s="11" t="s">
        <v>14</v>
      </c>
      <c r="G11" s="8">
        <v>20799.41</v>
      </c>
      <c r="H11" s="8">
        <v>0</v>
      </c>
      <c r="I11" s="8">
        <f t="shared" ref="I11:I42" si="0">G11-H11+I10</f>
        <v>-39613.53</v>
      </c>
      <c r="J11" s="12"/>
    </row>
    <row r="12" spans="1:10" x14ac:dyDescent="0.3">
      <c r="C12" s="9"/>
      <c r="D12" s="10">
        <v>45658</v>
      </c>
      <c r="E12" t="s">
        <v>15</v>
      </c>
      <c r="F12" s="11" t="s">
        <v>16</v>
      </c>
      <c r="G12" s="8">
        <v>0</v>
      </c>
      <c r="H12" s="8">
        <v>5622.59</v>
      </c>
      <c r="I12" s="8">
        <f t="shared" si="0"/>
        <v>-45236.119999999995</v>
      </c>
      <c r="J12" s="12"/>
    </row>
    <row r="13" spans="1:10" x14ac:dyDescent="0.3">
      <c r="C13" s="9"/>
      <c r="D13" s="10">
        <v>45658</v>
      </c>
      <c r="E13" t="s">
        <v>17</v>
      </c>
      <c r="F13" s="11" t="s">
        <v>18</v>
      </c>
      <c r="G13" s="8">
        <v>0</v>
      </c>
      <c r="H13" s="8">
        <v>6447.06</v>
      </c>
      <c r="I13" s="8">
        <f t="shared" si="0"/>
        <v>-51683.179999999993</v>
      </c>
      <c r="J13" s="12"/>
    </row>
    <row r="14" spans="1:10" x14ac:dyDescent="0.3">
      <c r="C14" s="9"/>
      <c r="D14" s="10">
        <v>45658</v>
      </c>
      <c r="E14" t="s">
        <v>19</v>
      </c>
      <c r="F14" s="11" t="s">
        <v>20</v>
      </c>
      <c r="G14" s="8">
        <v>0</v>
      </c>
      <c r="H14" s="8">
        <v>4677.18</v>
      </c>
      <c r="I14" s="8">
        <f t="shared" si="0"/>
        <v>-56360.359999999993</v>
      </c>
      <c r="J14" s="12"/>
    </row>
    <row r="15" spans="1:10" x14ac:dyDescent="0.3">
      <c r="C15" s="9"/>
      <c r="D15" s="10">
        <v>45658</v>
      </c>
      <c r="E15" t="s">
        <v>21</v>
      </c>
      <c r="F15" s="11" t="s">
        <v>22</v>
      </c>
      <c r="G15" s="8">
        <v>0</v>
      </c>
      <c r="H15" s="8">
        <v>4052.58</v>
      </c>
      <c r="I15" s="8">
        <f t="shared" si="0"/>
        <v>-60412.939999999995</v>
      </c>
      <c r="J15" s="12"/>
    </row>
    <row r="16" spans="1:10" x14ac:dyDescent="0.3">
      <c r="C16" s="9" t="s">
        <v>12</v>
      </c>
      <c r="D16" s="10">
        <v>45659</v>
      </c>
      <c r="E16" t="s">
        <v>23</v>
      </c>
      <c r="F16" s="11" t="s">
        <v>14</v>
      </c>
      <c r="G16" s="8">
        <v>0</v>
      </c>
      <c r="H16" s="8">
        <v>-592.9</v>
      </c>
      <c r="I16" s="8">
        <f t="shared" si="0"/>
        <v>-59820.039999999994</v>
      </c>
      <c r="J16" s="12"/>
    </row>
    <row r="17" spans="3:10" x14ac:dyDescent="0.3">
      <c r="C17" s="9" t="s">
        <v>12</v>
      </c>
      <c r="D17" s="10">
        <v>45660</v>
      </c>
      <c r="E17" t="s">
        <v>24</v>
      </c>
      <c r="F17" s="11" t="s">
        <v>25</v>
      </c>
      <c r="G17" s="8">
        <v>0</v>
      </c>
      <c r="H17" s="8">
        <v>121.41</v>
      </c>
      <c r="I17" s="8">
        <f t="shared" si="0"/>
        <v>-59941.45</v>
      </c>
      <c r="J17" s="12"/>
    </row>
    <row r="18" spans="3:10" x14ac:dyDescent="0.3">
      <c r="C18" s="9" t="s">
        <v>12</v>
      </c>
      <c r="D18" s="10">
        <v>45664</v>
      </c>
      <c r="E18" t="s">
        <v>26</v>
      </c>
      <c r="F18" s="11" t="s">
        <v>27</v>
      </c>
      <c r="G18" s="8">
        <v>0</v>
      </c>
      <c r="H18" s="8">
        <v>286.08</v>
      </c>
      <c r="I18" s="8">
        <f t="shared" si="0"/>
        <v>-60227.53</v>
      </c>
      <c r="J18" s="12"/>
    </row>
    <row r="19" spans="3:10" x14ac:dyDescent="0.3">
      <c r="C19" s="9" t="s">
        <v>12</v>
      </c>
      <c r="D19" s="10">
        <v>45665</v>
      </c>
      <c r="E19" t="s">
        <v>28</v>
      </c>
      <c r="F19" s="11" t="s">
        <v>29</v>
      </c>
      <c r="G19" s="8">
        <v>0</v>
      </c>
      <c r="H19" s="8">
        <v>5034.91</v>
      </c>
      <c r="I19" s="8">
        <f t="shared" si="0"/>
        <v>-65262.44</v>
      </c>
      <c r="J19" s="12"/>
    </row>
    <row r="20" spans="3:10" x14ac:dyDescent="0.3">
      <c r="C20" s="9" t="s">
        <v>12</v>
      </c>
      <c r="D20" s="10">
        <v>45666</v>
      </c>
      <c r="E20" t="s">
        <v>30</v>
      </c>
      <c r="F20" s="11" t="s">
        <v>31</v>
      </c>
      <c r="G20" s="8">
        <v>0</v>
      </c>
      <c r="H20" s="8">
        <v>5317.43</v>
      </c>
      <c r="I20" s="8">
        <f t="shared" si="0"/>
        <v>-70579.87</v>
      </c>
      <c r="J20" s="12"/>
    </row>
    <row r="21" spans="3:10" x14ac:dyDescent="0.3">
      <c r="C21" s="9" t="s">
        <v>12</v>
      </c>
      <c r="D21" s="10">
        <v>45670</v>
      </c>
      <c r="E21" t="s">
        <v>32</v>
      </c>
      <c r="F21" s="11" t="s">
        <v>33</v>
      </c>
      <c r="G21" s="8">
        <v>0</v>
      </c>
      <c r="H21" s="8">
        <v>2747.44</v>
      </c>
      <c r="I21" s="8">
        <f t="shared" si="0"/>
        <v>-73327.31</v>
      </c>
      <c r="J21" s="12"/>
    </row>
    <row r="22" spans="3:10" x14ac:dyDescent="0.3">
      <c r="C22" s="9" t="s">
        <v>12</v>
      </c>
      <c r="D22" s="10">
        <v>45670</v>
      </c>
      <c r="E22" t="s">
        <v>34</v>
      </c>
      <c r="F22" s="11" t="s">
        <v>14</v>
      </c>
      <c r="G22" s="8">
        <v>2538.5300000000002</v>
      </c>
      <c r="H22" s="8">
        <v>0</v>
      </c>
      <c r="I22" s="8">
        <f t="shared" si="0"/>
        <v>-70788.78</v>
      </c>
      <c r="J22" s="12">
        <v>572000005</v>
      </c>
    </row>
    <row r="23" spans="3:10" x14ac:dyDescent="0.3">
      <c r="C23" s="9" t="s">
        <v>12</v>
      </c>
      <c r="D23" s="10">
        <v>45670</v>
      </c>
      <c r="E23" t="s">
        <v>34</v>
      </c>
      <c r="F23" s="11" t="s">
        <v>14</v>
      </c>
      <c r="G23" s="8">
        <v>40.549999999999997</v>
      </c>
      <c r="H23" s="8">
        <v>0</v>
      </c>
      <c r="I23" s="8">
        <f t="shared" si="0"/>
        <v>-70748.23</v>
      </c>
      <c r="J23" s="12">
        <v>572000005</v>
      </c>
    </row>
    <row r="24" spans="3:10" x14ac:dyDescent="0.3">
      <c r="C24" s="9" t="s">
        <v>12</v>
      </c>
      <c r="D24" s="10">
        <v>45670</v>
      </c>
      <c r="E24" t="s">
        <v>34</v>
      </c>
      <c r="F24" s="11" t="s">
        <v>14</v>
      </c>
      <c r="G24" s="8">
        <v>126.08</v>
      </c>
      <c r="H24" s="8">
        <v>0</v>
      </c>
      <c r="I24" s="8">
        <f t="shared" si="0"/>
        <v>-70622.149999999994</v>
      </c>
      <c r="J24" s="12">
        <v>572000005</v>
      </c>
    </row>
    <row r="25" spans="3:10" x14ac:dyDescent="0.3">
      <c r="C25" s="9" t="s">
        <v>12</v>
      </c>
      <c r="D25" s="10">
        <v>45670</v>
      </c>
      <c r="E25" t="s">
        <v>34</v>
      </c>
      <c r="F25" s="11" t="s">
        <v>14</v>
      </c>
      <c r="G25" s="8">
        <v>440.52</v>
      </c>
      <c r="H25" s="8">
        <v>0</v>
      </c>
      <c r="I25" s="8">
        <f t="shared" si="0"/>
        <v>-70181.62999999999</v>
      </c>
      <c r="J25" s="12">
        <v>572000005</v>
      </c>
    </row>
    <row r="26" spans="3:10" x14ac:dyDescent="0.3">
      <c r="C26" s="9" t="s">
        <v>12</v>
      </c>
      <c r="D26" s="10">
        <v>45670</v>
      </c>
      <c r="E26" t="s">
        <v>34</v>
      </c>
      <c r="F26" s="11" t="s">
        <v>14</v>
      </c>
      <c r="G26" s="8">
        <v>905.16</v>
      </c>
      <c r="H26" s="8">
        <v>0</v>
      </c>
      <c r="I26" s="8">
        <f t="shared" si="0"/>
        <v>-69276.469999999987</v>
      </c>
      <c r="J26" s="12">
        <v>572000005</v>
      </c>
    </row>
    <row r="27" spans="3:10" x14ac:dyDescent="0.3">
      <c r="C27" s="9" t="s">
        <v>12</v>
      </c>
      <c r="D27" s="10">
        <v>45671</v>
      </c>
      <c r="E27" t="s">
        <v>35</v>
      </c>
      <c r="F27" s="11" t="s">
        <v>36</v>
      </c>
      <c r="G27" s="8">
        <v>0</v>
      </c>
      <c r="H27" s="8">
        <v>77.89</v>
      </c>
      <c r="I27" s="8">
        <f t="shared" si="0"/>
        <v>-69354.359999999986</v>
      </c>
      <c r="J27" s="12"/>
    </row>
    <row r="28" spans="3:10" x14ac:dyDescent="0.3">
      <c r="C28" s="9" t="s">
        <v>12</v>
      </c>
      <c r="D28" s="10">
        <v>45671</v>
      </c>
      <c r="E28" t="s">
        <v>34</v>
      </c>
      <c r="F28" s="11" t="s">
        <v>14</v>
      </c>
      <c r="G28" s="8">
        <v>2771.72</v>
      </c>
      <c r="H28" s="8">
        <v>0</v>
      </c>
      <c r="I28" s="8">
        <f t="shared" si="0"/>
        <v>-66582.639999999985</v>
      </c>
      <c r="J28" s="12">
        <v>572000005</v>
      </c>
    </row>
    <row r="29" spans="3:10" x14ac:dyDescent="0.3">
      <c r="C29" s="9" t="s">
        <v>12</v>
      </c>
      <c r="D29" s="10">
        <v>45671</v>
      </c>
      <c r="E29" t="s">
        <v>34</v>
      </c>
      <c r="F29" s="11" t="s">
        <v>14</v>
      </c>
      <c r="G29" s="8">
        <v>3388</v>
      </c>
      <c r="H29" s="8">
        <v>0</v>
      </c>
      <c r="I29" s="8">
        <f t="shared" si="0"/>
        <v>-63194.639999999985</v>
      </c>
      <c r="J29" s="12">
        <v>572000005</v>
      </c>
    </row>
    <row r="30" spans="3:10" x14ac:dyDescent="0.3">
      <c r="C30" s="9" t="s">
        <v>12</v>
      </c>
      <c r="D30" s="10">
        <v>45672</v>
      </c>
      <c r="E30" t="s">
        <v>37</v>
      </c>
      <c r="F30" s="11" t="s">
        <v>38</v>
      </c>
      <c r="G30" s="8">
        <v>0</v>
      </c>
      <c r="H30" s="8">
        <v>728.72</v>
      </c>
      <c r="I30" s="8">
        <f t="shared" si="0"/>
        <v>-63923.359999999986</v>
      </c>
      <c r="J30" s="12"/>
    </row>
    <row r="31" spans="3:10" x14ac:dyDescent="0.3">
      <c r="C31" s="9" t="s">
        <v>12</v>
      </c>
      <c r="D31" s="10">
        <v>45673</v>
      </c>
      <c r="E31" t="s">
        <v>39</v>
      </c>
      <c r="F31" s="11" t="s">
        <v>40</v>
      </c>
      <c r="G31" s="8">
        <v>0</v>
      </c>
      <c r="H31" s="8">
        <v>1397.17</v>
      </c>
      <c r="I31" s="8">
        <f t="shared" si="0"/>
        <v>-65320.529999999984</v>
      </c>
      <c r="J31" s="12"/>
    </row>
    <row r="32" spans="3:10" x14ac:dyDescent="0.3">
      <c r="C32" s="9" t="s">
        <v>12</v>
      </c>
      <c r="D32" s="10">
        <v>45674</v>
      </c>
      <c r="E32" t="s">
        <v>41</v>
      </c>
      <c r="F32" s="11" t="s">
        <v>42</v>
      </c>
      <c r="G32" s="8">
        <v>0</v>
      </c>
      <c r="H32" s="8">
        <v>307.64999999999998</v>
      </c>
      <c r="I32" s="8">
        <f t="shared" si="0"/>
        <v>-65628.179999999978</v>
      </c>
      <c r="J32" s="12"/>
    </row>
    <row r="33" spans="3:10" x14ac:dyDescent="0.3">
      <c r="C33" s="9" t="s">
        <v>12</v>
      </c>
      <c r="D33" s="10">
        <v>45677</v>
      </c>
      <c r="E33" t="s">
        <v>34</v>
      </c>
      <c r="F33" s="11" t="s">
        <v>14</v>
      </c>
      <c r="G33" s="8">
        <v>1743.79</v>
      </c>
      <c r="H33" s="8">
        <v>0</v>
      </c>
      <c r="I33" s="8">
        <f t="shared" si="0"/>
        <v>-63884.389999999978</v>
      </c>
      <c r="J33" s="12">
        <v>572000005</v>
      </c>
    </row>
    <row r="34" spans="3:10" x14ac:dyDescent="0.3">
      <c r="C34" s="9" t="s">
        <v>12</v>
      </c>
      <c r="D34" s="10">
        <v>45677</v>
      </c>
      <c r="E34" t="s">
        <v>34</v>
      </c>
      <c r="F34" s="11" t="s">
        <v>14</v>
      </c>
      <c r="G34" s="8">
        <v>440.52</v>
      </c>
      <c r="H34" s="8">
        <v>0</v>
      </c>
      <c r="I34" s="8">
        <f t="shared" si="0"/>
        <v>-63443.869999999981</v>
      </c>
      <c r="J34" s="12">
        <v>572000005</v>
      </c>
    </row>
    <row r="35" spans="3:10" x14ac:dyDescent="0.3">
      <c r="C35" s="9" t="s">
        <v>12</v>
      </c>
      <c r="D35" s="10">
        <v>45677</v>
      </c>
      <c r="E35" t="s">
        <v>34</v>
      </c>
      <c r="F35" s="11" t="s">
        <v>14</v>
      </c>
      <c r="G35" s="8">
        <v>849.47</v>
      </c>
      <c r="H35" s="8">
        <v>0</v>
      </c>
      <c r="I35" s="8">
        <f t="shared" si="0"/>
        <v>-62594.39999999998</v>
      </c>
      <c r="J35" s="12">
        <v>572000005</v>
      </c>
    </row>
    <row r="36" spans="3:10" x14ac:dyDescent="0.3">
      <c r="C36" s="9" t="s">
        <v>12</v>
      </c>
      <c r="D36" s="10">
        <v>45678</v>
      </c>
      <c r="E36" t="s">
        <v>43</v>
      </c>
      <c r="F36" s="11" t="s">
        <v>44</v>
      </c>
      <c r="G36" s="8">
        <v>0</v>
      </c>
      <c r="H36" s="8">
        <v>37.69</v>
      </c>
      <c r="I36" s="8">
        <f t="shared" si="0"/>
        <v>-62632.089999999982</v>
      </c>
      <c r="J36" s="12"/>
    </row>
    <row r="37" spans="3:10" x14ac:dyDescent="0.3">
      <c r="C37" s="9" t="s">
        <v>12</v>
      </c>
      <c r="D37" s="10">
        <v>45678</v>
      </c>
      <c r="E37" t="s">
        <v>45</v>
      </c>
      <c r="F37" s="11" t="s">
        <v>46</v>
      </c>
      <c r="G37" s="8">
        <v>0</v>
      </c>
      <c r="H37" s="8">
        <v>1663.1</v>
      </c>
      <c r="I37" s="8">
        <f t="shared" si="0"/>
        <v>-64295.189999999981</v>
      </c>
      <c r="J37" s="12"/>
    </row>
    <row r="38" spans="3:10" x14ac:dyDescent="0.3">
      <c r="C38" s="9" t="s">
        <v>12</v>
      </c>
      <c r="D38" s="10">
        <v>45679</v>
      </c>
      <c r="E38" t="s">
        <v>47</v>
      </c>
      <c r="F38" s="11" t="s">
        <v>48</v>
      </c>
      <c r="G38" s="8">
        <v>0</v>
      </c>
      <c r="H38" s="8">
        <v>396.88</v>
      </c>
      <c r="I38" s="8">
        <f t="shared" si="0"/>
        <v>-64692.069999999978</v>
      </c>
      <c r="J38" s="12"/>
    </row>
    <row r="39" spans="3:10" x14ac:dyDescent="0.3">
      <c r="C39" s="9" t="s">
        <v>12</v>
      </c>
      <c r="D39" s="10">
        <v>45679</v>
      </c>
      <c r="E39" t="s">
        <v>34</v>
      </c>
      <c r="F39" s="11" t="s">
        <v>14</v>
      </c>
      <c r="G39" s="8">
        <v>519.36</v>
      </c>
      <c r="H39" s="8">
        <v>0</v>
      </c>
      <c r="I39" s="8">
        <f t="shared" si="0"/>
        <v>-64172.709999999977</v>
      </c>
      <c r="J39" s="12">
        <v>572000005</v>
      </c>
    </row>
    <row r="40" spans="3:10" x14ac:dyDescent="0.3">
      <c r="C40" s="9" t="s">
        <v>12</v>
      </c>
      <c r="D40" s="10">
        <v>45680</v>
      </c>
      <c r="E40" t="s">
        <v>49</v>
      </c>
      <c r="F40" s="11" t="s">
        <v>50</v>
      </c>
      <c r="G40" s="8">
        <v>0</v>
      </c>
      <c r="H40" s="8">
        <v>1408.77</v>
      </c>
      <c r="I40" s="8">
        <f t="shared" si="0"/>
        <v>-65581.479999999981</v>
      </c>
      <c r="J40" s="12"/>
    </row>
    <row r="41" spans="3:10" x14ac:dyDescent="0.3">
      <c r="C41" s="9" t="s">
        <v>12</v>
      </c>
      <c r="D41" s="10">
        <v>45681</v>
      </c>
      <c r="E41" t="s">
        <v>51</v>
      </c>
      <c r="F41" s="11" t="s">
        <v>52</v>
      </c>
      <c r="G41" s="8">
        <v>0</v>
      </c>
      <c r="H41" s="8">
        <v>677.77</v>
      </c>
      <c r="I41" s="8">
        <f t="shared" si="0"/>
        <v>-66259.249999999985</v>
      </c>
      <c r="J41" s="12"/>
    </row>
    <row r="42" spans="3:10" x14ac:dyDescent="0.3">
      <c r="C42" s="9" t="s">
        <v>12</v>
      </c>
      <c r="D42" s="10">
        <v>45681</v>
      </c>
      <c r="E42" t="s">
        <v>53</v>
      </c>
      <c r="F42" s="11" t="s">
        <v>54</v>
      </c>
      <c r="G42" s="8">
        <v>0</v>
      </c>
      <c r="H42" s="8">
        <v>615.19000000000005</v>
      </c>
      <c r="I42" s="8">
        <f t="shared" si="0"/>
        <v>-66874.439999999988</v>
      </c>
      <c r="J42" s="12"/>
    </row>
    <row r="43" spans="3:10" x14ac:dyDescent="0.3">
      <c r="C43" s="9" t="s">
        <v>12</v>
      </c>
      <c r="D43" s="10">
        <v>45684</v>
      </c>
      <c r="E43" t="s">
        <v>55</v>
      </c>
      <c r="F43" s="11" t="s">
        <v>56</v>
      </c>
      <c r="G43" s="8">
        <v>0</v>
      </c>
      <c r="H43" s="8">
        <v>68.349999999999994</v>
      </c>
      <c r="I43" s="8">
        <f t="shared" ref="I43:I74" si="1">G43-H43+I42</f>
        <v>-66942.789999999994</v>
      </c>
      <c r="J43" s="12"/>
    </row>
    <row r="44" spans="3:10" x14ac:dyDescent="0.3">
      <c r="C44" s="9" t="s">
        <v>12</v>
      </c>
      <c r="D44" s="10">
        <v>45684</v>
      </c>
      <c r="E44" t="s">
        <v>34</v>
      </c>
      <c r="F44" s="11" t="s">
        <v>14</v>
      </c>
      <c r="G44" s="8">
        <v>285.48</v>
      </c>
      <c r="H44" s="8">
        <v>0</v>
      </c>
      <c r="I44" s="8">
        <f t="shared" si="1"/>
        <v>-66657.31</v>
      </c>
      <c r="J44" s="12">
        <v>572000005</v>
      </c>
    </row>
    <row r="45" spans="3:10" x14ac:dyDescent="0.3">
      <c r="C45" s="9" t="s">
        <v>12</v>
      </c>
      <c r="D45" s="10">
        <v>45684</v>
      </c>
      <c r="E45" t="s">
        <v>34</v>
      </c>
      <c r="F45" s="11" t="s">
        <v>14</v>
      </c>
      <c r="G45" s="8">
        <v>2036.59</v>
      </c>
      <c r="H45" s="8">
        <v>0</v>
      </c>
      <c r="I45" s="8">
        <f t="shared" si="1"/>
        <v>-64620.72</v>
      </c>
      <c r="J45" s="12">
        <v>572000005</v>
      </c>
    </row>
    <row r="46" spans="3:10" x14ac:dyDescent="0.3">
      <c r="C46" s="9" t="s">
        <v>12</v>
      </c>
      <c r="D46" s="10">
        <v>45685</v>
      </c>
      <c r="E46" t="s">
        <v>57</v>
      </c>
      <c r="F46" s="11" t="s">
        <v>58</v>
      </c>
      <c r="G46" s="8">
        <v>0</v>
      </c>
      <c r="H46" s="8">
        <v>993.54</v>
      </c>
      <c r="I46" s="8">
        <f t="shared" si="1"/>
        <v>-65614.259999999995</v>
      </c>
      <c r="J46" s="12"/>
    </row>
    <row r="47" spans="3:10" x14ac:dyDescent="0.3">
      <c r="C47" s="9"/>
      <c r="D47" s="10">
        <v>45686</v>
      </c>
      <c r="E47" t="s">
        <v>59</v>
      </c>
      <c r="F47" s="11" t="s">
        <v>60</v>
      </c>
      <c r="G47" s="8">
        <v>0</v>
      </c>
      <c r="H47" s="8">
        <v>-1538.88</v>
      </c>
      <c r="I47" s="8">
        <f t="shared" si="1"/>
        <v>-64075.38</v>
      </c>
      <c r="J47" s="12"/>
    </row>
    <row r="48" spans="3:10" x14ac:dyDescent="0.3">
      <c r="C48" s="9" t="s">
        <v>12</v>
      </c>
      <c r="D48" s="10">
        <v>45686</v>
      </c>
      <c r="E48" t="s">
        <v>61</v>
      </c>
      <c r="F48" s="11" t="s">
        <v>62</v>
      </c>
      <c r="G48" s="8">
        <v>0</v>
      </c>
      <c r="H48" s="8">
        <v>718.1</v>
      </c>
      <c r="I48" s="8">
        <f t="shared" si="1"/>
        <v>-64793.479999999996</v>
      </c>
      <c r="J48" s="12"/>
    </row>
    <row r="49" spans="3:10" x14ac:dyDescent="0.3">
      <c r="C49" s="9" t="s">
        <v>12</v>
      </c>
      <c r="D49" s="10">
        <v>45686</v>
      </c>
      <c r="E49" t="s">
        <v>34</v>
      </c>
      <c r="F49" s="11" t="s">
        <v>14</v>
      </c>
      <c r="G49" s="8">
        <v>963.47</v>
      </c>
      <c r="H49" s="8">
        <v>0</v>
      </c>
      <c r="I49" s="8">
        <f t="shared" si="1"/>
        <v>-63830.009999999995</v>
      </c>
      <c r="J49" s="12">
        <v>572000005</v>
      </c>
    </row>
    <row r="50" spans="3:10" x14ac:dyDescent="0.3">
      <c r="C50" s="9" t="s">
        <v>12</v>
      </c>
      <c r="D50" s="10">
        <v>45686</v>
      </c>
      <c r="E50" t="s">
        <v>34</v>
      </c>
      <c r="F50" s="11" t="s">
        <v>14</v>
      </c>
      <c r="G50" s="8">
        <v>4172.1400000000003</v>
      </c>
      <c r="H50" s="8">
        <v>0</v>
      </c>
      <c r="I50" s="8">
        <f t="shared" si="1"/>
        <v>-59657.869999999995</v>
      </c>
      <c r="J50" s="12">
        <v>572000005</v>
      </c>
    </row>
    <row r="51" spans="3:10" x14ac:dyDescent="0.3">
      <c r="C51" s="9" t="s">
        <v>12</v>
      </c>
      <c r="D51" s="10">
        <v>45687</v>
      </c>
      <c r="E51" t="s">
        <v>63</v>
      </c>
      <c r="F51" s="11" t="s">
        <v>64</v>
      </c>
      <c r="G51" s="8">
        <v>0</v>
      </c>
      <c r="H51" s="8">
        <v>707.66</v>
      </c>
      <c r="I51" s="8">
        <f t="shared" si="1"/>
        <v>-60365.53</v>
      </c>
      <c r="J51" s="12"/>
    </row>
    <row r="52" spans="3:10" x14ac:dyDescent="0.3">
      <c r="C52" s="9" t="s">
        <v>12</v>
      </c>
      <c r="D52" s="10">
        <v>45695</v>
      </c>
      <c r="E52" t="s">
        <v>65</v>
      </c>
      <c r="F52" s="11" t="s">
        <v>66</v>
      </c>
      <c r="G52" s="8">
        <v>0</v>
      </c>
      <c r="H52" s="8">
        <v>603.30999999999995</v>
      </c>
      <c r="I52" s="8">
        <f t="shared" si="1"/>
        <v>-60968.84</v>
      </c>
      <c r="J52" s="12"/>
    </row>
    <row r="53" spans="3:10" x14ac:dyDescent="0.3">
      <c r="C53" s="9" t="s">
        <v>12</v>
      </c>
      <c r="D53" s="10">
        <v>45698</v>
      </c>
      <c r="E53" t="s">
        <v>67</v>
      </c>
      <c r="F53" s="11" t="s">
        <v>68</v>
      </c>
      <c r="G53" s="8">
        <v>0</v>
      </c>
      <c r="H53" s="8">
        <v>1162.4100000000001</v>
      </c>
      <c r="I53" s="8">
        <f t="shared" si="1"/>
        <v>-62131.25</v>
      </c>
      <c r="J53" s="12"/>
    </row>
    <row r="54" spans="3:10" x14ac:dyDescent="0.3">
      <c r="C54" s="9"/>
      <c r="D54" s="10">
        <v>45700</v>
      </c>
      <c r="E54" t="s">
        <v>69</v>
      </c>
      <c r="F54" s="11" t="s">
        <v>14</v>
      </c>
      <c r="G54" s="8">
        <v>18233.900000000001</v>
      </c>
      <c r="H54" s="8">
        <v>0</v>
      </c>
      <c r="I54" s="8">
        <f t="shared" si="1"/>
        <v>-43897.35</v>
      </c>
      <c r="J54" s="12"/>
    </row>
    <row r="55" spans="3:10" x14ac:dyDescent="0.3">
      <c r="C55" s="9" t="s">
        <v>12</v>
      </c>
      <c r="D55" s="10">
        <v>45707</v>
      </c>
      <c r="E55" t="s">
        <v>34</v>
      </c>
      <c r="F55" s="11" t="s">
        <v>14</v>
      </c>
      <c r="G55" s="8">
        <v>27.67</v>
      </c>
      <c r="H55" s="8">
        <v>0</v>
      </c>
      <c r="I55" s="8">
        <f t="shared" si="1"/>
        <v>-43869.68</v>
      </c>
      <c r="J55" s="12">
        <v>572000005</v>
      </c>
    </row>
    <row r="56" spans="3:10" x14ac:dyDescent="0.3">
      <c r="C56" s="9" t="s">
        <v>12</v>
      </c>
      <c r="D56" s="10">
        <v>45707</v>
      </c>
      <c r="E56" t="s">
        <v>34</v>
      </c>
      <c r="F56" s="11" t="s">
        <v>14</v>
      </c>
      <c r="G56" s="8">
        <v>458.7</v>
      </c>
      <c r="H56" s="8">
        <v>0</v>
      </c>
      <c r="I56" s="8">
        <f t="shared" si="1"/>
        <v>-43410.98</v>
      </c>
      <c r="J56" s="12">
        <v>572000005</v>
      </c>
    </row>
    <row r="57" spans="3:10" x14ac:dyDescent="0.3">
      <c r="C57" s="9" t="s">
        <v>12</v>
      </c>
      <c r="D57" s="10">
        <v>45707</v>
      </c>
      <c r="E57" t="s">
        <v>34</v>
      </c>
      <c r="F57" s="11" t="s">
        <v>14</v>
      </c>
      <c r="G57" s="8">
        <v>691.72</v>
      </c>
      <c r="H57" s="8">
        <v>0</v>
      </c>
      <c r="I57" s="8">
        <f t="shared" si="1"/>
        <v>-42719.26</v>
      </c>
      <c r="J57" s="12">
        <v>572000005</v>
      </c>
    </row>
    <row r="58" spans="3:10" x14ac:dyDescent="0.3">
      <c r="C58" s="9" t="s">
        <v>12</v>
      </c>
      <c r="D58" s="10">
        <v>45707</v>
      </c>
      <c r="E58" t="s">
        <v>34</v>
      </c>
      <c r="F58" s="11" t="s">
        <v>14</v>
      </c>
      <c r="G58" s="8">
        <v>131.31</v>
      </c>
      <c r="H58" s="8">
        <v>0</v>
      </c>
      <c r="I58" s="8">
        <f t="shared" si="1"/>
        <v>-42587.950000000004</v>
      </c>
      <c r="J58" s="12">
        <v>572000005</v>
      </c>
    </row>
    <row r="59" spans="3:10" x14ac:dyDescent="0.3">
      <c r="C59" s="9" t="s">
        <v>12</v>
      </c>
      <c r="D59" s="10">
        <v>45707</v>
      </c>
      <c r="E59" t="s">
        <v>34</v>
      </c>
      <c r="F59" s="11" t="s">
        <v>14</v>
      </c>
      <c r="G59" s="8">
        <v>4677.8500000000004</v>
      </c>
      <c r="H59" s="8">
        <v>0</v>
      </c>
      <c r="I59" s="8">
        <f t="shared" si="1"/>
        <v>-37910.100000000006</v>
      </c>
      <c r="J59" s="12">
        <v>572000005</v>
      </c>
    </row>
    <row r="60" spans="3:10" x14ac:dyDescent="0.3">
      <c r="C60" s="9" t="s">
        <v>12</v>
      </c>
      <c r="D60" s="10">
        <v>45707</v>
      </c>
      <c r="E60" t="s">
        <v>34</v>
      </c>
      <c r="F60" s="11" t="s">
        <v>14</v>
      </c>
      <c r="G60" s="8">
        <v>396.88</v>
      </c>
      <c r="H60" s="8">
        <v>0</v>
      </c>
      <c r="I60" s="8">
        <f t="shared" si="1"/>
        <v>-37513.220000000008</v>
      </c>
      <c r="J60" s="12">
        <v>572000005</v>
      </c>
    </row>
    <row r="61" spans="3:10" x14ac:dyDescent="0.3">
      <c r="C61" s="9" t="s">
        <v>12</v>
      </c>
      <c r="D61" s="10">
        <v>45707</v>
      </c>
      <c r="E61" t="s">
        <v>34</v>
      </c>
      <c r="F61" s="11" t="s">
        <v>14</v>
      </c>
      <c r="G61" s="8">
        <v>76.400000000000006</v>
      </c>
      <c r="H61" s="8">
        <v>0</v>
      </c>
      <c r="I61" s="8">
        <f t="shared" si="1"/>
        <v>-37436.820000000007</v>
      </c>
      <c r="J61" s="12">
        <v>572000005</v>
      </c>
    </row>
    <row r="62" spans="3:10" x14ac:dyDescent="0.3">
      <c r="C62" s="9" t="s">
        <v>12</v>
      </c>
      <c r="D62" s="10">
        <v>45707</v>
      </c>
      <c r="E62" t="s">
        <v>34</v>
      </c>
      <c r="F62" s="11" t="s">
        <v>14</v>
      </c>
      <c r="G62" s="8">
        <v>52.51</v>
      </c>
      <c r="H62" s="8">
        <v>0</v>
      </c>
      <c r="I62" s="8">
        <f t="shared" si="1"/>
        <v>-37384.310000000005</v>
      </c>
      <c r="J62" s="12">
        <v>572000005</v>
      </c>
    </row>
    <row r="63" spans="3:10" x14ac:dyDescent="0.3">
      <c r="C63" s="9" t="s">
        <v>12</v>
      </c>
      <c r="D63" s="10">
        <v>45707</v>
      </c>
      <c r="E63" t="s">
        <v>34</v>
      </c>
      <c r="F63" s="11" t="s">
        <v>14</v>
      </c>
      <c r="G63" s="8">
        <v>1538.88</v>
      </c>
      <c r="H63" s="8">
        <v>0</v>
      </c>
      <c r="I63" s="8">
        <f t="shared" si="1"/>
        <v>-35845.430000000008</v>
      </c>
      <c r="J63" s="12">
        <v>572000005</v>
      </c>
    </row>
    <row r="64" spans="3:10" x14ac:dyDescent="0.3">
      <c r="C64" s="9" t="s">
        <v>12</v>
      </c>
      <c r="D64" s="10">
        <v>45708</v>
      </c>
      <c r="E64" t="s">
        <v>70</v>
      </c>
      <c r="F64" s="11" t="s">
        <v>71</v>
      </c>
      <c r="G64" s="8">
        <v>0</v>
      </c>
      <c r="H64" s="8">
        <v>1309.0899999999999</v>
      </c>
      <c r="I64" s="8">
        <f t="shared" si="1"/>
        <v>-37154.520000000004</v>
      </c>
      <c r="J64" s="12"/>
    </row>
    <row r="65" spans="3:10" x14ac:dyDescent="0.3">
      <c r="C65" s="9" t="s">
        <v>12</v>
      </c>
      <c r="D65" s="10">
        <v>45708</v>
      </c>
      <c r="E65" t="s">
        <v>34</v>
      </c>
      <c r="F65" s="11" t="s">
        <v>14</v>
      </c>
      <c r="G65" s="8">
        <v>2608.4699999999998</v>
      </c>
      <c r="H65" s="8">
        <v>0</v>
      </c>
      <c r="I65" s="8">
        <f t="shared" si="1"/>
        <v>-34546.050000000003</v>
      </c>
      <c r="J65" s="12">
        <v>572000005</v>
      </c>
    </row>
    <row r="66" spans="3:10" x14ac:dyDescent="0.3">
      <c r="C66" s="9" t="s">
        <v>12</v>
      </c>
      <c r="D66" s="10">
        <v>45708</v>
      </c>
      <c r="E66" t="s">
        <v>34</v>
      </c>
      <c r="F66" s="11" t="s">
        <v>14</v>
      </c>
      <c r="G66" s="8">
        <v>2836.48</v>
      </c>
      <c r="H66" s="8">
        <v>0</v>
      </c>
      <c r="I66" s="8">
        <f t="shared" si="1"/>
        <v>-31709.570000000003</v>
      </c>
      <c r="J66" s="12">
        <v>572000005</v>
      </c>
    </row>
    <row r="67" spans="3:10" x14ac:dyDescent="0.3">
      <c r="C67" s="9" t="s">
        <v>12</v>
      </c>
      <c r="D67" s="10">
        <v>45709</v>
      </c>
      <c r="E67" t="s">
        <v>72</v>
      </c>
      <c r="F67" s="11" t="s">
        <v>73</v>
      </c>
      <c r="G67" s="8">
        <v>0</v>
      </c>
      <c r="H67" s="8">
        <v>450.05</v>
      </c>
      <c r="I67" s="8">
        <f t="shared" si="1"/>
        <v>-32159.620000000003</v>
      </c>
      <c r="J67" s="12"/>
    </row>
    <row r="68" spans="3:10" x14ac:dyDescent="0.3">
      <c r="C68" s="9" t="s">
        <v>12</v>
      </c>
      <c r="D68" s="10">
        <v>45712</v>
      </c>
      <c r="E68" t="s">
        <v>74</v>
      </c>
      <c r="F68" s="11" t="s">
        <v>75</v>
      </c>
      <c r="G68" s="8">
        <v>0</v>
      </c>
      <c r="H68" s="8">
        <v>254.2</v>
      </c>
      <c r="I68" s="8">
        <f t="shared" si="1"/>
        <v>-32413.820000000003</v>
      </c>
      <c r="J68" s="12"/>
    </row>
    <row r="69" spans="3:10" x14ac:dyDescent="0.3">
      <c r="C69" s="9" t="s">
        <v>12</v>
      </c>
      <c r="D69" s="10">
        <v>45712</v>
      </c>
      <c r="E69" t="s">
        <v>34</v>
      </c>
      <c r="F69" s="11" t="s">
        <v>14</v>
      </c>
      <c r="G69" s="8">
        <v>16.02</v>
      </c>
      <c r="H69" s="8">
        <v>0</v>
      </c>
      <c r="I69" s="8">
        <f t="shared" si="1"/>
        <v>-32397.800000000003</v>
      </c>
      <c r="J69" s="12">
        <v>572000005</v>
      </c>
    </row>
    <row r="70" spans="3:10" x14ac:dyDescent="0.3">
      <c r="C70" s="9" t="s">
        <v>12</v>
      </c>
      <c r="D70" s="10">
        <v>45713</v>
      </c>
      <c r="E70" t="s">
        <v>76</v>
      </c>
      <c r="F70" s="11" t="s">
        <v>77</v>
      </c>
      <c r="G70" s="8">
        <v>0</v>
      </c>
      <c r="H70" s="8">
        <v>2830.48</v>
      </c>
      <c r="I70" s="8">
        <f t="shared" si="1"/>
        <v>-35228.280000000006</v>
      </c>
      <c r="J70" s="12"/>
    </row>
    <row r="71" spans="3:10" x14ac:dyDescent="0.3">
      <c r="C71" s="9"/>
      <c r="D71" s="10">
        <v>45713</v>
      </c>
      <c r="E71" t="s">
        <v>78</v>
      </c>
      <c r="F71" s="11" t="s">
        <v>14</v>
      </c>
      <c r="G71" s="8">
        <v>0</v>
      </c>
      <c r="H71" s="8">
        <v>2836.48</v>
      </c>
      <c r="I71" s="8">
        <f t="shared" si="1"/>
        <v>-38064.760000000009</v>
      </c>
      <c r="J71" s="12">
        <v>572000005</v>
      </c>
    </row>
    <row r="72" spans="3:10" x14ac:dyDescent="0.3">
      <c r="C72" s="9"/>
      <c r="D72" s="10">
        <v>45713</v>
      </c>
      <c r="E72" t="s">
        <v>78</v>
      </c>
      <c r="F72" s="11" t="s">
        <v>14</v>
      </c>
      <c r="G72" s="8">
        <v>0</v>
      </c>
      <c r="H72" s="8">
        <v>691.72</v>
      </c>
      <c r="I72" s="8">
        <f t="shared" si="1"/>
        <v>-38756.48000000001</v>
      </c>
      <c r="J72" s="12">
        <v>572000005</v>
      </c>
    </row>
    <row r="73" spans="3:10" x14ac:dyDescent="0.3">
      <c r="C73" s="9" t="s">
        <v>12</v>
      </c>
      <c r="D73" s="10">
        <v>45713</v>
      </c>
      <c r="E73" t="s">
        <v>34</v>
      </c>
      <c r="F73" s="11" t="s">
        <v>14</v>
      </c>
      <c r="G73" s="8">
        <v>48.45</v>
      </c>
      <c r="H73" s="8">
        <v>0</v>
      </c>
      <c r="I73" s="8">
        <f t="shared" si="1"/>
        <v>-38708.030000000013</v>
      </c>
      <c r="J73" s="12">
        <v>572000005</v>
      </c>
    </row>
    <row r="74" spans="3:10" x14ac:dyDescent="0.3">
      <c r="C74" s="9" t="s">
        <v>12</v>
      </c>
      <c r="D74" s="10">
        <v>45713</v>
      </c>
      <c r="E74" t="s">
        <v>34</v>
      </c>
      <c r="F74" s="11" t="s">
        <v>14</v>
      </c>
      <c r="G74" s="8">
        <v>57.38</v>
      </c>
      <c r="H74" s="8">
        <v>0</v>
      </c>
      <c r="I74" s="8">
        <f t="shared" si="1"/>
        <v>-38650.650000000016</v>
      </c>
      <c r="J74" s="12">
        <v>572000005</v>
      </c>
    </row>
    <row r="75" spans="3:10" x14ac:dyDescent="0.3">
      <c r="C75" s="9" t="s">
        <v>12</v>
      </c>
      <c r="D75" s="10">
        <v>45713</v>
      </c>
      <c r="E75" t="s">
        <v>34</v>
      </c>
      <c r="F75" s="11" t="s">
        <v>14</v>
      </c>
      <c r="G75" s="8">
        <v>1668.58</v>
      </c>
      <c r="H75" s="8">
        <v>0</v>
      </c>
      <c r="I75" s="8">
        <f t="shared" ref="I75:I106" si="2">G75-H75+I74</f>
        <v>-36982.070000000014</v>
      </c>
      <c r="J75" s="12">
        <v>572000005</v>
      </c>
    </row>
    <row r="76" spans="3:10" x14ac:dyDescent="0.3">
      <c r="C76" s="9" t="s">
        <v>12</v>
      </c>
      <c r="D76" s="10">
        <v>45714</v>
      </c>
      <c r="E76" t="s">
        <v>34</v>
      </c>
      <c r="F76" s="11" t="s">
        <v>14</v>
      </c>
      <c r="G76" s="8">
        <v>108.89</v>
      </c>
      <c r="H76" s="8">
        <v>0</v>
      </c>
      <c r="I76" s="8">
        <f t="shared" si="2"/>
        <v>-36873.180000000015</v>
      </c>
      <c r="J76" s="12">
        <v>572000005</v>
      </c>
    </row>
    <row r="77" spans="3:10" x14ac:dyDescent="0.3">
      <c r="C77" s="9" t="s">
        <v>12</v>
      </c>
      <c r="D77" s="10">
        <v>45715</v>
      </c>
      <c r="E77" t="s">
        <v>79</v>
      </c>
      <c r="F77" s="11" t="s">
        <v>80</v>
      </c>
      <c r="G77" s="8">
        <v>0</v>
      </c>
      <c r="H77" s="8">
        <v>1098.1500000000001</v>
      </c>
      <c r="I77" s="8">
        <f t="shared" si="2"/>
        <v>-37971.330000000016</v>
      </c>
      <c r="J77" s="12"/>
    </row>
    <row r="78" spans="3:10" x14ac:dyDescent="0.3">
      <c r="C78" s="9" t="s">
        <v>12</v>
      </c>
      <c r="D78" s="10">
        <v>45719</v>
      </c>
      <c r="E78" t="s">
        <v>81</v>
      </c>
      <c r="F78" s="11" t="s">
        <v>82</v>
      </c>
      <c r="G78" s="8">
        <v>0</v>
      </c>
      <c r="H78" s="8">
        <v>579.21</v>
      </c>
      <c r="I78" s="8">
        <f t="shared" si="2"/>
        <v>-38550.540000000015</v>
      </c>
      <c r="J78" s="12"/>
    </row>
    <row r="79" spans="3:10" x14ac:dyDescent="0.3">
      <c r="C79" s="9" t="s">
        <v>12</v>
      </c>
      <c r="D79" s="10">
        <v>45721</v>
      </c>
      <c r="E79" t="s">
        <v>83</v>
      </c>
      <c r="F79" s="11" t="s">
        <v>84</v>
      </c>
      <c r="G79" s="8">
        <v>0</v>
      </c>
      <c r="H79" s="8">
        <v>1265.04</v>
      </c>
      <c r="I79" s="8">
        <f t="shared" si="2"/>
        <v>-39815.580000000016</v>
      </c>
      <c r="J79" s="12"/>
    </row>
    <row r="80" spans="3:10" x14ac:dyDescent="0.3">
      <c r="C80" s="9" t="s">
        <v>12</v>
      </c>
      <c r="D80" s="10">
        <v>45723</v>
      </c>
      <c r="E80" t="s">
        <v>85</v>
      </c>
      <c r="F80" s="11" t="s">
        <v>86</v>
      </c>
      <c r="G80" s="8">
        <v>0</v>
      </c>
      <c r="H80" s="8">
        <v>662.9</v>
      </c>
      <c r="I80" s="8">
        <f t="shared" si="2"/>
        <v>-40478.480000000018</v>
      </c>
      <c r="J80" s="12"/>
    </row>
    <row r="81" spans="3:10" x14ac:dyDescent="0.3">
      <c r="C81" s="9" t="s">
        <v>12</v>
      </c>
      <c r="D81" s="10">
        <v>45728</v>
      </c>
      <c r="E81" t="s">
        <v>34</v>
      </c>
      <c r="F81" s="11" t="s">
        <v>14</v>
      </c>
      <c r="G81" s="8">
        <v>372.27</v>
      </c>
      <c r="H81" s="8">
        <v>0</v>
      </c>
      <c r="I81" s="8">
        <f t="shared" si="2"/>
        <v>-40106.210000000021</v>
      </c>
      <c r="J81" s="12">
        <v>572000005</v>
      </c>
    </row>
    <row r="82" spans="3:10" x14ac:dyDescent="0.3">
      <c r="C82" s="9" t="s">
        <v>12</v>
      </c>
      <c r="D82" s="10">
        <v>45728</v>
      </c>
      <c r="E82" t="s">
        <v>34</v>
      </c>
      <c r="F82" s="11" t="s">
        <v>14</v>
      </c>
      <c r="G82" s="8">
        <v>317.54000000000002</v>
      </c>
      <c r="H82" s="8">
        <v>0</v>
      </c>
      <c r="I82" s="8">
        <f t="shared" si="2"/>
        <v>-39788.67000000002</v>
      </c>
      <c r="J82" s="12">
        <v>572000005</v>
      </c>
    </row>
    <row r="83" spans="3:10" x14ac:dyDescent="0.3">
      <c r="C83" s="9" t="s">
        <v>12</v>
      </c>
      <c r="D83" s="10">
        <v>45729</v>
      </c>
      <c r="E83" t="s">
        <v>34</v>
      </c>
      <c r="F83" s="11" t="s">
        <v>14</v>
      </c>
      <c r="G83" s="8">
        <v>1191.1099999999999</v>
      </c>
      <c r="H83" s="8">
        <v>0</v>
      </c>
      <c r="I83" s="8">
        <f t="shared" si="2"/>
        <v>-38597.560000000019</v>
      </c>
      <c r="J83" s="12">
        <v>572000005</v>
      </c>
    </row>
    <row r="84" spans="3:10" x14ac:dyDescent="0.3">
      <c r="C84" s="9" t="s">
        <v>12</v>
      </c>
      <c r="D84" s="10">
        <v>45729</v>
      </c>
      <c r="E84" t="s">
        <v>34</v>
      </c>
      <c r="F84" s="11" t="s">
        <v>14</v>
      </c>
      <c r="G84" s="8">
        <v>522.14</v>
      </c>
      <c r="H84" s="8">
        <v>0</v>
      </c>
      <c r="I84" s="8">
        <f t="shared" si="2"/>
        <v>-38075.42000000002</v>
      </c>
      <c r="J84" s="12">
        <v>572000005</v>
      </c>
    </row>
    <row r="85" spans="3:10" x14ac:dyDescent="0.3">
      <c r="C85" s="9" t="s">
        <v>12</v>
      </c>
      <c r="D85" s="10">
        <v>45733</v>
      </c>
      <c r="E85" t="s">
        <v>87</v>
      </c>
      <c r="F85" s="11" t="s">
        <v>88</v>
      </c>
      <c r="G85" s="8">
        <v>0</v>
      </c>
      <c r="H85" s="8">
        <v>396.88</v>
      </c>
      <c r="I85" s="8">
        <f t="shared" si="2"/>
        <v>-38472.300000000017</v>
      </c>
      <c r="J85" s="12"/>
    </row>
    <row r="86" spans="3:10" x14ac:dyDescent="0.3">
      <c r="C86" s="9"/>
      <c r="D86" s="10">
        <v>45734</v>
      </c>
      <c r="E86" t="s">
        <v>89</v>
      </c>
      <c r="F86" s="11" t="s">
        <v>90</v>
      </c>
      <c r="G86" s="8">
        <v>0</v>
      </c>
      <c r="H86" s="8">
        <v>2113.33</v>
      </c>
      <c r="I86" s="8">
        <f t="shared" si="2"/>
        <v>-40585.630000000019</v>
      </c>
      <c r="J86" s="12"/>
    </row>
    <row r="87" spans="3:10" x14ac:dyDescent="0.3">
      <c r="C87" s="9" t="s">
        <v>12</v>
      </c>
      <c r="D87" s="10">
        <v>45735</v>
      </c>
      <c r="E87" t="s">
        <v>91</v>
      </c>
      <c r="F87" s="11" t="s">
        <v>92</v>
      </c>
      <c r="G87" s="8">
        <v>0</v>
      </c>
      <c r="H87" s="8">
        <v>525.6</v>
      </c>
      <c r="I87" s="8">
        <f t="shared" si="2"/>
        <v>-41111.230000000018</v>
      </c>
      <c r="J87" s="12"/>
    </row>
    <row r="88" spans="3:10" x14ac:dyDescent="0.3">
      <c r="C88" s="9" t="s">
        <v>12</v>
      </c>
      <c r="D88" s="10">
        <v>45735</v>
      </c>
      <c r="E88" t="s">
        <v>34</v>
      </c>
      <c r="F88" s="11" t="s">
        <v>14</v>
      </c>
      <c r="G88" s="8">
        <v>121.41</v>
      </c>
      <c r="H88" s="8">
        <v>0</v>
      </c>
      <c r="I88" s="8">
        <f t="shared" si="2"/>
        <v>-40989.820000000014</v>
      </c>
      <c r="J88" s="12">
        <v>572000005</v>
      </c>
    </row>
    <row r="89" spans="3:10" x14ac:dyDescent="0.3">
      <c r="C89" s="9" t="s">
        <v>12</v>
      </c>
      <c r="D89" s="10">
        <v>45737</v>
      </c>
      <c r="E89" t="s">
        <v>93</v>
      </c>
      <c r="F89" s="11" t="s">
        <v>94</v>
      </c>
      <c r="G89" s="8">
        <v>0</v>
      </c>
      <c r="H89" s="8">
        <v>2603.67</v>
      </c>
      <c r="I89" s="8">
        <f t="shared" si="2"/>
        <v>-43593.490000000013</v>
      </c>
      <c r="J89" s="12"/>
    </row>
    <row r="90" spans="3:10" x14ac:dyDescent="0.3">
      <c r="C90" s="9" t="s">
        <v>12</v>
      </c>
      <c r="D90" s="10">
        <v>45740</v>
      </c>
      <c r="E90" t="s">
        <v>34</v>
      </c>
      <c r="F90" s="11" t="s">
        <v>14</v>
      </c>
      <c r="G90" s="8">
        <v>5034.91</v>
      </c>
      <c r="H90" s="8">
        <v>0</v>
      </c>
      <c r="I90" s="8">
        <f t="shared" si="2"/>
        <v>-38558.580000000016</v>
      </c>
      <c r="J90" s="12">
        <v>572000005</v>
      </c>
    </row>
    <row r="91" spans="3:10" x14ac:dyDescent="0.3">
      <c r="C91" s="9" t="s">
        <v>12</v>
      </c>
      <c r="D91" s="10">
        <v>45740</v>
      </c>
      <c r="E91" t="s">
        <v>34</v>
      </c>
      <c r="F91" s="11" t="s">
        <v>14</v>
      </c>
      <c r="G91" s="8">
        <v>286.08</v>
      </c>
      <c r="H91" s="8">
        <v>0</v>
      </c>
      <c r="I91" s="8">
        <f t="shared" si="2"/>
        <v>-38272.500000000015</v>
      </c>
      <c r="J91" s="12">
        <v>572000005</v>
      </c>
    </row>
    <row r="92" spans="3:10" x14ac:dyDescent="0.3">
      <c r="C92" s="9" t="s">
        <v>12</v>
      </c>
      <c r="D92" s="10">
        <v>45741</v>
      </c>
      <c r="E92" t="s">
        <v>95</v>
      </c>
      <c r="F92" s="11" t="s">
        <v>96</v>
      </c>
      <c r="G92" s="8">
        <v>0</v>
      </c>
      <c r="H92" s="8">
        <v>5866.99</v>
      </c>
      <c r="I92" s="8">
        <f t="shared" si="2"/>
        <v>-44139.490000000013</v>
      </c>
      <c r="J92" s="12"/>
    </row>
    <row r="93" spans="3:10" x14ac:dyDescent="0.3">
      <c r="C93" s="9" t="s">
        <v>12</v>
      </c>
      <c r="D93" s="10">
        <v>45742</v>
      </c>
      <c r="E93" t="s">
        <v>34</v>
      </c>
      <c r="F93" s="11" t="s">
        <v>14</v>
      </c>
      <c r="G93" s="8">
        <v>5317.43</v>
      </c>
      <c r="H93" s="8">
        <v>0</v>
      </c>
      <c r="I93" s="8">
        <f t="shared" si="2"/>
        <v>-38822.060000000012</v>
      </c>
      <c r="J93" s="12">
        <v>572000005</v>
      </c>
    </row>
    <row r="94" spans="3:10" x14ac:dyDescent="0.3">
      <c r="C94" s="9" t="s">
        <v>12</v>
      </c>
      <c r="D94" s="10">
        <v>45747</v>
      </c>
      <c r="E94" t="s">
        <v>34</v>
      </c>
      <c r="F94" s="11" t="s">
        <v>14</v>
      </c>
      <c r="G94" s="8">
        <v>77.89</v>
      </c>
      <c r="H94" s="8">
        <v>0</v>
      </c>
      <c r="I94" s="8">
        <f t="shared" si="2"/>
        <v>-38744.170000000013</v>
      </c>
      <c r="J94" s="12">
        <v>572000005</v>
      </c>
    </row>
    <row r="95" spans="3:10" x14ac:dyDescent="0.3">
      <c r="C95" s="9" t="s">
        <v>12</v>
      </c>
      <c r="D95" s="10">
        <v>45748</v>
      </c>
      <c r="E95" t="s">
        <v>34</v>
      </c>
      <c r="F95" s="11" t="s">
        <v>14</v>
      </c>
      <c r="G95" s="8">
        <v>2747.44</v>
      </c>
      <c r="H95" s="8">
        <v>0</v>
      </c>
      <c r="I95" s="8">
        <f t="shared" si="2"/>
        <v>-35996.73000000001</v>
      </c>
      <c r="J95" s="12">
        <v>572000005</v>
      </c>
    </row>
    <row r="96" spans="3:10" x14ac:dyDescent="0.3">
      <c r="C96" s="9" t="s">
        <v>12</v>
      </c>
      <c r="D96" s="10">
        <v>45748</v>
      </c>
      <c r="E96" t="s">
        <v>34</v>
      </c>
      <c r="F96" s="11" t="s">
        <v>14</v>
      </c>
      <c r="G96" s="8">
        <v>728.72</v>
      </c>
      <c r="H96" s="8">
        <v>0</v>
      </c>
      <c r="I96" s="8">
        <f t="shared" si="2"/>
        <v>-35268.010000000009</v>
      </c>
      <c r="J96" s="12">
        <v>572000005</v>
      </c>
    </row>
    <row r="97" spans="3:10" x14ac:dyDescent="0.3">
      <c r="C97" s="9" t="s">
        <v>12</v>
      </c>
      <c r="D97" s="10">
        <v>45748</v>
      </c>
      <c r="E97" t="s">
        <v>97</v>
      </c>
      <c r="F97" s="11" t="s">
        <v>98</v>
      </c>
      <c r="G97" s="8">
        <v>0</v>
      </c>
      <c r="H97" s="8">
        <v>104.69</v>
      </c>
      <c r="I97" s="8">
        <f t="shared" si="2"/>
        <v>-35372.700000000012</v>
      </c>
      <c r="J97" s="12"/>
    </row>
    <row r="98" spans="3:10" x14ac:dyDescent="0.3">
      <c r="C98" s="9" t="s">
        <v>12</v>
      </c>
      <c r="D98" s="10">
        <v>45748</v>
      </c>
      <c r="E98" t="s">
        <v>99</v>
      </c>
      <c r="F98" s="11" t="s">
        <v>100</v>
      </c>
      <c r="G98" s="8">
        <v>0</v>
      </c>
      <c r="H98" s="8">
        <v>2317.91</v>
      </c>
      <c r="I98" s="8">
        <f t="shared" si="2"/>
        <v>-37690.610000000015</v>
      </c>
      <c r="J98" s="12"/>
    </row>
    <row r="99" spans="3:10" x14ac:dyDescent="0.3">
      <c r="C99" s="9" t="s">
        <v>12</v>
      </c>
      <c r="D99" s="10">
        <v>45748</v>
      </c>
      <c r="E99" t="s">
        <v>101</v>
      </c>
      <c r="F99" s="11" t="s">
        <v>102</v>
      </c>
      <c r="G99" s="8">
        <v>0</v>
      </c>
      <c r="H99" s="8">
        <v>966.28</v>
      </c>
      <c r="I99" s="8">
        <f t="shared" si="2"/>
        <v>-38656.890000000014</v>
      </c>
      <c r="J99" s="12"/>
    </row>
    <row r="100" spans="3:10" x14ac:dyDescent="0.3">
      <c r="C100" s="9" t="s">
        <v>12</v>
      </c>
      <c r="D100" s="10">
        <v>45748</v>
      </c>
      <c r="E100" t="s">
        <v>103</v>
      </c>
      <c r="F100" s="11" t="s">
        <v>104</v>
      </c>
      <c r="G100" s="8">
        <v>0</v>
      </c>
      <c r="H100" s="8">
        <v>750.45</v>
      </c>
      <c r="I100" s="8">
        <f t="shared" si="2"/>
        <v>-39407.340000000011</v>
      </c>
      <c r="J100" s="12"/>
    </row>
    <row r="101" spans="3:10" x14ac:dyDescent="0.3">
      <c r="C101" s="9" t="s">
        <v>12</v>
      </c>
      <c r="D101" s="10">
        <v>45748</v>
      </c>
      <c r="E101" t="s">
        <v>105</v>
      </c>
      <c r="F101" s="11" t="s">
        <v>106</v>
      </c>
      <c r="G101" s="8">
        <v>0</v>
      </c>
      <c r="H101" s="8">
        <v>4502.41</v>
      </c>
      <c r="I101" s="8">
        <f t="shared" si="2"/>
        <v>-43909.750000000015</v>
      </c>
      <c r="J101" s="12"/>
    </row>
    <row r="102" spans="3:10" x14ac:dyDescent="0.3">
      <c r="C102" s="9" t="s">
        <v>12</v>
      </c>
      <c r="D102" s="10">
        <v>45758</v>
      </c>
      <c r="E102" t="s">
        <v>34</v>
      </c>
      <c r="F102" s="11" t="s">
        <v>14</v>
      </c>
      <c r="G102" s="8">
        <v>1397.17</v>
      </c>
      <c r="H102" s="8">
        <v>0</v>
      </c>
      <c r="I102" s="8">
        <f t="shared" si="2"/>
        <v>-42512.580000000016</v>
      </c>
      <c r="J102" s="12">
        <v>572000005</v>
      </c>
    </row>
    <row r="103" spans="3:10" x14ac:dyDescent="0.3">
      <c r="C103" s="9" t="s">
        <v>12</v>
      </c>
      <c r="D103" s="10">
        <v>45758</v>
      </c>
      <c r="E103" t="s">
        <v>34</v>
      </c>
      <c r="F103" s="11" t="s">
        <v>14</v>
      </c>
      <c r="G103" s="8">
        <v>307.64999999999998</v>
      </c>
      <c r="H103" s="8">
        <v>0</v>
      </c>
      <c r="I103" s="8">
        <f t="shared" si="2"/>
        <v>-42204.930000000015</v>
      </c>
      <c r="J103" s="12">
        <v>572000005</v>
      </c>
    </row>
    <row r="104" spans="3:10" x14ac:dyDescent="0.3">
      <c r="C104" s="9" t="s">
        <v>12</v>
      </c>
      <c r="D104" s="10">
        <v>45758</v>
      </c>
      <c r="E104" t="s">
        <v>34</v>
      </c>
      <c r="F104" s="11" t="s">
        <v>14</v>
      </c>
      <c r="G104" s="8">
        <v>1663.1</v>
      </c>
      <c r="H104" s="8">
        <v>0</v>
      </c>
      <c r="I104" s="8">
        <f t="shared" si="2"/>
        <v>-40541.830000000016</v>
      </c>
      <c r="J104" s="12">
        <v>572000005</v>
      </c>
    </row>
    <row r="105" spans="3:10" x14ac:dyDescent="0.3">
      <c r="C105" s="9" t="s">
        <v>12</v>
      </c>
      <c r="D105" s="10">
        <v>45758</v>
      </c>
      <c r="E105" t="s">
        <v>34</v>
      </c>
      <c r="F105" s="11" t="s">
        <v>14</v>
      </c>
      <c r="G105" s="8">
        <v>396.88</v>
      </c>
      <c r="H105" s="8">
        <v>0</v>
      </c>
      <c r="I105" s="8">
        <f t="shared" si="2"/>
        <v>-40144.950000000019</v>
      </c>
      <c r="J105" s="12">
        <v>572000005</v>
      </c>
    </row>
    <row r="106" spans="3:10" x14ac:dyDescent="0.3">
      <c r="C106" s="9" t="s">
        <v>12</v>
      </c>
      <c r="D106" s="10">
        <v>45758</v>
      </c>
      <c r="E106" t="s">
        <v>34</v>
      </c>
      <c r="F106" s="11" t="s">
        <v>14</v>
      </c>
      <c r="G106" s="8">
        <v>1408.77</v>
      </c>
      <c r="H106" s="8">
        <v>0</v>
      </c>
      <c r="I106" s="8">
        <f t="shared" si="2"/>
        <v>-38736.180000000022</v>
      </c>
      <c r="J106" s="12">
        <v>572000005</v>
      </c>
    </row>
    <row r="107" spans="3:10" x14ac:dyDescent="0.3">
      <c r="C107" s="9" t="s">
        <v>12</v>
      </c>
      <c r="D107" s="10">
        <v>45758</v>
      </c>
      <c r="E107" t="s">
        <v>34</v>
      </c>
      <c r="F107" s="11" t="s">
        <v>14</v>
      </c>
      <c r="G107" s="8">
        <v>677.77</v>
      </c>
      <c r="H107" s="8">
        <v>0</v>
      </c>
      <c r="I107" s="8">
        <f t="shared" ref="I107:I137" si="3">G107-H107+I106</f>
        <v>-38058.410000000025</v>
      </c>
      <c r="J107" s="12">
        <v>572000005</v>
      </c>
    </row>
    <row r="108" spans="3:10" x14ac:dyDescent="0.3">
      <c r="C108" s="9" t="s">
        <v>12</v>
      </c>
      <c r="D108" s="10">
        <v>45758</v>
      </c>
      <c r="E108" t="s">
        <v>34</v>
      </c>
      <c r="F108" s="11" t="s">
        <v>14</v>
      </c>
      <c r="G108" s="8">
        <v>615.19000000000005</v>
      </c>
      <c r="H108" s="8">
        <v>0</v>
      </c>
      <c r="I108" s="8">
        <f t="shared" si="3"/>
        <v>-37443.220000000023</v>
      </c>
      <c r="J108" s="12">
        <v>572000005</v>
      </c>
    </row>
    <row r="109" spans="3:10" x14ac:dyDescent="0.3">
      <c r="C109" s="9" t="s">
        <v>12</v>
      </c>
      <c r="D109" s="10">
        <v>45758</v>
      </c>
      <c r="E109" t="s">
        <v>34</v>
      </c>
      <c r="F109" s="11" t="s">
        <v>14</v>
      </c>
      <c r="G109" s="8">
        <v>37.69</v>
      </c>
      <c r="H109" s="8">
        <v>0</v>
      </c>
      <c r="I109" s="8">
        <f t="shared" si="3"/>
        <v>-37405.530000000021</v>
      </c>
      <c r="J109" s="12">
        <v>572000005</v>
      </c>
    </row>
    <row r="110" spans="3:10" x14ac:dyDescent="0.3">
      <c r="C110" s="9" t="s">
        <v>12</v>
      </c>
      <c r="D110" s="10">
        <v>45761</v>
      </c>
      <c r="E110" t="s">
        <v>34</v>
      </c>
      <c r="F110" s="11" t="s">
        <v>14</v>
      </c>
      <c r="G110" s="8">
        <v>68.349999999999994</v>
      </c>
      <c r="H110" s="8">
        <v>0</v>
      </c>
      <c r="I110" s="8">
        <f t="shared" si="3"/>
        <v>-37337.180000000022</v>
      </c>
      <c r="J110" s="12">
        <v>572000005</v>
      </c>
    </row>
    <row r="111" spans="3:10" x14ac:dyDescent="0.3">
      <c r="C111" s="9" t="s">
        <v>12</v>
      </c>
      <c r="D111" s="10">
        <v>45761</v>
      </c>
      <c r="E111" t="s">
        <v>34</v>
      </c>
      <c r="F111" s="11" t="s">
        <v>14</v>
      </c>
      <c r="G111" s="8">
        <v>718.1</v>
      </c>
      <c r="H111" s="8">
        <v>0</v>
      </c>
      <c r="I111" s="8">
        <f t="shared" si="3"/>
        <v>-36619.080000000024</v>
      </c>
      <c r="J111" s="12">
        <v>572000005</v>
      </c>
    </row>
    <row r="112" spans="3:10" x14ac:dyDescent="0.3">
      <c r="C112" s="9" t="s">
        <v>12</v>
      </c>
      <c r="D112" s="10">
        <v>45761</v>
      </c>
      <c r="E112" t="s">
        <v>34</v>
      </c>
      <c r="F112" s="11" t="s">
        <v>14</v>
      </c>
      <c r="G112" s="8">
        <v>993.54</v>
      </c>
      <c r="H112" s="8">
        <v>0</v>
      </c>
      <c r="I112" s="8">
        <f t="shared" si="3"/>
        <v>-35625.540000000023</v>
      </c>
      <c r="J112" s="12">
        <v>572000005</v>
      </c>
    </row>
    <row r="113" spans="3:10" x14ac:dyDescent="0.3">
      <c r="C113" s="9" t="s">
        <v>12</v>
      </c>
      <c r="D113" s="10">
        <v>45762</v>
      </c>
      <c r="E113" t="s">
        <v>34</v>
      </c>
      <c r="F113" s="11" t="s">
        <v>14</v>
      </c>
      <c r="G113" s="8">
        <v>707.66</v>
      </c>
      <c r="H113" s="8">
        <v>0</v>
      </c>
      <c r="I113" s="8">
        <f t="shared" si="3"/>
        <v>-34917.880000000019</v>
      </c>
      <c r="J113" s="12">
        <v>572000005</v>
      </c>
    </row>
    <row r="114" spans="3:10" x14ac:dyDescent="0.3">
      <c r="C114" s="9" t="s">
        <v>12</v>
      </c>
      <c r="D114" s="10">
        <v>45769</v>
      </c>
      <c r="E114" t="s">
        <v>107</v>
      </c>
      <c r="F114" s="11" t="s">
        <v>14</v>
      </c>
      <c r="G114" s="8">
        <v>2317.91</v>
      </c>
      <c r="H114" s="8">
        <v>0</v>
      </c>
      <c r="I114" s="8">
        <f t="shared" si="3"/>
        <v>-32599.970000000019</v>
      </c>
      <c r="J114" s="12">
        <v>572000005</v>
      </c>
    </row>
    <row r="115" spans="3:10" x14ac:dyDescent="0.3">
      <c r="C115" s="9" t="s">
        <v>12</v>
      </c>
      <c r="D115" s="10">
        <v>45770</v>
      </c>
      <c r="E115" t="s">
        <v>34</v>
      </c>
      <c r="F115" s="11" t="s">
        <v>14</v>
      </c>
      <c r="G115" s="8">
        <v>603.30999999999995</v>
      </c>
      <c r="H115" s="8">
        <v>0</v>
      </c>
      <c r="I115" s="8">
        <f t="shared" si="3"/>
        <v>-31996.660000000018</v>
      </c>
      <c r="J115" s="12">
        <v>572000005</v>
      </c>
    </row>
    <row r="116" spans="3:10" x14ac:dyDescent="0.3">
      <c r="C116" s="9" t="s">
        <v>12</v>
      </c>
      <c r="D116" s="10">
        <v>45775</v>
      </c>
      <c r="E116" t="s">
        <v>34</v>
      </c>
      <c r="F116" s="11" t="s">
        <v>14</v>
      </c>
      <c r="G116" s="8">
        <v>1162.4100000000001</v>
      </c>
      <c r="H116" s="8">
        <v>0</v>
      </c>
      <c r="I116" s="8">
        <f t="shared" si="3"/>
        <v>-30834.250000000018</v>
      </c>
      <c r="J116" s="12">
        <v>572000005</v>
      </c>
    </row>
    <row r="117" spans="3:10" x14ac:dyDescent="0.3">
      <c r="C117" s="9" t="s">
        <v>12</v>
      </c>
      <c r="D117" s="10">
        <v>45775</v>
      </c>
      <c r="E117" t="s">
        <v>34</v>
      </c>
      <c r="F117" s="11" t="s">
        <v>14</v>
      </c>
      <c r="G117" s="8">
        <v>966.28</v>
      </c>
      <c r="H117" s="8">
        <v>0</v>
      </c>
      <c r="I117" s="8">
        <f t="shared" si="3"/>
        <v>-29867.970000000019</v>
      </c>
      <c r="J117" s="12">
        <v>572000005</v>
      </c>
    </row>
    <row r="118" spans="3:10" x14ac:dyDescent="0.3">
      <c r="C118" s="9" t="s">
        <v>12</v>
      </c>
      <c r="D118" s="10">
        <v>45775</v>
      </c>
      <c r="E118" t="s">
        <v>34</v>
      </c>
      <c r="F118" s="11" t="s">
        <v>14</v>
      </c>
      <c r="G118" s="8">
        <v>750.45</v>
      </c>
      <c r="H118" s="8">
        <v>0</v>
      </c>
      <c r="I118" s="8">
        <f t="shared" si="3"/>
        <v>-29117.520000000019</v>
      </c>
      <c r="J118" s="12">
        <v>572000005</v>
      </c>
    </row>
    <row r="119" spans="3:10" x14ac:dyDescent="0.3">
      <c r="C119" s="9" t="s">
        <v>12</v>
      </c>
      <c r="D119" s="10">
        <v>45777</v>
      </c>
      <c r="E119" t="s">
        <v>34</v>
      </c>
      <c r="F119" s="11" t="s">
        <v>14</v>
      </c>
      <c r="G119" s="8">
        <v>104.69</v>
      </c>
      <c r="H119" s="8">
        <v>0</v>
      </c>
      <c r="I119" s="8">
        <f t="shared" si="3"/>
        <v>-29012.83000000002</v>
      </c>
      <c r="J119" s="12">
        <v>572000005</v>
      </c>
    </row>
    <row r="120" spans="3:10" x14ac:dyDescent="0.3">
      <c r="C120" s="9" t="s">
        <v>12</v>
      </c>
      <c r="D120" s="10">
        <v>45791</v>
      </c>
      <c r="E120" t="s">
        <v>34</v>
      </c>
      <c r="F120" s="11" t="s">
        <v>14</v>
      </c>
      <c r="G120" s="8">
        <v>4502.41</v>
      </c>
      <c r="H120" s="8">
        <v>0</v>
      </c>
      <c r="I120" s="8">
        <f t="shared" si="3"/>
        <v>-24510.42000000002</v>
      </c>
      <c r="J120" s="12">
        <v>572000005</v>
      </c>
    </row>
    <row r="121" spans="3:10" x14ac:dyDescent="0.3">
      <c r="C121" s="9" t="s">
        <v>12</v>
      </c>
      <c r="D121" s="10">
        <v>45791</v>
      </c>
      <c r="E121" t="s">
        <v>34</v>
      </c>
      <c r="F121" s="11" t="s">
        <v>14</v>
      </c>
      <c r="G121" s="8">
        <v>1309.0899999999999</v>
      </c>
      <c r="H121" s="8">
        <v>0</v>
      </c>
      <c r="I121" s="8">
        <f t="shared" si="3"/>
        <v>-23201.33000000002</v>
      </c>
      <c r="J121" s="12">
        <v>572000005</v>
      </c>
    </row>
    <row r="122" spans="3:10" x14ac:dyDescent="0.3">
      <c r="C122" s="9" t="s">
        <v>12</v>
      </c>
      <c r="D122" s="10">
        <v>45791</v>
      </c>
      <c r="E122" t="s">
        <v>34</v>
      </c>
      <c r="F122" s="11" t="s">
        <v>14</v>
      </c>
      <c r="G122" s="8">
        <v>450.05</v>
      </c>
      <c r="H122" s="8">
        <v>0</v>
      </c>
      <c r="I122" s="8">
        <f t="shared" si="3"/>
        <v>-22751.280000000021</v>
      </c>
      <c r="J122" s="12">
        <v>572000005</v>
      </c>
    </row>
    <row r="123" spans="3:10" x14ac:dyDescent="0.3">
      <c r="C123" s="9" t="s">
        <v>12</v>
      </c>
      <c r="D123" s="10">
        <v>45791</v>
      </c>
      <c r="E123" t="s">
        <v>34</v>
      </c>
      <c r="F123" s="11" t="s">
        <v>14</v>
      </c>
      <c r="G123" s="8">
        <v>254.2</v>
      </c>
      <c r="H123" s="8">
        <v>0</v>
      </c>
      <c r="I123" s="8">
        <f t="shared" si="3"/>
        <v>-22497.08000000002</v>
      </c>
      <c r="J123" s="12">
        <v>572000005</v>
      </c>
    </row>
    <row r="124" spans="3:10" x14ac:dyDescent="0.3">
      <c r="C124" s="9" t="s">
        <v>12</v>
      </c>
      <c r="D124" s="10">
        <v>45791</v>
      </c>
      <c r="E124" t="s">
        <v>34</v>
      </c>
      <c r="F124" s="11" t="s">
        <v>14</v>
      </c>
      <c r="G124" s="8">
        <v>2830.48</v>
      </c>
      <c r="H124" s="8">
        <v>0</v>
      </c>
      <c r="I124" s="8">
        <f t="shared" si="3"/>
        <v>-19666.60000000002</v>
      </c>
      <c r="J124" s="12">
        <v>572000005</v>
      </c>
    </row>
    <row r="125" spans="3:10" x14ac:dyDescent="0.3">
      <c r="C125" s="9" t="s">
        <v>12</v>
      </c>
      <c r="D125" s="10">
        <v>45791</v>
      </c>
      <c r="E125" t="s">
        <v>34</v>
      </c>
      <c r="F125" s="11" t="s">
        <v>14</v>
      </c>
      <c r="G125" s="8">
        <v>1098.1500000000001</v>
      </c>
      <c r="H125" s="8">
        <v>0</v>
      </c>
      <c r="I125" s="8">
        <f t="shared" si="3"/>
        <v>-18568.450000000019</v>
      </c>
      <c r="J125" s="12">
        <v>572000005</v>
      </c>
    </row>
    <row r="126" spans="3:10" x14ac:dyDescent="0.3">
      <c r="C126" s="9" t="s">
        <v>12</v>
      </c>
      <c r="D126" s="10">
        <v>45796</v>
      </c>
      <c r="E126" t="s">
        <v>34</v>
      </c>
      <c r="F126" s="11" t="s">
        <v>14</v>
      </c>
      <c r="G126" s="8">
        <v>579.21</v>
      </c>
      <c r="H126" s="8">
        <v>0</v>
      </c>
      <c r="I126" s="8">
        <f t="shared" si="3"/>
        <v>-17989.24000000002</v>
      </c>
      <c r="J126" s="12">
        <v>572000005</v>
      </c>
    </row>
    <row r="127" spans="3:10" x14ac:dyDescent="0.3">
      <c r="C127" s="9" t="s">
        <v>12</v>
      </c>
      <c r="D127" s="10">
        <v>45796</v>
      </c>
      <c r="E127" t="s">
        <v>34</v>
      </c>
      <c r="F127" s="11" t="s">
        <v>14</v>
      </c>
      <c r="G127" s="8">
        <v>1265.04</v>
      </c>
      <c r="H127" s="8">
        <v>0</v>
      </c>
      <c r="I127" s="8">
        <f t="shared" si="3"/>
        <v>-16724.200000000019</v>
      </c>
      <c r="J127" s="12">
        <v>572000005</v>
      </c>
    </row>
    <row r="128" spans="3:10" x14ac:dyDescent="0.3">
      <c r="C128" s="9" t="s">
        <v>12</v>
      </c>
      <c r="D128" s="10">
        <v>45798</v>
      </c>
      <c r="E128" t="s">
        <v>34</v>
      </c>
      <c r="F128" s="11" t="s">
        <v>14</v>
      </c>
      <c r="G128" s="8">
        <v>662.9</v>
      </c>
      <c r="H128" s="8">
        <v>0</v>
      </c>
      <c r="I128" s="8">
        <f t="shared" si="3"/>
        <v>-16061.300000000019</v>
      </c>
      <c r="J128" s="12">
        <v>572000005</v>
      </c>
    </row>
    <row r="129" spans="1:10" x14ac:dyDescent="0.3">
      <c r="C129" s="9" t="s">
        <v>12</v>
      </c>
      <c r="D129" s="10">
        <v>45810</v>
      </c>
      <c r="E129" t="s">
        <v>34</v>
      </c>
      <c r="F129" s="11" t="s">
        <v>14</v>
      </c>
      <c r="G129" s="8">
        <v>396.88</v>
      </c>
      <c r="H129" s="8">
        <v>0</v>
      </c>
      <c r="I129" s="8">
        <f t="shared" si="3"/>
        <v>-15664.42000000002</v>
      </c>
      <c r="J129" s="12">
        <v>572000005</v>
      </c>
    </row>
    <row r="130" spans="1:10" x14ac:dyDescent="0.3">
      <c r="C130" s="9" t="s">
        <v>12</v>
      </c>
      <c r="D130" s="10">
        <v>45818</v>
      </c>
      <c r="E130" t="s">
        <v>34</v>
      </c>
      <c r="F130" s="11" t="s">
        <v>96</v>
      </c>
      <c r="G130" s="8">
        <v>5866.99</v>
      </c>
      <c r="H130" s="8">
        <v>0</v>
      </c>
      <c r="I130" s="8">
        <f t="shared" si="3"/>
        <v>-9797.4300000000203</v>
      </c>
      <c r="J130" s="12">
        <v>572000005</v>
      </c>
    </row>
    <row r="131" spans="1:10" x14ac:dyDescent="0.3">
      <c r="C131" s="9"/>
      <c r="D131" s="10">
        <v>45818</v>
      </c>
      <c r="E131" t="s">
        <v>107</v>
      </c>
      <c r="F131" s="11" t="s">
        <v>90</v>
      </c>
      <c r="G131" s="8">
        <v>1169.52</v>
      </c>
      <c r="H131" s="8">
        <v>0</v>
      </c>
      <c r="I131" s="8">
        <f t="shared" si="3"/>
        <v>-8627.9100000000199</v>
      </c>
      <c r="J131" s="12">
        <v>572000005</v>
      </c>
    </row>
    <row r="132" spans="1:10" x14ac:dyDescent="0.3">
      <c r="C132" s="9" t="s">
        <v>12</v>
      </c>
      <c r="D132" s="10">
        <v>45818</v>
      </c>
      <c r="E132" t="s">
        <v>34</v>
      </c>
      <c r="F132" s="11" t="s">
        <v>94</v>
      </c>
      <c r="G132" s="8">
        <v>2603.67</v>
      </c>
      <c r="H132" s="8">
        <v>0</v>
      </c>
      <c r="I132" s="8">
        <f t="shared" si="3"/>
        <v>-6024.2400000000198</v>
      </c>
      <c r="J132" s="12">
        <v>572000005</v>
      </c>
    </row>
    <row r="133" spans="1:10" x14ac:dyDescent="0.3">
      <c r="C133" s="9" t="s">
        <v>12</v>
      </c>
      <c r="D133" s="10">
        <v>45818</v>
      </c>
      <c r="E133" t="s">
        <v>34</v>
      </c>
      <c r="F133" s="11" t="s">
        <v>92</v>
      </c>
      <c r="G133" s="8">
        <v>525.6</v>
      </c>
      <c r="H133" s="8">
        <v>0</v>
      </c>
      <c r="I133" s="8">
        <f t="shared" si="3"/>
        <v>-5498.6400000000194</v>
      </c>
      <c r="J133" s="12">
        <v>572000005</v>
      </c>
    </row>
    <row r="134" spans="1:10" x14ac:dyDescent="0.3">
      <c r="C134" s="9"/>
      <c r="D134" s="10">
        <v>45848</v>
      </c>
      <c r="E134" t="s">
        <v>108</v>
      </c>
      <c r="F134" s="11" t="s">
        <v>14</v>
      </c>
      <c r="G134" s="8">
        <v>396.11</v>
      </c>
      <c r="H134" s="8">
        <v>0</v>
      </c>
      <c r="I134" s="8">
        <f t="shared" si="3"/>
        <v>-5102.5300000000198</v>
      </c>
      <c r="J134" s="12">
        <v>572000007</v>
      </c>
    </row>
    <row r="135" spans="1:10" x14ac:dyDescent="0.3">
      <c r="C135" s="9"/>
      <c r="D135" s="10">
        <v>45856</v>
      </c>
      <c r="E135" t="s">
        <v>111</v>
      </c>
      <c r="F135" s="11" t="s">
        <v>110</v>
      </c>
      <c r="G135" s="8">
        <v>0</v>
      </c>
      <c r="H135" s="8">
        <v>396.11</v>
      </c>
      <c r="I135" s="8">
        <f t="shared" si="3"/>
        <v>-5498.6400000000194</v>
      </c>
      <c r="J135" s="12"/>
    </row>
    <row r="136" spans="1:10" x14ac:dyDescent="0.3">
      <c r="C136" s="9"/>
      <c r="D136" s="10">
        <v>45897</v>
      </c>
      <c r="E136" t="s">
        <v>112</v>
      </c>
      <c r="F136" s="11" t="s">
        <v>113</v>
      </c>
      <c r="G136" s="8">
        <v>0</v>
      </c>
      <c r="H136" s="8">
        <v>3274.73</v>
      </c>
      <c r="I136" s="8">
        <f t="shared" si="3"/>
        <v>-8773.370000000019</v>
      </c>
      <c r="J136" s="12"/>
    </row>
    <row r="137" spans="1:10" x14ac:dyDescent="0.3">
      <c r="C137" s="9"/>
      <c r="D137" s="10">
        <v>45905</v>
      </c>
      <c r="E137" t="s">
        <v>114</v>
      </c>
      <c r="F137" s="11" t="s">
        <v>115</v>
      </c>
      <c r="G137" s="8">
        <v>0</v>
      </c>
      <c r="H137" s="8">
        <v>18.149999999999999</v>
      </c>
      <c r="I137" s="8">
        <f t="shared" si="3"/>
        <v>-8791.5200000000186</v>
      </c>
      <c r="J137" s="12"/>
    </row>
    <row r="138" spans="1:10" x14ac:dyDescent="0.3">
      <c r="E138" s="4" t="s">
        <v>116</v>
      </c>
      <c r="G138" s="8">
        <f>SUM(G10:G137)</f>
        <v>131175.04000000004</v>
      </c>
      <c r="H138" s="8">
        <f>SUM(H10:H137)</f>
        <v>139966.56000000003</v>
      </c>
      <c r="I138" s="8">
        <f>G138-H138</f>
        <v>-8791.5199999999895</v>
      </c>
    </row>
    <row r="140" spans="1:10" x14ac:dyDescent="0.3">
      <c r="A140" s="5">
        <v>400000015</v>
      </c>
      <c r="B140" s="6" t="s">
        <v>117</v>
      </c>
      <c r="C140" s="7"/>
      <c r="D140" s="7"/>
      <c r="E140" s="7"/>
      <c r="F140" s="7"/>
      <c r="G140" s="7"/>
      <c r="H140" s="7"/>
      <c r="I140" s="7"/>
      <c r="J140" s="7"/>
    </row>
    <row r="141" spans="1:10" x14ac:dyDescent="0.3">
      <c r="C141" s="9" t="s">
        <v>12</v>
      </c>
      <c r="D141" s="10">
        <v>45708</v>
      </c>
      <c r="E141" t="s">
        <v>118</v>
      </c>
      <c r="F141" s="11" t="s">
        <v>119</v>
      </c>
      <c r="G141" s="8">
        <v>0</v>
      </c>
      <c r="H141" s="8">
        <v>189.36</v>
      </c>
      <c r="I141" s="8">
        <f>G141-H141</f>
        <v>-189.36</v>
      </c>
      <c r="J141" s="12"/>
    </row>
    <row r="142" spans="1:10" x14ac:dyDescent="0.3">
      <c r="C142" s="9" t="s">
        <v>12</v>
      </c>
      <c r="D142" s="10">
        <v>45716</v>
      </c>
      <c r="E142" t="s">
        <v>120</v>
      </c>
      <c r="F142" s="11" t="s">
        <v>14</v>
      </c>
      <c r="G142" s="8">
        <v>189.36</v>
      </c>
      <c r="H142" s="8">
        <v>0</v>
      </c>
      <c r="I142" s="8">
        <f t="shared" ref="I142:I156" si="4">G142-H142+I141</f>
        <v>0</v>
      </c>
      <c r="J142" s="12"/>
    </row>
    <row r="143" spans="1:10" x14ac:dyDescent="0.3">
      <c r="C143" s="9" t="s">
        <v>12</v>
      </c>
      <c r="D143" s="10">
        <v>45726</v>
      </c>
      <c r="E143" t="s">
        <v>121</v>
      </c>
      <c r="F143" s="11" t="s">
        <v>122</v>
      </c>
      <c r="G143" s="8">
        <v>0</v>
      </c>
      <c r="H143" s="8">
        <v>174.06</v>
      </c>
      <c r="I143" s="8">
        <f t="shared" si="4"/>
        <v>-174.06</v>
      </c>
      <c r="J143" s="12"/>
    </row>
    <row r="144" spans="1:10" x14ac:dyDescent="0.3">
      <c r="C144" s="9" t="s">
        <v>12</v>
      </c>
      <c r="D144" s="10">
        <v>45747</v>
      </c>
      <c r="E144" t="s">
        <v>120</v>
      </c>
      <c r="F144" s="11" t="s">
        <v>14</v>
      </c>
      <c r="G144" s="8">
        <v>174.06</v>
      </c>
      <c r="H144" s="8">
        <v>0</v>
      </c>
      <c r="I144" s="8">
        <f t="shared" si="4"/>
        <v>0</v>
      </c>
      <c r="J144" s="12"/>
    </row>
    <row r="145" spans="1:10" x14ac:dyDescent="0.3">
      <c r="C145" s="9" t="s">
        <v>12</v>
      </c>
      <c r="D145" s="10">
        <v>45757</v>
      </c>
      <c r="E145" t="s">
        <v>123</v>
      </c>
      <c r="F145" s="11" t="s">
        <v>124</v>
      </c>
      <c r="G145" s="8">
        <v>0</v>
      </c>
      <c r="H145" s="8">
        <v>174.06</v>
      </c>
      <c r="I145" s="8">
        <f t="shared" si="4"/>
        <v>-174.06</v>
      </c>
      <c r="J145" s="12"/>
    </row>
    <row r="146" spans="1:10" x14ac:dyDescent="0.3">
      <c r="C146" s="9" t="s">
        <v>12</v>
      </c>
      <c r="D146" s="10">
        <v>45782</v>
      </c>
      <c r="E146" t="s">
        <v>125</v>
      </c>
      <c r="F146" s="11" t="s">
        <v>14</v>
      </c>
      <c r="G146" s="8">
        <v>174.06</v>
      </c>
      <c r="H146" s="8">
        <v>0</v>
      </c>
      <c r="I146" s="8">
        <f t="shared" si="4"/>
        <v>0</v>
      </c>
      <c r="J146" s="12"/>
    </row>
    <row r="147" spans="1:10" x14ac:dyDescent="0.3">
      <c r="C147" s="9" t="s">
        <v>12</v>
      </c>
      <c r="D147" s="10">
        <v>45792</v>
      </c>
      <c r="E147" t="s">
        <v>126</v>
      </c>
      <c r="F147" s="11" t="s">
        <v>127</v>
      </c>
      <c r="G147" s="8">
        <v>0</v>
      </c>
      <c r="H147" s="8">
        <v>174.06</v>
      </c>
      <c r="I147" s="8">
        <f t="shared" si="4"/>
        <v>-174.06</v>
      </c>
      <c r="J147" s="12"/>
    </row>
    <row r="148" spans="1:10" x14ac:dyDescent="0.3">
      <c r="C148" s="9" t="s">
        <v>12</v>
      </c>
      <c r="D148" s="10">
        <v>45807</v>
      </c>
      <c r="E148" t="s">
        <v>128</v>
      </c>
      <c r="F148" s="11" t="s">
        <v>129</v>
      </c>
      <c r="G148" s="8">
        <v>0</v>
      </c>
      <c r="H148" s="8">
        <v>174.06</v>
      </c>
      <c r="I148" s="8">
        <f t="shared" si="4"/>
        <v>-348.12</v>
      </c>
      <c r="J148" s="12"/>
    </row>
    <row r="149" spans="1:10" x14ac:dyDescent="0.3">
      <c r="C149" s="9" t="s">
        <v>12</v>
      </c>
      <c r="D149" s="10">
        <v>45813</v>
      </c>
      <c r="E149" t="s">
        <v>130</v>
      </c>
      <c r="F149" s="11" t="s">
        <v>14</v>
      </c>
      <c r="G149" s="8">
        <v>174.06</v>
      </c>
      <c r="H149" s="8">
        <v>0</v>
      </c>
      <c r="I149" s="8">
        <f t="shared" si="4"/>
        <v>-174.06</v>
      </c>
      <c r="J149" s="12"/>
    </row>
    <row r="150" spans="1:10" x14ac:dyDescent="0.3">
      <c r="C150" s="9" t="s">
        <v>12</v>
      </c>
      <c r="D150" s="10">
        <v>45821</v>
      </c>
      <c r="E150" t="s">
        <v>131</v>
      </c>
      <c r="F150" s="11" t="s">
        <v>132</v>
      </c>
      <c r="G150" s="8">
        <v>0</v>
      </c>
      <c r="H150" s="8">
        <v>174.06</v>
      </c>
      <c r="I150" s="8">
        <f t="shared" si="4"/>
        <v>-348.12</v>
      </c>
      <c r="J150" s="12"/>
    </row>
    <row r="151" spans="1:10" x14ac:dyDescent="0.3">
      <c r="C151" s="9" t="s">
        <v>12</v>
      </c>
      <c r="D151" s="10">
        <v>45828</v>
      </c>
      <c r="E151" t="s">
        <v>133</v>
      </c>
      <c r="F151" s="11" t="s">
        <v>134</v>
      </c>
      <c r="G151" s="8">
        <v>0</v>
      </c>
      <c r="H151" s="8">
        <v>174.06</v>
      </c>
      <c r="I151" s="8">
        <f t="shared" si="4"/>
        <v>-522.18000000000006</v>
      </c>
      <c r="J151" s="12"/>
    </row>
    <row r="152" spans="1:10" x14ac:dyDescent="0.3">
      <c r="C152" s="9" t="s">
        <v>12</v>
      </c>
      <c r="D152" s="10">
        <v>45838</v>
      </c>
      <c r="E152" t="s">
        <v>135</v>
      </c>
      <c r="F152" s="11" t="s">
        <v>14</v>
      </c>
      <c r="G152" s="8">
        <v>174.06</v>
      </c>
      <c r="H152" s="8">
        <v>0</v>
      </c>
      <c r="I152" s="8">
        <f t="shared" si="4"/>
        <v>-348.12000000000006</v>
      </c>
      <c r="J152" s="12"/>
    </row>
    <row r="153" spans="1:10" x14ac:dyDescent="0.3">
      <c r="C153" s="9" t="s">
        <v>12</v>
      </c>
      <c r="D153" s="10">
        <v>45838</v>
      </c>
      <c r="E153" t="s">
        <v>135</v>
      </c>
      <c r="F153" s="11" t="s">
        <v>14</v>
      </c>
      <c r="G153" s="8">
        <v>174.06</v>
      </c>
      <c r="H153" s="8">
        <v>0</v>
      </c>
      <c r="I153" s="8">
        <f t="shared" si="4"/>
        <v>-174.06000000000006</v>
      </c>
      <c r="J153" s="12"/>
    </row>
    <row r="154" spans="1:10" x14ac:dyDescent="0.3">
      <c r="C154" s="9" t="s">
        <v>12</v>
      </c>
      <c r="D154" s="10">
        <v>45838</v>
      </c>
      <c r="E154" t="s">
        <v>135</v>
      </c>
      <c r="F154" s="11" t="s">
        <v>14</v>
      </c>
      <c r="G154" s="8">
        <v>174.06</v>
      </c>
      <c r="H154" s="8">
        <v>0</v>
      </c>
      <c r="I154" s="8">
        <f t="shared" si="4"/>
        <v>0</v>
      </c>
      <c r="J154" s="12"/>
    </row>
    <row r="155" spans="1:10" x14ac:dyDescent="0.3">
      <c r="C155" s="9"/>
      <c r="D155" s="10">
        <v>45868</v>
      </c>
      <c r="E155" t="s">
        <v>136</v>
      </c>
      <c r="F155" s="11" t="s">
        <v>137</v>
      </c>
      <c r="G155" s="8">
        <v>0</v>
      </c>
      <c r="H155" s="8">
        <v>181.62</v>
      </c>
      <c r="I155" s="8">
        <f t="shared" si="4"/>
        <v>-181.62</v>
      </c>
      <c r="J155" s="12"/>
    </row>
    <row r="156" spans="1:10" x14ac:dyDescent="0.3">
      <c r="C156" s="9"/>
      <c r="D156" s="10">
        <v>45896</v>
      </c>
      <c r="E156" t="s">
        <v>138</v>
      </c>
      <c r="F156" s="11" t="s">
        <v>139</v>
      </c>
      <c r="G156" s="8">
        <v>0</v>
      </c>
      <c r="H156" s="8">
        <v>174.06</v>
      </c>
      <c r="I156" s="8">
        <f t="shared" si="4"/>
        <v>-355.68</v>
      </c>
      <c r="J156" s="12"/>
    </row>
    <row r="157" spans="1:10" x14ac:dyDescent="0.3">
      <c r="E157" s="4" t="s">
        <v>116</v>
      </c>
      <c r="G157" s="8">
        <f>SUM(G141:G156)</f>
        <v>1233.7199999999998</v>
      </c>
      <c r="H157" s="8">
        <f>SUM(H141:H156)</f>
        <v>1589.3999999999996</v>
      </c>
      <c r="I157" s="8">
        <f>G157-H157</f>
        <v>-355.67999999999984</v>
      </c>
    </row>
    <row r="159" spans="1:10" x14ac:dyDescent="0.3">
      <c r="A159" s="5">
        <v>400000017</v>
      </c>
      <c r="B159" s="6" t="s">
        <v>140</v>
      </c>
      <c r="C159" s="7"/>
      <c r="D159" s="7"/>
      <c r="E159" s="7"/>
      <c r="F159" s="7"/>
      <c r="G159" s="7"/>
      <c r="H159" s="7"/>
      <c r="I159" s="7"/>
      <c r="J159" s="7"/>
    </row>
    <row r="160" spans="1:10" x14ac:dyDescent="0.3">
      <c r="C160" s="9" t="s">
        <v>12</v>
      </c>
      <c r="D160" s="10">
        <v>45814</v>
      </c>
      <c r="E160" t="s">
        <v>141</v>
      </c>
      <c r="F160" s="11" t="s">
        <v>142</v>
      </c>
      <c r="G160" s="8">
        <v>0</v>
      </c>
      <c r="H160" s="8">
        <v>49.04</v>
      </c>
      <c r="I160" s="8">
        <f>G160-H160</f>
        <v>-49.04</v>
      </c>
      <c r="J160" s="12"/>
    </row>
    <row r="161" spans="1:10" x14ac:dyDescent="0.3">
      <c r="C161" s="9" t="s">
        <v>12</v>
      </c>
      <c r="D161" s="10">
        <v>45838</v>
      </c>
      <c r="E161" t="s">
        <v>135</v>
      </c>
      <c r="F161" s="11" t="s">
        <v>14</v>
      </c>
      <c r="G161" s="8">
        <v>49.04</v>
      </c>
      <c r="H161" s="8">
        <v>0</v>
      </c>
      <c r="I161" s="8">
        <f>G161-H161+I160</f>
        <v>0</v>
      </c>
      <c r="J161" s="12"/>
    </row>
    <row r="162" spans="1:10" x14ac:dyDescent="0.3">
      <c r="C162" s="9"/>
      <c r="D162" s="10">
        <v>45849</v>
      </c>
      <c r="E162" t="s">
        <v>143</v>
      </c>
      <c r="F162" s="11" t="s">
        <v>144</v>
      </c>
      <c r="G162" s="8">
        <v>0</v>
      </c>
      <c r="H162" s="8">
        <v>190.24</v>
      </c>
      <c r="I162" s="8">
        <f>G162-H162+I161</f>
        <v>-190.24</v>
      </c>
      <c r="J162" s="12"/>
    </row>
    <row r="163" spans="1:10" x14ac:dyDescent="0.3">
      <c r="E163" s="4" t="s">
        <v>116</v>
      </c>
      <c r="G163" s="8">
        <f>SUM(G160:G162)</f>
        <v>49.04</v>
      </c>
      <c r="H163" s="8">
        <f>SUM(H160:H162)</f>
        <v>239.28</v>
      </c>
      <c r="I163" s="8">
        <f>G163-H163</f>
        <v>-190.24</v>
      </c>
    </row>
    <row r="165" spans="1:10" x14ac:dyDescent="0.3">
      <c r="A165" s="5">
        <v>400000030</v>
      </c>
      <c r="B165" s="6" t="s">
        <v>145</v>
      </c>
      <c r="C165" s="7"/>
      <c r="D165" s="7"/>
      <c r="E165" s="7"/>
      <c r="F165" s="7"/>
      <c r="G165" s="7"/>
      <c r="H165" s="7"/>
      <c r="I165" s="7"/>
      <c r="J165" s="7"/>
    </row>
    <row r="166" spans="1:10" x14ac:dyDescent="0.3">
      <c r="C166" s="9" t="s">
        <v>12</v>
      </c>
      <c r="D166" s="10">
        <v>45665</v>
      </c>
      <c r="E166" t="s">
        <v>146</v>
      </c>
      <c r="F166" s="11" t="s">
        <v>147</v>
      </c>
      <c r="G166" s="8">
        <v>0</v>
      </c>
      <c r="H166" s="8">
        <v>335.11</v>
      </c>
      <c r="I166" s="8">
        <f>G166-H166</f>
        <v>-335.11</v>
      </c>
      <c r="J166" s="12"/>
    </row>
    <row r="167" spans="1:10" x14ac:dyDescent="0.3">
      <c r="C167" s="9" t="s">
        <v>12</v>
      </c>
      <c r="D167" s="10">
        <v>45673</v>
      </c>
      <c r="E167" t="s">
        <v>148</v>
      </c>
      <c r="F167" s="11" t="s">
        <v>149</v>
      </c>
      <c r="G167" s="8">
        <v>0</v>
      </c>
      <c r="H167" s="8">
        <v>64.69</v>
      </c>
      <c r="I167" s="8">
        <f t="shared" ref="I167:I198" si="5">G167-H167+I166</f>
        <v>-399.8</v>
      </c>
      <c r="J167" s="12"/>
    </row>
    <row r="168" spans="1:10" x14ac:dyDescent="0.3">
      <c r="C168" s="9" t="s">
        <v>12</v>
      </c>
      <c r="D168" s="10">
        <v>45698</v>
      </c>
      <c r="E168" t="s">
        <v>34</v>
      </c>
      <c r="F168" s="11" t="s">
        <v>14</v>
      </c>
      <c r="G168" s="8">
        <v>335.11</v>
      </c>
      <c r="H168" s="8">
        <v>0</v>
      </c>
      <c r="I168" s="8">
        <f t="shared" si="5"/>
        <v>-64.69</v>
      </c>
      <c r="J168" s="12">
        <v>572000007</v>
      </c>
    </row>
    <row r="169" spans="1:10" x14ac:dyDescent="0.3">
      <c r="C169" s="9" t="s">
        <v>12</v>
      </c>
      <c r="D169" s="10">
        <v>45705</v>
      </c>
      <c r="E169" t="s">
        <v>34</v>
      </c>
      <c r="F169" s="11" t="s">
        <v>14</v>
      </c>
      <c r="G169" s="8">
        <v>64.69</v>
      </c>
      <c r="H169" s="8">
        <v>0</v>
      </c>
      <c r="I169" s="8">
        <f t="shared" si="5"/>
        <v>0</v>
      </c>
      <c r="J169" s="12">
        <v>572000007</v>
      </c>
    </row>
    <row r="170" spans="1:10" x14ac:dyDescent="0.3">
      <c r="C170" s="9" t="s">
        <v>12</v>
      </c>
      <c r="D170" s="10">
        <v>45713</v>
      </c>
      <c r="E170" t="s">
        <v>150</v>
      </c>
      <c r="F170" s="11" t="s">
        <v>151</v>
      </c>
      <c r="G170" s="8">
        <v>0</v>
      </c>
      <c r="H170" s="8">
        <v>380.15</v>
      </c>
      <c r="I170" s="8">
        <f t="shared" si="5"/>
        <v>-380.15</v>
      </c>
      <c r="J170" s="12"/>
    </row>
    <row r="171" spans="1:10" x14ac:dyDescent="0.3">
      <c r="C171" s="9" t="s">
        <v>12</v>
      </c>
      <c r="D171" s="10">
        <v>45736</v>
      </c>
      <c r="E171" t="s">
        <v>152</v>
      </c>
      <c r="F171" s="11" t="s">
        <v>153</v>
      </c>
      <c r="G171" s="8">
        <v>0</v>
      </c>
      <c r="H171" s="8">
        <v>4.57</v>
      </c>
      <c r="I171" s="8">
        <f t="shared" si="5"/>
        <v>-384.71999999999997</v>
      </c>
      <c r="J171" s="12"/>
    </row>
    <row r="172" spans="1:10" x14ac:dyDescent="0.3">
      <c r="C172" s="9" t="s">
        <v>12</v>
      </c>
      <c r="D172" s="10">
        <v>45737</v>
      </c>
      <c r="E172" t="s">
        <v>154</v>
      </c>
      <c r="F172" s="11" t="s">
        <v>155</v>
      </c>
      <c r="G172" s="8">
        <v>0</v>
      </c>
      <c r="H172" s="8">
        <v>35.42</v>
      </c>
      <c r="I172" s="8">
        <f t="shared" si="5"/>
        <v>-420.14</v>
      </c>
      <c r="J172" s="12"/>
    </row>
    <row r="173" spans="1:10" x14ac:dyDescent="0.3">
      <c r="C173" s="9" t="s">
        <v>12</v>
      </c>
      <c r="D173" s="10">
        <v>45741</v>
      </c>
      <c r="E173" t="s">
        <v>156</v>
      </c>
      <c r="F173" s="11" t="s">
        <v>157</v>
      </c>
      <c r="G173" s="8">
        <v>0</v>
      </c>
      <c r="H173" s="8">
        <v>23.09</v>
      </c>
      <c r="I173" s="8">
        <f t="shared" si="5"/>
        <v>-443.22999999999996</v>
      </c>
      <c r="J173" s="12"/>
    </row>
    <row r="174" spans="1:10" x14ac:dyDescent="0.3">
      <c r="C174" s="9" t="s">
        <v>12</v>
      </c>
      <c r="D174" s="10">
        <v>45741</v>
      </c>
      <c r="E174" t="s">
        <v>34</v>
      </c>
      <c r="F174" s="11" t="s">
        <v>14</v>
      </c>
      <c r="G174" s="8">
        <v>380.15</v>
      </c>
      <c r="H174" s="8">
        <v>0</v>
      </c>
      <c r="I174" s="8">
        <f t="shared" si="5"/>
        <v>-63.079999999999984</v>
      </c>
      <c r="J174" s="12">
        <v>572000007</v>
      </c>
    </row>
    <row r="175" spans="1:10" x14ac:dyDescent="0.3">
      <c r="C175" s="9" t="s">
        <v>12</v>
      </c>
      <c r="D175" s="10">
        <v>45747</v>
      </c>
      <c r="E175" t="s">
        <v>158</v>
      </c>
      <c r="F175" s="11" t="s">
        <v>159</v>
      </c>
      <c r="G175" s="8">
        <v>0</v>
      </c>
      <c r="H175" s="8">
        <v>88.95</v>
      </c>
      <c r="I175" s="8">
        <f t="shared" si="5"/>
        <v>-152.02999999999997</v>
      </c>
      <c r="J175" s="12"/>
    </row>
    <row r="176" spans="1:10" x14ac:dyDescent="0.3">
      <c r="C176" s="9" t="s">
        <v>12</v>
      </c>
      <c r="D176" s="10">
        <v>45754</v>
      </c>
      <c r="E176" t="s">
        <v>160</v>
      </c>
      <c r="F176" s="11" t="s">
        <v>161</v>
      </c>
      <c r="G176" s="8">
        <v>0</v>
      </c>
      <c r="H176" s="8">
        <v>557.13</v>
      </c>
      <c r="I176" s="8">
        <f t="shared" si="5"/>
        <v>-709.16</v>
      </c>
      <c r="J176" s="12"/>
    </row>
    <row r="177" spans="3:10" x14ac:dyDescent="0.3">
      <c r="C177" s="9" t="s">
        <v>12</v>
      </c>
      <c r="D177" s="10">
        <v>45756</v>
      </c>
      <c r="E177" t="s">
        <v>162</v>
      </c>
      <c r="F177" s="11" t="s">
        <v>163</v>
      </c>
      <c r="G177" s="8">
        <v>0</v>
      </c>
      <c r="H177" s="8">
        <v>52.93</v>
      </c>
      <c r="I177" s="8">
        <f t="shared" si="5"/>
        <v>-762.08999999999992</v>
      </c>
      <c r="J177" s="12"/>
    </row>
    <row r="178" spans="3:10" x14ac:dyDescent="0.3">
      <c r="C178" s="9" t="s">
        <v>12</v>
      </c>
      <c r="D178" s="10">
        <v>45761</v>
      </c>
      <c r="E178" t="s">
        <v>164</v>
      </c>
      <c r="F178" s="11" t="s">
        <v>165</v>
      </c>
      <c r="G178" s="8">
        <v>0</v>
      </c>
      <c r="H178" s="8">
        <v>167.04</v>
      </c>
      <c r="I178" s="8">
        <f t="shared" si="5"/>
        <v>-929.12999999999988</v>
      </c>
      <c r="J178" s="12"/>
    </row>
    <row r="179" spans="3:10" x14ac:dyDescent="0.3">
      <c r="C179" s="9" t="s">
        <v>12</v>
      </c>
      <c r="D179" s="10">
        <v>45763</v>
      </c>
      <c r="E179" t="s">
        <v>166</v>
      </c>
      <c r="F179" s="11" t="s">
        <v>167</v>
      </c>
      <c r="G179" s="8">
        <v>0</v>
      </c>
      <c r="H179" s="8">
        <v>52.93</v>
      </c>
      <c r="I179" s="8">
        <f t="shared" si="5"/>
        <v>-982.05999999999983</v>
      </c>
      <c r="J179" s="12"/>
    </row>
    <row r="180" spans="3:10" x14ac:dyDescent="0.3">
      <c r="C180" s="9" t="s">
        <v>12</v>
      </c>
      <c r="D180" s="10">
        <v>45769</v>
      </c>
      <c r="E180" t="s">
        <v>34</v>
      </c>
      <c r="F180" s="11" t="s">
        <v>14</v>
      </c>
      <c r="G180" s="8">
        <v>4.57</v>
      </c>
      <c r="H180" s="8">
        <v>0</v>
      </c>
      <c r="I180" s="8">
        <f t="shared" si="5"/>
        <v>-977.48999999999978</v>
      </c>
      <c r="J180" s="12">
        <v>572000007</v>
      </c>
    </row>
    <row r="181" spans="3:10" x14ac:dyDescent="0.3">
      <c r="C181" s="9" t="s">
        <v>12</v>
      </c>
      <c r="D181" s="10">
        <v>45769</v>
      </c>
      <c r="E181" t="s">
        <v>34</v>
      </c>
      <c r="F181" s="11" t="s">
        <v>14</v>
      </c>
      <c r="G181" s="8">
        <v>35.42</v>
      </c>
      <c r="H181" s="8">
        <v>0</v>
      </c>
      <c r="I181" s="8">
        <f t="shared" si="5"/>
        <v>-942.06999999999982</v>
      </c>
      <c r="J181" s="12">
        <v>572000007</v>
      </c>
    </row>
    <row r="182" spans="3:10" x14ac:dyDescent="0.3">
      <c r="C182" s="9" t="s">
        <v>12</v>
      </c>
      <c r="D182" s="10">
        <v>45772</v>
      </c>
      <c r="E182" t="s">
        <v>34</v>
      </c>
      <c r="F182" s="11" t="s">
        <v>14</v>
      </c>
      <c r="G182" s="8">
        <v>23.09</v>
      </c>
      <c r="H182" s="8">
        <v>0</v>
      </c>
      <c r="I182" s="8">
        <f t="shared" si="5"/>
        <v>-918.97999999999979</v>
      </c>
      <c r="J182" s="12">
        <v>572000007</v>
      </c>
    </row>
    <row r="183" spans="3:10" x14ac:dyDescent="0.3">
      <c r="C183" s="9" t="s">
        <v>12</v>
      </c>
      <c r="D183" s="10">
        <v>45779</v>
      </c>
      <c r="E183" t="s">
        <v>34</v>
      </c>
      <c r="F183" s="11" t="s">
        <v>14</v>
      </c>
      <c r="G183" s="8">
        <v>88.95</v>
      </c>
      <c r="H183" s="8">
        <v>0</v>
      </c>
      <c r="I183" s="8">
        <f t="shared" si="5"/>
        <v>-830.02999999999975</v>
      </c>
      <c r="J183" s="12">
        <v>572000007</v>
      </c>
    </row>
    <row r="184" spans="3:10" x14ac:dyDescent="0.3">
      <c r="C184" s="9" t="s">
        <v>12</v>
      </c>
      <c r="D184" s="10">
        <v>45785</v>
      </c>
      <c r="E184" t="s">
        <v>168</v>
      </c>
      <c r="F184" s="11" t="s">
        <v>14</v>
      </c>
      <c r="G184" s="8">
        <v>557.13</v>
      </c>
      <c r="H184" s="8">
        <v>0</v>
      </c>
      <c r="I184" s="8">
        <f t="shared" si="5"/>
        <v>-272.89999999999975</v>
      </c>
      <c r="J184" s="12">
        <v>572000007</v>
      </c>
    </row>
    <row r="185" spans="3:10" x14ac:dyDescent="0.3">
      <c r="C185" s="9"/>
      <c r="D185" s="10">
        <v>45785</v>
      </c>
      <c r="E185" t="s">
        <v>168</v>
      </c>
      <c r="F185" s="11" t="s">
        <v>14</v>
      </c>
      <c r="G185" s="8">
        <v>26.62</v>
      </c>
      <c r="H185" s="8">
        <v>0</v>
      </c>
      <c r="I185" s="8">
        <f t="shared" si="5"/>
        <v>-246.27999999999975</v>
      </c>
      <c r="J185" s="12">
        <v>572000007</v>
      </c>
    </row>
    <row r="186" spans="3:10" x14ac:dyDescent="0.3">
      <c r="C186" s="9" t="s">
        <v>12</v>
      </c>
      <c r="D186" s="10">
        <v>45786</v>
      </c>
      <c r="E186" t="s">
        <v>34</v>
      </c>
      <c r="F186" s="11" t="s">
        <v>14</v>
      </c>
      <c r="G186" s="8">
        <v>52.93</v>
      </c>
      <c r="H186" s="8">
        <v>0</v>
      </c>
      <c r="I186" s="8">
        <f t="shared" si="5"/>
        <v>-193.34999999999974</v>
      </c>
      <c r="J186" s="12">
        <v>572000007</v>
      </c>
    </row>
    <row r="187" spans="3:10" x14ac:dyDescent="0.3">
      <c r="C187" s="9" t="s">
        <v>12</v>
      </c>
      <c r="D187" s="10">
        <v>45793</v>
      </c>
      <c r="E187" t="s">
        <v>34</v>
      </c>
      <c r="F187" s="11" t="s">
        <v>14</v>
      </c>
      <c r="G187" s="8">
        <v>52.93</v>
      </c>
      <c r="H187" s="8">
        <v>0</v>
      </c>
      <c r="I187" s="8">
        <f t="shared" si="5"/>
        <v>-140.41999999999973</v>
      </c>
      <c r="J187" s="12">
        <v>572000007</v>
      </c>
    </row>
    <row r="188" spans="3:10" x14ac:dyDescent="0.3">
      <c r="C188" s="9" t="s">
        <v>12</v>
      </c>
      <c r="D188" s="10">
        <v>45793</v>
      </c>
      <c r="E188" t="s">
        <v>34</v>
      </c>
      <c r="F188" s="11" t="s">
        <v>14</v>
      </c>
      <c r="G188" s="8">
        <v>167.04</v>
      </c>
      <c r="H188" s="8">
        <v>0</v>
      </c>
      <c r="I188" s="8">
        <f t="shared" si="5"/>
        <v>26.62000000000026</v>
      </c>
      <c r="J188" s="12">
        <v>572000007</v>
      </c>
    </row>
    <row r="189" spans="3:10" x14ac:dyDescent="0.3">
      <c r="C189" s="9" t="s">
        <v>12</v>
      </c>
      <c r="D189" s="10">
        <v>45797</v>
      </c>
      <c r="E189" t="s">
        <v>169</v>
      </c>
      <c r="F189" s="11" t="s">
        <v>170</v>
      </c>
      <c r="G189" s="8">
        <v>0</v>
      </c>
      <c r="H189" s="8">
        <v>43.89</v>
      </c>
      <c r="I189" s="8">
        <f t="shared" si="5"/>
        <v>-17.26999999999974</v>
      </c>
      <c r="J189" s="12"/>
    </row>
    <row r="190" spans="3:10" x14ac:dyDescent="0.3">
      <c r="C190" s="9" t="s">
        <v>12</v>
      </c>
      <c r="D190" s="10">
        <v>45806</v>
      </c>
      <c r="E190" t="s">
        <v>171</v>
      </c>
      <c r="F190" s="11" t="s">
        <v>172</v>
      </c>
      <c r="G190" s="8">
        <v>0</v>
      </c>
      <c r="H190" s="8">
        <v>4085.6</v>
      </c>
      <c r="I190" s="8">
        <f t="shared" si="5"/>
        <v>-4102.87</v>
      </c>
      <c r="J190" s="12"/>
    </row>
    <row r="191" spans="3:10" x14ac:dyDescent="0.3">
      <c r="C191" s="9" t="s">
        <v>12</v>
      </c>
      <c r="D191" s="10">
        <v>45806</v>
      </c>
      <c r="E191" t="s">
        <v>173</v>
      </c>
      <c r="F191" s="11" t="s">
        <v>174</v>
      </c>
      <c r="G191" s="8">
        <v>0</v>
      </c>
      <c r="H191" s="8">
        <v>34.1</v>
      </c>
      <c r="I191" s="8">
        <f t="shared" si="5"/>
        <v>-4136.97</v>
      </c>
      <c r="J191" s="12"/>
    </row>
    <row r="192" spans="3:10" x14ac:dyDescent="0.3">
      <c r="C192" s="9" t="s">
        <v>12</v>
      </c>
      <c r="D192" s="10">
        <v>45828</v>
      </c>
      <c r="E192" t="s">
        <v>34</v>
      </c>
      <c r="F192" s="11" t="s">
        <v>14</v>
      </c>
      <c r="G192" s="8">
        <v>43.89</v>
      </c>
      <c r="H192" s="8">
        <v>0</v>
      </c>
      <c r="I192" s="8">
        <f t="shared" si="5"/>
        <v>-4093.0800000000004</v>
      </c>
      <c r="J192" s="12">
        <v>572000007</v>
      </c>
    </row>
    <row r="193" spans="1:10" x14ac:dyDescent="0.3">
      <c r="C193" s="9" t="s">
        <v>12</v>
      </c>
      <c r="D193" s="10">
        <v>45838</v>
      </c>
      <c r="E193" t="s">
        <v>34</v>
      </c>
      <c r="F193" s="11" t="s">
        <v>14</v>
      </c>
      <c r="G193" s="8">
        <v>4085.6</v>
      </c>
      <c r="H193" s="8">
        <v>0</v>
      </c>
      <c r="I193" s="8">
        <f t="shared" si="5"/>
        <v>-7.4800000000004729</v>
      </c>
      <c r="J193" s="12">
        <v>572000007</v>
      </c>
    </row>
    <row r="194" spans="1:10" x14ac:dyDescent="0.3">
      <c r="C194" s="9" t="s">
        <v>12</v>
      </c>
      <c r="D194" s="10">
        <v>45838</v>
      </c>
      <c r="E194" t="s">
        <v>34</v>
      </c>
      <c r="F194" s="11" t="s">
        <v>14</v>
      </c>
      <c r="G194" s="8">
        <v>34.1</v>
      </c>
      <c r="H194" s="8">
        <v>0</v>
      </c>
      <c r="I194" s="8">
        <f t="shared" si="5"/>
        <v>26.619999999999528</v>
      </c>
      <c r="J194" s="12">
        <v>572000007</v>
      </c>
    </row>
    <row r="195" spans="1:10" x14ac:dyDescent="0.3">
      <c r="C195" s="9"/>
      <c r="D195" s="10">
        <v>45863</v>
      </c>
      <c r="E195" t="s">
        <v>175</v>
      </c>
      <c r="F195" s="11" t="s">
        <v>176</v>
      </c>
      <c r="G195" s="8">
        <v>0</v>
      </c>
      <c r="H195" s="8">
        <v>4085.6</v>
      </c>
      <c r="I195" s="8">
        <f t="shared" si="5"/>
        <v>-4058.9800000000005</v>
      </c>
      <c r="J195" s="12"/>
    </row>
    <row r="196" spans="1:10" x14ac:dyDescent="0.3">
      <c r="C196" s="9"/>
      <c r="D196" s="10">
        <v>45895</v>
      </c>
      <c r="E196" t="s">
        <v>34</v>
      </c>
      <c r="F196" s="11" t="s">
        <v>14</v>
      </c>
      <c r="G196" s="8">
        <v>4085.6</v>
      </c>
      <c r="H196" s="8">
        <v>0</v>
      </c>
      <c r="I196" s="8">
        <f t="shared" si="5"/>
        <v>26.619999999999436</v>
      </c>
      <c r="J196" s="12">
        <v>572000007</v>
      </c>
    </row>
    <row r="197" spans="1:10" x14ac:dyDescent="0.3">
      <c r="C197" s="9"/>
      <c r="D197" s="10">
        <v>45901</v>
      </c>
      <c r="E197" t="s">
        <v>177</v>
      </c>
      <c r="F197" s="11" t="s">
        <v>178</v>
      </c>
      <c r="G197" s="8">
        <v>0</v>
      </c>
      <c r="H197" s="8">
        <v>4085.6</v>
      </c>
      <c r="I197" s="8">
        <f t="shared" si="5"/>
        <v>-4058.9800000000005</v>
      </c>
      <c r="J197" s="12"/>
    </row>
    <row r="198" spans="1:10" x14ac:dyDescent="0.3">
      <c r="C198" s="9"/>
      <c r="D198" s="10">
        <v>45902</v>
      </c>
      <c r="E198" t="s">
        <v>179</v>
      </c>
      <c r="F198" s="11" t="s">
        <v>180</v>
      </c>
      <c r="G198" s="8">
        <v>0</v>
      </c>
      <c r="H198" s="8">
        <v>133.02000000000001</v>
      </c>
      <c r="I198" s="8">
        <f t="shared" si="5"/>
        <v>-4192.0000000000009</v>
      </c>
      <c r="J198" s="12"/>
    </row>
    <row r="199" spans="1:10" x14ac:dyDescent="0.3">
      <c r="E199" s="4" t="s">
        <v>116</v>
      </c>
      <c r="G199" s="8">
        <f>SUM(G166:G198)</f>
        <v>10037.82</v>
      </c>
      <c r="H199" s="8">
        <f>SUM(H166:H198)</f>
        <v>14229.820000000002</v>
      </c>
      <c r="I199" s="8">
        <f>G199-H199</f>
        <v>-4192.0000000000018</v>
      </c>
    </row>
    <row r="201" spans="1:10" x14ac:dyDescent="0.3">
      <c r="A201" s="5">
        <v>400000073</v>
      </c>
      <c r="B201" s="6" t="s">
        <v>181</v>
      </c>
      <c r="C201" s="7"/>
      <c r="D201" s="7"/>
      <c r="E201" s="7"/>
      <c r="F201" s="7"/>
      <c r="G201" s="7"/>
      <c r="H201" s="7"/>
      <c r="I201" s="7"/>
      <c r="J201" s="7"/>
    </row>
    <row r="202" spans="1:10" x14ac:dyDescent="0.3">
      <c r="C202" s="9" t="s">
        <v>12</v>
      </c>
      <c r="D202" s="10">
        <v>45672</v>
      </c>
      <c r="E202" t="s">
        <v>182</v>
      </c>
      <c r="F202" s="11" t="s">
        <v>183</v>
      </c>
      <c r="G202" s="8">
        <v>0</v>
      </c>
      <c r="H202" s="8">
        <v>198.68</v>
      </c>
      <c r="I202" s="8">
        <f>G202-H202</f>
        <v>-198.68</v>
      </c>
      <c r="J202" s="12"/>
    </row>
    <row r="203" spans="1:10" x14ac:dyDescent="0.3">
      <c r="C203" s="9" t="s">
        <v>12</v>
      </c>
      <c r="D203" s="10">
        <v>45705</v>
      </c>
      <c r="E203" t="s">
        <v>34</v>
      </c>
      <c r="F203" s="11" t="s">
        <v>14</v>
      </c>
      <c r="G203" s="8">
        <v>198.68</v>
      </c>
      <c r="H203" s="8">
        <v>0</v>
      </c>
      <c r="I203" s="8">
        <f>G203-H203+I202</f>
        <v>0</v>
      </c>
      <c r="J203" s="12">
        <v>572000002</v>
      </c>
    </row>
    <row r="204" spans="1:10" x14ac:dyDescent="0.3">
      <c r="C204" s="9"/>
      <c r="D204" s="10">
        <v>45838</v>
      </c>
      <c r="E204" t="s">
        <v>184</v>
      </c>
      <c r="F204" s="11" t="s">
        <v>185</v>
      </c>
      <c r="G204" s="8">
        <v>0</v>
      </c>
      <c r="H204" s="8">
        <v>3.69</v>
      </c>
      <c r="I204" s="8">
        <f>G204-H204+I203</f>
        <v>-3.69</v>
      </c>
      <c r="J204" s="12"/>
    </row>
    <row r="205" spans="1:10" x14ac:dyDescent="0.3">
      <c r="E205" s="4" t="s">
        <v>116</v>
      </c>
      <c r="G205" s="8">
        <f>SUM(G202:G204)</f>
        <v>198.68</v>
      </c>
      <c r="H205" s="8">
        <f>SUM(H202:H204)</f>
        <v>202.37</v>
      </c>
      <c r="I205" s="8">
        <f>G205-H205</f>
        <v>-3.6899999999999977</v>
      </c>
    </row>
    <row r="207" spans="1:10" x14ac:dyDescent="0.3">
      <c r="A207" s="5">
        <v>400000076</v>
      </c>
      <c r="B207" s="6" t="s">
        <v>186</v>
      </c>
      <c r="C207" s="7"/>
      <c r="D207" s="7"/>
      <c r="E207" s="7"/>
      <c r="F207" s="7"/>
      <c r="G207" s="7"/>
      <c r="H207" s="7"/>
      <c r="I207" s="7"/>
      <c r="J207" s="7"/>
    </row>
    <row r="208" spans="1:10" x14ac:dyDescent="0.3">
      <c r="E208" s="4" t="s">
        <v>11</v>
      </c>
      <c r="G208" s="8">
        <v>0</v>
      </c>
      <c r="H208" s="8">
        <v>448.68</v>
      </c>
      <c r="I208" s="8">
        <f>G208-H208</f>
        <v>-448.68</v>
      </c>
    </row>
    <row r="209" spans="1:10" x14ac:dyDescent="0.3">
      <c r="C209" s="9" t="s">
        <v>12</v>
      </c>
      <c r="D209" s="10">
        <v>45672</v>
      </c>
      <c r="E209" t="s">
        <v>34</v>
      </c>
      <c r="F209" s="11" t="s">
        <v>14</v>
      </c>
      <c r="G209" s="8">
        <v>434.38</v>
      </c>
      <c r="H209" s="8">
        <v>0</v>
      </c>
      <c r="I209" s="8">
        <f t="shared" ref="I209:I221" si="6">G209-H209+I208</f>
        <v>-14.300000000000011</v>
      </c>
      <c r="J209" s="12">
        <v>572000007</v>
      </c>
    </row>
    <row r="210" spans="1:10" x14ac:dyDescent="0.3">
      <c r="C210" s="9" t="s">
        <v>12</v>
      </c>
      <c r="D210" s="10">
        <v>45716</v>
      </c>
      <c r="E210" t="s">
        <v>34</v>
      </c>
      <c r="F210" s="11" t="s">
        <v>14</v>
      </c>
      <c r="G210" s="8">
        <v>14.3</v>
      </c>
      <c r="H210" s="8">
        <v>0</v>
      </c>
      <c r="I210" s="8">
        <f t="shared" si="6"/>
        <v>0</v>
      </c>
      <c r="J210" s="12">
        <v>572000007</v>
      </c>
    </row>
    <row r="211" spans="1:10" x14ac:dyDescent="0.3">
      <c r="C211" s="9" t="s">
        <v>12</v>
      </c>
      <c r="D211" s="10">
        <v>45719</v>
      </c>
      <c r="E211" t="s">
        <v>187</v>
      </c>
      <c r="F211" s="11" t="s">
        <v>188</v>
      </c>
      <c r="G211" s="8">
        <v>0</v>
      </c>
      <c r="H211" s="8">
        <v>4.4800000000000004</v>
      </c>
      <c r="I211" s="8">
        <f t="shared" si="6"/>
        <v>-4.4800000000000004</v>
      </c>
      <c r="J211" s="12"/>
    </row>
    <row r="212" spans="1:10" x14ac:dyDescent="0.3">
      <c r="C212" s="9" t="s">
        <v>12</v>
      </c>
      <c r="D212" s="10">
        <v>45733</v>
      </c>
      <c r="E212" t="s">
        <v>189</v>
      </c>
      <c r="F212" s="11" t="s">
        <v>190</v>
      </c>
      <c r="G212" s="8">
        <v>0</v>
      </c>
      <c r="H212" s="8">
        <v>35.89</v>
      </c>
      <c r="I212" s="8">
        <f t="shared" si="6"/>
        <v>-40.370000000000005</v>
      </c>
      <c r="J212" s="12"/>
    </row>
    <row r="213" spans="1:10" x14ac:dyDescent="0.3">
      <c r="C213" s="9" t="s">
        <v>12</v>
      </c>
      <c r="D213" s="10">
        <v>45763</v>
      </c>
      <c r="E213" t="s">
        <v>191</v>
      </c>
      <c r="F213" s="11" t="s">
        <v>192</v>
      </c>
      <c r="G213" s="8">
        <v>0</v>
      </c>
      <c r="H213" s="8">
        <v>188.35</v>
      </c>
      <c r="I213" s="8">
        <f t="shared" si="6"/>
        <v>-228.72</v>
      </c>
      <c r="J213" s="12"/>
    </row>
    <row r="214" spans="1:10" x14ac:dyDescent="0.3">
      <c r="C214" s="9" t="s">
        <v>12</v>
      </c>
      <c r="D214" s="10">
        <v>45775</v>
      </c>
      <c r="E214" t="s">
        <v>34</v>
      </c>
      <c r="F214" s="11" t="s">
        <v>14</v>
      </c>
      <c r="G214" s="8">
        <v>4.4800000000000004</v>
      </c>
      <c r="H214" s="8">
        <v>0</v>
      </c>
      <c r="I214" s="8">
        <f t="shared" si="6"/>
        <v>-224.24</v>
      </c>
      <c r="J214" s="12">
        <v>572000007</v>
      </c>
    </row>
    <row r="215" spans="1:10" x14ac:dyDescent="0.3">
      <c r="C215" s="9" t="s">
        <v>12</v>
      </c>
      <c r="D215" s="10">
        <v>45792</v>
      </c>
      <c r="E215" t="s">
        <v>34</v>
      </c>
      <c r="F215" s="11" t="s">
        <v>14</v>
      </c>
      <c r="G215" s="8">
        <v>35.89</v>
      </c>
      <c r="H215" s="8">
        <v>0</v>
      </c>
      <c r="I215" s="8">
        <f t="shared" si="6"/>
        <v>-188.35000000000002</v>
      </c>
      <c r="J215" s="12">
        <v>572000007</v>
      </c>
    </row>
    <row r="216" spans="1:10" x14ac:dyDescent="0.3">
      <c r="C216" s="9"/>
      <c r="D216" s="10">
        <v>45824</v>
      </c>
      <c r="E216" t="s">
        <v>193</v>
      </c>
      <c r="F216" s="11" t="s">
        <v>194</v>
      </c>
      <c r="G216" s="8">
        <v>0</v>
      </c>
      <c r="H216" s="8">
        <v>77.75</v>
      </c>
      <c r="I216" s="8">
        <f t="shared" si="6"/>
        <v>-266.10000000000002</v>
      </c>
      <c r="J216" s="12"/>
    </row>
    <row r="217" spans="1:10" x14ac:dyDescent="0.3">
      <c r="C217" s="9" t="s">
        <v>12</v>
      </c>
      <c r="D217" s="10">
        <v>45824</v>
      </c>
      <c r="E217" t="s">
        <v>34</v>
      </c>
      <c r="F217" s="11" t="s">
        <v>14</v>
      </c>
      <c r="G217" s="8">
        <v>188.35</v>
      </c>
      <c r="H217" s="8">
        <v>0</v>
      </c>
      <c r="I217" s="8">
        <f t="shared" si="6"/>
        <v>-77.750000000000028</v>
      </c>
      <c r="J217" s="12">
        <v>572000007</v>
      </c>
    </row>
    <row r="218" spans="1:10" x14ac:dyDescent="0.3">
      <c r="C218" s="9"/>
      <c r="D218" s="10">
        <v>45838</v>
      </c>
      <c r="E218" t="s">
        <v>195</v>
      </c>
      <c r="F218" s="11" t="s">
        <v>196</v>
      </c>
      <c r="G218" s="8">
        <v>0</v>
      </c>
      <c r="H218" s="8">
        <v>224.75</v>
      </c>
      <c r="I218" s="8">
        <f t="shared" si="6"/>
        <v>-302.5</v>
      </c>
      <c r="J218" s="12"/>
    </row>
    <row r="219" spans="1:10" x14ac:dyDescent="0.3">
      <c r="C219" s="9"/>
      <c r="D219" s="10">
        <v>45869</v>
      </c>
      <c r="E219" t="s">
        <v>197</v>
      </c>
      <c r="F219" s="11" t="s">
        <v>198</v>
      </c>
      <c r="G219" s="8">
        <v>0</v>
      </c>
      <c r="H219" s="8">
        <v>102.44</v>
      </c>
      <c r="I219" s="8">
        <f t="shared" si="6"/>
        <v>-404.94</v>
      </c>
      <c r="J219" s="12"/>
    </row>
    <row r="220" spans="1:10" x14ac:dyDescent="0.3">
      <c r="C220" s="9"/>
      <c r="D220" s="10">
        <v>45883</v>
      </c>
      <c r="E220" t="s">
        <v>34</v>
      </c>
      <c r="F220" s="11" t="s">
        <v>14</v>
      </c>
      <c r="G220" s="8">
        <v>77.75</v>
      </c>
      <c r="H220" s="8">
        <v>0</v>
      </c>
      <c r="I220" s="8">
        <f t="shared" si="6"/>
        <v>-327.19</v>
      </c>
      <c r="J220" s="12">
        <v>572000007</v>
      </c>
    </row>
    <row r="221" spans="1:10" x14ac:dyDescent="0.3">
      <c r="C221" s="9"/>
      <c r="D221" s="10">
        <v>45915</v>
      </c>
      <c r="E221" t="s">
        <v>199</v>
      </c>
      <c r="F221" s="11" t="s">
        <v>200</v>
      </c>
      <c r="G221" s="8">
        <v>0</v>
      </c>
      <c r="H221" s="8">
        <v>482.79</v>
      </c>
      <c r="I221" s="8">
        <f t="shared" si="6"/>
        <v>-809.98</v>
      </c>
      <c r="J221" s="12"/>
    </row>
    <row r="222" spans="1:10" x14ac:dyDescent="0.3">
      <c r="E222" s="4" t="s">
        <v>116</v>
      </c>
      <c r="G222" s="8">
        <f>SUM(G208:G221)</f>
        <v>755.15</v>
      </c>
      <c r="H222" s="8">
        <f>SUM(H208:H221)</f>
        <v>1565.1299999999999</v>
      </c>
      <c r="I222" s="8">
        <f>G222-H222</f>
        <v>-809.9799999999999</v>
      </c>
    </row>
    <row r="224" spans="1:10" x14ac:dyDescent="0.3">
      <c r="A224" s="5">
        <v>400000085</v>
      </c>
      <c r="B224" s="6" t="s">
        <v>201</v>
      </c>
      <c r="C224" s="7"/>
      <c r="D224" s="7"/>
      <c r="E224" s="7"/>
      <c r="F224" s="7"/>
      <c r="G224" s="7"/>
      <c r="H224" s="7"/>
      <c r="I224" s="7"/>
      <c r="J224" s="7"/>
    </row>
    <row r="225" spans="1:10" x14ac:dyDescent="0.3">
      <c r="E225" s="4" t="s">
        <v>11</v>
      </c>
      <c r="G225" s="8">
        <v>12.04</v>
      </c>
      <c r="H225" s="8">
        <v>0</v>
      </c>
      <c r="I225" s="8">
        <f>G225-H225</f>
        <v>12.04</v>
      </c>
    </row>
    <row r="226" spans="1:10" x14ac:dyDescent="0.3">
      <c r="C226" s="9" t="s">
        <v>12</v>
      </c>
      <c r="D226" s="10">
        <v>45748</v>
      </c>
      <c r="E226" t="s">
        <v>202</v>
      </c>
      <c r="F226" s="11" t="s">
        <v>203</v>
      </c>
      <c r="G226" s="8">
        <v>0</v>
      </c>
      <c r="H226" s="8">
        <v>12.04</v>
      </c>
      <c r="I226" s="8">
        <f t="shared" ref="I226:I235" si="7">G226-H226+I225</f>
        <v>0</v>
      </c>
      <c r="J226" s="12"/>
    </row>
    <row r="227" spans="1:10" x14ac:dyDescent="0.3">
      <c r="C227" s="9"/>
      <c r="D227" s="10">
        <v>45770</v>
      </c>
      <c r="E227" t="s">
        <v>204</v>
      </c>
      <c r="F227" s="11" t="s">
        <v>205</v>
      </c>
      <c r="G227" s="8">
        <v>0</v>
      </c>
      <c r="H227" s="8">
        <v>4.24</v>
      </c>
      <c r="I227" s="8">
        <f t="shared" si="7"/>
        <v>-4.24</v>
      </c>
      <c r="J227" s="12"/>
    </row>
    <row r="228" spans="1:10" x14ac:dyDescent="0.3">
      <c r="C228" s="9" t="s">
        <v>12</v>
      </c>
      <c r="D228" s="10">
        <v>45796</v>
      </c>
      <c r="E228" t="s">
        <v>206</v>
      </c>
      <c r="F228" s="11" t="s">
        <v>207</v>
      </c>
      <c r="G228" s="8">
        <v>0</v>
      </c>
      <c r="H228" s="8">
        <v>4.92</v>
      </c>
      <c r="I228" s="8">
        <f t="shared" si="7"/>
        <v>-9.16</v>
      </c>
      <c r="J228" s="12"/>
    </row>
    <row r="229" spans="1:10" x14ac:dyDescent="0.3">
      <c r="C229" s="9" t="s">
        <v>12</v>
      </c>
      <c r="D229" s="10">
        <v>45813</v>
      </c>
      <c r="E229" t="s">
        <v>130</v>
      </c>
      <c r="F229" s="11" t="s">
        <v>14</v>
      </c>
      <c r="G229" s="8">
        <v>4.92</v>
      </c>
      <c r="H229" s="8">
        <v>0</v>
      </c>
      <c r="I229" s="8">
        <f t="shared" si="7"/>
        <v>-4.24</v>
      </c>
      <c r="J229" s="12"/>
    </row>
    <row r="230" spans="1:10" x14ac:dyDescent="0.3">
      <c r="C230" s="9" t="s">
        <v>12</v>
      </c>
      <c r="D230" s="10">
        <v>45821</v>
      </c>
      <c r="E230" t="s">
        <v>208</v>
      </c>
      <c r="F230" s="11" t="s">
        <v>209</v>
      </c>
      <c r="G230" s="8">
        <v>0</v>
      </c>
      <c r="H230" s="8">
        <v>35.26</v>
      </c>
      <c r="I230" s="8">
        <f t="shared" si="7"/>
        <v>-39.5</v>
      </c>
      <c r="J230" s="12"/>
    </row>
    <row r="231" spans="1:10" x14ac:dyDescent="0.3">
      <c r="C231" s="9"/>
      <c r="D231" s="10">
        <v>45838</v>
      </c>
      <c r="E231" t="s">
        <v>210</v>
      </c>
      <c r="F231" s="11" t="s">
        <v>211</v>
      </c>
      <c r="G231" s="8">
        <v>0</v>
      </c>
      <c r="H231" s="8">
        <v>178.75</v>
      </c>
      <c r="I231" s="8">
        <f t="shared" si="7"/>
        <v>-218.25</v>
      </c>
      <c r="J231" s="12"/>
    </row>
    <row r="232" spans="1:10" x14ac:dyDescent="0.3">
      <c r="C232" s="9" t="s">
        <v>12</v>
      </c>
      <c r="D232" s="10">
        <v>45852</v>
      </c>
      <c r="E232" t="s">
        <v>34</v>
      </c>
      <c r="F232" s="11" t="s">
        <v>14</v>
      </c>
      <c r="G232" s="8">
        <v>35.26</v>
      </c>
      <c r="H232" s="8">
        <v>0</v>
      </c>
      <c r="I232" s="8">
        <f t="shared" si="7"/>
        <v>-182.99</v>
      </c>
      <c r="J232" s="12">
        <v>572000005</v>
      </c>
    </row>
    <row r="233" spans="1:10" x14ac:dyDescent="0.3">
      <c r="C233" s="9"/>
      <c r="D233" s="10">
        <v>45868</v>
      </c>
      <c r="E233" t="s">
        <v>34</v>
      </c>
      <c r="F233" s="11" t="s">
        <v>14</v>
      </c>
      <c r="G233" s="8">
        <v>178.75</v>
      </c>
      <c r="H233" s="8">
        <v>0</v>
      </c>
      <c r="I233" s="8">
        <f t="shared" si="7"/>
        <v>-4.2400000000000091</v>
      </c>
      <c r="J233" s="12">
        <v>572000005</v>
      </c>
    </row>
    <row r="234" spans="1:10" x14ac:dyDescent="0.3">
      <c r="C234" s="9"/>
      <c r="D234" s="10">
        <v>45898</v>
      </c>
      <c r="E234" t="s">
        <v>212</v>
      </c>
      <c r="F234" s="11" t="s">
        <v>213</v>
      </c>
      <c r="G234" s="8">
        <v>0</v>
      </c>
      <c r="H234" s="8">
        <v>47.13</v>
      </c>
      <c r="I234" s="8">
        <f t="shared" si="7"/>
        <v>-51.370000000000012</v>
      </c>
      <c r="J234" s="12"/>
    </row>
    <row r="235" spans="1:10" x14ac:dyDescent="0.3">
      <c r="C235" s="9"/>
      <c r="D235" s="10">
        <v>45912</v>
      </c>
      <c r="E235" t="s">
        <v>214</v>
      </c>
      <c r="F235" s="11" t="s">
        <v>215</v>
      </c>
      <c r="G235" s="8">
        <v>0</v>
      </c>
      <c r="H235" s="8">
        <v>97.89</v>
      </c>
      <c r="I235" s="8">
        <f t="shared" si="7"/>
        <v>-149.26000000000002</v>
      </c>
      <c r="J235" s="12"/>
    </row>
    <row r="236" spans="1:10" x14ac:dyDescent="0.3">
      <c r="E236" s="4" t="s">
        <v>116</v>
      </c>
      <c r="G236" s="8">
        <f>SUM(G225:G235)</f>
        <v>230.97</v>
      </c>
      <c r="H236" s="8">
        <f>SUM(H225:H235)</f>
        <v>380.23</v>
      </c>
      <c r="I236" s="8">
        <f>G236-H236</f>
        <v>-149.26000000000002</v>
      </c>
    </row>
    <row r="238" spans="1:10" x14ac:dyDescent="0.3">
      <c r="A238" s="5">
        <v>400000093</v>
      </c>
      <c r="B238" s="6" t="s">
        <v>216</v>
      </c>
      <c r="C238" s="7"/>
      <c r="D238" s="7"/>
      <c r="E238" s="7"/>
      <c r="F238" s="7"/>
      <c r="G238" s="7"/>
      <c r="H238" s="7"/>
      <c r="I238" s="7"/>
      <c r="J238" s="7"/>
    </row>
    <row r="239" spans="1:10" x14ac:dyDescent="0.3">
      <c r="E239" s="4" t="s">
        <v>11</v>
      </c>
      <c r="G239" s="8">
        <v>0</v>
      </c>
      <c r="H239" s="8">
        <v>8.0500000000000007</v>
      </c>
      <c r="I239" s="8">
        <f>G239-H239</f>
        <v>-8.0500000000000007</v>
      </c>
    </row>
    <row r="240" spans="1:10" x14ac:dyDescent="0.3">
      <c r="C240" s="9" t="s">
        <v>12</v>
      </c>
      <c r="D240" s="10">
        <v>45667</v>
      </c>
      <c r="E240" t="s">
        <v>217</v>
      </c>
      <c r="F240" s="11" t="s">
        <v>218</v>
      </c>
      <c r="G240" s="8">
        <v>0</v>
      </c>
      <c r="H240" s="8">
        <v>240.31</v>
      </c>
      <c r="I240" s="8">
        <f t="shared" ref="I240:I251" si="8">G240-H240+I239</f>
        <v>-248.36</v>
      </c>
      <c r="J240" s="12"/>
    </row>
    <row r="241" spans="1:10" x14ac:dyDescent="0.3">
      <c r="C241" s="9" t="s">
        <v>12</v>
      </c>
      <c r="D241" s="10">
        <v>45687</v>
      </c>
      <c r="E241" t="s">
        <v>34</v>
      </c>
      <c r="F241" s="11" t="s">
        <v>14</v>
      </c>
      <c r="G241" s="8">
        <v>8.0500000000000007</v>
      </c>
      <c r="H241" s="8">
        <v>0</v>
      </c>
      <c r="I241" s="8">
        <f t="shared" si="8"/>
        <v>-240.31</v>
      </c>
      <c r="J241" s="12">
        <v>572000009</v>
      </c>
    </row>
    <row r="242" spans="1:10" x14ac:dyDescent="0.3">
      <c r="C242" s="9" t="s">
        <v>12</v>
      </c>
      <c r="D242" s="10">
        <v>45705</v>
      </c>
      <c r="E242" t="s">
        <v>34</v>
      </c>
      <c r="F242" s="11" t="s">
        <v>14</v>
      </c>
      <c r="G242" s="8">
        <v>240.31</v>
      </c>
      <c r="H242" s="8">
        <v>0</v>
      </c>
      <c r="I242" s="8">
        <f t="shared" si="8"/>
        <v>0</v>
      </c>
      <c r="J242" s="12">
        <v>572000009</v>
      </c>
    </row>
    <row r="243" spans="1:10" x14ac:dyDescent="0.3">
      <c r="C243" s="9" t="s">
        <v>12</v>
      </c>
      <c r="D243" s="10">
        <v>45746</v>
      </c>
      <c r="E243" t="s">
        <v>219</v>
      </c>
      <c r="F243" s="11" t="s">
        <v>220</v>
      </c>
      <c r="G243" s="8">
        <v>0</v>
      </c>
      <c r="H243" s="8">
        <v>57.92</v>
      </c>
      <c r="I243" s="8">
        <f t="shared" si="8"/>
        <v>-57.92</v>
      </c>
      <c r="J243" s="12"/>
    </row>
    <row r="244" spans="1:10" x14ac:dyDescent="0.3">
      <c r="C244" s="9" t="s">
        <v>12</v>
      </c>
      <c r="D244" s="10">
        <v>45777</v>
      </c>
      <c r="E244" t="s">
        <v>221</v>
      </c>
      <c r="F244" s="11" t="s">
        <v>222</v>
      </c>
      <c r="G244" s="8">
        <v>0</v>
      </c>
      <c r="H244" s="8">
        <v>64.819999999999993</v>
      </c>
      <c r="I244" s="8">
        <f t="shared" si="8"/>
        <v>-122.74</v>
      </c>
      <c r="J244" s="12"/>
    </row>
    <row r="245" spans="1:10" x14ac:dyDescent="0.3">
      <c r="C245" s="9" t="s">
        <v>12</v>
      </c>
      <c r="D245" s="10">
        <v>45784</v>
      </c>
      <c r="E245" t="s">
        <v>223</v>
      </c>
      <c r="F245" s="11" t="s">
        <v>14</v>
      </c>
      <c r="G245" s="8">
        <v>57.92</v>
      </c>
      <c r="H245" s="8">
        <v>0</v>
      </c>
      <c r="I245" s="8">
        <f t="shared" si="8"/>
        <v>-64.819999999999993</v>
      </c>
      <c r="J245" s="12">
        <v>572000009</v>
      </c>
    </row>
    <row r="246" spans="1:10" x14ac:dyDescent="0.3">
      <c r="C246" s="9" t="s">
        <v>12</v>
      </c>
      <c r="D246" s="10">
        <v>45807</v>
      </c>
      <c r="E246" t="s">
        <v>223</v>
      </c>
      <c r="F246" s="11" t="s">
        <v>14</v>
      </c>
      <c r="G246" s="8">
        <v>64.819999999999993</v>
      </c>
      <c r="H246" s="8">
        <v>0</v>
      </c>
      <c r="I246" s="8">
        <f t="shared" si="8"/>
        <v>0</v>
      </c>
      <c r="J246" s="12">
        <v>572000001</v>
      </c>
    </row>
    <row r="247" spans="1:10" x14ac:dyDescent="0.3">
      <c r="C247" s="9"/>
      <c r="D247" s="10">
        <v>45828</v>
      </c>
      <c r="E247" t="s">
        <v>224</v>
      </c>
      <c r="F247" s="11" t="s">
        <v>225</v>
      </c>
      <c r="G247" s="8">
        <v>0</v>
      </c>
      <c r="H247" s="8">
        <v>25.02</v>
      </c>
      <c r="I247" s="8">
        <f t="shared" si="8"/>
        <v>-25.02</v>
      </c>
      <c r="J247" s="12"/>
    </row>
    <row r="248" spans="1:10" x14ac:dyDescent="0.3">
      <c r="C248" s="9"/>
      <c r="D248" s="10">
        <v>45853</v>
      </c>
      <c r="E248" t="s">
        <v>226</v>
      </c>
      <c r="F248" s="11" t="s">
        <v>227</v>
      </c>
      <c r="G248" s="8">
        <v>0</v>
      </c>
      <c r="H248" s="8">
        <v>135.68</v>
      </c>
      <c r="I248" s="8">
        <f t="shared" si="8"/>
        <v>-160.70000000000002</v>
      </c>
      <c r="J248" s="12"/>
    </row>
    <row r="249" spans="1:10" x14ac:dyDescent="0.3">
      <c r="C249" s="9"/>
      <c r="D249" s="10">
        <v>45869</v>
      </c>
      <c r="E249" t="s">
        <v>223</v>
      </c>
      <c r="F249" s="11" t="s">
        <v>14</v>
      </c>
      <c r="G249" s="8">
        <v>25.02</v>
      </c>
      <c r="H249" s="8">
        <v>0</v>
      </c>
      <c r="I249" s="8">
        <f t="shared" si="8"/>
        <v>-135.68</v>
      </c>
      <c r="J249" s="12">
        <v>572000001</v>
      </c>
    </row>
    <row r="250" spans="1:10" x14ac:dyDescent="0.3">
      <c r="C250" s="9"/>
      <c r="D250" s="10">
        <v>45887</v>
      </c>
      <c r="E250" t="s">
        <v>223</v>
      </c>
      <c r="F250" s="11" t="s">
        <v>14</v>
      </c>
      <c r="G250" s="8">
        <v>135.68</v>
      </c>
      <c r="H250" s="8">
        <v>0</v>
      </c>
      <c r="I250" s="8">
        <f t="shared" si="8"/>
        <v>0</v>
      </c>
      <c r="J250" s="12">
        <v>572000001</v>
      </c>
    </row>
    <row r="251" spans="1:10" x14ac:dyDescent="0.3">
      <c r="C251" s="9"/>
      <c r="D251" s="10">
        <v>45899</v>
      </c>
      <c r="E251" t="s">
        <v>228</v>
      </c>
      <c r="F251" s="11" t="s">
        <v>229</v>
      </c>
      <c r="G251" s="8">
        <v>0</v>
      </c>
      <c r="H251" s="8">
        <v>132.87</v>
      </c>
      <c r="I251" s="8">
        <f t="shared" si="8"/>
        <v>-132.87</v>
      </c>
      <c r="J251" s="12"/>
    </row>
    <row r="252" spans="1:10" x14ac:dyDescent="0.3">
      <c r="E252" s="4" t="s">
        <v>116</v>
      </c>
      <c r="G252" s="8">
        <f>SUM(G239:G251)</f>
        <v>531.79999999999995</v>
      </c>
      <c r="H252" s="8">
        <f>SUM(H239:H251)</f>
        <v>664.67</v>
      </c>
      <c r="I252" s="8">
        <f>G252-H252</f>
        <v>-132.87</v>
      </c>
    </row>
    <row r="254" spans="1:10" x14ac:dyDescent="0.3">
      <c r="A254" s="5">
        <v>400000103</v>
      </c>
      <c r="B254" s="6" t="s">
        <v>230</v>
      </c>
      <c r="C254" s="7"/>
      <c r="D254" s="7"/>
      <c r="E254" s="7"/>
      <c r="F254" s="7"/>
      <c r="G254" s="7"/>
      <c r="H254" s="7"/>
      <c r="I254" s="7"/>
      <c r="J254" s="7"/>
    </row>
    <row r="255" spans="1:10" x14ac:dyDescent="0.3">
      <c r="C255" s="9" t="s">
        <v>12</v>
      </c>
      <c r="D255" s="10">
        <v>45674</v>
      </c>
      <c r="E255" t="s">
        <v>231</v>
      </c>
      <c r="F255" s="11" t="s">
        <v>232</v>
      </c>
      <c r="G255" s="8">
        <v>0</v>
      </c>
      <c r="H255" s="8">
        <v>147.02000000000001</v>
      </c>
      <c r="I255" s="8">
        <f>G255-H255</f>
        <v>-147.02000000000001</v>
      </c>
      <c r="J255" s="12"/>
    </row>
    <row r="256" spans="1:10" x14ac:dyDescent="0.3">
      <c r="C256" s="9" t="s">
        <v>12</v>
      </c>
      <c r="D256" s="10">
        <v>45688</v>
      </c>
      <c r="E256" t="s">
        <v>233</v>
      </c>
      <c r="F256" s="11" t="s">
        <v>234</v>
      </c>
      <c r="G256" s="8">
        <v>0</v>
      </c>
      <c r="H256" s="8">
        <v>64.489999999999995</v>
      </c>
      <c r="I256" s="8">
        <f t="shared" ref="I256:I300" si="9">G256-H256+I255</f>
        <v>-211.51</v>
      </c>
      <c r="J256" s="12"/>
    </row>
    <row r="257" spans="3:10" x14ac:dyDescent="0.3">
      <c r="C257" s="9" t="s">
        <v>12</v>
      </c>
      <c r="D257" s="10">
        <v>45705</v>
      </c>
      <c r="E257" t="s">
        <v>34</v>
      </c>
      <c r="F257" s="11" t="s">
        <v>14</v>
      </c>
      <c r="G257" s="8">
        <v>147.02000000000001</v>
      </c>
      <c r="H257" s="8">
        <v>0</v>
      </c>
      <c r="I257" s="8">
        <f t="shared" si="9"/>
        <v>-64.489999999999981</v>
      </c>
      <c r="J257" s="12">
        <v>572000009</v>
      </c>
    </row>
    <row r="258" spans="3:10" x14ac:dyDescent="0.3">
      <c r="C258" s="9" t="s">
        <v>12</v>
      </c>
      <c r="D258" s="10">
        <v>45709</v>
      </c>
      <c r="E258" t="s">
        <v>235</v>
      </c>
      <c r="F258" s="11" t="s">
        <v>236</v>
      </c>
      <c r="G258" s="8">
        <v>0</v>
      </c>
      <c r="H258" s="8">
        <v>1043.55</v>
      </c>
      <c r="I258" s="8">
        <f t="shared" si="9"/>
        <v>-1108.04</v>
      </c>
      <c r="J258" s="12"/>
    </row>
    <row r="259" spans="3:10" x14ac:dyDescent="0.3">
      <c r="C259" s="9" t="s">
        <v>12</v>
      </c>
      <c r="D259" s="10">
        <v>45723</v>
      </c>
      <c r="E259" t="s">
        <v>237</v>
      </c>
      <c r="F259" s="11" t="s">
        <v>238</v>
      </c>
      <c r="G259" s="8">
        <v>0</v>
      </c>
      <c r="H259" s="8">
        <v>2597.1799999999998</v>
      </c>
      <c r="I259" s="8">
        <f t="shared" si="9"/>
        <v>-3705.22</v>
      </c>
      <c r="J259" s="12"/>
    </row>
    <row r="260" spans="3:10" x14ac:dyDescent="0.3">
      <c r="C260" s="9" t="s">
        <v>12</v>
      </c>
      <c r="D260" s="10">
        <v>45734</v>
      </c>
      <c r="E260" t="s">
        <v>239</v>
      </c>
      <c r="F260" s="11" t="s">
        <v>14</v>
      </c>
      <c r="G260" s="8">
        <v>64.489999999999995</v>
      </c>
      <c r="H260" s="8">
        <v>0</v>
      </c>
      <c r="I260" s="8">
        <f t="shared" si="9"/>
        <v>-3640.73</v>
      </c>
      <c r="J260" s="12"/>
    </row>
    <row r="261" spans="3:10" x14ac:dyDescent="0.3">
      <c r="C261" s="9" t="s">
        <v>12</v>
      </c>
      <c r="D261" s="10">
        <v>45737</v>
      </c>
      <c r="E261" t="s">
        <v>240</v>
      </c>
      <c r="F261" s="11" t="s">
        <v>241</v>
      </c>
      <c r="G261" s="8">
        <v>0</v>
      </c>
      <c r="H261" s="8">
        <v>5140.3500000000004</v>
      </c>
      <c r="I261" s="8">
        <f t="shared" si="9"/>
        <v>-8781.08</v>
      </c>
      <c r="J261" s="12"/>
    </row>
    <row r="262" spans="3:10" x14ac:dyDescent="0.3">
      <c r="C262" s="9" t="s">
        <v>12</v>
      </c>
      <c r="D262" s="10">
        <v>45740</v>
      </c>
      <c r="E262" t="s">
        <v>34</v>
      </c>
      <c r="F262" s="11" t="s">
        <v>14</v>
      </c>
      <c r="G262" s="8">
        <v>1043.55</v>
      </c>
      <c r="H262" s="8">
        <v>0</v>
      </c>
      <c r="I262" s="8">
        <f t="shared" si="9"/>
        <v>-7737.53</v>
      </c>
      <c r="J262" s="12">
        <v>572000009</v>
      </c>
    </row>
    <row r="263" spans="3:10" x14ac:dyDescent="0.3">
      <c r="C263" s="9" t="s">
        <v>12</v>
      </c>
      <c r="D263" s="10">
        <v>45747</v>
      </c>
      <c r="E263" t="s">
        <v>242</v>
      </c>
      <c r="F263" s="11" t="s">
        <v>243</v>
      </c>
      <c r="G263" s="8">
        <v>0</v>
      </c>
      <c r="H263" s="8">
        <v>429.25</v>
      </c>
      <c r="I263" s="8">
        <f t="shared" si="9"/>
        <v>-8166.78</v>
      </c>
      <c r="J263" s="12"/>
    </row>
    <row r="264" spans="3:10" x14ac:dyDescent="0.3">
      <c r="C264" s="9" t="s">
        <v>12</v>
      </c>
      <c r="D264" s="10">
        <v>45754</v>
      </c>
      <c r="E264" t="s">
        <v>34</v>
      </c>
      <c r="F264" s="11" t="s">
        <v>14</v>
      </c>
      <c r="G264" s="8">
        <v>2597.1799999999998</v>
      </c>
      <c r="H264" s="8">
        <v>0</v>
      </c>
      <c r="I264" s="8">
        <f t="shared" si="9"/>
        <v>-5569.6</v>
      </c>
      <c r="J264" s="12">
        <v>572000009</v>
      </c>
    </row>
    <row r="265" spans="3:10" x14ac:dyDescent="0.3">
      <c r="C265" s="9" t="s">
        <v>12</v>
      </c>
      <c r="D265" s="10">
        <v>45758</v>
      </c>
      <c r="E265" t="s">
        <v>244</v>
      </c>
      <c r="F265" s="11" t="s">
        <v>245</v>
      </c>
      <c r="G265" s="8">
        <v>0</v>
      </c>
      <c r="H265" s="8">
        <v>334.73</v>
      </c>
      <c r="I265" s="8">
        <f t="shared" si="9"/>
        <v>-5904.33</v>
      </c>
      <c r="J265" s="12"/>
    </row>
    <row r="266" spans="3:10" x14ac:dyDescent="0.3">
      <c r="C266" s="9" t="s">
        <v>12</v>
      </c>
      <c r="D266" s="10">
        <v>45769</v>
      </c>
      <c r="E266" t="s">
        <v>34</v>
      </c>
      <c r="F266" s="11" t="s">
        <v>14</v>
      </c>
      <c r="G266" s="8">
        <v>5140.3500000000004</v>
      </c>
      <c r="H266" s="8">
        <v>0</v>
      </c>
      <c r="I266" s="8">
        <f t="shared" si="9"/>
        <v>-763.97999999999956</v>
      </c>
      <c r="J266" s="12">
        <v>572000009</v>
      </c>
    </row>
    <row r="267" spans="3:10" x14ac:dyDescent="0.3">
      <c r="C267" s="9" t="s">
        <v>12</v>
      </c>
      <c r="D267" s="10">
        <v>45772</v>
      </c>
      <c r="E267" t="s">
        <v>246</v>
      </c>
      <c r="F267" s="11" t="s">
        <v>247</v>
      </c>
      <c r="G267" s="8">
        <v>0</v>
      </c>
      <c r="H267" s="8">
        <v>3876.63</v>
      </c>
      <c r="I267" s="8">
        <f t="shared" si="9"/>
        <v>-4640.6099999999997</v>
      </c>
      <c r="J267" s="12"/>
    </row>
    <row r="268" spans="3:10" x14ac:dyDescent="0.3">
      <c r="C268" s="9" t="s">
        <v>12</v>
      </c>
      <c r="D268" s="10">
        <v>45777</v>
      </c>
      <c r="E268" t="s">
        <v>34</v>
      </c>
      <c r="F268" s="11" t="s">
        <v>14</v>
      </c>
      <c r="G268" s="8">
        <v>429.25</v>
      </c>
      <c r="H268" s="8">
        <v>0</v>
      </c>
      <c r="I268" s="8">
        <f t="shared" si="9"/>
        <v>-4211.3599999999997</v>
      </c>
      <c r="J268" s="12">
        <v>572000009</v>
      </c>
    </row>
    <row r="269" spans="3:10" x14ac:dyDescent="0.3">
      <c r="C269" s="9" t="s">
        <v>12</v>
      </c>
      <c r="D269" s="10">
        <v>45777</v>
      </c>
      <c r="E269" t="s">
        <v>248</v>
      </c>
      <c r="F269" s="11" t="s">
        <v>249</v>
      </c>
      <c r="G269" s="8">
        <v>0</v>
      </c>
      <c r="H269" s="8">
        <v>640.70000000000005</v>
      </c>
      <c r="I269" s="8">
        <f t="shared" si="9"/>
        <v>-4852.0599999999995</v>
      </c>
      <c r="J269" s="12"/>
    </row>
    <row r="270" spans="3:10" x14ac:dyDescent="0.3">
      <c r="C270" s="9" t="s">
        <v>12</v>
      </c>
      <c r="D270" s="10">
        <v>45777</v>
      </c>
      <c r="E270" t="s">
        <v>250</v>
      </c>
      <c r="F270" s="11" t="s">
        <v>251</v>
      </c>
      <c r="G270" s="8">
        <v>0</v>
      </c>
      <c r="H270" s="8">
        <v>1036.6199999999999</v>
      </c>
      <c r="I270" s="8">
        <f t="shared" si="9"/>
        <v>-5888.6799999999994</v>
      </c>
      <c r="J270" s="12"/>
    </row>
    <row r="271" spans="3:10" x14ac:dyDescent="0.3">
      <c r="C271" s="9" t="s">
        <v>12</v>
      </c>
      <c r="D271" s="10">
        <v>45786</v>
      </c>
      <c r="E271" t="s">
        <v>252</v>
      </c>
      <c r="F271" s="11" t="s">
        <v>253</v>
      </c>
      <c r="G271" s="8">
        <v>0</v>
      </c>
      <c r="H271" s="8">
        <v>167.52</v>
      </c>
      <c r="I271" s="8">
        <f t="shared" si="9"/>
        <v>-6056.2</v>
      </c>
      <c r="J271" s="12"/>
    </row>
    <row r="272" spans="3:10" x14ac:dyDescent="0.3">
      <c r="C272" s="9" t="s">
        <v>12</v>
      </c>
      <c r="D272" s="10">
        <v>45793</v>
      </c>
      <c r="E272" t="s">
        <v>223</v>
      </c>
      <c r="F272" s="11" t="s">
        <v>14</v>
      </c>
      <c r="G272" s="8">
        <v>334.73</v>
      </c>
      <c r="H272" s="8">
        <v>0</v>
      </c>
      <c r="I272" s="8">
        <f t="shared" si="9"/>
        <v>-5721.4699999999993</v>
      </c>
      <c r="J272" s="12">
        <v>572000001</v>
      </c>
    </row>
    <row r="273" spans="3:10" x14ac:dyDescent="0.3">
      <c r="C273" s="9" t="s">
        <v>12</v>
      </c>
      <c r="D273" s="10">
        <v>45803</v>
      </c>
      <c r="E273" t="s">
        <v>223</v>
      </c>
      <c r="F273" s="11" t="s">
        <v>14</v>
      </c>
      <c r="G273" s="8">
        <v>3876.63</v>
      </c>
      <c r="H273" s="8">
        <v>0</v>
      </c>
      <c r="I273" s="8">
        <f t="shared" si="9"/>
        <v>-1844.8399999999992</v>
      </c>
      <c r="J273" s="12"/>
    </row>
    <row r="274" spans="3:10" x14ac:dyDescent="0.3">
      <c r="C274" s="9" t="s">
        <v>12</v>
      </c>
      <c r="D274" s="10">
        <v>45807</v>
      </c>
      <c r="E274" t="s">
        <v>254</v>
      </c>
      <c r="F274" s="11" t="s">
        <v>255</v>
      </c>
      <c r="G274" s="8">
        <v>0</v>
      </c>
      <c r="H274" s="8">
        <v>946.35</v>
      </c>
      <c r="I274" s="8">
        <f t="shared" si="9"/>
        <v>-2791.1899999999991</v>
      </c>
      <c r="J274" s="12"/>
    </row>
    <row r="275" spans="3:10" x14ac:dyDescent="0.3">
      <c r="C275" s="9" t="s">
        <v>12</v>
      </c>
      <c r="D275" s="10">
        <v>45807</v>
      </c>
      <c r="E275" t="s">
        <v>223</v>
      </c>
      <c r="F275" s="11" t="s">
        <v>14</v>
      </c>
      <c r="G275" s="8">
        <v>1036.6199999999999</v>
      </c>
      <c r="H275" s="8">
        <v>0</v>
      </c>
      <c r="I275" s="8">
        <f t="shared" si="9"/>
        <v>-1754.5699999999993</v>
      </c>
      <c r="J275" s="12"/>
    </row>
    <row r="276" spans="3:10" x14ac:dyDescent="0.3">
      <c r="C276" s="9" t="s">
        <v>12</v>
      </c>
      <c r="D276" s="10">
        <v>45807</v>
      </c>
      <c r="E276" t="s">
        <v>223</v>
      </c>
      <c r="F276" s="11" t="s">
        <v>14</v>
      </c>
      <c r="G276" s="8">
        <v>640.70000000000005</v>
      </c>
      <c r="H276" s="8">
        <v>0</v>
      </c>
      <c r="I276" s="8">
        <f t="shared" si="9"/>
        <v>-1113.8699999999992</v>
      </c>
      <c r="J276" s="12"/>
    </row>
    <row r="277" spans="3:10" x14ac:dyDescent="0.3">
      <c r="C277" s="9" t="s">
        <v>12</v>
      </c>
      <c r="D277" s="10">
        <v>45814</v>
      </c>
      <c r="E277" t="s">
        <v>256</v>
      </c>
      <c r="F277" s="11" t="s">
        <v>257</v>
      </c>
      <c r="G277" s="8">
        <v>0</v>
      </c>
      <c r="H277" s="8">
        <v>480.58</v>
      </c>
      <c r="I277" s="8">
        <f t="shared" si="9"/>
        <v>-1594.4499999999991</v>
      </c>
      <c r="J277" s="12"/>
    </row>
    <row r="278" spans="3:10" x14ac:dyDescent="0.3">
      <c r="C278" s="9" t="s">
        <v>12</v>
      </c>
      <c r="D278" s="10">
        <v>45817</v>
      </c>
      <c r="E278" t="s">
        <v>223</v>
      </c>
      <c r="F278" s="11" t="s">
        <v>14</v>
      </c>
      <c r="G278" s="8">
        <v>167.52</v>
      </c>
      <c r="H278" s="8">
        <v>0</v>
      </c>
      <c r="I278" s="8">
        <f t="shared" si="9"/>
        <v>-1426.9299999999992</v>
      </c>
      <c r="J278" s="12">
        <v>572000001</v>
      </c>
    </row>
    <row r="279" spans="3:10" x14ac:dyDescent="0.3">
      <c r="C279" s="9"/>
      <c r="D279" s="10">
        <v>45828</v>
      </c>
      <c r="E279" t="s">
        <v>258</v>
      </c>
      <c r="F279" s="11" t="s">
        <v>259</v>
      </c>
      <c r="G279" s="8">
        <v>0</v>
      </c>
      <c r="H279" s="8">
        <v>233.89</v>
      </c>
      <c r="I279" s="8">
        <f t="shared" si="9"/>
        <v>-1660.8199999999993</v>
      </c>
      <c r="J279" s="12"/>
    </row>
    <row r="280" spans="3:10" x14ac:dyDescent="0.3">
      <c r="C280" s="9"/>
      <c r="D280" s="10">
        <v>45838</v>
      </c>
      <c r="E280" t="s">
        <v>260</v>
      </c>
      <c r="F280" s="11" t="s">
        <v>261</v>
      </c>
      <c r="G280" s="8">
        <v>0</v>
      </c>
      <c r="H280" s="8">
        <v>745.15</v>
      </c>
      <c r="I280" s="8">
        <f t="shared" si="9"/>
        <v>-2405.9699999999993</v>
      </c>
      <c r="J280" s="12"/>
    </row>
    <row r="281" spans="3:10" x14ac:dyDescent="0.3">
      <c r="C281" s="9"/>
      <c r="D281" s="10">
        <v>45838</v>
      </c>
      <c r="E281" t="s">
        <v>262</v>
      </c>
      <c r="F281" s="11" t="s">
        <v>263</v>
      </c>
      <c r="G281" s="8">
        <v>0</v>
      </c>
      <c r="H281" s="8">
        <v>1976.44</v>
      </c>
      <c r="I281" s="8">
        <f t="shared" si="9"/>
        <v>-4382.41</v>
      </c>
      <c r="J281" s="12"/>
    </row>
    <row r="282" spans="3:10" x14ac:dyDescent="0.3">
      <c r="C282" s="9" t="s">
        <v>12</v>
      </c>
      <c r="D282" s="10">
        <v>45838</v>
      </c>
      <c r="E282" t="s">
        <v>223</v>
      </c>
      <c r="F282" s="11" t="s">
        <v>14</v>
      </c>
      <c r="G282" s="8">
        <v>946.35</v>
      </c>
      <c r="H282" s="8">
        <v>0</v>
      </c>
      <c r="I282" s="8">
        <f t="shared" si="9"/>
        <v>-3436.06</v>
      </c>
      <c r="J282" s="12">
        <v>572000001</v>
      </c>
    </row>
    <row r="283" spans="3:10" x14ac:dyDescent="0.3">
      <c r="C283" s="9" t="s">
        <v>12</v>
      </c>
      <c r="D283" s="10">
        <v>45845</v>
      </c>
      <c r="E283" t="s">
        <v>34</v>
      </c>
      <c r="F283" s="11" t="s">
        <v>14</v>
      </c>
      <c r="G283" s="8">
        <v>480.58</v>
      </c>
      <c r="H283" s="8">
        <v>0</v>
      </c>
      <c r="I283" s="8">
        <f t="shared" si="9"/>
        <v>-2955.48</v>
      </c>
      <c r="J283" s="12">
        <v>572000005</v>
      </c>
    </row>
    <row r="284" spans="3:10" x14ac:dyDescent="0.3">
      <c r="C284" s="9" t="s">
        <v>12</v>
      </c>
      <c r="D284" s="10">
        <v>45849</v>
      </c>
      <c r="E284" t="s">
        <v>34</v>
      </c>
      <c r="F284" s="11" t="s">
        <v>14</v>
      </c>
      <c r="G284" s="8">
        <v>480.58</v>
      </c>
      <c r="H284" s="8">
        <v>0</v>
      </c>
      <c r="I284" s="8">
        <f t="shared" si="9"/>
        <v>-2474.9</v>
      </c>
      <c r="J284" s="12">
        <v>572000005</v>
      </c>
    </row>
    <row r="285" spans="3:10" x14ac:dyDescent="0.3">
      <c r="C285" s="9" t="s">
        <v>12</v>
      </c>
      <c r="D285" s="10">
        <v>45852</v>
      </c>
      <c r="E285" t="s">
        <v>34</v>
      </c>
      <c r="F285" s="11" t="s">
        <v>14</v>
      </c>
      <c r="G285" s="8">
        <v>0</v>
      </c>
      <c r="H285" s="8">
        <v>480.58</v>
      </c>
      <c r="I285" s="8">
        <f t="shared" si="9"/>
        <v>-2955.48</v>
      </c>
      <c r="J285" s="12">
        <v>572000005</v>
      </c>
    </row>
    <row r="286" spans="3:10" x14ac:dyDescent="0.3">
      <c r="C286" s="9"/>
      <c r="D286" s="10">
        <v>45859</v>
      </c>
      <c r="E286" t="s">
        <v>34</v>
      </c>
      <c r="F286" s="11" t="s">
        <v>14</v>
      </c>
      <c r="G286" s="8">
        <v>233.89</v>
      </c>
      <c r="H286" s="8">
        <v>0</v>
      </c>
      <c r="I286" s="8">
        <f t="shared" si="9"/>
        <v>-2721.59</v>
      </c>
      <c r="J286" s="12">
        <v>572000005</v>
      </c>
    </row>
    <row r="287" spans="3:10" x14ac:dyDescent="0.3">
      <c r="C287" s="9"/>
      <c r="D287" s="10">
        <v>45861</v>
      </c>
      <c r="E287" t="s">
        <v>264</v>
      </c>
      <c r="F287" s="11" t="s">
        <v>265</v>
      </c>
      <c r="G287" s="8">
        <v>0</v>
      </c>
      <c r="H287" s="8">
        <v>4588.01</v>
      </c>
      <c r="I287" s="8">
        <f t="shared" si="9"/>
        <v>-7309.6</v>
      </c>
      <c r="J287" s="12"/>
    </row>
    <row r="288" spans="3:10" x14ac:dyDescent="0.3">
      <c r="C288" s="9"/>
      <c r="D288" s="10">
        <v>45863</v>
      </c>
      <c r="E288" t="s">
        <v>266</v>
      </c>
      <c r="F288" s="11" t="s">
        <v>267</v>
      </c>
      <c r="G288" s="8">
        <v>0</v>
      </c>
      <c r="H288" s="8">
        <v>1683.38</v>
      </c>
      <c r="I288" s="8">
        <f t="shared" si="9"/>
        <v>-8992.98</v>
      </c>
      <c r="J288" s="12"/>
    </row>
    <row r="289" spans="1:10" x14ac:dyDescent="0.3">
      <c r="C289" s="9"/>
      <c r="D289" s="10">
        <v>45868</v>
      </c>
      <c r="E289" t="s">
        <v>34</v>
      </c>
      <c r="F289" s="11" t="s">
        <v>14</v>
      </c>
      <c r="G289" s="8">
        <v>745.15</v>
      </c>
      <c r="H289" s="8">
        <v>0</v>
      </c>
      <c r="I289" s="8">
        <f t="shared" si="9"/>
        <v>-8247.83</v>
      </c>
      <c r="J289" s="12">
        <v>572000005</v>
      </c>
    </row>
    <row r="290" spans="1:10" x14ac:dyDescent="0.3">
      <c r="C290" s="9"/>
      <c r="D290" s="10">
        <v>45868</v>
      </c>
      <c r="E290" t="s">
        <v>34</v>
      </c>
      <c r="F290" s="11" t="s">
        <v>14</v>
      </c>
      <c r="G290" s="8">
        <v>1976.44</v>
      </c>
      <c r="H290" s="8">
        <v>0</v>
      </c>
      <c r="I290" s="8">
        <f t="shared" si="9"/>
        <v>-6271.3899999999994</v>
      </c>
      <c r="J290" s="12">
        <v>572000005</v>
      </c>
    </row>
    <row r="291" spans="1:10" x14ac:dyDescent="0.3">
      <c r="C291" s="9"/>
      <c r="D291" s="10">
        <v>45876</v>
      </c>
      <c r="E291" t="s">
        <v>268</v>
      </c>
      <c r="F291" s="11" t="s">
        <v>269</v>
      </c>
      <c r="G291" s="8">
        <v>0</v>
      </c>
      <c r="H291" s="8">
        <v>595.92999999999995</v>
      </c>
      <c r="I291" s="8">
        <f t="shared" si="9"/>
        <v>-6867.32</v>
      </c>
      <c r="J291" s="12"/>
    </row>
    <row r="292" spans="1:10" x14ac:dyDescent="0.3">
      <c r="C292" s="9"/>
      <c r="D292" s="10">
        <v>45887</v>
      </c>
      <c r="E292" t="s">
        <v>34</v>
      </c>
      <c r="F292" s="11" t="s">
        <v>14</v>
      </c>
      <c r="G292" s="8">
        <v>4588.01</v>
      </c>
      <c r="H292" s="8">
        <v>0</v>
      </c>
      <c r="I292" s="8">
        <f t="shared" si="9"/>
        <v>-2279.3099999999995</v>
      </c>
      <c r="J292" s="12">
        <v>572000005</v>
      </c>
    </row>
    <row r="293" spans="1:10" x14ac:dyDescent="0.3">
      <c r="C293" s="9"/>
      <c r="D293" s="10">
        <v>45889</v>
      </c>
      <c r="E293" t="s">
        <v>270</v>
      </c>
      <c r="F293" s="11" t="s">
        <v>271</v>
      </c>
      <c r="G293" s="8">
        <v>0</v>
      </c>
      <c r="H293" s="8">
        <v>4001.13</v>
      </c>
      <c r="I293" s="8">
        <f t="shared" si="9"/>
        <v>-6280.44</v>
      </c>
      <c r="J293" s="12"/>
    </row>
    <row r="294" spans="1:10" x14ac:dyDescent="0.3">
      <c r="C294" s="9"/>
      <c r="D294" s="10">
        <v>45894</v>
      </c>
      <c r="E294" t="s">
        <v>34</v>
      </c>
      <c r="F294" s="11" t="s">
        <v>14</v>
      </c>
      <c r="G294" s="8">
        <v>1683.38</v>
      </c>
      <c r="H294" s="8">
        <v>0</v>
      </c>
      <c r="I294" s="8">
        <f t="shared" si="9"/>
        <v>-4597.0599999999995</v>
      </c>
      <c r="J294" s="12">
        <v>572000005</v>
      </c>
    </row>
    <row r="295" spans="1:10" x14ac:dyDescent="0.3">
      <c r="C295" s="9"/>
      <c r="D295" s="10">
        <v>45898</v>
      </c>
      <c r="E295" t="s">
        <v>272</v>
      </c>
      <c r="F295" s="11" t="s">
        <v>273</v>
      </c>
      <c r="G295" s="8">
        <v>0</v>
      </c>
      <c r="H295" s="8">
        <v>354.17</v>
      </c>
      <c r="I295" s="8">
        <f t="shared" si="9"/>
        <v>-4951.2299999999996</v>
      </c>
      <c r="J295" s="12"/>
    </row>
    <row r="296" spans="1:10" x14ac:dyDescent="0.3">
      <c r="C296" s="9"/>
      <c r="D296" s="10">
        <v>45908</v>
      </c>
      <c r="E296" t="s">
        <v>274</v>
      </c>
      <c r="F296" s="11" t="s">
        <v>275</v>
      </c>
      <c r="G296" s="8">
        <v>0</v>
      </c>
      <c r="H296" s="8">
        <v>2618.36</v>
      </c>
      <c r="I296" s="8">
        <f t="shared" si="9"/>
        <v>-7569.59</v>
      </c>
      <c r="J296" s="12"/>
    </row>
    <row r="297" spans="1:10" x14ac:dyDescent="0.3">
      <c r="C297" s="9"/>
      <c r="D297" s="10">
        <v>45908</v>
      </c>
      <c r="E297" t="s">
        <v>34</v>
      </c>
      <c r="F297" s="11" t="s">
        <v>14</v>
      </c>
      <c r="G297" s="8">
        <v>595.92999999999995</v>
      </c>
      <c r="H297" s="8">
        <v>0</v>
      </c>
      <c r="I297" s="8">
        <f t="shared" si="9"/>
        <v>-6973.66</v>
      </c>
      <c r="J297" s="12">
        <v>572000005</v>
      </c>
    </row>
    <row r="298" spans="1:10" x14ac:dyDescent="0.3">
      <c r="C298" s="9"/>
      <c r="D298" s="10">
        <v>45912</v>
      </c>
      <c r="E298" t="s">
        <v>276</v>
      </c>
      <c r="F298" s="11" t="s">
        <v>277</v>
      </c>
      <c r="G298" s="8">
        <v>0</v>
      </c>
      <c r="H298" s="8">
        <v>2548.2800000000002</v>
      </c>
      <c r="I298" s="8">
        <f t="shared" si="9"/>
        <v>-9521.94</v>
      </c>
      <c r="J298" s="12"/>
    </row>
    <row r="299" spans="1:10" x14ac:dyDescent="0.3">
      <c r="C299" s="9"/>
      <c r="D299" s="10">
        <v>45919</v>
      </c>
      <c r="E299" t="s">
        <v>278</v>
      </c>
      <c r="F299" s="11" t="s">
        <v>279</v>
      </c>
      <c r="G299" s="8">
        <v>0</v>
      </c>
      <c r="H299" s="8">
        <v>891.94</v>
      </c>
      <c r="I299" s="8">
        <f t="shared" si="9"/>
        <v>-10413.880000000001</v>
      </c>
      <c r="J299" s="12"/>
    </row>
    <row r="300" spans="1:10" x14ac:dyDescent="0.3">
      <c r="C300" s="9"/>
      <c r="D300" s="10">
        <v>45919</v>
      </c>
      <c r="E300" t="s">
        <v>34</v>
      </c>
      <c r="F300" s="11" t="s">
        <v>14</v>
      </c>
      <c r="G300" s="8">
        <v>4001.13</v>
      </c>
      <c r="H300" s="8">
        <v>0</v>
      </c>
      <c r="I300" s="8">
        <f t="shared" si="9"/>
        <v>-6412.7500000000009</v>
      </c>
      <c r="J300" s="12">
        <v>572000005</v>
      </c>
    </row>
    <row r="301" spans="1:10" x14ac:dyDescent="0.3">
      <c r="E301" s="4" t="s">
        <v>116</v>
      </c>
      <c r="G301" s="8">
        <f>SUM(G255:G300)</f>
        <v>31209.480000000003</v>
      </c>
      <c r="H301" s="8">
        <f>SUM(H255:H300)</f>
        <v>37622.230000000003</v>
      </c>
      <c r="I301" s="8">
        <f>G301-H301</f>
        <v>-6412.75</v>
      </c>
    </row>
    <row r="303" spans="1:10" x14ac:dyDescent="0.3">
      <c r="A303" s="5">
        <v>400000112</v>
      </c>
      <c r="B303" s="6" t="s">
        <v>280</v>
      </c>
      <c r="C303" s="7"/>
      <c r="D303" s="7"/>
      <c r="E303" s="7"/>
      <c r="F303" s="7"/>
      <c r="G303" s="7"/>
      <c r="H303" s="7"/>
      <c r="I303" s="7"/>
      <c r="J303" s="7"/>
    </row>
    <row r="304" spans="1:10" x14ac:dyDescent="0.3">
      <c r="E304" s="4" t="s">
        <v>11</v>
      </c>
      <c r="G304" s="8">
        <v>174.37</v>
      </c>
      <c r="H304" s="8">
        <v>0</v>
      </c>
      <c r="I304" s="8">
        <f>G304-H304</f>
        <v>174.37</v>
      </c>
    </row>
    <row r="305" spans="1:10" x14ac:dyDescent="0.3">
      <c r="C305" s="9" t="s">
        <v>12</v>
      </c>
      <c r="D305" s="10">
        <v>45681</v>
      </c>
      <c r="E305" t="s">
        <v>281</v>
      </c>
      <c r="F305" s="11" t="s">
        <v>282</v>
      </c>
      <c r="G305" s="8">
        <v>0</v>
      </c>
      <c r="H305" s="8">
        <v>881.87</v>
      </c>
      <c r="I305" s="8">
        <f t="shared" ref="I305:I317" si="10">G305-H305+I304</f>
        <v>-707.5</v>
      </c>
      <c r="J305" s="12"/>
    </row>
    <row r="306" spans="1:10" x14ac:dyDescent="0.3">
      <c r="C306" s="9" t="s">
        <v>12</v>
      </c>
      <c r="D306" s="10">
        <v>45698</v>
      </c>
      <c r="E306" t="s">
        <v>283</v>
      </c>
      <c r="F306" s="11" t="s">
        <v>284</v>
      </c>
      <c r="G306" s="8">
        <v>0</v>
      </c>
      <c r="H306" s="8">
        <v>135.02000000000001</v>
      </c>
      <c r="I306" s="8">
        <f t="shared" si="10"/>
        <v>-842.52</v>
      </c>
      <c r="J306" s="12"/>
    </row>
    <row r="307" spans="1:10" x14ac:dyDescent="0.3">
      <c r="C307" s="9" t="s">
        <v>12</v>
      </c>
      <c r="D307" s="10">
        <v>45740</v>
      </c>
      <c r="E307" t="s">
        <v>108</v>
      </c>
      <c r="F307" s="11" t="s">
        <v>14</v>
      </c>
      <c r="G307" s="8">
        <v>842.52</v>
      </c>
      <c r="H307" s="8">
        <v>0</v>
      </c>
      <c r="I307" s="8">
        <f t="shared" si="10"/>
        <v>0</v>
      </c>
      <c r="J307" s="12">
        <v>572000007</v>
      </c>
    </row>
    <row r="308" spans="1:10" x14ac:dyDescent="0.3">
      <c r="C308" s="9" t="s">
        <v>12</v>
      </c>
      <c r="D308" s="10">
        <v>45741</v>
      </c>
      <c r="E308" t="s">
        <v>285</v>
      </c>
      <c r="F308" s="11" t="s">
        <v>286</v>
      </c>
      <c r="G308" s="8">
        <v>0</v>
      </c>
      <c r="H308" s="8">
        <v>425.84</v>
      </c>
      <c r="I308" s="8">
        <f t="shared" si="10"/>
        <v>-425.84</v>
      </c>
      <c r="J308" s="12"/>
    </row>
    <row r="309" spans="1:10" x14ac:dyDescent="0.3">
      <c r="C309" s="9" t="s">
        <v>12</v>
      </c>
      <c r="D309" s="10">
        <v>45772</v>
      </c>
      <c r="E309" t="s">
        <v>34</v>
      </c>
      <c r="F309" s="11" t="s">
        <v>14</v>
      </c>
      <c r="G309" s="8">
        <v>425.84</v>
      </c>
      <c r="H309" s="8">
        <v>0</v>
      </c>
      <c r="I309" s="8">
        <f t="shared" si="10"/>
        <v>0</v>
      </c>
      <c r="J309" s="12">
        <v>572000009</v>
      </c>
    </row>
    <row r="310" spans="1:10" x14ac:dyDescent="0.3">
      <c r="C310" s="9" t="s">
        <v>12</v>
      </c>
      <c r="D310" s="10">
        <v>45792</v>
      </c>
      <c r="E310" t="s">
        <v>287</v>
      </c>
      <c r="F310" s="11" t="s">
        <v>288</v>
      </c>
      <c r="G310" s="8">
        <v>0</v>
      </c>
      <c r="H310" s="8">
        <v>314.20999999999998</v>
      </c>
      <c r="I310" s="8">
        <f t="shared" si="10"/>
        <v>-314.20999999999998</v>
      </c>
      <c r="J310" s="12"/>
    </row>
    <row r="311" spans="1:10" x14ac:dyDescent="0.3">
      <c r="C311" s="9" t="s">
        <v>12</v>
      </c>
      <c r="D311" s="10">
        <v>45797</v>
      </c>
      <c r="E311" t="s">
        <v>289</v>
      </c>
      <c r="F311" s="11" t="s">
        <v>290</v>
      </c>
      <c r="G311" s="8">
        <v>0</v>
      </c>
      <c r="H311" s="8">
        <v>290.81</v>
      </c>
      <c r="I311" s="8">
        <f t="shared" si="10"/>
        <v>-605.02</v>
      </c>
      <c r="J311" s="12"/>
    </row>
    <row r="312" spans="1:10" x14ac:dyDescent="0.3">
      <c r="C312" s="9" t="s">
        <v>12</v>
      </c>
      <c r="D312" s="10">
        <v>45824</v>
      </c>
      <c r="E312" t="s">
        <v>223</v>
      </c>
      <c r="F312" s="11" t="s">
        <v>14</v>
      </c>
      <c r="G312" s="8">
        <v>314.20999999999998</v>
      </c>
      <c r="H312" s="8">
        <v>0</v>
      </c>
      <c r="I312" s="8">
        <f t="shared" si="10"/>
        <v>-290.81</v>
      </c>
      <c r="J312" s="12">
        <v>572000001</v>
      </c>
    </row>
    <row r="313" spans="1:10" x14ac:dyDescent="0.3">
      <c r="C313" s="9" t="s">
        <v>12</v>
      </c>
      <c r="D313" s="10">
        <v>45828</v>
      </c>
      <c r="E313" t="s">
        <v>223</v>
      </c>
      <c r="F313" s="11" t="s">
        <v>14</v>
      </c>
      <c r="G313" s="8">
        <v>290.81</v>
      </c>
      <c r="H313" s="8">
        <v>0</v>
      </c>
      <c r="I313" s="8">
        <f t="shared" si="10"/>
        <v>0</v>
      </c>
      <c r="J313" s="12">
        <v>572000001</v>
      </c>
    </row>
    <row r="314" spans="1:10" x14ac:dyDescent="0.3">
      <c r="C314" s="9"/>
      <c r="D314" s="10">
        <v>45856</v>
      </c>
      <c r="E314" t="s">
        <v>291</v>
      </c>
      <c r="F314" s="11" t="s">
        <v>292</v>
      </c>
      <c r="G314" s="8">
        <v>0</v>
      </c>
      <c r="H314" s="8">
        <v>447.92</v>
      </c>
      <c r="I314" s="8">
        <f t="shared" si="10"/>
        <v>-447.92</v>
      </c>
      <c r="J314" s="12"/>
    </row>
    <row r="315" spans="1:10" x14ac:dyDescent="0.3">
      <c r="C315" s="9"/>
      <c r="D315" s="10">
        <v>45887</v>
      </c>
      <c r="E315" t="s">
        <v>34</v>
      </c>
      <c r="F315" s="11" t="s">
        <v>14</v>
      </c>
      <c r="G315" s="8">
        <v>447.92</v>
      </c>
      <c r="H315" s="8">
        <v>0</v>
      </c>
      <c r="I315" s="8">
        <f t="shared" si="10"/>
        <v>0</v>
      </c>
      <c r="J315" s="12">
        <v>572000005</v>
      </c>
    </row>
    <row r="316" spans="1:10" x14ac:dyDescent="0.3">
      <c r="C316" s="9"/>
      <c r="D316" s="10">
        <v>45898</v>
      </c>
      <c r="E316" t="s">
        <v>293</v>
      </c>
      <c r="F316" s="11" t="s">
        <v>294</v>
      </c>
      <c r="G316" s="8">
        <v>0</v>
      </c>
      <c r="H316" s="8">
        <v>387.74</v>
      </c>
      <c r="I316" s="8">
        <f t="shared" si="10"/>
        <v>-387.74</v>
      </c>
      <c r="J316" s="12"/>
    </row>
    <row r="317" spans="1:10" x14ac:dyDescent="0.3">
      <c r="C317" s="9"/>
      <c r="D317" s="10">
        <v>45910</v>
      </c>
      <c r="E317" t="s">
        <v>295</v>
      </c>
      <c r="F317" s="11" t="s">
        <v>296</v>
      </c>
      <c r="G317" s="8">
        <v>0</v>
      </c>
      <c r="H317" s="8">
        <v>135.02000000000001</v>
      </c>
      <c r="I317" s="8">
        <f t="shared" si="10"/>
        <v>-522.76</v>
      </c>
      <c r="J317" s="12"/>
    </row>
    <row r="318" spans="1:10" x14ac:dyDescent="0.3">
      <c r="E318" s="4" t="s">
        <v>116</v>
      </c>
      <c r="G318" s="8">
        <f>SUM(G304:G317)</f>
        <v>2495.67</v>
      </c>
      <c r="H318" s="8">
        <f>SUM(H304:H317)</f>
        <v>3018.43</v>
      </c>
      <c r="I318" s="8">
        <f>G318-H318</f>
        <v>-522.75999999999976</v>
      </c>
    </row>
    <row r="320" spans="1:10" x14ac:dyDescent="0.3">
      <c r="A320" s="5">
        <v>400000113</v>
      </c>
      <c r="B320" s="6" t="s">
        <v>297</v>
      </c>
      <c r="C320" s="7"/>
      <c r="D320" s="7"/>
      <c r="E320" s="7"/>
      <c r="F320" s="7"/>
      <c r="G320" s="7"/>
      <c r="H320" s="7"/>
      <c r="I320" s="7"/>
      <c r="J320" s="7"/>
    </row>
    <row r="321" spans="1:10" x14ac:dyDescent="0.3">
      <c r="C321" s="9" t="s">
        <v>12</v>
      </c>
      <c r="D321" s="10">
        <v>45677</v>
      </c>
      <c r="E321" t="s">
        <v>298</v>
      </c>
      <c r="F321" s="11" t="s">
        <v>299</v>
      </c>
      <c r="G321" s="8">
        <v>0</v>
      </c>
      <c r="H321" s="8">
        <v>72.14</v>
      </c>
      <c r="I321" s="8">
        <f>G321-H321</f>
        <v>-72.14</v>
      </c>
      <c r="J321" s="12"/>
    </row>
    <row r="322" spans="1:10" x14ac:dyDescent="0.3">
      <c r="C322" s="9" t="s">
        <v>12</v>
      </c>
      <c r="D322" s="10">
        <v>45688</v>
      </c>
      <c r="E322" t="s">
        <v>120</v>
      </c>
      <c r="F322" s="11" t="s">
        <v>14</v>
      </c>
      <c r="G322" s="8">
        <v>72.14</v>
      </c>
      <c r="H322" s="8">
        <v>0</v>
      </c>
      <c r="I322" s="8">
        <f>G322-H322+I321</f>
        <v>0</v>
      </c>
      <c r="J322" s="12"/>
    </row>
    <row r="323" spans="1:10" x14ac:dyDescent="0.3">
      <c r="C323" s="9"/>
      <c r="D323" s="10">
        <v>45882</v>
      </c>
      <c r="E323" t="s">
        <v>300</v>
      </c>
      <c r="F323" s="11" t="s">
        <v>301</v>
      </c>
      <c r="G323" s="8">
        <v>0</v>
      </c>
      <c r="H323" s="8">
        <v>759.02</v>
      </c>
      <c r="I323" s="8">
        <f>G323-H323+I322</f>
        <v>-759.02</v>
      </c>
      <c r="J323" s="12"/>
    </row>
    <row r="324" spans="1:10" x14ac:dyDescent="0.3">
      <c r="E324" s="4" t="s">
        <v>116</v>
      </c>
      <c r="G324" s="8">
        <f>SUM(G321:G323)</f>
        <v>72.14</v>
      </c>
      <c r="H324" s="8">
        <f>SUM(H321:H323)</f>
        <v>831.16</v>
      </c>
      <c r="I324" s="8">
        <f>G324-H324</f>
        <v>-759.02</v>
      </c>
    </row>
    <row r="326" spans="1:10" x14ac:dyDescent="0.3">
      <c r="A326" s="5">
        <v>400000122</v>
      </c>
      <c r="B326" s="6" t="s">
        <v>302</v>
      </c>
      <c r="C326" s="7"/>
      <c r="D326" s="7"/>
      <c r="E326" s="7"/>
      <c r="F326" s="7"/>
      <c r="G326" s="7"/>
      <c r="H326" s="7"/>
      <c r="I326" s="7"/>
      <c r="J326" s="7"/>
    </row>
    <row r="327" spans="1:10" x14ac:dyDescent="0.3">
      <c r="C327" s="9" t="s">
        <v>12</v>
      </c>
      <c r="D327" s="10">
        <v>45786</v>
      </c>
      <c r="E327" t="s">
        <v>34</v>
      </c>
      <c r="F327" s="11" t="s">
        <v>14</v>
      </c>
      <c r="G327" s="8">
        <v>266.2</v>
      </c>
      <c r="H327" s="8">
        <v>0</v>
      </c>
      <c r="I327" s="8">
        <f>G327-H327</f>
        <v>266.2</v>
      </c>
      <c r="J327" s="12">
        <v>572000005</v>
      </c>
    </row>
    <row r="328" spans="1:10" x14ac:dyDescent="0.3">
      <c r="C328" s="9" t="s">
        <v>12</v>
      </c>
      <c r="D328" s="10">
        <v>45790</v>
      </c>
      <c r="E328" t="s">
        <v>303</v>
      </c>
      <c r="F328" s="11" t="s">
        <v>304</v>
      </c>
      <c r="G328" s="8">
        <v>0</v>
      </c>
      <c r="H328" s="8">
        <v>266.2</v>
      </c>
      <c r="I328" s="8">
        <f t="shared" ref="I328:I342" si="11">G328-H328+I327</f>
        <v>0</v>
      </c>
      <c r="J328" s="12"/>
    </row>
    <row r="329" spans="1:10" x14ac:dyDescent="0.3">
      <c r="C329" s="9" t="s">
        <v>12</v>
      </c>
      <c r="D329" s="10">
        <v>45790</v>
      </c>
      <c r="E329" t="s">
        <v>305</v>
      </c>
      <c r="F329" s="11" t="s">
        <v>14</v>
      </c>
      <c r="G329" s="8">
        <v>290.39999999999998</v>
      </c>
      <c r="H329" s="8">
        <v>0</v>
      </c>
      <c r="I329" s="8">
        <f t="shared" si="11"/>
        <v>290.39999999999998</v>
      </c>
      <c r="J329" s="12">
        <v>572000007</v>
      </c>
    </row>
    <row r="330" spans="1:10" x14ac:dyDescent="0.3">
      <c r="C330" s="9" t="s">
        <v>12</v>
      </c>
      <c r="D330" s="10">
        <v>45792</v>
      </c>
      <c r="E330" t="s">
        <v>306</v>
      </c>
      <c r="F330" s="11" t="s">
        <v>307</v>
      </c>
      <c r="G330" s="8">
        <v>0</v>
      </c>
      <c r="H330" s="8">
        <v>290.39999999999998</v>
      </c>
      <c r="I330" s="8">
        <f t="shared" si="11"/>
        <v>0</v>
      </c>
      <c r="J330" s="12"/>
    </row>
    <row r="331" spans="1:10" x14ac:dyDescent="0.3">
      <c r="C331" s="9" t="s">
        <v>12</v>
      </c>
      <c r="D331" s="10">
        <v>45819</v>
      </c>
      <c r="E331" t="s">
        <v>308</v>
      </c>
      <c r="F331" s="11" t="s">
        <v>309</v>
      </c>
      <c r="G331" s="8">
        <v>0</v>
      </c>
      <c r="H331" s="8">
        <v>550.54999999999995</v>
      </c>
      <c r="I331" s="8">
        <f t="shared" si="11"/>
        <v>-550.54999999999995</v>
      </c>
      <c r="J331" s="12"/>
    </row>
    <row r="332" spans="1:10" x14ac:dyDescent="0.3">
      <c r="C332" s="9" t="s">
        <v>12</v>
      </c>
      <c r="D332" s="10">
        <v>45820</v>
      </c>
      <c r="E332" t="s">
        <v>34</v>
      </c>
      <c r="F332" s="11" t="s">
        <v>14</v>
      </c>
      <c r="G332" s="8">
        <v>550.54999999999995</v>
      </c>
      <c r="H332" s="8">
        <v>0</v>
      </c>
      <c r="I332" s="8">
        <f t="shared" si="11"/>
        <v>0</v>
      </c>
      <c r="J332" s="12">
        <v>572000007</v>
      </c>
    </row>
    <row r="333" spans="1:10" x14ac:dyDescent="0.3">
      <c r="C333" s="9"/>
      <c r="D333" s="10">
        <v>45838</v>
      </c>
      <c r="E333" t="s">
        <v>310</v>
      </c>
      <c r="F333" s="11" t="s">
        <v>311</v>
      </c>
      <c r="G333" s="8">
        <v>0</v>
      </c>
      <c r="H333" s="8">
        <v>1082.95</v>
      </c>
      <c r="I333" s="8">
        <f t="shared" si="11"/>
        <v>-1082.95</v>
      </c>
      <c r="J333" s="12"/>
    </row>
    <row r="334" spans="1:10" x14ac:dyDescent="0.3">
      <c r="C334" s="9"/>
      <c r="D334" s="10">
        <v>45838</v>
      </c>
      <c r="E334" t="s">
        <v>312</v>
      </c>
      <c r="F334" s="11" t="s">
        <v>313</v>
      </c>
      <c r="G334" s="8">
        <v>0</v>
      </c>
      <c r="H334" s="8">
        <v>459.8</v>
      </c>
      <c r="I334" s="8">
        <f t="shared" si="11"/>
        <v>-1542.75</v>
      </c>
      <c r="J334" s="12"/>
    </row>
    <row r="335" spans="1:10" x14ac:dyDescent="0.3">
      <c r="C335" s="9"/>
      <c r="D335" s="10">
        <v>45853</v>
      </c>
      <c r="E335" t="s">
        <v>314</v>
      </c>
      <c r="F335" s="11" t="s">
        <v>315</v>
      </c>
      <c r="G335" s="8">
        <v>0</v>
      </c>
      <c r="H335" s="8">
        <v>629.20000000000005</v>
      </c>
      <c r="I335" s="8">
        <f t="shared" si="11"/>
        <v>-2171.9499999999998</v>
      </c>
      <c r="J335" s="12"/>
    </row>
    <row r="336" spans="1:10" x14ac:dyDescent="0.3">
      <c r="C336" s="9"/>
      <c r="D336" s="10">
        <v>45868</v>
      </c>
      <c r="E336" t="s">
        <v>316</v>
      </c>
      <c r="F336" s="11" t="s">
        <v>317</v>
      </c>
      <c r="G336" s="8">
        <v>0</v>
      </c>
      <c r="H336" s="8">
        <v>744.15</v>
      </c>
      <c r="I336" s="8">
        <f t="shared" si="11"/>
        <v>-2916.1</v>
      </c>
      <c r="J336" s="12"/>
    </row>
    <row r="337" spans="1:10" x14ac:dyDescent="0.3">
      <c r="C337" s="9"/>
      <c r="D337" s="10">
        <v>45874</v>
      </c>
      <c r="E337" t="s">
        <v>34</v>
      </c>
      <c r="F337" s="11" t="s">
        <v>14</v>
      </c>
      <c r="G337" s="8">
        <v>1082.95</v>
      </c>
      <c r="H337" s="8">
        <v>0</v>
      </c>
      <c r="I337" s="8">
        <f t="shared" si="11"/>
        <v>-1833.1499999999999</v>
      </c>
      <c r="J337" s="12">
        <v>572000005</v>
      </c>
    </row>
    <row r="338" spans="1:10" x14ac:dyDescent="0.3">
      <c r="C338" s="9"/>
      <c r="D338" s="10">
        <v>45874</v>
      </c>
      <c r="E338" t="s">
        <v>34</v>
      </c>
      <c r="F338" s="11" t="s">
        <v>14</v>
      </c>
      <c r="G338" s="8">
        <v>459.8</v>
      </c>
      <c r="H338" s="8">
        <v>0</v>
      </c>
      <c r="I338" s="8">
        <f t="shared" si="11"/>
        <v>-1373.35</v>
      </c>
      <c r="J338" s="12">
        <v>572000005</v>
      </c>
    </row>
    <row r="339" spans="1:10" x14ac:dyDescent="0.3">
      <c r="C339" s="9"/>
      <c r="D339" s="10">
        <v>45899</v>
      </c>
      <c r="E339" t="s">
        <v>318</v>
      </c>
      <c r="F339" s="11" t="s">
        <v>319</v>
      </c>
      <c r="G339" s="8">
        <v>0</v>
      </c>
      <c r="H339" s="8">
        <v>1167.6500000000001</v>
      </c>
      <c r="I339" s="8">
        <f t="shared" si="11"/>
        <v>-2541</v>
      </c>
      <c r="J339" s="12"/>
    </row>
    <row r="340" spans="1:10" x14ac:dyDescent="0.3">
      <c r="C340" s="9"/>
      <c r="D340" s="10">
        <v>45905</v>
      </c>
      <c r="E340" t="s">
        <v>34</v>
      </c>
      <c r="F340" s="11" t="s">
        <v>14</v>
      </c>
      <c r="G340" s="8">
        <v>629.20000000000005</v>
      </c>
      <c r="H340" s="8">
        <v>0</v>
      </c>
      <c r="I340" s="8">
        <f t="shared" si="11"/>
        <v>-1911.8</v>
      </c>
      <c r="J340" s="12">
        <v>572000005</v>
      </c>
    </row>
    <row r="341" spans="1:10" x14ac:dyDescent="0.3">
      <c r="C341" s="9"/>
      <c r="D341" s="10">
        <v>45905</v>
      </c>
      <c r="E341" t="s">
        <v>34</v>
      </c>
      <c r="F341" s="11" t="s">
        <v>14</v>
      </c>
      <c r="G341" s="8">
        <v>744.15</v>
      </c>
      <c r="H341" s="8">
        <v>0</v>
      </c>
      <c r="I341" s="8">
        <f t="shared" si="11"/>
        <v>-1167.6500000000001</v>
      </c>
      <c r="J341" s="12">
        <v>572000005</v>
      </c>
    </row>
    <row r="342" spans="1:10" x14ac:dyDescent="0.3">
      <c r="C342" s="9"/>
      <c r="D342" s="10">
        <v>45915</v>
      </c>
      <c r="E342" t="s">
        <v>320</v>
      </c>
      <c r="F342" s="11" t="s">
        <v>321</v>
      </c>
      <c r="G342" s="8">
        <v>0</v>
      </c>
      <c r="H342" s="8">
        <v>296.45</v>
      </c>
      <c r="I342" s="8">
        <f t="shared" si="11"/>
        <v>-1464.1000000000001</v>
      </c>
      <c r="J342" s="12"/>
    </row>
    <row r="343" spans="1:10" x14ac:dyDescent="0.3">
      <c r="E343" s="4" t="s">
        <v>116</v>
      </c>
      <c r="G343" s="8">
        <f>SUM(G327:G342)</f>
        <v>4023.2500000000005</v>
      </c>
      <c r="H343" s="8">
        <f>SUM(H327:H342)</f>
        <v>5487.35</v>
      </c>
      <c r="I343" s="8">
        <f>G343-H343</f>
        <v>-1464.1</v>
      </c>
    </row>
    <row r="345" spans="1:10" x14ac:dyDescent="0.3">
      <c r="A345" s="5">
        <v>400000124</v>
      </c>
      <c r="B345" s="6" t="s">
        <v>322</v>
      </c>
      <c r="C345" s="7"/>
      <c r="D345" s="7"/>
      <c r="E345" s="7"/>
      <c r="F345" s="7"/>
      <c r="G345" s="7"/>
      <c r="H345" s="7"/>
      <c r="I345" s="7"/>
      <c r="J345" s="7"/>
    </row>
    <row r="346" spans="1:10" x14ac:dyDescent="0.3">
      <c r="C346" s="9"/>
      <c r="D346" s="10">
        <v>45670</v>
      </c>
      <c r="E346" t="s">
        <v>323</v>
      </c>
      <c r="F346" s="11" t="s">
        <v>324</v>
      </c>
      <c r="G346" s="8">
        <v>0</v>
      </c>
      <c r="H346" s="8">
        <v>6076.16</v>
      </c>
      <c r="I346" s="8">
        <f>G346-H346</f>
        <v>-6076.16</v>
      </c>
      <c r="J346" s="12">
        <v>600000000</v>
      </c>
    </row>
    <row r="347" spans="1:10" x14ac:dyDescent="0.3">
      <c r="C347" s="9"/>
      <c r="D347" s="10">
        <v>45683</v>
      </c>
      <c r="E347" t="s">
        <v>323</v>
      </c>
      <c r="F347" s="11" t="s">
        <v>325</v>
      </c>
      <c r="G347" s="8">
        <v>0</v>
      </c>
      <c r="H347" s="8">
        <v>22044.16</v>
      </c>
      <c r="I347" s="8">
        <f t="shared" ref="I347:I372" si="12">G347-H347+I346</f>
        <v>-28120.32</v>
      </c>
      <c r="J347" s="12">
        <v>600000000</v>
      </c>
    </row>
    <row r="348" spans="1:10" x14ac:dyDescent="0.3">
      <c r="C348" s="9"/>
      <c r="D348" s="10">
        <v>45734</v>
      </c>
      <c r="E348" t="s">
        <v>326</v>
      </c>
      <c r="F348" s="11" t="s">
        <v>327</v>
      </c>
      <c r="G348" s="8">
        <v>0</v>
      </c>
      <c r="H348" s="8">
        <v>12170.13</v>
      </c>
      <c r="I348" s="8">
        <f t="shared" si="12"/>
        <v>-40290.449999999997</v>
      </c>
      <c r="J348" s="12">
        <v>600000000</v>
      </c>
    </row>
    <row r="349" spans="1:10" x14ac:dyDescent="0.3">
      <c r="C349" s="9"/>
      <c r="D349" s="10">
        <v>45740</v>
      </c>
      <c r="E349" t="s">
        <v>326</v>
      </c>
      <c r="F349" s="11" t="s">
        <v>328</v>
      </c>
      <c r="G349" s="8">
        <v>0</v>
      </c>
      <c r="H349" s="8">
        <v>6619.2</v>
      </c>
      <c r="I349" s="8">
        <f t="shared" si="12"/>
        <v>-46909.649999999994</v>
      </c>
      <c r="J349" s="12">
        <v>600000000</v>
      </c>
    </row>
    <row r="350" spans="1:10" x14ac:dyDescent="0.3">
      <c r="C350" s="9"/>
      <c r="D350" s="10">
        <v>45741</v>
      </c>
      <c r="E350" t="s">
        <v>326</v>
      </c>
      <c r="F350" s="11" t="s">
        <v>329</v>
      </c>
      <c r="G350" s="8">
        <v>0</v>
      </c>
      <c r="H350" s="8">
        <v>610</v>
      </c>
      <c r="I350" s="8">
        <f t="shared" si="12"/>
        <v>-47519.649999999994</v>
      </c>
      <c r="J350" s="12">
        <v>600000000</v>
      </c>
    </row>
    <row r="351" spans="1:10" x14ac:dyDescent="0.3">
      <c r="C351" s="9"/>
      <c r="D351" s="10">
        <v>45744</v>
      </c>
      <c r="E351" t="s">
        <v>330</v>
      </c>
      <c r="F351" s="11" t="s">
        <v>331</v>
      </c>
      <c r="G351" s="8">
        <v>0</v>
      </c>
      <c r="H351" s="8">
        <v>3273.2</v>
      </c>
      <c r="I351" s="8">
        <f t="shared" si="12"/>
        <v>-50792.849999999991</v>
      </c>
      <c r="J351" s="12">
        <v>600000000</v>
      </c>
    </row>
    <row r="352" spans="1:10" x14ac:dyDescent="0.3">
      <c r="C352" s="9"/>
      <c r="D352" s="10">
        <v>45747</v>
      </c>
      <c r="E352" t="s">
        <v>330</v>
      </c>
      <c r="F352" s="11" t="s">
        <v>332</v>
      </c>
      <c r="G352" s="8">
        <v>0</v>
      </c>
      <c r="H352" s="8">
        <v>490</v>
      </c>
      <c r="I352" s="8">
        <f t="shared" si="12"/>
        <v>-51282.849999999991</v>
      </c>
      <c r="J352" s="12">
        <v>600000000</v>
      </c>
    </row>
    <row r="353" spans="3:10" x14ac:dyDescent="0.3">
      <c r="C353" s="9"/>
      <c r="D353" s="10">
        <v>45772</v>
      </c>
      <c r="E353" t="s">
        <v>326</v>
      </c>
      <c r="F353" s="11" t="s">
        <v>333</v>
      </c>
      <c r="G353" s="8">
        <v>0</v>
      </c>
      <c r="H353" s="8">
        <v>6641.09</v>
      </c>
      <c r="I353" s="8">
        <f t="shared" si="12"/>
        <v>-57923.939999999988</v>
      </c>
      <c r="J353" s="12">
        <v>600000000</v>
      </c>
    </row>
    <row r="354" spans="3:10" x14ac:dyDescent="0.3">
      <c r="C354" s="9"/>
      <c r="D354" s="10">
        <v>45789</v>
      </c>
      <c r="E354" t="s">
        <v>326</v>
      </c>
      <c r="F354" s="11" t="s">
        <v>334</v>
      </c>
      <c r="G354" s="8">
        <v>0</v>
      </c>
      <c r="H354" s="8">
        <v>3445.18</v>
      </c>
      <c r="I354" s="8">
        <f t="shared" si="12"/>
        <v>-61369.119999999988</v>
      </c>
      <c r="J354" s="12">
        <v>600000000</v>
      </c>
    </row>
    <row r="355" spans="3:10" x14ac:dyDescent="0.3">
      <c r="C355" s="9"/>
      <c r="D355" s="10">
        <v>45799</v>
      </c>
      <c r="E355" t="s">
        <v>326</v>
      </c>
      <c r="F355" s="11" t="s">
        <v>335</v>
      </c>
      <c r="G355" s="8">
        <v>0</v>
      </c>
      <c r="H355" s="8">
        <v>1177.93</v>
      </c>
      <c r="I355" s="8">
        <f t="shared" si="12"/>
        <v>-62547.049999999988</v>
      </c>
      <c r="J355" s="12">
        <v>600000000</v>
      </c>
    </row>
    <row r="356" spans="3:10" x14ac:dyDescent="0.3">
      <c r="C356" s="9"/>
      <c r="D356" s="10">
        <v>45814</v>
      </c>
      <c r="E356" t="s">
        <v>336</v>
      </c>
      <c r="F356" s="11" t="s">
        <v>337</v>
      </c>
      <c r="G356" s="8">
        <v>0</v>
      </c>
      <c r="H356" s="8">
        <v>208.12</v>
      </c>
      <c r="I356" s="8">
        <f t="shared" si="12"/>
        <v>-62755.169999999991</v>
      </c>
      <c r="J356" s="12">
        <v>600000000</v>
      </c>
    </row>
    <row r="357" spans="3:10" x14ac:dyDescent="0.3">
      <c r="C357" s="9"/>
      <c r="D357" s="10">
        <v>45814</v>
      </c>
      <c r="E357" t="s">
        <v>336</v>
      </c>
      <c r="F357" s="11" t="s">
        <v>338</v>
      </c>
      <c r="G357" s="8">
        <v>0</v>
      </c>
      <c r="H357" s="8">
        <v>276</v>
      </c>
      <c r="I357" s="8">
        <f t="shared" si="12"/>
        <v>-63031.169999999991</v>
      </c>
      <c r="J357" s="12">
        <v>600000000</v>
      </c>
    </row>
    <row r="358" spans="3:10" x14ac:dyDescent="0.3">
      <c r="C358" s="9"/>
      <c r="D358" s="10">
        <v>45828</v>
      </c>
      <c r="E358" t="s">
        <v>339</v>
      </c>
      <c r="F358" s="11" t="s">
        <v>340</v>
      </c>
      <c r="G358" s="8">
        <v>0</v>
      </c>
      <c r="H358" s="8">
        <v>175.92</v>
      </c>
      <c r="I358" s="8">
        <f t="shared" si="12"/>
        <v>-63207.089999999989</v>
      </c>
      <c r="J358" s="12">
        <v>600000000</v>
      </c>
    </row>
    <row r="359" spans="3:10" x14ac:dyDescent="0.3">
      <c r="C359" s="9"/>
      <c r="D359" s="10">
        <v>45831</v>
      </c>
      <c r="E359" t="s">
        <v>336</v>
      </c>
      <c r="F359" s="11" t="s">
        <v>341</v>
      </c>
      <c r="G359" s="8">
        <v>0</v>
      </c>
      <c r="H359" s="8">
        <v>5.19</v>
      </c>
      <c r="I359" s="8">
        <f t="shared" si="12"/>
        <v>-63212.279999999992</v>
      </c>
      <c r="J359" s="12">
        <v>600000000</v>
      </c>
    </row>
    <row r="360" spans="3:10" x14ac:dyDescent="0.3">
      <c r="C360" s="9"/>
      <c r="D360" s="10">
        <v>45831</v>
      </c>
      <c r="E360" t="s">
        <v>336</v>
      </c>
      <c r="F360" s="11" t="s">
        <v>342</v>
      </c>
      <c r="G360" s="8">
        <v>0</v>
      </c>
      <c r="H360" s="8">
        <v>163</v>
      </c>
      <c r="I360" s="8">
        <f t="shared" si="12"/>
        <v>-63375.279999999992</v>
      </c>
      <c r="J360" s="12">
        <v>600000000</v>
      </c>
    </row>
    <row r="361" spans="3:10" x14ac:dyDescent="0.3">
      <c r="C361" s="9"/>
      <c r="D361" s="10">
        <v>45831</v>
      </c>
      <c r="E361" t="s">
        <v>336</v>
      </c>
      <c r="F361" s="11" t="s">
        <v>343</v>
      </c>
      <c r="G361" s="8">
        <v>0</v>
      </c>
      <c r="H361" s="8">
        <v>1805.19</v>
      </c>
      <c r="I361" s="8">
        <f t="shared" si="12"/>
        <v>-65180.469999999994</v>
      </c>
      <c r="J361" s="12">
        <v>600000000</v>
      </c>
    </row>
    <row r="362" spans="3:10" x14ac:dyDescent="0.3">
      <c r="C362" s="9"/>
      <c r="D362" s="10">
        <v>45831</v>
      </c>
      <c r="E362" t="s">
        <v>336</v>
      </c>
      <c r="F362" s="11" t="s">
        <v>340</v>
      </c>
      <c r="G362" s="8">
        <v>0</v>
      </c>
      <c r="H362" s="8">
        <v>43731</v>
      </c>
      <c r="I362" s="8">
        <f t="shared" si="12"/>
        <v>-108911.47</v>
      </c>
      <c r="J362" s="12">
        <v>600000000</v>
      </c>
    </row>
    <row r="363" spans="3:10" x14ac:dyDescent="0.3">
      <c r="C363" s="9"/>
      <c r="D363" s="10">
        <v>45831</v>
      </c>
      <c r="E363" t="s">
        <v>336</v>
      </c>
      <c r="F363" s="11" t="s">
        <v>344</v>
      </c>
      <c r="G363" s="8">
        <v>0</v>
      </c>
      <c r="H363" s="8">
        <v>-10.38</v>
      </c>
      <c r="I363" s="8">
        <f t="shared" si="12"/>
        <v>-108901.09</v>
      </c>
      <c r="J363" s="12">
        <v>600000000</v>
      </c>
    </row>
    <row r="364" spans="3:10" x14ac:dyDescent="0.3">
      <c r="C364" s="9"/>
      <c r="D364" s="10">
        <v>45835</v>
      </c>
      <c r="E364" t="s">
        <v>336</v>
      </c>
      <c r="F364" s="11" t="s">
        <v>340</v>
      </c>
      <c r="G364" s="8">
        <v>0</v>
      </c>
      <c r="H364" s="8">
        <v>2408.04</v>
      </c>
      <c r="I364" s="8">
        <f t="shared" si="12"/>
        <v>-111309.12999999999</v>
      </c>
      <c r="J364" s="12">
        <v>600000000</v>
      </c>
    </row>
    <row r="365" spans="3:10" x14ac:dyDescent="0.3">
      <c r="C365" s="9"/>
      <c r="D365" s="10">
        <v>45852</v>
      </c>
      <c r="E365" t="s">
        <v>345</v>
      </c>
      <c r="F365" s="11" t="s">
        <v>346</v>
      </c>
      <c r="G365" s="8">
        <v>0</v>
      </c>
      <c r="H365" s="8">
        <v>1384.32</v>
      </c>
      <c r="I365" s="8">
        <f t="shared" si="12"/>
        <v>-112693.45</v>
      </c>
      <c r="J365" s="12">
        <v>600000000</v>
      </c>
    </row>
    <row r="366" spans="3:10" x14ac:dyDescent="0.3">
      <c r="C366" s="9"/>
      <c r="D366" s="10">
        <v>45861</v>
      </c>
      <c r="E366" t="s">
        <v>345</v>
      </c>
      <c r="F366" s="11" t="s">
        <v>347</v>
      </c>
      <c r="G366" s="8">
        <v>0</v>
      </c>
      <c r="H366" s="8">
        <v>372</v>
      </c>
      <c r="I366" s="8">
        <f t="shared" si="12"/>
        <v>-113065.45</v>
      </c>
      <c r="J366" s="12">
        <v>600000000</v>
      </c>
    </row>
    <row r="367" spans="3:10" x14ac:dyDescent="0.3">
      <c r="C367" s="9"/>
      <c r="D367" s="10">
        <v>45861</v>
      </c>
      <c r="E367" t="s">
        <v>345</v>
      </c>
      <c r="F367" s="11" t="s">
        <v>348</v>
      </c>
      <c r="G367" s="8">
        <v>0</v>
      </c>
      <c r="H367" s="8">
        <v>38348</v>
      </c>
      <c r="I367" s="8">
        <f t="shared" si="12"/>
        <v>-151413.45000000001</v>
      </c>
      <c r="J367" s="12">
        <v>600000000</v>
      </c>
    </row>
    <row r="368" spans="3:10" x14ac:dyDescent="0.3">
      <c r="C368" s="9"/>
      <c r="D368" s="10">
        <v>45863</v>
      </c>
      <c r="E368" t="s">
        <v>345</v>
      </c>
      <c r="F368" s="11" t="s">
        <v>349</v>
      </c>
      <c r="G368" s="8">
        <v>0</v>
      </c>
      <c r="H368" s="8">
        <v>104.8</v>
      </c>
      <c r="I368" s="8">
        <f t="shared" si="12"/>
        <v>-151518.25</v>
      </c>
      <c r="J368" s="12">
        <v>600000000</v>
      </c>
    </row>
    <row r="369" spans="1:10" x14ac:dyDescent="0.3">
      <c r="C369" s="9"/>
      <c r="D369" s="10">
        <v>45866</v>
      </c>
      <c r="E369" t="s">
        <v>345</v>
      </c>
      <c r="F369" s="11" t="s">
        <v>350</v>
      </c>
      <c r="G369" s="8">
        <v>0</v>
      </c>
      <c r="H369" s="8">
        <v>13305.18</v>
      </c>
      <c r="I369" s="8">
        <f t="shared" si="12"/>
        <v>-164823.43</v>
      </c>
      <c r="J369" s="12">
        <v>600000000</v>
      </c>
    </row>
    <row r="370" spans="1:10" x14ac:dyDescent="0.3">
      <c r="C370" s="9"/>
      <c r="D370" s="10">
        <v>45877</v>
      </c>
      <c r="E370" t="s">
        <v>345</v>
      </c>
      <c r="F370" s="11" t="s">
        <v>351</v>
      </c>
      <c r="G370" s="8">
        <v>0</v>
      </c>
      <c r="H370" s="8">
        <v>78716</v>
      </c>
      <c r="I370" s="8">
        <f t="shared" si="12"/>
        <v>-243539.43</v>
      </c>
      <c r="J370" s="12">
        <v>600000000</v>
      </c>
    </row>
    <row r="371" spans="1:10" x14ac:dyDescent="0.3">
      <c r="C371" s="9"/>
      <c r="D371" s="10">
        <v>45908</v>
      </c>
      <c r="E371" t="s">
        <v>352</v>
      </c>
      <c r="F371" s="11" t="s">
        <v>353</v>
      </c>
      <c r="G371" s="8">
        <v>0</v>
      </c>
      <c r="H371" s="8">
        <v>4275.88</v>
      </c>
      <c r="I371" s="8">
        <f t="shared" si="12"/>
        <v>-247815.31</v>
      </c>
      <c r="J371" s="12">
        <v>600000000</v>
      </c>
    </row>
    <row r="372" spans="1:10" x14ac:dyDescent="0.3">
      <c r="C372" s="9"/>
      <c r="D372" s="10">
        <v>45908</v>
      </c>
      <c r="E372" t="s">
        <v>345</v>
      </c>
      <c r="F372" s="11" t="s">
        <v>354</v>
      </c>
      <c r="G372" s="8">
        <v>0</v>
      </c>
      <c r="H372" s="8">
        <v>33186</v>
      </c>
      <c r="I372" s="8">
        <f t="shared" si="12"/>
        <v>-281001.31</v>
      </c>
      <c r="J372" s="12">
        <v>600000000</v>
      </c>
    </row>
    <row r="373" spans="1:10" x14ac:dyDescent="0.3">
      <c r="E373" s="4" t="s">
        <v>116</v>
      </c>
      <c r="G373" s="8">
        <f>SUM(G346:G372)</f>
        <v>0</v>
      </c>
      <c r="H373" s="8">
        <f>SUM(H346:H372)</f>
        <v>281001.31</v>
      </c>
      <c r="I373" s="8">
        <f>G373-H373</f>
        <v>-281001.31</v>
      </c>
    </row>
    <row r="375" spans="1:10" x14ac:dyDescent="0.3">
      <c r="A375" s="5">
        <v>400000127</v>
      </c>
      <c r="B375" s="6" t="s">
        <v>355</v>
      </c>
      <c r="C375" s="7"/>
      <c r="D375" s="7"/>
      <c r="E375" s="7"/>
      <c r="F375" s="7"/>
      <c r="G375" s="7"/>
      <c r="H375" s="7"/>
      <c r="I375" s="7"/>
      <c r="J375" s="7"/>
    </row>
    <row r="376" spans="1:10" x14ac:dyDescent="0.3">
      <c r="C376" s="9" t="s">
        <v>12</v>
      </c>
      <c r="D376" s="10">
        <v>45734</v>
      </c>
      <c r="E376" t="s">
        <v>356</v>
      </c>
      <c r="F376" s="11" t="s">
        <v>357</v>
      </c>
      <c r="G376" s="8">
        <v>0</v>
      </c>
      <c r="H376" s="8">
        <v>1294.58</v>
      </c>
      <c r="I376" s="8">
        <f>G376-H376</f>
        <v>-1294.58</v>
      </c>
      <c r="J376" s="12"/>
    </row>
    <row r="377" spans="1:10" x14ac:dyDescent="0.3">
      <c r="C377" s="9" t="s">
        <v>12</v>
      </c>
      <c r="D377" s="10">
        <v>45735</v>
      </c>
      <c r="E377" t="s">
        <v>34</v>
      </c>
      <c r="F377" s="11" t="s">
        <v>14</v>
      </c>
      <c r="G377" s="8">
        <v>1294.58</v>
      </c>
      <c r="H377" s="8">
        <v>0</v>
      </c>
      <c r="I377" s="8">
        <f t="shared" ref="I377:I402" si="13">G377-H377+I376</f>
        <v>0</v>
      </c>
      <c r="J377" s="12">
        <v>572000007</v>
      </c>
    </row>
    <row r="378" spans="1:10" x14ac:dyDescent="0.3">
      <c r="C378" s="9" t="s">
        <v>12</v>
      </c>
      <c r="D378" s="10">
        <v>45748</v>
      </c>
      <c r="E378" t="s">
        <v>358</v>
      </c>
      <c r="F378" s="11" t="s">
        <v>359</v>
      </c>
      <c r="G378" s="8">
        <v>0</v>
      </c>
      <c r="H378" s="8">
        <v>321.26</v>
      </c>
      <c r="I378" s="8">
        <f t="shared" si="13"/>
        <v>-321.26</v>
      </c>
      <c r="J378" s="12"/>
    </row>
    <row r="379" spans="1:10" x14ac:dyDescent="0.3">
      <c r="C379" s="9" t="s">
        <v>12</v>
      </c>
      <c r="D379" s="10">
        <v>45748</v>
      </c>
      <c r="E379" t="s">
        <v>360</v>
      </c>
      <c r="F379" s="11" t="s">
        <v>361</v>
      </c>
      <c r="G379" s="8">
        <v>0</v>
      </c>
      <c r="H379" s="8">
        <v>363.36</v>
      </c>
      <c r="I379" s="8">
        <f t="shared" si="13"/>
        <v>-684.62</v>
      </c>
      <c r="J379" s="12"/>
    </row>
    <row r="380" spans="1:10" x14ac:dyDescent="0.3">
      <c r="C380" s="9" t="s">
        <v>12</v>
      </c>
      <c r="D380" s="10">
        <v>45748</v>
      </c>
      <c r="E380" t="s">
        <v>362</v>
      </c>
      <c r="F380" s="11" t="s">
        <v>363</v>
      </c>
      <c r="G380" s="8">
        <v>0</v>
      </c>
      <c r="H380" s="8">
        <v>345.58</v>
      </c>
      <c r="I380" s="8">
        <f t="shared" si="13"/>
        <v>-1030.2</v>
      </c>
      <c r="J380" s="12"/>
    </row>
    <row r="381" spans="1:10" x14ac:dyDescent="0.3">
      <c r="C381" s="9" t="s">
        <v>12</v>
      </c>
      <c r="D381" s="10">
        <v>45748</v>
      </c>
      <c r="E381" t="s">
        <v>364</v>
      </c>
      <c r="F381" s="11" t="s">
        <v>365</v>
      </c>
      <c r="G381" s="8">
        <v>0</v>
      </c>
      <c r="H381" s="8">
        <v>1176.1199999999999</v>
      </c>
      <c r="I381" s="8">
        <f t="shared" si="13"/>
        <v>-2206.3199999999997</v>
      </c>
      <c r="J381" s="12"/>
    </row>
    <row r="382" spans="1:10" x14ac:dyDescent="0.3">
      <c r="C382" s="9" t="s">
        <v>12</v>
      </c>
      <c r="D382" s="10">
        <v>45748</v>
      </c>
      <c r="E382" t="s">
        <v>366</v>
      </c>
      <c r="F382" s="11" t="s">
        <v>367</v>
      </c>
      <c r="G382" s="8">
        <v>0</v>
      </c>
      <c r="H382" s="8">
        <v>906.05</v>
      </c>
      <c r="I382" s="8">
        <f t="shared" si="13"/>
        <v>-3112.37</v>
      </c>
      <c r="J382" s="12"/>
    </row>
    <row r="383" spans="1:10" x14ac:dyDescent="0.3">
      <c r="C383" s="9" t="s">
        <v>12</v>
      </c>
      <c r="D383" s="10">
        <v>45748</v>
      </c>
      <c r="E383" t="s">
        <v>368</v>
      </c>
      <c r="F383" s="11" t="s">
        <v>369</v>
      </c>
      <c r="G383" s="8">
        <v>0</v>
      </c>
      <c r="H383" s="8">
        <v>568.75</v>
      </c>
      <c r="I383" s="8">
        <f t="shared" si="13"/>
        <v>-3681.12</v>
      </c>
      <c r="J383" s="12"/>
    </row>
    <row r="384" spans="1:10" x14ac:dyDescent="0.3">
      <c r="C384" s="9" t="s">
        <v>12</v>
      </c>
      <c r="D384" s="10">
        <v>45748</v>
      </c>
      <c r="E384" t="s">
        <v>370</v>
      </c>
      <c r="F384" s="11" t="s">
        <v>371</v>
      </c>
      <c r="G384" s="8">
        <v>0</v>
      </c>
      <c r="H384" s="8">
        <v>584.79</v>
      </c>
      <c r="I384" s="8">
        <f t="shared" si="13"/>
        <v>-4265.91</v>
      </c>
      <c r="J384" s="12"/>
    </row>
    <row r="385" spans="3:10" x14ac:dyDescent="0.3">
      <c r="C385" s="9" t="s">
        <v>12</v>
      </c>
      <c r="D385" s="10">
        <v>45748</v>
      </c>
      <c r="E385" t="s">
        <v>372</v>
      </c>
      <c r="F385" s="11" t="s">
        <v>373</v>
      </c>
      <c r="G385" s="8">
        <v>0</v>
      </c>
      <c r="H385" s="8">
        <v>546.91999999999996</v>
      </c>
      <c r="I385" s="8">
        <f t="shared" si="13"/>
        <v>-4812.83</v>
      </c>
      <c r="J385" s="12"/>
    </row>
    <row r="386" spans="3:10" x14ac:dyDescent="0.3">
      <c r="C386" s="9" t="s">
        <v>12</v>
      </c>
      <c r="D386" s="10">
        <v>45762</v>
      </c>
      <c r="E386" t="s">
        <v>374</v>
      </c>
      <c r="F386" s="11" t="s">
        <v>375</v>
      </c>
      <c r="G386" s="8">
        <v>0</v>
      </c>
      <c r="H386" s="8">
        <v>714.3</v>
      </c>
      <c r="I386" s="8">
        <f t="shared" si="13"/>
        <v>-5527.13</v>
      </c>
      <c r="J386" s="12"/>
    </row>
    <row r="387" spans="3:10" x14ac:dyDescent="0.3">
      <c r="C387" s="9" t="s">
        <v>12</v>
      </c>
      <c r="D387" s="10">
        <v>45762</v>
      </c>
      <c r="E387" t="s">
        <v>376</v>
      </c>
      <c r="F387" s="11" t="s">
        <v>377</v>
      </c>
      <c r="G387" s="8">
        <v>0</v>
      </c>
      <c r="H387" s="8">
        <v>520.29999999999995</v>
      </c>
      <c r="I387" s="8">
        <f t="shared" si="13"/>
        <v>-6047.43</v>
      </c>
      <c r="J387" s="12"/>
    </row>
    <row r="388" spans="3:10" x14ac:dyDescent="0.3">
      <c r="C388" s="9" t="s">
        <v>12</v>
      </c>
      <c r="D388" s="10">
        <v>45762</v>
      </c>
      <c r="E388" t="s">
        <v>378</v>
      </c>
      <c r="F388" s="11" t="s">
        <v>379</v>
      </c>
      <c r="G388" s="8">
        <v>0</v>
      </c>
      <c r="H388" s="8">
        <v>513.04</v>
      </c>
      <c r="I388" s="8">
        <f t="shared" si="13"/>
        <v>-6560.47</v>
      </c>
      <c r="J388" s="12"/>
    </row>
    <row r="389" spans="3:10" x14ac:dyDescent="0.3">
      <c r="C389" s="9" t="s">
        <v>12</v>
      </c>
      <c r="D389" s="10">
        <v>45763</v>
      </c>
      <c r="E389" t="s">
        <v>380</v>
      </c>
      <c r="F389" s="11" t="s">
        <v>14</v>
      </c>
      <c r="G389" s="8">
        <v>2021.72</v>
      </c>
      <c r="H389" s="8">
        <v>0</v>
      </c>
      <c r="I389" s="8">
        <f t="shared" si="13"/>
        <v>-4538.75</v>
      </c>
      <c r="J389" s="12">
        <v>572000002</v>
      </c>
    </row>
    <row r="390" spans="3:10" x14ac:dyDescent="0.3">
      <c r="C390" s="9" t="s">
        <v>12</v>
      </c>
      <c r="D390" s="10">
        <v>45833</v>
      </c>
      <c r="E390" t="s">
        <v>381</v>
      </c>
      <c r="F390" s="11" t="s">
        <v>382</v>
      </c>
      <c r="G390" s="8">
        <v>0</v>
      </c>
      <c r="H390" s="8">
        <v>-1176.1199999999999</v>
      </c>
      <c r="I390" s="8">
        <f t="shared" si="13"/>
        <v>-3362.63</v>
      </c>
      <c r="J390" s="12"/>
    </row>
    <row r="391" spans="3:10" x14ac:dyDescent="0.3">
      <c r="C391" s="9" t="s">
        <v>12</v>
      </c>
      <c r="D391" s="10">
        <v>45833</v>
      </c>
      <c r="E391" t="s">
        <v>383</v>
      </c>
      <c r="F391" s="11" t="s">
        <v>384</v>
      </c>
      <c r="G391" s="8">
        <v>0</v>
      </c>
      <c r="H391" s="8">
        <v>-906.05</v>
      </c>
      <c r="I391" s="8">
        <f t="shared" si="13"/>
        <v>-2456.58</v>
      </c>
      <c r="J391" s="12"/>
    </row>
    <row r="392" spans="3:10" x14ac:dyDescent="0.3">
      <c r="C392" s="9" t="s">
        <v>12</v>
      </c>
      <c r="D392" s="10">
        <v>45833</v>
      </c>
      <c r="E392" t="s">
        <v>385</v>
      </c>
      <c r="F392" s="11" t="s">
        <v>386</v>
      </c>
      <c r="G392" s="8">
        <v>0</v>
      </c>
      <c r="H392" s="8">
        <v>-714.3</v>
      </c>
      <c r="I392" s="8">
        <f t="shared" si="13"/>
        <v>-1742.28</v>
      </c>
      <c r="J392" s="12"/>
    </row>
    <row r="393" spans="3:10" x14ac:dyDescent="0.3">
      <c r="C393" s="9" t="s">
        <v>12</v>
      </c>
      <c r="D393" s="10">
        <v>45833</v>
      </c>
      <c r="E393" t="s">
        <v>387</v>
      </c>
      <c r="F393" s="11" t="s">
        <v>388</v>
      </c>
      <c r="G393" s="8">
        <v>0</v>
      </c>
      <c r="H393" s="8">
        <v>-513.04</v>
      </c>
      <c r="I393" s="8">
        <f t="shared" si="13"/>
        <v>-1229.24</v>
      </c>
      <c r="J393" s="12"/>
    </row>
    <row r="394" spans="3:10" x14ac:dyDescent="0.3">
      <c r="C394" s="9" t="s">
        <v>12</v>
      </c>
      <c r="D394" s="10">
        <v>45833</v>
      </c>
      <c r="E394" t="s">
        <v>389</v>
      </c>
      <c r="F394" s="11" t="s">
        <v>390</v>
      </c>
      <c r="G394" s="8">
        <v>0</v>
      </c>
      <c r="H394" s="8">
        <v>-520.29999999999995</v>
      </c>
      <c r="I394" s="8">
        <f t="shared" si="13"/>
        <v>-708.94</v>
      </c>
      <c r="J394" s="12"/>
    </row>
    <row r="395" spans="3:10" x14ac:dyDescent="0.3">
      <c r="C395" s="9"/>
      <c r="D395" s="10">
        <v>45833</v>
      </c>
      <c r="E395" t="s">
        <v>391</v>
      </c>
      <c r="F395" s="11" t="s">
        <v>392</v>
      </c>
      <c r="G395" s="8">
        <v>0</v>
      </c>
      <c r="H395" s="8">
        <v>-568.75</v>
      </c>
      <c r="I395" s="8">
        <f t="shared" si="13"/>
        <v>-140.19000000000005</v>
      </c>
      <c r="J395" s="12"/>
    </row>
    <row r="396" spans="3:10" x14ac:dyDescent="0.3">
      <c r="C396" s="9"/>
      <c r="D396" s="10">
        <v>45833</v>
      </c>
      <c r="E396" t="s">
        <v>393</v>
      </c>
      <c r="F396" s="11" t="s">
        <v>394</v>
      </c>
      <c r="G396" s="8">
        <v>0</v>
      </c>
      <c r="H396" s="8">
        <v>-321.25</v>
      </c>
      <c r="I396" s="8">
        <f t="shared" si="13"/>
        <v>181.05999999999995</v>
      </c>
      <c r="J396" s="12"/>
    </row>
    <row r="397" spans="3:10" x14ac:dyDescent="0.3">
      <c r="C397" s="9"/>
      <c r="D397" s="10">
        <v>45833</v>
      </c>
      <c r="E397" t="s">
        <v>395</v>
      </c>
      <c r="F397" s="11" t="s">
        <v>396</v>
      </c>
      <c r="G397" s="8">
        <v>0</v>
      </c>
      <c r="H397" s="8">
        <v>-584.79</v>
      </c>
      <c r="I397" s="8">
        <f t="shared" si="13"/>
        <v>765.84999999999991</v>
      </c>
      <c r="J397" s="12"/>
    </row>
    <row r="398" spans="3:10" x14ac:dyDescent="0.3">
      <c r="C398" s="9"/>
      <c r="D398" s="10">
        <v>45833</v>
      </c>
      <c r="E398" t="s">
        <v>397</v>
      </c>
      <c r="F398" s="11" t="s">
        <v>398</v>
      </c>
      <c r="G398" s="8">
        <v>0</v>
      </c>
      <c r="H398" s="8">
        <v>-546.91999999999996</v>
      </c>
      <c r="I398" s="8">
        <f t="shared" si="13"/>
        <v>1312.77</v>
      </c>
      <c r="J398" s="12"/>
    </row>
    <row r="399" spans="3:10" x14ac:dyDescent="0.3">
      <c r="C399" s="9" t="s">
        <v>12</v>
      </c>
      <c r="D399" s="10">
        <v>45833</v>
      </c>
      <c r="E399" t="s">
        <v>399</v>
      </c>
      <c r="F399" s="11" t="s">
        <v>400</v>
      </c>
      <c r="G399" s="8">
        <v>0</v>
      </c>
      <c r="H399" s="8">
        <v>-363.36</v>
      </c>
      <c r="I399" s="8">
        <f t="shared" si="13"/>
        <v>1676.13</v>
      </c>
      <c r="J399" s="12"/>
    </row>
    <row r="400" spans="3:10" x14ac:dyDescent="0.3">
      <c r="C400" s="9" t="s">
        <v>12</v>
      </c>
      <c r="D400" s="10">
        <v>45833</v>
      </c>
      <c r="E400" t="s">
        <v>401</v>
      </c>
      <c r="F400" s="11" t="s">
        <v>402</v>
      </c>
      <c r="G400" s="8">
        <v>0</v>
      </c>
      <c r="H400" s="8">
        <v>-345.58</v>
      </c>
      <c r="I400" s="8">
        <f t="shared" si="13"/>
        <v>2021.71</v>
      </c>
      <c r="J400" s="12"/>
    </row>
    <row r="401" spans="1:10" x14ac:dyDescent="0.3">
      <c r="C401" s="9"/>
      <c r="D401" s="10">
        <v>45876</v>
      </c>
      <c r="E401" t="s">
        <v>403</v>
      </c>
      <c r="F401" s="11" t="s">
        <v>404</v>
      </c>
      <c r="G401" s="8">
        <v>0</v>
      </c>
      <c r="H401" s="8">
        <v>3505.41</v>
      </c>
      <c r="I401" s="8">
        <f t="shared" si="13"/>
        <v>-1483.6999999999998</v>
      </c>
      <c r="J401" s="12"/>
    </row>
    <row r="402" spans="1:10" x14ac:dyDescent="0.3">
      <c r="C402" s="9"/>
      <c r="D402" s="10">
        <v>45877</v>
      </c>
      <c r="E402" t="s">
        <v>34</v>
      </c>
      <c r="F402" s="11" t="s">
        <v>14</v>
      </c>
      <c r="G402" s="8">
        <v>3505.41</v>
      </c>
      <c r="H402" s="8">
        <v>0</v>
      </c>
      <c r="I402" s="8">
        <f t="shared" si="13"/>
        <v>2021.71</v>
      </c>
      <c r="J402" s="12">
        <v>572000007</v>
      </c>
    </row>
    <row r="403" spans="1:10" x14ac:dyDescent="0.3">
      <c r="E403" s="4" t="s">
        <v>116</v>
      </c>
      <c r="G403" s="8">
        <f>SUM(G376:G402)</f>
        <v>6821.71</v>
      </c>
      <c r="H403" s="8">
        <f>SUM(H376:H402)</f>
        <v>4800</v>
      </c>
      <c r="I403" s="8">
        <f>G403-H403</f>
        <v>2021.71</v>
      </c>
    </row>
    <row r="405" spans="1:10" x14ac:dyDescent="0.3">
      <c r="A405" s="5">
        <v>400000130</v>
      </c>
      <c r="B405" s="6" t="s">
        <v>405</v>
      </c>
      <c r="C405" s="7"/>
      <c r="D405" s="7"/>
      <c r="E405" s="7"/>
      <c r="F405" s="7"/>
      <c r="G405" s="7"/>
      <c r="H405" s="7"/>
      <c r="I405" s="7"/>
      <c r="J405" s="7"/>
    </row>
    <row r="406" spans="1:10" x14ac:dyDescent="0.3">
      <c r="C406" s="9" t="s">
        <v>12</v>
      </c>
      <c r="D406" s="10">
        <v>45757</v>
      </c>
      <c r="E406" t="s">
        <v>406</v>
      </c>
      <c r="F406" s="11" t="s">
        <v>407</v>
      </c>
      <c r="G406" s="8">
        <v>0</v>
      </c>
      <c r="H406" s="8">
        <v>25.34</v>
      </c>
      <c r="I406" s="8">
        <f>G406-H406</f>
        <v>-25.34</v>
      </c>
      <c r="J406" s="12"/>
    </row>
    <row r="407" spans="1:10" x14ac:dyDescent="0.3">
      <c r="C407" s="9" t="s">
        <v>12</v>
      </c>
      <c r="D407" s="10">
        <v>45782</v>
      </c>
      <c r="E407" t="s">
        <v>125</v>
      </c>
      <c r="F407" s="11" t="s">
        <v>14</v>
      </c>
      <c r="G407" s="8">
        <v>25.34</v>
      </c>
      <c r="H407" s="8">
        <v>0</v>
      </c>
      <c r="I407" s="8">
        <f>G407-H407+I406</f>
        <v>0</v>
      </c>
      <c r="J407" s="12"/>
    </row>
    <row r="408" spans="1:10" x14ac:dyDescent="0.3">
      <c r="C408" s="9"/>
      <c r="D408" s="10">
        <v>45846</v>
      </c>
      <c r="E408" t="s">
        <v>408</v>
      </c>
      <c r="F408" s="11" t="s">
        <v>409</v>
      </c>
      <c r="G408" s="8">
        <v>0</v>
      </c>
      <c r="H408" s="8">
        <v>11.07</v>
      </c>
      <c r="I408" s="8">
        <f>G408-H408+I407</f>
        <v>-11.07</v>
      </c>
      <c r="J408" s="12"/>
    </row>
    <row r="409" spans="1:10" x14ac:dyDescent="0.3">
      <c r="E409" s="4" t="s">
        <v>116</v>
      </c>
      <c r="G409" s="8">
        <f>SUM(G406:G408)</f>
        <v>25.34</v>
      </c>
      <c r="H409" s="8">
        <f>SUM(H406:H408)</f>
        <v>36.409999999999997</v>
      </c>
      <c r="I409" s="8">
        <f>G409-H409</f>
        <v>-11.069999999999997</v>
      </c>
    </row>
    <row r="411" spans="1:10" x14ac:dyDescent="0.3">
      <c r="A411" s="5">
        <v>400000135</v>
      </c>
      <c r="B411" s="6" t="s">
        <v>410</v>
      </c>
      <c r="C411" s="7"/>
      <c r="D411" s="7"/>
      <c r="E411" s="7"/>
      <c r="F411" s="7"/>
      <c r="G411" s="7"/>
      <c r="H411" s="7"/>
      <c r="I411" s="7"/>
      <c r="J411" s="7"/>
    </row>
    <row r="412" spans="1:10" x14ac:dyDescent="0.3">
      <c r="C412" s="9" t="s">
        <v>12</v>
      </c>
      <c r="D412" s="10">
        <v>45806</v>
      </c>
      <c r="E412" t="s">
        <v>411</v>
      </c>
      <c r="F412" s="11" t="s">
        <v>412</v>
      </c>
      <c r="G412" s="8">
        <v>0</v>
      </c>
      <c r="H412" s="8">
        <v>11.07</v>
      </c>
      <c r="I412" s="8">
        <f>G412-H412</f>
        <v>-11.07</v>
      </c>
      <c r="J412" s="12"/>
    </row>
    <row r="413" spans="1:10" x14ac:dyDescent="0.3">
      <c r="C413" s="9" t="s">
        <v>12</v>
      </c>
      <c r="D413" s="10">
        <v>45811</v>
      </c>
      <c r="E413" t="s">
        <v>413</v>
      </c>
      <c r="F413" s="11" t="s">
        <v>414</v>
      </c>
      <c r="G413" s="8">
        <v>0</v>
      </c>
      <c r="H413" s="8">
        <v>14.19</v>
      </c>
      <c r="I413" s="8">
        <f t="shared" ref="I413:I418" si="14">G413-H413+I412</f>
        <v>-25.259999999999998</v>
      </c>
      <c r="J413" s="12"/>
    </row>
    <row r="414" spans="1:10" x14ac:dyDescent="0.3">
      <c r="C414" s="9" t="s">
        <v>12</v>
      </c>
      <c r="D414" s="10">
        <v>45813</v>
      </c>
      <c r="E414" t="s">
        <v>415</v>
      </c>
      <c r="F414" s="11" t="s">
        <v>14</v>
      </c>
      <c r="G414" s="8">
        <v>11.07</v>
      </c>
      <c r="H414" s="8">
        <v>0</v>
      </c>
      <c r="I414" s="8">
        <f t="shared" si="14"/>
        <v>-14.189999999999998</v>
      </c>
      <c r="J414" s="12"/>
    </row>
    <row r="415" spans="1:10" x14ac:dyDescent="0.3">
      <c r="C415" s="9" t="s">
        <v>12</v>
      </c>
      <c r="D415" s="10">
        <v>45819</v>
      </c>
      <c r="E415" t="s">
        <v>416</v>
      </c>
      <c r="F415" s="11" t="s">
        <v>417</v>
      </c>
      <c r="G415" s="8">
        <v>0</v>
      </c>
      <c r="H415" s="8">
        <v>130.27000000000001</v>
      </c>
      <c r="I415" s="8">
        <f t="shared" si="14"/>
        <v>-144.46</v>
      </c>
      <c r="J415" s="12"/>
    </row>
    <row r="416" spans="1:10" x14ac:dyDescent="0.3">
      <c r="C416" s="9" t="s">
        <v>12</v>
      </c>
      <c r="D416" s="10">
        <v>45843</v>
      </c>
      <c r="E416" t="s">
        <v>418</v>
      </c>
      <c r="F416" s="11" t="s">
        <v>14</v>
      </c>
      <c r="G416" s="8">
        <v>14.19</v>
      </c>
      <c r="H416" s="8">
        <v>0</v>
      </c>
      <c r="I416" s="8">
        <f t="shared" si="14"/>
        <v>-130.27000000000001</v>
      </c>
      <c r="J416" s="12"/>
    </row>
    <row r="417" spans="1:10" x14ac:dyDescent="0.3">
      <c r="C417" s="9" t="s">
        <v>12</v>
      </c>
      <c r="D417" s="10">
        <v>45843</v>
      </c>
      <c r="E417" t="s">
        <v>418</v>
      </c>
      <c r="F417" s="11" t="s">
        <v>14</v>
      </c>
      <c r="G417" s="8">
        <v>130.27000000000001</v>
      </c>
      <c r="H417" s="8">
        <v>0</v>
      </c>
      <c r="I417" s="8">
        <f t="shared" si="14"/>
        <v>0</v>
      </c>
      <c r="J417" s="12"/>
    </row>
    <row r="418" spans="1:10" x14ac:dyDescent="0.3">
      <c r="C418" s="9"/>
      <c r="D418" s="10">
        <v>45854</v>
      </c>
      <c r="E418" t="s">
        <v>419</v>
      </c>
      <c r="F418" s="11" t="s">
        <v>420</v>
      </c>
      <c r="G418" s="8">
        <v>0</v>
      </c>
      <c r="H418" s="8">
        <v>19.059999999999999</v>
      </c>
      <c r="I418" s="8">
        <f t="shared" si="14"/>
        <v>-19.059999999999999</v>
      </c>
      <c r="J418" s="12"/>
    </row>
    <row r="419" spans="1:10" x14ac:dyDescent="0.3">
      <c r="E419" s="4" t="s">
        <v>116</v>
      </c>
      <c r="G419" s="8">
        <f>SUM(G412:G418)</f>
        <v>155.53</v>
      </c>
      <c r="H419" s="8">
        <f>SUM(H412:H418)</f>
        <v>174.59</v>
      </c>
      <c r="I419" s="8">
        <f>G419-H419</f>
        <v>-19.060000000000002</v>
      </c>
    </row>
    <row r="421" spans="1:10" x14ac:dyDescent="0.3">
      <c r="A421" s="5">
        <v>400000137</v>
      </c>
      <c r="B421" s="6" t="s">
        <v>421</v>
      </c>
      <c r="C421" s="7"/>
      <c r="D421" s="7"/>
      <c r="E421" s="7"/>
      <c r="F421" s="7"/>
      <c r="G421" s="7"/>
      <c r="H421" s="7"/>
      <c r="I421" s="7"/>
      <c r="J421" s="7"/>
    </row>
    <row r="422" spans="1:10" x14ac:dyDescent="0.3">
      <c r="C422" s="9" t="s">
        <v>12</v>
      </c>
      <c r="D422" s="10">
        <v>45811</v>
      </c>
      <c r="E422" t="s">
        <v>422</v>
      </c>
      <c r="F422" s="11" t="s">
        <v>423</v>
      </c>
      <c r="G422" s="8">
        <v>0</v>
      </c>
      <c r="H422" s="8">
        <v>71</v>
      </c>
      <c r="I422" s="8">
        <f>G422-H422</f>
        <v>-71</v>
      </c>
      <c r="J422" s="12"/>
    </row>
    <row r="423" spans="1:10" x14ac:dyDescent="0.3">
      <c r="C423" s="9" t="s">
        <v>12</v>
      </c>
      <c r="D423" s="10">
        <v>45813</v>
      </c>
      <c r="E423" t="s">
        <v>424</v>
      </c>
      <c r="F423" s="11" t="s">
        <v>425</v>
      </c>
      <c r="G423" s="8">
        <v>0</v>
      </c>
      <c r="H423" s="8">
        <v>17.73</v>
      </c>
      <c r="I423" s="8">
        <f t="shared" ref="I423:I428" si="15">G423-H423+I422</f>
        <v>-88.73</v>
      </c>
      <c r="J423" s="12"/>
    </row>
    <row r="424" spans="1:10" x14ac:dyDescent="0.3">
      <c r="C424" s="9" t="s">
        <v>12</v>
      </c>
      <c r="D424" s="10">
        <v>45838</v>
      </c>
      <c r="E424" t="s">
        <v>426</v>
      </c>
      <c r="F424" s="11" t="s">
        <v>14</v>
      </c>
      <c r="G424" s="8">
        <v>71</v>
      </c>
      <c r="H424" s="8">
        <v>0</v>
      </c>
      <c r="I424" s="8">
        <f t="shared" si="15"/>
        <v>-17.730000000000004</v>
      </c>
      <c r="J424" s="12"/>
    </row>
    <row r="425" spans="1:10" x14ac:dyDescent="0.3">
      <c r="C425" s="9" t="s">
        <v>12</v>
      </c>
      <c r="D425" s="10">
        <v>45838</v>
      </c>
      <c r="E425" t="s">
        <v>426</v>
      </c>
      <c r="F425" s="11" t="s">
        <v>14</v>
      </c>
      <c r="G425" s="8">
        <v>17.73</v>
      </c>
      <c r="H425" s="8">
        <v>0</v>
      </c>
      <c r="I425" s="8">
        <f t="shared" si="15"/>
        <v>0</v>
      </c>
      <c r="J425" s="12"/>
    </row>
    <row r="426" spans="1:10" x14ac:dyDescent="0.3">
      <c r="C426" s="9"/>
      <c r="D426" s="10">
        <v>45843</v>
      </c>
      <c r="E426" t="s">
        <v>427</v>
      </c>
      <c r="F426" s="11" t="s">
        <v>428</v>
      </c>
      <c r="G426" s="8">
        <v>0</v>
      </c>
      <c r="H426" s="8">
        <v>84</v>
      </c>
      <c r="I426" s="8">
        <f t="shared" si="15"/>
        <v>-84</v>
      </c>
      <c r="J426" s="12"/>
    </row>
    <row r="427" spans="1:10" x14ac:dyDescent="0.3">
      <c r="C427" s="9"/>
      <c r="D427" s="10">
        <v>45874</v>
      </c>
      <c r="E427" t="s">
        <v>429</v>
      </c>
      <c r="F427" s="11" t="s">
        <v>430</v>
      </c>
      <c r="G427" s="8">
        <v>0</v>
      </c>
      <c r="H427" s="8">
        <v>97.42</v>
      </c>
      <c r="I427" s="8">
        <f t="shared" si="15"/>
        <v>-181.42000000000002</v>
      </c>
      <c r="J427" s="12"/>
    </row>
    <row r="428" spans="1:10" x14ac:dyDescent="0.3">
      <c r="C428" s="9"/>
      <c r="D428" s="10">
        <v>45905</v>
      </c>
      <c r="E428" t="s">
        <v>431</v>
      </c>
      <c r="F428" s="11" t="s">
        <v>432</v>
      </c>
      <c r="G428" s="8">
        <v>0</v>
      </c>
      <c r="H428" s="8">
        <v>97</v>
      </c>
      <c r="I428" s="8">
        <f t="shared" si="15"/>
        <v>-278.42</v>
      </c>
      <c r="J428" s="12"/>
    </row>
    <row r="429" spans="1:10" x14ac:dyDescent="0.3">
      <c r="E429" s="4" t="s">
        <v>116</v>
      </c>
      <c r="G429" s="8">
        <f>SUM(G422:G428)</f>
        <v>88.73</v>
      </c>
      <c r="H429" s="8">
        <f>SUM(H422:H428)</f>
        <v>367.15000000000003</v>
      </c>
      <c r="I429" s="8">
        <f>G429-H429</f>
        <v>-278.42</v>
      </c>
    </row>
    <row r="431" spans="1:10" x14ac:dyDescent="0.3">
      <c r="A431" s="5">
        <v>400000141</v>
      </c>
      <c r="B431" s="6" t="s">
        <v>433</v>
      </c>
      <c r="C431" s="7"/>
      <c r="D431" s="7"/>
      <c r="E431" s="7"/>
      <c r="F431" s="7"/>
      <c r="G431" s="7"/>
      <c r="H431" s="7"/>
      <c r="I431" s="7"/>
      <c r="J431" s="7"/>
    </row>
    <row r="432" spans="1:10" x14ac:dyDescent="0.3">
      <c r="C432" s="9" t="s">
        <v>12</v>
      </c>
      <c r="D432" s="10">
        <v>45834</v>
      </c>
      <c r="E432" t="s">
        <v>34</v>
      </c>
      <c r="F432" s="11" t="s">
        <v>14</v>
      </c>
      <c r="G432" s="8">
        <v>1316.42</v>
      </c>
      <c r="H432" s="8">
        <v>0</v>
      </c>
      <c r="I432" s="8">
        <f>G432-H432</f>
        <v>1316.42</v>
      </c>
      <c r="J432" s="12">
        <v>572000007</v>
      </c>
    </row>
    <row r="433" spans="1:10" x14ac:dyDescent="0.3">
      <c r="C433" s="9" t="s">
        <v>12</v>
      </c>
      <c r="D433" s="10">
        <v>45838</v>
      </c>
      <c r="E433" t="s">
        <v>434</v>
      </c>
      <c r="F433" s="11" t="s">
        <v>435</v>
      </c>
      <c r="G433" s="8">
        <v>0</v>
      </c>
      <c r="H433" s="8">
        <v>1316.42</v>
      </c>
      <c r="I433" s="8">
        <f t="shared" ref="I433:I442" si="16">G433-H433+I432</f>
        <v>0</v>
      </c>
      <c r="J433" s="12"/>
    </row>
    <row r="434" spans="1:10" x14ac:dyDescent="0.3">
      <c r="C434" s="9"/>
      <c r="D434" s="10">
        <v>45840</v>
      </c>
      <c r="E434" t="s">
        <v>436</v>
      </c>
      <c r="F434" s="11" t="s">
        <v>437</v>
      </c>
      <c r="G434" s="8">
        <v>0</v>
      </c>
      <c r="H434" s="8">
        <v>801.63</v>
      </c>
      <c r="I434" s="8">
        <f t="shared" si="16"/>
        <v>-801.63</v>
      </c>
      <c r="J434" s="12"/>
    </row>
    <row r="435" spans="1:10" x14ac:dyDescent="0.3">
      <c r="C435" s="9"/>
      <c r="D435" s="10">
        <v>45855</v>
      </c>
      <c r="E435" t="s">
        <v>438</v>
      </c>
      <c r="F435" s="11" t="s">
        <v>439</v>
      </c>
      <c r="G435" s="8">
        <v>0</v>
      </c>
      <c r="H435" s="8">
        <v>984.07</v>
      </c>
      <c r="I435" s="8">
        <f t="shared" si="16"/>
        <v>-1785.7</v>
      </c>
      <c r="J435" s="12"/>
    </row>
    <row r="436" spans="1:10" x14ac:dyDescent="0.3">
      <c r="C436" s="9"/>
      <c r="D436" s="10">
        <v>45866</v>
      </c>
      <c r="E436" t="s">
        <v>440</v>
      </c>
      <c r="F436" s="11" t="s">
        <v>441</v>
      </c>
      <c r="G436" s="8">
        <v>0</v>
      </c>
      <c r="H436" s="8">
        <v>628.6</v>
      </c>
      <c r="I436" s="8">
        <f t="shared" si="16"/>
        <v>-2414.3000000000002</v>
      </c>
      <c r="J436" s="12"/>
    </row>
    <row r="437" spans="1:10" x14ac:dyDescent="0.3">
      <c r="C437" s="9"/>
      <c r="D437" s="10">
        <v>45867</v>
      </c>
      <c r="E437" t="s">
        <v>442</v>
      </c>
      <c r="F437" s="11" t="s">
        <v>443</v>
      </c>
      <c r="G437" s="8">
        <v>0</v>
      </c>
      <c r="H437" s="8">
        <v>1261.3599999999999</v>
      </c>
      <c r="I437" s="8">
        <f t="shared" si="16"/>
        <v>-3675.66</v>
      </c>
      <c r="J437" s="12"/>
    </row>
    <row r="438" spans="1:10" x14ac:dyDescent="0.3">
      <c r="C438" s="9"/>
      <c r="D438" s="10">
        <v>45867</v>
      </c>
      <c r="E438" t="s">
        <v>444</v>
      </c>
      <c r="F438" s="11" t="s">
        <v>321</v>
      </c>
      <c r="G438" s="8">
        <v>0</v>
      </c>
      <c r="H438" s="8">
        <v>801.63</v>
      </c>
      <c r="I438" s="8">
        <f t="shared" si="16"/>
        <v>-4477.29</v>
      </c>
      <c r="J438" s="12"/>
    </row>
    <row r="439" spans="1:10" x14ac:dyDescent="0.3">
      <c r="C439" s="9"/>
      <c r="D439" s="10">
        <v>45874</v>
      </c>
      <c r="E439" t="s">
        <v>445</v>
      </c>
      <c r="F439" s="11" t="s">
        <v>446</v>
      </c>
      <c r="G439" s="8">
        <v>0</v>
      </c>
      <c r="H439" s="8">
        <v>1261.3599999999999</v>
      </c>
      <c r="I439" s="8">
        <f t="shared" si="16"/>
        <v>-5738.65</v>
      </c>
      <c r="J439" s="12"/>
    </row>
    <row r="440" spans="1:10" x14ac:dyDescent="0.3">
      <c r="C440" s="9"/>
      <c r="D440" s="10">
        <v>45898</v>
      </c>
      <c r="E440" t="s">
        <v>447</v>
      </c>
      <c r="F440" s="11" t="s">
        <v>448</v>
      </c>
      <c r="G440" s="8">
        <v>0</v>
      </c>
      <c r="H440" s="8">
        <v>811.04</v>
      </c>
      <c r="I440" s="8">
        <f t="shared" si="16"/>
        <v>-6549.69</v>
      </c>
      <c r="J440" s="12"/>
    </row>
    <row r="441" spans="1:10" x14ac:dyDescent="0.3">
      <c r="C441" s="9"/>
      <c r="D441" s="10">
        <v>45908</v>
      </c>
      <c r="E441" t="s">
        <v>34</v>
      </c>
      <c r="F441" s="11" t="s">
        <v>14</v>
      </c>
      <c r="G441" s="8">
        <v>801.63</v>
      </c>
      <c r="H441" s="8">
        <v>0</v>
      </c>
      <c r="I441" s="8">
        <f t="shared" si="16"/>
        <v>-5748.0599999999995</v>
      </c>
      <c r="J441" s="12">
        <v>572000005</v>
      </c>
    </row>
    <row r="442" spans="1:10" x14ac:dyDescent="0.3">
      <c r="C442" s="9"/>
      <c r="D442" s="10">
        <v>45913</v>
      </c>
      <c r="E442" t="s">
        <v>449</v>
      </c>
      <c r="F442" s="11" t="s">
        <v>450</v>
      </c>
      <c r="G442" s="8">
        <v>0</v>
      </c>
      <c r="H442" s="8">
        <v>179.81</v>
      </c>
      <c r="I442" s="8">
        <f t="shared" si="16"/>
        <v>-5927.87</v>
      </c>
      <c r="J442" s="12"/>
    </row>
    <row r="443" spans="1:10" x14ac:dyDescent="0.3">
      <c r="E443" s="4" t="s">
        <v>116</v>
      </c>
      <c r="G443" s="8">
        <f>SUM(G432:G442)</f>
        <v>2118.0500000000002</v>
      </c>
      <c r="H443" s="8">
        <f>SUM(H432:H442)</f>
        <v>8045.92</v>
      </c>
      <c r="I443" s="8">
        <f>G443-H443</f>
        <v>-5927.87</v>
      </c>
    </row>
    <row r="445" spans="1:10" x14ac:dyDescent="0.3">
      <c r="A445" s="5">
        <v>400000143</v>
      </c>
      <c r="B445" s="6" t="s">
        <v>451</v>
      </c>
      <c r="C445" s="7"/>
      <c r="D445" s="7"/>
      <c r="E445" s="7"/>
      <c r="F445" s="7"/>
      <c r="G445" s="7"/>
      <c r="H445" s="7"/>
      <c r="I445" s="7"/>
      <c r="J445" s="7"/>
    </row>
    <row r="446" spans="1:10" x14ac:dyDescent="0.3">
      <c r="C446" s="9"/>
      <c r="D446" s="10">
        <v>45840</v>
      </c>
      <c r="E446" t="s">
        <v>452</v>
      </c>
      <c r="F446" s="11" t="s">
        <v>453</v>
      </c>
      <c r="G446" s="8">
        <v>0</v>
      </c>
      <c r="H446" s="8">
        <v>88.91</v>
      </c>
      <c r="I446" s="8">
        <f>G446-H446</f>
        <v>-88.91</v>
      </c>
      <c r="J446" s="12"/>
    </row>
    <row r="447" spans="1:10" x14ac:dyDescent="0.3">
      <c r="E447" s="4" t="s">
        <v>116</v>
      </c>
      <c r="G447" s="8">
        <f>G446</f>
        <v>0</v>
      </c>
      <c r="H447" s="8">
        <f>H446</f>
        <v>88.91</v>
      </c>
      <c r="I447" s="8">
        <f>G447-H447</f>
        <v>-88.91</v>
      </c>
    </row>
    <row r="449" spans="1:10" x14ac:dyDescent="0.3">
      <c r="A449" s="5">
        <v>400000146</v>
      </c>
      <c r="B449" s="6" t="s">
        <v>454</v>
      </c>
      <c r="C449" s="7"/>
      <c r="D449" s="7"/>
      <c r="E449" s="7"/>
      <c r="F449" s="7"/>
      <c r="G449" s="7"/>
      <c r="H449" s="7"/>
      <c r="I449" s="7"/>
      <c r="J449" s="7"/>
    </row>
    <row r="450" spans="1:10" x14ac:dyDescent="0.3">
      <c r="C450" s="9"/>
      <c r="D450" s="10">
        <v>45876</v>
      </c>
      <c r="E450" t="s">
        <v>455</v>
      </c>
      <c r="F450" s="11" t="s">
        <v>456</v>
      </c>
      <c r="G450" s="8">
        <v>0</v>
      </c>
      <c r="H450" s="8">
        <v>80.34</v>
      </c>
      <c r="I450" s="8">
        <f>G450-H450</f>
        <v>-80.34</v>
      </c>
      <c r="J450" s="12"/>
    </row>
    <row r="451" spans="1:10" x14ac:dyDescent="0.3">
      <c r="E451" s="4" t="s">
        <v>116</v>
      </c>
      <c r="G451" s="8">
        <f>G450</f>
        <v>0</v>
      </c>
      <c r="H451" s="8">
        <f>H450</f>
        <v>80.34</v>
      </c>
      <c r="I451" s="8">
        <f>G451-H451</f>
        <v>-80.34</v>
      </c>
    </row>
    <row r="453" spans="1:10" x14ac:dyDescent="0.3">
      <c r="A453" s="5">
        <v>400000147</v>
      </c>
      <c r="B453" s="6" t="s">
        <v>457</v>
      </c>
      <c r="C453" s="7"/>
      <c r="D453" s="7"/>
      <c r="E453" s="7"/>
      <c r="F453" s="7"/>
      <c r="G453" s="7"/>
      <c r="H453" s="7"/>
      <c r="I453" s="7"/>
      <c r="J453" s="7"/>
    </row>
    <row r="454" spans="1:10" x14ac:dyDescent="0.3">
      <c r="C454" s="9"/>
      <c r="D454" s="10">
        <v>45909</v>
      </c>
      <c r="E454" t="s">
        <v>458</v>
      </c>
      <c r="F454" s="11" t="s">
        <v>459</v>
      </c>
      <c r="G454" s="8">
        <v>0</v>
      </c>
      <c r="H454" s="8">
        <v>31.86</v>
      </c>
      <c r="I454" s="8">
        <f>G454-H454</f>
        <v>-31.86</v>
      </c>
      <c r="J454" s="12"/>
    </row>
    <row r="455" spans="1:10" x14ac:dyDescent="0.3">
      <c r="E455" s="4" t="s">
        <v>116</v>
      </c>
      <c r="G455" s="8">
        <f>G454</f>
        <v>0</v>
      </c>
      <c r="H455" s="8">
        <f>H454</f>
        <v>31.86</v>
      </c>
      <c r="I455" s="8">
        <f>G455-H455</f>
        <v>-31.86</v>
      </c>
    </row>
    <row r="457" spans="1:10" x14ac:dyDescent="0.3">
      <c r="A457" s="5">
        <v>400000563</v>
      </c>
      <c r="B457" s="6" t="s">
        <v>460</v>
      </c>
      <c r="C457" s="7"/>
      <c r="D457" s="7"/>
      <c r="E457" s="7"/>
      <c r="F457" s="7"/>
      <c r="G457" s="7"/>
      <c r="H457" s="7"/>
      <c r="I457" s="7"/>
      <c r="J457" s="7"/>
    </row>
    <row r="458" spans="1:10" x14ac:dyDescent="0.3">
      <c r="E458" s="4" t="s">
        <v>11</v>
      </c>
      <c r="G458" s="8">
        <v>15.69</v>
      </c>
      <c r="H458" s="8">
        <v>0</v>
      </c>
      <c r="I458" s="8">
        <f>G458-H458</f>
        <v>15.69</v>
      </c>
    </row>
    <row r="459" spans="1:10" x14ac:dyDescent="0.3">
      <c r="C459" s="9" t="s">
        <v>12</v>
      </c>
      <c r="D459" s="10">
        <v>45676</v>
      </c>
      <c r="E459" t="s">
        <v>461</v>
      </c>
      <c r="F459" s="11" t="s">
        <v>462</v>
      </c>
      <c r="G459" s="8">
        <v>0</v>
      </c>
      <c r="H459" s="8">
        <v>6.44</v>
      </c>
      <c r="I459" s="8">
        <f t="shared" ref="I459:I487" si="17">G459-H459+I458</f>
        <v>9.25</v>
      </c>
      <c r="J459" s="12"/>
    </row>
    <row r="460" spans="1:10" x14ac:dyDescent="0.3">
      <c r="C460" s="9" t="s">
        <v>12</v>
      </c>
      <c r="D460" s="10">
        <v>45677</v>
      </c>
      <c r="E460" t="s">
        <v>463</v>
      </c>
      <c r="F460" s="11" t="s">
        <v>464</v>
      </c>
      <c r="G460" s="8">
        <v>0</v>
      </c>
      <c r="H460" s="8">
        <v>50.24</v>
      </c>
      <c r="I460" s="8">
        <f t="shared" si="17"/>
        <v>-40.99</v>
      </c>
      <c r="J460" s="12"/>
    </row>
    <row r="461" spans="1:10" x14ac:dyDescent="0.3">
      <c r="C461" s="9" t="s">
        <v>12</v>
      </c>
      <c r="D461" s="10">
        <v>45688</v>
      </c>
      <c r="E461" t="s">
        <v>465</v>
      </c>
      <c r="F461" s="11" t="s">
        <v>466</v>
      </c>
      <c r="G461" s="8">
        <v>50.24</v>
      </c>
      <c r="H461" s="8">
        <v>0</v>
      </c>
      <c r="I461" s="8">
        <f t="shared" si="17"/>
        <v>9.25</v>
      </c>
      <c r="J461" s="12"/>
    </row>
    <row r="462" spans="1:10" x14ac:dyDescent="0.3">
      <c r="C462" s="9" t="s">
        <v>12</v>
      </c>
      <c r="D462" s="10">
        <v>45688</v>
      </c>
      <c r="E462" t="s">
        <v>465</v>
      </c>
      <c r="F462" s="11" t="s">
        <v>466</v>
      </c>
      <c r="G462" s="8">
        <v>6.44</v>
      </c>
      <c r="H462" s="8">
        <v>0</v>
      </c>
      <c r="I462" s="8">
        <f t="shared" si="17"/>
        <v>15.690000000000001</v>
      </c>
      <c r="J462" s="12"/>
    </row>
    <row r="463" spans="1:10" x14ac:dyDescent="0.3">
      <c r="C463" s="9" t="s">
        <v>12</v>
      </c>
      <c r="D463" s="10">
        <v>45742</v>
      </c>
      <c r="E463" t="s">
        <v>467</v>
      </c>
      <c r="F463" s="11" t="s">
        <v>468</v>
      </c>
      <c r="G463" s="8">
        <v>0</v>
      </c>
      <c r="H463" s="8">
        <v>24.56</v>
      </c>
      <c r="I463" s="8">
        <f t="shared" si="17"/>
        <v>-8.8699999999999974</v>
      </c>
      <c r="J463" s="12"/>
    </row>
    <row r="464" spans="1:10" x14ac:dyDescent="0.3">
      <c r="C464" s="9" t="s">
        <v>12</v>
      </c>
      <c r="D464" s="10">
        <v>45747</v>
      </c>
      <c r="E464" t="s">
        <v>465</v>
      </c>
      <c r="F464" s="11" t="s">
        <v>466</v>
      </c>
      <c r="G464" s="8">
        <v>24.56</v>
      </c>
      <c r="H464" s="8">
        <v>0</v>
      </c>
      <c r="I464" s="8">
        <f t="shared" si="17"/>
        <v>15.690000000000001</v>
      </c>
      <c r="J464" s="12"/>
    </row>
    <row r="465" spans="3:10" x14ac:dyDescent="0.3">
      <c r="C465" s="9" t="s">
        <v>12</v>
      </c>
      <c r="D465" s="10">
        <v>45748</v>
      </c>
      <c r="E465" t="s">
        <v>469</v>
      </c>
      <c r="F465" s="11" t="s">
        <v>470</v>
      </c>
      <c r="G465" s="8">
        <v>0</v>
      </c>
      <c r="H465" s="8">
        <v>15.69</v>
      </c>
      <c r="I465" s="8">
        <f t="shared" si="17"/>
        <v>0</v>
      </c>
      <c r="J465" s="12">
        <v>629900000</v>
      </c>
    </row>
    <row r="466" spans="3:10" x14ac:dyDescent="0.3">
      <c r="C466" s="9" t="s">
        <v>12</v>
      </c>
      <c r="D466" s="10">
        <v>45761</v>
      </c>
      <c r="E466" t="s">
        <v>471</v>
      </c>
      <c r="F466" s="11" t="s">
        <v>472</v>
      </c>
      <c r="G466" s="8">
        <v>0</v>
      </c>
      <c r="H466" s="8">
        <v>59.29</v>
      </c>
      <c r="I466" s="8">
        <f t="shared" si="17"/>
        <v>-59.29</v>
      </c>
      <c r="J466" s="12"/>
    </row>
    <row r="467" spans="3:10" x14ac:dyDescent="0.3">
      <c r="C467" s="9" t="s">
        <v>12</v>
      </c>
      <c r="D467" s="10">
        <v>45782</v>
      </c>
      <c r="E467" t="s">
        <v>473</v>
      </c>
      <c r="F467" s="11" t="s">
        <v>14</v>
      </c>
      <c r="G467" s="8">
        <v>59.29</v>
      </c>
      <c r="H467" s="8">
        <v>0</v>
      </c>
      <c r="I467" s="8">
        <f t="shared" si="17"/>
        <v>0</v>
      </c>
      <c r="J467" s="12"/>
    </row>
    <row r="468" spans="3:10" x14ac:dyDescent="0.3">
      <c r="C468" s="9" t="s">
        <v>12</v>
      </c>
      <c r="D468" s="10">
        <v>45791</v>
      </c>
      <c r="E468" t="s">
        <v>474</v>
      </c>
      <c r="F468" s="11" t="s">
        <v>475</v>
      </c>
      <c r="G468" s="8">
        <v>0</v>
      </c>
      <c r="H468" s="8">
        <v>36.270000000000003</v>
      </c>
      <c r="I468" s="8">
        <f t="shared" si="17"/>
        <v>-36.270000000000003</v>
      </c>
      <c r="J468" s="12"/>
    </row>
    <row r="469" spans="3:10" x14ac:dyDescent="0.3">
      <c r="C469" s="9" t="s">
        <v>12</v>
      </c>
      <c r="D469" s="10">
        <v>45806</v>
      </c>
      <c r="E469" t="s">
        <v>476</v>
      </c>
      <c r="F469" s="11" t="s">
        <v>477</v>
      </c>
      <c r="G469" s="8">
        <v>0</v>
      </c>
      <c r="H469" s="8">
        <v>12.39</v>
      </c>
      <c r="I469" s="8">
        <f t="shared" si="17"/>
        <v>-48.660000000000004</v>
      </c>
      <c r="J469" s="12"/>
    </row>
    <row r="470" spans="3:10" x14ac:dyDescent="0.3">
      <c r="C470" s="9" t="s">
        <v>12</v>
      </c>
      <c r="D470" s="10">
        <v>45806</v>
      </c>
      <c r="E470" t="s">
        <v>478</v>
      </c>
      <c r="F470" s="11" t="s">
        <v>479</v>
      </c>
      <c r="G470" s="8">
        <v>0</v>
      </c>
      <c r="H470" s="8">
        <v>11.36</v>
      </c>
      <c r="I470" s="8">
        <f t="shared" si="17"/>
        <v>-60.02</v>
      </c>
      <c r="J470" s="12"/>
    </row>
    <row r="471" spans="3:10" x14ac:dyDescent="0.3">
      <c r="C471" s="9"/>
      <c r="D471" s="10">
        <v>45808</v>
      </c>
      <c r="E471" t="s">
        <v>465</v>
      </c>
      <c r="F471" s="11" t="s">
        <v>14</v>
      </c>
      <c r="G471" s="8">
        <v>8.39</v>
      </c>
      <c r="H471" s="8">
        <v>0</v>
      </c>
      <c r="I471" s="8">
        <f t="shared" si="17"/>
        <v>-51.63</v>
      </c>
      <c r="J471" s="12"/>
    </row>
    <row r="472" spans="3:10" x14ac:dyDescent="0.3">
      <c r="C472" s="9" t="s">
        <v>12</v>
      </c>
      <c r="D472" s="10">
        <v>45808</v>
      </c>
      <c r="E472" t="s">
        <v>465</v>
      </c>
      <c r="F472" s="11" t="s">
        <v>14</v>
      </c>
      <c r="G472" s="8">
        <v>36.270000000000003</v>
      </c>
      <c r="H472" s="8">
        <v>0</v>
      </c>
      <c r="I472" s="8">
        <f t="shared" si="17"/>
        <v>-15.36</v>
      </c>
      <c r="J472" s="12"/>
    </row>
    <row r="473" spans="3:10" x14ac:dyDescent="0.3">
      <c r="C473" s="9" t="s">
        <v>12</v>
      </c>
      <c r="D473" s="10">
        <v>45811</v>
      </c>
      <c r="E473" t="s">
        <v>480</v>
      </c>
      <c r="F473" s="11" t="s">
        <v>481</v>
      </c>
      <c r="G473" s="8">
        <v>0</v>
      </c>
      <c r="H473" s="8">
        <v>48.4</v>
      </c>
      <c r="I473" s="8">
        <f t="shared" si="17"/>
        <v>-63.76</v>
      </c>
      <c r="J473" s="12"/>
    </row>
    <row r="474" spans="3:10" x14ac:dyDescent="0.3">
      <c r="C474" s="9" t="s">
        <v>12</v>
      </c>
      <c r="D474" s="10">
        <v>45811</v>
      </c>
      <c r="E474" t="s">
        <v>482</v>
      </c>
      <c r="F474" s="11" t="s">
        <v>483</v>
      </c>
      <c r="G474" s="8">
        <v>0</v>
      </c>
      <c r="H474" s="8">
        <v>69</v>
      </c>
      <c r="I474" s="8">
        <f t="shared" si="17"/>
        <v>-132.76</v>
      </c>
      <c r="J474" s="12"/>
    </row>
    <row r="475" spans="3:10" x14ac:dyDescent="0.3">
      <c r="C475" s="9" t="s">
        <v>12</v>
      </c>
      <c r="D475" s="10">
        <v>45819</v>
      </c>
      <c r="E475" t="s">
        <v>484</v>
      </c>
      <c r="F475" s="11" t="s">
        <v>485</v>
      </c>
      <c r="G475" s="8">
        <v>0</v>
      </c>
      <c r="H475" s="8">
        <v>10.82</v>
      </c>
      <c r="I475" s="8">
        <f t="shared" si="17"/>
        <v>-143.57999999999998</v>
      </c>
      <c r="J475" s="12"/>
    </row>
    <row r="476" spans="3:10" x14ac:dyDescent="0.3">
      <c r="C476" s="9" t="s">
        <v>12</v>
      </c>
      <c r="D476" s="10">
        <v>45825</v>
      </c>
      <c r="E476" t="s">
        <v>486</v>
      </c>
      <c r="F476" s="11" t="s">
        <v>487</v>
      </c>
      <c r="G476" s="8">
        <v>0</v>
      </c>
      <c r="H476" s="8">
        <v>4.62</v>
      </c>
      <c r="I476" s="8">
        <f t="shared" si="17"/>
        <v>-148.19999999999999</v>
      </c>
      <c r="J476" s="12"/>
    </row>
    <row r="477" spans="3:10" x14ac:dyDescent="0.3">
      <c r="C477" s="9" t="s">
        <v>12</v>
      </c>
      <c r="D477" s="10">
        <v>45838</v>
      </c>
      <c r="E477" t="s">
        <v>135</v>
      </c>
      <c r="F477" s="11" t="s">
        <v>14</v>
      </c>
      <c r="G477" s="8">
        <v>12.39</v>
      </c>
      <c r="H477" s="8">
        <v>0</v>
      </c>
      <c r="I477" s="8">
        <f t="shared" si="17"/>
        <v>-135.81</v>
      </c>
      <c r="J477" s="12"/>
    </row>
    <row r="478" spans="3:10" x14ac:dyDescent="0.3">
      <c r="C478" s="9" t="s">
        <v>12</v>
      </c>
      <c r="D478" s="10">
        <v>45838</v>
      </c>
      <c r="E478" t="s">
        <v>135</v>
      </c>
      <c r="F478" s="11" t="s">
        <v>14</v>
      </c>
      <c r="G478" s="8">
        <v>11.36</v>
      </c>
      <c r="H478" s="8">
        <v>0</v>
      </c>
      <c r="I478" s="8">
        <f t="shared" si="17"/>
        <v>-124.45</v>
      </c>
      <c r="J478" s="12"/>
    </row>
    <row r="479" spans="3:10" x14ac:dyDescent="0.3">
      <c r="C479" s="9" t="s">
        <v>12</v>
      </c>
      <c r="D479" s="10">
        <v>45838</v>
      </c>
      <c r="E479" t="s">
        <v>135</v>
      </c>
      <c r="F479" s="11" t="s">
        <v>14</v>
      </c>
      <c r="G479" s="8">
        <v>69</v>
      </c>
      <c r="H479" s="8">
        <v>0</v>
      </c>
      <c r="I479" s="8">
        <f t="shared" si="17"/>
        <v>-55.45</v>
      </c>
      <c r="J479" s="12"/>
    </row>
    <row r="480" spans="3:10" x14ac:dyDescent="0.3">
      <c r="C480" s="9" t="s">
        <v>12</v>
      </c>
      <c r="D480" s="10">
        <v>45838</v>
      </c>
      <c r="E480" t="s">
        <v>135</v>
      </c>
      <c r="F480" s="11" t="s">
        <v>14</v>
      </c>
      <c r="G480" s="8">
        <v>48.4</v>
      </c>
      <c r="H480" s="8">
        <v>0</v>
      </c>
      <c r="I480" s="8">
        <f t="shared" si="17"/>
        <v>-7.0500000000000043</v>
      </c>
      <c r="J480" s="12"/>
    </row>
    <row r="481" spans="1:10" x14ac:dyDescent="0.3">
      <c r="C481" s="9"/>
      <c r="D481" s="10">
        <v>45838</v>
      </c>
      <c r="E481" t="s">
        <v>135</v>
      </c>
      <c r="F481" s="11" t="s">
        <v>14</v>
      </c>
      <c r="G481" s="8">
        <v>38.549999999999997</v>
      </c>
      <c r="H481" s="8">
        <v>0</v>
      </c>
      <c r="I481" s="8">
        <f t="shared" si="17"/>
        <v>31.499999999999993</v>
      </c>
      <c r="J481" s="12"/>
    </row>
    <row r="482" spans="1:10" x14ac:dyDescent="0.3">
      <c r="C482" s="9"/>
      <c r="D482" s="10">
        <v>45838</v>
      </c>
      <c r="E482" t="s">
        <v>135</v>
      </c>
      <c r="F482" s="11" t="s">
        <v>14</v>
      </c>
      <c r="G482" s="8">
        <v>26.88</v>
      </c>
      <c r="H482" s="8">
        <v>0</v>
      </c>
      <c r="I482" s="8">
        <f t="shared" si="17"/>
        <v>58.379999999999995</v>
      </c>
      <c r="J482" s="12"/>
    </row>
    <row r="483" spans="1:10" x14ac:dyDescent="0.3">
      <c r="C483" s="9" t="s">
        <v>12</v>
      </c>
      <c r="D483" s="10">
        <v>45838</v>
      </c>
      <c r="E483" t="s">
        <v>135</v>
      </c>
      <c r="F483" s="11" t="s">
        <v>14</v>
      </c>
      <c r="G483" s="8">
        <v>4.62</v>
      </c>
      <c r="H483" s="8">
        <v>0</v>
      </c>
      <c r="I483" s="8">
        <f t="shared" si="17"/>
        <v>62.999999999999993</v>
      </c>
      <c r="J483" s="12"/>
    </row>
    <row r="484" spans="1:10" x14ac:dyDescent="0.3">
      <c r="C484" s="9" t="s">
        <v>12</v>
      </c>
      <c r="D484" s="10">
        <v>45838</v>
      </c>
      <c r="E484" t="s">
        <v>488</v>
      </c>
      <c r="F484" s="11" t="s">
        <v>489</v>
      </c>
      <c r="G484" s="8">
        <v>10.82</v>
      </c>
      <c r="H484" s="8">
        <v>0</v>
      </c>
      <c r="I484" s="8">
        <f t="shared" si="17"/>
        <v>73.819999999999993</v>
      </c>
      <c r="J484" s="12"/>
    </row>
    <row r="485" spans="1:10" x14ac:dyDescent="0.3">
      <c r="C485" s="9"/>
      <c r="D485" s="10">
        <v>45851</v>
      </c>
      <c r="E485" t="s">
        <v>490</v>
      </c>
      <c r="F485" s="11" t="s">
        <v>491</v>
      </c>
      <c r="G485" s="8">
        <v>0</v>
      </c>
      <c r="H485" s="8">
        <v>50.69</v>
      </c>
      <c r="I485" s="8">
        <f t="shared" si="17"/>
        <v>23.129999999999995</v>
      </c>
      <c r="J485" s="12"/>
    </row>
    <row r="486" spans="1:10" x14ac:dyDescent="0.3">
      <c r="C486" s="9"/>
      <c r="D486" s="10">
        <v>45851</v>
      </c>
      <c r="E486" t="s">
        <v>492</v>
      </c>
      <c r="F486" s="11" t="s">
        <v>493</v>
      </c>
      <c r="G486" s="8">
        <v>0</v>
      </c>
      <c r="H486" s="8">
        <v>50.69</v>
      </c>
      <c r="I486" s="8">
        <f t="shared" si="17"/>
        <v>-27.560000000000002</v>
      </c>
      <c r="J486" s="12"/>
    </row>
    <row r="487" spans="1:10" x14ac:dyDescent="0.3">
      <c r="C487" s="9"/>
      <c r="D487" s="10">
        <v>45853</v>
      </c>
      <c r="E487" t="s">
        <v>494</v>
      </c>
      <c r="F487" s="11" t="s">
        <v>495</v>
      </c>
      <c r="G487" s="8">
        <v>0</v>
      </c>
      <c r="H487" s="8">
        <v>29.03</v>
      </c>
      <c r="I487" s="8">
        <f t="shared" si="17"/>
        <v>-56.59</v>
      </c>
      <c r="J487" s="12"/>
    </row>
    <row r="488" spans="1:10" x14ac:dyDescent="0.3">
      <c r="E488" s="4" t="s">
        <v>116</v>
      </c>
      <c r="G488" s="8">
        <f>SUM(G458:G487)</f>
        <v>422.90000000000003</v>
      </c>
      <c r="H488" s="8">
        <f>SUM(H458:H487)</f>
        <v>479.49</v>
      </c>
      <c r="I488" s="8">
        <f>G488-H488</f>
        <v>-56.589999999999975</v>
      </c>
    </row>
    <row r="490" spans="1:10" x14ac:dyDescent="0.3">
      <c r="A490" s="5">
        <v>400000570</v>
      </c>
      <c r="B490" s="6" t="s">
        <v>496</v>
      </c>
      <c r="C490" s="7"/>
      <c r="D490" s="7"/>
      <c r="E490" s="7"/>
      <c r="F490" s="7"/>
      <c r="G490" s="7"/>
      <c r="H490" s="7"/>
      <c r="I490" s="7"/>
      <c r="J490" s="7"/>
    </row>
    <row r="491" spans="1:10" x14ac:dyDescent="0.3">
      <c r="C491" s="9"/>
      <c r="D491" s="10">
        <v>45746</v>
      </c>
      <c r="E491" t="s">
        <v>497</v>
      </c>
      <c r="F491" s="11" t="s">
        <v>498</v>
      </c>
      <c r="G491" s="8">
        <v>0</v>
      </c>
      <c r="H491" s="8">
        <v>484</v>
      </c>
      <c r="I491" s="8">
        <f>G491-H491</f>
        <v>-484</v>
      </c>
      <c r="J491" s="12"/>
    </row>
    <row r="492" spans="1:10" x14ac:dyDescent="0.3">
      <c r="C492" s="9"/>
      <c r="D492" s="10">
        <v>45838</v>
      </c>
      <c r="E492" t="s">
        <v>499</v>
      </c>
      <c r="F492" s="11" t="s">
        <v>500</v>
      </c>
      <c r="G492" s="8">
        <v>0</v>
      </c>
      <c r="H492" s="8">
        <v>544.5</v>
      </c>
      <c r="I492" s="8">
        <f>G492-H492+I491</f>
        <v>-1028.5</v>
      </c>
      <c r="J492" s="12"/>
    </row>
    <row r="493" spans="1:10" x14ac:dyDescent="0.3">
      <c r="C493" s="9"/>
      <c r="D493" s="10">
        <v>45868</v>
      </c>
      <c r="E493" t="s">
        <v>501</v>
      </c>
      <c r="F493" s="11" t="s">
        <v>502</v>
      </c>
      <c r="G493" s="8">
        <v>0</v>
      </c>
      <c r="H493" s="8">
        <v>423.5</v>
      </c>
      <c r="I493" s="8">
        <f>G493-H493+I492</f>
        <v>-1452</v>
      </c>
      <c r="J493" s="12"/>
    </row>
    <row r="494" spans="1:10" x14ac:dyDescent="0.3">
      <c r="C494" s="9"/>
      <c r="D494" s="10">
        <v>45868</v>
      </c>
      <c r="E494" t="s">
        <v>503</v>
      </c>
      <c r="F494" s="11" t="s">
        <v>504</v>
      </c>
      <c r="G494" s="8">
        <v>0</v>
      </c>
      <c r="H494" s="8">
        <v>423.5</v>
      </c>
      <c r="I494" s="8">
        <f>G494-H494+I493</f>
        <v>-1875.5</v>
      </c>
      <c r="J494" s="12"/>
    </row>
    <row r="495" spans="1:10" x14ac:dyDescent="0.3">
      <c r="C495" s="9"/>
      <c r="D495" s="10">
        <v>45917</v>
      </c>
      <c r="E495" t="s">
        <v>34</v>
      </c>
      <c r="F495" s="11" t="s">
        <v>14</v>
      </c>
      <c r="G495" s="8">
        <v>484</v>
      </c>
      <c r="H495" s="8">
        <v>0</v>
      </c>
      <c r="I495" s="8">
        <f>G495-H495+I494</f>
        <v>-1391.5</v>
      </c>
      <c r="J495" s="12">
        <v>572000005</v>
      </c>
    </row>
    <row r="496" spans="1:10" x14ac:dyDescent="0.3">
      <c r="E496" s="4" t="s">
        <v>116</v>
      </c>
      <c r="G496" s="8">
        <f>SUM(G491:G495)</f>
        <v>484</v>
      </c>
      <c r="H496" s="8">
        <f>SUM(H491:H495)</f>
        <v>1875.5</v>
      </c>
      <c r="I496" s="8">
        <f>G496-H496</f>
        <v>-1391.5</v>
      </c>
    </row>
    <row r="498" spans="1:10" x14ac:dyDescent="0.3">
      <c r="A498" s="5">
        <v>400000621</v>
      </c>
      <c r="B498" s="6" t="s">
        <v>505</v>
      </c>
      <c r="C498" s="7"/>
      <c r="D498" s="7"/>
      <c r="E498" s="7"/>
      <c r="F498" s="7"/>
      <c r="G498" s="7"/>
      <c r="H498" s="7"/>
      <c r="I498" s="7"/>
      <c r="J498" s="7"/>
    </row>
    <row r="499" spans="1:10" x14ac:dyDescent="0.3">
      <c r="C499" s="9" t="s">
        <v>12</v>
      </c>
      <c r="D499" s="10">
        <v>45792</v>
      </c>
      <c r="E499" t="s">
        <v>506</v>
      </c>
      <c r="F499" s="11" t="s">
        <v>507</v>
      </c>
      <c r="G499" s="8">
        <v>0</v>
      </c>
      <c r="H499" s="8">
        <v>9.1999999999999993</v>
      </c>
      <c r="I499" s="8">
        <f>G499-H499</f>
        <v>-9.1999999999999993</v>
      </c>
      <c r="J499" s="12"/>
    </row>
    <row r="500" spans="1:10" x14ac:dyDescent="0.3">
      <c r="C500" s="9" t="s">
        <v>12</v>
      </c>
      <c r="D500" s="10">
        <v>45798</v>
      </c>
      <c r="E500" t="s">
        <v>508</v>
      </c>
      <c r="F500" s="11" t="s">
        <v>509</v>
      </c>
      <c r="G500" s="8">
        <v>0</v>
      </c>
      <c r="H500" s="8">
        <v>35.92</v>
      </c>
      <c r="I500" s="8">
        <f>G500-H500+I499</f>
        <v>-45.120000000000005</v>
      </c>
      <c r="J500" s="12"/>
    </row>
    <row r="501" spans="1:10" x14ac:dyDescent="0.3">
      <c r="C501" s="9" t="s">
        <v>12</v>
      </c>
      <c r="D501" s="10">
        <v>45813</v>
      </c>
      <c r="E501" t="s">
        <v>130</v>
      </c>
      <c r="F501" s="11" t="s">
        <v>14</v>
      </c>
      <c r="G501" s="8">
        <v>9.1999999999999993</v>
      </c>
      <c r="H501" s="8">
        <v>0</v>
      </c>
      <c r="I501" s="8">
        <f>G501-H501+I500</f>
        <v>-35.92</v>
      </c>
      <c r="J501" s="12"/>
    </row>
    <row r="502" spans="1:10" x14ac:dyDescent="0.3">
      <c r="C502" s="9" t="s">
        <v>12</v>
      </c>
      <c r="D502" s="10">
        <v>45813</v>
      </c>
      <c r="E502" t="s">
        <v>130</v>
      </c>
      <c r="F502" s="11" t="s">
        <v>14</v>
      </c>
      <c r="G502" s="8">
        <v>35.92</v>
      </c>
      <c r="H502" s="8">
        <v>0</v>
      </c>
      <c r="I502" s="8">
        <f>G502-H502+I501</f>
        <v>0</v>
      </c>
      <c r="J502" s="12"/>
    </row>
    <row r="503" spans="1:10" x14ac:dyDescent="0.3">
      <c r="C503" s="9"/>
      <c r="D503" s="10">
        <v>45870</v>
      </c>
      <c r="E503" t="s">
        <v>510</v>
      </c>
      <c r="F503" s="11" t="s">
        <v>511</v>
      </c>
      <c r="G503" s="8">
        <v>0</v>
      </c>
      <c r="H503" s="8">
        <v>40.14</v>
      </c>
      <c r="I503" s="8">
        <f>G503-H503+I502</f>
        <v>-40.14</v>
      </c>
      <c r="J503" s="12"/>
    </row>
    <row r="504" spans="1:10" x14ac:dyDescent="0.3">
      <c r="E504" s="4" t="s">
        <v>116</v>
      </c>
      <c r="G504" s="8">
        <f>SUM(G499:G503)</f>
        <v>45.120000000000005</v>
      </c>
      <c r="H504" s="8">
        <f>SUM(H499:H503)</f>
        <v>85.26</v>
      </c>
      <c r="I504" s="8">
        <f>G504-H504</f>
        <v>-40.14</v>
      </c>
    </row>
    <row r="506" spans="1:10" x14ac:dyDescent="0.3">
      <c r="A506" s="5">
        <v>410000004</v>
      </c>
      <c r="B506" s="6" t="s">
        <v>512</v>
      </c>
      <c r="C506" s="7"/>
      <c r="D506" s="7"/>
      <c r="E506" s="7"/>
      <c r="F506" s="7"/>
      <c r="G506" s="7"/>
      <c r="H506" s="7"/>
      <c r="I506" s="7"/>
      <c r="J506" s="7"/>
    </row>
    <row r="507" spans="1:10" x14ac:dyDescent="0.3">
      <c r="E507" s="4" t="s">
        <v>11</v>
      </c>
      <c r="G507" s="8">
        <v>1571.68</v>
      </c>
      <c r="H507" s="8">
        <v>0</v>
      </c>
      <c r="I507" s="8">
        <f>G507-H507</f>
        <v>1571.68</v>
      </c>
    </row>
    <row r="508" spans="1:10" x14ac:dyDescent="0.3">
      <c r="C508" s="9" t="s">
        <v>12</v>
      </c>
      <c r="D508" s="10">
        <v>45659</v>
      </c>
      <c r="E508" t="s">
        <v>513</v>
      </c>
      <c r="F508" s="11" t="s">
        <v>514</v>
      </c>
      <c r="G508" s="8">
        <v>0</v>
      </c>
      <c r="H508" s="8">
        <v>835</v>
      </c>
      <c r="I508" s="8">
        <f t="shared" ref="I508:I525" si="18">G508-H508+I507</f>
        <v>736.68000000000006</v>
      </c>
      <c r="J508" s="12"/>
    </row>
    <row r="509" spans="1:10" x14ac:dyDescent="0.3">
      <c r="C509" s="9" t="s">
        <v>12</v>
      </c>
      <c r="D509" s="10">
        <v>45659</v>
      </c>
      <c r="E509" t="s">
        <v>515</v>
      </c>
      <c r="F509" s="11" t="s">
        <v>516</v>
      </c>
      <c r="G509" s="8">
        <v>0</v>
      </c>
      <c r="H509" s="8">
        <v>736.68</v>
      </c>
      <c r="I509" s="8">
        <f t="shared" si="18"/>
        <v>0</v>
      </c>
      <c r="J509" s="12"/>
    </row>
    <row r="510" spans="1:10" x14ac:dyDescent="0.3">
      <c r="C510" s="9" t="s">
        <v>12</v>
      </c>
      <c r="D510" s="10">
        <v>45688</v>
      </c>
      <c r="E510" t="s">
        <v>120</v>
      </c>
      <c r="F510" s="11" t="s">
        <v>14</v>
      </c>
      <c r="G510" s="8">
        <v>1083.97</v>
      </c>
      <c r="H510" s="8">
        <v>0</v>
      </c>
      <c r="I510" s="8">
        <f t="shared" si="18"/>
        <v>1083.97</v>
      </c>
      <c r="J510" s="12"/>
    </row>
    <row r="511" spans="1:10" x14ac:dyDescent="0.3">
      <c r="C511" s="9" t="s">
        <v>12</v>
      </c>
      <c r="D511" s="10">
        <v>45716</v>
      </c>
      <c r="E511" t="s">
        <v>120</v>
      </c>
      <c r="F511" s="11" t="s">
        <v>14</v>
      </c>
      <c r="G511" s="8">
        <v>613.37</v>
      </c>
      <c r="H511" s="8">
        <v>0</v>
      </c>
      <c r="I511" s="8">
        <f t="shared" si="18"/>
        <v>1697.3400000000001</v>
      </c>
      <c r="J511" s="12"/>
    </row>
    <row r="512" spans="1:10" x14ac:dyDescent="0.3">
      <c r="C512" s="9" t="s">
        <v>12</v>
      </c>
      <c r="D512" s="10">
        <v>45747</v>
      </c>
      <c r="E512" t="s">
        <v>120</v>
      </c>
      <c r="F512" s="11" t="s">
        <v>14</v>
      </c>
      <c r="G512" s="8">
        <v>1035.78</v>
      </c>
      <c r="H512" s="8">
        <v>0</v>
      </c>
      <c r="I512" s="8">
        <f t="shared" si="18"/>
        <v>2733.12</v>
      </c>
      <c r="J512" s="12"/>
    </row>
    <row r="513" spans="1:10" x14ac:dyDescent="0.3">
      <c r="C513" s="9" t="s">
        <v>12</v>
      </c>
      <c r="D513" s="10">
        <v>45748</v>
      </c>
      <c r="E513" t="s">
        <v>517</v>
      </c>
      <c r="F513" s="11" t="s">
        <v>518</v>
      </c>
      <c r="G513" s="8">
        <v>0</v>
      </c>
      <c r="H513" s="8">
        <v>1035.78</v>
      </c>
      <c r="I513" s="8">
        <f t="shared" si="18"/>
        <v>1697.34</v>
      </c>
      <c r="J513" s="12"/>
    </row>
    <row r="514" spans="1:10" x14ac:dyDescent="0.3">
      <c r="C514" s="9" t="s">
        <v>12</v>
      </c>
      <c r="D514" s="10">
        <v>45748</v>
      </c>
      <c r="E514" t="s">
        <v>519</v>
      </c>
      <c r="F514" s="11" t="s">
        <v>520</v>
      </c>
      <c r="G514" s="8">
        <v>0</v>
      </c>
      <c r="H514" s="8">
        <v>1083.97</v>
      </c>
      <c r="I514" s="8">
        <f t="shared" si="18"/>
        <v>613.36999999999989</v>
      </c>
      <c r="J514" s="12"/>
    </row>
    <row r="515" spans="1:10" x14ac:dyDescent="0.3">
      <c r="C515" s="9" t="s">
        <v>12</v>
      </c>
      <c r="D515" s="10">
        <v>45748</v>
      </c>
      <c r="E515" t="s">
        <v>521</v>
      </c>
      <c r="F515" s="11" t="s">
        <v>522</v>
      </c>
      <c r="G515" s="8">
        <v>0</v>
      </c>
      <c r="H515" s="8">
        <v>613.37</v>
      </c>
      <c r="I515" s="8">
        <f t="shared" si="18"/>
        <v>0</v>
      </c>
      <c r="J515" s="12"/>
    </row>
    <row r="516" spans="1:10" x14ac:dyDescent="0.3">
      <c r="C516" s="9" t="s">
        <v>12</v>
      </c>
      <c r="D516" s="10">
        <v>45777</v>
      </c>
      <c r="E516" t="s">
        <v>109</v>
      </c>
      <c r="F516" s="11" t="s">
        <v>523</v>
      </c>
      <c r="G516" s="8">
        <v>0</v>
      </c>
      <c r="H516" s="8">
        <v>604.77</v>
      </c>
      <c r="I516" s="8">
        <f t="shared" si="18"/>
        <v>-604.77</v>
      </c>
      <c r="J516" s="12"/>
    </row>
    <row r="517" spans="1:10" x14ac:dyDescent="0.3">
      <c r="C517" s="9" t="s">
        <v>12</v>
      </c>
      <c r="D517" s="10">
        <v>45782</v>
      </c>
      <c r="E517" t="s">
        <v>125</v>
      </c>
      <c r="F517" s="11" t="s">
        <v>14</v>
      </c>
      <c r="G517" s="8">
        <v>516.17999999999995</v>
      </c>
      <c r="H517" s="8">
        <v>0</v>
      </c>
      <c r="I517" s="8">
        <f t="shared" si="18"/>
        <v>-88.590000000000032</v>
      </c>
      <c r="J517" s="12"/>
    </row>
    <row r="518" spans="1:10" x14ac:dyDescent="0.3">
      <c r="C518" s="9" t="s">
        <v>12</v>
      </c>
      <c r="D518" s="10">
        <v>45808</v>
      </c>
      <c r="E518" t="s">
        <v>524</v>
      </c>
      <c r="F518" s="11" t="s">
        <v>525</v>
      </c>
      <c r="G518" s="8">
        <v>0</v>
      </c>
      <c r="H518" s="8">
        <v>752.8</v>
      </c>
      <c r="I518" s="8">
        <f t="shared" si="18"/>
        <v>-841.39</v>
      </c>
      <c r="J518" s="12"/>
    </row>
    <row r="519" spans="1:10" x14ac:dyDescent="0.3">
      <c r="C519" s="9" t="s">
        <v>12</v>
      </c>
      <c r="D519" s="10">
        <v>45813</v>
      </c>
      <c r="E519" t="s">
        <v>130</v>
      </c>
      <c r="F519" s="11" t="s">
        <v>14</v>
      </c>
      <c r="G519" s="8">
        <v>88.59</v>
      </c>
      <c r="H519" s="8">
        <v>0</v>
      </c>
      <c r="I519" s="8">
        <f t="shared" si="18"/>
        <v>-752.8</v>
      </c>
      <c r="J519" s="12"/>
    </row>
    <row r="520" spans="1:10" x14ac:dyDescent="0.3">
      <c r="C520" s="9" t="s">
        <v>12</v>
      </c>
      <c r="D520" s="10">
        <v>45813</v>
      </c>
      <c r="E520" t="s">
        <v>130</v>
      </c>
      <c r="F520" s="11" t="s">
        <v>14</v>
      </c>
      <c r="G520" s="8">
        <v>657.15</v>
      </c>
      <c r="H520" s="8">
        <v>0</v>
      </c>
      <c r="I520" s="8">
        <f t="shared" si="18"/>
        <v>-95.649999999999977</v>
      </c>
      <c r="J520" s="12"/>
    </row>
    <row r="521" spans="1:10" x14ac:dyDescent="0.3">
      <c r="C521" s="9" t="s">
        <v>12</v>
      </c>
      <c r="D521" s="10">
        <v>45838</v>
      </c>
      <c r="E521" t="s">
        <v>526</v>
      </c>
      <c r="F521" s="11" t="s">
        <v>527</v>
      </c>
      <c r="G521" s="8">
        <v>0</v>
      </c>
      <c r="H521" s="8">
        <v>585.24</v>
      </c>
      <c r="I521" s="8">
        <f t="shared" si="18"/>
        <v>-680.89</v>
      </c>
      <c r="J521" s="12"/>
    </row>
    <row r="522" spans="1:10" x14ac:dyDescent="0.3">
      <c r="C522" s="9" t="s">
        <v>12</v>
      </c>
      <c r="D522" s="10">
        <v>45843</v>
      </c>
      <c r="E522" t="s">
        <v>418</v>
      </c>
      <c r="F522" s="11" t="s">
        <v>14</v>
      </c>
      <c r="G522" s="8">
        <v>95.65</v>
      </c>
      <c r="H522" s="8">
        <v>0</v>
      </c>
      <c r="I522" s="8">
        <f t="shared" si="18"/>
        <v>-585.24</v>
      </c>
      <c r="J522" s="12"/>
    </row>
    <row r="523" spans="1:10" x14ac:dyDescent="0.3">
      <c r="C523" s="9" t="s">
        <v>12</v>
      </c>
      <c r="D523" s="10">
        <v>45843</v>
      </c>
      <c r="E523" t="s">
        <v>418</v>
      </c>
      <c r="F523" s="11" t="s">
        <v>14</v>
      </c>
      <c r="G523" s="8">
        <v>585.24</v>
      </c>
      <c r="H523" s="8">
        <v>0</v>
      </c>
      <c r="I523" s="8">
        <f t="shared" si="18"/>
        <v>0</v>
      </c>
      <c r="J523" s="12"/>
    </row>
    <row r="524" spans="1:10" x14ac:dyDescent="0.3">
      <c r="C524" s="9"/>
      <c r="D524" s="10">
        <v>45869</v>
      </c>
      <c r="E524" t="s">
        <v>528</v>
      </c>
      <c r="F524" s="11" t="s">
        <v>529</v>
      </c>
      <c r="G524" s="8">
        <v>0</v>
      </c>
      <c r="H524" s="8">
        <v>1163.83</v>
      </c>
      <c r="I524" s="8">
        <f t="shared" si="18"/>
        <v>-1163.83</v>
      </c>
      <c r="J524" s="12"/>
    </row>
    <row r="525" spans="1:10" x14ac:dyDescent="0.3">
      <c r="C525" s="9"/>
      <c r="D525" s="10">
        <v>45870</v>
      </c>
      <c r="E525" t="s">
        <v>530</v>
      </c>
      <c r="F525" s="11" t="s">
        <v>531</v>
      </c>
      <c r="G525" s="8">
        <v>0</v>
      </c>
      <c r="H525" s="8">
        <v>1180.73</v>
      </c>
      <c r="I525" s="8">
        <f t="shared" si="18"/>
        <v>-2344.56</v>
      </c>
      <c r="J525" s="12"/>
    </row>
    <row r="526" spans="1:10" x14ac:dyDescent="0.3">
      <c r="E526" s="4" t="s">
        <v>116</v>
      </c>
      <c r="G526" s="8">
        <f>SUM(G507:G525)</f>
        <v>6247.61</v>
      </c>
      <c r="H526" s="8">
        <f>SUM(H507:H525)</f>
        <v>8592.17</v>
      </c>
      <c r="I526" s="8">
        <f>G526-H526</f>
        <v>-2344.5600000000004</v>
      </c>
    </row>
    <row r="528" spans="1:10" x14ac:dyDescent="0.3">
      <c r="A528" s="5">
        <v>410000029</v>
      </c>
      <c r="B528" s="6" t="s">
        <v>532</v>
      </c>
      <c r="C528" s="7"/>
      <c r="D528" s="7"/>
      <c r="E528" s="7"/>
      <c r="F528" s="7"/>
      <c r="G528" s="7"/>
      <c r="H528" s="7"/>
      <c r="I528" s="7"/>
      <c r="J528" s="7"/>
    </row>
    <row r="529" spans="3:10" x14ac:dyDescent="0.3">
      <c r="E529" s="4" t="s">
        <v>11</v>
      </c>
      <c r="G529" s="8">
        <v>0</v>
      </c>
      <c r="H529" s="8">
        <v>68.989999999999995</v>
      </c>
      <c r="I529" s="8">
        <f>G529-H529</f>
        <v>-68.989999999999995</v>
      </c>
    </row>
    <row r="530" spans="3:10" x14ac:dyDescent="0.3">
      <c r="C530" s="9" t="s">
        <v>12</v>
      </c>
      <c r="D530" s="10">
        <v>45687</v>
      </c>
      <c r="E530" t="s">
        <v>34</v>
      </c>
      <c r="F530" s="11" t="s">
        <v>14</v>
      </c>
      <c r="G530" s="8">
        <v>68.989999999999995</v>
      </c>
      <c r="H530" s="8">
        <v>0</v>
      </c>
      <c r="I530" s="8">
        <f t="shared" ref="I530:I545" si="19">G530-H530+I529</f>
        <v>0</v>
      </c>
      <c r="J530" s="12">
        <v>572000007</v>
      </c>
    </row>
    <row r="531" spans="3:10" x14ac:dyDescent="0.3">
      <c r="C531" s="9" t="s">
        <v>12</v>
      </c>
      <c r="D531" s="10">
        <v>45688</v>
      </c>
      <c r="E531" t="s">
        <v>533</v>
      </c>
      <c r="F531" s="11" t="s">
        <v>534</v>
      </c>
      <c r="G531" s="8">
        <v>0</v>
      </c>
      <c r="H531" s="8">
        <v>68.989999999999995</v>
      </c>
      <c r="I531" s="8">
        <f t="shared" si="19"/>
        <v>-68.989999999999995</v>
      </c>
      <c r="J531" s="12"/>
    </row>
    <row r="532" spans="3:10" x14ac:dyDescent="0.3">
      <c r="C532" s="9" t="s">
        <v>12</v>
      </c>
      <c r="D532" s="10">
        <v>45716</v>
      </c>
      <c r="E532" t="s">
        <v>535</v>
      </c>
      <c r="F532" s="11" t="s">
        <v>536</v>
      </c>
      <c r="G532" s="8">
        <v>0</v>
      </c>
      <c r="H532" s="8">
        <v>68.989999999999995</v>
      </c>
      <c r="I532" s="8">
        <f t="shared" si="19"/>
        <v>-137.97999999999999</v>
      </c>
      <c r="J532" s="12"/>
    </row>
    <row r="533" spans="3:10" x14ac:dyDescent="0.3">
      <c r="C533" s="9" t="s">
        <v>12</v>
      </c>
      <c r="D533" s="10">
        <v>45736</v>
      </c>
      <c r="E533" t="s">
        <v>34</v>
      </c>
      <c r="F533" s="11" t="s">
        <v>14</v>
      </c>
      <c r="G533" s="8">
        <v>68.989999999999995</v>
      </c>
      <c r="H533" s="8">
        <v>0</v>
      </c>
      <c r="I533" s="8">
        <f t="shared" si="19"/>
        <v>-68.989999999999995</v>
      </c>
      <c r="J533" s="12">
        <v>572000007</v>
      </c>
    </row>
    <row r="534" spans="3:10" x14ac:dyDescent="0.3">
      <c r="C534" s="9" t="s">
        <v>12</v>
      </c>
      <c r="D534" s="10">
        <v>45747</v>
      </c>
      <c r="E534" t="s">
        <v>537</v>
      </c>
      <c r="F534" s="11" t="s">
        <v>538</v>
      </c>
      <c r="G534" s="8">
        <v>0</v>
      </c>
      <c r="H534" s="8">
        <v>68.989999999999995</v>
      </c>
      <c r="I534" s="8">
        <f t="shared" si="19"/>
        <v>-137.97999999999999</v>
      </c>
      <c r="J534" s="12"/>
    </row>
    <row r="535" spans="3:10" x14ac:dyDescent="0.3">
      <c r="C535" s="9" t="s">
        <v>12</v>
      </c>
      <c r="D535" s="10">
        <v>45747</v>
      </c>
      <c r="E535" t="s">
        <v>34</v>
      </c>
      <c r="F535" s="11" t="s">
        <v>14</v>
      </c>
      <c r="G535" s="8">
        <v>68.989999999999995</v>
      </c>
      <c r="H535" s="8">
        <v>0</v>
      </c>
      <c r="I535" s="8">
        <f t="shared" si="19"/>
        <v>-68.989999999999995</v>
      </c>
      <c r="J535" s="12">
        <v>572000007</v>
      </c>
    </row>
    <row r="536" spans="3:10" x14ac:dyDescent="0.3">
      <c r="C536" s="9" t="s">
        <v>12</v>
      </c>
      <c r="D536" s="10">
        <v>45777</v>
      </c>
      <c r="E536" t="s">
        <v>539</v>
      </c>
      <c r="F536" s="11" t="s">
        <v>540</v>
      </c>
      <c r="G536" s="8">
        <v>0</v>
      </c>
      <c r="H536" s="8">
        <v>68.989999999999995</v>
      </c>
      <c r="I536" s="8">
        <f t="shared" si="19"/>
        <v>-137.97999999999999</v>
      </c>
      <c r="J536" s="12"/>
    </row>
    <row r="537" spans="3:10" x14ac:dyDescent="0.3">
      <c r="C537" s="9" t="s">
        <v>12</v>
      </c>
      <c r="D537" s="10">
        <v>45777</v>
      </c>
      <c r="E537" t="s">
        <v>34</v>
      </c>
      <c r="F537" s="11" t="s">
        <v>14</v>
      </c>
      <c r="G537" s="8">
        <v>68.989999999999995</v>
      </c>
      <c r="H537" s="8">
        <v>0</v>
      </c>
      <c r="I537" s="8">
        <f t="shared" si="19"/>
        <v>-68.989999999999995</v>
      </c>
      <c r="J537" s="12">
        <v>572000007</v>
      </c>
    </row>
    <row r="538" spans="3:10" x14ac:dyDescent="0.3">
      <c r="C538" s="9" t="s">
        <v>12</v>
      </c>
      <c r="D538" s="10">
        <v>45807</v>
      </c>
      <c r="E538" t="s">
        <v>34</v>
      </c>
      <c r="F538" s="11" t="s">
        <v>14</v>
      </c>
      <c r="G538" s="8">
        <v>68.989999999999995</v>
      </c>
      <c r="H538" s="8">
        <v>0</v>
      </c>
      <c r="I538" s="8">
        <f t="shared" si="19"/>
        <v>0</v>
      </c>
      <c r="J538" s="12">
        <v>572000007</v>
      </c>
    </row>
    <row r="539" spans="3:10" x14ac:dyDescent="0.3">
      <c r="C539" s="9" t="s">
        <v>12</v>
      </c>
      <c r="D539" s="10">
        <v>45808</v>
      </c>
      <c r="E539" t="s">
        <v>541</v>
      </c>
      <c r="F539" s="11" t="s">
        <v>542</v>
      </c>
      <c r="G539" s="8">
        <v>0</v>
      </c>
      <c r="H539" s="8">
        <v>68.989999999999995</v>
      </c>
      <c r="I539" s="8">
        <f t="shared" si="19"/>
        <v>-68.989999999999995</v>
      </c>
      <c r="J539" s="12"/>
    </row>
    <row r="540" spans="3:10" x14ac:dyDescent="0.3">
      <c r="C540" s="9"/>
      <c r="D540" s="10">
        <v>45838</v>
      </c>
      <c r="E540" t="s">
        <v>543</v>
      </c>
      <c r="F540" s="11" t="s">
        <v>544</v>
      </c>
      <c r="G540" s="8">
        <v>0</v>
      </c>
      <c r="H540" s="8">
        <v>68.989999999999995</v>
      </c>
      <c r="I540" s="8">
        <f t="shared" si="19"/>
        <v>-137.97999999999999</v>
      </c>
      <c r="J540" s="12"/>
    </row>
    <row r="541" spans="3:10" x14ac:dyDescent="0.3">
      <c r="C541" s="9" t="s">
        <v>12</v>
      </c>
      <c r="D541" s="10">
        <v>45838</v>
      </c>
      <c r="E541" t="s">
        <v>34</v>
      </c>
      <c r="F541" s="11" t="s">
        <v>14</v>
      </c>
      <c r="G541" s="8">
        <v>68.989999999999995</v>
      </c>
      <c r="H541" s="8">
        <v>0</v>
      </c>
      <c r="I541" s="8">
        <f t="shared" si="19"/>
        <v>-68.989999999999995</v>
      </c>
      <c r="J541" s="12">
        <v>572000007</v>
      </c>
    </row>
    <row r="542" spans="3:10" x14ac:dyDescent="0.3">
      <c r="C542" s="9"/>
      <c r="D542" s="10">
        <v>45868</v>
      </c>
      <c r="E542" t="s">
        <v>34</v>
      </c>
      <c r="F542" s="11" t="s">
        <v>14</v>
      </c>
      <c r="G542" s="8">
        <v>68.989999999999995</v>
      </c>
      <c r="H542" s="8">
        <v>0</v>
      </c>
      <c r="I542" s="8">
        <f t="shared" si="19"/>
        <v>0</v>
      </c>
      <c r="J542" s="12">
        <v>572000007</v>
      </c>
    </row>
    <row r="543" spans="3:10" x14ac:dyDescent="0.3">
      <c r="C543" s="9"/>
      <c r="D543" s="10">
        <v>45869</v>
      </c>
      <c r="E543" t="s">
        <v>545</v>
      </c>
      <c r="F543" s="11" t="s">
        <v>546</v>
      </c>
      <c r="G543" s="8">
        <v>0</v>
      </c>
      <c r="H543" s="8">
        <v>68.989999999999995</v>
      </c>
      <c r="I543" s="8">
        <f t="shared" si="19"/>
        <v>-68.989999999999995</v>
      </c>
      <c r="J543" s="12"/>
    </row>
    <row r="544" spans="3:10" x14ac:dyDescent="0.3">
      <c r="C544" s="9"/>
      <c r="D544" s="10">
        <v>45900</v>
      </c>
      <c r="E544" t="s">
        <v>547</v>
      </c>
      <c r="F544" s="11" t="s">
        <v>548</v>
      </c>
      <c r="G544" s="8">
        <v>0</v>
      </c>
      <c r="H544" s="8">
        <v>68.989999999999995</v>
      </c>
      <c r="I544" s="8">
        <f t="shared" si="19"/>
        <v>-137.97999999999999</v>
      </c>
      <c r="J544" s="12"/>
    </row>
    <row r="545" spans="1:10" x14ac:dyDescent="0.3">
      <c r="C545" s="9"/>
      <c r="D545" s="10">
        <v>45901</v>
      </c>
      <c r="E545" t="s">
        <v>34</v>
      </c>
      <c r="F545" s="11" t="s">
        <v>14</v>
      </c>
      <c r="G545" s="8">
        <v>68.989999999999995</v>
      </c>
      <c r="H545" s="8">
        <v>0</v>
      </c>
      <c r="I545" s="8">
        <f t="shared" si="19"/>
        <v>-68.989999999999995</v>
      </c>
      <c r="J545" s="12">
        <v>572000007</v>
      </c>
    </row>
    <row r="546" spans="1:10" x14ac:dyDescent="0.3">
      <c r="E546" s="4" t="s">
        <v>116</v>
      </c>
      <c r="G546" s="8">
        <f>SUM(G529:G545)</f>
        <v>551.91999999999996</v>
      </c>
      <c r="H546" s="8">
        <f>SUM(H529:H545)</f>
        <v>620.91</v>
      </c>
      <c r="I546" s="8">
        <f>G546-H546</f>
        <v>-68.990000000000009</v>
      </c>
    </row>
    <row r="548" spans="1:10" x14ac:dyDescent="0.3">
      <c r="A548" s="5">
        <v>410000031</v>
      </c>
      <c r="B548" s="6" t="s">
        <v>549</v>
      </c>
      <c r="C548" s="7"/>
      <c r="D548" s="7"/>
      <c r="E548" s="7"/>
      <c r="F548" s="7"/>
      <c r="G548" s="7"/>
      <c r="H548" s="7"/>
      <c r="I548" s="7"/>
      <c r="J548" s="7"/>
    </row>
    <row r="549" spans="1:10" x14ac:dyDescent="0.3">
      <c r="C549" s="9"/>
      <c r="D549" s="10">
        <v>45772</v>
      </c>
      <c r="E549" t="s">
        <v>109</v>
      </c>
      <c r="F549" s="11" t="s">
        <v>550</v>
      </c>
      <c r="G549" s="8">
        <v>0</v>
      </c>
      <c r="H549" s="8">
        <v>43.77</v>
      </c>
      <c r="I549" s="8">
        <f>G549-H549</f>
        <v>-43.77</v>
      </c>
      <c r="J549" s="12"/>
    </row>
    <row r="550" spans="1:10" x14ac:dyDescent="0.3">
      <c r="C550" s="9"/>
      <c r="D550" s="10">
        <v>45839</v>
      </c>
      <c r="E550" t="s">
        <v>551</v>
      </c>
      <c r="F550" s="11" t="s">
        <v>552</v>
      </c>
      <c r="G550" s="8">
        <v>0</v>
      </c>
      <c r="H550" s="8">
        <v>427.8</v>
      </c>
      <c r="I550" s="8">
        <f>G550-H550+I549</f>
        <v>-471.57</v>
      </c>
      <c r="J550" s="12"/>
    </row>
    <row r="551" spans="1:10" x14ac:dyDescent="0.3">
      <c r="C551" s="9"/>
      <c r="D551" s="10">
        <v>45839</v>
      </c>
      <c r="E551" t="s">
        <v>553</v>
      </c>
      <c r="F551" s="11" t="s">
        <v>554</v>
      </c>
      <c r="G551" s="8">
        <v>0</v>
      </c>
      <c r="H551" s="8">
        <v>6.37</v>
      </c>
      <c r="I551" s="8">
        <f>G551-H551+I550</f>
        <v>-477.94</v>
      </c>
      <c r="J551" s="12"/>
    </row>
    <row r="552" spans="1:10" x14ac:dyDescent="0.3">
      <c r="C552" s="9"/>
      <c r="D552" s="10">
        <v>45839</v>
      </c>
      <c r="E552" t="s">
        <v>555</v>
      </c>
      <c r="F552" s="11" t="s">
        <v>556</v>
      </c>
      <c r="G552" s="8">
        <v>0</v>
      </c>
      <c r="H552" s="8">
        <v>124.71</v>
      </c>
      <c r="I552" s="8">
        <f>G552-H552+I551</f>
        <v>-602.65</v>
      </c>
      <c r="J552" s="12"/>
    </row>
    <row r="553" spans="1:10" x14ac:dyDescent="0.3">
      <c r="C553" s="9"/>
      <c r="D553" s="10">
        <v>45870</v>
      </c>
      <c r="E553" t="s">
        <v>557</v>
      </c>
      <c r="F553" s="11" t="s">
        <v>558</v>
      </c>
      <c r="G553" s="8">
        <v>0</v>
      </c>
      <c r="H553" s="8">
        <v>57.71</v>
      </c>
      <c r="I553" s="8">
        <f>G553-H553+I552</f>
        <v>-660.36</v>
      </c>
      <c r="J553" s="12"/>
    </row>
    <row r="554" spans="1:10" x14ac:dyDescent="0.3">
      <c r="C554" s="9"/>
      <c r="D554" s="10">
        <v>45870</v>
      </c>
      <c r="E554" t="s">
        <v>109</v>
      </c>
      <c r="F554" s="11" t="s">
        <v>559</v>
      </c>
      <c r="G554" s="8">
        <v>0</v>
      </c>
      <c r="H554" s="8">
        <v>57.71</v>
      </c>
      <c r="I554" s="8">
        <f>G554-H554+I553</f>
        <v>-718.07</v>
      </c>
      <c r="J554" s="12"/>
    </row>
    <row r="555" spans="1:10" x14ac:dyDescent="0.3">
      <c r="E555" s="4" t="s">
        <v>116</v>
      </c>
      <c r="G555" s="8">
        <f>SUM(G549:G554)</f>
        <v>0</v>
      </c>
      <c r="H555" s="8">
        <f>SUM(H549:H554)</f>
        <v>718.07</v>
      </c>
      <c r="I555" s="8">
        <f>G555-H555</f>
        <v>-718.07</v>
      </c>
    </row>
    <row r="557" spans="1:10" x14ac:dyDescent="0.3">
      <c r="A557" s="5">
        <v>410000033</v>
      </c>
      <c r="B557" s="6" t="s">
        <v>560</v>
      </c>
      <c r="C557" s="7"/>
      <c r="D557" s="7"/>
      <c r="E557" s="7"/>
      <c r="F557" s="7"/>
      <c r="G557" s="7"/>
      <c r="H557" s="7"/>
      <c r="I557" s="7"/>
      <c r="J557" s="7"/>
    </row>
    <row r="558" spans="1:10" x14ac:dyDescent="0.3">
      <c r="C558" s="9"/>
      <c r="D558" s="10">
        <v>45839</v>
      </c>
      <c r="E558" t="s">
        <v>561</v>
      </c>
      <c r="F558" s="11" t="s">
        <v>562</v>
      </c>
      <c r="G558" s="8">
        <v>0</v>
      </c>
      <c r="H558" s="8">
        <v>28.72</v>
      </c>
      <c r="I558" s="8">
        <f>G558-H558</f>
        <v>-28.72</v>
      </c>
      <c r="J558" s="12">
        <v>629900000</v>
      </c>
    </row>
    <row r="559" spans="1:10" x14ac:dyDescent="0.3">
      <c r="C559" s="9"/>
      <c r="D559" s="10">
        <v>45839</v>
      </c>
      <c r="E559" t="s">
        <v>563</v>
      </c>
      <c r="F559" s="11" t="s">
        <v>564</v>
      </c>
      <c r="G559" s="8">
        <v>0</v>
      </c>
      <c r="H559" s="8">
        <v>59.11</v>
      </c>
      <c r="I559" s="8">
        <f>G559-H559+I558</f>
        <v>-87.83</v>
      </c>
      <c r="J559" s="12">
        <v>629900000</v>
      </c>
    </row>
    <row r="560" spans="1:10" x14ac:dyDescent="0.3">
      <c r="E560" s="4" t="s">
        <v>116</v>
      </c>
      <c r="G560" s="8">
        <f>SUM(G558:G559)</f>
        <v>0</v>
      </c>
      <c r="H560" s="8">
        <f>SUM(H558:H559)</f>
        <v>87.83</v>
      </c>
      <c r="I560" s="8">
        <f>G560-H560</f>
        <v>-87.83</v>
      </c>
    </row>
    <row r="562" spans="1:10" x14ac:dyDescent="0.3">
      <c r="A562" s="5">
        <v>410000067</v>
      </c>
      <c r="B562" s="6" t="s">
        <v>565</v>
      </c>
      <c r="C562" s="7"/>
      <c r="D562" s="7"/>
      <c r="E562" s="7"/>
      <c r="F562" s="7"/>
      <c r="G562" s="7"/>
      <c r="H562" s="7"/>
      <c r="I562" s="7"/>
      <c r="J562" s="7"/>
    </row>
    <row r="563" spans="1:10" x14ac:dyDescent="0.3">
      <c r="C563" s="9" t="s">
        <v>12</v>
      </c>
      <c r="D563" s="10">
        <v>45659</v>
      </c>
      <c r="E563" t="s">
        <v>109</v>
      </c>
      <c r="F563" s="11" t="s">
        <v>566</v>
      </c>
      <c r="G563" s="8">
        <v>0</v>
      </c>
      <c r="H563" s="8">
        <v>607.04</v>
      </c>
      <c r="I563" s="8">
        <f>G563-H563</f>
        <v>-607.04</v>
      </c>
      <c r="J563" s="12"/>
    </row>
    <row r="564" spans="1:10" x14ac:dyDescent="0.3">
      <c r="C564" s="9" t="s">
        <v>12</v>
      </c>
      <c r="D564" s="10">
        <v>45680</v>
      </c>
      <c r="E564" t="s">
        <v>567</v>
      </c>
      <c r="F564" s="11" t="s">
        <v>14</v>
      </c>
      <c r="G564" s="8">
        <v>607.04</v>
      </c>
      <c r="H564" s="8">
        <v>0</v>
      </c>
      <c r="I564" s="8">
        <f t="shared" ref="I564:I582" si="20">G564-H564+I563</f>
        <v>0</v>
      </c>
      <c r="J564" s="12">
        <v>572000002</v>
      </c>
    </row>
    <row r="565" spans="1:10" x14ac:dyDescent="0.3">
      <c r="C565" s="9" t="s">
        <v>12</v>
      </c>
      <c r="D565" s="10">
        <v>45689</v>
      </c>
      <c r="E565" t="s">
        <v>109</v>
      </c>
      <c r="F565" s="11" t="s">
        <v>568</v>
      </c>
      <c r="G565" s="8">
        <v>0</v>
      </c>
      <c r="H565" s="8">
        <v>607.04</v>
      </c>
      <c r="I565" s="8">
        <f t="shared" si="20"/>
        <v>-607.04</v>
      </c>
      <c r="J565" s="12"/>
    </row>
    <row r="566" spans="1:10" x14ac:dyDescent="0.3">
      <c r="C566" s="9" t="s">
        <v>12</v>
      </c>
      <c r="D566" s="10">
        <v>45702</v>
      </c>
      <c r="E566" t="s">
        <v>567</v>
      </c>
      <c r="F566" s="11" t="s">
        <v>14</v>
      </c>
      <c r="G566" s="8">
        <v>607.04</v>
      </c>
      <c r="H566" s="8">
        <v>0</v>
      </c>
      <c r="I566" s="8">
        <f t="shared" si="20"/>
        <v>0</v>
      </c>
      <c r="J566" s="12">
        <v>572000002</v>
      </c>
    </row>
    <row r="567" spans="1:10" x14ac:dyDescent="0.3">
      <c r="C567" s="9" t="s">
        <v>12</v>
      </c>
      <c r="D567" s="10">
        <v>45717</v>
      </c>
      <c r="E567" t="s">
        <v>109</v>
      </c>
      <c r="F567" s="11" t="s">
        <v>569</v>
      </c>
      <c r="G567" s="8">
        <v>0</v>
      </c>
      <c r="H567" s="8">
        <v>607.04</v>
      </c>
      <c r="I567" s="8">
        <f t="shared" si="20"/>
        <v>-607.04</v>
      </c>
      <c r="J567" s="12"/>
    </row>
    <row r="568" spans="1:10" x14ac:dyDescent="0.3">
      <c r="C568" s="9" t="s">
        <v>12</v>
      </c>
      <c r="D568" s="10">
        <v>45730</v>
      </c>
      <c r="E568" t="s">
        <v>108</v>
      </c>
      <c r="F568" s="11" t="s">
        <v>14</v>
      </c>
      <c r="G568" s="8">
        <v>602.37</v>
      </c>
      <c r="H568" s="8">
        <v>0</v>
      </c>
      <c r="I568" s="8">
        <f t="shared" si="20"/>
        <v>-4.6699999999999591</v>
      </c>
      <c r="J568" s="12">
        <v>572000007</v>
      </c>
    </row>
    <row r="569" spans="1:10" x14ac:dyDescent="0.3">
      <c r="C569" s="9" t="s">
        <v>12</v>
      </c>
      <c r="D569" s="10">
        <v>45748</v>
      </c>
      <c r="E569" t="s">
        <v>109</v>
      </c>
      <c r="F569" s="11" t="s">
        <v>570</v>
      </c>
      <c r="G569" s="8">
        <v>0</v>
      </c>
      <c r="H569" s="8">
        <v>607.04</v>
      </c>
      <c r="I569" s="8">
        <f t="shared" si="20"/>
        <v>-611.70999999999992</v>
      </c>
      <c r="J569" s="12"/>
    </row>
    <row r="570" spans="1:10" x14ac:dyDescent="0.3">
      <c r="C570" s="9" t="s">
        <v>12</v>
      </c>
      <c r="D570" s="10">
        <v>45757</v>
      </c>
      <c r="E570" t="s">
        <v>305</v>
      </c>
      <c r="F570" s="11" t="s">
        <v>14</v>
      </c>
      <c r="G570" s="8">
        <v>607.04</v>
      </c>
      <c r="H570" s="8">
        <v>0</v>
      </c>
      <c r="I570" s="8">
        <f t="shared" si="20"/>
        <v>-4.6699999999999591</v>
      </c>
      <c r="J570" s="12">
        <v>572000009</v>
      </c>
    </row>
    <row r="571" spans="1:10" x14ac:dyDescent="0.3">
      <c r="C571" s="9" t="s">
        <v>12</v>
      </c>
      <c r="D571" s="10">
        <v>45778</v>
      </c>
      <c r="E571" t="s">
        <v>109</v>
      </c>
      <c r="F571" s="11" t="s">
        <v>571</v>
      </c>
      <c r="G571" s="8">
        <v>0</v>
      </c>
      <c r="H571" s="8">
        <v>607.04</v>
      </c>
      <c r="I571" s="8">
        <f t="shared" si="20"/>
        <v>-611.70999999999992</v>
      </c>
      <c r="J571" s="12"/>
    </row>
    <row r="572" spans="1:10" x14ac:dyDescent="0.3">
      <c r="C572" s="9" t="s">
        <v>12</v>
      </c>
      <c r="D572" s="10">
        <v>45799</v>
      </c>
      <c r="E572" t="s">
        <v>305</v>
      </c>
      <c r="F572" s="11" t="s">
        <v>14</v>
      </c>
      <c r="G572" s="8">
        <v>607.04</v>
      </c>
      <c r="H572" s="8">
        <v>0</v>
      </c>
      <c r="I572" s="8">
        <f t="shared" si="20"/>
        <v>-4.6699999999999591</v>
      </c>
      <c r="J572" s="12">
        <v>572000007</v>
      </c>
    </row>
    <row r="573" spans="1:10" x14ac:dyDescent="0.3">
      <c r="C573" s="9" t="s">
        <v>12</v>
      </c>
      <c r="D573" s="10">
        <v>45809</v>
      </c>
      <c r="E573" t="s">
        <v>109</v>
      </c>
      <c r="F573" s="11" t="s">
        <v>572</v>
      </c>
      <c r="G573" s="8">
        <v>0</v>
      </c>
      <c r="H573" s="8">
        <v>607.04</v>
      </c>
      <c r="I573" s="8">
        <f t="shared" si="20"/>
        <v>-611.70999999999992</v>
      </c>
      <c r="J573" s="12"/>
    </row>
    <row r="574" spans="1:10" x14ac:dyDescent="0.3">
      <c r="C574" s="9" t="s">
        <v>12</v>
      </c>
      <c r="D574" s="10">
        <v>45818</v>
      </c>
      <c r="E574" t="s">
        <v>108</v>
      </c>
      <c r="F574" s="11" t="s">
        <v>14</v>
      </c>
      <c r="G574" s="8">
        <v>611.71</v>
      </c>
      <c r="H574" s="8">
        <v>0</v>
      </c>
      <c r="I574" s="8">
        <f t="shared" si="20"/>
        <v>0</v>
      </c>
      <c r="J574" s="12">
        <v>572000007</v>
      </c>
    </row>
    <row r="575" spans="1:10" x14ac:dyDescent="0.3">
      <c r="C575" s="9" t="s">
        <v>12</v>
      </c>
      <c r="D575" s="10">
        <v>45839</v>
      </c>
      <c r="E575" t="s">
        <v>573</v>
      </c>
      <c r="F575" s="11" t="s">
        <v>574</v>
      </c>
      <c r="G575" s="8">
        <v>0</v>
      </c>
      <c r="H575" s="8">
        <v>607.04</v>
      </c>
      <c r="I575" s="8">
        <f t="shared" si="20"/>
        <v>-607.04</v>
      </c>
      <c r="J575" s="12"/>
    </row>
    <row r="576" spans="1:10" x14ac:dyDescent="0.3">
      <c r="C576" s="9" t="s">
        <v>12</v>
      </c>
      <c r="D576" s="10">
        <v>45845</v>
      </c>
      <c r="E576" t="s">
        <v>34</v>
      </c>
      <c r="F576" s="11" t="s">
        <v>14</v>
      </c>
      <c r="G576" s="8">
        <v>607.04</v>
      </c>
      <c r="H576" s="8">
        <v>0</v>
      </c>
      <c r="I576" s="8">
        <f t="shared" si="20"/>
        <v>0</v>
      </c>
      <c r="J576" s="12">
        <v>572000007</v>
      </c>
    </row>
    <row r="577" spans="1:10" x14ac:dyDescent="0.3">
      <c r="C577" s="9"/>
      <c r="D577" s="10">
        <v>45870</v>
      </c>
      <c r="E577" t="s">
        <v>575</v>
      </c>
      <c r="F577" s="11" t="s">
        <v>576</v>
      </c>
      <c r="G577" s="8">
        <v>0</v>
      </c>
      <c r="H577" s="8">
        <v>607.04</v>
      </c>
      <c r="I577" s="8">
        <f t="shared" si="20"/>
        <v>-607.04</v>
      </c>
      <c r="J577" s="12"/>
    </row>
    <row r="578" spans="1:10" x14ac:dyDescent="0.3">
      <c r="C578" s="9"/>
      <c r="D578" s="10">
        <v>45875</v>
      </c>
      <c r="E578" t="s">
        <v>305</v>
      </c>
      <c r="F578" s="11" t="s">
        <v>14</v>
      </c>
      <c r="G578" s="8">
        <v>607.04</v>
      </c>
      <c r="H578" s="8">
        <v>0</v>
      </c>
      <c r="I578" s="8">
        <f t="shared" si="20"/>
        <v>0</v>
      </c>
      <c r="J578" s="12">
        <v>572000007</v>
      </c>
    </row>
    <row r="579" spans="1:10" x14ac:dyDescent="0.3">
      <c r="C579" s="9"/>
      <c r="D579" s="10">
        <v>45880</v>
      </c>
      <c r="E579" t="s">
        <v>305</v>
      </c>
      <c r="F579" s="11" t="s">
        <v>14</v>
      </c>
      <c r="G579" s="8">
        <v>607.04</v>
      </c>
      <c r="H579" s="8">
        <v>0</v>
      </c>
      <c r="I579" s="8">
        <f t="shared" si="20"/>
        <v>607.04</v>
      </c>
      <c r="J579" s="12">
        <v>572000001</v>
      </c>
    </row>
    <row r="580" spans="1:10" x14ac:dyDescent="0.3">
      <c r="C580" s="9"/>
      <c r="D580" s="10">
        <v>45901</v>
      </c>
      <c r="E580" t="s">
        <v>577</v>
      </c>
      <c r="F580" s="11" t="s">
        <v>578</v>
      </c>
      <c r="G580" s="8">
        <v>0</v>
      </c>
      <c r="H580" s="8">
        <v>607.04</v>
      </c>
      <c r="I580" s="8">
        <f t="shared" si="20"/>
        <v>0</v>
      </c>
      <c r="J580" s="12"/>
    </row>
    <row r="581" spans="1:10" x14ac:dyDescent="0.3">
      <c r="C581" s="9"/>
      <c r="D581" s="10">
        <v>45908</v>
      </c>
      <c r="E581" t="s">
        <v>305</v>
      </c>
      <c r="F581" s="11" t="s">
        <v>14</v>
      </c>
      <c r="G581" s="8">
        <v>607.04</v>
      </c>
      <c r="H581" s="8">
        <v>0</v>
      </c>
      <c r="I581" s="8">
        <f t="shared" si="20"/>
        <v>607.04</v>
      </c>
      <c r="J581" s="12">
        <v>572000007</v>
      </c>
    </row>
    <row r="582" spans="1:10" x14ac:dyDescent="0.3">
      <c r="C582" s="9"/>
      <c r="D582" s="10">
        <v>45910</v>
      </c>
      <c r="E582" t="s">
        <v>305</v>
      </c>
      <c r="F582" s="11" t="s">
        <v>14</v>
      </c>
      <c r="G582" s="8">
        <v>607.04</v>
      </c>
      <c r="H582" s="8">
        <v>0</v>
      </c>
      <c r="I582" s="8">
        <f t="shared" si="20"/>
        <v>1214.08</v>
      </c>
      <c r="J582" s="12">
        <v>572000001</v>
      </c>
    </row>
    <row r="583" spans="1:10" x14ac:dyDescent="0.3">
      <c r="E583" s="4" t="s">
        <v>116</v>
      </c>
      <c r="G583" s="8">
        <f>SUM(G563:G582)</f>
        <v>6677.44</v>
      </c>
      <c r="H583" s="8">
        <f>SUM(H563:H582)</f>
        <v>5463.36</v>
      </c>
      <c r="I583" s="8">
        <f>G583-H583</f>
        <v>1214.08</v>
      </c>
    </row>
    <row r="585" spans="1:10" x14ac:dyDescent="0.3">
      <c r="A585" s="5">
        <v>410000088</v>
      </c>
      <c r="B585" s="6" t="s">
        <v>579</v>
      </c>
      <c r="C585" s="7"/>
      <c r="D585" s="7"/>
      <c r="E585" s="7"/>
      <c r="F585" s="7"/>
      <c r="G585" s="7"/>
      <c r="H585" s="7"/>
      <c r="I585" s="7"/>
      <c r="J585" s="7"/>
    </row>
    <row r="586" spans="1:10" x14ac:dyDescent="0.3">
      <c r="E586" s="4" t="s">
        <v>11</v>
      </c>
      <c r="G586" s="8">
        <v>642.9</v>
      </c>
      <c r="H586" s="8">
        <v>0</v>
      </c>
      <c r="I586" s="8">
        <f>G586-H586</f>
        <v>642.9</v>
      </c>
    </row>
    <row r="587" spans="1:10" x14ac:dyDescent="0.3">
      <c r="C587" s="9" t="s">
        <v>12</v>
      </c>
      <c r="D587" s="10">
        <v>45659</v>
      </c>
      <c r="E587" t="s">
        <v>580</v>
      </c>
      <c r="F587" s="11" t="s">
        <v>581</v>
      </c>
      <c r="G587" s="8">
        <v>0</v>
      </c>
      <c r="H587" s="8">
        <v>242</v>
      </c>
      <c r="I587" s="8">
        <f t="shared" ref="I587:I650" si="21">G587-H587+I586</f>
        <v>400.9</v>
      </c>
      <c r="J587" s="12"/>
    </row>
    <row r="588" spans="1:10" x14ac:dyDescent="0.3">
      <c r="C588" s="9" t="s">
        <v>12</v>
      </c>
      <c r="D588" s="10">
        <v>45659</v>
      </c>
      <c r="E588" t="s">
        <v>582</v>
      </c>
      <c r="F588" s="11" t="s">
        <v>583</v>
      </c>
      <c r="G588" s="8">
        <v>0</v>
      </c>
      <c r="H588" s="8">
        <v>132</v>
      </c>
      <c r="I588" s="8">
        <f t="shared" si="21"/>
        <v>268.89999999999998</v>
      </c>
      <c r="J588" s="12"/>
    </row>
    <row r="589" spans="1:10" x14ac:dyDescent="0.3">
      <c r="C589" s="9" t="s">
        <v>12</v>
      </c>
      <c r="D589" s="10">
        <v>45659</v>
      </c>
      <c r="E589" t="s">
        <v>584</v>
      </c>
      <c r="F589" s="11" t="s">
        <v>585</v>
      </c>
      <c r="G589" s="8">
        <v>0</v>
      </c>
      <c r="H589" s="8">
        <v>211.29</v>
      </c>
      <c r="I589" s="8">
        <f t="shared" si="21"/>
        <v>57.609999999999985</v>
      </c>
      <c r="J589" s="12"/>
    </row>
    <row r="590" spans="1:10" x14ac:dyDescent="0.3">
      <c r="C590" s="9" t="s">
        <v>12</v>
      </c>
      <c r="D590" s="10">
        <v>45659</v>
      </c>
      <c r="E590" t="s">
        <v>586</v>
      </c>
      <c r="F590" s="11" t="s">
        <v>587</v>
      </c>
      <c r="G590" s="8">
        <v>0</v>
      </c>
      <c r="H590" s="8">
        <v>57.61</v>
      </c>
      <c r="I590" s="8">
        <f t="shared" si="21"/>
        <v>0</v>
      </c>
      <c r="J590" s="12"/>
    </row>
    <row r="591" spans="1:10" x14ac:dyDescent="0.3">
      <c r="C591" s="9" t="s">
        <v>12</v>
      </c>
      <c r="D591" s="10">
        <v>45666</v>
      </c>
      <c r="E591" t="s">
        <v>588</v>
      </c>
      <c r="F591" s="11" t="s">
        <v>14</v>
      </c>
      <c r="G591" s="8">
        <v>35.26</v>
      </c>
      <c r="H591" s="8">
        <v>0</v>
      </c>
      <c r="I591" s="8">
        <f t="shared" si="21"/>
        <v>35.26</v>
      </c>
      <c r="J591" s="12">
        <v>572000005</v>
      </c>
    </row>
    <row r="592" spans="1:10" x14ac:dyDescent="0.3">
      <c r="C592" s="9" t="s">
        <v>12</v>
      </c>
      <c r="D592" s="10">
        <v>45666</v>
      </c>
      <c r="E592" t="s">
        <v>109</v>
      </c>
      <c r="F592" s="11" t="s">
        <v>589</v>
      </c>
      <c r="G592" s="8">
        <v>0</v>
      </c>
      <c r="H592" s="8">
        <v>35.26</v>
      </c>
      <c r="I592" s="8">
        <f t="shared" si="21"/>
        <v>0</v>
      </c>
      <c r="J592" s="12"/>
    </row>
    <row r="593" spans="3:10" x14ac:dyDescent="0.3">
      <c r="C593" s="9" t="s">
        <v>12</v>
      </c>
      <c r="D593" s="10">
        <v>45670</v>
      </c>
      <c r="E593" t="s">
        <v>588</v>
      </c>
      <c r="F593" s="11" t="s">
        <v>14</v>
      </c>
      <c r="G593" s="8">
        <v>62.71</v>
      </c>
      <c r="H593" s="8">
        <v>0</v>
      </c>
      <c r="I593" s="8">
        <f t="shared" si="21"/>
        <v>62.71</v>
      </c>
      <c r="J593" s="12">
        <v>572000005</v>
      </c>
    </row>
    <row r="594" spans="3:10" x14ac:dyDescent="0.3">
      <c r="C594" s="9" t="s">
        <v>12</v>
      </c>
      <c r="D594" s="10">
        <v>45670</v>
      </c>
      <c r="E594" t="s">
        <v>109</v>
      </c>
      <c r="F594" s="11" t="s">
        <v>590</v>
      </c>
      <c r="G594" s="8">
        <v>0</v>
      </c>
      <c r="H594" s="8">
        <v>62.71</v>
      </c>
      <c r="I594" s="8">
        <f t="shared" si="21"/>
        <v>0</v>
      </c>
      <c r="J594" s="12"/>
    </row>
    <row r="595" spans="3:10" x14ac:dyDescent="0.3">
      <c r="C595" s="9" t="s">
        <v>12</v>
      </c>
      <c r="D595" s="10">
        <v>45671</v>
      </c>
      <c r="E595" t="s">
        <v>588</v>
      </c>
      <c r="F595" s="11" t="s">
        <v>14</v>
      </c>
      <c r="G595" s="8">
        <v>32.369999999999997</v>
      </c>
      <c r="H595" s="8">
        <v>0</v>
      </c>
      <c r="I595" s="8">
        <f t="shared" si="21"/>
        <v>32.369999999999997</v>
      </c>
      <c r="J595" s="12">
        <v>572000005</v>
      </c>
    </row>
    <row r="596" spans="3:10" x14ac:dyDescent="0.3">
      <c r="C596" s="9" t="s">
        <v>12</v>
      </c>
      <c r="D596" s="10">
        <v>45671</v>
      </c>
      <c r="E596" t="s">
        <v>109</v>
      </c>
      <c r="F596" s="11" t="s">
        <v>591</v>
      </c>
      <c r="G596" s="8">
        <v>0</v>
      </c>
      <c r="H596" s="8">
        <v>32.369999999999997</v>
      </c>
      <c r="I596" s="8">
        <f t="shared" si="21"/>
        <v>0</v>
      </c>
      <c r="J596" s="12"/>
    </row>
    <row r="597" spans="3:10" x14ac:dyDescent="0.3">
      <c r="C597" s="9" t="s">
        <v>12</v>
      </c>
      <c r="D597" s="10">
        <v>45674</v>
      </c>
      <c r="E597" t="s">
        <v>588</v>
      </c>
      <c r="F597" s="11" t="s">
        <v>14</v>
      </c>
      <c r="G597" s="8">
        <v>72.959999999999994</v>
      </c>
      <c r="H597" s="8">
        <v>0</v>
      </c>
      <c r="I597" s="8">
        <f t="shared" si="21"/>
        <v>72.959999999999994</v>
      </c>
      <c r="J597" s="12">
        <v>572000005</v>
      </c>
    </row>
    <row r="598" spans="3:10" x14ac:dyDescent="0.3">
      <c r="C598" s="9" t="s">
        <v>12</v>
      </c>
      <c r="D598" s="10">
        <v>45674</v>
      </c>
      <c r="E598" t="s">
        <v>109</v>
      </c>
      <c r="F598" s="11" t="s">
        <v>592</v>
      </c>
      <c r="G598" s="8">
        <v>0</v>
      </c>
      <c r="H598" s="8">
        <v>72.959999999999994</v>
      </c>
      <c r="I598" s="8">
        <f t="shared" si="21"/>
        <v>0</v>
      </c>
      <c r="J598" s="12"/>
    </row>
    <row r="599" spans="3:10" x14ac:dyDescent="0.3">
      <c r="C599" s="9" t="s">
        <v>12</v>
      </c>
      <c r="D599" s="10">
        <v>45677</v>
      </c>
      <c r="E599" t="s">
        <v>588</v>
      </c>
      <c r="F599" s="11" t="s">
        <v>14</v>
      </c>
      <c r="G599" s="8">
        <v>25.45</v>
      </c>
      <c r="H599" s="8">
        <v>0</v>
      </c>
      <c r="I599" s="8">
        <f t="shared" si="21"/>
        <v>25.45</v>
      </c>
      <c r="J599" s="12">
        <v>572000005</v>
      </c>
    </row>
    <row r="600" spans="3:10" x14ac:dyDescent="0.3">
      <c r="C600" s="9" t="s">
        <v>12</v>
      </c>
      <c r="D600" s="10">
        <v>45677</v>
      </c>
      <c r="E600" t="s">
        <v>109</v>
      </c>
      <c r="F600" s="11" t="s">
        <v>593</v>
      </c>
      <c r="G600" s="8">
        <v>0</v>
      </c>
      <c r="H600" s="8">
        <v>25.45</v>
      </c>
      <c r="I600" s="8">
        <f t="shared" si="21"/>
        <v>0</v>
      </c>
      <c r="J600" s="12"/>
    </row>
    <row r="601" spans="3:10" x14ac:dyDescent="0.3">
      <c r="C601" s="9" t="s">
        <v>12</v>
      </c>
      <c r="D601" s="10">
        <v>45678</v>
      </c>
      <c r="E601" t="s">
        <v>588</v>
      </c>
      <c r="F601" s="11" t="s">
        <v>14</v>
      </c>
      <c r="G601" s="8">
        <v>3.91</v>
      </c>
      <c r="H601" s="8">
        <v>0</v>
      </c>
      <c r="I601" s="8">
        <f t="shared" si="21"/>
        <v>3.91</v>
      </c>
      <c r="J601" s="12">
        <v>572000005</v>
      </c>
    </row>
    <row r="602" spans="3:10" x14ac:dyDescent="0.3">
      <c r="C602" s="9" t="s">
        <v>12</v>
      </c>
      <c r="D602" s="10">
        <v>45678</v>
      </c>
      <c r="E602" t="s">
        <v>588</v>
      </c>
      <c r="F602" s="11" t="s">
        <v>14</v>
      </c>
      <c r="G602" s="8">
        <v>14.11</v>
      </c>
      <c r="H602" s="8">
        <v>0</v>
      </c>
      <c r="I602" s="8">
        <f t="shared" si="21"/>
        <v>18.02</v>
      </c>
      <c r="J602" s="12">
        <v>572000005</v>
      </c>
    </row>
    <row r="603" spans="3:10" x14ac:dyDescent="0.3">
      <c r="C603" s="9" t="s">
        <v>12</v>
      </c>
      <c r="D603" s="10">
        <v>45678</v>
      </c>
      <c r="E603" t="s">
        <v>109</v>
      </c>
      <c r="F603" s="11" t="s">
        <v>594</v>
      </c>
      <c r="G603" s="8">
        <v>0</v>
      </c>
      <c r="H603" s="8">
        <v>3.91</v>
      </c>
      <c r="I603" s="8">
        <f t="shared" si="21"/>
        <v>14.11</v>
      </c>
      <c r="J603" s="12"/>
    </row>
    <row r="604" spans="3:10" x14ac:dyDescent="0.3">
      <c r="C604" s="9" t="s">
        <v>12</v>
      </c>
      <c r="D604" s="10">
        <v>45678</v>
      </c>
      <c r="E604" t="s">
        <v>109</v>
      </c>
      <c r="F604" s="11" t="s">
        <v>595</v>
      </c>
      <c r="G604" s="8">
        <v>0</v>
      </c>
      <c r="H604" s="8">
        <v>14.11</v>
      </c>
      <c r="I604" s="8">
        <f t="shared" si="21"/>
        <v>0</v>
      </c>
      <c r="J604" s="12"/>
    </row>
    <row r="605" spans="3:10" x14ac:dyDescent="0.3">
      <c r="C605" s="9" t="s">
        <v>12</v>
      </c>
      <c r="D605" s="10">
        <v>45679</v>
      </c>
      <c r="E605" t="s">
        <v>596</v>
      </c>
      <c r="F605" s="11" t="s">
        <v>14</v>
      </c>
      <c r="G605" s="8">
        <v>54.06</v>
      </c>
      <c r="H605" s="8">
        <v>0</v>
      </c>
      <c r="I605" s="8">
        <f t="shared" si="21"/>
        <v>54.06</v>
      </c>
      <c r="J605" s="12"/>
    </row>
    <row r="606" spans="3:10" x14ac:dyDescent="0.3">
      <c r="C606" s="9" t="s">
        <v>12</v>
      </c>
      <c r="D606" s="10">
        <v>45679</v>
      </c>
      <c r="E606" t="s">
        <v>596</v>
      </c>
      <c r="F606" s="11" t="s">
        <v>14</v>
      </c>
      <c r="G606" s="8">
        <v>219.6</v>
      </c>
      <c r="H606" s="8">
        <v>0</v>
      </c>
      <c r="I606" s="8">
        <f t="shared" si="21"/>
        <v>273.65999999999997</v>
      </c>
      <c r="J606" s="12">
        <v>572000005</v>
      </c>
    </row>
    <row r="607" spans="3:10" x14ac:dyDescent="0.3">
      <c r="C607" s="9" t="s">
        <v>12</v>
      </c>
      <c r="D607" s="10">
        <v>45679</v>
      </c>
      <c r="E607" t="s">
        <v>109</v>
      </c>
      <c r="F607" s="11" t="s">
        <v>597</v>
      </c>
      <c r="G607" s="8">
        <v>0</v>
      </c>
      <c r="H607" s="8">
        <v>219.6</v>
      </c>
      <c r="I607" s="8">
        <f t="shared" si="21"/>
        <v>54.059999999999974</v>
      </c>
      <c r="J607" s="12"/>
    </row>
    <row r="608" spans="3:10" x14ac:dyDescent="0.3">
      <c r="C608" s="9" t="s">
        <v>12</v>
      </c>
      <c r="D608" s="10">
        <v>45679</v>
      </c>
      <c r="E608" t="s">
        <v>109</v>
      </c>
      <c r="F608" s="11" t="s">
        <v>598</v>
      </c>
      <c r="G608" s="8">
        <v>0</v>
      </c>
      <c r="H608" s="8">
        <v>54.06</v>
      </c>
      <c r="I608" s="8">
        <f t="shared" si="21"/>
        <v>0</v>
      </c>
      <c r="J608" s="12"/>
    </row>
    <row r="609" spans="3:10" x14ac:dyDescent="0.3">
      <c r="C609" s="9" t="s">
        <v>12</v>
      </c>
      <c r="D609" s="10">
        <v>45682</v>
      </c>
      <c r="E609" t="s">
        <v>109</v>
      </c>
      <c r="F609" s="11" t="s">
        <v>599</v>
      </c>
      <c r="G609" s="8">
        <v>0</v>
      </c>
      <c r="H609" s="8">
        <v>48.24</v>
      </c>
      <c r="I609" s="8">
        <f t="shared" si="21"/>
        <v>-48.24</v>
      </c>
      <c r="J609" s="12"/>
    </row>
    <row r="610" spans="3:10" x14ac:dyDescent="0.3">
      <c r="C610" s="9" t="s">
        <v>12</v>
      </c>
      <c r="D610" s="10">
        <v>45684</v>
      </c>
      <c r="E610" t="s">
        <v>588</v>
      </c>
      <c r="F610" s="11" t="s">
        <v>14</v>
      </c>
      <c r="G610" s="8">
        <v>76.83</v>
      </c>
      <c r="H610" s="8">
        <v>0</v>
      </c>
      <c r="I610" s="8">
        <f t="shared" si="21"/>
        <v>28.589999999999996</v>
      </c>
      <c r="J610" s="12">
        <v>572000005</v>
      </c>
    </row>
    <row r="611" spans="3:10" x14ac:dyDescent="0.3">
      <c r="C611" s="9" t="s">
        <v>12</v>
      </c>
      <c r="D611" s="10">
        <v>45684</v>
      </c>
      <c r="E611" t="s">
        <v>109</v>
      </c>
      <c r="F611" s="11" t="s">
        <v>600</v>
      </c>
      <c r="G611" s="8">
        <v>0</v>
      </c>
      <c r="H611" s="8">
        <v>76.83</v>
      </c>
      <c r="I611" s="8">
        <f t="shared" si="21"/>
        <v>-48.24</v>
      </c>
      <c r="J611" s="12"/>
    </row>
    <row r="612" spans="3:10" x14ac:dyDescent="0.3">
      <c r="C612" s="9" t="s">
        <v>12</v>
      </c>
      <c r="D612" s="10">
        <v>45692</v>
      </c>
      <c r="E612" t="s">
        <v>588</v>
      </c>
      <c r="F612" s="11" t="s">
        <v>14</v>
      </c>
      <c r="G612" s="8">
        <v>33.92</v>
      </c>
      <c r="H612" s="8">
        <v>0</v>
      </c>
      <c r="I612" s="8">
        <f t="shared" si="21"/>
        <v>-14.32</v>
      </c>
      <c r="J612" s="12">
        <v>572000005</v>
      </c>
    </row>
    <row r="613" spans="3:10" x14ac:dyDescent="0.3">
      <c r="C613" s="9" t="s">
        <v>12</v>
      </c>
      <c r="D613" s="10">
        <v>45692</v>
      </c>
      <c r="E613" t="s">
        <v>109</v>
      </c>
      <c r="F613" s="11" t="s">
        <v>601</v>
      </c>
      <c r="G613" s="8">
        <v>0</v>
      </c>
      <c r="H613" s="8">
        <v>33.92</v>
      </c>
      <c r="I613" s="8">
        <f t="shared" si="21"/>
        <v>-48.24</v>
      </c>
      <c r="J613" s="12"/>
    </row>
    <row r="614" spans="3:10" x14ac:dyDescent="0.3">
      <c r="C614" s="9" t="s">
        <v>12</v>
      </c>
      <c r="D614" s="10">
        <v>45695</v>
      </c>
      <c r="E614" t="s">
        <v>596</v>
      </c>
      <c r="F614" s="11" t="s">
        <v>14</v>
      </c>
      <c r="G614" s="8">
        <v>57.63</v>
      </c>
      <c r="H614" s="8">
        <v>0</v>
      </c>
      <c r="I614" s="8">
        <f t="shared" si="21"/>
        <v>9.39</v>
      </c>
      <c r="J614" s="12">
        <v>572000005</v>
      </c>
    </row>
    <row r="615" spans="3:10" x14ac:dyDescent="0.3">
      <c r="C615" s="9" t="s">
        <v>12</v>
      </c>
      <c r="D615" s="10">
        <v>45698</v>
      </c>
      <c r="E615" t="s">
        <v>588</v>
      </c>
      <c r="F615" s="11" t="s">
        <v>14</v>
      </c>
      <c r="G615" s="8">
        <v>23.59</v>
      </c>
      <c r="H615" s="8">
        <v>0</v>
      </c>
      <c r="I615" s="8">
        <f t="shared" si="21"/>
        <v>32.980000000000004</v>
      </c>
      <c r="J615" s="12">
        <v>572000005</v>
      </c>
    </row>
    <row r="616" spans="3:10" x14ac:dyDescent="0.3">
      <c r="C616" s="9" t="s">
        <v>12</v>
      </c>
      <c r="D616" s="10">
        <v>45698</v>
      </c>
      <c r="E616" t="s">
        <v>588</v>
      </c>
      <c r="F616" s="11" t="s">
        <v>14</v>
      </c>
      <c r="G616" s="8">
        <v>25.35</v>
      </c>
      <c r="H616" s="8">
        <v>0</v>
      </c>
      <c r="I616" s="8">
        <f t="shared" si="21"/>
        <v>58.330000000000005</v>
      </c>
      <c r="J616" s="12">
        <v>572000005</v>
      </c>
    </row>
    <row r="617" spans="3:10" x14ac:dyDescent="0.3">
      <c r="C617" s="9" t="s">
        <v>12</v>
      </c>
      <c r="D617" s="10">
        <v>45699</v>
      </c>
      <c r="E617" t="s">
        <v>588</v>
      </c>
      <c r="F617" s="11" t="s">
        <v>14</v>
      </c>
      <c r="G617" s="8">
        <v>39.76</v>
      </c>
      <c r="H617" s="8">
        <v>0</v>
      </c>
      <c r="I617" s="8">
        <f t="shared" si="21"/>
        <v>98.09</v>
      </c>
      <c r="J617" s="12">
        <v>572000005</v>
      </c>
    </row>
    <row r="618" spans="3:10" x14ac:dyDescent="0.3">
      <c r="C618" s="9" t="s">
        <v>12</v>
      </c>
      <c r="D618" s="10">
        <v>45701</v>
      </c>
      <c r="E618" t="s">
        <v>588</v>
      </c>
      <c r="F618" s="11" t="s">
        <v>14</v>
      </c>
      <c r="G618" s="8">
        <v>37.99</v>
      </c>
      <c r="H618" s="8">
        <v>0</v>
      </c>
      <c r="I618" s="8">
        <f t="shared" si="21"/>
        <v>136.08000000000001</v>
      </c>
      <c r="J618" s="12">
        <v>572000005</v>
      </c>
    </row>
    <row r="619" spans="3:10" x14ac:dyDescent="0.3">
      <c r="C619" s="9" t="s">
        <v>12</v>
      </c>
      <c r="D619" s="10">
        <v>45705</v>
      </c>
      <c r="E619" t="s">
        <v>588</v>
      </c>
      <c r="F619" s="11" t="s">
        <v>14</v>
      </c>
      <c r="G619" s="8">
        <v>76.73</v>
      </c>
      <c r="H619" s="8">
        <v>0</v>
      </c>
      <c r="I619" s="8">
        <f t="shared" si="21"/>
        <v>212.81</v>
      </c>
      <c r="J619" s="12">
        <v>572000005</v>
      </c>
    </row>
    <row r="620" spans="3:10" x14ac:dyDescent="0.3">
      <c r="C620" s="9" t="s">
        <v>12</v>
      </c>
      <c r="D620" s="10">
        <v>45706</v>
      </c>
      <c r="E620" t="s">
        <v>588</v>
      </c>
      <c r="F620" s="11" t="s">
        <v>14</v>
      </c>
      <c r="G620" s="8">
        <v>44.45</v>
      </c>
      <c r="H620" s="8">
        <v>0</v>
      </c>
      <c r="I620" s="8">
        <f t="shared" si="21"/>
        <v>257.26</v>
      </c>
      <c r="J620" s="12">
        <v>572000005</v>
      </c>
    </row>
    <row r="621" spans="3:10" x14ac:dyDescent="0.3">
      <c r="C621" s="9" t="s">
        <v>12</v>
      </c>
      <c r="D621" s="10">
        <v>45709</v>
      </c>
      <c r="E621" t="s">
        <v>588</v>
      </c>
      <c r="F621" s="11" t="s">
        <v>14</v>
      </c>
      <c r="G621" s="8">
        <v>53.23</v>
      </c>
      <c r="H621" s="8">
        <v>0</v>
      </c>
      <c r="I621" s="8">
        <f t="shared" si="21"/>
        <v>310.49</v>
      </c>
      <c r="J621" s="12">
        <v>572000005</v>
      </c>
    </row>
    <row r="622" spans="3:10" x14ac:dyDescent="0.3">
      <c r="C622" s="9" t="s">
        <v>12</v>
      </c>
      <c r="D622" s="10">
        <v>45712</v>
      </c>
      <c r="E622" t="s">
        <v>596</v>
      </c>
      <c r="F622" s="11" t="s">
        <v>14</v>
      </c>
      <c r="G622" s="8">
        <v>133.31</v>
      </c>
      <c r="H622" s="8">
        <v>0</v>
      </c>
      <c r="I622" s="8">
        <f t="shared" si="21"/>
        <v>443.8</v>
      </c>
      <c r="J622" s="12">
        <v>572000005</v>
      </c>
    </row>
    <row r="623" spans="3:10" x14ac:dyDescent="0.3">
      <c r="C623" s="9" t="s">
        <v>12</v>
      </c>
      <c r="D623" s="10">
        <v>45713</v>
      </c>
      <c r="E623" t="s">
        <v>588</v>
      </c>
      <c r="F623" s="11" t="s">
        <v>14</v>
      </c>
      <c r="G623" s="8">
        <v>48.24</v>
      </c>
      <c r="H623" s="8">
        <v>0</v>
      </c>
      <c r="I623" s="8">
        <f t="shared" si="21"/>
        <v>492.04</v>
      </c>
      <c r="J623" s="12">
        <v>572000005</v>
      </c>
    </row>
    <row r="624" spans="3:10" x14ac:dyDescent="0.3">
      <c r="C624" s="9" t="s">
        <v>12</v>
      </c>
      <c r="D624" s="10">
        <v>45716</v>
      </c>
      <c r="E624" t="s">
        <v>588</v>
      </c>
      <c r="F624" s="11" t="s">
        <v>14</v>
      </c>
      <c r="G624" s="8">
        <v>48.02</v>
      </c>
      <c r="H624" s="8">
        <v>0</v>
      </c>
      <c r="I624" s="8">
        <f t="shared" si="21"/>
        <v>540.06000000000006</v>
      </c>
      <c r="J624" s="12">
        <v>572000005</v>
      </c>
    </row>
    <row r="625" spans="3:10" x14ac:dyDescent="0.3">
      <c r="C625" s="9" t="s">
        <v>12</v>
      </c>
      <c r="D625" s="10">
        <v>45716</v>
      </c>
      <c r="E625" t="s">
        <v>109</v>
      </c>
      <c r="F625" s="11" t="s">
        <v>602</v>
      </c>
      <c r="G625" s="8">
        <v>0</v>
      </c>
      <c r="H625" s="8">
        <v>48.02</v>
      </c>
      <c r="I625" s="8">
        <f t="shared" si="21"/>
        <v>492.04000000000008</v>
      </c>
      <c r="J625" s="12"/>
    </row>
    <row r="626" spans="3:10" x14ac:dyDescent="0.3">
      <c r="C626" s="9" t="s">
        <v>12</v>
      </c>
      <c r="D626" s="10">
        <v>45720</v>
      </c>
      <c r="E626" t="s">
        <v>588</v>
      </c>
      <c r="F626" s="11" t="s">
        <v>14</v>
      </c>
      <c r="G626" s="8">
        <v>26.51</v>
      </c>
      <c r="H626" s="8">
        <v>0</v>
      </c>
      <c r="I626" s="8">
        <f t="shared" si="21"/>
        <v>518.55000000000007</v>
      </c>
      <c r="J626" s="12">
        <v>572000005</v>
      </c>
    </row>
    <row r="627" spans="3:10" x14ac:dyDescent="0.3">
      <c r="C627" s="9" t="s">
        <v>12</v>
      </c>
      <c r="D627" s="10">
        <v>45720</v>
      </c>
      <c r="E627" t="s">
        <v>109</v>
      </c>
      <c r="F627" s="11" t="s">
        <v>603</v>
      </c>
      <c r="G627" s="8">
        <v>0</v>
      </c>
      <c r="H627" s="8">
        <v>26.51</v>
      </c>
      <c r="I627" s="8">
        <f t="shared" si="21"/>
        <v>492.04000000000008</v>
      </c>
      <c r="J627" s="12"/>
    </row>
    <row r="628" spans="3:10" x14ac:dyDescent="0.3">
      <c r="C628" s="9" t="s">
        <v>12</v>
      </c>
      <c r="D628" s="10">
        <v>45722</v>
      </c>
      <c r="E628" t="s">
        <v>588</v>
      </c>
      <c r="F628" s="11" t="s">
        <v>14</v>
      </c>
      <c r="G628" s="8">
        <v>24.27</v>
      </c>
      <c r="H628" s="8">
        <v>0</v>
      </c>
      <c r="I628" s="8">
        <f t="shared" si="21"/>
        <v>516.31000000000006</v>
      </c>
      <c r="J628" s="12">
        <v>572000005</v>
      </c>
    </row>
    <row r="629" spans="3:10" x14ac:dyDescent="0.3">
      <c r="C629" s="9" t="s">
        <v>12</v>
      </c>
      <c r="D629" s="10">
        <v>45722</v>
      </c>
      <c r="E629" t="s">
        <v>588</v>
      </c>
      <c r="F629" s="11" t="s">
        <v>14</v>
      </c>
      <c r="G629" s="8">
        <v>27.29</v>
      </c>
      <c r="H629" s="8">
        <v>0</v>
      </c>
      <c r="I629" s="8">
        <f t="shared" si="21"/>
        <v>543.6</v>
      </c>
      <c r="J629" s="12">
        <v>572000005</v>
      </c>
    </row>
    <row r="630" spans="3:10" x14ac:dyDescent="0.3">
      <c r="C630" s="9" t="s">
        <v>12</v>
      </c>
      <c r="D630" s="10">
        <v>45722</v>
      </c>
      <c r="E630" t="s">
        <v>109</v>
      </c>
      <c r="F630" s="11" t="s">
        <v>604</v>
      </c>
      <c r="G630" s="8">
        <v>0</v>
      </c>
      <c r="H630" s="8">
        <v>27.29</v>
      </c>
      <c r="I630" s="8">
        <f t="shared" si="21"/>
        <v>516.31000000000006</v>
      </c>
      <c r="J630" s="12"/>
    </row>
    <row r="631" spans="3:10" x14ac:dyDescent="0.3">
      <c r="C631" s="9" t="s">
        <v>12</v>
      </c>
      <c r="D631" s="10">
        <v>45722</v>
      </c>
      <c r="E631" t="s">
        <v>109</v>
      </c>
      <c r="F631" s="11" t="s">
        <v>605</v>
      </c>
      <c r="G631" s="8">
        <v>0</v>
      </c>
      <c r="H631" s="8">
        <v>24.27</v>
      </c>
      <c r="I631" s="8">
        <f t="shared" si="21"/>
        <v>492.04000000000008</v>
      </c>
      <c r="J631" s="12"/>
    </row>
    <row r="632" spans="3:10" x14ac:dyDescent="0.3">
      <c r="C632" s="9" t="s">
        <v>12</v>
      </c>
      <c r="D632" s="10">
        <v>45727</v>
      </c>
      <c r="E632" t="s">
        <v>588</v>
      </c>
      <c r="F632" s="11" t="s">
        <v>14</v>
      </c>
      <c r="G632" s="8">
        <v>23.18</v>
      </c>
      <c r="H632" s="8">
        <v>0</v>
      </c>
      <c r="I632" s="8">
        <f t="shared" si="21"/>
        <v>515.22</v>
      </c>
      <c r="J632" s="12">
        <v>572000005</v>
      </c>
    </row>
    <row r="633" spans="3:10" x14ac:dyDescent="0.3">
      <c r="C633" s="9" t="s">
        <v>12</v>
      </c>
      <c r="D633" s="10">
        <v>45727</v>
      </c>
      <c r="E633" t="s">
        <v>109</v>
      </c>
      <c r="F633" s="11" t="s">
        <v>606</v>
      </c>
      <c r="G633" s="8">
        <v>0</v>
      </c>
      <c r="H633" s="8">
        <v>23.18</v>
      </c>
      <c r="I633" s="8">
        <f t="shared" si="21"/>
        <v>492.04</v>
      </c>
      <c r="J633" s="12"/>
    </row>
    <row r="634" spans="3:10" x14ac:dyDescent="0.3">
      <c r="C634" s="9" t="s">
        <v>12</v>
      </c>
      <c r="D634" s="10">
        <v>45729</v>
      </c>
      <c r="E634" t="s">
        <v>588</v>
      </c>
      <c r="F634" s="11" t="s">
        <v>14</v>
      </c>
      <c r="G634" s="8">
        <v>17.54</v>
      </c>
      <c r="H634" s="8">
        <v>0</v>
      </c>
      <c r="I634" s="8">
        <f t="shared" si="21"/>
        <v>509.58000000000004</v>
      </c>
      <c r="J634" s="12">
        <v>572000005</v>
      </c>
    </row>
    <row r="635" spans="3:10" x14ac:dyDescent="0.3">
      <c r="C635" s="9" t="s">
        <v>12</v>
      </c>
      <c r="D635" s="10">
        <v>45729</v>
      </c>
      <c r="E635" t="s">
        <v>109</v>
      </c>
      <c r="F635" s="11" t="s">
        <v>607</v>
      </c>
      <c r="G635" s="8">
        <v>0</v>
      </c>
      <c r="H635" s="8">
        <v>17.54</v>
      </c>
      <c r="I635" s="8">
        <f t="shared" si="21"/>
        <v>492.04</v>
      </c>
      <c r="J635" s="12"/>
    </row>
    <row r="636" spans="3:10" x14ac:dyDescent="0.3">
      <c r="C636" s="9" t="s">
        <v>12</v>
      </c>
      <c r="D636" s="10">
        <v>45733</v>
      </c>
      <c r="E636" t="s">
        <v>588</v>
      </c>
      <c r="F636" s="11" t="s">
        <v>14</v>
      </c>
      <c r="G636" s="8">
        <v>32.200000000000003</v>
      </c>
      <c r="H636" s="8">
        <v>0</v>
      </c>
      <c r="I636" s="8">
        <f t="shared" si="21"/>
        <v>524.24</v>
      </c>
      <c r="J636" s="12">
        <v>572000005</v>
      </c>
    </row>
    <row r="637" spans="3:10" x14ac:dyDescent="0.3">
      <c r="C637" s="9" t="s">
        <v>12</v>
      </c>
      <c r="D637" s="10">
        <v>45733</v>
      </c>
      <c r="E637" t="s">
        <v>109</v>
      </c>
      <c r="F637" s="11" t="s">
        <v>608</v>
      </c>
      <c r="G637" s="8">
        <v>0</v>
      </c>
      <c r="H637" s="8">
        <v>32.200000000000003</v>
      </c>
      <c r="I637" s="8">
        <f t="shared" si="21"/>
        <v>492.04</v>
      </c>
      <c r="J637" s="12"/>
    </row>
    <row r="638" spans="3:10" x14ac:dyDescent="0.3">
      <c r="C638" s="9" t="s">
        <v>12</v>
      </c>
      <c r="D638" s="10">
        <v>45737</v>
      </c>
      <c r="E638" t="s">
        <v>588</v>
      </c>
      <c r="F638" s="11" t="s">
        <v>14</v>
      </c>
      <c r="G638" s="8">
        <v>33.25</v>
      </c>
      <c r="H638" s="8">
        <v>0</v>
      </c>
      <c r="I638" s="8">
        <f t="shared" si="21"/>
        <v>525.29</v>
      </c>
      <c r="J638" s="12">
        <v>572000005</v>
      </c>
    </row>
    <row r="639" spans="3:10" x14ac:dyDescent="0.3">
      <c r="C639" s="9" t="s">
        <v>12</v>
      </c>
      <c r="D639" s="10">
        <v>45737</v>
      </c>
      <c r="E639" t="s">
        <v>109</v>
      </c>
      <c r="F639" s="11" t="s">
        <v>609</v>
      </c>
      <c r="G639" s="8">
        <v>0</v>
      </c>
      <c r="H639" s="8">
        <v>33.25</v>
      </c>
      <c r="I639" s="8">
        <f t="shared" si="21"/>
        <v>492.03999999999996</v>
      </c>
      <c r="J639" s="12"/>
    </row>
    <row r="640" spans="3:10" x14ac:dyDescent="0.3">
      <c r="C640" s="9" t="s">
        <v>12</v>
      </c>
      <c r="D640" s="10">
        <v>45741</v>
      </c>
      <c r="E640" t="s">
        <v>588</v>
      </c>
      <c r="F640" s="11" t="s">
        <v>14</v>
      </c>
      <c r="G640" s="8">
        <v>21.46</v>
      </c>
      <c r="H640" s="8">
        <v>0</v>
      </c>
      <c r="I640" s="8">
        <f t="shared" si="21"/>
        <v>513.5</v>
      </c>
      <c r="J640" s="12">
        <v>572000005</v>
      </c>
    </row>
    <row r="641" spans="3:10" x14ac:dyDescent="0.3">
      <c r="C641" s="9" t="s">
        <v>12</v>
      </c>
      <c r="D641" s="10">
        <v>45741</v>
      </c>
      <c r="E641" t="s">
        <v>109</v>
      </c>
      <c r="F641" s="11" t="s">
        <v>610</v>
      </c>
      <c r="G641" s="8">
        <v>0</v>
      </c>
      <c r="H641" s="8">
        <v>21.46</v>
      </c>
      <c r="I641" s="8">
        <f t="shared" si="21"/>
        <v>492.04</v>
      </c>
      <c r="J641" s="12"/>
    </row>
    <row r="642" spans="3:10" x14ac:dyDescent="0.3">
      <c r="C642" s="9" t="s">
        <v>12</v>
      </c>
      <c r="D642" s="10">
        <v>45743</v>
      </c>
      <c r="E642" t="s">
        <v>588</v>
      </c>
      <c r="F642" s="11" t="s">
        <v>14</v>
      </c>
      <c r="G642" s="8">
        <v>27.71</v>
      </c>
      <c r="H642" s="8">
        <v>0</v>
      </c>
      <c r="I642" s="8">
        <f t="shared" si="21"/>
        <v>519.75</v>
      </c>
      <c r="J642" s="12">
        <v>572000005</v>
      </c>
    </row>
    <row r="643" spans="3:10" x14ac:dyDescent="0.3">
      <c r="C643" s="9" t="s">
        <v>12</v>
      </c>
      <c r="D643" s="10">
        <v>45743</v>
      </c>
      <c r="E643" t="s">
        <v>588</v>
      </c>
      <c r="F643" s="11" t="s">
        <v>14</v>
      </c>
      <c r="G643" s="8">
        <v>10.58</v>
      </c>
      <c r="H643" s="8">
        <v>0</v>
      </c>
      <c r="I643" s="8">
        <f t="shared" si="21"/>
        <v>530.33000000000004</v>
      </c>
      <c r="J643" s="12">
        <v>572000005</v>
      </c>
    </row>
    <row r="644" spans="3:10" x14ac:dyDescent="0.3">
      <c r="C644" s="9" t="s">
        <v>12</v>
      </c>
      <c r="D644" s="10">
        <v>45743</v>
      </c>
      <c r="E644" t="s">
        <v>109</v>
      </c>
      <c r="F644" s="11" t="s">
        <v>611</v>
      </c>
      <c r="G644" s="8">
        <v>0</v>
      </c>
      <c r="H644" s="8">
        <v>27.71</v>
      </c>
      <c r="I644" s="8">
        <f t="shared" si="21"/>
        <v>502.62000000000006</v>
      </c>
      <c r="J644" s="12"/>
    </row>
    <row r="645" spans="3:10" x14ac:dyDescent="0.3">
      <c r="C645" s="9" t="s">
        <v>12</v>
      </c>
      <c r="D645" s="10">
        <v>45743</v>
      </c>
      <c r="E645" t="s">
        <v>109</v>
      </c>
      <c r="F645" s="11" t="s">
        <v>612</v>
      </c>
      <c r="G645" s="8">
        <v>0</v>
      </c>
      <c r="H645" s="8">
        <v>10.58</v>
      </c>
      <c r="I645" s="8">
        <f t="shared" si="21"/>
        <v>492.04000000000008</v>
      </c>
      <c r="J645" s="12"/>
    </row>
    <row r="646" spans="3:10" x14ac:dyDescent="0.3">
      <c r="C646" s="9" t="s">
        <v>12</v>
      </c>
      <c r="D646" s="10">
        <v>45748</v>
      </c>
      <c r="E646" t="s">
        <v>613</v>
      </c>
      <c r="F646" s="11" t="s">
        <v>614</v>
      </c>
      <c r="G646" s="8">
        <v>0</v>
      </c>
      <c r="H646" s="8">
        <v>23.59</v>
      </c>
      <c r="I646" s="8">
        <f t="shared" si="21"/>
        <v>468.4500000000001</v>
      </c>
      <c r="J646" s="12"/>
    </row>
    <row r="647" spans="3:10" x14ac:dyDescent="0.3">
      <c r="C647" s="9" t="s">
        <v>12</v>
      </c>
      <c r="D647" s="10">
        <v>45748</v>
      </c>
      <c r="E647" t="s">
        <v>613</v>
      </c>
      <c r="F647" s="11" t="s">
        <v>615</v>
      </c>
      <c r="G647" s="8">
        <v>0</v>
      </c>
      <c r="H647" s="8">
        <v>25.35</v>
      </c>
      <c r="I647" s="8">
        <f t="shared" si="21"/>
        <v>443.10000000000008</v>
      </c>
      <c r="J647" s="12"/>
    </row>
    <row r="648" spans="3:10" x14ac:dyDescent="0.3">
      <c r="C648" s="9" t="s">
        <v>12</v>
      </c>
      <c r="D648" s="10">
        <v>45748</v>
      </c>
      <c r="E648" t="s">
        <v>101</v>
      </c>
      <c r="F648" s="11" t="s">
        <v>616</v>
      </c>
      <c r="G648" s="8">
        <v>0</v>
      </c>
      <c r="H648" s="8">
        <v>39.76</v>
      </c>
      <c r="I648" s="8">
        <f t="shared" si="21"/>
        <v>403.34000000000009</v>
      </c>
      <c r="J648" s="12"/>
    </row>
    <row r="649" spans="3:10" x14ac:dyDescent="0.3">
      <c r="C649" s="9" t="s">
        <v>12</v>
      </c>
      <c r="D649" s="10">
        <v>45748</v>
      </c>
      <c r="E649" t="s">
        <v>617</v>
      </c>
      <c r="F649" s="11" t="s">
        <v>618</v>
      </c>
      <c r="G649" s="8">
        <v>0</v>
      </c>
      <c r="H649" s="8">
        <v>37.99</v>
      </c>
      <c r="I649" s="8">
        <f t="shared" si="21"/>
        <v>365.35000000000008</v>
      </c>
      <c r="J649" s="12"/>
    </row>
    <row r="650" spans="3:10" x14ac:dyDescent="0.3">
      <c r="C650" s="9" t="s">
        <v>12</v>
      </c>
      <c r="D650" s="10">
        <v>45748</v>
      </c>
      <c r="E650" t="s">
        <v>105</v>
      </c>
      <c r="F650" s="11" t="s">
        <v>619</v>
      </c>
      <c r="G650" s="8">
        <v>0</v>
      </c>
      <c r="H650" s="8">
        <v>76.73</v>
      </c>
      <c r="I650" s="8">
        <f t="shared" si="21"/>
        <v>288.62000000000006</v>
      </c>
      <c r="J650" s="12"/>
    </row>
    <row r="651" spans="3:10" x14ac:dyDescent="0.3">
      <c r="C651" s="9" t="s">
        <v>12</v>
      </c>
      <c r="D651" s="10">
        <v>45748</v>
      </c>
      <c r="E651" t="s">
        <v>620</v>
      </c>
      <c r="F651" s="11" t="s">
        <v>621</v>
      </c>
      <c r="G651" s="8">
        <v>0</v>
      </c>
      <c r="H651" s="8">
        <v>44.45</v>
      </c>
      <c r="I651" s="8">
        <f t="shared" ref="I651:I714" si="22">G651-H651+I650</f>
        <v>244.17000000000007</v>
      </c>
      <c r="J651" s="12"/>
    </row>
    <row r="652" spans="3:10" x14ac:dyDescent="0.3">
      <c r="C652" s="9" t="s">
        <v>12</v>
      </c>
      <c r="D652" s="10">
        <v>45748</v>
      </c>
      <c r="E652" t="s">
        <v>622</v>
      </c>
      <c r="F652" s="11" t="s">
        <v>623</v>
      </c>
      <c r="G652" s="8">
        <v>0</v>
      </c>
      <c r="H652" s="8">
        <v>53.23</v>
      </c>
      <c r="I652" s="8">
        <f t="shared" si="22"/>
        <v>190.94000000000008</v>
      </c>
      <c r="J652" s="12"/>
    </row>
    <row r="653" spans="3:10" x14ac:dyDescent="0.3">
      <c r="C653" s="9" t="s">
        <v>12</v>
      </c>
      <c r="D653" s="10">
        <v>45748</v>
      </c>
      <c r="E653" t="s">
        <v>624</v>
      </c>
      <c r="F653" s="11" t="s">
        <v>625</v>
      </c>
      <c r="G653" s="8">
        <v>0</v>
      </c>
      <c r="H653" s="8">
        <v>133.31</v>
      </c>
      <c r="I653" s="8">
        <f t="shared" si="22"/>
        <v>57.630000000000081</v>
      </c>
      <c r="J653" s="12"/>
    </row>
    <row r="654" spans="3:10" x14ac:dyDescent="0.3">
      <c r="C654" s="9" t="s">
        <v>12</v>
      </c>
      <c r="D654" s="10">
        <v>45748</v>
      </c>
      <c r="E654" t="s">
        <v>626</v>
      </c>
      <c r="F654" s="11" t="s">
        <v>627</v>
      </c>
      <c r="G654" s="8">
        <v>0</v>
      </c>
      <c r="H654" s="8">
        <v>57.63</v>
      </c>
      <c r="I654" s="8">
        <f t="shared" si="22"/>
        <v>7.815970093361102E-14</v>
      </c>
      <c r="J654" s="12"/>
    </row>
    <row r="655" spans="3:10" x14ac:dyDescent="0.3">
      <c r="C655" s="9" t="s">
        <v>12</v>
      </c>
      <c r="D655" s="10">
        <v>45748</v>
      </c>
      <c r="E655" t="s">
        <v>588</v>
      </c>
      <c r="F655" s="11" t="s">
        <v>14</v>
      </c>
      <c r="G655" s="8">
        <v>61.05</v>
      </c>
      <c r="H655" s="8">
        <v>0</v>
      </c>
      <c r="I655" s="8">
        <f t="shared" si="22"/>
        <v>61.050000000000075</v>
      </c>
      <c r="J655" s="12">
        <v>572000005</v>
      </c>
    </row>
    <row r="656" spans="3:10" x14ac:dyDescent="0.3">
      <c r="C656" s="9" t="s">
        <v>12</v>
      </c>
      <c r="D656" s="10">
        <v>45748</v>
      </c>
      <c r="E656" t="s">
        <v>109</v>
      </c>
      <c r="F656" s="11" t="s">
        <v>628</v>
      </c>
      <c r="G656" s="8">
        <v>0</v>
      </c>
      <c r="H656" s="8">
        <v>61.05</v>
      </c>
      <c r="I656" s="8">
        <f t="shared" si="22"/>
        <v>7.815970093361102E-14</v>
      </c>
      <c r="J656" s="12"/>
    </row>
    <row r="657" spans="3:10" x14ac:dyDescent="0.3">
      <c r="C657" s="9" t="s">
        <v>12</v>
      </c>
      <c r="D657" s="10">
        <v>45749</v>
      </c>
      <c r="E657" t="s">
        <v>596</v>
      </c>
      <c r="F657" s="11" t="s">
        <v>14</v>
      </c>
      <c r="G657" s="8">
        <v>120.02</v>
      </c>
      <c r="H657" s="8">
        <v>0</v>
      </c>
      <c r="I657" s="8">
        <f t="shared" si="22"/>
        <v>120.02000000000007</v>
      </c>
      <c r="J657" s="12">
        <v>572000005</v>
      </c>
    </row>
    <row r="658" spans="3:10" x14ac:dyDescent="0.3">
      <c r="C658" s="9" t="s">
        <v>12</v>
      </c>
      <c r="D658" s="10">
        <v>45749</v>
      </c>
      <c r="E658" t="s">
        <v>109</v>
      </c>
      <c r="F658" s="11" t="s">
        <v>629</v>
      </c>
      <c r="G658" s="8">
        <v>0</v>
      </c>
      <c r="H658" s="8">
        <v>120.02</v>
      </c>
      <c r="I658" s="8">
        <f t="shared" si="22"/>
        <v>0</v>
      </c>
      <c r="J658" s="12"/>
    </row>
    <row r="659" spans="3:10" x14ac:dyDescent="0.3">
      <c r="C659" s="9" t="s">
        <v>12</v>
      </c>
      <c r="D659" s="10">
        <v>45763</v>
      </c>
      <c r="E659" t="s">
        <v>588</v>
      </c>
      <c r="F659" s="11" t="s">
        <v>14</v>
      </c>
      <c r="G659" s="8">
        <v>4.74</v>
      </c>
      <c r="H659" s="8">
        <v>0</v>
      </c>
      <c r="I659" s="8">
        <f t="shared" si="22"/>
        <v>4.74</v>
      </c>
      <c r="J659" s="12">
        <v>572000005</v>
      </c>
    </row>
    <row r="660" spans="3:10" x14ac:dyDescent="0.3">
      <c r="C660" s="9" t="s">
        <v>12</v>
      </c>
      <c r="D660" s="10">
        <v>45763</v>
      </c>
      <c r="E660" t="s">
        <v>109</v>
      </c>
      <c r="F660" s="11" t="s">
        <v>14</v>
      </c>
      <c r="G660" s="8">
        <v>0</v>
      </c>
      <c r="H660" s="8">
        <v>4.74</v>
      </c>
      <c r="I660" s="8">
        <f t="shared" si="22"/>
        <v>0</v>
      </c>
      <c r="J660" s="12"/>
    </row>
    <row r="661" spans="3:10" x14ac:dyDescent="0.3">
      <c r="C661" s="9" t="s">
        <v>12</v>
      </c>
      <c r="D661" s="10">
        <v>45764</v>
      </c>
      <c r="E661" t="s">
        <v>596</v>
      </c>
      <c r="F661" s="11" t="s">
        <v>14</v>
      </c>
      <c r="G661" s="8">
        <v>52.73</v>
      </c>
      <c r="H661" s="8">
        <v>0</v>
      </c>
      <c r="I661" s="8">
        <f t="shared" si="22"/>
        <v>52.73</v>
      </c>
      <c r="J661" s="12">
        <v>572000005</v>
      </c>
    </row>
    <row r="662" spans="3:10" x14ac:dyDescent="0.3">
      <c r="C662" s="9" t="s">
        <v>12</v>
      </c>
      <c r="D662" s="10">
        <v>45764</v>
      </c>
      <c r="E662" t="s">
        <v>109</v>
      </c>
      <c r="F662" s="11" t="s">
        <v>630</v>
      </c>
      <c r="G662" s="8">
        <v>0</v>
      </c>
      <c r="H662" s="8">
        <v>52.73</v>
      </c>
      <c r="I662" s="8">
        <f t="shared" si="22"/>
        <v>0</v>
      </c>
      <c r="J662" s="12"/>
    </row>
    <row r="663" spans="3:10" x14ac:dyDescent="0.3">
      <c r="C663" s="9" t="s">
        <v>12</v>
      </c>
      <c r="D663" s="10">
        <v>45769</v>
      </c>
      <c r="E663" t="s">
        <v>588</v>
      </c>
      <c r="F663" s="11" t="s">
        <v>14</v>
      </c>
      <c r="G663" s="8">
        <v>2.37</v>
      </c>
      <c r="H663" s="8">
        <v>0</v>
      </c>
      <c r="I663" s="8">
        <f t="shared" si="22"/>
        <v>2.37</v>
      </c>
      <c r="J663" s="12">
        <v>572000005</v>
      </c>
    </row>
    <row r="664" spans="3:10" x14ac:dyDescent="0.3">
      <c r="C664" s="9" t="s">
        <v>12</v>
      </c>
      <c r="D664" s="10">
        <v>45771</v>
      </c>
      <c r="E664" t="s">
        <v>588</v>
      </c>
      <c r="F664" s="11" t="s">
        <v>14</v>
      </c>
      <c r="G664" s="8">
        <v>7.11</v>
      </c>
      <c r="H664" s="8">
        <v>0</v>
      </c>
      <c r="I664" s="8">
        <f t="shared" si="22"/>
        <v>9.48</v>
      </c>
      <c r="J664" s="12">
        <v>572000005</v>
      </c>
    </row>
    <row r="665" spans="3:10" x14ac:dyDescent="0.3">
      <c r="C665" s="9" t="s">
        <v>12</v>
      </c>
      <c r="D665" s="10">
        <v>45771</v>
      </c>
      <c r="E665" t="s">
        <v>109</v>
      </c>
      <c r="F665" s="11" t="s">
        <v>631</v>
      </c>
      <c r="G665" s="8">
        <v>0</v>
      </c>
      <c r="H665" s="8">
        <v>7.11</v>
      </c>
      <c r="I665" s="8">
        <f t="shared" si="22"/>
        <v>2.37</v>
      </c>
      <c r="J665" s="12"/>
    </row>
    <row r="666" spans="3:10" x14ac:dyDescent="0.3">
      <c r="C666" s="9" t="s">
        <v>12</v>
      </c>
      <c r="D666" s="10">
        <v>45771</v>
      </c>
      <c r="E666" t="s">
        <v>109</v>
      </c>
      <c r="F666" s="11" t="s">
        <v>632</v>
      </c>
      <c r="G666" s="8">
        <v>0</v>
      </c>
      <c r="H666" s="8">
        <v>2.37</v>
      </c>
      <c r="I666" s="8">
        <f t="shared" si="22"/>
        <v>0</v>
      </c>
      <c r="J666" s="12"/>
    </row>
    <row r="667" spans="3:10" x14ac:dyDescent="0.3">
      <c r="C667" s="9" t="s">
        <v>12</v>
      </c>
      <c r="D667" s="10">
        <v>45772</v>
      </c>
      <c r="E667" t="s">
        <v>588</v>
      </c>
      <c r="F667" s="11" t="s">
        <v>14</v>
      </c>
      <c r="G667" s="8">
        <v>2.37</v>
      </c>
      <c r="H667" s="8">
        <v>0</v>
      </c>
      <c r="I667" s="8">
        <f t="shared" si="22"/>
        <v>2.37</v>
      </c>
      <c r="J667" s="12">
        <v>572000005</v>
      </c>
    </row>
    <row r="668" spans="3:10" x14ac:dyDescent="0.3">
      <c r="C668" s="9" t="s">
        <v>12</v>
      </c>
      <c r="D668" s="10">
        <v>45772</v>
      </c>
      <c r="E668" t="s">
        <v>109</v>
      </c>
      <c r="F668" s="11" t="s">
        <v>633</v>
      </c>
      <c r="G668" s="8">
        <v>0</v>
      </c>
      <c r="H668" s="8">
        <v>2.37</v>
      </c>
      <c r="I668" s="8">
        <f t="shared" si="22"/>
        <v>0</v>
      </c>
      <c r="J668" s="12"/>
    </row>
    <row r="669" spans="3:10" x14ac:dyDescent="0.3">
      <c r="C669" s="9" t="s">
        <v>12</v>
      </c>
      <c r="D669" s="10">
        <v>45779</v>
      </c>
      <c r="E669" t="s">
        <v>588</v>
      </c>
      <c r="F669" s="11" t="s">
        <v>14</v>
      </c>
      <c r="G669" s="8">
        <v>2.37</v>
      </c>
      <c r="H669" s="8">
        <v>0</v>
      </c>
      <c r="I669" s="8">
        <f t="shared" si="22"/>
        <v>2.37</v>
      </c>
      <c r="J669" s="12">
        <v>572000005</v>
      </c>
    </row>
    <row r="670" spans="3:10" x14ac:dyDescent="0.3">
      <c r="C670" s="9" t="s">
        <v>12</v>
      </c>
      <c r="D670" s="10">
        <v>45779</v>
      </c>
      <c r="E670" t="s">
        <v>588</v>
      </c>
      <c r="F670" s="11" t="s">
        <v>14</v>
      </c>
      <c r="G670" s="8">
        <v>110.49</v>
      </c>
      <c r="H670" s="8">
        <v>0</v>
      </c>
      <c r="I670" s="8">
        <f t="shared" si="22"/>
        <v>112.86</v>
      </c>
      <c r="J670" s="12">
        <v>572000005</v>
      </c>
    </row>
    <row r="671" spans="3:10" x14ac:dyDescent="0.3">
      <c r="C671" s="9" t="s">
        <v>12</v>
      </c>
      <c r="D671" s="10">
        <v>45779</v>
      </c>
      <c r="E671" t="s">
        <v>109</v>
      </c>
      <c r="F671" s="11" t="s">
        <v>634</v>
      </c>
      <c r="G671" s="8">
        <v>0</v>
      </c>
      <c r="H671" s="8">
        <v>2.37</v>
      </c>
      <c r="I671" s="8">
        <f t="shared" si="22"/>
        <v>110.49</v>
      </c>
      <c r="J671" s="12"/>
    </row>
    <row r="672" spans="3:10" x14ac:dyDescent="0.3">
      <c r="C672" s="9" t="s">
        <v>12</v>
      </c>
      <c r="D672" s="10">
        <v>45779</v>
      </c>
      <c r="E672" t="s">
        <v>109</v>
      </c>
      <c r="F672" s="11" t="s">
        <v>635</v>
      </c>
      <c r="G672" s="8">
        <v>0</v>
      </c>
      <c r="H672" s="8">
        <v>110.49</v>
      </c>
      <c r="I672" s="8">
        <f t="shared" si="22"/>
        <v>0</v>
      </c>
      <c r="J672" s="12"/>
    </row>
    <row r="673" spans="3:10" x14ac:dyDescent="0.3">
      <c r="C673" s="9" t="s">
        <v>12</v>
      </c>
      <c r="D673" s="10">
        <v>45782</v>
      </c>
      <c r="E673" t="s">
        <v>588</v>
      </c>
      <c r="F673" s="11" t="s">
        <v>14</v>
      </c>
      <c r="G673" s="8">
        <v>4.74</v>
      </c>
      <c r="H673" s="8">
        <v>0</v>
      </c>
      <c r="I673" s="8">
        <f t="shared" si="22"/>
        <v>4.74</v>
      </c>
      <c r="J673" s="12">
        <v>572000005</v>
      </c>
    </row>
    <row r="674" spans="3:10" x14ac:dyDescent="0.3">
      <c r="C674" s="9" t="s">
        <v>12</v>
      </c>
      <c r="D674" s="10">
        <v>45782</v>
      </c>
      <c r="E674" t="s">
        <v>588</v>
      </c>
      <c r="F674" s="11" t="s">
        <v>14</v>
      </c>
      <c r="G674" s="8">
        <v>41.93</v>
      </c>
      <c r="H674" s="8">
        <v>0</v>
      </c>
      <c r="I674" s="8">
        <f t="shared" si="22"/>
        <v>46.67</v>
      </c>
      <c r="J674" s="12">
        <v>572000005</v>
      </c>
    </row>
    <row r="675" spans="3:10" x14ac:dyDescent="0.3">
      <c r="C675" s="9" t="s">
        <v>12</v>
      </c>
      <c r="D675" s="10">
        <v>45782</v>
      </c>
      <c r="E675" t="s">
        <v>109</v>
      </c>
      <c r="F675" s="11" t="s">
        <v>636</v>
      </c>
      <c r="G675" s="8">
        <v>0</v>
      </c>
      <c r="H675" s="8">
        <v>4.74</v>
      </c>
      <c r="I675" s="8">
        <f t="shared" si="22"/>
        <v>41.93</v>
      </c>
      <c r="J675" s="12"/>
    </row>
    <row r="676" spans="3:10" x14ac:dyDescent="0.3">
      <c r="C676" s="9" t="s">
        <v>12</v>
      </c>
      <c r="D676" s="10">
        <v>45782</v>
      </c>
      <c r="E676" t="s">
        <v>109</v>
      </c>
      <c r="F676" s="11" t="s">
        <v>637</v>
      </c>
      <c r="G676" s="8">
        <v>0</v>
      </c>
      <c r="H676" s="8">
        <v>41.93</v>
      </c>
      <c r="I676" s="8">
        <f t="shared" si="22"/>
        <v>0</v>
      </c>
      <c r="J676" s="12"/>
    </row>
    <row r="677" spans="3:10" x14ac:dyDescent="0.3">
      <c r="C677" s="9" t="s">
        <v>12</v>
      </c>
      <c r="D677" s="10">
        <v>45784</v>
      </c>
      <c r="E677" t="s">
        <v>588</v>
      </c>
      <c r="F677" s="11" t="s">
        <v>14</v>
      </c>
      <c r="G677" s="8">
        <v>7.11</v>
      </c>
      <c r="H677" s="8">
        <v>0</v>
      </c>
      <c r="I677" s="8">
        <f t="shared" si="22"/>
        <v>7.11</v>
      </c>
      <c r="J677" s="12">
        <v>572000005</v>
      </c>
    </row>
    <row r="678" spans="3:10" x14ac:dyDescent="0.3">
      <c r="C678" s="9" t="s">
        <v>12</v>
      </c>
      <c r="D678" s="10">
        <v>45784</v>
      </c>
      <c r="E678" t="s">
        <v>109</v>
      </c>
      <c r="F678" s="11" t="s">
        <v>638</v>
      </c>
      <c r="G678" s="8">
        <v>0</v>
      </c>
      <c r="H678" s="8">
        <v>7.11</v>
      </c>
      <c r="I678" s="8">
        <f t="shared" si="22"/>
        <v>0</v>
      </c>
      <c r="J678" s="12"/>
    </row>
    <row r="679" spans="3:10" x14ac:dyDescent="0.3">
      <c r="C679" s="9" t="s">
        <v>12</v>
      </c>
      <c r="D679" s="10">
        <v>45785</v>
      </c>
      <c r="E679" t="s">
        <v>588</v>
      </c>
      <c r="F679" s="11" t="s">
        <v>14</v>
      </c>
      <c r="G679" s="8">
        <v>2.37</v>
      </c>
      <c r="H679" s="8">
        <v>0</v>
      </c>
      <c r="I679" s="8">
        <f t="shared" si="22"/>
        <v>2.37</v>
      </c>
      <c r="J679" s="12">
        <v>572000005</v>
      </c>
    </row>
    <row r="680" spans="3:10" x14ac:dyDescent="0.3">
      <c r="C680" s="9" t="s">
        <v>12</v>
      </c>
      <c r="D680" s="10">
        <v>45785</v>
      </c>
      <c r="E680" t="s">
        <v>109</v>
      </c>
      <c r="F680" s="11" t="s">
        <v>639</v>
      </c>
      <c r="G680" s="8">
        <v>0</v>
      </c>
      <c r="H680" s="8">
        <v>2.37</v>
      </c>
      <c r="I680" s="8">
        <f t="shared" si="22"/>
        <v>0</v>
      </c>
      <c r="J680" s="12"/>
    </row>
    <row r="681" spans="3:10" x14ac:dyDescent="0.3">
      <c r="C681" s="9" t="s">
        <v>12</v>
      </c>
      <c r="D681" s="10">
        <v>45786</v>
      </c>
      <c r="E681" t="s">
        <v>588</v>
      </c>
      <c r="F681" s="11" t="s">
        <v>14</v>
      </c>
      <c r="G681" s="8">
        <v>4.74</v>
      </c>
      <c r="H681" s="8">
        <v>0</v>
      </c>
      <c r="I681" s="8">
        <f t="shared" si="22"/>
        <v>4.74</v>
      </c>
      <c r="J681" s="12">
        <v>572000005</v>
      </c>
    </row>
    <row r="682" spans="3:10" x14ac:dyDescent="0.3">
      <c r="C682" s="9" t="s">
        <v>12</v>
      </c>
      <c r="D682" s="10">
        <v>45786</v>
      </c>
      <c r="E682" t="s">
        <v>109</v>
      </c>
      <c r="F682" s="11" t="s">
        <v>640</v>
      </c>
      <c r="G682" s="8">
        <v>0</v>
      </c>
      <c r="H682" s="8">
        <v>4.74</v>
      </c>
      <c r="I682" s="8">
        <f t="shared" si="22"/>
        <v>0</v>
      </c>
      <c r="J682" s="12"/>
    </row>
    <row r="683" spans="3:10" x14ac:dyDescent="0.3">
      <c r="C683" s="9" t="s">
        <v>12</v>
      </c>
      <c r="D683" s="10">
        <v>45789</v>
      </c>
      <c r="E683" t="s">
        <v>588</v>
      </c>
      <c r="F683" s="11" t="s">
        <v>14</v>
      </c>
      <c r="G683" s="8">
        <v>7.11</v>
      </c>
      <c r="H683" s="8">
        <v>0</v>
      </c>
      <c r="I683" s="8">
        <f t="shared" si="22"/>
        <v>7.11</v>
      </c>
      <c r="J683" s="12">
        <v>572000005</v>
      </c>
    </row>
    <row r="684" spans="3:10" x14ac:dyDescent="0.3">
      <c r="C684" s="9" t="s">
        <v>12</v>
      </c>
      <c r="D684" s="10">
        <v>45789</v>
      </c>
      <c r="E684" t="s">
        <v>109</v>
      </c>
      <c r="F684" s="11" t="s">
        <v>641</v>
      </c>
      <c r="G684" s="8">
        <v>0</v>
      </c>
      <c r="H684" s="8">
        <v>7.11</v>
      </c>
      <c r="I684" s="8">
        <f t="shared" si="22"/>
        <v>0</v>
      </c>
      <c r="J684" s="12"/>
    </row>
    <row r="685" spans="3:10" x14ac:dyDescent="0.3">
      <c r="C685" s="9" t="s">
        <v>12</v>
      </c>
      <c r="D685" s="10">
        <v>45791</v>
      </c>
      <c r="E685" t="s">
        <v>588</v>
      </c>
      <c r="F685" s="11" t="s">
        <v>14</v>
      </c>
      <c r="G685" s="8">
        <v>2.37</v>
      </c>
      <c r="H685" s="8">
        <v>0</v>
      </c>
      <c r="I685" s="8">
        <f t="shared" si="22"/>
        <v>2.37</v>
      </c>
      <c r="J685" s="12">
        <v>572000005</v>
      </c>
    </row>
    <row r="686" spans="3:10" x14ac:dyDescent="0.3">
      <c r="C686" s="9" t="s">
        <v>12</v>
      </c>
      <c r="D686" s="10">
        <v>45791</v>
      </c>
      <c r="E686" t="s">
        <v>596</v>
      </c>
      <c r="F686" s="11" t="s">
        <v>14</v>
      </c>
      <c r="G686" s="8">
        <v>40.03</v>
      </c>
      <c r="H686" s="8">
        <v>0</v>
      </c>
      <c r="I686" s="8">
        <f t="shared" si="22"/>
        <v>42.4</v>
      </c>
      <c r="J686" s="12">
        <v>572000005</v>
      </c>
    </row>
    <row r="687" spans="3:10" x14ac:dyDescent="0.3">
      <c r="C687" s="9" t="s">
        <v>12</v>
      </c>
      <c r="D687" s="10">
        <v>45791</v>
      </c>
      <c r="E687" t="s">
        <v>109</v>
      </c>
      <c r="F687" s="11" t="s">
        <v>642</v>
      </c>
      <c r="G687" s="8">
        <v>0</v>
      </c>
      <c r="H687" s="8">
        <v>2.37</v>
      </c>
      <c r="I687" s="8">
        <f t="shared" si="22"/>
        <v>40.03</v>
      </c>
      <c r="J687" s="12"/>
    </row>
    <row r="688" spans="3:10" x14ac:dyDescent="0.3">
      <c r="C688" s="9" t="s">
        <v>12</v>
      </c>
      <c r="D688" s="10">
        <v>45791</v>
      </c>
      <c r="E688" t="s">
        <v>109</v>
      </c>
      <c r="F688" s="11" t="s">
        <v>643</v>
      </c>
      <c r="G688" s="8">
        <v>0</v>
      </c>
      <c r="H688" s="8">
        <v>40.03</v>
      </c>
      <c r="I688" s="8">
        <f t="shared" si="22"/>
        <v>0</v>
      </c>
      <c r="J688" s="12"/>
    </row>
    <row r="689" spans="3:10" x14ac:dyDescent="0.3">
      <c r="C689" s="9" t="s">
        <v>12</v>
      </c>
      <c r="D689" s="10">
        <v>45792</v>
      </c>
      <c r="E689" t="s">
        <v>588</v>
      </c>
      <c r="F689" s="11" t="s">
        <v>14</v>
      </c>
      <c r="G689" s="8">
        <v>9.49</v>
      </c>
      <c r="H689" s="8">
        <v>0</v>
      </c>
      <c r="I689" s="8">
        <f t="shared" si="22"/>
        <v>9.49</v>
      </c>
      <c r="J689" s="12">
        <v>572000005</v>
      </c>
    </row>
    <row r="690" spans="3:10" x14ac:dyDescent="0.3">
      <c r="C690" s="9" t="s">
        <v>12</v>
      </c>
      <c r="D690" s="10">
        <v>45792</v>
      </c>
      <c r="E690" t="s">
        <v>109</v>
      </c>
      <c r="F690" s="11" t="s">
        <v>644</v>
      </c>
      <c r="G690" s="8">
        <v>0</v>
      </c>
      <c r="H690" s="8">
        <v>9.49</v>
      </c>
      <c r="I690" s="8">
        <f t="shared" si="22"/>
        <v>0</v>
      </c>
      <c r="J690" s="12"/>
    </row>
    <row r="691" spans="3:10" x14ac:dyDescent="0.3">
      <c r="C691" s="9" t="s">
        <v>12</v>
      </c>
      <c r="D691" s="10">
        <v>45793</v>
      </c>
      <c r="E691" t="s">
        <v>588</v>
      </c>
      <c r="F691" s="11" t="s">
        <v>14</v>
      </c>
      <c r="G691" s="8">
        <v>2.37</v>
      </c>
      <c r="H691" s="8">
        <v>0</v>
      </c>
      <c r="I691" s="8">
        <f t="shared" si="22"/>
        <v>2.37</v>
      </c>
      <c r="J691" s="12">
        <v>572000005</v>
      </c>
    </row>
    <row r="692" spans="3:10" x14ac:dyDescent="0.3">
      <c r="C692" s="9" t="s">
        <v>12</v>
      </c>
      <c r="D692" s="10">
        <v>45793</v>
      </c>
      <c r="E692" t="s">
        <v>109</v>
      </c>
      <c r="F692" s="11" t="s">
        <v>645</v>
      </c>
      <c r="G692" s="8">
        <v>0</v>
      </c>
      <c r="H692" s="8">
        <v>2.37</v>
      </c>
      <c r="I692" s="8">
        <f t="shared" si="22"/>
        <v>0</v>
      </c>
      <c r="J692" s="12"/>
    </row>
    <row r="693" spans="3:10" x14ac:dyDescent="0.3">
      <c r="C693" s="9" t="s">
        <v>12</v>
      </c>
      <c r="D693" s="10">
        <v>45797</v>
      </c>
      <c r="E693" t="s">
        <v>588</v>
      </c>
      <c r="F693" s="11" t="s">
        <v>14</v>
      </c>
      <c r="G693" s="8">
        <v>2.37</v>
      </c>
      <c r="H693" s="8">
        <v>0</v>
      </c>
      <c r="I693" s="8">
        <f t="shared" si="22"/>
        <v>2.37</v>
      </c>
      <c r="J693" s="12">
        <v>572000005</v>
      </c>
    </row>
    <row r="694" spans="3:10" x14ac:dyDescent="0.3">
      <c r="C694" s="9" t="s">
        <v>12</v>
      </c>
      <c r="D694" s="10">
        <v>45797</v>
      </c>
      <c r="E694" t="s">
        <v>109</v>
      </c>
      <c r="F694" s="11" t="s">
        <v>646</v>
      </c>
      <c r="G694" s="8">
        <v>0</v>
      </c>
      <c r="H694" s="8">
        <v>2.37</v>
      </c>
      <c r="I694" s="8">
        <f t="shared" si="22"/>
        <v>0</v>
      </c>
      <c r="J694" s="12"/>
    </row>
    <row r="695" spans="3:10" x14ac:dyDescent="0.3">
      <c r="C695" s="9" t="s">
        <v>12</v>
      </c>
      <c r="D695" s="10">
        <v>45799</v>
      </c>
      <c r="E695" t="s">
        <v>588</v>
      </c>
      <c r="F695" s="11" t="s">
        <v>14</v>
      </c>
      <c r="G695" s="8">
        <v>2.37</v>
      </c>
      <c r="H695" s="8">
        <v>0</v>
      </c>
      <c r="I695" s="8">
        <f t="shared" si="22"/>
        <v>2.37</v>
      </c>
      <c r="J695" s="12">
        <v>572000005</v>
      </c>
    </row>
    <row r="696" spans="3:10" x14ac:dyDescent="0.3">
      <c r="C696" s="9" t="s">
        <v>12</v>
      </c>
      <c r="D696" s="10">
        <v>45799</v>
      </c>
      <c r="E696" t="s">
        <v>109</v>
      </c>
      <c r="F696" s="11" t="s">
        <v>647</v>
      </c>
      <c r="G696" s="8">
        <v>0</v>
      </c>
      <c r="H696" s="8">
        <v>2.37</v>
      </c>
      <c r="I696" s="8">
        <f t="shared" si="22"/>
        <v>0</v>
      </c>
      <c r="J696" s="12"/>
    </row>
    <row r="697" spans="3:10" x14ac:dyDescent="0.3">
      <c r="C697" s="9" t="s">
        <v>12</v>
      </c>
      <c r="D697" s="10">
        <v>45800</v>
      </c>
      <c r="E697" t="s">
        <v>588</v>
      </c>
      <c r="F697" s="11" t="s">
        <v>14</v>
      </c>
      <c r="G697" s="8">
        <v>4.74</v>
      </c>
      <c r="H697" s="8">
        <v>0</v>
      </c>
      <c r="I697" s="8">
        <f t="shared" si="22"/>
        <v>4.74</v>
      </c>
      <c r="J697" s="12">
        <v>572000005</v>
      </c>
    </row>
    <row r="698" spans="3:10" x14ac:dyDescent="0.3">
      <c r="C698" s="9" t="s">
        <v>12</v>
      </c>
      <c r="D698" s="10">
        <v>45800</v>
      </c>
      <c r="E698" t="s">
        <v>109</v>
      </c>
      <c r="F698" s="11" t="s">
        <v>648</v>
      </c>
      <c r="G698" s="8">
        <v>0</v>
      </c>
      <c r="H698" s="8">
        <v>4.74</v>
      </c>
      <c r="I698" s="8">
        <f t="shared" si="22"/>
        <v>0</v>
      </c>
      <c r="J698" s="12"/>
    </row>
    <row r="699" spans="3:10" x14ac:dyDescent="0.3">
      <c r="C699" s="9" t="s">
        <v>12</v>
      </c>
      <c r="D699" s="10">
        <v>45803</v>
      </c>
      <c r="E699" t="s">
        <v>588</v>
      </c>
      <c r="F699" s="11" t="s">
        <v>14</v>
      </c>
      <c r="G699" s="8">
        <v>4.74</v>
      </c>
      <c r="H699" s="8">
        <v>0</v>
      </c>
      <c r="I699" s="8">
        <f t="shared" si="22"/>
        <v>4.74</v>
      </c>
      <c r="J699" s="12">
        <v>572000005</v>
      </c>
    </row>
    <row r="700" spans="3:10" x14ac:dyDescent="0.3">
      <c r="C700" s="9" t="s">
        <v>12</v>
      </c>
      <c r="D700" s="10">
        <v>45803</v>
      </c>
      <c r="E700" t="s">
        <v>109</v>
      </c>
      <c r="F700" s="11" t="s">
        <v>649</v>
      </c>
      <c r="G700" s="8">
        <v>0</v>
      </c>
      <c r="H700" s="8">
        <v>4.74</v>
      </c>
      <c r="I700" s="8">
        <f t="shared" si="22"/>
        <v>0</v>
      </c>
      <c r="J700" s="12"/>
    </row>
    <row r="701" spans="3:10" x14ac:dyDescent="0.3">
      <c r="C701" s="9" t="s">
        <v>12</v>
      </c>
      <c r="D701" s="10">
        <v>45805</v>
      </c>
      <c r="E701" t="s">
        <v>588</v>
      </c>
      <c r="F701" s="11" t="s">
        <v>14</v>
      </c>
      <c r="G701" s="8">
        <v>35.06</v>
      </c>
      <c r="H701" s="8">
        <v>0</v>
      </c>
      <c r="I701" s="8">
        <f t="shared" si="22"/>
        <v>35.06</v>
      </c>
      <c r="J701" s="12">
        <v>572000005</v>
      </c>
    </row>
    <row r="702" spans="3:10" x14ac:dyDescent="0.3">
      <c r="C702" s="9" t="s">
        <v>12</v>
      </c>
      <c r="D702" s="10">
        <v>45805</v>
      </c>
      <c r="E702" t="s">
        <v>109</v>
      </c>
      <c r="F702" s="11" t="s">
        <v>650</v>
      </c>
      <c r="G702" s="8">
        <v>0</v>
      </c>
      <c r="H702" s="8">
        <v>35.06</v>
      </c>
      <c r="I702" s="8">
        <f t="shared" si="22"/>
        <v>0</v>
      </c>
      <c r="J702" s="12"/>
    </row>
    <row r="703" spans="3:10" x14ac:dyDescent="0.3">
      <c r="C703" s="9" t="s">
        <v>12</v>
      </c>
      <c r="D703" s="10">
        <v>45806</v>
      </c>
      <c r="E703" t="s">
        <v>588</v>
      </c>
      <c r="F703" s="11" t="s">
        <v>14</v>
      </c>
      <c r="G703" s="8">
        <v>9.49</v>
      </c>
      <c r="H703" s="8">
        <v>0</v>
      </c>
      <c r="I703" s="8">
        <f t="shared" si="22"/>
        <v>9.49</v>
      </c>
      <c r="J703" s="12">
        <v>572000005</v>
      </c>
    </row>
    <row r="704" spans="3:10" x14ac:dyDescent="0.3">
      <c r="C704" s="9" t="s">
        <v>12</v>
      </c>
      <c r="D704" s="10">
        <v>45806</v>
      </c>
      <c r="E704" t="s">
        <v>109</v>
      </c>
      <c r="F704" s="11" t="s">
        <v>651</v>
      </c>
      <c r="G704" s="8">
        <v>0</v>
      </c>
      <c r="H704" s="8">
        <v>9.49</v>
      </c>
      <c r="I704" s="8">
        <f t="shared" si="22"/>
        <v>0</v>
      </c>
      <c r="J704" s="12"/>
    </row>
    <row r="705" spans="3:10" x14ac:dyDescent="0.3">
      <c r="C705" s="9" t="s">
        <v>12</v>
      </c>
      <c r="D705" s="10">
        <v>45807</v>
      </c>
      <c r="E705" t="s">
        <v>588</v>
      </c>
      <c r="F705" s="11" t="s">
        <v>14</v>
      </c>
      <c r="G705" s="8">
        <v>2.37</v>
      </c>
      <c r="H705" s="8">
        <v>0</v>
      </c>
      <c r="I705" s="8">
        <f t="shared" si="22"/>
        <v>2.37</v>
      </c>
      <c r="J705" s="12">
        <v>572000005</v>
      </c>
    </row>
    <row r="706" spans="3:10" x14ac:dyDescent="0.3">
      <c r="C706" s="9" t="s">
        <v>12</v>
      </c>
      <c r="D706" s="10">
        <v>45807</v>
      </c>
      <c r="E706" t="s">
        <v>109</v>
      </c>
      <c r="F706" s="11" t="s">
        <v>652</v>
      </c>
      <c r="G706" s="8">
        <v>0</v>
      </c>
      <c r="H706" s="8">
        <v>2.37</v>
      </c>
      <c r="I706" s="8">
        <f t="shared" si="22"/>
        <v>0</v>
      </c>
      <c r="J706" s="12"/>
    </row>
    <row r="707" spans="3:10" x14ac:dyDescent="0.3">
      <c r="C707" s="9" t="s">
        <v>12</v>
      </c>
      <c r="D707" s="10">
        <v>45810</v>
      </c>
      <c r="E707" t="s">
        <v>588</v>
      </c>
      <c r="F707" s="11" t="s">
        <v>14</v>
      </c>
      <c r="G707" s="8">
        <v>4.74</v>
      </c>
      <c r="H707" s="8">
        <v>0</v>
      </c>
      <c r="I707" s="8">
        <f t="shared" si="22"/>
        <v>4.74</v>
      </c>
      <c r="J707" s="12">
        <v>572000005</v>
      </c>
    </row>
    <row r="708" spans="3:10" x14ac:dyDescent="0.3">
      <c r="C708" s="9" t="s">
        <v>12</v>
      </c>
      <c r="D708" s="10">
        <v>45810</v>
      </c>
      <c r="E708" t="s">
        <v>588</v>
      </c>
      <c r="F708" s="11" t="s">
        <v>14</v>
      </c>
      <c r="G708" s="8">
        <v>69.94</v>
      </c>
      <c r="H708" s="8">
        <v>0</v>
      </c>
      <c r="I708" s="8">
        <f t="shared" si="22"/>
        <v>74.679999999999993</v>
      </c>
      <c r="J708" s="12">
        <v>572000005</v>
      </c>
    </row>
    <row r="709" spans="3:10" x14ac:dyDescent="0.3">
      <c r="C709" s="9" t="s">
        <v>12</v>
      </c>
      <c r="D709" s="10">
        <v>45810</v>
      </c>
      <c r="E709" t="s">
        <v>109</v>
      </c>
      <c r="F709" s="11" t="s">
        <v>653</v>
      </c>
      <c r="G709" s="8">
        <v>0</v>
      </c>
      <c r="H709" s="8">
        <v>4.74</v>
      </c>
      <c r="I709" s="8">
        <f t="shared" si="22"/>
        <v>69.94</v>
      </c>
      <c r="J709" s="12"/>
    </row>
    <row r="710" spans="3:10" x14ac:dyDescent="0.3">
      <c r="C710" s="9" t="s">
        <v>12</v>
      </c>
      <c r="D710" s="10">
        <v>45810</v>
      </c>
      <c r="E710" t="s">
        <v>109</v>
      </c>
      <c r="F710" s="11" t="s">
        <v>654</v>
      </c>
      <c r="G710" s="8">
        <v>0</v>
      </c>
      <c r="H710" s="8">
        <v>69.94</v>
      </c>
      <c r="I710" s="8">
        <f t="shared" si="22"/>
        <v>0</v>
      </c>
      <c r="J710" s="12"/>
    </row>
    <row r="711" spans="3:10" x14ac:dyDescent="0.3">
      <c r="C711" s="9" t="s">
        <v>12</v>
      </c>
      <c r="D711" s="10">
        <v>45813</v>
      </c>
      <c r="E711" t="s">
        <v>109</v>
      </c>
      <c r="F711" s="11" t="s">
        <v>655</v>
      </c>
      <c r="G711" s="8">
        <v>0</v>
      </c>
      <c r="H711" s="8">
        <v>7.11</v>
      </c>
      <c r="I711" s="8">
        <f t="shared" si="22"/>
        <v>-7.11</v>
      </c>
      <c r="J711" s="12"/>
    </row>
    <row r="712" spans="3:10" x14ac:dyDescent="0.3">
      <c r="C712" s="9" t="s">
        <v>12</v>
      </c>
      <c r="D712" s="10">
        <v>45813</v>
      </c>
      <c r="E712" t="s">
        <v>588</v>
      </c>
      <c r="F712" s="11" t="s">
        <v>14</v>
      </c>
      <c r="G712" s="8">
        <v>7.11</v>
      </c>
      <c r="H712" s="8">
        <v>0</v>
      </c>
      <c r="I712" s="8">
        <f t="shared" si="22"/>
        <v>0</v>
      </c>
      <c r="J712" s="12">
        <v>572000005</v>
      </c>
    </row>
    <row r="713" spans="3:10" x14ac:dyDescent="0.3">
      <c r="C713" s="9" t="s">
        <v>12</v>
      </c>
      <c r="D713" s="10">
        <v>45814</v>
      </c>
      <c r="E713" t="s">
        <v>109</v>
      </c>
      <c r="F713" s="11" t="s">
        <v>656</v>
      </c>
      <c r="G713" s="8">
        <v>0</v>
      </c>
      <c r="H713" s="8">
        <v>2.37</v>
      </c>
      <c r="I713" s="8">
        <f t="shared" si="22"/>
        <v>-2.37</v>
      </c>
      <c r="J713" s="12"/>
    </row>
    <row r="714" spans="3:10" x14ac:dyDescent="0.3">
      <c r="C714" s="9" t="s">
        <v>12</v>
      </c>
      <c r="D714" s="10">
        <v>45814</v>
      </c>
      <c r="E714" t="s">
        <v>588</v>
      </c>
      <c r="F714" s="11" t="s">
        <v>14</v>
      </c>
      <c r="G714" s="8">
        <v>2.37</v>
      </c>
      <c r="H714" s="8">
        <v>0</v>
      </c>
      <c r="I714" s="8">
        <f t="shared" si="22"/>
        <v>0</v>
      </c>
      <c r="J714" s="12">
        <v>572000005</v>
      </c>
    </row>
    <row r="715" spans="3:10" x14ac:dyDescent="0.3">
      <c r="C715" s="9" t="s">
        <v>12</v>
      </c>
      <c r="D715" s="10">
        <v>45817</v>
      </c>
      <c r="E715" t="s">
        <v>109</v>
      </c>
      <c r="F715" s="11" t="s">
        <v>657</v>
      </c>
      <c r="G715" s="8">
        <v>0</v>
      </c>
      <c r="H715" s="8">
        <v>4.74</v>
      </c>
      <c r="I715" s="8">
        <f t="shared" ref="I715:I778" si="23">G715-H715+I714</f>
        <v>-4.74</v>
      </c>
      <c r="J715" s="12"/>
    </row>
    <row r="716" spans="3:10" x14ac:dyDescent="0.3">
      <c r="C716" s="9" t="s">
        <v>12</v>
      </c>
      <c r="D716" s="10">
        <v>45817</v>
      </c>
      <c r="E716" t="s">
        <v>588</v>
      </c>
      <c r="F716" s="11" t="s">
        <v>14</v>
      </c>
      <c r="G716" s="8">
        <v>4.74</v>
      </c>
      <c r="H716" s="8">
        <v>0</v>
      </c>
      <c r="I716" s="8">
        <f t="shared" si="23"/>
        <v>0</v>
      </c>
      <c r="J716" s="12">
        <v>572000005</v>
      </c>
    </row>
    <row r="717" spans="3:10" x14ac:dyDescent="0.3">
      <c r="C717" s="9" t="s">
        <v>12</v>
      </c>
      <c r="D717" s="10">
        <v>45818</v>
      </c>
      <c r="E717" t="s">
        <v>109</v>
      </c>
      <c r="F717" s="11" t="s">
        <v>658</v>
      </c>
      <c r="G717" s="8">
        <v>0</v>
      </c>
      <c r="H717" s="8">
        <v>4.74</v>
      </c>
      <c r="I717" s="8">
        <f t="shared" si="23"/>
        <v>-4.74</v>
      </c>
      <c r="J717" s="12"/>
    </row>
    <row r="718" spans="3:10" x14ac:dyDescent="0.3">
      <c r="C718" s="9" t="s">
        <v>12</v>
      </c>
      <c r="D718" s="10">
        <v>45818</v>
      </c>
      <c r="E718" t="s">
        <v>588</v>
      </c>
      <c r="F718" s="11" t="s">
        <v>14</v>
      </c>
      <c r="G718" s="8">
        <v>4.74</v>
      </c>
      <c r="H718" s="8">
        <v>0</v>
      </c>
      <c r="I718" s="8">
        <f t="shared" si="23"/>
        <v>0</v>
      </c>
      <c r="J718" s="12">
        <v>572000005</v>
      </c>
    </row>
    <row r="719" spans="3:10" x14ac:dyDescent="0.3">
      <c r="C719" s="9" t="s">
        <v>12</v>
      </c>
      <c r="D719" s="10">
        <v>45820</v>
      </c>
      <c r="E719" t="s">
        <v>109</v>
      </c>
      <c r="F719" s="11" t="s">
        <v>659</v>
      </c>
      <c r="G719" s="8">
        <v>0</v>
      </c>
      <c r="H719" s="8">
        <v>4.74</v>
      </c>
      <c r="I719" s="8">
        <f t="shared" si="23"/>
        <v>-4.74</v>
      </c>
      <c r="J719" s="12"/>
    </row>
    <row r="720" spans="3:10" x14ac:dyDescent="0.3">
      <c r="C720" s="9" t="s">
        <v>12</v>
      </c>
      <c r="D720" s="10">
        <v>45820</v>
      </c>
      <c r="E720" t="s">
        <v>588</v>
      </c>
      <c r="F720" s="11" t="s">
        <v>14</v>
      </c>
      <c r="G720" s="8">
        <v>4.74</v>
      </c>
      <c r="H720" s="8">
        <v>0</v>
      </c>
      <c r="I720" s="8">
        <f t="shared" si="23"/>
        <v>0</v>
      </c>
      <c r="J720" s="12">
        <v>572000005</v>
      </c>
    </row>
    <row r="721" spans="3:10" x14ac:dyDescent="0.3">
      <c r="C721" s="9" t="s">
        <v>12</v>
      </c>
      <c r="D721" s="10">
        <v>45821</v>
      </c>
      <c r="E721" t="s">
        <v>109</v>
      </c>
      <c r="F721" s="11" t="s">
        <v>660</v>
      </c>
      <c r="G721" s="8">
        <v>0</v>
      </c>
      <c r="H721" s="8">
        <v>7.11</v>
      </c>
      <c r="I721" s="8">
        <f t="shared" si="23"/>
        <v>-7.11</v>
      </c>
      <c r="J721" s="12"/>
    </row>
    <row r="722" spans="3:10" x14ac:dyDescent="0.3">
      <c r="C722" s="9" t="s">
        <v>12</v>
      </c>
      <c r="D722" s="10">
        <v>45821</v>
      </c>
      <c r="E722" t="s">
        <v>109</v>
      </c>
      <c r="F722" s="11" t="s">
        <v>661</v>
      </c>
      <c r="G722" s="8">
        <v>0</v>
      </c>
      <c r="H722" s="8">
        <v>34.57</v>
      </c>
      <c r="I722" s="8">
        <f t="shared" si="23"/>
        <v>-41.68</v>
      </c>
      <c r="J722" s="12"/>
    </row>
    <row r="723" spans="3:10" x14ac:dyDescent="0.3">
      <c r="C723" s="9" t="s">
        <v>12</v>
      </c>
      <c r="D723" s="10">
        <v>45821</v>
      </c>
      <c r="E723" t="s">
        <v>588</v>
      </c>
      <c r="F723" s="11" t="s">
        <v>14</v>
      </c>
      <c r="G723" s="8">
        <v>7.11</v>
      </c>
      <c r="H723" s="8">
        <v>0</v>
      </c>
      <c r="I723" s="8">
        <f t="shared" si="23"/>
        <v>-34.57</v>
      </c>
      <c r="J723" s="12">
        <v>572000005</v>
      </c>
    </row>
    <row r="724" spans="3:10" x14ac:dyDescent="0.3">
      <c r="C724" s="9" t="s">
        <v>12</v>
      </c>
      <c r="D724" s="10">
        <v>45821</v>
      </c>
      <c r="E724" t="s">
        <v>596</v>
      </c>
      <c r="F724" s="11" t="s">
        <v>14</v>
      </c>
      <c r="G724" s="8">
        <v>34.57</v>
      </c>
      <c r="H724" s="8">
        <v>0</v>
      </c>
      <c r="I724" s="8">
        <f t="shared" si="23"/>
        <v>0</v>
      </c>
      <c r="J724" s="12">
        <v>572000005</v>
      </c>
    </row>
    <row r="725" spans="3:10" x14ac:dyDescent="0.3">
      <c r="C725" s="9" t="s">
        <v>12</v>
      </c>
      <c r="D725" s="10">
        <v>45824</v>
      </c>
      <c r="E725" t="s">
        <v>109</v>
      </c>
      <c r="F725" s="11" t="s">
        <v>662</v>
      </c>
      <c r="G725" s="8">
        <v>0</v>
      </c>
      <c r="H725" s="8">
        <v>7.11</v>
      </c>
      <c r="I725" s="8">
        <f t="shared" si="23"/>
        <v>-7.11</v>
      </c>
      <c r="J725" s="12"/>
    </row>
    <row r="726" spans="3:10" x14ac:dyDescent="0.3">
      <c r="C726" s="9" t="s">
        <v>12</v>
      </c>
      <c r="D726" s="10">
        <v>45824</v>
      </c>
      <c r="E726" t="s">
        <v>588</v>
      </c>
      <c r="F726" s="11" t="s">
        <v>14</v>
      </c>
      <c r="G726" s="8">
        <v>7.11</v>
      </c>
      <c r="H726" s="8">
        <v>0</v>
      </c>
      <c r="I726" s="8">
        <f t="shared" si="23"/>
        <v>0</v>
      </c>
      <c r="J726" s="12">
        <v>572000005</v>
      </c>
    </row>
    <row r="727" spans="3:10" x14ac:dyDescent="0.3">
      <c r="C727" s="9" t="s">
        <v>12</v>
      </c>
      <c r="D727" s="10">
        <v>45828</v>
      </c>
      <c r="E727" t="s">
        <v>109</v>
      </c>
      <c r="F727" s="11" t="s">
        <v>663</v>
      </c>
      <c r="G727" s="8">
        <v>0</v>
      </c>
      <c r="H727" s="8">
        <v>7.11</v>
      </c>
      <c r="I727" s="8">
        <f t="shared" si="23"/>
        <v>-7.11</v>
      </c>
      <c r="J727" s="12"/>
    </row>
    <row r="728" spans="3:10" x14ac:dyDescent="0.3">
      <c r="C728" s="9" t="s">
        <v>12</v>
      </c>
      <c r="D728" s="10">
        <v>45828</v>
      </c>
      <c r="E728" t="s">
        <v>588</v>
      </c>
      <c r="F728" s="11" t="s">
        <v>14</v>
      </c>
      <c r="G728" s="8">
        <v>7.11</v>
      </c>
      <c r="H728" s="8">
        <v>0</v>
      </c>
      <c r="I728" s="8">
        <f t="shared" si="23"/>
        <v>0</v>
      </c>
      <c r="J728" s="12">
        <v>572000005</v>
      </c>
    </row>
    <row r="729" spans="3:10" x14ac:dyDescent="0.3">
      <c r="C729" s="9" t="s">
        <v>12</v>
      </c>
      <c r="D729" s="10">
        <v>45831</v>
      </c>
      <c r="E729" t="s">
        <v>109</v>
      </c>
      <c r="F729" s="11" t="s">
        <v>664</v>
      </c>
      <c r="G729" s="8">
        <v>0</v>
      </c>
      <c r="H729" s="8">
        <v>4.74</v>
      </c>
      <c r="I729" s="8">
        <f t="shared" si="23"/>
        <v>-4.74</v>
      </c>
      <c r="J729" s="12"/>
    </row>
    <row r="730" spans="3:10" x14ac:dyDescent="0.3">
      <c r="C730" s="9" t="s">
        <v>12</v>
      </c>
      <c r="D730" s="10">
        <v>45831</v>
      </c>
      <c r="E730" t="s">
        <v>588</v>
      </c>
      <c r="F730" s="11" t="s">
        <v>14</v>
      </c>
      <c r="G730" s="8">
        <v>4.74</v>
      </c>
      <c r="H730" s="8">
        <v>0</v>
      </c>
      <c r="I730" s="8">
        <f t="shared" si="23"/>
        <v>0</v>
      </c>
      <c r="J730" s="12">
        <v>572000005</v>
      </c>
    </row>
    <row r="731" spans="3:10" x14ac:dyDescent="0.3">
      <c r="C731" s="9" t="s">
        <v>12</v>
      </c>
      <c r="D731" s="10">
        <v>45832</v>
      </c>
      <c r="E731" t="s">
        <v>109</v>
      </c>
      <c r="F731" s="11" t="s">
        <v>665</v>
      </c>
      <c r="G731" s="8">
        <v>0</v>
      </c>
      <c r="H731" s="8">
        <v>4.74</v>
      </c>
      <c r="I731" s="8">
        <f t="shared" si="23"/>
        <v>-4.74</v>
      </c>
      <c r="J731" s="12"/>
    </row>
    <row r="732" spans="3:10" x14ac:dyDescent="0.3">
      <c r="C732" s="9" t="s">
        <v>12</v>
      </c>
      <c r="D732" s="10">
        <v>45832</v>
      </c>
      <c r="E732" t="s">
        <v>588</v>
      </c>
      <c r="F732" s="11" t="s">
        <v>14</v>
      </c>
      <c r="G732" s="8">
        <v>4.74</v>
      </c>
      <c r="H732" s="8">
        <v>0</v>
      </c>
      <c r="I732" s="8">
        <f t="shared" si="23"/>
        <v>0</v>
      </c>
      <c r="J732" s="12">
        <v>572000005</v>
      </c>
    </row>
    <row r="733" spans="3:10" x14ac:dyDescent="0.3">
      <c r="C733" s="9" t="s">
        <v>12</v>
      </c>
      <c r="D733" s="10">
        <v>45833</v>
      </c>
      <c r="E733" t="s">
        <v>109</v>
      </c>
      <c r="F733" s="11" t="s">
        <v>666</v>
      </c>
      <c r="G733" s="8">
        <v>0</v>
      </c>
      <c r="H733" s="8">
        <v>9.49</v>
      </c>
      <c r="I733" s="8">
        <f t="shared" si="23"/>
        <v>-9.49</v>
      </c>
      <c r="J733" s="12"/>
    </row>
    <row r="734" spans="3:10" x14ac:dyDescent="0.3">
      <c r="C734" s="9" t="s">
        <v>12</v>
      </c>
      <c r="D734" s="10">
        <v>45833</v>
      </c>
      <c r="E734" t="s">
        <v>588</v>
      </c>
      <c r="F734" s="11" t="s">
        <v>14</v>
      </c>
      <c r="G734" s="8">
        <v>9.49</v>
      </c>
      <c r="H734" s="8">
        <v>0</v>
      </c>
      <c r="I734" s="8">
        <f t="shared" si="23"/>
        <v>0</v>
      </c>
      <c r="J734" s="12">
        <v>572000005</v>
      </c>
    </row>
    <row r="735" spans="3:10" x14ac:dyDescent="0.3">
      <c r="C735" s="9" t="s">
        <v>12</v>
      </c>
      <c r="D735" s="10">
        <v>45834</v>
      </c>
      <c r="E735" t="s">
        <v>109</v>
      </c>
      <c r="F735" s="11" t="s">
        <v>667</v>
      </c>
      <c r="G735" s="8">
        <v>0</v>
      </c>
      <c r="H735" s="8">
        <v>2.37</v>
      </c>
      <c r="I735" s="8">
        <f t="shared" si="23"/>
        <v>-2.37</v>
      </c>
      <c r="J735" s="12"/>
    </row>
    <row r="736" spans="3:10" x14ac:dyDescent="0.3">
      <c r="C736" s="9" t="s">
        <v>12</v>
      </c>
      <c r="D736" s="10">
        <v>45834</v>
      </c>
      <c r="E736" t="s">
        <v>588</v>
      </c>
      <c r="F736" s="11" t="s">
        <v>14</v>
      </c>
      <c r="G736" s="8">
        <v>2.37</v>
      </c>
      <c r="H736" s="8">
        <v>0</v>
      </c>
      <c r="I736" s="8">
        <f t="shared" si="23"/>
        <v>0</v>
      </c>
      <c r="J736" s="12">
        <v>572000005</v>
      </c>
    </row>
    <row r="737" spans="3:10" x14ac:dyDescent="0.3">
      <c r="C737" s="9" t="s">
        <v>12</v>
      </c>
      <c r="D737" s="10">
        <v>45835</v>
      </c>
      <c r="E737" t="s">
        <v>109</v>
      </c>
      <c r="F737" s="11" t="s">
        <v>668</v>
      </c>
      <c r="G737" s="8">
        <v>0</v>
      </c>
      <c r="H737" s="8">
        <v>26.18</v>
      </c>
      <c r="I737" s="8">
        <f t="shared" si="23"/>
        <v>-26.18</v>
      </c>
      <c r="J737" s="12"/>
    </row>
    <row r="738" spans="3:10" x14ac:dyDescent="0.3">
      <c r="C738" s="9" t="s">
        <v>12</v>
      </c>
      <c r="D738" s="10">
        <v>45835</v>
      </c>
      <c r="E738" t="s">
        <v>109</v>
      </c>
      <c r="F738" s="11" t="s">
        <v>669</v>
      </c>
      <c r="G738" s="8">
        <v>0</v>
      </c>
      <c r="H738" s="8">
        <v>2.37</v>
      </c>
      <c r="I738" s="8">
        <f t="shared" si="23"/>
        <v>-28.55</v>
      </c>
      <c r="J738" s="12"/>
    </row>
    <row r="739" spans="3:10" x14ac:dyDescent="0.3">
      <c r="C739" s="9" t="s">
        <v>12</v>
      </c>
      <c r="D739" s="10">
        <v>45835</v>
      </c>
      <c r="E739" t="s">
        <v>588</v>
      </c>
      <c r="F739" s="11" t="s">
        <v>14</v>
      </c>
      <c r="G739" s="8">
        <v>2.37</v>
      </c>
      <c r="H739" s="8">
        <v>0</v>
      </c>
      <c r="I739" s="8">
        <f t="shared" si="23"/>
        <v>-26.18</v>
      </c>
      <c r="J739" s="12">
        <v>572000005</v>
      </c>
    </row>
    <row r="740" spans="3:10" x14ac:dyDescent="0.3">
      <c r="C740" s="9" t="s">
        <v>12</v>
      </c>
      <c r="D740" s="10">
        <v>45835</v>
      </c>
      <c r="E740" t="s">
        <v>588</v>
      </c>
      <c r="F740" s="11" t="s">
        <v>14</v>
      </c>
      <c r="G740" s="8">
        <v>26.18</v>
      </c>
      <c r="H740" s="8">
        <v>0</v>
      </c>
      <c r="I740" s="8">
        <f t="shared" si="23"/>
        <v>0</v>
      </c>
      <c r="J740" s="12">
        <v>572000005</v>
      </c>
    </row>
    <row r="741" spans="3:10" x14ac:dyDescent="0.3">
      <c r="C741" s="9" t="s">
        <v>12</v>
      </c>
      <c r="D741" s="10">
        <v>45838</v>
      </c>
      <c r="E741" t="s">
        <v>109</v>
      </c>
      <c r="F741" s="11" t="s">
        <v>670</v>
      </c>
      <c r="G741" s="8">
        <v>0</v>
      </c>
      <c r="H741" s="8">
        <v>2.37</v>
      </c>
      <c r="I741" s="8">
        <f t="shared" si="23"/>
        <v>-2.37</v>
      </c>
      <c r="J741" s="12"/>
    </row>
    <row r="742" spans="3:10" x14ac:dyDescent="0.3">
      <c r="C742" s="9" t="s">
        <v>12</v>
      </c>
      <c r="D742" s="10">
        <v>45838</v>
      </c>
      <c r="E742" t="s">
        <v>588</v>
      </c>
      <c r="F742" s="11" t="s">
        <v>14</v>
      </c>
      <c r="G742" s="8">
        <v>2.37</v>
      </c>
      <c r="H742" s="8">
        <v>0</v>
      </c>
      <c r="I742" s="8">
        <f t="shared" si="23"/>
        <v>0</v>
      </c>
      <c r="J742" s="12">
        <v>572000005</v>
      </c>
    </row>
    <row r="743" spans="3:10" x14ac:dyDescent="0.3">
      <c r="C743" s="9" t="s">
        <v>12</v>
      </c>
      <c r="D743" s="10">
        <v>45839</v>
      </c>
      <c r="E743" t="s">
        <v>588</v>
      </c>
      <c r="F743" s="11" t="s">
        <v>14</v>
      </c>
      <c r="G743" s="8">
        <v>2.37</v>
      </c>
      <c r="H743" s="8">
        <v>0</v>
      </c>
      <c r="I743" s="8">
        <f t="shared" si="23"/>
        <v>2.37</v>
      </c>
      <c r="J743" s="12">
        <v>572000005</v>
      </c>
    </row>
    <row r="744" spans="3:10" x14ac:dyDescent="0.3">
      <c r="C744" s="9" t="s">
        <v>12</v>
      </c>
      <c r="D744" s="10">
        <v>45839</v>
      </c>
      <c r="E744" t="s">
        <v>109</v>
      </c>
      <c r="F744" s="11" t="s">
        <v>14</v>
      </c>
      <c r="G744" s="8">
        <v>0</v>
      </c>
      <c r="H744" s="8">
        <v>2.37</v>
      </c>
      <c r="I744" s="8">
        <f t="shared" si="23"/>
        <v>0</v>
      </c>
      <c r="J744" s="12"/>
    </row>
    <row r="745" spans="3:10" x14ac:dyDescent="0.3">
      <c r="C745" s="9" t="s">
        <v>12</v>
      </c>
      <c r="D745" s="10">
        <v>45840</v>
      </c>
      <c r="E745" t="s">
        <v>588</v>
      </c>
      <c r="F745" s="11" t="s">
        <v>14</v>
      </c>
      <c r="G745" s="8">
        <v>4.74</v>
      </c>
      <c r="H745" s="8">
        <v>0</v>
      </c>
      <c r="I745" s="8">
        <f t="shared" si="23"/>
        <v>4.74</v>
      </c>
      <c r="J745" s="12">
        <v>572000005</v>
      </c>
    </row>
    <row r="746" spans="3:10" x14ac:dyDescent="0.3">
      <c r="C746" s="9" t="s">
        <v>12</v>
      </c>
      <c r="D746" s="10">
        <v>45840</v>
      </c>
      <c r="E746" t="s">
        <v>109</v>
      </c>
      <c r="F746" s="11" t="s">
        <v>671</v>
      </c>
      <c r="G746" s="8">
        <v>0</v>
      </c>
      <c r="H746" s="8">
        <v>4.74</v>
      </c>
      <c r="I746" s="8">
        <f t="shared" si="23"/>
        <v>0</v>
      </c>
      <c r="J746" s="12"/>
    </row>
    <row r="747" spans="3:10" x14ac:dyDescent="0.3">
      <c r="C747" s="9" t="s">
        <v>12</v>
      </c>
      <c r="D747" s="10">
        <v>45841</v>
      </c>
      <c r="E747" t="s">
        <v>588</v>
      </c>
      <c r="F747" s="11" t="s">
        <v>14</v>
      </c>
      <c r="G747" s="8">
        <v>2.37</v>
      </c>
      <c r="H747" s="8">
        <v>0</v>
      </c>
      <c r="I747" s="8">
        <f t="shared" si="23"/>
        <v>2.37</v>
      </c>
      <c r="J747" s="12">
        <v>572000005</v>
      </c>
    </row>
    <row r="748" spans="3:10" x14ac:dyDescent="0.3">
      <c r="C748" s="9" t="s">
        <v>12</v>
      </c>
      <c r="D748" s="10">
        <v>45841</v>
      </c>
      <c r="E748" t="s">
        <v>109</v>
      </c>
      <c r="F748" s="11" t="s">
        <v>672</v>
      </c>
      <c r="G748" s="8">
        <v>0</v>
      </c>
      <c r="H748" s="8">
        <v>2.37</v>
      </c>
      <c r="I748" s="8">
        <f t="shared" si="23"/>
        <v>0</v>
      </c>
      <c r="J748" s="12"/>
    </row>
    <row r="749" spans="3:10" x14ac:dyDescent="0.3">
      <c r="C749" s="9" t="s">
        <v>12</v>
      </c>
      <c r="D749" s="10">
        <v>45842</v>
      </c>
      <c r="E749" t="s">
        <v>588</v>
      </c>
      <c r="F749" s="11" t="s">
        <v>14</v>
      </c>
      <c r="G749" s="8">
        <v>7.11</v>
      </c>
      <c r="H749" s="8">
        <v>0</v>
      </c>
      <c r="I749" s="8">
        <f t="shared" si="23"/>
        <v>7.11</v>
      </c>
      <c r="J749" s="12">
        <v>572000005</v>
      </c>
    </row>
    <row r="750" spans="3:10" x14ac:dyDescent="0.3">
      <c r="C750" s="9" t="s">
        <v>12</v>
      </c>
      <c r="D750" s="10">
        <v>45842</v>
      </c>
      <c r="E750" t="s">
        <v>109</v>
      </c>
      <c r="F750" s="11" t="s">
        <v>673</v>
      </c>
      <c r="G750" s="8">
        <v>0</v>
      </c>
      <c r="H750" s="8">
        <v>7.11</v>
      </c>
      <c r="I750" s="8">
        <f t="shared" si="23"/>
        <v>0</v>
      </c>
      <c r="J750" s="12"/>
    </row>
    <row r="751" spans="3:10" x14ac:dyDescent="0.3">
      <c r="C751" s="9" t="s">
        <v>12</v>
      </c>
      <c r="D751" s="10">
        <v>45845</v>
      </c>
      <c r="E751" t="s">
        <v>588</v>
      </c>
      <c r="F751" s="11" t="s">
        <v>14</v>
      </c>
      <c r="G751" s="8">
        <v>4.74</v>
      </c>
      <c r="H751" s="8">
        <v>0</v>
      </c>
      <c r="I751" s="8">
        <f t="shared" si="23"/>
        <v>4.74</v>
      </c>
      <c r="J751" s="12">
        <v>572000005</v>
      </c>
    </row>
    <row r="752" spans="3:10" x14ac:dyDescent="0.3">
      <c r="C752" s="9" t="s">
        <v>12</v>
      </c>
      <c r="D752" s="10">
        <v>45845</v>
      </c>
      <c r="E752" t="s">
        <v>596</v>
      </c>
      <c r="F752" s="11" t="s">
        <v>14</v>
      </c>
      <c r="G752" s="8">
        <v>124.56</v>
      </c>
      <c r="H752" s="8">
        <v>0</v>
      </c>
      <c r="I752" s="8">
        <f t="shared" si="23"/>
        <v>129.30000000000001</v>
      </c>
      <c r="J752" s="12">
        <v>572000005</v>
      </c>
    </row>
    <row r="753" spans="3:10" x14ac:dyDescent="0.3">
      <c r="C753" s="9" t="s">
        <v>12</v>
      </c>
      <c r="D753" s="10">
        <v>45845</v>
      </c>
      <c r="E753" t="s">
        <v>109</v>
      </c>
      <c r="F753" s="11" t="s">
        <v>674</v>
      </c>
      <c r="G753" s="8">
        <v>0</v>
      </c>
      <c r="H753" s="8">
        <v>124.56</v>
      </c>
      <c r="I753" s="8">
        <f t="shared" si="23"/>
        <v>4.7400000000000091</v>
      </c>
      <c r="J753" s="12"/>
    </row>
    <row r="754" spans="3:10" x14ac:dyDescent="0.3">
      <c r="C754" s="9" t="s">
        <v>12</v>
      </c>
      <c r="D754" s="10">
        <v>45845</v>
      </c>
      <c r="E754" t="s">
        <v>109</v>
      </c>
      <c r="F754" s="11" t="s">
        <v>675</v>
      </c>
      <c r="G754" s="8">
        <v>0</v>
      </c>
      <c r="H754" s="8">
        <v>4.74</v>
      </c>
      <c r="I754" s="8">
        <f t="shared" si="23"/>
        <v>8.8817841970012523E-15</v>
      </c>
      <c r="J754" s="12"/>
    </row>
    <row r="755" spans="3:10" x14ac:dyDescent="0.3">
      <c r="C755" s="9" t="s">
        <v>12</v>
      </c>
      <c r="D755" s="10">
        <v>45847</v>
      </c>
      <c r="E755" t="s">
        <v>588</v>
      </c>
      <c r="F755" s="11" t="s">
        <v>14</v>
      </c>
      <c r="G755" s="8">
        <v>2.37</v>
      </c>
      <c r="H755" s="8">
        <v>0</v>
      </c>
      <c r="I755" s="8">
        <f t="shared" si="23"/>
        <v>2.370000000000009</v>
      </c>
      <c r="J755" s="12">
        <v>572000005</v>
      </c>
    </row>
    <row r="756" spans="3:10" x14ac:dyDescent="0.3">
      <c r="C756" s="9" t="s">
        <v>12</v>
      </c>
      <c r="D756" s="10">
        <v>45847</v>
      </c>
      <c r="E756" t="s">
        <v>109</v>
      </c>
      <c r="F756" s="11" t="s">
        <v>676</v>
      </c>
      <c r="G756" s="8">
        <v>0</v>
      </c>
      <c r="H756" s="8">
        <v>2.37</v>
      </c>
      <c r="I756" s="8">
        <f t="shared" si="23"/>
        <v>8.8817841970012523E-15</v>
      </c>
      <c r="J756" s="12"/>
    </row>
    <row r="757" spans="3:10" x14ac:dyDescent="0.3">
      <c r="C757" s="9" t="s">
        <v>12</v>
      </c>
      <c r="D757" s="10">
        <v>45848</v>
      </c>
      <c r="E757" t="s">
        <v>588</v>
      </c>
      <c r="F757" s="11" t="s">
        <v>14</v>
      </c>
      <c r="G757" s="8">
        <v>26.09</v>
      </c>
      <c r="H757" s="8">
        <v>0</v>
      </c>
      <c r="I757" s="8">
        <f t="shared" si="23"/>
        <v>26.090000000000011</v>
      </c>
      <c r="J757" s="12">
        <v>572000005</v>
      </c>
    </row>
    <row r="758" spans="3:10" x14ac:dyDescent="0.3">
      <c r="C758" s="9" t="s">
        <v>12</v>
      </c>
      <c r="D758" s="10">
        <v>45848</v>
      </c>
      <c r="E758" t="s">
        <v>109</v>
      </c>
      <c r="F758" s="11" t="s">
        <v>677</v>
      </c>
      <c r="G758" s="8">
        <v>0</v>
      </c>
      <c r="H758" s="8">
        <v>26.09</v>
      </c>
      <c r="I758" s="8">
        <f t="shared" si="23"/>
        <v>0</v>
      </c>
      <c r="J758" s="12"/>
    </row>
    <row r="759" spans="3:10" x14ac:dyDescent="0.3">
      <c r="C759" s="9" t="s">
        <v>12</v>
      </c>
      <c r="D759" s="10">
        <v>45849</v>
      </c>
      <c r="E759" t="s">
        <v>588</v>
      </c>
      <c r="F759" s="11" t="s">
        <v>14</v>
      </c>
      <c r="G759" s="8">
        <v>2.37</v>
      </c>
      <c r="H759" s="8">
        <v>0</v>
      </c>
      <c r="I759" s="8">
        <f t="shared" si="23"/>
        <v>2.37</v>
      </c>
      <c r="J759" s="12">
        <v>572000005</v>
      </c>
    </row>
    <row r="760" spans="3:10" x14ac:dyDescent="0.3">
      <c r="C760" s="9" t="s">
        <v>12</v>
      </c>
      <c r="D760" s="10">
        <v>45849</v>
      </c>
      <c r="E760" t="s">
        <v>109</v>
      </c>
      <c r="F760" s="11" t="s">
        <v>678</v>
      </c>
      <c r="G760" s="8">
        <v>0</v>
      </c>
      <c r="H760" s="8">
        <v>2.37</v>
      </c>
      <c r="I760" s="8">
        <f t="shared" si="23"/>
        <v>0</v>
      </c>
      <c r="J760" s="12"/>
    </row>
    <row r="761" spans="3:10" x14ac:dyDescent="0.3">
      <c r="C761" s="9" t="s">
        <v>12</v>
      </c>
      <c r="D761" s="10">
        <v>45852</v>
      </c>
      <c r="E761" t="s">
        <v>588</v>
      </c>
      <c r="F761" s="11" t="s">
        <v>14</v>
      </c>
      <c r="G761" s="8">
        <v>4.74</v>
      </c>
      <c r="H761" s="8">
        <v>0</v>
      </c>
      <c r="I761" s="8">
        <f t="shared" si="23"/>
        <v>4.74</v>
      </c>
      <c r="J761" s="12">
        <v>572000005</v>
      </c>
    </row>
    <row r="762" spans="3:10" x14ac:dyDescent="0.3">
      <c r="C762" s="9" t="s">
        <v>12</v>
      </c>
      <c r="D762" s="10">
        <v>45852</v>
      </c>
      <c r="E762" t="s">
        <v>109</v>
      </c>
      <c r="F762" s="11" t="s">
        <v>679</v>
      </c>
      <c r="G762" s="8">
        <v>0</v>
      </c>
      <c r="H762" s="8">
        <v>4.74</v>
      </c>
      <c r="I762" s="8">
        <f t="shared" si="23"/>
        <v>0</v>
      </c>
      <c r="J762" s="12"/>
    </row>
    <row r="763" spans="3:10" x14ac:dyDescent="0.3">
      <c r="C763" s="9" t="s">
        <v>12</v>
      </c>
      <c r="D763" s="10">
        <v>45853</v>
      </c>
      <c r="E763" t="s">
        <v>588</v>
      </c>
      <c r="F763" s="11" t="s">
        <v>14</v>
      </c>
      <c r="G763" s="8">
        <v>7.11</v>
      </c>
      <c r="H763" s="8">
        <v>0</v>
      </c>
      <c r="I763" s="8">
        <f t="shared" si="23"/>
        <v>7.11</v>
      </c>
      <c r="J763" s="12">
        <v>572000005</v>
      </c>
    </row>
    <row r="764" spans="3:10" x14ac:dyDescent="0.3">
      <c r="C764" s="9" t="s">
        <v>12</v>
      </c>
      <c r="D764" s="10">
        <v>45853</v>
      </c>
      <c r="E764" t="s">
        <v>680</v>
      </c>
      <c r="F764" s="11" t="s">
        <v>681</v>
      </c>
      <c r="G764" s="8">
        <v>0</v>
      </c>
      <c r="H764" s="8">
        <v>7.11</v>
      </c>
      <c r="I764" s="8">
        <f t="shared" si="23"/>
        <v>0</v>
      </c>
      <c r="J764" s="12"/>
    </row>
    <row r="765" spans="3:10" x14ac:dyDescent="0.3">
      <c r="C765" s="9" t="s">
        <v>12</v>
      </c>
      <c r="D765" s="10">
        <v>45856</v>
      </c>
      <c r="E765" t="s">
        <v>682</v>
      </c>
      <c r="F765" s="11" t="s">
        <v>683</v>
      </c>
      <c r="G765" s="8">
        <v>0</v>
      </c>
      <c r="H765" s="8">
        <v>2.37</v>
      </c>
      <c r="I765" s="8">
        <f t="shared" si="23"/>
        <v>-2.37</v>
      </c>
      <c r="J765" s="12"/>
    </row>
    <row r="766" spans="3:10" x14ac:dyDescent="0.3">
      <c r="C766" s="9" t="s">
        <v>12</v>
      </c>
      <c r="D766" s="10">
        <v>45856</v>
      </c>
      <c r="E766" t="s">
        <v>588</v>
      </c>
      <c r="F766" s="11" t="s">
        <v>14</v>
      </c>
      <c r="G766" s="8">
        <v>2.37</v>
      </c>
      <c r="H766" s="8">
        <v>0</v>
      </c>
      <c r="I766" s="8">
        <f t="shared" si="23"/>
        <v>0</v>
      </c>
      <c r="J766" s="12">
        <v>572000005</v>
      </c>
    </row>
    <row r="767" spans="3:10" x14ac:dyDescent="0.3">
      <c r="C767" s="9" t="s">
        <v>12</v>
      </c>
      <c r="D767" s="10">
        <v>45859</v>
      </c>
      <c r="E767" t="s">
        <v>684</v>
      </c>
      <c r="F767" s="11" t="s">
        <v>685</v>
      </c>
      <c r="G767" s="8">
        <v>0</v>
      </c>
      <c r="H767" s="8">
        <v>21.34</v>
      </c>
      <c r="I767" s="8">
        <f t="shared" si="23"/>
        <v>-21.34</v>
      </c>
      <c r="J767" s="12"/>
    </row>
    <row r="768" spans="3:10" x14ac:dyDescent="0.3">
      <c r="C768" s="9" t="s">
        <v>12</v>
      </c>
      <c r="D768" s="10">
        <v>45859</v>
      </c>
      <c r="E768" t="s">
        <v>686</v>
      </c>
      <c r="F768" s="11" t="s">
        <v>687</v>
      </c>
      <c r="G768" s="8">
        <v>0</v>
      </c>
      <c r="H768" s="8">
        <v>25.53</v>
      </c>
      <c r="I768" s="8">
        <f t="shared" si="23"/>
        <v>-46.870000000000005</v>
      </c>
      <c r="J768" s="12"/>
    </row>
    <row r="769" spans="3:10" x14ac:dyDescent="0.3">
      <c r="C769" s="9" t="s">
        <v>12</v>
      </c>
      <c r="D769" s="10">
        <v>45859</v>
      </c>
      <c r="E769" t="s">
        <v>588</v>
      </c>
      <c r="F769" s="11" t="s">
        <v>14</v>
      </c>
      <c r="G769" s="8">
        <v>21.34</v>
      </c>
      <c r="H769" s="8">
        <v>0</v>
      </c>
      <c r="I769" s="8">
        <f t="shared" si="23"/>
        <v>-25.530000000000005</v>
      </c>
      <c r="J769" s="12">
        <v>572000005</v>
      </c>
    </row>
    <row r="770" spans="3:10" x14ac:dyDescent="0.3">
      <c r="C770" s="9" t="s">
        <v>12</v>
      </c>
      <c r="D770" s="10">
        <v>45859</v>
      </c>
      <c r="E770" t="s">
        <v>596</v>
      </c>
      <c r="F770" s="11" t="s">
        <v>14</v>
      </c>
      <c r="G770" s="8">
        <v>25.53</v>
      </c>
      <c r="H770" s="8">
        <v>0</v>
      </c>
      <c r="I770" s="8">
        <f t="shared" si="23"/>
        <v>0</v>
      </c>
      <c r="J770" s="12">
        <v>572000005</v>
      </c>
    </row>
    <row r="771" spans="3:10" x14ac:dyDescent="0.3">
      <c r="C771" s="9" t="s">
        <v>12</v>
      </c>
      <c r="D771" s="10">
        <v>45860</v>
      </c>
      <c r="E771" t="s">
        <v>688</v>
      </c>
      <c r="F771" s="11" t="s">
        <v>689</v>
      </c>
      <c r="G771" s="8">
        <v>0</v>
      </c>
      <c r="H771" s="8">
        <v>25.53</v>
      </c>
      <c r="I771" s="8">
        <f t="shared" si="23"/>
        <v>-25.53</v>
      </c>
      <c r="J771" s="12"/>
    </row>
    <row r="772" spans="3:10" x14ac:dyDescent="0.3">
      <c r="C772" s="9" t="s">
        <v>12</v>
      </c>
      <c r="D772" s="10">
        <v>45860</v>
      </c>
      <c r="E772" t="s">
        <v>596</v>
      </c>
      <c r="F772" s="11" t="s">
        <v>14</v>
      </c>
      <c r="G772" s="8">
        <v>25.53</v>
      </c>
      <c r="H772" s="8">
        <v>0</v>
      </c>
      <c r="I772" s="8">
        <f t="shared" si="23"/>
        <v>0</v>
      </c>
      <c r="J772" s="12">
        <v>572000005</v>
      </c>
    </row>
    <row r="773" spans="3:10" x14ac:dyDescent="0.3">
      <c r="C773" s="9" t="s">
        <v>12</v>
      </c>
      <c r="D773" s="10">
        <v>45861</v>
      </c>
      <c r="E773" t="s">
        <v>690</v>
      </c>
      <c r="F773" s="11" t="s">
        <v>691</v>
      </c>
      <c r="G773" s="8">
        <v>0</v>
      </c>
      <c r="H773" s="8">
        <v>4.74</v>
      </c>
      <c r="I773" s="8">
        <f t="shared" si="23"/>
        <v>-4.74</v>
      </c>
      <c r="J773" s="12"/>
    </row>
    <row r="774" spans="3:10" x14ac:dyDescent="0.3">
      <c r="C774" s="9" t="s">
        <v>12</v>
      </c>
      <c r="D774" s="10">
        <v>45861</v>
      </c>
      <c r="E774" t="s">
        <v>588</v>
      </c>
      <c r="F774" s="11" t="s">
        <v>14</v>
      </c>
      <c r="G774" s="8">
        <v>4.74</v>
      </c>
      <c r="H774" s="8">
        <v>0</v>
      </c>
      <c r="I774" s="8">
        <f t="shared" si="23"/>
        <v>0</v>
      </c>
      <c r="J774" s="12">
        <v>572000005</v>
      </c>
    </row>
    <row r="775" spans="3:10" x14ac:dyDescent="0.3">
      <c r="C775" s="9" t="s">
        <v>12</v>
      </c>
      <c r="D775" s="10">
        <v>45863</v>
      </c>
      <c r="E775" t="s">
        <v>692</v>
      </c>
      <c r="F775" s="11" t="s">
        <v>693</v>
      </c>
      <c r="G775" s="8">
        <v>0</v>
      </c>
      <c r="H775" s="8">
        <v>14.23</v>
      </c>
      <c r="I775" s="8">
        <f t="shared" si="23"/>
        <v>-14.23</v>
      </c>
      <c r="J775" s="12"/>
    </row>
    <row r="776" spans="3:10" x14ac:dyDescent="0.3">
      <c r="C776" s="9" t="s">
        <v>12</v>
      </c>
      <c r="D776" s="10">
        <v>45863</v>
      </c>
      <c r="E776" t="s">
        <v>588</v>
      </c>
      <c r="F776" s="11" t="s">
        <v>14</v>
      </c>
      <c r="G776" s="8">
        <v>14.23</v>
      </c>
      <c r="H776" s="8">
        <v>0</v>
      </c>
      <c r="I776" s="8">
        <f t="shared" si="23"/>
        <v>0</v>
      </c>
      <c r="J776" s="12">
        <v>572000005</v>
      </c>
    </row>
    <row r="777" spans="3:10" x14ac:dyDescent="0.3">
      <c r="C777" s="9" t="s">
        <v>12</v>
      </c>
      <c r="D777" s="10">
        <v>45866</v>
      </c>
      <c r="E777" t="s">
        <v>694</v>
      </c>
      <c r="F777" s="11" t="s">
        <v>695</v>
      </c>
      <c r="G777" s="8">
        <v>0</v>
      </c>
      <c r="H777" s="8">
        <v>2.37</v>
      </c>
      <c r="I777" s="8">
        <f t="shared" si="23"/>
        <v>-2.37</v>
      </c>
      <c r="J777" s="12"/>
    </row>
    <row r="778" spans="3:10" x14ac:dyDescent="0.3">
      <c r="C778" s="9" t="s">
        <v>12</v>
      </c>
      <c r="D778" s="10">
        <v>45866</v>
      </c>
      <c r="E778" t="s">
        <v>588</v>
      </c>
      <c r="F778" s="11" t="s">
        <v>14</v>
      </c>
      <c r="G778" s="8">
        <v>2.37</v>
      </c>
      <c r="H778" s="8">
        <v>0</v>
      </c>
      <c r="I778" s="8">
        <f t="shared" si="23"/>
        <v>0</v>
      </c>
      <c r="J778" s="12">
        <v>572000005</v>
      </c>
    </row>
    <row r="779" spans="3:10" x14ac:dyDescent="0.3">
      <c r="C779" s="9" t="s">
        <v>12</v>
      </c>
      <c r="D779" s="10">
        <v>45867</v>
      </c>
      <c r="E779" t="s">
        <v>696</v>
      </c>
      <c r="F779" s="11" t="s">
        <v>697</v>
      </c>
      <c r="G779" s="8">
        <v>0</v>
      </c>
      <c r="H779" s="8">
        <v>2.37</v>
      </c>
      <c r="I779" s="8">
        <f t="shared" ref="I779:I842" si="24">G779-H779+I778</f>
        <v>-2.37</v>
      </c>
      <c r="J779" s="12"/>
    </row>
    <row r="780" spans="3:10" x14ac:dyDescent="0.3">
      <c r="C780" s="9" t="s">
        <v>12</v>
      </c>
      <c r="D780" s="10">
        <v>45867</v>
      </c>
      <c r="E780" t="s">
        <v>588</v>
      </c>
      <c r="F780" s="11" t="s">
        <v>14</v>
      </c>
      <c r="G780" s="8">
        <v>2.37</v>
      </c>
      <c r="H780" s="8">
        <v>0</v>
      </c>
      <c r="I780" s="8">
        <f t="shared" si="24"/>
        <v>0</v>
      </c>
      <c r="J780" s="12">
        <v>572000005</v>
      </c>
    </row>
    <row r="781" spans="3:10" x14ac:dyDescent="0.3">
      <c r="C781" s="9" t="s">
        <v>12</v>
      </c>
      <c r="D781" s="10">
        <v>45868</v>
      </c>
      <c r="E781" t="s">
        <v>698</v>
      </c>
      <c r="F781" s="11" t="s">
        <v>699</v>
      </c>
      <c r="G781" s="8">
        <v>0</v>
      </c>
      <c r="H781" s="8">
        <v>9.49</v>
      </c>
      <c r="I781" s="8">
        <f t="shared" si="24"/>
        <v>-9.49</v>
      </c>
      <c r="J781" s="12"/>
    </row>
    <row r="782" spans="3:10" x14ac:dyDescent="0.3">
      <c r="C782" s="9" t="s">
        <v>12</v>
      </c>
      <c r="D782" s="10">
        <v>45868</v>
      </c>
      <c r="E782" t="s">
        <v>588</v>
      </c>
      <c r="F782" s="11" t="s">
        <v>14</v>
      </c>
      <c r="G782" s="8">
        <v>9.49</v>
      </c>
      <c r="H782" s="8">
        <v>0</v>
      </c>
      <c r="I782" s="8">
        <f t="shared" si="24"/>
        <v>0</v>
      </c>
      <c r="J782" s="12">
        <v>572000005</v>
      </c>
    </row>
    <row r="783" spans="3:10" x14ac:dyDescent="0.3">
      <c r="C783" s="9" t="s">
        <v>12</v>
      </c>
      <c r="D783" s="10">
        <v>45869</v>
      </c>
      <c r="E783" t="s">
        <v>700</v>
      </c>
      <c r="F783" s="11" t="s">
        <v>701</v>
      </c>
      <c r="G783" s="8">
        <v>0</v>
      </c>
      <c r="H783" s="8">
        <v>2.37</v>
      </c>
      <c r="I783" s="8">
        <f t="shared" si="24"/>
        <v>-2.37</v>
      </c>
      <c r="J783" s="12"/>
    </row>
    <row r="784" spans="3:10" x14ac:dyDescent="0.3">
      <c r="C784" s="9" t="s">
        <v>12</v>
      </c>
      <c r="D784" s="10">
        <v>45869</v>
      </c>
      <c r="E784" t="s">
        <v>588</v>
      </c>
      <c r="F784" s="11" t="s">
        <v>14</v>
      </c>
      <c r="G784" s="8">
        <v>2.37</v>
      </c>
      <c r="H784" s="8">
        <v>0</v>
      </c>
      <c r="I784" s="8">
        <f t="shared" si="24"/>
        <v>0</v>
      </c>
      <c r="J784" s="12">
        <v>572000005</v>
      </c>
    </row>
    <row r="785" spans="3:10" x14ac:dyDescent="0.3">
      <c r="C785" s="9" t="s">
        <v>12</v>
      </c>
      <c r="D785" s="10">
        <v>45870</v>
      </c>
      <c r="E785" t="s">
        <v>702</v>
      </c>
      <c r="F785" s="11" t="s">
        <v>703</v>
      </c>
      <c r="G785" s="8">
        <v>0</v>
      </c>
      <c r="H785" s="8">
        <v>48.4</v>
      </c>
      <c r="I785" s="8">
        <f t="shared" si="24"/>
        <v>-48.4</v>
      </c>
      <c r="J785" s="12"/>
    </row>
    <row r="786" spans="3:10" x14ac:dyDescent="0.3">
      <c r="C786" s="9" t="s">
        <v>12</v>
      </c>
      <c r="D786" s="10">
        <v>45870</v>
      </c>
      <c r="E786" t="s">
        <v>704</v>
      </c>
      <c r="F786" s="11" t="s">
        <v>14</v>
      </c>
      <c r="G786" s="8">
        <v>48.4</v>
      </c>
      <c r="H786" s="8">
        <v>0</v>
      </c>
      <c r="I786" s="8">
        <f t="shared" si="24"/>
        <v>0</v>
      </c>
      <c r="J786" s="12">
        <v>572000005</v>
      </c>
    </row>
    <row r="787" spans="3:10" x14ac:dyDescent="0.3">
      <c r="C787" s="9" t="s">
        <v>12</v>
      </c>
      <c r="D787" s="10">
        <v>45873</v>
      </c>
      <c r="E787" t="s">
        <v>705</v>
      </c>
      <c r="F787" s="11" t="s">
        <v>706</v>
      </c>
      <c r="G787" s="8">
        <v>0</v>
      </c>
      <c r="H787" s="8">
        <v>14.23</v>
      </c>
      <c r="I787" s="8">
        <f t="shared" si="24"/>
        <v>-14.23</v>
      </c>
      <c r="J787" s="12"/>
    </row>
    <row r="788" spans="3:10" x14ac:dyDescent="0.3">
      <c r="C788" s="9" t="s">
        <v>12</v>
      </c>
      <c r="D788" s="10">
        <v>45873</v>
      </c>
      <c r="E788" t="s">
        <v>588</v>
      </c>
      <c r="F788" s="11" t="s">
        <v>14</v>
      </c>
      <c r="G788" s="8">
        <v>14.23</v>
      </c>
      <c r="H788" s="8">
        <v>0</v>
      </c>
      <c r="I788" s="8">
        <f t="shared" si="24"/>
        <v>0</v>
      </c>
      <c r="J788" s="12">
        <v>572000005</v>
      </c>
    </row>
    <row r="789" spans="3:10" x14ac:dyDescent="0.3">
      <c r="C789" s="9" t="s">
        <v>12</v>
      </c>
      <c r="D789" s="10">
        <v>45875</v>
      </c>
      <c r="E789" t="s">
        <v>707</v>
      </c>
      <c r="F789" s="11" t="s">
        <v>708</v>
      </c>
      <c r="G789" s="8">
        <v>0</v>
      </c>
      <c r="H789" s="8">
        <v>7.11</v>
      </c>
      <c r="I789" s="8">
        <f t="shared" si="24"/>
        <v>-7.11</v>
      </c>
      <c r="J789" s="12"/>
    </row>
    <row r="790" spans="3:10" x14ac:dyDescent="0.3">
      <c r="C790" s="9" t="s">
        <v>12</v>
      </c>
      <c r="D790" s="10">
        <v>45875</v>
      </c>
      <c r="E790" t="s">
        <v>588</v>
      </c>
      <c r="F790" s="11" t="s">
        <v>14</v>
      </c>
      <c r="G790" s="8">
        <v>7.11</v>
      </c>
      <c r="H790" s="8">
        <v>0</v>
      </c>
      <c r="I790" s="8">
        <f t="shared" si="24"/>
        <v>0</v>
      </c>
      <c r="J790" s="12">
        <v>572000005</v>
      </c>
    </row>
    <row r="791" spans="3:10" x14ac:dyDescent="0.3">
      <c r="C791" s="9" t="s">
        <v>12</v>
      </c>
      <c r="D791" s="10">
        <v>45877</v>
      </c>
      <c r="E791" t="s">
        <v>709</v>
      </c>
      <c r="F791" s="11" t="s">
        <v>710</v>
      </c>
      <c r="G791" s="8">
        <v>0</v>
      </c>
      <c r="H791" s="8">
        <v>7.11</v>
      </c>
      <c r="I791" s="8">
        <f t="shared" si="24"/>
        <v>-7.11</v>
      </c>
      <c r="J791" s="12"/>
    </row>
    <row r="792" spans="3:10" x14ac:dyDescent="0.3">
      <c r="C792" s="9" t="s">
        <v>12</v>
      </c>
      <c r="D792" s="10">
        <v>45877</v>
      </c>
      <c r="E792" t="s">
        <v>588</v>
      </c>
      <c r="F792" s="11" t="s">
        <v>14</v>
      </c>
      <c r="G792" s="8">
        <v>7.11</v>
      </c>
      <c r="H792" s="8">
        <v>0</v>
      </c>
      <c r="I792" s="8">
        <f t="shared" si="24"/>
        <v>0</v>
      </c>
      <c r="J792" s="12">
        <v>572000005</v>
      </c>
    </row>
    <row r="793" spans="3:10" x14ac:dyDescent="0.3">
      <c r="C793" s="9" t="s">
        <v>12</v>
      </c>
      <c r="D793" s="10">
        <v>45880</v>
      </c>
      <c r="E793" t="s">
        <v>711</v>
      </c>
      <c r="F793" s="11" t="s">
        <v>712</v>
      </c>
      <c r="G793" s="8">
        <v>0</v>
      </c>
      <c r="H793" s="8">
        <v>4.74</v>
      </c>
      <c r="I793" s="8">
        <f t="shared" si="24"/>
        <v>-4.74</v>
      </c>
      <c r="J793" s="12"/>
    </row>
    <row r="794" spans="3:10" x14ac:dyDescent="0.3">
      <c r="C794" s="9" t="s">
        <v>12</v>
      </c>
      <c r="D794" s="10">
        <v>45880</v>
      </c>
      <c r="E794" t="s">
        <v>713</v>
      </c>
      <c r="F794" s="11" t="s">
        <v>714</v>
      </c>
      <c r="G794" s="8">
        <v>0</v>
      </c>
      <c r="H794" s="8">
        <v>25.53</v>
      </c>
      <c r="I794" s="8">
        <f t="shared" si="24"/>
        <v>-30.270000000000003</v>
      </c>
      <c r="J794" s="12"/>
    </row>
    <row r="795" spans="3:10" x14ac:dyDescent="0.3">
      <c r="C795" s="9" t="s">
        <v>12</v>
      </c>
      <c r="D795" s="10">
        <v>45880</v>
      </c>
      <c r="E795" t="s">
        <v>588</v>
      </c>
      <c r="F795" s="11" t="s">
        <v>14</v>
      </c>
      <c r="G795" s="8">
        <v>4.74</v>
      </c>
      <c r="H795" s="8">
        <v>0</v>
      </c>
      <c r="I795" s="8">
        <f t="shared" si="24"/>
        <v>-25.53</v>
      </c>
      <c r="J795" s="12">
        <v>572000005</v>
      </c>
    </row>
    <row r="796" spans="3:10" x14ac:dyDescent="0.3">
      <c r="C796" s="9" t="s">
        <v>12</v>
      </c>
      <c r="D796" s="10">
        <v>45880</v>
      </c>
      <c r="E796" t="s">
        <v>596</v>
      </c>
      <c r="F796" s="11" t="s">
        <v>14</v>
      </c>
      <c r="G796" s="8">
        <v>25.53</v>
      </c>
      <c r="H796" s="8">
        <v>0</v>
      </c>
      <c r="I796" s="8">
        <f t="shared" si="24"/>
        <v>0</v>
      </c>
      <c r="J796" s="12">
        <v>572000005</v>
      </c>
    </row>
    <row r="797" spans="3:10" x14ac:dyDescent="0.3">
      <c r="C797" s="9" t="s">
        <v>12</v>
      </c>
      <c r="D797" s="10">
        <v>45881</v>
      </c>
      <c r="E797" t="s">
        <v>715</v>
      </c>
      <c r="F797" s="11" t="s">
        <v>716</v>
      </c>
      <c r="G797" s="8">
        <v>0</v>
      </c>
      <c r="H797" s="8">
        <v>32.79</v>
      </c>
      <c r="I797" s="8">
        <f t="shared" si="24"/>
        <v>-32.79</v>
      </c>
      <c r="J797" s="12"/>
    </row>
    <row r="798" spans="3:10" x14ac:dyDescent="0.3">
      <c r="C798" s="9" t="s">
        <v>12</v>
      </c>
      <c r="D798" s="10">
        <v>45881</v>
      </c>
      <c r="E798" t="s">
        <v>596</v>
      </c>
      <c r="F798" s="11" t="s">
        <v>14</v>
      </c>
      <c r="G798" s="8">
        <v>32.79</v>
      </c>
      <c r="H798" s="8">
        <v>0</v>
      </c>
      <c r="I798" s="8">
        <f t="shared" si="24"/>
        <v>0</v>
      </c>
      <c r="J798" s="12">
        <v>572000005</v>
      </c>
    </row>
    <row r="799" spans="3:10" x14ac:dyDescent="0.3">
      <c r="C799" s="9" t="s">
        <v>12</v>
      </c>
      <c r="D799" s="10">
        <v>45883</v>
      </c>
      <c r="E799" t="s">
        <v>717</v>
      </c>
      <c r="F799" s="11" t="s">
        <v>718</v>
      </c>
      <c r="G799" s="8">
        <v>0</v>
      </c>
      <c r="H799" s="8">
        <v>2.37</v>
      </c>
      <c r="I799" s="8">
        <f t="shared" si="24"/>
        <v>-2.37</v>
      </c>
      <c r="J799" s="12"/>
    </row>
    <row r="800" spans="3:10" x14ac:dyDescent="0.3">
      <c r="C800" s="9" t="s">
        <v>12</v>
      </c>
      <c r="D800" s="10">
        <v>45883</v>
      </c>
      <c r="E800" t="s">
        <v>588</v>
      </c>
      <c r="F800" s="11" t="s">
        <v>14</v>
      </c>
      <c r="G800" s="8">
        <v>2.37</v>
      </c>
      <c r="H800" s="8">
        <v>0</v>
      </c>
      <c r="I800" s="8">
        <f t="shared" si="24"/>
        <v>0</v>
      </c>
      <c r="J800" s="12">
        <v>572000005</v>
      </c>
    </row>
    <row r="801" spans="3:10" x14ac:dyDescent="0.3">
      <c r="C801" s="9" t="s">
        <v>12</v>
      </c>
      <c r="D801" s="10">
        <v>45887</v>
      </c>
      <c r="E801" t="s">
        <v>719</v>
      </c>
      <c r="F801" s="11" t="s">
        <v>720</v>
      </c>
      <c r="G801" s="8">
        <v>0</v>
      </c>
      <c r="H801" s="8">
        <v>28.46</v>
      </c>
      <c r="I801" s="8">
        <f t="shared" si="24"/>
        <v>-28.46</v>
      </c>
      <c r="J801" s="12"/>
    </row>
    <row r="802" spans="3:10" x14ac:dyDescent="0.3">
      <c r="C802" s="9" t="s">
        <v>12</v>
      </c>
      <c r="D802" s="10">
        <v>45887</v>
      </c>
      <c r="E802" t="s">
        <v>588</v>
      </c>
      <c r="F802" s="11" t="s">
        <v>14</v>
      </c>
      <c r="G802" s="8">
        <v>28.46</v>
      </c>
      <c r="H802" s="8">
        <v>0</v>
      </c>
      <c r="I802" s="8">
        <f t="shared" si="24"/>
        <v>0</v>
      </c>
      <c r="J802" s="12">
        <v>572000005</v>
      </c>
    </row>
    <row r="803" spans="3:10" x14ac:dyDescent="0.3">
      <c r="C803" s="9" t="s">
        <v>12</v>
      </c>
      <c r="D803" s="10">
        <v>45888</v>
      </c>
      <c r="E803" t="s">
        <v>721</v>
      </c>
      <c r="F803" s="11" t="s">
        <v>722</v>
      </c>
      <c r="G803" s="8">
        <v>0</v>
      </c>
      <c r="H803" s="8">
        <v>2.37</v>
      </c>
      <c r="I803" s="8">
        <f t="shared" si="24"/>
        <v>-2.37</v>
      </c>
      <c r="J803" s="12"/>
    </row>
    <row r="804" spans="3:10" x14ac:dyDescent="0.3">
      <c r="C804" s="9" t="s">
        <v>12</v>
      </c>
      <c r="D804" s="10">
        <v>45888</v>
      </c>
      <c r="E804" t="s">
        <v>588</v>
      </c>
      <c r="F804" s="11" t="s">
        <v>14</v>
      </c>
      <c r="G804" s="8">
        <v>2.37</v>
      </c>
      <c r="H804" s="8">
        <v>0</v>
      </c>
      <c r="I804" s="8">
        <f t="shared" si="24"/>
        <v>0</v>
      </c>
      <c r="J804" s="12">
        <v>572000005</v>
      </c>
    </row>
    <row r="805" spans="3:10" x14ac:dyDescent="0.3">
      <c r="C805" s="9" t="s">
        <v>12</v>
      </c>
      <c r="D805" s="10">
        <v>45889</v>
      </c>
      <c r="E805" t="s">
        <v>723</v>
      </c>
      <c r="F805" s="11" t="s">
        <v>724</v>
      </c>
      <c r="G805" s="8">
        <v>0</v>
      </c>
      <c r="H805" s="8">
        <v>4.74</v>
      </c>
      <c r="I805" s="8">
        <f t="shared" si="24"/>
        <v>-4.74</v>
      </c>
      <c r="J805" s="12"/>
    </row>
    <row r="806" spans="3:10" x14ac:dyDescent="0.3">
      <c r="C806" s="9" t="s">
        <v>12</v>
      </c>
      <c r="D806" s="10">
        <v>45889</v>
      </c>
      <c r="E806" t="s">
        <v>588</v>
      </c>
      <c r="F806" s="11" t="s">
        <v>14</v>
      </c>
      <c r="G806" s="8">
        <v>4.74</v>
      </c>
      <c r="H806" s="8">
        <v>0</v>
      </c>
      <c r="I806" s="8">
        <f t="shared" si="24"/>
        <v>0</v>
      </c>
      <c r="J806" s="12">
        <v>572000005</v>
      </c>
    </row>
    <row r="807" spans="3:10" x14ac:dyDescent="0.3">
      <c r="C807" s="9" t="s">
        <v>12</v>
      </c>
      <c r="D807" s="10">
        <v>45890</v>
      </c>
      <c r="E807" t="s">
        <v>725</v>
      </c>
      <c r="F807" s="11" t="s">
        <v>726</v>
      </c>
      <c r="G807" s="8">
        <v>0</v>
      </c>
      <c r="H807" s="8">
        <v>11.86</v>
      </c>
      <c r="I807" s="8">
        <f t="shared" si="24"/>
        <v>-11.86</v>
      </c>
      <c r="J807" s="12"/>
    </row>
    <row r="808" spans="3:10" x14ac:dyDescent="0.3">
      <c r="C808" s="9" t="s">
        <v>12</v>
      </c>
      <c r="D808" s="10">
        <v>45890</v>
      </c>
      <c r="E808" t="s">
        <v>588</v>
      </c>
      <c r="F808" s="11" t="s">
        <v>14</v>
      </c>
      <c r="G808" s="8">
        <v>11.86</v>
      </c>
      <c r="H808" s="8">
        <v>0</v>
      </c>
      <c r="I808" s="8">
        <f t="shared" si="24"/>
        <v>0</v>
      </c>
      <c r="J808" s="12">
        <v>572000005</v>
      </c>
    </row>
    <row r="809" spans="3:10" x14ac:dyDescent="0.3">
      <c r="C809" s="9" t="s">
        <v>12</v>
      </c>
      <c r="D809" s="10">
        <v>45891</v>
      </c>
      <c r="E809" t="s">
        <v>727</v>
      </c>
      <c r="F809" s="11" t="s">
        <v>728</v>
      </c>
      <c r="G809" s="8">
        <v>0</v>
      </c>
      <c r="H809" s="8">
        <v>40.86</v>
      </c>
      <c r="I809" s="8">
        <f t="shared" si="24"/>
        <v>-40.86</v>
      </c>
      <c r="J809" s="12"/>
    </row>
    <row r="810" spans="3:10" x14ac:dyDescent="0.3">
      <c r="C810" s="9" t="s">
        <v>12</v>
      </c>
      <c r="D810" s="10">
        <v>45891</v>
      </c>
      <c r="E810" t="s">
        <v>729</v>
      </c>
      <c r="F810" s="11" t="s">
        <v>730</v>
      </c>
      <c r="G810" s="8">
        <v>0</v>
      </c>
      <c r="H810" s="8">
        <v>2.37</v>
      </c>
      <c r="I810" s="8">
        <f t="shared" si="24"/>
        <v>-43.23</v>
      </c>
      <c r="J810" s="12"/>
    </row>
    <row r="811" spans="3:10" x14ac:dyDescent="0.3">
      <c r="C811" s="9" t="s">
        <v>12</v>
      </c>
      <c r="D811" s="10">
        <v>45891</v>
      </c>
      <c r="E811" t="s">
        <v>588</v>
      </c>
      <c r="F811" s="11" t="s">
        <v>14</v>
      </c>
      <c r="G811" s="8">
        <v>2.37</v>
      </c>
      <c r="H811" s="8">
        <v>0</v>
      </c>
      <c r="I811" s="8">
        <f t="shared" si="24"/>
        <v>-40.86</v>
      </c>
      <c r="J811" s="12">
        <v>572000005</v>
      </c>
    </row>
    <row r="812" spans="3:10" x14ac:dyDescent="0.3">
      <c r="C812" s="9" t="s">
        <v>12</v>
      </c>
      <c r="D812" s="10">
        <v>45891</v>
      </c>
      <c r="E812" t="s">
        <v>596</v>
      </c>
      <c r="F812" s="11" t="s">
        <v>14</v>
      </c>
      <c r="G812" s="8">
        <v>40.86</v>
      </c>
      <c r="H812" s="8">
        <v>0</v>
      </c>
      <c r="I812" s="8">
        <f t="shared" si="24"/>
        <v>0</v>
      </c>
      <c r="J812" s="12">
        <v>572000005</v>
      </c>
    </row>
    <row r="813" spans="3:10" x14ac:dyDescent="0.3">
      <c r="C813" s="9" t="s">
        <v>12</v>
      </c>
      <c r="D813" s="10">
        <v>45894</v>
      </c>
      <c r="E813" t="s">
        <v>731</v>
      </c>
      <c r="F813" s="11" t="s">
        <v>732</v>
      </c>
      <c r="G813" s="8">
        <v>0</v>
      </c>
      <c r="H813" s="8">
        <v>9.49</v>
      </c>
      <c r="I813" s="8">
        <f t="shared" si="24"/>
        <v>-9.49</v>
      </c>
      <c r="J813" s="12"/>
    </row>
    <row r="814" spans="3:10" x14ac:dyDescent="0.3">
      <c r="C814" s="9" t="s">
        <v>12</v>
      </c>
      <c r="D814" s="10">
        <v>45894</v>
      </c>
      <c r="E814" t="s">
        <v>588</v>
      </c>
      <c r="F814" s="11" t="s">
        <v>14</v>
      </c>
      <c r="G814" s="8">
        <v>9.49</v>
      </c>
      <c r="H814" s="8">
        <v>0</v>
      </c>
      <c r="I814" s="8">
        <f t="shared" si="24"/>
        <v>0</v>
      </c>
      <c r="J814" s="12">
        <v>572000005</v>
      </c>
    </row>
    <row r="815" spans="3:10" x14ac:dyDescent="0.3">
      <c r="C815" s="9" t="s">
        <v>12</v>
      </c>
      <c r="D815" s="10">
        <v>45896</v>
      </c>
      <c r="E815" t="s">
        <v>733</v>
      </c>
      <c r="F815" s="11" t="s">
        <v>734</v>
      </c>
      <c r="G815" s="8">
        <v>0</v>
      </c>
      <c r="H815" s="8">
        <v>2.37</v>
      </c>
      <c r="I815" s="8">
        <f t="shared" si="24"/>
        <v>-2.37</v>
      </c>
      <c r="J815" s="12"/>
    </row>
    <row r="816" spans="3:10" x14ac:dyDescent="0.3">
      <c r="C816" s="9" t="s">
        <v>12</v>
      </c>
      <c r="D816" s="10">
        <v>45896</v>
      </c>
      <c r="E816" t="s">
        <v>588</v>
      </c>
      <c r="F816" s="11" t="s">
        <v>14</v>
      </c>
      <c r="G816" s="8">
        <v>2.37</v>
      </c>
      <c r="H816" s="8">
        <v>0</v>
      </c>
      <c r="I816" s="8">
        <f t="shared" si="24"/>
        <v>0</v>
      </c>
      <c r="J816" s="12">
        <v>572000005</v>
      </c>
    </row>
    <row r="817" spans="3:10" x14ac:dyDescent="0.3">
      <c r="C817" s="9" t="s">
        <v>12</v>
      </c>
      <c r="D817" s="10">
        <v>45898</v>
      </c>
      <c r="E817" t="s">
        <v>735</v>
      </c>
      <c r="F817" s="11" t="s">
        <v>736</v>
      </c>
      <c r="G817" s="8">
        <v>0</v>
      </c>
      <c r="H817" s="8">
        <v>14.23</v>
      </c>
      <c r="I817" s="8">
        <f t="shared" si="24"/>
        <v>-14.23</v>
      </c>
      <c r="J817" s="12"/>
    </row>
    <row r="818" spans="3:10" x14ac:dyDescent="0.3">
      <c r="C818" s="9" t="s">
        <v>12</v>
      </c>
      <c r="D818" s="10">
        <v>45898</v>
      </c>
      <c r="E818" t="s">
        <v>588</v>
      </c>
      <c r="F818" s="11" t="s">
        <v>14</v>
      </c>
      <c r="G818" s="8">
        <v>14.23</v>
      </c>
      <c r="H818" s="8">
        <v>0</v>
      </c>
      <c r="I818" s="8">
        <f t="shared" si="24"/>
        <v>0</v>
      </c>
      <c r="J818" s="12">
        <v>572000005</v>
      </c>
    </row>
    <row r="819" spans="3:10" x14ac:dyDescent="0.3">
      <c r="C819" s="9" t="s">
        <v>12</v>
      </c>
      <c r="D819" s="10">
        <v>45901</v>
      </c>
      <c r="E819" t="s">
        <v>737</v>
      </c>
      <c r="F819" s="11" t="s">
        <v>738</v>
      </c>
      <c r="G819" s="8">
        <v>0</v>
      </c>
      <c r="H819" s="8">
        <v>7.11</v>
      </c>
      <c r="I819" s="8">
        <f t="shared" si="24"/>
        <v>-7.11</v>
      </c>
      <c r="J819" s="12"/>
    </row>
    <row r="820" spans="3:10" x14ac:dyDescent="0.3">
      <c r="C820" s="9" t="s">
        <v>12</v>
      </c>
      <c r="D820" s="10">
        <v>45901</v>
      </c>
      <c r="E820" t="s">
        <v>588</v>
      </c>
      <c r="F820" s="11" t="s">
        <v>14</v>
      </c>
      <c r="G820" s="8">
        <v>7.11</v>
      </c>
      <c r="H820" s="8">
        <v>0</v>
      </c>
      <c r="I820" s="8">
        <f t="shared" si="24"/>
        <v>0</v>
      </c>
      <c r="J820" s="12">
        <v>572000005</v>
      </c>
    </row>
    <row r="821" spans="3:10" x14ac:dyDescent="0.3">
      <c r="C821" s="9" t="s">
        <v>12</v>
      </c>
      <c r="D821" s="10">
        <v>45902</v>
      </c>
      <c r="E821" t="s">
        <v>739</v>
      </c>
      <c r="F821" s="11" t="s">
        <v>740</v>
      </c>
      <c r="G821" s="8">
        <v>0</v>
      </c>
      <c r="H821" s="8">
        <v>9.49</v>
      </c>
      <c r="I821" s="8">
        <f t="shared" si="24"/>
        <v>-9.49</v>
      </c>
      <c r="J821" s="12"/>
    </row>
    <row r="822" spans="3:10" x14ac:dyDescent="0.3">
      <c r="C822" s="9" t="s">
        <v>12</v>
      </c>
      <c r="D822" s="10">
        <v>45902</v>
      </c>
      <c r="E822" t="s">
        <v>588</v>
      </c>
      <c r="F822" s="11" t="s">
        <v>14</v>
      </c>
      <c r="G822" s="8">
        <v>9.49</v>
      </c>
      <c r="H822" s="8">
        <v>0</v>
      </c>
      <c r="I822" s="8">
        <f t="shared" si="24"/>
        <v>0</v>
      </c>
      <c r="J822" s="12">
        <v>572000005</v>
      </c>
    </row>
    <row r="823" spans="3:10" x14ac:dyDescent="0.3">
      <c r="C823" s="9" t="s">
        <v>12</v>
      </c>
      <c r="D823" s="10">
        <v>45903</v>
      </c>
      <c r="E823" t="s">
        <v>741</v>
      </c>
      <c r="F823" s="11" t="s">
        <v>742</v>
      </c>
      <c r="G823" s="8">
        <v>0</v>
      </c>
      <c r="H823" s="8">
        <v>2.37</v>
      </c>
      <c r="I823" s="8">
        <f t="shared" si="24"/>
        <v>-2.37</v>
      </c>
      <c r="J823" s="12"/>
    </row>
    <row r="824" spans="3:10" x14ac:dyDescent="0.3">
      <c r="C824" s="9" t="s">
        <v>12</v>
      </c>
      <c r="D824" s="10">
        <v>45903</v>
      </c>
      <c r="E824" t="s">
        <v>588</v>
      </c>
      <c r="F824" s="11" t="s">
        <v>14</v>
      </c>
      <c r="G824" s="8">
        <v>2.37</v>
      </c>
      <c r="H824" s="8">
        <v>0</v>
      </c>
      <c r="I824" s="8">
        <f t="shared" si="24"/>
        <v>0</v>
      </c>
      <c r="J824" s="12">
        <v>572000005</v>
      </c>
    </row>
    <row r="825" spans="3:10" x14ac:dyDescent="0.3">
      <c r="C825" s="9" t="s">
        <v>12</v>
      </c>
      <c r="D825" s="10">
        <v>45904</v>
      </c>
      <c r="E825" t="s">
        <v>743</v>
      </c>
      <c r="F825" s="11" t="s">
        <v>744</v>
      </c>
      <c r="G825" s="8">
        <v>0</v>
      </c>
      <c r="H825" s="8">
        <v>4.74</v>
      </c>
      <c r="I825" s="8">
        <f t="shared" si="24"/>
        <v>-4.74</v>
      </c>
      <c r="J825" s="12"/>
    </row>
    <row r="826" spans="3:10" x14ac:dyDescent="0.3">
      <c r="C826" s="9" t="s">
        <v>12</v>
      </c>
      <c r="D826" s="10">
        <v>45904</v>
      </c>
      <c r="E826" t="s">
        <v>588</v>
      </c>
      <c r="F826" s="11" t="s">
        <v>14</v>
      </c>
      <c r="G826" s="8">
        <v>4.74</v>
      </c>
      <c r="H826" s="8">
        <v>0</v>
      </c>
      <c r="I826" s="8">
        <f t="shared" si="24"/>
        <v>0</v>
      </c>
      <c r="J826" s="12">
        <v>572000005</v>
      </c>
    </row>
    <row r="827" spans="3:10" x14ac:dyDescent="0.3">
      <c r="C827" s="9" t="s">
        <v>12</v>
      </c>
      <c r="D827" s="10">
        <v>45905</v>
      </c>
      <c r="E827" t="s">
        <v>745</v>
      </c>
      <c r="F827" s="11" t="s">
        <v>746</v>
      </c>
      <c r="G827" s="8">
        <v>0</v>
      </c>
      <c r="H827" s="8">
        <v>9.49</v>
      </c>
      <c r="I827" s="8">
        <f t="shared" si="24"/>
        <v>-9.49</v>
      </c>
      <c r="J827" s="12"/>
    </row>
    <row r="828" spans="3:10" x14ac:dyDescent="0.3">
      <c r="C828" s="9" t="s">
        <v>12</v>
      </c>
      <c r="D828" s="10">
        <v>45905</v>
      </c>
      <c r="E828" t="s">
        <v>747</v>
      </c>
      <c r="F828" s="11" t="s">
        <v>748</v>
      </c>
      <c r="G828" s="8">
        <v>0</v>
      </c>
      <c r="H828" s="8">
        <v>27.3</v>
      </c>
      <c r="I828" s="8">
        <f t="shared" si="24"/>
        <v>-36.79</v>
      </c>
      <c r="J828" s="12"/>
    </row>
    <row r="829" spans="3:10" x14ac:dyDescent="0.3">
      <c r="C829" s="9" t="s">
        <v>12</v>
      </c>
      <c r="D829" s="10">
        <v>45905</v>
      </c>
      <c r="E829" t="s">
        <v>588</v>
      </c>
      <c r="F829" s="11" t="s">
        <v>14</v>
      </c>
      <c r="G829" s="8">
        <v>9.49</v>
      </c>
      <c r="H829" s="8">
        <v>0</v>
      </c>
      <c r="I829" s="8">
        <f t="shared" si="24"/>
        <v>-27.299999999999997</v>
      </c>
      <c r="J829" s="12">
        <v>572000005</v>
      </c>
    </row>
    <row r="830" spans="3:10" x14ac:dyDescent="0.3">
      <c r="C830" s="9" t="s">
        <v>12</v>
      </c>
      <c r="D830" s="10">
        <v>45905</v>
      </c>
      <c r="E830" t="s">
        <v>596</v>
      </c>
      <c r="F830" s="11" t="s">
        <v>14</v>
      </c>
      <c r="G830" s="8">
        <v>27.3</v>
      </c>
      <c r="H830" s="8">
        <v>0</v>
      </c>
      <c r="I830" s="8">
        <f t="shared" si="24"/>
        <v>0</v>
      </c>
      <c r="J830" s="12">
        <v>572000005</v>
      </c>
    </row>
    <row r="831" spans="3:10" x14ac:dyDescent="0.3">
      <c r="C831" s="9" t="s">
        <v>12</v>
      </c>
      <c r="D831" s="10">
        <v>45908</v>
      </c>
      <c r="E831" t="s">
        <v>749</v>
      </c>
      <c r="F831" s="11" t="s">
        <v>750</v>
      </c>
      <c r="G831" s="8">
        <v>0</v>
      </c>
      <c r="H831" s="8">
        <v>4.74</v>
      </c>
      <c r="I831" s="8">
        <f t="shared" si="24"/>
        <v>-4.74</v>
      </c>
      <c r="J831" s="12"/>
    </row>
    <row r="832" spans="3:10" x14ac:dyDescent="0.3">
      <c r="C832" s="9" t="s">
        <v>12</v>
      </c>
      <c r="D832" s="10">
        <v>45908</v>
      </c>
      <c r="E832" t="s">
        <v>588</v>
      </c>
      <c r="F832" s="11" t="s">
        <v>14</v>
      </c>
      <c r="G832" s="8">
        <v>4.74</v>
      </c>
      <c r="H832" s="8">
        <v>0</v>
      </c>
      <c r="I832" s="8">
        <f t="shared" si="24"/>
        <v>0</v>
      </c>
      <c r="J832" s="12">
        <v>572000005</v>
      </c>
    </row>
    <row r="833" spans="3:10" x14ac:dyDescent="0.3">
      <c r="C833" s="9" t="s">
        <v>12</v>
      </c>
      <c r="D833" s="10">
        <v>45910</v>
      </c>
      <c r="E833" t="s">
        <v>751</v>
      </c>
      <c r="F833" s="11" t="s">
        <v>752</v>
      </c>
      <c r="G833" s="8">
        <v>0</v>
      </c>
      <c r="H833" s="8">
        <v>9.49</v>
      </c>
      <c r="I833" s="8">
        <f t="shared" si="24"/>
        <v>-9.49</v>
      </c>
      <c r="J833" s="12"/>
    </row>
    <row r="834" spans="3:10" x14ac:dyDescent="0.3">
      <c r="C834" s="9" t="s">
        <v>12</v>
      </c>
      <c r="D834" s="10">
        <v>45910</v>
      </c>
      <c r="E834" t="s">
        <v>753</v>
      </c>
      <c r="F834" s="11" t="s">
        <v>754</v>
      </c>
      <c r="G834" s="8">
        <v>0</v>
      </c>
      <c r="H834" s="8">
        <v>79.53</v>
      </c>
      <c r="I834" s="8">
        <f t="shared" si="24"/>
        <v>-89.02</v>
      </c>
      <c r="J834" s="12"/>
    </row>
    <row r="835" spans="3:10" x14ac:dyDescent="0.3">
      <c r="C835" s="9" t="s">
        <v>12</v>
      </c>
      <c r="D835" s="10">
        <v>45910</v>
      </c>
      <c r="E835" t="s">
        <v>588</v>
      </c>
      <c r="F835" s="11" t="s">
        <v>14</v>
      </c>
      <c r="G835" s="8">
        <v>9.49</v>
      </c>
      <c r="H835" s="8">
        <v>0</v>
      </c>
      <c r="I835" s="8">
        <f t="shared" si="24"/>
        <v>-79.53</v>
      </c>
      <c r="J835" s="12">
        <v>572000005</v>
      </c>
    </row>
    <row r="836" spans="3:10" x14ac:dyDescent="0.3">
      <c r="C836" s="9" t="s">
        <v>12</v>
      </c>
      <c r="D836" s="10">
        <v>45910</v>
      </c>
      <c r="E836" t="s">
        <v>596</v>
      </c>
      <c r="F836" s="11" t="s">
        <v>14</v>
      </c>
      <c r="G836" s="8">
        <v>79.53</v>
      </c>
      <c r="H836" s="8">
        <v>0</v>
      </c>
      <c r="I836" s="8">
        <f t="shared" si="24"/>
        <v>0</v>
      </c>
      <c r="J836" s="12">
        <v>572000005</v>
      </c>
    </row>
    <row r="837" spans="3:10" x14ac:dyDescent="0.3">
      <c r="C837" s="9" t="s">
        <v>12</v>
      </c>
      <c r="D837" s="10">
        <v>45911</v>
      </c>
      <c r="E837" t="s">
        <v>755</v>
      </c>
      <c r="F837" s="11" t="s">
        <v>756</v>
      </c>
      <c r="G837" s="8">
        <v>0</v>
      </c>
      <c r="H837" s="8">
        <v>11.86</v>
      </c>
      <c r="I837" s="8">
        <f t="shared" si="24"/>
        <v>-11.86</v>
      </c>
      <c r="J837" s="12"/>
    </row>
    <row r="838" spans="3:10" x14ac:dyDescent="0.3">
      <c r="C838" s="9" t="s">
        <v>12</v>
      </c>
      <c r="D838" s="10">
        <v>45911</v>
      </c>
      <c r="E838" t="s">
        <v>588</v>
      </c>
      <c r="F838" s="11" t="s">
        <v>14</v>
      </c>
      <c r="G838" s="8">
        <v>11.86</v>
      </c>
      <c r="H838" s="8">
        <v>0</v>
      </c>
      <c r="I838" s="8">
        <f t="shared" si="24"/>
        <v>0</v>
      </c>
      <c r="J838" s="12">
        <v>572000005</v>
      </c>
    </row>
    <row r="839" spans="3:10" x14ac:dyDescent="0.3">
      <c r="C839" s="9" t="s">
        <v>12</v>
      </c>
      <c r="D839" s="10">
        <v>45912</v>
      </c>
      <c r="E839" t="s">
        <v>757</v>
      </c>
      <c r="F839" s="11" t="s">
        <v>758</v>
      </c>
      <c r="G839" s="8">
        <v>0</v>
      </c>
      <c r="H839" s="8">
        <v>4.74</v>
      </c>
      <c r="I839" s="8">
        <f t="shared" si="24"/>
        <v>-4.74</v>
      </c>
      <c r="J839" s="12"/>
    </row>
    <row r="840" spans="3:10" x14ac:dyDescent="0.3">
      <c r="C840" s="9" t="s">
        <v>12</v>
      </c>
      <c r="D840" s="10">
        <v>45912</v>
      </c>
      <c r="E840" t="s">
        <v>759</v>
      </c>
      <c r="F840" s="11" t="s">
        <v>760</v>
      </c>
      <c r="G840" s="8">
        <v>0</v>
      </c>
      <c r="H840" s="8">
        <v>25.53</v>
      </c>
      <c r="I840" s="8">
        <f t="shared" si="24"/>
        <v>-30.270000000000003</v>
      </c>
      <c r="J840" s="12"/>
    </row>
    <row r="841" spans="3:10" x14ac:dyDescent="0.3">
      <c r="C841" s="9" t="s">
        <v>12</v>
      </c>
      <c r="D841" s="10">
        <v>45912</v>
      </c>
      <c r="E841" t="s">
        <v>588</v>
      </c>
      <c r="F841" s="11" t="s">
        <v>14</v>
      </c>
      <c r="G841" s="8">
        <v>4.74</v>
      </c>
      <c r="H841" s="8">
        <v>0</v>
      </c>
      <c r="I841" s="8">
        <f t="shared" si="24"/>
        <v>-25.53</v>
      </c>
      <c r="J841" s="12">
        <v>572000005</v>
      </c>
    </row>
    <row r="842" spans="3:10" x14ac:dyDescent="0.3">
      <c r="C842" s="9" t="s">
        <v>12</v>
      </c>
      <c r="D842" s="10">
        <v>45912</v>
      </c>
      <c r="E842" t="s">
        <v>596</v>
      </c>
      <c r="F842" s="11" t="s">
        <v>14</v>
      </c>
      <c r="G842" s="8">
        <v>25.53</v>
      </c>
      <c r="H842" s="8">
        <v>0</v>
      </c>
      <c r="I842" s="8">
        <f t="shared" si="24"/>
        <v>0</v>
      </c>
      <c r="J842" s="12">
        <v>572000005</v>
      </c>
    </row>
    <row r="843" spans="3:10" x14ac:dyDescent="0.3">
      <c r="C843" s="9" t="s">
        <v>12</v>
      </c>
      <c r="D843" s="10">
        <v>45915</v>
      </c>
      <c r="E843" t="s">
        <v>761</v>
      </c>
      <c r="F843" s="11" t="s">
        <v>762</v>
      </c>
      <c r="G843" s="8">
        <v>0</v>
      </c>
      <c r="H843" s="8">
        <v>14.23</v>
      </c>
      <c r="I843" s="8">
        <f t="shared" ref="I843:I906" si="25">G843-H843+I842</f>
        <v>-14.23</v>
      </c>
      <c r="J843" s="12"/>
    </row>
    <row r="844" spans="3:10" x14ac:dyDescent="0.3">
      <c r="C844" s="9" t="s">
        <v>12</v>
      </c>
      <c r="D844" s="10">
        <v>45915</v>
      </c>
      <c r="E844" t="s">
        <v>588</v>
      </c>
      <c r="F844" s="11" t="s">
        <v>14</v>
      </c>
      <c r="G844" s="8">
        <v>14.23</v>
      </c>
      <c r="H844" s="8">
        <v>0</v>
      </c>
      <c r="I844" s="8">
        <f t="shared" si="25"/>
        <v>0</v>
      </c>
      <c r="J844" s="12">
        <v>572000005</v>
      </c>
    </row>
    <row r="845" spans="3:10" x14ac:dyDescent="0.3">
      <c r="C845" s="9"/>
      <c r="D845" s="10">
        <v>45922</v>
      </c>
      <c r="E845" t="s">
        <v>588</v>
      </c>
      <c r="F845" s="11" t="s">
        <v>14</v>
      </c>
      <c r="G845" s="8">
        <v>14.23</v>
      </c>
      <c r="H845" s="8">
        <v>0</v>
      </c>
      <c r="I845" s="8">
        <f t="shared" si="25"/>
        <v>14.23</v>
      </c>
      <c r="J845" s="12">
        <v>572000005</v>
      </c>
    </row>
    <row r="846" spans="3:10" x14ac:dyDescent="0.3">
      <c r="C846" s="9"/>
      <c r="D846" s="10">
        <v>45923</v>
      </c>
      <c r="E846" t="s">
        <v>588</v>
      </c>
      <c r="F846" s="11" t="s">
        <v>14</v>
      </c>
      <c r="G846" s="8">
        <v>2.37</v>
      </c>
      <c r="H846" s="8">
        <v>0</v>
      </c>
      <c r="I846" s="8">
        <f t="shared" si="25"/>
        <v>16.600000000000001</v>
      </c>
      <c r="J846" s="12">
        <v>572000005</v>
      </c>
    </row>
    <row r="847" spans="3:10" x14ac:dyDescent="0.3">
      <c r="C847" s="9"/>
      <c r="D847" s="10">
        <v>45925</v>
      </c>
      <c r="E847" t="s">
        <v>588</v>
      </c>
      <c r="F847" s="11" t="s">
        <v>14</v>
      </c>
      <c r="G847" s="8">
        <v>9.49</v>
      </c>
      <c r="H847" s="8">
        <v>0</v>
      </c>
      <c r="I847" s="8">
        <f t="shared" si="25"/>
        <v>26.090000000000003</v>
      </c>
      <c r="J847" s="12">
        <v>572000005</v>
      </c>
    </row>
    <row r="848" spans="3:10" x14ac:dyDescent="0.3">
      <c r="C848" s="9"/>
      <c r="D848" s="10">
        <v>45926</v>
      </c>
      <c r="E848" t="s">
        <v>588</v>
      </c>
      <c r="F848" s="11" t="s">
        <v>14</v>
      </c>
      <c r="G848" s="8">
        <v>9.49</v>
      </c>
      <c r="H848" s="8">
        <v>0</v>
      </c>
      <c r="I848" s="8">
        <f t="shared" si="25"/>
        <v>35.580000000000005</v>
      </c>
      <c r="J848" s="12">
        <v>572000005</v>
      </c>
    </row>
    <row r="849" spans="1:10" x14ac:dyDescent="0.3">
      <c r="C849" s="9"/>
      <c r="D849" s="10">
        <v>45926</v>
      </c>
      <c r="E849" t="s">
        <v>596</v>
      </c>
      <c r="F849" s="11" t="s">
        <v>14</v>
      </c>
      <c r="G849" s="8">
        <v>25.53</v>
      </c>
      <c r="H849" s="8">
        <v>0</v>
      </c>
      <c r="I849" s="8">
        <f t="shared" si="25"/>
        <v>61.110000000000007</v>
      </c>
      <c r="J849" s="12">
        <v>572000005</v>
      </c>
    </row>
    <row r="850" spans="1:10" x14ac:dyDescent="0.3">
      <c r="E850" s="4" t="s">
        <v>116</v>
      </c>
      <c r="G850" s="8">
        <f>SUM(G586:G849)</f>
        <v>3689.2299999999941</v>
      </c>
      <c r="H850" s="8">
        <f>SUM(H586:H849)</f>
        <v>3628.1199999999944</v>
      </c>
      <c r="I850" s="8">
        <f>G850-H850</f>
        <v>61.109999999999673</v>
      </c>
    </row>
    <row r="852" spans="1:10" x14ac:dyDescent="0.3">
      <c r="A852" s="5">
        <v>410000093</v>
      </c>
      <c r="B852" s="6" t="s">
        <v>763</v>
      </c>
      <c r="C852" s="7"/>
      <c r="D852" s="7"/>
      <c r="E852" s="7"/>
      <c r="F852" s="7"/>
      <c r="G852" s="7"/>
      <c r="H852" s="7"/>
      <c r="I852" s="7"/>
      <c r="J852" s="7"/>
    </row>
    <row r="853" spans="1:10" x14ac:dyDescent="0.3">
      <c r="C853" s="9"/>
      <c r="D853" s="10">
        <v>45694</v>
      </c>
      <c r="E853" t="s">
        <v>764</v>
      </c>
      <c r="F853" s="11" t="s">
        <v>14</v>
      </c>
      <c r="G853" s="8">
        <v>127</v>
      </c>
      <c r="H853" s="8">
        <v>0</v>
      </c>
      <c r="I853" s="8">
        <f>G853-H853</f>
        <v>127</v>
      </c>
      <c r="J853" s="12">
        <v>572000002</v>
      </c>
    </row>
    <row r="854" spans="1:10" x14ac:dyDescent="0.3">
      <c r="C854" s="9"/>
      <c r="D854" s="10">
        <v>45754</v>
      </c>
      <c r="E854" t="s">
        <v>764</v>
      </c>
      <c r="F854" s="11" t="s">
        <v>14</v>
      </c>
      <c r="G854" s="8">
        <v>127</v>
      </c>
      <c r="H854" s="8">
        <v>0</v>
      </c>
      <c r="I854" s="8">
        <f>G854-H854+I853</f>
        <v>254</v>
      </c>
      <c r="J854" s="12">
        <v>572000002</v>
      </c>
    </row>
    <row r="855" spans="1:10" x14ac:dyDescent="0.3">
      <c r="C855" s="9"/>
      <c r="D855" s="10">
        <v>45782</v>
      </c>
      <c r="E855" t="s">
        <v>223</v>
      </c>
      <c r="F855" s="11" t="s">
        <v>14</v>
      </c>
      <c r="G855" s="8">
        <v>127</v>
      </c>
      <c r="H855" s="8">
        <v>0</v>
      </c>
      <c r="I855" s="8">
        <f>G855-H855+I854</f>
        <v>381</v>
      </c>
      <c r="J855" s="12">
        <v>572000002</v>
      </c>
    </row>
    <row r="856" spans="1:10" x14ac:dyDescent="0.3">
      <c r="C856" s="9"/>
      <c r="D856" s="10">
        <v>45845</v>
      </c>
      <c r="E856" t="s">
        <v>764</v>
      </c>
      <c r="F856" s="11" t="s">
        <v>14</v>
      </c>
      <c r="G856" s="8">
        <v>127</v>
      </c>
      <c r="H856" s="8">
        <v>0</v>
      </c>
      <c r="I856" s="8">
        <f>G856-H856+I855</f>
        <v>508</v>
      </c>
      <c r="J856" s="12">
        <v>572000002</v>
      </c>
    </row>
    <row r="857" spans="1:10" x14ac:dyDescent="0.3">
      <c r="E857" s="4" t="s">
        <v>116</v>
      </c>
      <c r="G857" s="8">
        <f>SUM(G853:G856)</f>
        <v>508</v>
      </c>
      <c r="H857" s="8">
        <f>SUM(H853:H856)</f>
        <v>0</v>
      </c>
      <c r="I857" s="8">
        <f>G857-H857</f>
        <v>508</v>
      </c>
    </row>
    <row r="859" spans="1:10" x14ac:dyDescent="0.3">
      <c r="A859" s="5">
        <v>410000094</v>
      </c>
      <c r="B859" s="6" t="s">
        <v>765</v>
      </c>
      <c r="C859" s="7"/>
      <c r="D859" s="7"/>
      <c r="E859" s="7"/>
      <c r="F859" s="7"/>
      <c r="G859" s="7"/>
      <c r="H859" s="7"/>
      <c r="I859" s="7"/>
      <c r="J859" s="7"/>
    </row>
    <row r="860" spans="1:10" x14ac:dyDescent="0.3">
      <c r="C860" s="9"/>
      <c r="D860" s="10">
        <v>45847</v>
      </c>
      <c r="E860" t="s">
        <v>766</v>
      </c>
      <c r="F860" s="11" t="s">
        <v>767</v>
      </c>
      <c r="G860" s="8">
        <v>0</v>
      </c>
      <c r="H860" s="8">
        <v>54.98</v>
      </c>
      <c r="I860" s="8">
        <f>G860-H860</f>
        <v>-54.98</v>
      </c>
      <c r="J860" s="12"/>
    </row>
    <row r="861" spans="1:10" x14ac:dyDescent="0.3">
      <c r="E861" s="4" t="s">
        <v>116</v>
      </c>
      <c r="G861" s="8">
        <f>G860</f>
        <v>0</v>
      </c>
      <c r="H861" s="8">
        <f>H860</f>
        <v>54.98</v>
      </c>
      <c r="I861" s="8">
        <f>G861-H861</f>
        <v>-54.98</v>
      </c>
    </row>
    <row r="863" spans="1:10" x14ac:dyDescent="0.3">
      <c r="A863" s="5">
        <v>410000122</v>
      </c>
      <c r="B863" s="6" t="s">
        <v>768</v>
      </c>
      <c r="C863" s="7"/>
      <c r="D863" s="7"/>
      <c r="E863" s="7"/>
      <c r="F863" s="7"/>
      <c r="G863" s="7"/>
      <c r="H863" s="7"/>
      <c r="I863" s="7"/>
      <c r="J863" s="7"/>
    </row>
    <row r="864" spans="1:10" x14ac:dyDescent="0.3">
      <c r="C864" s="9" t="s">
        <v>12</v>
      </c>
      <c r="D864" s="10">
        <v>45670</v>
      </c>
      <c r="E864" t="s">
        <v>769</v>
      </c>
      <c r="F864" s="11" t="s">
        <v>770</v>
      </c>
      <c r="G864" s="8">
        <v>0</v>
      </c>
      <c r="H864" s="8">
        <v>32.86</v>
      </c>
      <c r="I864" s="8">
        <f>G864-H864</f>
        <v>-32.86</v>
      </c>
      <c r="J864" s="12"/>
    </row>
    <row r="865" spans="1:10" x14ac:dyDescent="0.3">
      <c r="C865" s="9" t="s">
        <v>12</v>
      </c>
      <c r="D865" s="10">
        <v>45684</v>
      </c>
      <c r="E865" t="s">
        <v>771</v>
      </c>
      <c r="F865" s="11" t="s">
        <v>772</v>
      </c>
      <c r="G865" s="8">
        <v>0</v>
      </c>
      <c r="H865" s="8">
        <v>5.5</v>
      </c>
      <c r="I865" s="8">
        <f>G865-H865+I864</f>
        <v>-38.36</v>
      </c>
      <c r="J865" s="12"/>
    </row>
    <row r="866" spans="1:10" x14ac:dyDescent="0.3">
      <c r="C866" s="9" t="s">
        <v>12</v>
      </c>
      <c r="D866" s="10">
        <v>45688</v>
      </c>
      <c r="E866" t="s">
        <v>120</v>
      </c>
      <c r="F866" s="11" t="s">
        <v>14</v>
      </c>
      <c r="G866" s="8">
        <v>32.86</v>
      </c>
      <c r="H866" s="8">
        <v>0</v>
      </c>
      <c r="I866" s="8">
        <f>G866-H866+I865</f>
        <v>-5.5</v>
      </c>
      <c r="J866" s="12"/>
    </row>
    <row r="867" spans="1:10" x14ac:dyDescent="0.3">
      <c r="C867" s="9" t="s">
        <v>12</v>
      </c>
      <c r="D867" s="10">
        <v>45688</v>
      </c>
      <c r="E867" t="s">
        <v>120</v>
      </c>
      <c r="F867" s="11" t="s">
        <v>14</v>
      </c>
      <c r="G867" s="8">
        <v>5.5</v>
      </c>
      <c r="H867" s="8">
        <v>0</v>
      </c>
      <c r="I867" s="8">
        <f>G867-H867+I866</f>
        <v>0</v>
      </c>
      <c r="J867" s="12"/>
    </row>
    <row r="868" spans="1:10" x14ac:dyDescent="0.3">
      <c r="C868" s="9"/>
      <c r="D868" s="10">
        <v>45871</v>
      </c>
      <c r="E868" t="s">
        <v>773</v>
      </c>
      <c r="F868" s="11" t="s">
        <v>774</v>
      </c>
      <c r="G868" s="8">
        <v>0</v>
      </c>
      <c r="H868" s="8">
        <v>27.05</v>
      </c>
      <c r="I868" s="8">
        <f>G868-H868+I867</f>
        <v>-27.05</v>
      </c>
      <c r="J868" s="12"/>
    </row>
    <row r="869" spans="1:10" x14ac:dyDescent="0.3">
      <c r="C869" s="9"/>
      <c r="D869" s="10">
        <v>45910</v>
      </c>
      <c r="E869" t="s">
        <v>775</v>
      </c>
      <c r="F869" s="11" t="s">
        <v>776</v>
      </c>
      <c r="G869" s="8">
        <v>0</v>
      </c>
      <c r="H869" s="8">
        <v>96.65</v>
      </c>
      <c r="I869" s="8">
        <f>G869-H869+I868</f>
        <v>-123.7</v>
      </c>
      <c r="J869" s="12"/>
    </row>
    <row r="870" spans="1:10" x14ac:dyDescent="0.3">
      <c r="E870" s="4" t="s">
        <v>116</v>
      </c>
      <c r="G870" s="8">
        <f>SUM(G864:G869)</f>
        <v>38.36</v>
      </c>
      <c r="H870" s="8">
        <f>SUM(H864:H869)</f>
        <v>162.06</v>
      </c>
      <c r="I870" s="8">
        <f>G870-H870</f>
        <v>-123.7</v>
      </c>
    </row>
    <row r="872" spans="1:10" x14ac:dyDescent="0.3">
      <c r="A872" s="5">
        <v>410000129</v>
      </c>
      <c r="B872" s="6" t="s">
        <v>777</v>
      </c>
      <c r="C872" s="7"/>
      <c r="D872" s="7"/>
      <c r="E872" s="7"/>
      <c r="F872" s="7"/>
      <c r="G872" s="7"/>
      <c r="H872" s="7"/>
      <c r="I872" s="7"/>
      <c r="J872" s="7"/>
    </row>
    <row r="873" spans="1:10" x14ac:dyDescent="0.3">
      <c r="C873" s="9"/>
      <c r="D873" s="10">
        <v>45839</v>
      </c>
      <c r="E873" t="s">
        <v>778</v>
      </c>
      <c r="F873" s="11" t="s">
        <v>779</v>
      </c>
      <c r="G873" s="8">
        <v>0</v>
      </c>
      <c r="H873" s="8">
        <v>7.28</v>
      </c>
      <c r="I873" s="8">
        <f>G873-H873</f>
        <v>-7.28</v>
      </c>
      <c r="J873" s="12"/>
    </row>
    <row r="874" spans="1:10" x14ac:dyDescent="0.3">
      <c r="C874" s="9"/>
      <c r="D874" s="10">
        <v>45866</v>
      </c>
      <c r="E874" t="s">
        <v>780</v>
      </c>
      <c r="F874" s="11" t="s">
        <v>781</v>
      </c>
      <c r="G874" s="8">
        <v>0</v>
      </c>
      <c r="H874" s="8">
        <v>15.13</v>
      </c>
      <c r="I874" s="8">
        <f>G874-H874+I873</f>
        <v>-22.41</v>
      </c>
      <c r="J874" s="12"/>
    </row>
    <row r="875" spans="1:10" x14ac:dyDescent="0.3">
      <c r="E875" s="4" t="s">
        <v>116</v>
      </c>
      <c r="G875" s="8">
        <f>SUM(G873:G874)</f>
        <v>0</v>
      </c>
      <c r="H875" s="8">
        <f>SUM(H873:H874)</f>
        <v>22.41</v>
      </c>
      <c r="I875" s="8">
        <f>G875-H875</f>
        <v>-22.41</v>
      </c>
    </row>
    <row r="877" spans="1:10" x14ac:dyDescent="0.3">
      <c r="A877" s="5">
        <v>410000144</v>
      </c>
      <c r="B877" s="6" t="s">
        <v>782</v>
      </c>
      <c r="C877" s="7"/>
      <c r="D877" s="7"/>
      <c r="E877" s="7"/>
      <c r="F877" s="7"/>
      <c r="G877" s="7"/>
      <c r="H877" s="7"/>
      <c r="I877" s="7"/>
      <c r="J877" s="7"/>
    </row>
    <row r="878" spans="1:10" x14ac:dyDescent="0.3">
      <c r="C878" s="9"/>
      <c r="D878" s="10">
        <v>45782</v>
      </c>
      <c r="E878" t="s">
        <v>783</v>
      </c>
      <c r="F878" s="11" t="s">
        <v>784</v>
      </c>
      <c r="G878" s="8">
        <v>821.98</v>
      </c>
      <c r="H878" s="8">
        <v>0</v>
      </c>
      <c r="I878" s="8">
        <f>G878-H878</f>
        <v>821.98</v>
      </c>
      <c r="J878" s="12"/>
    </row>
    <row r="879" spans="1:10" x14ac:dyDescent="0.3">
      <c r="E879" s="4" t="s">
        <v>116</v>
      </c>
      <c r="G879" s="8">
        <f>G878</f>
        <v>821.98</v>
      </c>
      <c r="H879" s="8">
        <f>H878</f>
        <v>0</v>
      </c>
      <c r="I879" s="8">
        <f>G879-H879</f>
        <v>821.98</v>
      </c>
    </row>
    <row r="881" spans="1:10" x14ac:dyDescent="0.3">
      <c r="A881" s="5">
        <v>410000148</v>
      </c>
      <c r="B881" s="6" t="s">
        <v>785</v>
      </c>
      <c r="C881" s="7"/>
      <c r="D881" s="7"/>
      <c r="E881" s="7"/>
      <c r="F881" s="7"/>
      <c r="G881" s="7"/>
      <c r="H881" s="7"/>
      <c r="I881" s="7"/>
      <c r="J881" s="7"/>
    </row>
    <row r="882" spans="1:10" x14ac:dyDescent="0.3">
      <c r="C882" s="9"/>
      <c r="D882" s="10">
        <v>45747</v>
      </c>
      <c r="E882" t="s">
        <v>120</v>
      </c>
      <c r="F882" s="11" t="s">
        <v>14</v>
      </c>
      <c r="G882" s="8">
        <v>207.64</v>
      </c>
      <c r="H882" s="8">
        <v>0</v>
      </c>
      <c r="I882" s="8">
        <f>G882-H882</f>
        <v>207.64</v>
      </c>
      <c r="J882" s="12"/>
    </row>
    <row r="883" spans="1:10" x14ac:dyDescent="0.3">
      <c r="E883" s="4" t="s">
        <v>116</v>
      </c>
      <c r="G883" s="8">
        <f>G882</f>
        <v>207.64</v>
      </c>
      <c r="H883" s="8">
        <f>H882</f>
        <v>0</v>
      </c>
      <c r="I883" s="8">
        <f>G883-H883</f>
        <v>207.64</v>
      </c>
    </row>
    <row r="885" spans="1:10" x14ac:dyDescent="0.3">
      <c r="A885" s="5">
        <v>410000163</v>
      </c>
      <c r="B885" s="6" t="s">
        <v>786</v>
      </c>
      <c r="C885" s="7"/>
      <c r="D885" s="7"/>
      <c r="E885" s="7"/>
      <c r="F885" s="7"/>
      <c r="G885" s="7"/>
      <c r="H885" s="7"/>
      <c r="I885" s="7"/>
      <c r="J885" s="7"/>
    </row>
    <row r="886" spans="1:10" x14ac:dyDescent="0.3">
      <c r="C886" s="9"/>
      <c r="D886" s="10">
        <v>45901</v>
      </c>
      <c r="E886" t="s">
        <v>787</v>
      </c>
      <c r="F886" s="11" t="s">
        <v>788</v>
      </c>
      <c r="G886" s="8">
        <v>0</v>
      </c>
      <c r="H886" s="8">
        <v>623.15</v>
      </c>
      <c r="I886" s="8">
        <f>G886-H886</f>
        <v>-623.15</v>
      </c>
      <c r="J886" s="12"/>
    </row>
    <row r="887" spans="1:10" x14ac:dyDescent="0.3">
      <c r="C887" s="9"/>
      <c r="D887" s="10">
        <v>45902</v>
      </c>
      <c r="E887" t="s">
        <v>789</v>
      </c>
      <c r="F887" s="11" t="s">
        <v>14</v>
      </c>
      <c r="G887" s="8">
        <v>402.02</v>
      </c>
      <c r="H887" s="8">
        <v>0</v>
      </c>
      <c r="I887" s="8">
        <f>G887-H887+I886</f>
        <v>-221.13</v>
      </c>
      <c r="J887" s="12">
        <v>572000005</v>
      </c>
    </row>
    <row r="888" spans="1:10" x14ac:dyDescent="0.3">
      <c r="C888" s="9"/>
      <c r="D888" s="10">
        <v>45903</v>
      </c>
      <c r="E888" t="s">
        <v>34</v>
      </c>
      <c r="F888" s="11" t="s">
        <v>14</v>
      </c>
      <c r="G888" s="8">
        <v>623.15</v>
      </c>
      <c r="H888" s="8">
        <v>0</v>
      </c>
      <c r="I888" s="8">
        <f>G888-H888+I887</f>
        <v>402.02</v>
      </c>
      <c r="J888" s="12">
        <v>572000005</v>
      </c>
    </row>
    <row r="889" spans="1:10" x14ac:dyDescent="0.3">
      <c r="E889" s="4" t="s">
        <v>116</v>
      </c>
      <c r="G889" s="8">
        <f>SUM(G886:G888)</f>
        <v>1025.17</v>
      </c>
      <c r="H889" s="8">
        <f>SUM(H886:H888)</f>
        <v>623.15</v>
      </c>
      <c r="I889" s="8">
        <f>G889-H889</f>
        <v>402.0200000000001</v>
      </c>
    </row>
    <row r="891" spans="1:10" x14ac:dyDescent="0.3">
      <c r="A891" s="5">
        <v>410000165</v>
      </c>
      <c r="B891" s="6" t="s">
        <v>790</v>
      </c>
      <c r="C891" s="7"/>
      <c r="D891" s="7"/>
      <c r="E891" s="7"/>
      <c r="F891" s="7"/>
      <c r="G891" s="7"/>
      <c r="H891" s="7"/>
      <c r="I891" s="7"/>
      <c r="J891" s="7"/>
    </row>
    <row r="892" spans="1:10" x14ac:dyDescent="0.3">
      <c r="C892" s="9" t="s">
        <v>12</v>
      </c>
      <c r="D892" s="10">
        <v>45658</v>
      </c>
      <c r="E892" t="s">
        <v>791</v>
      </c>
      <c r="F892" s="11" t="s">
        <v>792</v>
      </c>
      <c r="G892" s="8">
        <v>0</v>
      </c>
      <c r="H892" s="8">
        <v>410.75</v>
      </c>
      <c r="I892" s="8">
        <f>G892-H892</f>
        <v>-410.75</v>
      </c>
      <c r="J892" s="12"/>
    </row>
    <row r="893" spans="1:10" x14ac:dyDescent="0.3">
      <c r="C893" s="9" t="s">
        <v>12</v>
      </c>
      <c r="D893" s="10">
        <v>45708</v>
      </c>
      <c r="E893" t="s">
        <v>793</v>
      </c>
      <c r="F893" s="11" t="s">
        <v>794</v>
      </c>
      <c r="G893" s="8">
        <v>0</v>
      </c>
      <c r="H893" s="8">
        <v>433.75</v>
      </c>
      <c r="I893" s="8">
        <f t="shared" ref="I893:I900" si="26">G893-H893+I892</f>
        <v>-844.5</v>
      </c>
      <c r="J893" s="12"/>
    </row>
    <row r="894" spans="1:10" x14ac:dyDescent="0.3">
      <c r="C894" s="9" t="s">
        <v>12</v>
      </c>
      <c r="D894" s="10">
        <v>45708</v>
      </c>
      <c r="E894" t="s">
        <v>795</v>
      </c>
      <c r="F894" s="11" t="s">
        <v>662</v>
      </c>
      <c r="G894" s="8">
        <v>0</v>
      </c>
      <c r="H894" s="8">
        <v>600</v>
      </c>
      <c r="I894" s="8">
        <f t="shared" si="26"/>
        <v>-1444.5</v>
      </c>
      <c r="J894" s="12"/>
    </row>
    <row r="895" spans="1:10" x14ac:dyDescent="0.3">
      <c r="C895" s="9" t="s">
        <v>12</v>
      </c>
      <c r="D895" s="10">
        <v>45716</v>
      </c>
      <c r="E895" t="s">
        <v>465</v>
      </c>
      <c r="F895" s="11" t="s">
        <v>14</v>
      </c>
      <c r="G895" s="8">
        <v>600</v>
      </c>
      <c r="H895" s="8">
        <v>0</v>
      </c>
      <c r="I895" s="8">
        <f t="shared" si="26"/>
        <v>-844.5</v>
      </c>
      <c r="J895" s="12"/>
    </row>
    <row r="896" spans="1:10" x14ac:dyDescent="0.3">
      <c r="C896" s="9" t="s">
        <v>12</v>
      </c>
      <c r="D896" s="10">
        <v>45716</v>
      </c>
      <c r="E896" t="s">
        <v>465</v>
      </c>
      <c r="F896" s="11" t="s">
        <v>14</v>
      </c>
      <c r="G896" s="8">
        <v>433.75</v>
      </c>
      <c r="H896" s="8">
        <v>0</v>
      </c>
      <c r="I896" s="8">
        <f t="shared" si="26"/>
        <v>-410.75</v>
      </c>
      <c r="J896" s="12"/>
    </row>
    <row r="897" spans="1:10" x14ac:dyDescent="0.3">
      <c r="C897" s="9" t="s">
        <v>12</v>
      </c>
      <c r="D897" s="10">
        <v>45748</v>
      </c>
      <c r="E897" t="s">
        <v>796</v>
      </c>
      <c r="F897" s="11" t="s">
        <v>797</v>
      </c>
      <c r="G897" s="8">
        <v>0</v>
      </c>
      <c r="H897" s="8">
        <v>-410.75</v>
      </c>
      <c r="I897" s="8">
        <f t="shared" si="26"/>
        <v>0</v>
      </c>
      <c r="J897" s="12"/>
    </row>
    <row r="898" spans="1:10" x14ac:dyDescent="0.3">
      <c r="C898" s="9"/>
      <c r="D898" s="10">
        <v>45846</v>
      </c>
      <c r="E898" t="s">
        <v>798</v>
      </c>
      <c r="F898" s="11" t="s">
        <v>799</v>
      </c>
      <c r="G898" s="8">
        <v>0</v>
      </c>
      <c r="H898" s="8">
        <v>108.2</v>
      </c>
      <c r="I898" s="8">
        <f t="shared" si="26"/>
        <v>-108.2</v>
      </c>
      <c r="J898" s="12"/>
    </row>
    <row r="899" spans="1:10" x14ac:dyDescent="0.3">
      <c r="C899" s="9"/>
      <c r="D899" s="10">
        <v>45902</v>
      </c>
      <c r="E899" t="s">
        <v>305</v>
      </c>
      <c r="F899" s="11" t="s">
        <v>14</v>
      </c>
      <c r="G899" s="8">
        <v>969</v>
      </c>
      <c r="H899" s="8">
        <v>0</v>
      </c>
      <c r="I899" s="8">
        <f t="shared" si="26"/>
        <v>860.8</v>
      </c>
      <c r="J899" s="12">
        <v>572000007</v>
      </c>
    </row>
    <row r="900" spans="1:10" x14ac:dyDescent="0.3">
      <c r="C900" s="9"/>
      <c r="D900" s="10">
        <v>45919</v>
      </c>
      <c r="E900" t="s">
        <v>800</v>
      </c>
      <c r="F900" s="11" t="s">
        <v>801</v>
      </c>
      <c r="G900" s="8">
        <v>0</v>
      </c>
      <c r="H900" s="8">
        <v>359.3</v>
      </c>
      <c r="I900" s="8">
        <f t="shared" si="26"/>
        <v>501.49999999999994</v>
      </c>
      <c r="J900" s="12"/>
    </row>
    <row r="901" spans="1:10" x14ac:dyDescent="0.3">
      <c r="E901" s="4" t="s">
        <v>116</v>
      </c>
      <c r="G901" s="8">
        <f>SUM(G892:G900)</f>
        <v>2002.75</v>
      </c>
      <c r="H901" s="8">
        <f>SUM(H892:H900)</f>
        <v>1501.25</v>
      </c>
      <c r="I901" s="8">
        <f>G901-H901</f>
        <v>501.5</v>
      </c>
    </row>
    <row r="903" spans="1:10" x14ac:dyDescent="0.3">
      <c r="A903" s="5">
        <v>410000175</v>
      </c>
      <c r="B903" s="6" t="s">
        <v>802</v>
      </c>
      <c r="C903" s="7"/>
      <c r="D903" s="7"/>
      <c r="E903" s="7"/>
      <c r="F903" s="7"/>
      <c r="G903" s="7"/>
      <c r="H903" s="7"/>
      <c r="I903" s="7"/>
      <c r="J903" s="7"/>
    </row>
    <row r="904" spans="1:10" x14ac:dyDescent="0.3">
      <c r="E904" s="4" t="s">
        <v>11</v>
      </c>
      <c r="G904" s="8">
        <v>113.88</v>
      </c>
      <c r="H904" s="8">
        <v>0</v>
      </c>
      <c r="I904" s="8">
        <f>G904-H904</f>
        <v>113.88</v>
      </c>
    </row>
    <row r="905" spans="1:10" x14ac:dyDescent="0.3">
      <c r="C905" s="9" t="s">
        <v>12</v>
      </c>
      <c r="D905" s="10">
        <v>45659</v>
      </c>
      <c r="E905" t="s">
        <v>803</v>
      </c>
      <c r="F905" s="11" t="s">
        <v>804</v>
      </c>
      <c r="G905" s="8">
        <v>0</v>
      </c>
      <c r="H905" s="8">
        <v>113.88</v>
      </c>
      <c r="I905" s="8">
        <f>G905-H905+I904</f>
        <v>0</v>
      </c>
      <c r="J905" s="12"/>
    </row>
    <row r="906" spans="1:10" x14ac:dyDescent="0.3">
      <c r="C906" s="9"/>
      <c r="D906" s="10">
        <v>45877</v>
      </c>
      <c r="E906" t="s">
        <v>805</v>
      </c>
      <c r="F906" s="11" t="s">
        <v>806</v>
      </c>
      <c r="G906" s="8">
        <v>0</v>
      </c>
      <c r="H906" s="8">
        <v>98.42</v>
      </c>
      <c r="I906" s="8">
        <f>G906-H906+I905</f>
        <v>-98.42</v>
      </c>
      <c r="J906" s="12"/>
    </row>
    <row r="907" spans="1:10" x14ac:dyDescent="0.3">
      <c r="E907" s="4" t="s">
        <v>116</v>
      </c>
      <c r="G907" s="8">
        <f>SUM(G904:G906)</f>
        <v>113.88</v>
      </c>
      <c r="H907" s="8">
        <f>SUM(H904:H906)</f>
        <v>212.3</v>
      </c>
      <c r="I907" s="8">
        <f>G907-H907</f>
        <v>-98.420000000000016</v>
      </c>
    </row>
    <row r="909" spans="1:10" x14ac:dyDescent="0.3">
      <c r="A909" s="5">
        <v>410000186</v>
      </c>
      <c r="B909" s="6" t="s">
        <v>807</v>
      </c>
      <c r="C909" s="7"/>
      <c r="D909" s="7"/>
      <c r="E909" s="7"/>
      <c r="F909" s="7"/>
      <c r="G909" s="7"/>
      <c r="H909" s="7"/>
      <c r="I909" s="7"/>
      <c r="J909" s="7"/>
    </row>
    <row r="910" spans="1:10" x14ac:dyDescent="0.3">
      <c r="C910" s="9" t="s">
        <v>12</v>
      </c>
      <c r="D910" s="10">
        <v>45688</v>
      </c>
      <c r="E910" t="s">
        <v>808</v>
      </c>
      <c r="F910" s="11" t="s">
        <v>809</v>
      </c>
      <c r="G910" s="8">
        <v>0</v>
      </c>
      <c r="H910" s="8">
        <v>206.46</v>
      </c>
      <c r="I910" s="8">
        <f>G910-H910</f>
        <v>-206.46</v>
      </c>
      <c r="J910" s="12"/>
    </row>
    <row r="911" spans="1:10" x14ac:dyDescent="0.3">
      <c r="C911" s="9" t="s">
        <v>12</v>
      </c>
      <c r="D911" s="10">
        <v>45688</v>
      </c>
      <c r="E911" t="s">
        <v>810</v>
      </c>
      <c r="F911" s="11" t="s">
        <v>811</v>
      </c>
      <c r="G911" s="8">
        <v>0</v>
      </c>
      <c r="H911" s="8">
        <v>73.62</v>
      </c>
      <c r="I911" s="8">
        <f t="shared" ref="I911:I950" si="27">G911-H911+I910</f>
        <v>-280.08000000000004</v>
      </c>
      <c r="J911" s="12"/>
    </row>
    <row r="912" spans="1:10" x14ac:dyDescent="0.3">
      <c r="C912" s="9" t="s">
        <v>12</v>
      </c>
      <c r="D912" s="10">
        <v>45688</v>
      </c>
      <c r="E912" t="s">
        <v>120</v>
      </c>
      <c r="F912" s="11" t="s">
        <v>14</v>
      </c>
      <c r="G912" s="8">
        <v>73.55</v>
      </c>
      <c r="H912" s="8">
        <v>0</v>
      </c>
      <c r="I912" s="8">
        <f t="shared" si="27"/>
        <v>-206.53000000000003</v>
      </c>
      <c r="J912" s="12"/>
    </row>
    <row r="913" spans="3:10" x14ac:dyDescent="0.3">
      <c r="C913" s="9" t="s">
        <v>12</v>
      </c>
      <c r="D913" s="10">
        <v>45688</v>
      </c>
      <c r="E913" t="s">
        <v>120</v>
      </c>
      <c r="F913" s="11" t="s">
        <v>14</v>
      </c>
      <c r="G913" s="8">
        <v>73.62</v>
      </c>
      <c r="H913" s="8">
        <v>0</v>
      </c>
      <c r="I913" s="8">
        <f t="shared" si="27"/>
        <v>-132.91000000000003</v>
      </c>
      <c r="J913" s="12"/>
    </row>
    <row r="914" spans="3:10" x14ac:dyDescent="0.3">
      <c r="C914" s="9" t="s">
        <v>12</v>
      </c>
      <c r="D914" s="10">
        <v>45688</v>
      </c>
      <c r="E914" t="s">
        <v>120</v>
      </c>
      <c r="F914" s="11" t="s">
        <v>14</v>
      </c>
      <c r="G914" s="8">
        <v>66.45</v>
      </c>
      <c r="H914" s="8">
        <v>0</v>
      </c>
      <c r="I914" s="8">
        <f t="shared" si="27"/>
        <v>-66.460000000000022</v>
      </c>
      <c r="J914" s="12"/>
    </row>
    <row r="915" spans="3:10" x14ac:dyDescent="0.3">
      <c r="C915" s="9" t="s">
        <v>12</v>
      </c>
      <c r="D915" s="10">
        <v>45688</v>
      </c>
      <c r="E915" t="s">
        <v>465</v>
      </c>
      <c r="F915" s="11" t="s">
        <v>14</v>
      </c>
      <c r="G915" s="8">
        <v>66.459999999999994</v>
      </c>
      <c r="H915" s="8">
        <v>0</v>
      </c>
      <c r="I915" s="8">
        <f t="shared" si="27"/>
        <v>0</v>
      </c>
      <c r="J915" s="12"/>
    </row>
    <row r="916" spans="3:10" x14ac:dyDescent="0.3">
      <c r="C916" s="9" t="s">
        <v>12</v>
      </c>
      <c r="D916" s="10">
        <v>45716</v>
      </c>
      <c r="E916" t="s">
        <v>812</v>
      </c>
      <c r="F916" s="11" t="s">
        <v>813</v>
      </c>
      <c r="G916" s="8">
        <v>0</v>
      </c>
      <c r="H916" s="8">
        <v>147.47999999999999</v>
      </c>
      <c r="I916" s="8">
        <f t="shared" si="27"/>
        <v>-147.47999999999999</v>
      </c>
      <c r="J916" s="12"/>
    </row>
    <row r="917" spans="3:10" x14ac:dyDescent="0.3">
      <c r="C917" s="9" t="s">
        <v>12</v>
      </c>
      <c r="D917" s="10">
        <v>45716</v>
      </c>
      <c r="E917" t="s">
        <v>814</v>
      </c>
      <c r="F917" s="11" t="s">
        <v>815</v>
      </c>
      <c r="G917" s="8">
        <v>0</v>
      </c>
      <c r="H917" s="8">
        <v>76.36</v>
      </c>
      <c r="I917" s="8">
        <f t="shared" si="27"/>
        <v>-223.83999999999997</v>
      </c>
      <c r="J917" s="12"/>
    </row>
    <row r="918" spans="3:10" x14ac:dyDescent="0.3">
      <c r="C918" s="9" t="s">
        <v>12</v>
      </c>
      <c r="D918" s="10">
        <v>45716</v>
      </c>
      <c r="E918" t="s">
        <v>816</v>
      </c>
      <c r="F918" s="11" t="s">
        <v>817</v>
      </c>
      <c r="G918" s="8">
        <v>0</v>
      </c>
      <c r="H918" s="8">
        <v>63.48</v>
      </c>
      <c r="I918" s="8">
        <f t="shared" si="27"/>
        <v>-287.32</v>
      </c>
      <c r="J918" s="12"/>
    </row>
    <row r="919" spans="3:10" x14ac:dyDescent="0.3">
      <c r="C919" s="9" t="s">
        <v>12</v>
      </c>
      <c r="D919" s="10">
        <v>45716</v>
      </c>
      <c r="E919" t="s">
        <v>120</v>
      </c>
      <c r="F919" s="11" t="s">
        <v>14</v>
      </c>
      <c r="G919" s="8">
        <v>73.08</v>
      </c>
      <c r="H919" s="8">
        <v>0</v>
      </c>
      <c r="I919" s="8">
        <f t="shared" si="27"/>
        <v>-214.24</v>
      </c>
      <c r="J919" s="12"/>
    </row>
    <row r="920" spans="3:10" x14ac:dyDescent="0.3">
      <c r="C920" s="9" t="s">
        <v>12</v>
      </c>
      <c r="D920" s="10">
        <v>45716</v>
      </c>
      <c r="E920" t="s">
        <v>120</v>
      </c>
      <c r="F920" s="11" t="s">
        <v>14</v>
      </c>
      <c r="G920" s="8">
        <v>74.400000000000006</v>
      </c>
      <c r="H920" s="8">
        <v>0</v>
      </c>
      <c r="I920" s="8">
        <f t="shared" si="27"/>
        <v>-139.84</v>
      </c>
      <c r="J920" s="12"/>
    </row>
    <row r="921" spans="3:10" x14ac:dyDescent="0.3">
      <c r="C921" s="9" t="s">
        <v>12</v>
      </c>
      <c r="D921" s="10">
        <v>45716</v>
      </c>
      <c r="E921" t="s">
        <v>120</v>
      </c>
      <c r="F921" s="11" t="s">
        <v>14</v>
      </c>
      <c r="G921" s="8">
        <v>76.36</v>
      </c>
      <c r="H921" s="8">
        <v>0</v>
      </c>
      <c r="I921" s="8">
        <f t="shared" si="27"/>
        <v>-63.480000000000004</v>
      </c>
      <c r="J921" s="12"/>
    </row>
    <row r="922" spans="3:10" x14ac:dyDescent="0.3">
      <c r="C922" s="9" t="s">
        <v>12</v>
      </c>
      <c r="D922" s="10">
        <v>45716</v>
      </c>
      <c r="E922" t="s">
        <v>465</v>
      </c>
      <c r="F922" s="11" t="s">
        <v>14</v>
      </c>
      <c r="G922" s="8">
        <v>63.48</v>
      </c>
      <c r="H922" s="8">
        <v>0</v>
      </c>
      <c r="I922" s="8">
        <f t="shared" si="27"/>
        <v>0</v>
      </c>
      <c r="J922" s="12"/>
    </row>
    <row r="923" spans="3:10" x14ac:dyDescent="0.3">
      <c r="C923" s="9" t="s">
        <v>12</v>
      </c>
      <c r="D923" s="10">
        <v>45747</v>
      </c>
      <c r="E923" t="s">
        <v>818</v>
      </c>
      <c r="F923" s="11" t="s">
        <v>819</v>
      </c>
      <c r="G923" s="8">
        <v>0</v>
      </c>
      <c r="H923" s="8">
        <v>212.58</v>
      </c>
      <c r="I923" s="8">
        <f t="shared" si="27"/>
        <v>-212.58</v>
      </c>
      <c r="J923" s="12"/>
    </row>
    <row r="924" spans="3:10" x14ac:dyDescent="0.3">
      <c r="C924" s="9" t="s">
        <v>12</v>
      </c>
      <c r="D924" s="10">
        <v>45747</v>
      </c>
      <c r="E924" t="s">
        <v>820</v>
      </c>
      <c r="F924" s="11" t="s">
        <v>821</v>
      </c>
      <c r="G924" s="8">
        <v>0</v>
      </c>
      <c r="H924" s="8">
        <v>147.06</v>
      </c>
      <c r="I924" s="8">
        <f t="shared" si="27"/>
        <v>-359.64</v>
      </c>
      <c r="J924" s="12"/>
    </row>
    <row r="925" spans="3:10" x14ac:dyDescent="0.3">
      <c r="C925" s="9" t="s">
        <v>12</v>
      </c>
      <c r="D925" s="10">
        <v>45747</v>
      </c>
      <c r="E925" t="s">
        <v>120</v>
      </c>
      <c r="F925" s="11" t="s">
        <v>14</v>
      </c>
      <c r="G925" s="8">
        <v>76.64</v>
      </c>
      <c r="H925" s="8">
        <v>0</v>
      </c>
      <c r="I925" s="8">
        <f t="shared" si="27"/>
        <v>-283</v>
      </c>
      <c r="J925" s="12"/>
    </row>
    <row r="926" spans="3:10" x14ac:dyDescent="0.3">
      <c r="C926" s="9" t="s">
        <v>12</v>
      </c>
      <c r="D926" s="10">
        <v>45747</v>
      </c>
      <c r="E926" t="s">
        <v>120</v>
      </c>
      <c r="F926" s="11" t="s">
        <v>14</v>
      </c>
      <c r="G926" s="8">
        <v>77.930000000000007</v>
      </c>
      <c r="H926" s="8">
        <v>0</v>
      </c>
      <c r="I926" s="8">
        <f t="shared" si="27"/>
        <v>-205.07</v>
      </c>
      <c r="J926" s="12"/>
    </row>
    <row r="927" spans="3:10" x14ac:dyDescent="0.3">
      <c r="C927" s="9" t="s">
        <v>12</v>
      </c>
      <c r="D927" s="10">
        <v>45747</v>
      </c>
      <c r="E927" t="s">
        <v>120</v>
      </c>
      <c r="F927" s="11" t="s">
        <v>14</v>
      </c>
      <c r="G927" s="8">
        <v>63.97</v>
      </c>
      <c r="H927" s="8">
        <v>0</v>
      </c>
      <c r="I927" s="8">
        <f t="shared" si="27"/>
        <v>-141.1</v>
      </c>
      <c r="J927" s="12"/>
    </row>
    <row r="928" spans="3:10" x14ac:dyDescent="0.3">
      <c r="C928" s="9" t="s">
        <v>12</v>
      </c>
      <c r="D928" s="10">
        <v>45747</v>
      </c>
      <c r="E928" t="s">
        <v>120</v>
      </c>
      <c r="F928" s="11" t="s">
        <v>14</v>
      </c>
      <c r="G928" s="8">
        <v>70.42</v>
      </c>
      <c r="H928" s="8">
        <v>0</v>
      </c>
      <c r="I928" s="8">
        <f t="shared" si="27"/>
        <v>-70.679999999999993</v>
      </c>
      <c r="J928" s="12"/>
    </row>
    <row r="929" spans="3:10" x14ac:dyDescent="0.3">
      <c r="C929" s="9" t="s">
        <v>12</v>
      </c>
      <c r="D929" s="10">
        <v>45747</v>
      </c>
      <c r="E929" t="s">
        <v>120</v>
      </c>
      <c r="F929" s="11" t="s">
        <v>14</v>
      </c>
      <c r="G929" s="8">
        <v>70.680000000000007</v>
      </c>
      <c r="H929" s="8">
        <v>0</v>
      </c>
      <c r="I929" s="8">
        <f t="shared" si="27"/>
        <v>0</v>
      </c>
      <c r="J929" s="12"/>
    </row>
    <row r="930" spans="3:10" x14ac:dyDescent="0.3">
      <c r="C930" s="9" t="s">
        <v>12</v>
      </c>
      <c r="D930" s="10">
        <v>45777</v>
      </c>
      <c r="E930" t="s">
        <v>822</v>
      </c>
      <c r="F930" s="11" t="s">
        <v>823</v>
      </c>
      <c r="G930" s="8">
        <v>0</v>
      </c>
      <c r="H930" s="8">
        <v>202.24</v>
      </c>
      <c r="I930" s="8">
        <f t="shared" si="27"/>
        <v>-202.24</v>
      </c>
      <c r="J930" s="12"/>
    </row>
    <row r="931" spans="3:10" x14ac:dyDescent="0.3">
      <c r="C931" s="9" t="s">
        <v>12</v>
      </c>
      <c r="D931" s="10">
        <v>45782</v>
      </c>
      <c r="E931" t="s">
        <v>125</v>
      </c>
      <c r="F931" s="11" t="s">
        <v>14</v>
      </c>
      <c r="G931" s="8">
        <v>64.010000000000005</v>
      </c>
      <c r="H931" s="8">
        <v>0</v>
      </c>
      <c r="I931" s="8">
        <f t="shared" si="27"/>
        <v>-138.23000000000002</v>
      </c>
      <c r="J931" s="12"/>
    </row>
    <row r="932" spans="3:10" x14ac:dyDescent="0.3">
      <c r="C932" s="9" t="s">
        <v>12</v>
      </c>
      <c r="D932" s="10">
        <v>45782</v>
      </c>
      <c r="E932" t="s">
        <v>125</v>
      </c>
      <c r="F932" s="11" t="s">
        <v>14</v>
      </c>
      <c r="G932" s="8">
        <v>65.72</v>
      </c>
      <c r="H932" s="8">
        <v>0</v>
      </c>
      <c r="I932" s="8">
        <f t="shared" si="27"/>
        <v>-72.510000000000019</v>
      </c>
      <c r="J932" s="12"/>
    </row>
    <row r="933" spans="3:10" x14ac:dyDescent="0.3">
      <c r="C933" s="9" t="s">
        <v>12</v>
      </c>
      <c r="D933" s="10">
        <v>45782</v>
      </c>
      <c r="E933" t="s">
        <v>125</v>
      </c>
      <c r="F933" s="11" t="s">
        <v>14</v>
      </c>
      <c r="G933" s="8">
        <v>72.510000000000005</v>
      </c>
      <c r="H933" s="8">
        <v>0</v>
      </c>
      <c r="I933" s="8">
        <f t="shared" si="27"/>
        <v>0</v>
      </c>
      <c r="J933" s="12"/>
    </row>
    <row r="934" spans="3:10" x14ac:dyDescent="0.3">
      <c r="C934" s="9" t="s">
        <v>12</v>
      </c>
      <c r="D934" s="10">
        <v>45808</v>
      </c>
      <c r="E934" t="s">
        <v>824</v>
      </c>
      <c r="F934" s="11" t="s">
        <v>825</v>
      </c>
      <c r="G934" s="8">
        <v>0</v>
      </c>
      <c r="H934" s="8">
        <v>66.47</v>
      </c>
      <c r="I934" s="8">
        <f t="shared" si="27"/>
        <v>-66.47</v>
      </c>
      <c r="J934" s="12"/>
    </row>
    <row r="935" spans="3:10" x14ac:dyDescent="0.3">
      <c r="C935" s="9" t="s">
        <v>12</v>
      </c>
      <c r="D935" s="10">
        <v>45808</v>
      </c>
      <c r="E935" t="s">
        <v>826</v>
      </c>
      <c r="F935" s="11" t="s">
        <v>827</v>
      </c>
      <c r="G935" s="8">
        <v>0</v>
      </c>
      <c r="H935" s="8">
        <v>71.430000000000007</v>
      </c>
      <c r="I935" s="8">
        <f t="shared" si="27"/>
        <v>-137.9</v>
      </c>
      <c r="J935" s="12"/>
    </row>
    <row r="936" spans="3:10" x14ac:dyDescent="0.3">
      <c r="C936" s="9" t="s">
        <v>12</v>
      </c>
      <c r="D936" s="10">
        <v>45813</v>
      </c>
      <c r="E936" t="s">
        <v>130</v>
      </c>
      <c r="F936" s="11" t="s">
        <v>14</v>
      </c>
      <c r="G936" s="8">
        <v>66.47</v>
      </c>
      <c r="H936" s="8">
        <v>0</v>
      </c>
      <c r="I936" s="8">
        <f t="shared" si="27"/>
        <v>-71.430000000000007</v>
      </c>
      <c r="J936" s="12"/>
    </row>
    <row r="937" spans="3:10" x14ac:dyDescent="0.3">
      <c r="C937" s="9" t="s">
        <v>12</v>
      </c>
      <c r="D937" s="10">
        <v>45813</v>
      </c>
      <c r="E937" t="s">
        <v>130</v>
      </c>
      <c r="F937" s="11" t="s">
        <v>14</v>
      </c>
      <c r="G937" s="8">
        <v>71.430000000000007</v>
      </c>
      <c r="H937" s="8">
        <v>0</v>
      </c>
      <c r="I937" s="8">
        <f t="shared" si="27"/>
        <v>0</v>
      </c>
      <c r="J937" s="12"/>
    </row>
    <row r="938" spans="3:10" x14ac:dyDescent="0.3">
      <c r="C938" s="9" t="s">
        <v>12</v>
      </c>
      <c r="D938" s="10">
        <v>45838</v>
      </c>
      <c r="E938" t="s">
        <v>828</v>
      </c>
      <c r="F938" s="11" t="s">
        <v>829</v>
      </c>
      <c r="G938" s="8">
        <v>0</v>
      </c>
      <c r="H938" s="8">
        <v>159.44999999999999</v>
      </c>
      <c r="I938" s="8">
        <f t="shared" si="27"/>
        <v>-159.44999999999999</v>
      </c>
      <c r="J938" s="12"/>
    </row>
    <row r="939" spans="3:10" x14ac:dyDescent="0.3">
      <c r="C939" s="9" t="s">
        <v>12</v>
      </c>
      <c r="D939" s="10">
        <v>45838</v>
      </c>
      <c r="E939" t="s">
        <v>830</v>
      </c>
      <c r="F939" s="11" t="s">
        <v>831</v>
      </c>
      <c r="G939" s="8">
        <v>0</v>
      </c>
      <c r="H939" s="8">
        <v>167.33</v>
      </c>
      <c r="I939" s="8">
        <f t="shared" si="27"/>
        <v>-326.77999999999997</v>
      </c>
      <c r="J939" s="12"/>
    </row>
    <row r="940" spans="3:10" x14ac:dyDescent="0.3">
      <c r="C940" s="9" t="s">
        <v>12</v>
      </c>
      <c r="D940" s="10">
        <v>45843</v>
      </c>
      <c r="E940" t="s">
        <v>418</v>
      </c>
      <c r="F940" s="11" t="s">
        <v>14</v>
      </c>
      <c r="G940" s="8">
        <v>59.45</v>
      </c>
      <c r="H940" s="8">
        <v>0</v>
      </c>
      <c r="I940" s="8">
        <f t="shared" si="27"/>
        <v>-267.33</v>
      </c>
      <c r="J940" s="12"/>
    </row>
    <row r="941" spans="3:10" x14ac:dyDescent="0.3">
      <c r="C941" s="9" t="s">
        <v>12</v>
      </c>
      <c r="D941" s="10">
        <v>45843</v>
      </c>
      <c r="E941" t="s">
        <v>418</v>
      </c>
      <c r="F941" s="11" t="s">
        <v>14</v>
      </c>
      <c r="G941" s="8">
        <v>40</v>
      </c>
      <c r="H941" s="8">
        <v>0</v>
      </c>
      <c r="I941" s="8">
        <f t="shared" si="27"/>
        <v>-227.32999999999998</v>
      </c>
      <c r="J941" s="12"/>
    </row>
    <row r="942" spans="3:10" x14ac:dyDescent="0.3">
      <c r="C942" s="9" t="s">
        <v>12</v>
      </c>
      <c r="D942" s="10">
        <v>45843</v>
      </c>
      <c r="E942" t="s">
        <v>418</v>
      </c>
      <c r="F942" s="11" t="s">
        <v>14</v>
      </c>
      <c r="G942" s="8">
        <v>43.84</v>
      </c>
      <c r="H942" s="8">
        <v>0</v>
      </c>
      <c r="I942" s="8">
        <f t="shared" si="27"/>
        <v>-183.48999999999998</v>
      </c>
      <c r="J942" s="12"/>
    </row>
    <row r="943" spans="3:10" x14ac:dyDescent="0.3">
      <c r="C943" s="9" t="s">
        <v>12</v>
      </c>
      <c r="D943" s="10">
        <v>45843</v>
      </c>
      <c r="E943" t="s">
        <v>418</v>
      </c>
      <c r="F943" s="11" t="s">
        <v>14</v>
      </c>
      <c r="G943" s="8">
        <v>12.75</v>
      </c>
      <c r="H943" s="8">
        <v>0</v>
      </c>
      <c r="I943" s="8">
        <f t="shared" si="27"/>
        <v>-170.73999999999998</v>
      </c>
      <c r="J943" s="12"/>
    </row>
    <row r="944" spans="3:10" x14ac:dyDescent="0.3">
      <c r="C944" s="9" t="s">
        <v>12</v>
      </c>
      <c r="D944" s="10">
        <v>45843</v>
      </c>
      <c r="E944" t="s">
        <v>418</v>
      </c>
      <c r="F944" s="11" t="s">
        <v>14</v>
      </c>
      <c r="G944" s="8">
        <v>40</v>
      </c>
      <c r="H944" s="8">
        <v>0</v>
      </c>
      <c r="I944" s="8">
        <f t="shared" si="27"/>
        <v>-130.73999999999998</v>
      </c>
      <c r="J944" s="12"/>
    </row>
    <row r="945" spans="1:10" x14ac:dyDescent="0.3">
      <c r="C945" s="9" t="s">
        <v>12</v>
      </c>
      <c r="D945" s="10">
        <v>45843</v>
      </c>
      <c r="E945" t="s">
        <v>418</v>
      </c>
      <c r="F945" s="11" t="s">
        <v>14</v>
      </c>
      <c r="G945" s="8">
        <v>60</v>
      </c>
      <c r="H945" s="8">
        <v>0</v>
      </c>
      <c r="I945" s="8">
        <f t="shared" si="27"/>
        <v>-70.739999999999981</v>
      </c>
      <c r="J945" s="12"/>
    </row>
    <row r="946" spans="1:10" x14ac:dyDescent="0.3">
      <c r="C946" s="9" t="s">
        <v>12</v>
      </c>
      <c r="D946" s="10">
        <v>45843</v>
      </c>
      <c r="E946" t="s">
        <v>418</v>
      </c>
      <c r="F946" s="11" t="s">
        <v>14</v>
      </c>
      <c r="G946" s="8">
        <v>70.739999999999995</v>
      </c>
      <c r="H946" s="8">
        <v>0</v>
      </c>
      <c r="I946" s="8">
        <f t="shared" si="27"/>
        <v>0</v>
      </c>
      <c r="J946" s="12"/>
    </row>
    <row r="947" spans="1:10" x14ac:dyDescent="0.3">
      <c r="C947" s="9"/>
      <c r="D947" s="10">
        <v>45869</v>
      </c>
      <c r="E947" t="s">
        <v>832</v>
      </c>
      <c r="F947" s="11" t="s">
        <v>833</v>
      </c>
      <c r="G947" s="8">
        <v>0</v>
      </c>
      <c r="H947" s="8">
        <v>256.33999999999997</v>
      </c>
      <c r="I947" s="8">
        <f t="shared" si="27"/>
        <v>-256.33999999999997</v>
      </c>
      <c r="J947" s="12"/>
    </row>
    <row r="948" spans="1:10" x14ac:dyDescent="0.3">
      <c r="C948" s="9"/>
      <c r="D948" s="10">
        <v>45869</v>
      </c>
      <c r="E948" t="s">
        <v>834</v>
      </c>
      <c r="F948" s="11" t="s">
        <v>835</v>
      </c>
      <c r="G948" s="8">
        <v>0</v>
      </c>
      <c r="H948" s="8">
        <v>67.27</v>
      </c>
      <c r="I948" s="8">
        <f t="shared" si="27"/>
        <v>-323.60999999999996</v>
      </c>
      <c r="J948" s="12"/>
    </row>
    <row r="949" spans="1:10" x14ac:dyDescent="0.3">
      <c r="C949" s="9"/>
      <c r="D949" s="10">
        <v>45900</v>
      </c>
      <c r="E949" t="s">
        <v>836</v>
      </c>
      <c r="F949" s="11" t="s">
        <v>837</v>
      </c>
      <c r="G949" s="8">
        <v>0</v>
      </c>
      <c r="H949" s="8">
        <v>184.84</v>
      </c>
      <c r="I949" s="8">
        <f t="shared" si="27"/>
        <v>-508.44999999999993</v>
      </c>
      <c r="J949" s="12"/>
    </row>
    <row r="950" spans="1:10" x14ac:dyDescent="0.3">
      <c r="C950" s="9"/>
      <c r="D950" s="10">
        <v>45900</v>
      </c>
      <c r="E950" t="s">
        <v>838</v>
      </c>
      <c r="F950" s="11" t="s">
        <v>839</v>
      </c>
      <c r="G950" s="8">
        <v>0</v>
      </c>
      <c r="H950" s="8">
        <v>143.80000000000001</v>
      </c>
      <c r="I950" s="8">
        <f t="shared" si="27"/>
        <v>-652.25</v>
      </c>
      <c r="J950" s="12"/>
    </row>
    <row r="951" spans="1:10" x14ac:dyDescent="0.3">
      <c r="E951" s="4" t="s">
        <v>116</v>
      </c>
      <c r="G951" s="8">
        <f>SUM(G910:G950)</f>
        <v>1593.96</v>
      </c>
      <c r="H951" s="8">
        <f>SUM(H910:H950)</f>
        <v>2246.2100000000005</v>
      </c>
      <c r="I951" s="8">
        <f>G951-H951</f>
        <v>-652.25000000000045</v>
      </c>
    </row>
    <row r="953" spans="1:10" x14ac:dyDescent="0.3">
      <c r="A953" s="5">
        <v>410000213</v>
      </c>
      <c r="B953" s="6" t="s">
        <v>840</v>
      </c>
      <c r="C953" s="7"/>
      <c r="D953" s="7"/>
      <c r="E953" s="7"/>
      <c r="F953" s="7"/>
      <c r="G953" s="7"/>
      <c r="H953" s="7"/>
      <c r="I953" s="7"/>
      <c r="J953" s="7"/>
    </row>
    <row r="954" spans="1:10" x14ac:dyDescent="0.3">
      <c r="C954" s="9" t="s">
        <v>12</v>
      </c>
      <c r="D954" s="10">
        <v>45658</v>
      </c>
      <c r="E954" t="s">
        <v>841</v>
      </c>
      <c r="F954" s="11" t="s">
        <v>842</v>
      </c>
      <c r="G954" s="8">
        <v>0</v>
      </c>
      <c r="H954" s="8">
        <v>98.55</v>
      </c>
      <c r="I954" s="8">
        <f>G954-H954</f>
        <v>-98.55</v>
      </c>
      <c r="J954" s="12"/>
    </row>
    <row r="955" spans="1:10" x14ac:dyDescent="0.3">
      <c r="C955" s="9" t="s">
        <v>12</v>
      </c>
      <c r="D955" s="10">
        <v>45688</v>
      </c>
      <c r="E955" t="s">
        <v>465</v>
      </c>
      <c r="F955" s="11" t="s">
        <v>14</v>
      </c>
      <c r="G955" s="8">
        <v>98.55</v>
      </c>
      <c r="H955" s="8">
        <v>0</v>
      </c>
      <c r="I955" s="8">
        <f t="shared" ref="I955:I963" si="28">G955-H955+I954</f>
        <v>0</v>
      </c>
      <c r="J955" s="12"/>
    </row>
    <row r="956" spans="1:10" x14ac:dyDescent="0.3">
      <c r="C956" s="9" t="s">
        <v>12</v>
      </c>
      <c r="D956" s="10">
        <v>45689</v>
      </c>
      <c r="E956" t="s">
        <v>843</v>
      </c>
      <c r="F956" s="11" t="s">
        <v>844</v>
      </c>
      <c r="G956" s="8">
        <v>0</v>
      </c>
      <c r="H956" s="8">
        <v>98.55</v>
      </c>
      <c r="I956" s="8">
        <f t="shared" si="28"/>
        <v>-98.55</v>
      </c>
      <c r="J956" s="12"/>
    </row>
    <row r="957" spans="1:10" x14ac:dyDescent="0.3">
      <c r="C957" s="9" t="s">
        <v>12</v>
      </c>
      <c r="D957" s="10">
        <v>45701</v>
      </c>
      <c r="E957" t="s">
        <v>845</v>
      </c>
      <c r="F957" s="11" t="s">
        <v>14</v>
      </c>
      <c r="G957" s="8">
        <v>98.55</v>
      </c>
      <c r="H957" s="8">
        <v>0</v>
      </c>
      <c r="I957" s="8">
        <f t="shared" si="28"/>
        <v>0</v>
      </c>
      <c r="J957" s="12">
        <v>572000005</v>
      </c>
    </row>
    <row r="958" spans="1:10" x14ac:dyDescent="0.3">
      <c r="C958" s="9" t="s">
        <v>12</v>
      </c>
      <c r="D958" s="10">
        <v>45717</v>
      </c>
      <c r="E958" t="s">
        <v>846</v>
      </c>
      <c r="F958" s="11" t="s">
        <v>847</v>
      </c>
      <c r="G958" s="8">
        <v>0</v>
      </c>
      <c r="H958" s="8">
        <v>98.55</v>
      </c>
      <c r="I958" s="8">
        <f t="shared" si="28"/>
        <v>-98.55</v>
      </c>
      <c r="J958" s="12"/>
    </row>
    <row r="959" spans="1:10" x14ac:dyDescent="0.3">
      <c r="C959" s="9" t="s">
        <v>12</v>
      </c>
      <c r="D959" s="10">
        <v>45720</v>
      </c>
      <c r="E959" t="s">
        <v>848</v>
      </c>
      <c r="F959" s="11" t="s">
        <v>14</v>
      </c>
      <c r="G959" s="8">
        <v>98.55</v>
      </c>
      <c r="H959" s="8">
        <v>0</v>
      </c>
      <c r="I959" s="8">
        <f t="shared" si="28"/>
        <v>0</v>
      </c>
      <c r="J959" s="12">
        <v>572000005</v>
      </c>
    </row>
    <row r="960" spans="1:10" x14ac:dyDescent="0.3">
      <c r="C960" s="9" t="s">
        <v>12</v>
      </c>
      <c r="D960" s="10">
        <v>45748</v>
      </c>
      <c r="E960" t="s">
        <v>849</v>
      </c>
      <c r="F960" s="11" t="s">
        <v>850</v>
      </c>
      <c r="G960" s="8">
        <v>0</v>
      </c>
      <c r="H960" s="8">
        <v>98.55</v>
      </c>
      <c r="I960" s="8">
        <f t="shared" si="28"/>
        <v>-98.55</v>
      </c>
      <c r="J960" s="12"/>
    </row>
    <row r="961" spans="1:10" x14ac:dyDescent="0.3">
      <c r="C961" s="9" t="s">
        <v>12</v>
      </c>
      <c r="D961" s="10">
        <v>45751</v>
      </c>
      <c r="E961" t="s">
        <v>848</v>
      </c>
      <c r="F961" s="11" t="s">
        <v>14</v>
      </c>
      <c r="G961" s="8">
        <v>98.55</v>
      </c>
      <c r="H961" s="8">
        <v>0</v>
      </c>
      <c r="I961" s="8">
        <f t="shared" si="28"/>
        <v>0</v>
      </c>
      <c r="J961" s="12">
        <v>572000005</v>
      </c>
    </row>
    <row r="962" spans="1:10" x14ac:dyDescent="0.3">
      <c r="C962" s="9"/>
      <c r="D962" s="10">
        <v>45779</v>
      </c>
      <c r="E962" t="s">
        <v>848</v>
      </c>
      <c r="F962" s="11" t="s">
        <v>14</v>
      </c>
      <c r="G962" s="8">
        <v>98.55</v>
      </c>
      <c r="H962" s="8">
        <v>0</v>
      </c>
      <c r="I962" s="8">
        <f t="shared" si="28"/>
        <v>98.55</v>
      </c>
      <c r="J962" s="12">
        <v>572000005</v>
      </c>
    </row>
    <row r="963" spans="1:10" x14ac:dyDescent="0.3">
      <c r="C963" s="9"/>
      <c r="D963" s="10">
        <v>45789</v>
      </c>
      <c r="E963" t="s">
        <v>851</v>
      </c>
      <c r="F963" s="11" t="s">
        <v>14</v>
      </c>
      <c r="G963" s="8">
        <v>0</v>
      </c>
      <c r="H963" s="8">
        <v>89.28</v>
      </c>
      <c r="I963" s="8">
        <f t="shared" si="28"/>
        <v>9.269999999999996</v>
      </c>
      <c r="J963" s="12">
        <v>572000001</v>
      </c>
    </row>
    <row r="964" spans="1:10" x14ac:dyDescent="0.3">
      <c r="E964" s="4" t="s">
        <v>116</v>
      </c>
      <c r="G964" s="8">
        <f>SUM(G954:G963)</f>
        <v>492.75</v>
      </c>
      <c r="H964" s="8">
        <f>SUM(H954:H963)</f>
        <v>483.48</v>
      </c>
      <c r="I964" s="8">
        <f>G964-H964</f>
        <v>9.2699999999999818</v>
      </c>
    </row>
    <row r="966" spans="1:10" x14ac:dyDescent="0.3">
      <c r="A966" s="5">
        <v>410000229</v>
      </c>
      <c r="B966" s="6" t="s">
        <v>852</v>
      </c>
      <c r="C966" s="7"/>
      <c r="D966" s="7"/>
      <c r="E966" s="7"/>
      <c r="F966" s="7"/>
      <c r="G966" s="7"/>
      <c r="H966" s="7"/>
      <c r="I966" s="7"/>
      <c r="J966" s="7"/>
    </row>
    <row r="967" spans="1:10" x14ac:dyDescent="0.3">
      <c r="C967" s="9" t="s">
        <v>12</v>
      </c>
      <c r="D967" s="10">
        <v>45659</v>
      </c>
      <c r="E967" t="s">
        <v>853</v>
      </c>
      <c r="F967" s="11" t="s">
        <v>854</v>
      </c>
      <c r="G967" s="8">
        <v>0</v>
      </c>
      <c r="H967" s="8">
        <v>28.05</v>
      </c>
      <c r="I967" s="8">
        <f>G967-H967</f>
        <v>-28.05</v>
      </c>
      <c r="J967" s="12"/>
    </row>
    <row r="968" spans="1:10" x14ac:dyDescent="0.3">
      <c r="C968" s="9" t="s">
        <v>12</v>
      </c>
      <c r="D968" s="10">
        <v>45659</v>
      </c>
      <c r="E968" t="s">
        <v>855</v>
      </c>
      <c r="F968" s="11" t="s">
        <v>856</v>
      </c>
      <c r="G968" s="8">
        <v>0</v>
      </c>
      <c r="H968" s="8">
        <v>17.55</v>
      </c>
      <c r="I968" s="8">
        <f t="shared" ref="I968:I988" si="29">G968-H968+I967</f>
        <v>-45.6</v>
      </c>
      <c r="J968" s="12"/>
    </row>
    <row r="969" spans="1:10" x14ac:dyDescent="0.3">
      <c r="C969" s="9" t="s">
        <v>12</v>
      </c>
      <c r="D969" s="10">
        <v>45659</v>
      </c>
      <c r="E969" t="s">
        <v>857</v>
      </c>
      <c r="F969" s="11" t="s">
        <v>858</v>
      </c>
      <c r="G969" s="8">
        <v>0</v>
      </c>
      <c r="H969" s="8">
        <v>59.9</v>
      </c>
      <c r="I969" s="8">
        <f t="shared" si="29"/>
        <v>-105.5</v>
      </c>
      <c r="J969" s="12"/>
    </row>
    <row r="970" spans="1:10" x14ac:dyDescent="0.3">
      <c r="C970" s="9" t="s">
        <v>12</v>
      </c>
      <c r="D970" s="10">
        <v>45659</v>
      </c>
      <c r="E970" t="s">
        <v>859</v>
      </c>
      <c r="F970" s="11" t="s">
        <v>14</v>
      </c>
      <c r="G970" s="8">
        <v>17.55</v>
      </c>
      <c r="H970" s="8">
        <v>0</v>
      </c>
      <c r="I970" s="8">
        <f t="shared" si="29"/>
        <v>-87.95</v>
      </c>
      <c r="J970" s="12"/>
    </row>
    <row r="971" spans="1:10" x14ac:dyDescent="0.3">
      <c r="C971" s="9" t="s">
        <v>12</v>
      </c>
      <c r="D971" s="10">
        <v>45659</v>
      </c>
      <c r="E971" t="s">
        <v>859</v>
      </c>
      <c r="F971" s="11" t="s">
        <v>14</v>
      </c>
      <c r="G971" s="8">
        <v>28.05</v>
      </c>
      <c r="H971" s="8">
        <v>0</v>
      </c>
      <c r="I971" s="8">
        <f t="shared" si="29"/>
        <v>-59.900000000000006</v>
      </c>
      <c r="J971" s="12"/>
    </row>
    <row r="972" spans="1:10" x14ac:dyDescent="0.3">
      <c r="C972" s="9" t="s">
        <v>12</v>
      </c>
      <c r="D972" s="10">
        <v>45659</v>
      </c>
      <c r="E972" t="s">
        <v>859</v>
      </c>
      <c r="F972" s="11" t="s">
        <v>14</v>
      </c>
      <c r="G972" s="8">
        <v>59.9</v>
      </c>
      <c r="H972" s="8">
        <v>0</v>
      </c>
      <c r="I972" s="8">
        <f t="shared" si="29"/>
        <v>0</v>
      </c>
      <c r="J972" s="12"/>
    </row>
    <row r="973" spans="1:10" x14ac:dyDescent="0.3">
      <c r="C973" s="9" t="s">
        <v>12</v>
      </c>
      <c r="D973" s="10">
        <v>45679</v>
      </c>
      <c r="E973" t="s">
        <v>860</v>
      </c>
      <c r="F973" s="11" t="s">
        <v>861</v>
      </c>
      <c r="G973" s="8">
        <v>0</v>
      </c>
      <c r="H973" s="8">
        <v>59.9</v>
      </c>
      <c r="I973" s="8">
        <f t="shared" si="29"/>
        <v>-59.9</v>
      </c>
      <c r="J973" s="12"/>
    </row>
    <row r="974" spans="1:10" x14ac:dyDescent="0.3">
      <c r="C974" s="9" t="s">
        <v>12</v>
      </c>
      <c r="D974" s="10">
        <v>45688</v>
      </c>
      <c r="E974" t="s">
        <v>120</v>
      </c>
      <c r="F974" s="11" t="s">
        <v>14</v>
      </c>
      <c r="G974" s="8">
        <v>59.9</v>
      </c>
      <c r="H974" s="8">
        <v>0</v>
      </c>
      <c r="I974" s="8">
        <f t="shared" si="29"/>
        <v>0</v>
      </c>
      <c r="J974" s="12"/>
    </row>
    <row r="975" spans="1:10" x14ac:dyDescent="0.3">
      <c r="C975" s="9" t="s">
        <v>12</v>
      </c>
      <c r="D975" s="10">
        <v>45716</v>
      </c>
      <c r="E975" t="s">
        <v>120</v>
      </c>
      <c r="F975" s="11" t="s">
        <v>14</v>
      </c>
      <c r="G975" s="8">
        <v>119.79</v>
      </c>
      <c r="H975" s="8">
        <v>0</v>
      </c>
      <c r="I975" s="8">
        <f t="shared" si="29"/>
        <v>119.79</v>
      </c>
      <c r="J975" s="12"/>
    </row>
    <row r="976" spans="1:10" x14ac:dyDescent="0.3">
      <c r="C976" s="9" t="s">
        <v>12</v>
      </c>
      <c r="D976" s="10">
        <v>45747</v>
      </c>
      <c r="E976" t="s">
        <v>120</v>
      </c>
      <c r="F976" s="11" t="s">
        <v>14</v>
      </c>
      <c r="G976" s="8">
        <v>119.79</v>
      </c>
      <c r="H976" s="8">
        <v>0</v>
      </c>
      <c r="I976" s="8">
        <f t="shared" si="29"/>
        <v>239.58</v>
      </c>
      <c r="J976" s="12"/>
    </row>
    <row r="977" spans="1:10" x14ac:dyDescent="0.3">
      <c r="C977" s="9" t="s">
        <v>12</v>
      </c>
      <c r="D977" s="10">
        <v>45748</v>
      </c>
      <c r="E977" t="s">
        <v>862</v>
      </c>
      <c r="F977" s="11" t="s">
        <v>863</v>
      </c>
      <c r="G977" s="8">
        <v>0</v>
      </c>
      <c r="H977" s="8">
        <v>119.79</v>
      </c>
      <c r="I977" s="8">
        <f t="shared" si="29"/>
        <v>119.79</v>
      </c>
      <c r="J977" s="12"/>
    </row>
    <row r="978" spans="1:10" x14ac:dyDescent="0.3">
      <c r="C978" s="9" t="s">
        <v>12</v>
      </c>
      <c r="D978" s="10">
        <v>45748</v>
      </c>
      <c r="E978" t="s">
        <v>864</v>
      </c>
      <c r="F978" s="11" t="s">
        <v>865</v>
      </c>
      <c r="G978" s="8">
        <v>0</v>
      </c>
      <c r="H978" s="8">
        <v>119.79</v>
      </c>
      <c r="I978" s="8">
        <f t="shared" si="29"/>
        <v>0</v>
      </c>
      <c r="J978" s="12"/>
    </row>
    <row r="979" spans="1:10" x14ac:dyDescent="0.3">
      <c r="C979" s="9" t="s">
        <v>12</v>
      </c>
      <c r="D979" s="10">
        <v>45769</v>
      </c>
      <c r="E979" t="s">
        <v>866</v>
      </c>
      <c r="F979" s="11" t="s">
        <v>867</v>
      </c>
      <c r="G979" s="8">
        <v>0</v>
      </c>
      <c r="H979" s="8">
        <v>119.79</v>
      </c>
      <c r="I979" s="8">
        <f t="shared" si="29"/>
        <v>-119.79</v>
      </c>
      <c r="J979" s="12"/>
    </row>
    <row r="980" spans="1:10" x14ac:dyDescent="0.3">
      <c r="C980" s="9" t="s">
        <v>12</v>
      </c>
      <c r="D980" s="10">
        <v>45782</v>
      </c>
      <c r="E980" t="s">
        <v>125</v>
      </c>
      <c r="F980" s="11" t="s">
        <v>14</v>
      </c>
      <c r="G980" s="8">
        <v>119.79</v>
      </c>
      <c r="H980" s="8">
        <v>0</v>
      </c>
      <c r="I980" s="8">
        <f t="shared" si="29"/>
        <v>0</v>
      </c>
      <c r="J980" s="12"/>
    </row>
    <row r="981" spans="1:10" x14ac:dyDescent="0.3">
      <c r="C981" s="9" t="s">
        <v>12</v>
      </c>
      <c r="D981" s="10">
        <v>45799</v>
      </c>
      <c r="E981" t="s">
        <v>868</v>
      </c>
      <c r="F981" s="11" t="s">
        <v>869</v>
      </c>
      <c r="G981" s="8">
        <v>0</v>
      </c>
      <c r="H981" s="8">
        <v>119.79</v>
      </c>
      <c r="I981" s="8">
        <f t="shared" si="29"/>
        <v>-119.79</v>
      </c>
      <c r="J981" s="12"/>
    </row>
    <row r="982" spans="1:10" x14ac:dyDescent="0.3">
      <c r="C982" s="9" t="s">
        <v>12</v>
      </c>
      <c r="D982" s="10">
        <v>45805</v>
      </c>
      <c r="E982" t="s">
        <v>870</v>
      </c>
      <c r="F982" s="11" t="s">
        <v>871</v>
      </c>
      <c r="G982" s="8">
        <v>0</v>
      </c>
      <c r="H982" s="8">
        <v>24.22</v>
      </c>
      <c r="I982" s="8">
        <f t="shared" si="29"/>
        <v>-144.01</v>
      </c>
      <c r="J982" s="12"/>
    </row>
    <row r="983" spans="1:10" x14ac:dyDescent="0.3">
      <c r="C983" s="9" t="s">
        <v>12</v>
      </c>
      <c r="D983" s="10">
        <v>45813</v>
      </c>
      <c r="E983" t="s">
        <v>130</v>
      </c>
      <c r="F983" s="11" t="s">
        <v>14</v>
      </c>
      <c r="G983" s="8">
        <v>119.79</v>
      </c>
      <c r="H983" s="8">
        <v>0</v>
      </c>
      <c r="I983" s="8">
        <f t="shared" si="29"/>
        <v>-24.219999999999985</v>
      </c>
      <c r="J983" s="12"/>
    </row>
    <row r="984" spans="1:10" x14ac:dyDescent="0.3">
      <c r="C984" s="9" t="s">
        <v>12</v>
      </c>
      <c r="D984" s="10">
        <v>45813</v>
      </c>
      <c r="E984" t="s">
        <v>130</v>
      </c>
      <c r="F984" s="11" t="s">
        <v>14</v>
      </c>
      <c r="G984" s="8">
        <v>24.22</v>
      </c>
      <c r="H984" s="8">
        <v>0</v>
      </c>
      <c r="I984" s="8">
        <f t="shared" si="29"/>
        <v>0</v>
      </c>
      <c r="J984" s="12"/>
    </row>
    <row r="985" spans="1:10" x14ac:dyDescent="0.3">
      <c r="C985" s="9" t="s">
        <v>12</v>
      </c>
      <c r="D985" s="10">
        <v>45830</v>
      </c>
      <c r="E985" t="s">
        <v>872</v>
      </c>
      <c r="F985" s="11" t="s">
        <v>873</v>
      </c>
      <c r="G985" s="8">
        <v>0</v>
      </c>
      <c r="H985" s="8">
        <v>150.04</v>
      </c>
      <c r="I985" s="8">
        <f t="shared" si="29"/>
        <v>-150.04</v>
      </c>
      <c r="J985" s="12"/>
    </row>
    <row r="986" spans="1:10" x14ac:dyDescent="0.3">
      <c r="C986" s="9" t="s">
        <v>12</v>
      </c>
      <c r="D986" s="10">
        <v>45843</v>
      </c>
      <c r="E986" t="s">
        <v>418</v>
      </c>
      <c r="F986" s="11" t="s">
        <v>14</v>
      </c>
      <c r="G986" s="8">
        <v>150.04</v>
      </c>
      <c r="H986" s="8">
        <v>0</v>
      </c>
      <c r="I986" s="8">
        <f t="shared" si="29"/>
        <v>0</v>
      </c>
      <c r="J986" s="12"/>
    </row>
    <row r="987" spans="1:10" x14ac:dyDescent="0.3">
      <c r="C987" s="9"/>
      <c r="D987" s="10">
        <v>45872</v>
      </c>
      <c r="E987" t="s">
        <v>874</v>
      </c>
      <c r="F987" s="11" t="s">
        <v>875</v>
      </c>
      <c r="G987" s="8">
        <v>0</v>
      </c>
      <c r="H987" s="8">
        <v>73.459999999999994</v>
      </c>
      <c r="I987" s="8">
        <f t="shared" si="29"/>
        <v>-73.459999999999994</v>
      </c>
      <c r="J987" s="12"/>
    </row>
    <row r="988" spans="1:10" x14ac:dyDescent="0.3">
      <c r="C988" s="9"/>
      <c r="D988" s="10">
        <v>45891</v>
      </c>
      <c r="E988" t="s">
        <v>876</v>
      </c>
      <c r="F988" s="11" t="s">
        <v>877</v>
      </c>
      <c r="G988" s="8">
        <v>0</v>
      </c>
      <c r="H988" s="8">
        <v>271.04000000000002</v>
      </c>
      <c r="I988" s="8">
        <f t="shared" si="29"/>
        <v>-344.5</v>
      </c>
      <c r="J988" s="12"/>
    </row>
    <row r="989" spans="1:10" x14ac:dyDescent="0.3">
      <c r="E989" s="4" t="s">
        <v>116</v>
      </c>
      <c r="G989" s="8">
        <f>SUM(G967:G988)</f>
        <v>818.81999999999994</v>
      </c>
      <c r="H989" s="8">
        <f>SUM(H967:H988)</f>
        <v>1163.32</v>
      </c>
      <c r="I989" s="8">
        <f>G989-H989</f>
        <v>-344.5</v>
      </c>
    </row>
    <row r="991" spans="1:10" x14ac:dyDescent="0.3">
      <c r="A991" s="5">
        <v>410000231</v>
      </c>
      <c r="B991" s="6" t="s">
        <v>878</v>
      </c>
      <c r="C991" s="7"/>
      <c r="D991" s="7"/>
      <c r="E991" s="7"/>
      <c r="F991" s="7"/>
      <c r="G991" s="7"/>
      <c r="H991" s="7"/>
      <c r="I991" s="7"/>
      <c r="J991" s="7"/>
    </row>
    <row r="992" spans="1:10" x14ac:dyDescent="0.3">
      <c r="C992" s="9"/>
      <c r="D992" s="10">
        <v>45692</v>
      </c>
      <c r="E992" t="s">
        <v>879</v>
      </c>
      <c r="F992" s="11" t="s">
        <v>880</v>
      </c>
      <c r="G992" s="8">
        <v>0</v>
      </c>
      <c r="H992" s="8">
        <v>1029.71</v>
      </c>
      <c r="I992" s="8">
        <f>G992-H992</f>
        <v>-1029.71</v>
      </c>
      <c r="J992" s="12"/>
    </row>
    <row r="993" spans="1:10" x14ac:dyDescent="0.3">
      <c r="C993" s="9" t="s">
        <v>12</v>
      </c>
      <c r="D993" s="10">
        <v>45692</v>
      </c>
      <c r="E993" t="s">
        <v>881</v>
      </c>
      <c r="F993" s="11" t="s">
        <v>882</v>
      </c>
      <c r="G993" s="8">
        <v>0</v>
      </c>
      <c r="H993" s="8">
        <v>780.45</v>
      </c>
      <c r="I993" s="8">
        <f t="shared" ref="I993:I998" si="30">G993-H993+I992</f>
        <v>-1810.16</v>
      </c>
      <c r="J993" s="12"/>
    </row>
    <row r="994" spans="1:10" x14ac:dyDescent="0.3">
      <c r="C994" s="9" t="s">
        <v>12</v>
      </c>
      <c r="D994" s="10">
        <v>45695</v>
      </c>
      <c r="E994" t="s">
        <v>34</v>
      </c>
      <c r="F994" s="11" t="s">
        <v>14</v>
      </c>
      <c r="G994" s="8">
        <v>780.45</v>
      </c>
      <c r="H994" s="8">
        <v>0</v>
      </c>
      <c r="I994" s="8">
        <f t="shared" si="30"/>
        <v>-1029.71</v>
      </c>
      <c r="J994" s="12">
        <v>572000005</v>
      </c>
    </row>
    <row r="995" spans="1:10" x14ac:dyDescent="0.3">
      <c r="C995" s="9" t="s">
        <v>12</v>
      </c>
      <c r="D995" s="10">
        <v>45722</v>
      </c>
      <c r="E995" t="s">
        <v>883</v>
      </c>
      <c r="F995" s="11" t="s">
        <v>884</v>
      </c>
      <c r="G995" s="8">
        <v>0</v>
      </c>
      <c r="H995" s="8">
        <v>126.45</v>
      </c>
      <c r="I995" s="8">
        <f t="shared" si="30"/>
        <v>-1156.1600000000001</v>
      </c>
      <c r="J995" s="12"/>
    </row>
    <row r="996" spans="1:10" x14ac:dyDescent="0.3">
      <c r="C996" s="9" t="s">
        <v>12</v>
      </c>
      <c r="D996" s="10">
        <v>45722</v>
      </c>
      <c r="E996" t="s">
        <v>885</v>
      </c>
      <c r="F996" s="11" t="s">
        <v>14</v>
      </c>
      <c r="G996" s="8">
        <v>50</v>
      </c>
      <c r="H996" s="8">
        <v>0</v>
      </c>
      <c r="I996" s="8">
        <f t="shared" si="30"/>
        <v>-1106.1600000000001</v>
      </c>
      <c r="J996" s="12">
        <v>572000002</v>
      </c>
    </row>
    <row r="997" spans="1:10" x14ac:dyDescent="0.3">
      <c r="C997" s="9" t="s">
        <v>12</v>
      </c>
      <c r="D997" s="10">
        <v>45728</v>
      </c>
      <c r="E997" t="s">
        <v>886</v>
      </c>
      <c r="F997" s="11" t="s">
        <v>14</v>
      </c>
      <c r="G997" s="8">
        <v>76.45</v>
      </c>
      <c r="H997" s="8">
        <v>0</v>
      </c>
      <c r="I997" s="8">
        <f t="shared" si="30"/>
        <v>-1029.71</v>
      </c>
      <c r="J997" s="12">
        <v>572000002</v>
      </c>
    </row>
    <row r="998" spans="1:10" x14ac:dyDescent="0.3">
      <c r="C998" s="9"/>
      <c r="D998" s="10">
        <v>45736</v>
      </c>
      <c r="E998" t="s">
        <v>108</v>
      </c>
      <c r="F998" s="11" t="s">
        <v>14</v>
      </c>
      <c r="G998" s="8">
        <v>1209.71</v>
      </c>
      <c r="H998" s="8">
        <v>0</v>
      </c>
      <c r="I998" s="8">
        <f t="shared" si="30"/>
        <v>180</v>
      </c>
      <c r="J998" s="12">
        <v>572000007</v>
      </c>
    </row>
    <row r="999" spans="1:10" x14ac:dyDescent="0.3">
      <c r="E999" s="4" t="s">
        <v>116</v>
      </c>
      <c r="G999" s="8">
        <f>SUM(G992:G998)</f>
        <v>2116.61</v>
      </c>
      <c r="H999" s="8">
        <f>SUM(H992:H998)</f>
        <v>1936.6100000000001</v>
      </c>
      <c r="I999" s="8">
        <f>G999-H999</f>
        <v>180</v>
      </c>
    </row>
    <row r="1001" spans="1:10" x14ac:dyDescent="0.3">
      <c r="A1001" s="5">
        <v>410000235</v>
      </c>
      <c r="B1001" s="6" t="s">
        <v>887</v>
      </c>
      <c r="C1001" s="7"/>
      <c r="D1001" s="7"/>
      <c r="E1001" s="7"/>
      <c r="F1001" s="7"/>
      <c r="G1001" s="7"/>
      <c r="H1001" s="7"/>
      <c r="I1001" s="7"/>
      <c r="J1001" s="7"/>
    </row>
    <row r="1002" spans="1:10" x14ac:dyDescent="0.3">
      <c r="C1002" s="9" t="s">
        <v>12</v>
      </c>
      <c r="D1002" s="10">
        <v>45743</v>
      </c>
      <c r="E1002" t="s">
        <v>888</v>
      </c>
      <c r="F1002" s="11" t="s">
        <v>889</v>
      </c>
      <c r="G1002" s="8">
        <v>0</v>
      </c>
      <c r="H1002" s="8">
        <v>714.87</v>
      </c>
      <c r="I1002" s="8">
        <f>G1002-H1002</f>
        <v>-714.87</v>
      </c>
      <c r="J1002" s="12"/>
    </row>
    <row r="1003" spans="1:10" x14ac:dyDescent="0.3">
      <c r="C1003" s="9" t="s">
        <v>12</v>
      </c>
      <c r="D1003" s="10">
        <v>45750</v>
      </c>
      <c r="E1003" t="s">
        <v>890</v>
      </c>
      <c r="F1003" s="11" t="s">
        <v>891</v>
      </c>
      <c r="G1003" s="8">
        <v>0</v>
      </c>
      <c r="H1003" s="8">
        <v>595.73</v>
      </c>
      <c r="I1003" s="8">
        <f t="shared" ref="I1003:I1011" si="31">G1003-H1003+I1002</f>
        <v>-1310.5999999999999</v>
      </c>
      <c r="J1003" s="12"/>
    </row>
    <row r="1004" spans="1:10" x14ac:dyDescent="0.3">
      <c r="C1004" s="9" t="s">
        <v>12</v>
      </c>
      <c r="D1004" s="10">
        <v>45782</v>
      </c>
      <c r="E1004" t="s">
        <v>892</v>
      </c>
      <c r="F1004" s="11" t="s">
        <v>893</v>
      </c>
      <c r="G1004" s="8">
        <v>0</v>
      </c>
      <c r="H1004" s="8">
        <v>595.73</v>
      </c>
      <c r="I1004" s="8">
        <f t="shared" si="31"/>
        <v>-1906.33</v>
      </c>
      <c r="J1004" s="12"/>
    </row>
    <row r="1005" spans="1:10" x14ac:dyDescent="0.3">
      <c r="C1005" s="9" t="s">
        <v>12</v>
      </c>
      <c r="D1005" s="10">
        <v>45808</v>
      </c>
      <c r="E1005" t="s">
        <v>465</v>
      </c>
      <c r="F1005" s="11" t="s">
        <v>14</v>
      </c>
      <c r="G1005" s="8">
        <v>714.87</v>
      </c>
      <c r="H1005" s="8">
        <v>0</v>
      </c>
      <c r="I1005" s="8">
        <f t="shared" si="31"/>
        <v>-1191.46</v>
      </c>
      <c r="J1005" s="12"/>
    </row>
    <row r="1006" spans="1:10" x14ac:dyDescent="0.3">
      <c r="C1006" s="9" t="s">
        <v>12</v>
      </c>
      <c r="D1006" s="10">
        <v>45810</v>
      </c>
      <c r="E1006" t="s">
        <v>223</v>
      </c>
      <c r="F1006" s="11" t="s">
        <v>14</v>
      </c>
      <c r="G1006" s="8">
        <v>595.73</v>
      </c>
      <c r="H1006" s="8">
        <v>0</v>
      </c>
      <c r="I1006" s="8">
        <f t="shared" si="31"/>
        <v>-595.73</v>
      </c>
      <c r="J1006" s="12">
        <v>572000002</v>
      </c>
    </row>
    <row r="1007" spans="1:10" x14ac:dyDescent="0.3">
      <c r="C1007" s="9"/>
      <c r="D1007" s="10">
        <v>45811</v>
      </c>
      <c r="E1007" t="s">
        <v>894</v>
      </c>
      <c r="F1007" s="11" t="s">
        <v>895</v>
      </c>
      <c r="G1007" s="8">
        <v>0</v>
      </c>
      <c r="H1007" s="8">
        <v>595.73</v>
      </c>
      <c r="I1007" s="8">
        <f t="shared" si="31"/>
        <v>-1191.46</v>
      </c>
      <c r="J1007" s="12"/>
    </row>
    <row r="1008" spans="1:10" x14ac:dyDescent="0.3">
      <c r="C1008" s="9"/>
      <c r="D1008" s="10">
        <v>45841</v>
      </c>
      <c r="E1008" t="s">
        <v>896</v>
      </c>
      <c r="F1008" s="11" t="s">
        <v>897</v>
      </c>
      <c r="G1008" s="8">
        <v>0</v>
      </c>
      <c r="H1008" s="8">
        <v>595.73</v>
      </c>
      <c r="I1008" s="8">
        <f t="shared" si="31"/>
        <v>-1787.19</v>
      </c>
      <c r="J1008" s="12"/>
    </row>
    <row r="1009" spans="1:10" x14ac:dyDescent="0.3">
      <c r="C1009" s="9" t="s">
        <v>12</v>
      </c>
      <c r="D1009" s="10">
        <v>45848</v>
      </c>
      <c r="E1009" t="s">
        <v>34</v>
      </c>
      <c r="F1009" s="11" t="s">
        <v>14</v>
      </c>
      <c r="G1009" s="8">
        <v>595.73</v>
      </c>
      <c r="H1009" s="8">
        <v>0</v>
      </c>
      <c r="I1009" s="8">
        <f t="shared" si="31"/>
        <v>-1191.46</v>
      </c>
      <c r="J1009" s="12">
        <v>572000002</v>
      </c>
    </row>
    <row r="1010" spans="1:10" x14ac:dyDescent="0.3">
      <c r="C1010" s="9"/>
      <c r="D1010" s="10">
        <v>45874</v>
      </c>
      <c r="E1010" t="s">
        <v>898</v>
      </c>
      <c r="F1010" s="11" t="s">
        <v>899</v>
      </c>
      <c r="G1010" s="8">
        <v>0</v>
      </c>
      <c r="H1010" s="8">
        <v>595.73</v>
      </c>
      <c r="I1010" s="8">
        <f t="shared" si="31"/>
        <v>-1787.19</v>
      </c>
      <c r="J1010" s="12"/>
    </row>
    <row r="1011" spans="1:10" x14ac:dyDescent="0.3">
      <c r="C1011" s="9"/>
      <c r="D1011" s="10">
        <v>45903</v>
      </c>
      <c r="E1011" t="s">
        <v>900</v>
      </c>
      <c r="F1011" s="11" t="s">
        <v>901</v>
      </c>
      <c r="G1011" s="8">
        <v>0</v>
      </c>
      <c r="H1011" s="8">
        <v>595.73</v>
      </c>
      <c r="I1011" s="8">
        <f t="shared" si="31"/>
        <v>-2382.92</v>
      </c>
      <c r="J1011" s="12"/>
    </row>
    <row r="1012" spans="1:10" x14ac:dyDescent="0.3">
      <c r="E1012" s="4" t="s">
        <v>116</v>
      </c>
      <c r="G1012" s="8">
        <f>SUM(G1002:G1011)</f>
        <v>1906.33</v>
      </c>
      <c r="H1012" s="8">
        <f>SUM(H1002:H1011)</f>
        <v>4289.25</v>
      </c>
      <c r="I1012" s="8">
        <f>G1012-H1012</f>
        <v>-2382.92</v>
      </c>
    </row>
    <row r="1014" spans="1:10" x14ac:dyDescent="0.3">
      <c r="A1014" s="5">
        <v>410000236</v>
      </c>
      <c r="B1014" s="6" t="s">
        <v>902</v>
      </c>
      <c r="C1014" s="7"/>
      <c r="D1014" s="7"/>
      <c r="E1014" s="7"/>
      <c r="F1014" s="7"/>
      <c r="G1014" s="7"/>
      <c r="H1014" s="7"/>
      <c r="I1014" s="7"/>
      <c r="J1014" s="7"/>
    </row>
    <row r="1015" spans="1:10" x14ac:dyDescent="0.3">
      <c r="C1015" s="9" t="s">
        <v>12</v>
      </c>
      <c r="D1015" s="10">
        <v>45782</v>
      </c>
      <c r="E1015" t="s">
        <v>903</v>
      </c>
      <c r="F1015" s="11" t="s">
        <v>904</v>
      </c>
      <c r="G1015" s="8">
        <v>0</v>
      </c>
      <c r="H1015" s="8">
        <v>106.4</v>
      </c>
      <c r="I1015" s="8">
        <f>G1015-H1015</f>
        <v>-106.4</v>
      </c>
      <c r="J1015" s="12"/>
    </row>
    <row r="1016" spans="1:10" x14ac:dyDescent="0.3">
      <c r="C1016" s="9"/>
      <c r="D1016" s="10">
        <v>45800</v>
      </c>
      <c r="E1016" t="s">
        <v>905</v>
      </c>
      <c r="F1016" s="11" t="s">
        <v>906</v>
      </c>
      <c r="G1016" s="8">
        <v>0</v>
      </c>
      <c r="H1016" s="8">
        <v>44.8</v>
      </c>
      <c r="I1016" s="8">
        <f>G1016-H1016+I1015</f>
        <v>-151.19999999999999</v>
      </c>
      <c r="J1016" s="12"/>
    </row>
    <row r="1017" spans="1:10" x14ac:dyDescent="0.3">
      <c r="C1017" s="9" t="s">
        <v>12</v>
      </c>
      <c r="D1017" s="10">
        <v>45808</v>
      </c>
      <c r="E1017" t="s">
        <v>465</v>
      </c>
      <c r="F1017" s="11" t="s">
        <v>14</v>
      </c>
      <c r="G1017" s="8">
        <v>106.4</v>
      </c>
      <c r="H1017" s="8">
        <v>0</v>
      </c>
      <c r="I1017" s="8">
        <f>G1017-H1017+I1016</f>
        <v>-44.799999999999983</v>
      </c>
      <c r="J1017" s="12"/>
    </row>
    <row r="1018" spans="1:10" x14ac:dyDescent="0.3">
      <c r="C1018" s="9"/>
      <c r="D1018" s="10">
        <v>45833</v>
      </c>
      <c r="E1018" t="s">
        <v>907</v>
      </c>
      <c r="F1018" s="11" t="s">
        <v>908</v>
      </c>
      <c r="G1018" s="8">
        <v>0</v>
      </c>
      <c r="H1018" s="8">
        <v>290.39999999999998</v>
      </c>
      <c r="I1018" s="8">
        <f>G1018-H1018+I1017</f>
        <v>-335.19999999999993</v>
      </c>
      <c r="J1018" s="12"/>
    </row>
    <row r="1019" spans="1:10" x14ac:dyDescent="0.3">
      <c r="C1019" s="9"/>
      <c r="D1019" s="10">
        <v>45869</v>
      </c>
      <c r="E1019" t="s">
        <v>909</v>
      </c>
      <c r="F1019" s="11" t="s">
        <v>910</v>
      </c>
      <c r="G1019" s="8">
        <v>0</v>
      </c>
      <c r="H1019" s="8">
        <v>107.9</v>
      </c>
      <c r="I1019" s="8">
        <f>G1019-H1019+I1018</f>
        <v>-443.09999999999991</v>
      </c>
      <c r="J1019" s="12"/>
    </row>
    <row r="1020" spans="1:10" x14ac:dyDescent="0.3">
      <c r="E1020" s="4" t="s">
        <v>116</v>
      </c>
      <c r="G1020" s="8">
        <f>SUM(G1015:G1019)</f>
        <v>106.4</v>
      </c>
      <c r="H1020" s="8">
        <f>SUM(H1015:H1019)</f>
        <v>549.5</v>
      </c>
      <c r="I1020" s="8">
        <f>G1020-H1020</f>
        <v>-443.1</v>
      </c>
    </row>
    <row r="1022" spans="1:10" x14ac:dyDescent="0.3">
      <c r="A1022" s="5">
        <v>410000237</v>
      </c>
      <c r="B1022" s="6" t="s">
        <v>911</v>
      </c>
      <c r="C1022" s="7"/>
      <c r="D1022" s="7"/>
      <c r="E1022" s="7"/>
      <c r="F1022" s="7"/>
      <c r="G1022" s="7"/>
      <c r="H1022" s="7"/>
      <c r="I1022" s="7"/>
      <c r="J1022" s="7"/>
    </row>
    <row r="1023" spans="1:10" x14ac:dyDescent="0.3">
      <c r="C1023" s="9"/>
      <c r="D1023" s="10">
        <v>45777</v>
      </c>
      <c r="E1023" t="s">
        <v>912</v>
      </c>
      <c r="F1023" s="11" t="s">
        <v>913</v>
      </c>
      <c r="G1023" s="8">
        <v>0</v>
      </c>
      <c r="H1023" s="8">
        <v>4844.84</v>
      </c>
      <c r="I1023" s="8">
        <f>G1023-H1023</f>
        <v>-4844.84</v>
      </c>
      <c r="J1023" s="12"/>
    </row>
    <row r="1024" spans="1:10" x14ac:dyDescent="0.3">
      <c r="C1024" s="9" t="s">
        <v>12</v>
      </c>
      <c r="D1024" s="10">
        <v>45778</v>
      </c>
      <c r="E1024" t="s">
        <v>914</v>
      </c>
      <c r="F1024" s="11" t="s">
        <v>915</v>
      </c>
      <c r="G1024" s="8">
        <v>0</v>
      </c>
      <c r="H1024" s="8">
        <v>714.87</v>
      </c>
      <c r="I1024" s="8">
        <f t="shared" ref="I1024:I1030" si="32">G1024-H1024+I1023</f>
        <v>-5559.71</v>
      </c>
      <c r="J1024" s="12"/>
    </row>
    <row r="1025" spans="1:10" x14ac:dyDescent="0.3">
      <c r="C1025" s="9"/>
      <c r="D1025" s="10">
        <v>45803</v>
      </c>
      <c r="E1025" t="s">
        <v>305</v>
      </c>
      <c r="F1025" s="11" t="s">
        <v>14</v>
      </c>
      <c r="G1025" s="8">
        <v>5912.06</v>
      </c>
      <c r="H1025" s="8">
        <v>0</v>
      </c>
      <c r="I1025" s="8">
        <f t="shared" si="32"/>
        <v>352.35000000000036</v>
      </c>
      <c r="J1025" s="12">
        <v>572000007</v>
      </c>
    </row>
    <row r="1026" spans="1:10" x14ac:dyDescent="0.3">
      <c r="C1026" s="9" t="s">
        <v>12</v>
      </c>
      <c r="D1026" s="10">
        <v>45809</v>
      </c>
      <c r="E1026" t="s">
        <v>916</v>
      </c>
      <c r="F1026" s="11" t="s">
        <v>917</v>
      </c>
      <c r="G1026" s="8">
        <v>0</v>
      </c>
      <c r="H1026" s="8">
        <v>714.87</v>
      </c>
      <c r="I1026" s="8">
        <f t="shared" si="32"/>
        <v>-362.51999999999964</v>
      </c>
      <c r="J1026" s="12"/>
    </row>
    <row r="1027" spans="1:10" x14ac:dyDescent="0.3">
      <c r="C1027" s="9" t="s">
        <v>12</v>
      </c>
      <c r="D1027" s="10">
        <v>45834</v>
      </c>
      <c r="E1027" t="s">
        <v>34</v>
      </c>
      <c r="F1027" s="11" t="s">
        <v>14</v>
      </c>
      <c r="G1027" s="8">
        <v>714.87</v>
      </c>
      <c r="H1027" s="8">
        <v>0</v>
      </c>
      <c r="I1027" s="8">
        <f t="shared" si="32"/>
        <v>352.35000000000036</v>
      </c>
      <c r="J1027" s="12">
        <v>572000002</v>
      </c>
    </row>
    <row r="1028" spans="1:10" x14ac:dyDescent="0.3">
      <c r="C1028" s="9"/>
      <c r="D1028" s="10">
        <v>45839</v>
      </c>
      <c r="E1028" t="s">
        <v>918</v>
      </c>
      <c r="F1028" s="11" t="s">
        <v>919</v>
      </c>
      <c r="G1028" s="8">
        <v>0</v>
      </c>
      <c r="H1028" s="8">
        <v>714.87</v>
      </c>
      <c r="I1028" s="8">
        <f t="shared" si="32"/>
        <v>-362.51999999999964</v>
      </c>
      <c r="J1028" s="12"/>
    </row>
    <row r="1029" spans="1:10" x14ac:dyDescent="0.3">
      <c r="C1029" s="9" t="s">
        <v>12</v>
      </c>
      <c r="D1029" s="10">
        <v>45848</v>
      </c>
      <c r="E1029" t="s">
        <v>34</v>
      </c>
      <c r="F1029" s="11" t="s">
        <v>14</v>
      </c>
      <c r="G1029" s="8">
        <v>714.87</v>
      </c>
      <c r="H1029" s="8">
        <v>0</v>
      </c>
      <c r="I1029" s="8">
        <f t="shared" si="32"/>
        <v>352.35000000000036</v>
      </c>
      <c r="J1029" s="12">
        <v>572000002</v>
      </c>
    </row>
    <row r="1030" spans="1:10" x14ac:dyDescent="0.3">
      <c r="C1030" s="9"/>
      <c r="D1030" s="10">
        <v>45901</v>
      </c>
      <c r="E1030" t="s">
        <v>920</v>
      </c>
      <c r="F1030" s="11" t="s">
        <v>921</v>
      </c>
      <c r="G1030" s="8">
        <v>0</v>
      </c>
      <c r="H1030" s="8">
        <v>714.87</v>
      </c>
      <c r="I1030" s="8">
        <f t="shared" si="32"/>
        <v>-362.51999999999964</v>
      </c>
      <c r="J1030" s="12"/>
    </row>
    <row r="1031" spans="1:10" x14ac:dyDescent="0.3">
      <c r="E1031" s="4" t="s">
        <v>116</v>
      </c>
      <c r="G1031" s="8">
        <f>SUM(G1023:G1030)</f>
        <v>7341.8</v>
      </c>
      <c r="H1031" s="8">
        <f>SUM(H1023:H1030)</f>
        <v>7704.32</v>
      </c>
      <c r="I1031" s="8">
        <f>G1031-H1031</f>
        <v>-362.51999999999953</v>
      </c>
    </row>
    <row r="1033" spans="1:10" x14ac:dyDescent="0.3">
      <c r="A1033" s="5">
        <v>410000240</v>
      </c>
      <c r="B1033" s="6" t="s">
        <v>922</v>
      </c>
      <c r="C1033" s="7"/>
      <c r="D1033" s="7"/>
      <c r="E1033" s="7"/>
      <c r="F1033" s="7"/>
      <c r="G1033" s="7"/>
      <c r="H1033" s="7"/>
      <c r="I1033" s="7"/>
      <c r="J1033" s="7"/>
    </row>
    <row r="1034" spans="1:10" x14ac:dyDescent="0.3">
      <c r="C1034" s="9"/>
      <c r="D1034" s="10">
        <v>45789</v>
      </c>
      <c r="E1034" t="s">
        <v>923</v>
      </c>
      <c r="F1034" s="11" t="s">
        <v>924</v>
      </c>
      <c r="G1034" s="8">
        <v>0</v>
      </c>
      <c r="H1034" s="8">
        <v>5777.75</v>
      </c>
      <c r="I1034" s="8">
        <f>G1034-H1034</f>
        <v>-5777.75</v>
      </c>
      <c r="J1034" s="12"/>
    </row>
    <row r="1035" spans="1:10" x14ac:dyDescent="0.3">
      <c r="C1035" s="9"/>
      <c r="D1035" s="10">
        <v>45839</v>
      </c>
      <c r="E1035" t="s">
        <v>925</v>
      </c>
      <c r="F1035" s="11" t="s">
        <v>926</v>
      </c>
      <c r="G1035" s="8">
        <v>0</v>
      </c>
      <c r="H1035" s="8">
        <v>1936</v>
      </c>
      <c r="I1035" s="8">
        <f t="shared" ref="I1035:I1041" si="33">G1035-H1035+I1034</f>
        <v>-7713.75</v>
      </c>
      <c r="J1035" s="12"/>
    </row>
    <row r="1036" spans="1:10" x14ac:dyDescent="0.3">
      <c r="C1036" s="9"/>
      <c r="D1036" s="10">
        <v>45839</v>
      </c>
      <c r="E1036" t="s">
        <v>925</v>
      </c>
      <c r="F1036" s="11" t="s">
        <v>927</v>
      </c>
      <c r="G1036" s="8">
        <v>0</v>
      </c>
      <c r="H1036" s="8">
        <v>1936</v>
      </c>
      <c r="I1036" s="8">
        <f t="shared" si="33"/>
        <v>-9649.75</v>
      </c>
      <c r="J1036" s="12"/>
    </row>
    <row r="1037" spans="1:10" x14ac:dyDescent="0.3">
      <c r="C1037" s="9"/>
      <c r="D1037" s="10">
        <v>45839</v>
      </c>
      <c r="E1037" t="s">
        <v>928</v>
      </c>
      <c r="F1037" s="11" t="s">
        <v>929</v>
      </c>
      <c r="G1037" s="8">
        <v>0</v>
      </c>
      <c r="H1037" s="8">
        <v>4961</v>
      </c>
      <c r="I1037" s="8">
        <f t="shared" si="33"/>
        <v>-14610.75</v>
      </c>
      <c r="J1037" s="12"/>
    </row>
    <row r="1038" spans="1:10" x14ac:dyDescent="0.3">
      <c r="C1038" s="9"/>
      <c r="D1038" s="10">
        <v>45840</v>
      </c>
      <c r="E1038" t="s">
        <v>930</v>
      </c>
      <c r="F1038" s="11" t="s">
        <v>931</v>
      </c>
      <c r="G1038" s="8">
        <v>0</v>
      </c>
      <c r="H1038" s="8">
        <v>4416.5</v>
      </c>
      <c r="I1038" s="8">
        <f t="shared" si="33"/>
        <v>-19027.25</v>
      </c>
      <c r="J1038" s="12"/>
    </row>
    <row r="1039" spans="1:10" x14ac:dyDescent="0.3">
      <c r="C1039" s="9"/>
      <c r="D1039" s="10">
        <v>45868</v>
      </c>
      <c r="E1039" t="s">
        <v>34</v>
      </c>
      <c r="F1039" s="11" t="s">
        <v>14</v>
      </c>
      <c r="G1039" s="8">
        <v>1936</v>
      </c>
      <c r="H1039" s="8">
        <v>0</v>
      </c>
      <c r="I1039" s="8">
        <f t="shared" si="33"/>
        <v>-17091.25</v>
      </c>
      <c r="J1039" s="12">
        <v>572000005</v>
      </c>
    </row>
    <row r="1040" spans="1:10" x14ac:dyDescent="0.3">
      <c r="C1040" s="9"/>
      <c r="D1040" s="10">
        <v>45881</v>
      </c>
      <c r="E1040" t="s">
        <v>34</v>
      </c>
      <c r="F1040" s="11" t="s">
        <v>14</v>
      </c>
      <c r="G1040" s="8">
        <v>4416.5</v>
      </c>
      <c r="H1040" s="8">
        <v>0</v>
      </c>
      <c r="I1040" s="8">
        <f t="shared" si="33"/>
        <v>-12674.75</v>
      </c>
      <c r="J1040" s="12">
        <v>572000007</v>
      </c>
    </row>
    <row r="1041" spans="1:10" x14ac:dyDescent="0.3">
      <c r="C1041" s="9"/>
      <c r="D1041" s="10">
        <v>45918</v>
      </c>
      <c r="E1041" t="s">
        <v>34</v>
      </c>
      <c r="F1041" s="11" t="s">
        <v>14</v>
      </c>
      <c r="G1041" s="8">
        <v>4961</v>
      </c>
      <c r="H1041" s="8">
        <v>0</v>
      </c>
      <c r="I1041" s="8">
        <f t="shared" si="33"/>
        <v>-7713.75</v>
      </c>
      <c r="J1041" s="12">
        <v>572000007</v>
      </c>
    </row>
    <row r="1042" spans="1:10" x14ac:dyDescent="0.3">
      <c r="E1042" s="4" t="s">
        <v>116</v>
      </c>
      <c r="G1042" s="8">
        <f>SUM(G1034:G1041)</f>
        <v>11313.5</v>
      </c>
      <c r="H1042" s="8">
        <f>SUM(H1034:H1041)</f>
        <v>19027.25</v>
      </c>
      <c r="I1042" s="8">
        <f>G1042-H1042</f>
        <v>-7713.75</v>
      </c>
    </row>
    <row r="1044" spans="1:10" x14ac:dyDescent="0.3">
      <c r="A1044" s="5">
        <v>410000244</v>
      </c>
      <c r="B1044" s="6" t="s">
        <v>932</v>
      </c>
      <c r="C1044" s="7"/>
      <c r="D1044" s="7"/>
      <c r="E1044" s="7"/>
      <c r="F1044" s="7"/>
      <c r="G1044" s="7"/>
      <c r="H1044" s="7"/>
      <c r="I1044" s="7"/>
      <c r="J1044" s="7"/>
    </row>
    <row r="1045" spans="1:10" x14ac:dyDescent="0.3">
      <c r="C1045" s="9"/>
      <c r="D1045" s="10">
        <v>45820</v>
      </c>
      <c r="E1045" t="s">
        <v>933</v>
      </c>
      <c r="F1045" s="11" t="s">
        <v>934</v>
      </c>
      <c r="G1045" s="8">
        <v>0</v>
      </c>
      <c r="H1045" s="8">
        <v>51.69</v>
      </c>
      <c r="I1045" s="8">
        <f>G1045-H1045</f>
        <v>-51.69</v>
      </c>
      <c r="J1045" s="12">
        <v>629500000</v>
      </c>
    </row>
    <row r="1046" spans="1:10" x14ac:dyDescent="0.3">
      <c r="C1046" s="9"/>
      <c r="D1046" s="10">
        <v>45820</v>
      </c>
      <c r="E1046" t="s">
        <v>935</v>
      </c>
      <c r="F1046" s="11" t="s">
        <v>936</v>
      </c>
      <c r="G1046" s="8">
        <v>0</v>
      </c>
      <c r="H1046" s="8">
        <v>36.47</v>
      </c>
      <c r="I1046" s="8">
        <f t="shared" ref="I1046:I1051" si="34">G1046-H1046+I1045</f>
        <v>-88.16</v>
      </c>
      <c r="J1046" s="12">
        <v>629500000</v>
      </c>
    </row>
    <row r="1047" spans="1:10" x14ac:dyDescent="0.3">
      <c r="C1047" s="9"/>
      <c r="D1047" s="10">
        <v>45838</v>
      </c>
      <c r="E1047" t="s">
        <v>937</v>
      </c>
      <c r="F1047" s="11" t="s">
        <v>938</v>
      </c>
      <c r="G1047" s="8">
        <v>154.12</v>
      </c>
      <c r="H1047" s="8">
        <v>0</v>
      </c>
      <c r="I1047" s="8">
        <f t="shared" si="34"/>
        <v>65.960000000000008</v>
      </c>
      <c r="J1047" s="12"/>
    </row>
    <row r="1048" spans="1:10" x14ac:dyDescent="0.3">
      <c r="C1048" s="9"/>
      <c r="D1048" s="10">
        <v>45838</v>
      </c>
      <c r="E1048" t="s">
        <v>937</v>
      </c>
      <c r="F1048" s="11" t="s">
        <v>938</v>
      </c>
      <c r="G1048" s="8">
        <v>332.1</v>
      </c>
      <c r="H1048" s="8">
        <v>0</v>
      </c>
      <c r="I1048" s="8">
        <f t="shared" si="34"/>
        <v>398.06000000000006</v>
      </c>
      <c r="J1048" s="12"/>
    </row>
    <row r="1049" spans="1:10" x14ac:dyDescent="0.3">
      <c r="C1049" s="9"/>
      <c r="D1049" s="10">
        <v>45838</v>
      </c>
      <c r="E1049" t="s">
        <v>488</v>
      </c>
      <c r="F1049" s="11" t="s">
        <v>939</v>
      </c>
      <c r="G1049" s="8">
        <v>931.36</v>
      </c>
      <c r="H1049" s="8">
        <v>0</v>
      </c>
      <c r="I1049" s="8">
        <f t="shared" si="34"/>
        <v>1329.42</v>
      </c>
      <c r="J1049" s="12"/>
    </row>
    <row r="1050" spans="1:10" x14ac:dyDescent="0.3">
      <c r="C1050" s="9"/>
      <c r="D1050" s="10">
        <v>45838</v>
      </c>
      <c r="E1050" t="s">
        <v>488</v>
      </c>
      <c r="F1050" s="11" t="s">
        <v>939</v>
      </c>
      <c r="G1050" s="8">
        <v>7.99</v>
      </c>
      <c r="H1050" s="8">
        <v>0</v>
      </c>
      <c r="I1050" s="8">
        <f t="shared" si="34"/>
        <v>1337.41</v>
      </c>
      <c r="J1050" s="12"/>
    </row>
    <row r="1051" spans="1:10" x14ac:dyDescent="0.3">
      <c r="C1051" s="9"/>
      <c r="D1051" s="10">
        <v>45852</v>
      </c>
      <c r="E1051" t="s">
        <v>940</v>
      </c>
      <c r="F1051" s="11" t="s">
        <v>14</v>
      </c>
      <c r="G1051" s="8">
        <v>508.75</v>
      </c>
      <c r="H1051" s="8">
        <v>0</v>
      </c>
      <c r="I1051" s="8">
        <f t="shared" si="34"/>
        <v>1846.16</v>
      </c>
      <c r="J1051" s="12">
        <v>572000005</v>
      </c>
    </row>
    <row r="1052" spans="1:10" x14ac:dyDescent="0.3">
      <c r="E1052" s="4" t="s">
        <v>116</v>
      </c>
      <c r="G1052" s="8">
        <f>SUM(G1045:G1051)</f>
        <v>1934.32</v>
      </c>
      <c r="H1052" s="8">
        <f>SUM(H1045:H1051)</f>
        <v>88.16</v>
      </c>
      <c r="I1052" s="8">
        <f>G1052-H1052</f>
        <v>1846.1599999999999</v>
      </c>
    </row>
    <row r="1054" spans="1:10" x14ac:dyDescent="0.3">
      <c r="A1054" s="5">
        <v>410000245</v>
      </c>
      <c r="B1054" s="6" t="s">
        <v>941</v>
      </c>
      <c r="C1054" s="7"/>
      <c r="D1054" s="7"/>
      <c r="E1054" s="7"/>
      <c r="F1054" s="7"/>
      <c r="G1054" s="7"/>
      <c r="H1054" s="7"/>
      <c r="I1054" s="7"/>
      <c r="J1054" s="7"/>
    </row>
    <row r="1055" spans="1:10" x14ac:dyDescent="0.3">
      <c r="C1055" s="9"/>
      <c r="D1055" s="10">
        <v>45838</v>
      </c>
      <c r="E1055" t="s">
        <v>942</v>
      </c>
      <c r="F1055" s="11" t="s">
        <v>943</v>
      </c>
      <c r="G1055" s="8">
        <v>0</v>
      </c>
      <c r="H1055" s="8">
        <v>1082.68</v>
      </c>
      <c r="I1055" s="8">
        <f>G1055-H1055</f>
        <v>-1082.68</v>
      </c>
      <c r="J1055" s="12"/>
    </row>
    <row r="1056" spans="1:10" x14ac:dyDescent="0.3">
      <c r="C1056" s="9"/>
      <c r="D1056" s="10">
        <v>45869</v>
      </c>
      <c r="E1056" t="s">
        <v>944</v>
      </c>
      <c r="F1056" s="11" t="s">
        <v>945</v>
      </c>
      <c r="G1056" s="8">
        <v>0</v>
      </c>
      <c r="H1056" s="8">
        <v>139.09</v>
      </c>
      <c r="I1056" s="8">
        <f>G1056-H1056+I1055</f>
        <v>-1221.77</v>
      </c>
      <c r="J1056" s="12"/>
    </row>
    <row r="1057" spans="1:10" x14ac:dyDescent="0.3">
      <c r="C1057" s="9"/>
      <c r="D1057" s="10">
        <v>45880</v>
      </c>
      <c r="E1057" t="s">
        <v>34</v>
      </c>
      <c r="F1057" s="11" t="s">
        <v>14</v>
      </c>
      <c r="G1057" s="8">
        <v>1082.68</v>
      </c>
      <c r="H1057" s="8">
        <v>0</v>
      </c>
      <c r="I1057" s="8">
        <f>G1057-H1057+I1056</f>
        <v>-139.08999999999992</v>
      </c>
      <c r="J1057" s="12">
        <v>572000005</v>
      </c>
    </row>
    <row r="1058" spans="1:10" x14ac:dyDescent="0.3">
      <c r="C1058" s="9"/>
      <c r="D1058" s="10">
        <v>45900</v>
      </c>
      <c r="E1058" t="s">
        <v>946</v>
      </c>
      <c r="F1058" s="11" t="s">
        <v>947</v>
      </c>
      <c r="G1058" s="8">
        <v>0</v>
      </c>
      <c r="H1058" s="8">
        <v>466.23</v>
      </c>
      <c r="I1058" s="8">
        <f>G1058-H1058+I1057</f>
        <v>-605.31999999999994</v>
      </c>
      <c r="J1058" s="12"/>
    </row>
    <row r="1059" spans="1:10" x14ac:dyDescent="0.3">
      <c r="C1059" s="9"/>
      <c r="D1059" s="10">
        <v>45910</v>
      </c>
      <c r="E1059" t="s">
        <v>34</v>
      </c>
      <c r="F1059" s="11" t="s">
        <v>14</v>
      </c>
      <c r="G1059" s="8">
        <v>139.09</v>
      </c>
      <c r="H1059" s="8">
        <v>0</v>
      </c>
      <c r="I1059" s="8">
        <f>G1059-H1059+I1058</f>
        <v>-466.2299999999999</v>
      </c>
      <c r="J1059" s="12">
        <v>572000005</v>
      </c>
    </row>
    <row r="1060" spans="1:10" x14ac:dyDescent="0.3">
      <c r="E1060" s="4" t="s">
        <v>116</v>
      </c>
      <c r="G1060" s="8">
        <f>SUM(G1055:G1059)</f>
        <v>1221.77</v>
      </c>
      <c r="H1060" s="8">
        <f>SUM(H1055:H1059)</f>
        <v>1688</v>
      </c>
      <c r="I1060" s="8">
        <f>G1060-H1060</f>
        <v>-466.23</v>
      </c>
    </row>
    <row r="1062" spans="1:10" x14ac:dyDescent="0.3">
      <c r="A1062" s="5">
        <v>410000246</v>
      </c>
      <c r="B1062" s="6" t="s">
        <v>948</v>
      </c>
      <c r="C1062" s="7"/>
      <c r="D1062" s="7"/>
      <c r="E1062" s="7"/>
      <c r="F1062" s="7"/>
      <c r="G1062" s="7"/>
      <c r="H1062" s="7"/>
      <c r="I1062" s="7"/>
      <c r="J1062" s="7"/>
    </row>
    <row r="1063" spans="1:10" x14ac:dyDescent="0.3">
      <c r="C1063" s="9"/>
      <c r="D1063" s="10">
        <v>45835</v>
      </c>
      <c r="E1063" t="s">
        <v>949</v>
      </c>
      <c r="F1063" s="11" t="s">
        <v>950</v>
      </c>
      <c r="G1063" s="8">
        <v>0</v>
      </c>
      <c r="H1063" s="8">
        <v>22.99</v>
      </c>
      <c r="I1063" s="8">
        <f>G1063-H1063</f>
        <v>-22.99</v>
      </c>
      <c r="J1063" s="12"/>
    </row>
    <row r="1064" spans="1:10" x14ac:dyDescent="0.3">
      <c r="C1064" s="9"/>
      <c r="D1064" s="10">
        <v>45838</v>
      </c>
      <c r="E1064" t="s">
        <v>951</v>
      </c>
      <c r="F1064" s="11" t="s">
        <v>14</v>
      </c>
      <c r="G1064" s="8">
        <v>22.99</v>
      </c>
      <c r="H1064" s="8">
        <v>0</v>
      </c>
      <c r="I1064" s="8">
        <f>G1064-H1064+I1063</f>
        <v>0</v>
      </c>
      <c r="J1064" s="12"/>
    </row>
    <row r="1065" spans="1:10" x14ac:dyDescent="0.3">
      <c r="C1065" s="9"/>
      <c r="D1065" s="10">
        <v>45838</v>
      </c>
      <c r="E1065" t="s">
        <v>951</v>
      </c>
      <c r="F1065" s="11" t="s">
        <v>14</v>
      </c>
      <c r="G1065" s="8">
        <v>22.99</v>
      </c>
      <c r="H1065" s="8">
        <v>0</v>
      </c>
      <c r="I1065" s="8">
        <f>G1065-H1065+I1064</f>
        <v>22.99</v>
      </c>
      <c r="J1065" s="12"/>
    </row>
    <row r="1066" spans="1:10" x14ac:dyDescent="0.3">
      <c r="E1066" s="4" t="s">
        <v>116</v>
      </c>
      <c r="G1066" s="8">
        <f>SUM(G1063:G1065)</f>
        <v>45.98</v>
      </c>
      <c r="H1066" s="8">
        <f>SUM(H1063:H1065)</f>
        <v>22.99</v>
      </c>
      <c r="I1066" s="8">
        <f>G1066-H1066</f>
        <v>22.99</v>
      </c>
    </row>
    <row r="1068" spans="1:10" x14ac:dyDescent="0.3">
      <c r="A1068" s="5">
        <v>410000247</v>
      </c>
      <c r="B1068" s="6" t="s">
        <v>952</v>
      </c>
      <c r="C1068" s="7"/>
      <c r="D1068" s="7"/>
      <c r="E1068" s="7"/>
      <c r="F1068" s="7"/>
      <c r="G1068" s="7"/>
      <c r="H1068" s="7"/>
      <c r="I1068" s="7"/>
      <c r="J1068" s="7"/>
    </row>
    <row r="1069" spans="1:10" x14ac:dyDescent="0.3">
      <c r="C1069" s="9"/>
      <c r="D1069" s="10">
        <v>45823</v>
      </c>
      <c r="E1069" t="s">
        <v>953</v>
      </c>
      <c r="F1069" s="11" t="s">
        <v>954</v>
      </c>
      <c r="G1069" s="8">
        <v>0</v>
      </c>
      <c r="H1069" s="8">
        <v>35.880000000000003</v>
      </c>
      <c r="I1069" s="8">
        <f>G1069-H1069</f>
        <v>-35.880000000000003</v>
      </c>
      <c r="J1069" s="12"/>
    </row>
    <row r="1070" spans="1:10" x14ac:dyDescent="0.3">
      <c r="C1070" s="9"/>
      <c r="D1070" s="10">
        <v>45824</v>
      </c>
      <c r="E1070" t="s">
        <v>955</v>
      </c>
      <c r="F1070" s="11" t="s">
        <v>956</v>
      </c>
      <c r="G1070" s="8">
        <v>0</v>
      </c>
      <c r="H1070" s="8">
        <v>6.99</v>
      </c>
      <c r="I1070" s="8">
        <f>G1070-H1070+I1069</f>
        <v>-42.870000000000005</v>
      </c>
      <c r="J1070" s="12"/>
    </row>
    <row r="1071" spans="1:10" x14ac:dyDescent="0.3">
      <c r="C1071" s="9"/>
      <c r="D1071" s="10">
        <v>45824</v>
      </c>
      <c r="E1071" t="s">
        <v>957</v>
      </c>
      <c r="F1071" s="11" t="s">
        <v>958</v>
      </c>
      <c r="G1071" s="8">
        <v>0</v>
      </c>
      <c r="H1071" s="8">
        <v>6.99</v>
      </c>
      <c r="I1071" s="8">
        <f>G1071-H1071+I1070</f>
        <v>-49.860000000000007</v>
      </c>
      <c r="J1071" s="12"/>
    </row>
    <row r="1072" spans="1:10" x14ac:dyDescent="0.3">
      <c r="C1072" s="9"/>
      <c r="D1072" s="10">
        <v>45838</v>
      </c>
      <c r="E1072" t="s">
        <v>959</v>
      </c>
      <c r="F1072" s="11" t="s">
        <v>14</v>
      </c>
      <c r="G1072" s="8">
        <v>6.99</v>
      </c>
      <c r="H1072" s="8">
        <v>0</v>
      </c>
      <c r="I1072" s="8">
        <f>G1072-H1072+I1071</f>
        <v>-42.870000000000005</v>
      </c>
      <c r="J1072" s="12"/>
    </row>
    <row r="1073" spans="1:10" x14ac:dyDescent="0.3">
      <c r="C1073" s="9"/>
      <c r="D1073" s="10">
        <v>45838</v>
      </c>
      <c r="E1073" t="s">
        <v>959</v>
      </c>
      <c r="F1073" s="11" t="s">
        <v>14</v>
      </c>
      <c r="G1073" s="8">
        <v>6.99</v>
      </c>
      <c r="H1073" s="8">
        <v>0</v>
      </c>
      <c r="I1073" s="8">
        <f>G1073-H1073+I1072</f>
        <v>-35.880000000000003</v>
      </c>
      <c r="J1073" s="12"/>
    </row>
    <row r="1074" spans="1:10" x14ac:dyDescent="0.3">
      <c r="E1074" s="4" t="s">
        <v>116</v>
      </c>
      <c r="G1074" s="8">
        <f>SUM(G1069:G1073)</f>
        <v>13.98</v>
      </c>
      <c r="H1074" s="8">
        <f>SUM(H1069:H1073)</f>
        <v>49.860000000000007</v>
      </c>
      <c r="I1074" s="8">
        <f>G1074-H1074</f>
        <v>-35.88000000000001</v>
      </c>
    </row>
    <row r="1076" spans="1:10" x14ac:dyDescent="0.3">
      <c r="A1076" s="5">
        <v>410000248</v>
      </c>
      <c r="B1076" s="6" t="s">
        <v>960</v>
      </c>
      <c r="C1076" s="7"/>
      <c r="D1076" s="7"/>
      <c r="E1076" s="7"/>
      <c r="F1076" s="7"/>
      <c r="G1076" s="7"/>
      <c r="H1076" s="7"/>
      <c r="I1076" s="7"/>
      <c r="J1076" s="7"/>
    </row>
    <row r="1077" spans="1:10" x14ac:dyDescent="0.3">
      <c r="C1077" s="9" t="s">
        <v>12</v>
      </c>
      <c r="D1077" s="10">
        <v>45839</v>
      </c>
      <c r="E1077" t="s">
        <v>961</v>
      </c>
      <c r="F1077" s="11" t="s">
        <v>962</v>
      </c>
      <c r="G1077" s="8">
        <v>0</v>
      </c>
      <c r="H1077" s="8">
        <v>268.33999999999997</v>
      </c>
      <c r="I1077" s="8">
        <f>G1077-H1077</f>
        <v>-268.33999999999997</v>
      </c>
      <c r="J1077" s="12"/>
    </row>
    <row r="1078" spans="1:10" x14ac:dyDescent="0.3">
      <c r="C1078" s="9" t="s">
        <v>12</v>
      </c>
      <c r="D1078" s="10">
        <v>45839</v>
      </c>
      <c r="E1078" t="s">
        <v>963</v>
      </c>
      <c r="F1078" s="11" t="s">
        <v>964</v>
      </c>
      <c r="G1078" s="8">
        <v>0</v>
      </c>
      <c r="H1078" s="8">
        <v>48.4</v>
      </c>
      <c r="I1078" s="8">
        <f t="shared" ref="I1078:I1094" si="35">G1078-H1078+I1077</f>
        <v>-316.73999999999995</v>
      </c>
      <c r="J1078" s="12"/>
    </row>
    <row r="1079" spans="1:10" x14ac:dyDescent="0.3">
      <c r="C1079" s="9" t="s">
        <v>12</v>
      </c>
      <c r="D1079" s="10">
        <v>45839</v>
      </c>
      <c r="E1079" t="s">
        <v>109</v>
      </c>
      <c r="F1079" s="11" t="s">
        <v>965</v>
      </c>
      <c r="G1079" s="8">
        <v>0</v>
      </c>
      <c r="H1079" s="8">
        <v>9596.83</v>
      </c>
      <c r="I1079" s="8">
        <f t="shared" si="35"/>
        <v>-9913.57</v>
      </c>
      <c r="J1079" s="12">
        <v>472000000</v>
      </c>
    </row>
    <row r="1080" spans="1:10" x14ac:dyDescent="0.3">
      <c r="C1080" s="9" t="s">
        <v>12</v>
      </c>
      <c r="D1080" s="10">
        <v>45848</v>
      </c>
      <c r="E1080" t="s">
        <v>966</v>
      </c>
      <c r="F1080" s="11" t="s">
        <v>14</v>
      </c>
      <c r="G1080" s="8">
        <v>48.4</v>
      </c>
      <c r="H1080" s="8">
        <v>0</v>
      </c>
      <c r="I1080" s="8">
        <f t="shared" si="35"/>
        <v>-9865.17</v>
      </c>
      <c r="J1080" s="12">
        <v>572000002</v>
      </c>
    </row>
    <row r="1081" spans="1:10" x14ac:dyDescent="0.3">
      <c r="C1081" s="9" t="s">
        <v>12</v>
      </c>
      <c r="D1081" s="10">
        <v>45848</v>
      </c>
      <c r="E1081" t="s">
        <v>966</v>
      </c>
      <c r="F1081" s="11" t="s">
        <v>14</v>
      </c>
      <c r="G1081" s="8">
        <v>268.33999999999997</v>
      </c>
      <c r="H1081" s="8">
        <v>0</v>
      </c>
      <c r="I1081" s="8">
        <f t="shared" si="35"/>
        <v>-9596.83</v>
      </c>
      <c r="J1081" s="12">
        <v>572000002</v>
      </c>
    </row>
    <row r="1082" spans="1:10" x14ac:dyDescent="0.3">
      <c r="C1082" s="9" t="s">
        <v>12</v>
      </c>
      <c r="D1082" s="10">
        <v>45848</v>
      </c>
      <c r="E1082" t="s">
        <v>966</v>
      </c>
      <c r="F1082" s="11" t="s">
        <v>14</v>
      </c>
      <c r="G1082" s="8">
        <v>9596.83</v>
      </c>
      <c r="H1082" s="8">
        <v>0</v>
      </c>
      <c r="I1082" s="8">
        <f t="shared" si="35"/>
        <v>0</v>
      </c>
      <c r="J1082" s="12">
        <v>572000002</v>
      </c>
    </row>
    <row r="1083" spans="1:10" x14ac:dyDescent="0.3">
      <c r="C1083" s="9"/>
      <c r="D1083" s="10">
        <v>45866</v>
      </c>
      <c r="E1083" t="s">
        <v>967</v>
      </c>
      <c r="F1083" s="11" t="s">
        <v>968</v>
      </c>
      <c r="G1083" s="8">
        <v>0</v>
      </c>
      <c r="H1083" s="8">
        <v>301.8</v>
      </c>
      <c r="I1083" s="8">
        <f t="shared" si="35"/>
        <v>-301.8</v>
      </c>
      <c r="J1083" s="12"/>
    </row>
    <row r="1084" spans="1:10" x14ac:dyDescent="0.3">
      <c r="C1084" s="9"/>
      <c r="D1084" s="10">
        <v>45866</v>
      </c>
      <c r="E1084" t="s">
        <v>109</v>
      </c>
      <c r="F1084" s="11" t="s">
        <v>969</v>
      </c>
      <c r="G1084" s="8">
        <v>0</v>
      </c>
      <c r="H1084" s="8">
        <v>8053.08</v>
      </c>
      <c r="I1084" s="8">
        <f t="shared" si="35"/>
        <v>-8354.8799999999992</v>
      </c>
      <c r="J1084" s="12">
        <v>472000000</v>
      </c>
    </row>
    <row r="1085" spans="1:10" x14ac:dyDescent="0.3">
      <c r="C1085" s="9"/>
      <c r="D1085" s="10">
        <v>45870</v>
      </c>
      <c r="E1085" t="s">
        <v>970</v>
      </c>
      <c r="F1085" s="11" t="s">
        <v>971</v>
      </c>
      <c r="G1085" s="8">
        <v>0</v>
      </c>
      <c r="H1085" s="8">
        <v>250.89</v>
      </c>
      <c r="I1085" s="8">
        <f t="shared" si="35"/>
        <v>-8605.7699999999986</v>
      </c>
      <c r="J1085" s="12"/>
    </row>
    <row r="1086" spans="1:10" x14ac:dyDescent="0.3">
      <c r="C1086" s="9"/>
      <c r="D1086" s="10">
        <v>45870</v>
      </c>
      <c r="E1086" t="s">
        <v>109</v>
      </c>
      <c r="F1086" s="11" t="s">
        <v>972</v>
      </c>
      <c r="G1086" s="8">
        <v>0</v>
      </c>
      <c r="H1086" s="8">
        <v>2794.09</v>
      </c>
      <c r="I1086" s="8">
        <f t="shared" si="35"/>
        <v>-11399.859999999999</v>
      </c>
      <c r="J1086" s="12">
        <v>472000000</v>
      </c>
    </row>
    <row r="1087" spans="1:10" x14ac:dyDescent="0.3">
      <c r="C1087" s="9"/>
      <c r="D1087" s="10">
        <v>45873</v>
      </c>
      <c r="E1087" t="s">
        <v>305</v>
      </c>
      <c r="F1087" s="11" t="s">
        <v>14</v>
      </c>
      <c r="G1087" s="8">
        <v>8354.8799999999992</v>
      </c>
      <c r="H1087" s="8">
        <v>0</v>
      </c>
      <c r="I1087" s="8">
        <f t="shared" si="35"/>
        <v>-3044.9799999999996</v>
      </c>
      <c r="J1087" s="12">
        <v>572000007</v>
      </c>
    </row>
    <row r="1088" spans="1:10" x14ac:dyDescent="0.3">
      <c r="C1088" s="9"/>
      <c r="D1088" s="10">
        <v>45873</v>
      </c>
      <c r="E1088" t="s">
        <v>305</v>
      </c>
      <c r="F1088" s="11" t="s">
        <v>14</v>
      </c>
      <c r="G1088" s="8">
        <v>3044.98</v>
      </c>
      <c r="H1088" s="8">
        <v>0</v>
      </c>
      <c r="I1088" s="8">
        <f t="shared" si="35"/>
        <v>0</v>
      </c>
      <c r="J1088" s="12">
        <v>572000007</v>
      </c>
    </row>
    <row r="1089" spans="1:10" x14ac:dyDescent="0.3">
      <c r="C1089" s="9"/>
      <c r="D1089" s="10">
        <v>45890</v>
      </c>
      <c r="E1089" t="s">
        <v>973</v>
      </c>
      <c r="F1089" s="11" t="s">
        <v>974</v>
      </c>
      <c r="G1089" s="8">
        <v>0</v>
      </c>
      <c r="H1089" s="8">
        <v>335.46</v>
      </c>
      <c r="I1089" s="8">
        <f t="shared" si="35"/>
        <v>-335.46</v>
      </c>
      <c r="J1089" s="12"/>
    </row>
    <row r="1090" spans="1:10" x14ac:dyDescent="0.3">
      <c r="C1090" s="9"/>
      <c r="D1090" s="10">
        <v>45890</v>
      </c>
      <c r="E1090" t="s">
        <v>109</v>
      </c>
      <c r="F1090" s="11" t="s">
        <v>975</v>
      </c>
      <c r="G1090" s="8">
        <v>0</v>
      </c>
      <c r="H1090" s="8">
        <v>16530.36</v>
      </c>
      <c r="I1090" s="8">
        <f t="shared" si="35"/>
        <v>-16865.82</v>
      </c>
      <c r="J1090" s="12">
        <v>472000000</v>
      </c>
    </row>
    <row r="1091" spans="1:10" x14ac:dyDescent="0.3">
      <c r="C1091" s="9"/>
      <c r="D1091" s="10">
        <v>45894</v>
      </c>
      <c r="E1091" t="s">
        <v>305</v>
      </c>
      <c r="F1091" s="11" t="s">
        <v>14</v>
      </c>
      <c r="G1091" s="8">
        <v>335.46</v>
      </c>
      <c r="H1091" s="8">
        <v>0</v>
      </c>
      <c r="I1091" s="8">
        <f t="shared" si="35"/>
        <v>-16530.36</v>
      </c>
      <c r="J1091" s="12">
        <v>572000007</v>
      </c>
    </row>
    <row r="1092" spans="1:10" x14ac:dyDescent="0.3">
      <c r="C1092" s="9"/>
      <c r="D1092" s="10">
        <v>45894</v>
      </c>
      <c r="E1092" t="s">
        <v>305</v>
      </c>
      <c r="F1092" s="11" t="s">
        <v>14</v>
      </c>
      <c r="G1092" s="8">
        <v>16530.36</v>
      </c>
      <c r="H1092" s="8">
        <v>0</v>
      </c>
      <c r="I1092" s="8">
        <f t="shared" si="35"/>
        <v>0</v>
      </c>
      <c r="J1092" s="12">
        <v>572000007</v>
      </c>
    </row>
    <row r="1093" spans="1:10" x14ac:dyDescent="0.3">
      <c r="C1093" s="9"/>
      <c r="D1093" s="10">
        <v>45918</v>
      </c>
      <c r="E1093" t="s">
        <v>976</v>
      </c>
      <c r="F1093" s="11" t="s">
        <v>977</v>
      </c>
      <c r="G1093" s="8">
        <v>0</v>
      </c>
      <c r="H1093" s="8">
        <v>311.22000000000003</v>
      </c>
      <c r="I1093" s="8">
        <f t="shared" si="35"/>
        <v>-311.22000000000003</v>
      </c>
      <c r="J1093" s="12"/>
    </row>
    <row r="1094" spans="1:10" x14ac:dyDescent="0.3">
      <c r="C1094" s="9"/>
      <c r="D1094" s="10">
        <v>45918</v>
      </c>
      <c r="E1094" t="s">
        <v>109</v>
      </c>
      <c r="F1094" s="11" t="s">
        <v>978</v>
      </c>
      <c r="G1094" s="8">
        <v>0</v>
      </c>
      <c r="H1094" s="8">
        <v>14025.9</v>
      </c>
      <c r="I1094" s="8">
        <f t="shared" si="35"/>
        <v>-14337.119999999999</v>
      </c>
      <c r="J1094" s="12">
        <v>472000000</v>
      </c>
    </row>
    <row r="1095" spans="1:10" x14ac:dyDescent="0.3">
      <c r="E1095" s="4" t="s">
        <v>116</v>
      </c>
      <c r="G1095" s="8">
        <f>SUM(G1077:G1094)</f>
        <v>38179.25</v>
      </c>
      <c r="H1095" s="8">
        <f>SUM(H1077:H1094)</f>
        <v>52516.37</v>
      </c>
      <c r="I1095" s="8">
        <f>G1095-H1095</f>
        <v>-14337.120000000003</v>
      </c>
    </row>
    <row r="1097" spans="1:10" x14ac:dyDescent="0.3">
      <c r="A1097" s="5">
        <v>410000249</v>
      </c>
      <c r="B1097" s="6" t="s">
        <v>979</v>
      </c>
      <c r="C1097" s="7"/>
      <c r="D1097" s="7"/>
      <c r="E1097" s="7"/>
      <c r="F1097" s="7"/>
      <c r="G1097" s="7"/>
      <c r="H1097" s="7"/>
      <c r="I1097" s="7"/>
      <c r="J1097" s="7"/>
    </row>
    <row r="1098" spans="1:10" x14ac:dyDescent="0.3">
      <c r="C1098" s="9"/>
      <c r="D1098" s="10">
        <v>45839</v>
      </c>
      <c r="E1098" t="s">
        <v>980</v>
      </c>
      <c r="F1098" s="11" t="s">
        <v>981</v>
      </c>
      <c r="G1098" s="8">
        <v>0</v>
      </c>
      <c r="H1098" s="8">
        <v>140.37</v>
      </c>
      <c r="I1098" s="8">
        <f>G1098-H1098</f>
        <v>-140.37</v>
      </c>
      <c r="J1098" s="12"/>
    </row>
    <row r="1099" spans="1:10" x14ac:dyDescent="0.3">
      <c r="C1099" s="9"/>
      <c r="D1099" s="10">
        <v>45839</v>
      </c>
      <c r="E1099" t="s">
        <v>982</v>
      </c>
      <c r="F1099" s="11" t="s">
        <v>983</v>
      </c>
      <c r="G1099" s="8">
        <v>0</v>
      </c>
      <c r="H1099" s="8">
        <v>83.47</v>
      </c>
      <c r="I1099" s="8">
        <f t="shared" ref="I1099:I1105" si="36">G1099-H1099+I1098</f>
        <v>-223.84</v>
      </c>
      <c r="J1099" s="12"/>
    </row>
    <row r="1100" spans="1:10" x14ac:dyDescent="0.3">
      <c r="C1100" s="9"/>
      <c r="D1100" s="10">
        <v>45839</v>
      </c>
      <c r="E1100" t="s">
        <v>984</v>
      </c>
      <c r="F1100" s="11" t="s">
        <v>985</v>
      </c>
      <c r="G1100" s="8">
        <v>0</v>
      </c>
      <c r="H1100" s="8">
        <v>56.75</v>
      </c>
      <c r="I1100" s="8">
        <f t="shared" si="36"/>
        <v>-280.59000000000003</v>
      </c>
      <c r="J1100" s="12"/>
    </row>
    <row r="1101" spans="1:10" x14ac:dyDescent="0.3">
      <c r="C1101" s="9"/>
      <c r="D1101" s="10">
        <v>45839</v>
      </c>
      <c r="E1101" t="s">
        <v>986</v>
      </c>
      <c r="F1101" s="11" t="s">
        <v>987</v>
      </c>
      <c r="G1101" s="8">
        <v>0</v>
      </c>
      <c r="H1101" s="8">
        <v>83.47</v>
      </c>
      <c r="I1101" s="8">
        <f t="shared" si="36"/>
        <v>-364.06000000000006</v>
      </c>
      <c r="J1101" s="12"/>
    </row>
    <row r="1102" spans="1:10" x14ac:dyDescent="0.3">
      <c r="C1102" s="9"/>
      <c r="D1102" s="10">
        <v>45839</v>
      </c>
      <c r="E1102" t="s">
        <v>988</v>
      </c>
      <c r="F1102" s="11" t="s">
        <v>981</v>
      </c>
      <c r="G1102" s="8">
        <v>0</v>
      </c>
      <c r="H1102" s="8">
        <v>140.37</v>
      </c>
      <c r="I1102" s="8">
        <f t="shared" si="36"/>
        <v>-504.43000000000006</v>
      </c>
      <c r="J1102" s="12"/>
    </row>
    <row r="1103" spans="1:10" x14ac:dyDescent="0.3">
      <c r="C1103" s="9" t="s">
        <v>12</v>
      </c>
      <c r="D1103" s="10">
        <v>45845</v>
      </c>
      <c r="E1103" t="s">
        <v>989</v>
      </c>
      <c r="F1103" s="11" t="s">
        <v>990</v>
      </c>
      <c r="G1103" s="8">
        <v>0</v>
      </c>
      <c r="H1103" s="8">
        <v>523.84</v>
      </c>
      <c r="I1103" s="8">
        <f t="shared" si="36"/>
        <v>-1028.27</v>
      </c>
      <c r="J1103" s="12"/>
    </row>
    <row r="1104" spans="1:10" x14ac:dyDescent="0.3">
      <c r="C1104" s="9" t="s">
        <v>12</v>
      </c>
      <c r="D1104" s="10">
        <v>45846</v>
      </c>
      <c r="E1104" t="s">
        <v>991</v>
      </c>
      <c r="F1104" s="11" t="s">
        <v>14</v>
      </c>
      <c r="G1104" s="8">
        <v>523.84</v>
      </c>
      <c r="H1104" s="8">
        <v>0</v>
      </c>
      <c r="I1104" s="8">
        <f t="shared" si="36"/>
        <v>-504.42999999999995</v>
      </c>
      <c r="J1104" s="12">
        <v>572000007</v>
      </c>
    </row>
    <row r="1105" spans="1:10" x14ac:dyDescent="0.3">
      <c r="C1105" s="9"/>
      <c r="D1105" s="10">
        <v>45849</v>
      </c>
      <c r="E1105" t="s">
        <v>109</v>
      </c>
      <c r="F1105" s="11" t="s">
        <v>992</v>
      </c>
      <c r="G1105" s="8">
        <v>0</v>
      </c>
      <c r="H1105" s="8">
        <v>61.03</v>
      </c>
      <c r="I1105" s="8">
        <f t="shared" si="36"/>
        <v>-565.45999999999992</v>
      </c>
      <c r="J1105" s="12"/>
    </row>
    <row r="1106" spans="1:10" x14ac:dyDescent="0.3">
      <c r="E1106" s="4" t="s">
        <v>116</v>
      </c>
      <c r="G1106" s="8">
        <f>SUM(G1098:G1105)</f>
        <v>523.84</v>
      </c>
      <c r="H1106" s="8">
        <f>SUM(H1098:H1105)</f>
        <v>1089.3</v>
      </c>
      <c r="I1106" s="8">
        <f>G1106-H1106</f>
        <v>-565.45999999999992</v>
      </c>
    </row>
    <row r="1108" spans="1:10" x14ac:dyDescent="0.3">
      <c r="A1108" s="5">
        <v>410000250</v>
      </c>
      <c r="B1108" s="6" t="s">
        <v>993</v>
      </c>
      <c r="C1108" s="7"/>
      <c r="D1108" s="7"/>
      <c r="E1108" s="7"/>
      <c r="F1108" s="7"/>
      <c r="G1108" s="7"/>
      <c r="H1108" s="7"/>
      <c r="I1108" s="7"/>
      <c r="J1108" s="7"/>
    </row>
    <row r="1109" spans="1:10" x14ac:dyDescent="0.3">
      <c r="C1109" s="9"/>
      <c r="D1109" s="10">
        <v>45839</v>
      </c>
      <c r="E1109" t="s">
        <v>994</v>
      </c>
      <c r="F1109" s="11" t="s">
        <v>995</v>
      </c>
      <c r="G1109" s="8">
        <v>0</v>
      </c>
      <c r="H1109" s="8">
        <v>94.83</v>
      </c>
      <c r="I1109" s="8">
        <f>G1109-H1109</f>
        <v>-94.83</v>
      </c>
      <c r="J1109" s="12"/>
    </row>
    <row r="1110" spans="1:10" x14ac:dyDescent="0.3">
      <c r="C1110" s="9"/>
      <c r="D1110" s="10">
        <v>45839</v>
      </c>
      <c r="E1110" t="s">
        <v>994</v>
      </c>
      <c r="F1110" s="11" t="s">
        <v>996</v>
      </c>
      <c r="G1110" s="8">
        <v>0</v>
      </c>
      <c r="H1110" s="8">
        <v>273.19</v>
      </c>
      <c r="I1110" s="8">
        <f t="shared" ref="I1110:I1120" si="37">G1110-H1110+I1109</f>
        <v>-368.02</v>
      </c>
      <c r="J1110" s="12"/>
    </row>
    <row r="1111" spans="1:10" x14ac:dyDescent="0.3">
      <c r="C1111" s="9"/>
      <c r="D1111" s="10">
        <v>45839</v>
      </c>
      <c r="E1111" t="s">
        <v>997</v>
      </c>
      <c r="F1111" s="11" t="s">
        <v>998</v>
      </c>
      <c r="G1111" s="8">
        <v>0</v>
      </c>
      <c r="H1111" s="8">
        <v>116.6</v>
      </c>
      <c r="I1111" s="8">
        <f t="shared" si="37"/>
        <v>-484.62</v>
      </c>
      <c r="J1111" s="12"/>
    </row>
    <row r="1112" spans="1:10" x14ac:dyDescent="0.3">
      <c r="C1112" s="9"/>
      <c r="D1112" s="10">
        <v>45839</v>
      </c>
      <c r="E1112" t="s">
        <v>999</v>
      </c>
      <c r="F1112" s="11" t="s">
        <v>1000</v>
      </c>
      <c r="G1112" s="8">
        <v>0</v>
      </c>
      <c r="H1112" s="8">
        <v>116.6</v>
      </c>
      <c r="I1112" s="8">
        <f t="shared" si="37"/>
        <v>-601.22</v>
      </c>
      <c r="J1112" s="12"/>
    </row>
    <row r="1113" spans="1:10" x14ac:dyDescent="0.3">
      <c r="C1113" s="9"/>
      <c r="D1113" s="10">
        <v>45839</v>
      </c>
      <c r="E1113" t="s">
        <v>1001</v>
      </c>
      <c r="F1113" s="11" t="s">
        <v>1002</v>
      </c>
      <c r="G1113" s="8">
        <v>0</v>
      </c>
      <c r="H1113" s="8">
        <v>523.04999999999995</v>
      </c>
      <c r="I1113" s="8">
        <f t="shared" si="37"/>
        <v>-1124.27</v>
      </c>
      <c r="J1113" s="12"/>
    </row>
    <row r="1114" spans="1:10" x14ac:dyDescent="0.3">
      <c r="C1114" s="9"/>
      <c r="D1114" s="10">
        <v>45839</v>
      </c>
      <c r="E1114" t="s">
        <v>994</v>
      </c>
      <c r="F1114" s="11" t="s">
        <v>1003</v>
      </c>
      <c r="G1114" s="8">
        <v>0</v>
      </c>
      <c r="H1114" s="8">
        <v>105.17</v>
      </c>
      <c r="I1114" s="8">
        <f t="shared" si="37"/>
        <v>-1229.44</v>
      </c>
      <c r="J1114" s="12"/>
    </row>
    <row r="1115" spans="1:10" x14ac:dyDescent="0.3">
      <c r="C1115" s="9"/>
      <c r="D1115" s="10">
        <v>45839</v>
      </c>
      <c r="E1115" t="s">
        <v>1004</v>
      </c>
      <c r="F1115" s="11" t="s">
        <v>1005</v>
      </c>
      <c r="G1115" s="8">
        <v>0</v>
      </c>
      <c r="H1115" s="8">
        <v>206.38</v>
      </c>
      <c r="I1115" s="8">
        <f t="shared" si="37"/>
        <v>-1435.8200000000002</v>
      </c>
      <c r="J1115" s="12"/>
    </row>
    <row r="1116" spans="1:10" x14ac:dyDescent="0.3">
      <c r="C1116" s="9"/>
      <c r="D1116" s="10">
        <v>45860</v>
      </c>
      <c r="E1116" t="s">
        <v>305</v>
      </c>
      <c r="F1116" s="11" t="s">
        <v>14</v>
      </c>
      <c r="G1116" s="8">
        <v>495.53</v>
      </c>
      <c r="H1116" s="8">
        <v>0</v>
      </c>
      <c r="I1116" s="8">
        <f t="shared" si="37"/>
        <v>-940.29000000000019</v>
      </c>
      <c r="J1116" s="12">
        <v>572000007</v>
      </c>
    </row>
    <row r="1117" spans="1:10" x14ac:dyDescent="0.3">
      <c r="C1117" s="9"/>
      <c r="D1117" s="10">
        <v>45860</v>
      </c>
      <c r="E1117" t="s">
        <v>305</v>
      </c>
      <c r="F1117" s="11" t="s">
        <v>14</v>
      </c>
      <c r="G1117" s="8">
        <v>1126.56</v>
      </c>
      <c r="H1117" s="8">
        <v>0</v>
      </c>
      <c r="I1117" s="8">
        <f t="shared" si="37"/>
        <v>186.26999999999975</v>
      </c>
      <c r="J1117" s="12">
        <v>572000007</v>
      </c>
    </row>
    <row r="1118" spans="1:10" x14ac:dyDescent="0.3">
      <c r="C1118" s="9"/>
      <c r="D1118" s="10">
        <v>45860</v>
      </c>
      <c r="E1118" t="s">
        <v>34</v>
      </c>
      <c r="F1118" s="11" t="s">
        <v>14</v>
      </c>
      <c r="G1118" s="8">
        <v>94.83</v>
      </c>
      <c r="H1118" s="8">
        <v>0</v>
      </c>
      <c r="I1118" s="8">
        <f t="shared" si="37"/>
        <v>281.09999999999974</v>
      </c>
      <c r="J1118" s="12">
        <v>572000007</v>
      </c>
    </row>
    <row r="1119" spans="1:10" x14ac:dyDescent="0.3">
      <c r="C1119" s="9"/>
      <c r="D1119" s="10">
        <v>45860</v>
      </c>
      <c r="E1119" t="s">
        <v>34</v>
      </c>
      <c r="F1119" s="11" t="s">
        <v>14</v>
      </c>
      <c r="G1119" s="8">
        <v>273.19</v>
      </c>
      <c r="H1119" s="8">
        <v>0</v>
      </c>
      <c r="I1119" s="8">
        <f t="shared" si="37"/>
        <v>554.28999999999974</v>
      </c>
      <c r="J1119" s="12">
        <v>572000007</v>
      </c>
    </row>
    <row r="1120" spans="1:10" x14ac:dyDescent="0.3">
      <c r="C1120" s="9"/>
      <c r="D1120" s="10">
        <v>45860</v>
      </c>
      <c r="E1120" t="s">
        <v>34</v>
      </c>
      <c r="F1120" s="11" t="s">
        <v>14</v>
      </c>
      <c r="G1120" s="8">
        <v>206.38</v>
      </c>
      <c r="H1120" s="8">
        <v>0</v>
      </c>
      <c r="I1120" s="8">
        <f t="shared" si="37"/>
        <v>760.66999999999973</v>
      </c>
      <c r="J1120" s="12">
        <v>572000007</v>
      </c>
    </row>
    <row r="1121" spans="1:10" x14ac:dyDescent="0.3">
      <c r="E1121" s="4" t="s">
        <v>116</v>
      </c>
      <c r="G1121" s="8">
        <f>SUM(G1109:G1120)</f>
        <v>2196.4899999999998</v>
      </c>
      <c r="H1121" s="8">
        <f>SUM(H1109:H1120)</f>
        <v>1435.8200000000002</v>
      </c>
      <c r="I1121" s="8">
        <f>G1121-H1121</f>
        <v>760.66999999999962</v>
      </c>
    </row>
    <row r="1123" spans="1:10" x14ac:dyDescent="0.3">
      <c r="A1123" s="5">
        <v>410000251</v>
      </c>
      <c r="B1123" s="6" t="s">
        <v>1006</v>
      </c>
      <c r="C1123" s="7"/>
      <c r="D1123" s="7"/>
      <c r="E1123" s="7"/>
      <c r="F1123" s="7"/>
      <c r="G1123" s="7"/>
      <c r="H1123" s="7"/>
      <c r="I1123" s="7"/>
      <c r="J1123" s="7"/>
    </row>
    <row r="1124" spans="1:10" x14ac:dyDescent="0.3">
      <c r="C1124" s="9"/>
      <c r="D1124" s="10">
        <v>45853</v>
      </c>
      <c r="E1124" t="s">
        <v>1007</v>
      </c>
      <c r="F1124" s="11" t="s">
        <v>1008</v>
      </c>
      <c r="G1124" s="8">
        <v>0</v>
      </c>
      <c r="H1124" s="8">
        <v>16.05</v>
      </c>
      <c r="I1124" s="8">
        <f>G1124-H1124</f>
        <v>-16.05</v>
      </c>
      <c r="J1124" s="12"/>
    </row>
    <row r="1125" spans="1:10" x14ac:dyDescent="0.3">
      <c r="E1125" s="4" t="s">
        <v>116</v>
      </c>
      <c r="G1125" s="8">
        <f>G1124</f>
        <v>0</v>
      </c>
      <c r="H1125" s="8">
        <f>H1124</f>
        <v>16.05</v>
      </c>
      <c r="I1125" s="8">
        <f>G1125-H1125</f>
        <v>-16.05</v>
      </c>
    </row>
    <row r="1127" spans="1:10" x14ac:dyDescent="0.3">
      <c r="A1127" s="5">
        <v>410000252</v>
      </c>
      <c r="B1127" s="6" t="s">
        <v>1009</v>
      </c>
      <c r="C1127" s="7"/>
      <c r="D1127" s="7"/>
      <c r="E1127" s="7"/>
      <c r="F1127" s="7"/>
      <c r="G1127" s="7"/>
      <c r="H1127" s="7"/>
      <c r="I1127" s="7"/>
      <c r="J1127" s="7"/>
    </row>
    <row r="1128" spans="1:10" x14ac:dyDescent="0.3">
      <c r="C1128" s="9"/>
      <c r="D1128" s="10">
        <v>45877</v>
      </c>
      <c r="E1128" t="s">
        <v>305</v>
      </c>
      <c r="F1128" s="11" t="s">
        <v>14</v>
      </c>
      <c r="G1128" s="8">
        <v>140.27000000000001</v>
      </c>
      <c r="H1128" s="8">
        <v>0</v>
      </c>
      <c r="I1128" s="8">
        <f>G1128-H1128</f>
        <v>140.27000000000001</v>
      </c>
      <c r="J1128" s="12">
        <v>572000007</v>
      </c>
    </row>
    <row r="1129" spans="1:10" x14ac:dyDescent="0.3">
      <c r="C1129" s="9"/>
      <c r="D1129" s="10">
        <v>45881</v>
      </c>
      <c r="E1129" t="s">
        <v>1010</v>
      </c>
      <c r="F1129" s="11" t="s">
        <v>1011</v>
      </c>
      <c r="G1129" s="8">
        <v>0</v>
      </c>
      <c r="H1129" s="8">
        <v>140.28</v>
      </c>
      <c r="I1129" s="8">
        <f t="shared" ref="I1129:I1135" si="38">G1129-H1129+I1128</f>
        <v>-9.9999999999909051E-3</v>
      </c>
      <c r="J1129" s="12"/>
    </row>
    <row r="1130" spans="1:10" x14ac:dyDescent="0.3">
      <c r="C1130" s="9"/>
      <c r="D1130" s="10">
        <v>45881</v>
      </c>
      <c r="E1130" t="s">
        <v>1012</v>
      </c>
      <c r="F1130" s="11" t="s">
        <v>1013</v>
      </c>
      <c r="G1130" s="8">
        <v>0</v>
      </c>
      <c r="H1130" s="8">
        <v>35.130000000000003</v>
      </c>
      <c r="I1130" s="8">
        <f t="shared" si="38"/>
        <v>-35.139999999999993</v>
      </c>
      <c r="J1130" s="12"/>
    </row>
    <row r="1131" spans="1:10" x14ac:dyDescent="0.3">
      <c r="C1131" s="9"/>
      <c r="D1131" s="10">
        <v>45888</v>
      </c>
      <c r="E1131" t="s">
        <v>1014</v>
      </c>
      <c r="F1131" s="11" t="s">
        <v>1015</v>
      </c>
      <c r="G1131" s="8">
        <v>0</v>
      </c>
      <c r="H1131" s="8">
        <v>10.89</v>
      </c>
      <c r="I1131" s="8">
        <f t="shared" si="38"/>
        <v>-46.029999999999994</v>
      </c>
      <c r="J1131" s="12"/>
    </row>
    <row r="1132" spans="1:10" x14ac:dyDescent="0.3">
      <c r="C1132" s="9"/>
      <c r="D1132" s="10">
        <v>45895</v>
      </c>
      <c r="E1132" t="s">
        <v>1016</v>
      </c>
      <c r="F1132" s="11" t="s">
        <v>1017</v>
      </c>
      <c r="G1132" s="8">
        <v>0</v>
      </c>
      <c r="H1132" s="8">
        <v>87.16</v>
      </c>
      <c r="I1132" s="8">
        <f t="shared" si="38"/>
        <v>-133.19</v>
      </c>
      <c r="J1132" s="12"/>
    </row>
    <row r="1133" spans="1:10" x14ac:dyDescent="0.3">
      <c r="C1133" s="9"/>
      <c r="D1133" s="10">
        <v>45895</v>
      </c>
      <c r="E1133" t="s">
        <v>305</v>
      </c>
      <c r="F1133" s="11" t="s">
        <v>14</v>
      </c>
      <c r="G1133" s="8">
        <v>124.15</v>
      </c>
      <c r="H1133" s="8">
        <v>0</v>
      </c>
      <c r="I1133" s="8">
        <f t="shared" si="38"/>
        <v>-9.039999999999992</v>
      </c>
      <c r="J1133" s="12">
        <v>572000007</v>
      </c>
    </row>
    <row r="1134" spans="1:10" x14ac:dyDescent="0.3">
      <c r="C1134" s="9"/>
      <c r="D1134" s="10">
        <v>45901</v>
      </c>
      <c r="E1134" t="s">
        <v>1018</v>
      </c>
      <c r="F1134" s="11" t="s">
        <v>1019</v>
      </c>
      <c r="G1134" s="8">
        <v>0</v>
      </c>
      <c r="H1134" s="8">
        <v>382.85</v>
      </c>
      <c r="I1134" s="8">
        <f t="shared" si="38"/>
        <v>-391.89</v>
      </c>
      <c r="J1134" s="12"/>
    </row>
    <row r="1135" spans="1:10" x14ac:dyDescent="0.3">
      <c r="C1135" s="9"/>
      <c r="D1135" s="10">
        <v>45905</v>
      </c>
      <c r="E1135" t="s">
        <v>1020</v>
      </c>
      <c r="F1135" s="11" t="s">
        <v>14</v>
      </c>
      <c r="G1135" s="8">
        <v>362.85</v>
      </c>
      <c r="H1135" s="8">
        <v>0</v>
      </c>
      <c r="I1135" s="8">
        <f t="shared" si="38"/>
        <v>-29.039999999999964</v>
      </c>
      <c r="J1135" s="12">
        <v>572000005</v>
      </c>
    </row>
    <row r="1136" spans="1:10" x14ac:dyDescent="0.3">
      <c r="E1136" s="4" t="s">
        <v>116</v>
      </c>
      <c r="G1136" s="8">
        <f>SUM(G1128:G1135)</f>
        <v>627.27</v>
      </c>
      <c r="H1136" s="8">
        <f>SUM(H1128:H1135)</f>
        <v>656.31000000000006</v>
      </c>
      <c r="I1136" s="8">
        <f>G1136-H1136</f>
        <v>-29.040000000000077</v>
      </c>
    </row>
    <row r="1138" spans="1:10" x14ac:dyDescent="0.3">
      <c r="A1138" s="5">
        <v>410000253</v>
      </c>
      <c r="B1138" s="6" t="s">
        <v>1021</v>
      </c>
      <c r="C1138" s="7"/>
      <c r="D1138" s="7"/>
      <c r="E1138" s="7"/>
      <c r="F1138" s="7"/>
      <c r="G1138" s="7"/>
      <c r="H1138" s="7"/>
      <c r="I1138" s="7"/>
      <c r="J1138" s="7"/>
    </row>
    <row r="1139" spans="1:10" x14ac:dyDescent="0.3">
      <c r="C1139" s="9"/>
      <c r="D1139" s="10">
        <v>45884</v>
      </c>
      <c r="E1139" t="s">
        <v>1022</v>
      </c>
      <c r="F1139" s="11" t="s">
        <v>1023</v>
      </c>
      <c r="G1139" s="8">
        <v>0</v>
      </c>
      <c r="H1139" s="8">
        <v>6352.5</v>
      </c>
      <c r="I1139" s="8">
        <f>G1139-H1139</f>
        <v>-6352.5</v>
      </c>
      <c r="J1139" s="12"/>
    </row>
    <row r="1140" spans="1:10" x14ac:dyDescent="0.3">
      <c r="E1140" s="4" t="s">
        <v>116</v>
      </c>
      <c r="G1140" s="8">
        <f>G1139</f>
        <v>0</v>
      </c>
      <c r="H1140" s="8">
        <f>H1139</f>
        <v>6352.5</v>
      </c>
      <c r="I1140" s="8">
        <f>G1140-H1140</f>
        <v>-6352.5</v>
      </c>
    </row>
    <row r="1142" spans="1:10" x14ac:dyDescent="0.3">
      <c r="A1142" s="5">
        <v>430000001</v>
      </c>
      <c r="B1142" s="6" t="s">
        <v>10</v>
      </c>
      <c r="C1142" s="7"/>
      <c r="D1142" s="7"/>
      <c r="E1142" s="7"/>
      <c r="F1142" s="7"/>
      <c r="G1142" s="7"/>
      <c r="H1142" s="7"/>
      <c r="I1142" s="7"/>
      <c r="J1142" s="7"/>
    </row>
    <row r="1143" spans="1:10" x14ac:dyDescent="0.3">
      <c r="E1143" s="4" t="s">
        <v>11</v>
      </c>
      <c r="G1143" s="8">
        <v>0</v>
      </c>
      <c r="H1143" s="8">
        <v>2040.02</v>
      </c>
      <c r="I1143" s="8">
        <f>G1143-H1143</f>
        <v>-2040.02</v>
      </c>
    </row>
    <row r="1144" spans="1:10" x14ac:dyDescent="0.3">
      <c r="C1144" s="9" t="s">
        <v>12</v>
      </c>
      <c r="D1144" s="10">
        <v>45659</v>
      </c>
      <c r="E1144" t="s">
        <v>13</v>
      </c>
      <c r="F1144" s="11" t="s">
        <v>14</v>
      </c>
      <c r="G1144" s="8">
        <v>0</v>
      </c>
      <c r="H1144" s="8">
        <v>1</v>
      </c>
      <c r="I1144" s="8">
        <f t="shared" ref="I1144:I1172" si="39">G1144-H1144+I1143</f>
        <v>-2041.02</v>
      </c>
      <c r="J1144" s="12"/>
    </row>
    <row r="1145" spans="1:10" x14ac:dyDescent="0.3">
      <c r="C1145" s="9" t="s">
        <v>12</v>
      </c>
      <c r="D1145" s="10">
        <v>45659</v>
      </c>
      <c r="E1145" t="s">
        <v>13</v>
      </c>
      <c r="F1145" s="11" t="s">
        <v>1024</v>
      </c>
      <c r="G1145" s="8">
        <v>1973.43</v>
      </c>
      <c r="H1145" s="8">
        <v>0</v>
      </c>
      <c r="I1145" s="8">
        <f t="shared" si="39"/>
        <v>-67.589999999999918</v>
      </c>
      <c r="J1145" s="12"/>
    </row>
    <row r="1146" spans="1:10" x14ac:dyDescent="0.3">
      <c r="C1146" s="9" t="s">
        <v>12</v>
      </c>
      <c r="D1146" s="10">
        <v>45659</v>
      </c>
      <c r="E1146" t="s">
        <v>13</v>
      </c>
      <c r="F1146" s="11" t="s">
        <v>1025</v>
      </c>
      <c r="G1146" s="8">
        <v>644.92999999999995</v>
      </c>
      <c r="H1146" s="8">
        <v>0</v>
      </c>
      <c r="I1146" s="8">
        <f t="shared" si="39"/>
        <v>577.34</v>
      </c>
      <c r="J1146" s="12"/>
    </row>
    <row r="1147" spans="1:10" x14ac:dyDescent="0.3">
      <c r="C1147" s="9" t="s">
        <v>12</v>
      </c>
      <c r="D1147" s="10">
        <v>45659</v>
      </c>
      <c r="E1147" t="s">
        <v>13</v>
      </c>
      <c r="F1147" s="11" t="s">
        <v>1026</v>
      </c>
      <c r="G1147" s="8">
        <v>440.44</v>
      </c>
      <c r="H1147" s="8">
        <v>0</v>
      </c>
      <c r="I1147" s="8">
        <f t="shared" si="39"/>
        <v>1017.78</v>
      </c>
      <c r="J1147" s="12"/>
    </row>
    <row r="1148" spans="1:10" x14ac:dyDescent="0.3">
      <c r="C1148" s="9" t="s">
        <v>12</v>
      </c>
      <c r="D1148" s="10">
        <v>45659</v>
      </c>
      <c r="E1148" t="s">
        <v>13</v>
      </c>
      <c r="F1148" s="11" t="s">
        <v>1027</v>
      </c>
      <c r="G1148" s="8">
        <v>4628.7700000000004</v>
      </c>
      <c r="H1148" s="8">
        <v>0</v>
      </c>
      <c r="I1148" s="8">
        <f t="shared" si="39"/>
        <v>5646.55</v>
      </c>
      <c r="J1148" s="12"/>
    </row>
    <row r="1149" spans="1:10" x14ac:dyDescent="0.3">
      <c r="C1149" s="9" t="s">
        <v>12</v>
      </c>
      <c r="D1149" s="10">
        <v>45659</v>
      </c>
      <c r="E1149" t="s">
        <v>13</v>
      </c>
      <c r="F1149" s="11" t="s">
        <v>14</v>
      </c>
      <c r="G1149" s="8">
        <v>0</v>
      </c>
      <c r="H1149" s="8">
        <v>7687.57</v>
      </c>
      <c r="I1149" s="8">
        <f t="shared" si="39"/>
        <v>-2041.0199999999995</v>
      </c>
      <c r="J1149" s="12"/>
    </row>
    <row r="1150" spans="1:10" x14ac:dyDescent="0.3">
      <c r="C1150" s="9" t="s">
        <v>12</v>
      </c>
      <c r="D1150" s="10">
        <v>45673</v>
      </c>
      <c r="E1150" t="s">
        <v>1028</v>
      </c>
      <c r="F1150" s="11" t="s">
        <v>14</v>
      </c>
      <c r="G1150" s="8">
        <v>2016.08</v>
      </c>
      <c r="H1150" s="8">
        <v>0</v>
      </c>
      <c r="I1150" s="8">
        <f t="shared" si="39"/>
        <v>-24.9399999999996</v>
      </c>
      <c r="J1150" s="12"/>
    </row>
    <row r="1151" spans="1:10" x14ac:dyDescent="0.3">
      <c r="C1151" s="9" t="s">
        <v>12</v>
      </c>
      <c r="D1151" s="10">
        <v>45673</v>
      </c>
      <c r="E1151" t="s">
        <v>1029</v>
      </c>
      <c r="F1151" s="11" t="s">
        <v>1030</v>
      </c>
      <c r="G1151" s="8">
        <v>10546.34</v>
      </c>
      <c r="H1151" s="8">
        <v>0</v>
      </c>
      <c r="I1151" s="8">
        <f t="shared" si="39"/>
        <v>10521.400000000001</v>
      </c>
      <c r="J1151" s="12"/>
    </row>
    <row r="1152" spans="1:10" x14ac:dyDescent="0.3">
      <c r="C1152" s="9" t="s">
        <v>12</v>
      </c>
      <c r="D1152" s="10">
        <v>45679</v>
      </c>
      <c r="E1152" t="s">
        <v>1031</v>
      </c>
      <c r="F1152" s="11" t="s">
        <v>14</v>
      </c>
      <c r="G1152" s="8">
        <v>3006.47</v>
      </c>
      <c r="H1152" s="8">
        <v>0</v>
      </c>
      <c r="I1152" s="8">
        <f t="shared" si="39"/>
        <v>13527.87</v>
      </c>
      <c r="J1152" s="12">
        <v>572000005</v>
      </c>
    </row>
    <row r="1153" spans="3:10" x14ac:dyDescent="0.3">
      <c r="C1153" s="9" t="s">
        <v>12</v>
      </c>
      <c r="D1153" s="10">
        <v>45684</v>
      </c>
      <c r="E1153" t="s">
        <v>1032</v>
      </c>
      <c r="F1153" s="11" t="s">
        <v>1033</v>
      </c>
      <c r="G1153" s="8">
        <v>2339.21</v>
      </c>
      <c r="H1153" s="8">
        <v>0</v>
      </c>
      <c r="I1153" s="8">
        <f t="shared" si="39"/>
        <v>15867.080000000002</v>
      </c>
      <c r="J1153" s="12"/>
    </row>
    <row r="1154" spans="3:10" x14ac:dyDescent="0.3">
      <c r="C1154" s="9" t="s">
        <v>12</v>
      </c>
      <c r="D1154" s="10">
        <v>45698</v>
      </c>
      <c r="E1154" t="s">
        <v>1034</v>
      </c>
      <c r="F1154" s="11" t="s">
        <v>1035</v>
      </c>
      <c r="G1154" s="8">
        <v>2124.6999999999998</v>
      </c>
      <c r="H1154" s="8">
        <v>0</v>
      </c>
      <c r="I1154" s="8">
        <f t="shared" si="39"/>
        <v>17991.780000000002</v>
      </c>
      <c r="J1154" s="12"/>
    </row>
    <row r="1155" spans="3:10" x14ac:dyDescent="0.3">
      <c r="C1155" s="9" t="s">
        <v>12</v>
      </c>
      <c r="D1155" s="10">
        <v>45700</v>
      </c>
      <c r="E1155" t="s">
        <v>69</v>
      </c>
      <c r="F1155" s="11" t="s">
        <v>14</v>
      </c>
      <c r="G1155" s="8">
        <v>0</v>
      </c>
      <c r="H1155" s="8">
        <v>1973.43</v>
      </c>
      <c r="I1155" s="8">
        <f t="shared" si="39"/>
        <v>16018.350000000002</v>
      </c>
      <c r="J1155" s="12"/>
    </row>
    <row r="1156" spans="3:10" x14ac:dyDescent="0.3">
      <c r="C1156" s="9" t="s">
        <v>12</v>
      </c>
      <c r="D1156" s="10">
        <v>45700</v>
      </c>
      <c r="E1156" t="s">
        <v>69</v>
      </c>
      <c r="F1156" s="11" t="s">
        <v>14</v>
      </c>
      <c r="G1156" s="8">
        <v>0</v>
      </c>
      <c r="H1156" s="8">
        <v>644.92999999999995</v>
      </c>
      <c r="I1156" s="8">
        <f t="shared" si="39"/>
        <v>15373.420000000002</v>
      </c>
      <c r="J1156" s="12"/>
    </row>
    <row r="1157" spans="3:10" x14ac:dyDescent="0.3">
      <c r="C1157" s="9" t="s">
        <v>12</v>
      </c>
      <c r="D1157" s="10">
        <v>45700</v>
      </c>
      <c r="E1157" t="s">
        <v>69</v>
      </c>
      <c r="F1157" s="11" t="s">
        <v>14</v>
      </c>
      <c r="G1157" s="8">
        <v>0</v>
      </c>
      <c r="H1157" s="8">
        <v>440.44</v>
      </c>
      <c r="I1157" s="8">
        <f t="shared" si="39"/>
        <v>14932.980000000001</v>
      </c>
      <c r="J1157" s="12"/>
    </row>
    <row r="1158" spans="3:10" x14ac:dyDescent="0.3">
      <c r="C1158" s="9" t="s">
        <v>12</v>
      </c>
      <c r="D1158" s="10">
        <v>45700</v>
      </c>
      <c r="E1158" t="s">
        <v>69</v>
      </c>
      <c r="F1158" s="11" t="s">
        <v>14</v>
      </c>
      <c r="G1158" s="8">
        <v>0</v>
      </c>
      <c r="H1158" s="8">
        <v>4628.7700000000004</v>
      </c>
      <c r="I1158" s="8">
        <f t="shared" si="39"/>
        <v>10304.210000000001</v>
      </c>
      <c r="J1158" s="12"/>
    </row>
    <row r="1159" spans="3:10" x14ac:dyDescent="0.3">
      <c r="C1159" s="9" t="s">
        <v>12</v>
      </c>
      <c r="D1159" s="10">
        <v>45700</v>
      </c>
      <c r="E1159" t="s">
        <v>69</v>
      </c>
      <c r="F1159" s="11" t="s">
        <v>14</v>
      </c>
      <c r="G1159" s="8">
        <v>0</v>
      </c>
      <c r="H1159" s="8">
        <v>10546.34</v>
      </c>
      <c r="I1159" s="8">
        <f t="shared" si="39"/>
        <v>-242.1299999999992</v>
      </c>
      <c r="J1159" s="12"/>
    </row>
    <row r="1160" spans="3:10" x14ac:dyDescent="0.3">
      <c r="C1160" s="9" t="s">
        <v>12</v>
      </c>
      <c r="D1160" s="10">
        <v>45708</v>
      </c>
      <c r="E1160" t="s">
        <v>1036</v>
      </c>
      <c r="F1160" s="11" t="s">
        <v>1037</v>
      </c>
      <c r="G1160" s="8">
        <v>872.05</v>
      </c>
      <c r="H1160" s="8">
        <v>0</v>
      </c>
      <c r="I1160" s="8">
        <f t="shared" si="39"/>
        <v>629.92000000000075</v>
      </c>
      <c r="J1160" s="12">
        <v>572000002</v>
      </c>
    </row>
    <row r="1161" spans="3:10" x14ac:dyDescent="0.3">
      <c r="C1161" s="9" t="s">
        <v>12</v>
      </c>
      <c r="D1161" s="10">
        <v>45712</v>
      </c>
      <c r="E1161" t="s">
        <v>1031</v>
      </c>
      <c r="F1161" s="11" t="s">
        <v>14</v>
      </c>
      <c r="G1161" s="8">
        <v>1817.88</v>
      </c>
      <c r="H1161" s="8">
        <v>0</v>
      </c>
      <c r="I1161" s="8">
        <f t="shared" si="39"/>
        <v>2447.8000000000011</v>
      </c>
      <c r="J1161" s="12">
        <v>572000005</v>
      </c>
    </row>
    <row r="1162" spans="3:10" x14ac:dyDescent="0.3">
      <c r="C1162" s="9" t="s">
        <v>12</v>
      </c>
      <c r="D1162" s="10">
        <v>45714</v>
      </c>
      <c r="E1162" t="s">
        <v>1038</v>
      </c>
      <c r="F1162" s="11" t="s">
        <v>14</v>
      </c>
      <c r="G1162" s="8">
        <v>2016.11</v>
      </c>
      <c r="H1162" s="8">
        <v>0</v>
      </c>
      <c r="I1162" s="8">
        <f t="shared" si="39"/>
        <v>4463.9100000000008</v>
      </c>
      <c r="J1162" s="12"/>
    </row>
    <row r="1163" spans="3:10" x14ac:dyDescent="0.3">
      <c r="C1163" s="9" t="s">
        <v>12</v>
      </c>
      <c r="D1163" s="10">
        <v>45728</v>
      </c>
      <c r="E1163" t="s">
        <v>1039</v>
      </c>
      <c r="F1163" s="11" t="s">
        <v>14</v>
      </c>
      <c r="G1163" s="8">
        <v>0</v>
      </c>
      <c r="H1163" s="8">
        <v>2339.21</v>
      </c>
      <c r="I1163" s="8">
        <f t="shared" si="39"/>
        <v>2124.7000000000007</v>
      </c>
      <c r="J1163" s="12"/>
    </row>
    <row r="1164" spans="3:10" x14ac:dyDescent="0.3">
      <c r="C1164" s="9" t="s">
        <v>12</v>
      </c>
      <c r="D1164" s="10">
        <v>45728</v>
      </c>
      <c r="E1164" t="s">
        <v>1039</v>
      </c>
      <c r="F1164" s="11" t="s">
        <v>14</v>
      </c>
      <c r="G1164" s="8">
        <v>0</v>
      </c>
      <c r="H1164" s="8">
        <v>2124.6999999999998</v>
      </c>
      <c r="I1164" s="8">
        <f t="shared" si="39"/>
        <v>0</v>
      </c>
      <c r="J1164" s="12"/>
    </row>
    <row r="1165" spans="3:10" x14ac:dyDescent="0.3">
      <c r="C1165" s="9" t="s">
        <v>12</v>
      </c>
      <c r="D1165" s="10">
        <v>45737</v>
      </c>
      <c r="E1165" t="s">
        <v>1040</v>
      </c>
      <c r="F1165" s="11" t="s">
        <v>1041</v>
      </c>
      <c r="G1165" s="8">
        <v>3203.74</v>
      </c>
      <c r="H1165" s="8">
        <v>0</v>
      </c>
      <c r="I1165" s="8">
        <f t="shared" si="39"/>
        <v>3203.74</v>
      </c>
      <c r="J1165" s="12"/>
    </row>
    <row r="1166" spans="3:10" x14ac:dyDescent="0.3">
      <c r="C1166" s="9" t="s">
        <v>12</v>
      </c>
      <c r="D1166" s="10">
        <v>45741</v>
      </c>
      <c r="E1166" t="s">
        <v>1042</v>
      </c>
      <c r="F1166" s="11" t="s">
        <v>1043</v>
      </c>
      <c r="G1166" s="8">
        <v>-3203.74</v>
      </c>
      <c r="H1166" s="8">
        <v>0</v>
      </c>
      <c r="I1166" s="8">
        <f t="shared" si="39"/>
        <v>0</v>
      </c>
      <c r="J1166" s="12"/>
    </row>
    <row r="1167" spans="3:10" x14ac:dyDescent="0.3">
      <c r="C1167" s="9"/>
      <c r="D1167" s="10">
        <v>45741</v>
      </c>
      <c r="E1167" t="s">
        <v>1044</v>
      </c>
      <c r="F1167" s="11" t="s">
        <v>1045</v>
      </c>
      <c r="G1167" s="8">
        <v>2647.72</v>
      </c>
      <c r="H1167" s="8">
        <v>0</v>
      </c>
      <c r="I1167" s="8">
        <f t="shared" si="39"/>
        <v>2647.72</v>
      </c>
      <c r="J1167" s="12"/>
    </row>
    <row r="1168" spans="3:10" x14ac:dyDescent="0.3">
      <c r="C1168" s="9"/>
      <c r="D1168" s="10">
        <v>45769</v>
      </c>
      <c r="E1168" t="s">
        <v>1046</v>
      </c>
      <c r="F1168" s="11" t="s">
        <v>1047</v>
      </c>
      <c r="G1168" s="8">
        <v>259.55</v>
      </c>
      <c r="H1168" s="8">
        <v>0</v>
      </c>
      <c r="I1168" s="8">
        <f t="shared" si="39"/>
        <v>2907.27</v>
      </c>
      <c r="J1168" s="12"/>
    </row>
    <row r="1169" spans="1:10" x14ac:dyDescent="0.3">
      <c r="C1169" s="9"/>
      <c r="D1169" s="10">
        <v>45769</v>
      </c>
      <c r="E1169" t="s">
        <v>1048</v>
      </c>
      <c r="F1169" s="11" t="s">
        <v>1049</v>
      </c>
      <c r="G1169" s="8">
        <v>283.14</v>
      </c>
      <c r="H1169" s="8">
        <v>0</v>
      </c>
      <c r="I1169" s="8">
        <f t="shared" si="39"/>
        <v>3190.41</v>
      </c>
      <c r="J1169" s="12"/>
    </row>
    <row r="1170" spans="1:10" x14ac:dyDescent="0.3">
      <c r="C1170" s="9"/>
      <c r="D1170" s="10">
        <v>45769</v>
      </c>
      <c r="E1170" t="s">
        <v>1050</v>
      </c>
      <c r="F1170" s="11" t="s">
        <v>1051</v>
      </c>
      <c r="G1170" s="8">
        <v>440.44</v>
      </c>
      <c r="H1170" s="8">
        <v>0</v>
      </c>
      <c r="I1170" s="8">
        <f t="shared" si="39"/>
        <v>3630.85</v>
      </c>
      <c r="J1170" s="12"/>
    </row>
    <row r="1171" spans="1:10" x14ac:dyDescent="0.3">
      <c r="C1171" s="9"/>
      <c r="D1171" s="10">
        <v>45769</v>
      </c>
      <c r="E1171" t="s">
        <v>1052</v>
      </c>
      <c r="F1171" s="11" t="s">
        <v>1053</v>
      </c>
      <c r="G1171" s="8">
        <v>259.55</v>
      </c>
      <c r="H1171" s="8">
        <v>0</v>
      </c>
      <c r="I1171" s="8">
        <f t="shared" si="39"/>
        <v>3890.4</v>
      </c>
      <c r="J1171" s="12"/>
    </row>
    <row r="1172" spans="1:10" x14ac:dyDescent="0.3">
      <c r="C1172" s="9"/>
      <c r="D1172" s="10">
        <v>45769</v>
      </c>
      <c r="E1172" t="s">
        <v>1054</v>
      </c>
      <c r="F1172" s="11" t="s">
        <v>1055</v>
      </c>
      <c r="G1172" s="8">
        <v>1746.03</v>
      </c>
      <c r="H1172" s="8">
        <v>0</v>
      </c>
      <c r="I1172" s="8">
        <f t="shared" si="39"/>
        <v>5636.43</v>
      </c>
      <c r="J1172" s="12"/>
    </row>
    <row r="1173" spans="1:10" x14ac:dyDescent="0.3">
      <c r="E1173" s="4" t="s">
        <v>116</v>
      </c>
      <c r="G1173" s="8">
        <f>SUM(G1143:G1172)</f>
        <v>38062.840000000011</v>
      </c>
      <c r="H1173" s="8">
        <f>SUM(H1143:H1172)</f>
        <v>32426.410000000003</v>
      </c>
      <c r="I1173" s="8">
        <f>G1173-H1173</f>
        <v>5636.4300000000076</v>
      </c>
    </row>
    <row r="1175" spans="1:10" x14ac:dyDescent="0.3">
      <c r="A1175" s="5">
        <v>430000006</v>
      </c>
      <c r="B1175" s="6" t="s">
        <v>1056</v>
      </c>
      <c r="C1175" s="7"/>
      <c r="D1175" s="7"/>
      <c r="E1175" s="7"/>
      <c r="F1175" s="7"/>
      <c r="G1175" s="7"/>
      <c r="H1175" s="7"/>
      <c r="I1175" s="7"/>
      <c r="J1175" s="7"/>
    </row>
    <row r="1176" spans="1:10" x14ac:dyDescent="0.3">
      <c r="C1176" s="9" t="s">
        <v>12</v>
      </c>
      <c r="D1176" s="10">
        <v>45670</v>
      </c>
      <c r="E1176" t="s">
        <v>1057</v>
      </c>
      <c r="F1176" s="11" t="s">
        <v>1058</v>
      </c>
      <c r="G1176" s="8">
        <v>969.52</v>
      </c>
      <c r="H1176" s="8">
        <v>0</v>
      </c>
      <c r="I1176" s="8">
        <f>G1176-H1176</f>
        <v>969.52</v>
      </c>
      <c r="J1176" s="12"/>
    </row>
    <row r="1177" spans="1:10" x14ac:dyDescent="0.3">
      <c r="C1177" s="9" t="s">
        <v>12</v>
      </c>
      <c r="D1177" s="10">
        <v>45671</v>
      </c>
      <c r="E1177" t="s">
        <v>1059</v>
      </c>
      <c r="F1177" s="11" t="s">
        <v>14</v>
      </c>
      <c r="G1177" s="8">
        <v>0</v>
      </c>
      <c r="H1177" s="8">
        <v>969.52</v>
      </c>
      <c r="I1177" s="8">
        <f t="shared" ref="I1177:I1197" si="40">G1177-H1177+I1176</f>
        <v>0</v>
      </c>
      <c r="J1177" s="12"/>
    </row>
    <row r="1178" spans="1:10" x14ac:dyDescent="0.3">
      <c r="C1178" s="9" t="s">
        <v>12</v>
      </c>
      <c r="D1178" s="10">
        <v>45673</v>
      </c>
      <c r="E1178" t="s">
        <v>1060</v>
      </c>
      <c r="F1178" s="11" t="s">
        <v>1061</v>
      </c>
      <c r="G1178" s="8">
        <v>1071.7</v>
      </c>
      <c r="H1178" s="8">
        <v>0</v>
      </c>
      <c r="I1178" s="8">
        <f t="shared" si="40"/>
        <v>1071.7</v>
      </c>
      <c r="J1178" s="12"/>
    </row>
    <row r="1179" spans="1:10" x14ac:dyDescent="0.3">
      <c r="C1179" s="9" t="s">
        <v>12</v>
      </c>
      <c r="D1179" s="10">
        <v>45673</v>
      </c>
      <c r="E1179" t="s">
        <v>1059</v>
      </c>
      <c r="F1179" s="11" t="s">
        <v>14</v>
      </c>
      <c r="G1179" s="8">
        <v>0</v>
      </c>
      <c r="H1179" s="8">
        <v>1071.7</v>
      </c>
      <c r="I1179" s="8">
        <f t="shared" si="40"/>
        <v>0</v>
      </c>
      <c r="J1179" s="12"/>
    </row>
    <row r="1180" spans="1:10" x14ac:dyDescent="0.3">
      <c r="C1180" s="9" t="s">
        <v>12</v>
      </c>
      <c r="D1180" s="10">
        <v>45756</v>
      </c>
      <c r="E1180" t="s">
        <v>1062</v>
      </c>
      <c r="F1180" s="11" t="s">
        <v>1063</v>
      </c>
      <c r="G1180" s="8">
        <v>250.19</v>
      </c>
      <c r="H1180" s="8">
        <v>0</v>
      </c>
      <c r="I1180" s="8">
        <f t="shared" si="40"/>
        <v>250.19</v>
      </c>
      <c r="J1180" s="12"/>
    </row>
    <row r="1181" spans="1:10" x14ac:dyDescent="0.3">
      <c r="C1181" s="9" t="s">
        <v>12</v>
      </c>
      <c r="D1181" s="10">
        <v>45770</v>
      </c>
      <c r="E1181" t="s">
        <v>1064</v>
      </c>
      <c r="F1181" s="11" t="s">
        <v>1065</v>
      </c>
      <c r="G1181" s="8">
        <v>332.38</v>
      </c>
      <c r="H1181" s="8">
        <v>0</v>
      </c>
      <c r="I1181" s="8">
        <f t="shared" si="40"/>
        <v>582.56999999999994</v>
      </c>
      <c r="J1181" s="12"/>
    </row>
    <row r="1182" spans="1:10" x14ac:dyDescent="0.3">
      <c r="C1182" s="9" t="s">
        <v>12</v>
      </c>
      <c r="D1182" s="10">
        <v>45786</v>
      </c>
      <c r="E1182" t="s">
        <v>1059</v>
      </c>
      <c r="F1182" s="11" t="s">
        <v>14</v>
      </c>
      <c r="G1182" s="8">
        <v>0</v>
      </c>
      <c r="H1182" s="8">
        <v>250.19</v>
      </c>
      <c r="I1182" s="8">
        <f t="shared" si="40"/>
        <v>332.37999999999994</v>
      </c>
      <c r="J1182" s="12"/>
    </row>
    <row r="1183" spans="1:10" x14ac:dyDescent="0.3">
      <c r="C1183" s="9" t="s">
        <v>12</v>
      </c>
      <c r="D1183" s="10">
        <v>45800</v>
      </c>
      <c r="E1183" t="s">
        <v>1059</v>
      </c>
      <c r="F1183" s="11" t="s">
        <v>14</v>
      </c>
      <c r="G1183" s="8">
        <v>0</v>
      </c>
      <c r="H1183" s="8">
        <v>332.38</v>
      </c>
      <c r="I1183" s="8">
        <f t="shared" si="40"/>
        <v>0</v>
      </c>
      <c r="J1183" s="12"/>
    </row>
    <row r="1184" spans="1:10" x14ac:dyDescent="0.3">
      <c r="C1184" s="9" t="s">
        <v>12</v>
      </c>
      <c r="D1184" s="10">
        <v>45820</v>
      </c>
      <c r="E1184" t="s">
        <v>1066</v>
      </c>
      <c r="F1184" s="11" t="s">
        <v>1067</v>
      </c>
      <c r="G1184" s="8">
        <v>399.3</v>
      </c>
      <c r="H1184" s="8">
        <v>0</v>
      </c>
      <c r="I1184" s="8">
        <f t="shared" si="40"/>
        <v>399.3</v>
      </c>
      <c r="J1184" s="12"/>
    </row>
    <row r="1185" spans="1:10" x14ac:dyDescent="0.3">
      <c r="C1185" s="9"/>
      <c r="D1185" s="10">
        <v>45845</v>
      </c>
      <c r="E1185" t="s">
        <v>1068</v>
      </c>
      <c r="F1185" s="11" t="s">
        <v>1069</v>
      </c>
      <c r="G1185" s="8">
        <v>2462.23</v>
      </c>
      <c r="H1185" s="8">
        <v>0</v>
      </c>
      <c r="I1185" s="8">
        <f t="shared" si="40"/>
        <v>2861.53</v>
      </c>
      <c r="J1185" s="12"/>
    </row>
    <row r="1186" spans="1:10" x14ac:dyDescent="0.3">
      <c r="C1186" s="9" t="s">
        <v>12</v>
      </c>
      <c r="D1186" s="10">
        <v>45852</v>
      </c>
      <c r="E1186" t="s">
        <v>1059</v>
      </c>
      <c r="F1186" s="11" t="s">
        <v>14</v>
      </c>
      <c r="G1186" s="8">
        <v>0</v>
      </c>
      <c r="H1186" s="8">
        <v>399.3</v>
      </c>
      <c r="I1186" s="8">
        <f t="shared" si="40"/>
        <v>2462.23</v>
      </c>
      <c r="J1186" s="12"/>
    </row>
    <row r="1187" spans="1:10" x14ac:dyDescent="0.3">
      <c r="C1187" s="9"/>
      <c r="D1187" s="10">
        <v>45853</v>
      </c>
      <c r="E1187" t="s">
        <v>1070</v>
      </c>
      <c r="F1187" s="11" t="s">
        <v>1071</v>
      </c>
      <c r="G1187" s="8">
        <v>230.08</v>
      </c>
      <c r="H1187" s="8">
        <v>0</v>
      </c>
      <c r="I1187" s="8">
        <f t="shared" si="40"/>
        <v>2692.31</v>
      </c>
      <c r="J1187" s="12"/>
    </row>
    <row r="1188" spans="1:10" x14ac:dyDescent="0.3">
      <c r="C1188" s="9"/>
      <c r="D1188" s="10">
        <v>45873</v>
      </c>
      <c r="E1188" t="s">
        <v>1072</v>
      </c>
      <c r="F1188" s="11" t="s">
        <v>1073</v>
      </c>
      <c r="G1188" s="8">
        <v>371.29</v>
      </c>
      <c r="H1188" s="8">
        <v>0</v>
      </c>
      <c r="I1188" s="8">
        <f t="shared" si="40"/>
        <v>3063.6</v>
      </c>
      <c r="J1188" s="12"/>
    </row>
    <row r="1189" spans="1:10" x14ac:dyDescent="0.3">
      <c r="C1189" s="9"/>
      <c r="D1189" s="10">
        <v>45875</v>
      </c>
      <c r="E1189" t="s">
        <v>1059</v>
      </c>
      <c r="F1189" s="11" t="s">
        <v>14</v>
      </c>
      <c r="G1189" s="8">
        <v>0</v>
      </c>
      <c r="H1189" s="8">
        <v>1231.1199999999999</v>
      </c>
      <c r="I1189" s="8">
        <f t="shared" si="40"/>
        <v>1832.48</v>
      </c>
      <c r="J1189" s="12"/>
    </row>
    <row r="1190" spans="1:10" x14ac:dyDescent="0.3">
      <c r="C1190" s="9"/>
      <c r="D1190" s="10">
        <v>45876</v>
      </c>
      <c r="E1190" t="s">
        <v>1074</v>
      </c>
      <c r="F1190" s="11" t="s">
        <v>1075</v>
      </c>
      <c r="G1190" s="8">
        <v>163.35</v>
      </c>
      <c r="H1190" s="8">
        <v>0</v>
      </c>
      <c r="I1190" s="8">
        <f t="shared" si="40"/>
        <v>1995.83</v>
      </c>
      <c r="J1190" s="12"/>
    </row>
    <row r="1191" spans="1:10" x14ac:dyDescent="0.3">
      <c r="C1191" s="9"/>
      <c r="D1191" s="10">
        <v>45883</v>
      </c>
      <c r="E1191" t="s">
        <v>1059</v>
      </c>
      <c r="F1191" s="11" t="s">
        <v>14</v>
      </c>
      <c r="G1191" s="8">
        <v>0</v>
      </c>
      <c r="H1191" s="8">
        <v>230.08</v>
      </c>
      <c r="I1191" s="8">
        <f t="shared" si="40"/>
        <v>1765.75</v>
      </c>
      <c r="J1191" s="12">
        <v>572000005</v>
      </c>
    </row>
    <row r="1192" spans="1:10" x14ac:dyDescent="0.3">
      <c r="C1192" s="9"/>
      <c r="D1192" s="10">
        <v>45895</v>
      </c>
      <c r="E1192" t="s">
        <v>1076</v>
      </c>
      <c r="F1192" s="11" t="s">
        <v>1077</v>
      </c>
      <c r="G1192" s="8">
        <v>306.24</v>
      </c>
      <c r="H1192" s="8">
        <v>0</v>
      </c>
      <c r="I1192" s="8">
        <f t="shared" si="40"/>
        <v>2071.9899999999998</v>
      </c>
      <c r="J1192" s="12"/>
    </row>
    <row r="1193" spans="1:10" x14ac:dyDescent="0.3">
      <c r="C1193" s="9"/>
      <c r="D1193" s="10">
        <v>45903</v>
      </c>
      <c r="E1193" t="s">
        <v>1059</v>
      </c>
      <c r="F1193" s="11" t="s">
        <v>14</v>
      </c>
      <c r="G1193" s="8">
        <v>0</v>
      </c>
      <c r="H1193" s="8">
        <v>371.29</v>
      </c>
      <c r="I1193" s="8">
        <f t="shared" si="40"/>
        <v>1700.6999999999998</v>
      </c>
      <c r="J1193" s="12">
        <v>572000005</v>
      </c>
    </row>
    <row r="1194" spans="1:10" x14ac:dyDescent="0.3">
      <c r="C1194" s="9"/>
      <c r="D1194" s="10">
        <v>45905</v>
      </c>
      <c r="E1194" t="s">
        <v>1078</v>
      </c>
      <c r="F1194" s="11" t="s">
        <v>1079</v>
      </c>
      <c r="G1194" s="8">
        <v>618.71</v>
      </c>
      <c r="H1194" s="8">
        <v>0</v>
      </c>
      <c r="I1194" s="8">
        <f t="shared" si="40"/>
        <v>2319.41</v>
      </c>
      <c r="J1194" s="12"/>
    </row>
    <row r="1195" spans="1:10" x14ac:dyDescent="0.3">
      <c r="C1195" s="9"/>
      <c r="D1195" s="10">
        <v>45905</v>
      </c>
      <c r="E1195" t="s">
        <v>1059</v>
      </c>
      <c r="F1195" s="11" t="s">
        <v>14</v>
      </c>
      <c r="G1195" s="8">
        <v>0</v>
      </c>
      <c r="H1195" s="8">
        <v>1231.1099999999999</v>
      </c>
      <c r="I1195" s="8">
        <f t="shared" si="40"/>
        <v>1088.3</v>
      </c>
      <c r="J1195" s="12"/>
    </row>
    <row r="1196" spans="1:10" x14ac:dyDescent="0.3">
      <c r="C1196" s="9"/>
      <c r="D1196" s="10">
        <v>45908</v>
      </c>
      <c r="E1196" t="s">
        <v>1059</v>
      </c>
      <c r="F1196" s="11" t="s">
        <v>14</v>
      </c>
      <c r="G1196" s="8">
        <v>0</v>
      </c>
      <c r="H1196" s="8">
        <v>163.35</v>
      </c>
      <c r="I1196" s="8">
        <f t="shared" si="40"/>
        <v>924.94999999999993</v>
      </c>
      <c r="J1196" s="12"/>
    </row>
    <row r="1197" spans="1:10" x14ac:dyDescent="0.3">
      <c r="C1197" s="9"/>
      <c r="D1197" s="10">
        <v>45912</v>
      </c>
      <c r="E1197" t="s">
        <v>1080</v>
      </c>
      <c r="F1197" s="11" t="s">
        <v>1081</v>
      </c>
      <c r="G1197" s="8">
        <v>505.8</v>
      </c>
      <c r="H1197" s="8">
        <v>0</v>
      </c>
      <c r="I1197" s="8">
        <f t="shared" si="40"/>
        <v>1430.75</v>
      </c>
      <c r="J1197" s="12"/>
    </row>
    <row r="1198" spans="1:10" x14ac:dyDescent="0.3">
      <c r="E1198" s="4" t="s">
        <v>116</v>
      </c>
      <c r="G1198" s="8">
        <f>SUM(G1176:G1197)</f>
        <v>7680.79</v>
      </c>
      <c r="H1198" s="8">
        <f>SUM(H1176:H1197)</f>
        <v>6250.04</v>
      </c>
      <c r="I1198" s="8">
        <f>G1198-H1198</f>
        <v>1430.75</v>
      </c>
    </row>
    <row r="1200" spans="1:10" x14ac:dyDescent="0.3">
      <c r="A1200" s="5">
        <v>430000019</v>
      </c>
      <c r="B1200" s="6" t="s">
        <v>1082</v>
      </c>
      <c r="C1200" s="7"/>
      <c r="D1200" s="7"/>
      <c r="E1200" s="7"/>
      <c r="F1200" s="7"/>
      <c r="G1200" s="7"/>
      <c r="H1200" s="7"/>
      <c r="I1200" s="7"/>
      <c r="J1200" s="7"/>
    </row>
    <row r="1201" spans="1:10" x14ac:dyDescent="0.3">
      <c r="E1201" s="4" t="s">
        <v>11</v>
      </c>
      <c r="G1201" s="8">
        <v>286.60000000000002</v>
      </c>
      <c r="H1201" s="8">
        <v>0</v>
      </c>
      <c r="I1201" s="8">
        <f>G1201-H1201</f>
        <v>286.60000000000002</v>
      </c>
    </row>
    <row r="1202" spans="1:10" x14ac:dyDescent="0.3">
      <c r="C1202" s="9" t="s">
        <v>12</v>
      </c>
      <c r="D1202" s="10">
        <v>45664</v>
      </c>
      <c r="E1202" t="s">
        <v>886</v>
      </c>
      <c r="F1202" s="11" t="s">
        <v>14</v>
      </c>
      <c r="G1202" s="8">
        <v>0</v>
      </c>
      <c r="H1202" s="8">
        <v>128.56</v>
      </c>
      <c r="I1202" s="8">
        <f>G1202-H1202+I1201</f>
        <v>158.04000000000002</v>
      </c>
      <c r="J1202" s="12">
        <v>572000007</v>
      </c>
    </row>
    <row r="1203" spans="1:10" x14ac:dyDescent="0.3">
      <c r="C1203" s="9" t="s">
        <v>12</v>
      </c>
      <c r="D1203" s="10">
        <v>45721</v>
      </c>
      <c r="E1203" t="s">
        <v>886</v>
      </c>
      <c r="F1203" s="11" t="s">
        <v>14</v>
      </c>
      <c r="G1203" s="8">
        <v>0</v>
      </c>
      <c r="H1203" s="8">
        <v>158.04</v>
      </c>
      <c r="I1203" s="8">
        <f>G1203-H1203+I1202</f>
        <v>0</v>
      </c>
      <c r="J1203" s="12">
        <v>572000007</v>
      </c>
    </row>
    <row r="1204" spans="1:10" x14ac:dyDescent="0.3">
      <c r="C1204" s="9"/>
      <c r="D1204" s="10">
        <v>45804</v>
      </c>
      <c r="E1204" t="s">
        <v>1083</v>
      </c>
      <c r="F1204" s="11" t="s">
        <v>1084</v>
      </c>
      <c r="G1204" s="8">
        <v>707.46</v>
      </c>
      <c r="H1204" s="8">
        <v>0</v>
      </c>
      <c r="I1204" s="8">
        <f>G1204-H1204+I1203</f>
        <v>707.46</v>
      </c>
      <c r="J1204" s="12"/>
    </row>
    <row r="1205" spans="1:10" x14ac:dyDescent="0.3">
      <c r="E1205" s="4" t="s">
        <v>116</v>
      </c>
      <c r="G1205" s="8">
        <f>SUM(G1201:G1204)</f>
        <v>994.06000000000006</v>
      </c>
      <c r="H1205" s="8">
        <f>SUM(H1201:H1204)</f>
        <v>286.60000000000002</v>
      </c>
      <c r="I1205" s="8">
        <f>G1205-H1205</f>
        <v>707.46</v>
      </c>
    </row>
    <row r="1207" spans="1:10" x14ac:dyDescent="0.3">
      <c r="A1207" s="5">
        <v>430000023</v>
      </c>
      <c r="B1207" s="6" t="s">
        <v>1085</v>
      </c>
      <c r="C1207" s="7"/>
      <c r="D1207" s="7"/>
      <c r="E1207" s="7"/>
      <c r="F1207" s="7"/>
      <c r="G1207" s="7"/>
      <c r="H1207" s="7"/>
      <c r="I1207" s="7"/>
      <c r="J1207" s="7"/>
    </row>
    <row r="1208" spans="1:10" x14ac:dyDescent="0.3">
      <c r="C1208" s="9" t="s">
        <v>12</v>
      </c>
      <c r="D1208" s="10">
        <v>45700</v>
      </c>
      <c r="E1208" t="s">
        <v>1086</v>
      </c>
      <c r="F1208" s="11" t="s">
        <v>1087</v>
      </c>
      <c r="G1208" s="8">
        <v>885.94</v>
      </c>
      <c r="H1208" s="8">
        <v>0</v>
      </c>
      <c r="I1208" s="8">
        <f>G1208-H1208</f>
        <v>885.94</v>
      </c>
      <c r="J1208" s="12"/>
    </row>
    <row r="1209" spans="1:10" x14ac:dyDescent="0.3">
      <c r="C1209" s="9" t="s">
        <v>12</v>
      </c>
      <c r="D1209" s="10">
        <v>45700</v>
      </c>
      <c r="E1209" t="s">
        <v>1059</v>
      </c>
      <c r="F1209" s="11" t="s">
        <v>14</v>
      </c>
      <c r="G1209" s="8">
        <v>0</v>
      </c>
      <c r="H1209" s="8">
        <v>885.94</v>
      </c>
      <c r="I1209" s="8">
        <f t="shared" ref="I1209:I1221" si="41">G1209-H1209+I1208</f>
        <v>0</v>
      </c>
      <c r="J1209" s="12"/>
    </row>
    <row r="1210" spans="1:10" x14ac:dyDescent="0.3">
      <c r="C1210" s="9" t="s">
        <v>12</v>
      </c>
      <c r="D1210" s="10">
        <v>45756</v>
      </c>
      <c r="E1210" t="s">
        <v>1088</v>
      </c>
      <c r="F1210" s="11" t="s">
        <v>1089</v>
      </c>
      <c r="G1210" s="8">
        <v>192.01</v>
      </c>
      <c r="H1210" s="8">
        <v>0</v>
      </c>
      <c r="I1210" s="8">
        <f t="shared" si="41"/>
        <v>192.01</v>
      </c>
      <c r="J1210" s="12"/>
    </row>
    <row r="1211" spans="1:10" x14ac:dyDescent="0.3">
      <c r="C1211" s="9" t="s">
        <v>12</v>
      </c>
      <c r="D1211" s="10">
        <v>45770</v>
      </c>
      <c r="E1211" t="s">
        <v>1090</v>
      </c>
      <c r="F1211" s="11" t="s">
        <v>1091</v>
      </c>
      <c r="G1211" s="8">
        <v>102.85</v>
      </c>
      <c r="H1211" s="8">
        <v>0</v>
      </c>
      <c r="I1211" s="8">
        <f t="shared" si="41"/>
        <v>294.86</v>
      </c>
      <c r="J1211" s="12"/>
    </row>
    <row r="1212" spans="1:10" x14ac:dyDescent="0.3">
      <c r="C1212" s="9"/>
      <c r="D1212" s="10">
        <v>45783</v>
      </c>
      <c r="E1212" t="s">
        <v>1092</v>
      </c>
      <c r="F1212" s="11" t="s">
        <v>1093</v>
      </c>
      <c r="G1212" s="8">
        <v>136.91999999999999</v>
      </c>
      <c r="H1212" s="8">
        <v>0</v>
      </c>
      <c r="I1212" s="8">
        <f t="shared" si="41"/>
        <v>431.78</v>
      </c>
      <c r="J1212" s="12"/>
    </row>
    <row r="1213" spans="1:10" x14ac:dyDescent="0.3">
      <c r="C1213" s="9"/>
      <c r="D1213" s="10">
        <v>45786</v>
      </c>
      <c r="E1213" t="s">
        <v>1094</v>
      </c>
      <c r="F1213" s="11" t="s">
        <v>1095</v>
      </c>
      <c r="G1213" s="8">
        <v>224.41</v>
      </c>
      <c r="H1213" s="8">
        <v>0</v>
      </c>
      <c r="I1213" s="8">
        <f t="shared" si="41"/>
        <v>656.18999999999994</v>
      </c>
      <c r="J1213" s="12"/>
    </row>
    <row r="1214" spans="1:10" x14ac:dyDescent="0.3">
      <c r="C1214" s="9"/>
      <c r="D1214" s="10">
        <v>45827</v>
      </c>
      <c r="E1214" t="s">
        <v>1096</v>
      </c>
      <c r="F1214" s="11" t="s">
        <v>1097</v>
      </c>
      <c r="G1214" s="8">
        <v>133.1</v>
      </c>
      <c r="H1214" s="8">
        <v>0</v>
      </c>
      <c r="I1214" s="8">
        <f t="shared" si="41"/>
        <v>789.29</v>
      </c>
      <c r="J1214" s="12"/>
    </row>
    <row r="1215" spans="1:10" x14ac:dyDescent="0.3">
      <c r="C1215" s="9" t="s">
        <v>12</v>
      </c>
      <c r="D1215" s="10">
        <v>45833</v>
      </c>
      <c r="E1215" t="s">
        <v>1059</v>
      </c>
      <c r="F1215" s="11" t="s">
        <v>14</v>
      </c>
      <c r="G1215" s="8">
        <v>0</v>
      </c>
      <c r="H1215" s="8">
        <v>192.01</v>
      </c>
      <c r="I1215" s="8">
        <f t="shared" si="41"/>
        <v>597.28</v>
      </c>
      <c r="J1215" s="12"/>
    </row>
    <row r="1216" spans="1:10" x14ac:dyDescent="0.3">
      <c r="C1216" s="9" t="s">
        <v>12</v>
      </c>
      <c r="D1216" s="10">
        <v>45833</v>
      </c>
      <c r="E1216" t="s">
        <v>1059</v>
      </c>
      <c r="F1216" s="11" t="s">
        <v>14</v>
      </c>
      <c r="G1216" s="8">
        <v>0</v>
      </c>
      <c r="H1216" s="8">
        <v>102.85</v>
      </c>
      <c r="I1216" s="8">
        <f t="shared" si="41"/>
        <v>494.42999999999995</v>
      </c>
      <c r="J1216" s="12"/>
    </row>
    <row r="1217" spans="1:10" x14ac:dyDescent="0.3">
      <c r="C1217" s="9"/>
      <c r="D1217" s="10">
        <v>45863</v>
      </c>
      <c r="E1217" t="s">
        <v>1059</v>
      </c>
      <c r="F1217" s="11" t="s">
        <v>14</v>
      </c>
      <c r="G1217" s="8">
        <v>0</v>
      </c>
      <c r="H1217" s="8">
        <v>224.41</v>
      </c>
      <c r="I1217" s="8">
        <f t="shared" si="41"/>
        <v>270.02</v>
      </c>
      <c r="J1217" s="12"/>
    </row>
    <row r="1218" spans="1:10" x14ac:dyDescent="0.3">
      <c r="C1218" s="9"/>
      <c r="D1218" s="10">
        <v>45863</v>
      </c>
      <c r="E1218" t="s">
        <v>1059</v>
      </c>
      <c r="F1218" s="11" t="s">
        <v>14</v>
      </c>
      <c r="G1218" s="8">
        <v>0</v>
      </c>
      <c r="H1218" s="8">
        <v>136.91999999999999</v>
      </c>
      <c r="I1218" s="8">
        <f t="shared" si="41"/>
        <v>133.1</v>
      </c>
      <c r="J1218" s="12"/>
    </row>
    <row r="1219" spans="1:10" x14ac:dyDescent="0.3">
      <c r="C1219" s="9"/>
      <c r="D1219" s="10">
        <v>45876</v>
      </c>
      <c r="E1219" t="s">
        <v>1098</v>
      </c>
      <c r="F1219" s="11" t="s">
        <v>1099</v>
      </c>
      <c r="G1219" s="8">
        <v>408.01</v>
      </c>
      <c r="H1219" s="8">
        <v>0</v>
      </c>
      <c r="I1219" s="8">
        <f t="shared" si="41"/>
        <v>541.11</v>
      </c>
      <c r="J1219" s="12"/>
    </row>
    <row r="1220" spans="1:10" x14ac:dyDescent="0.3">
      <c r="C1220" s="9"/>
      <c r="D1220" s="10">
        <v>45894</v>
      </c>
      <c r="E1220" t="s">
        <v>1059</v>
      </c>
      <c r="F1220" s="11" t="s">
        <v>14</v>
      </c>
      <c r="G1220" s="8">
        <v>0</v>
      </c>
      <c r="H1220" s="8">
        <v>133.1</v>
      </c>
      <c r="I1220" s="8">
        <f t="shared" si="41"/>
        <v>408.01</v>
      </c>
      <c r="J1220" s="12"/>
    </row>
    <row r="1221" spans="1:10" x14ac:dyDescent="0.3">
      <c r="C1221" s="9"/>
      <c r="D1221" s="10">
        <v>45895</v>
      </c>
      <c r="E1221" t="s">
        <v>1100</v>
      </c>
      <c r="F1221" s="11" t="s">
        <v>1101</v>
      </c>
      <c r="G1221" s="8">
        <v>408.94</v>
      </c>
      <c r="H1221" s="8">
        <v>0</v>
      </c>
      <c r="I1221" s="8">
        <f t="shared" si="41"/>
        <v>816.95</v>
      </c>
      <c r="J1221" s="12"/>
    </row>
    <row r="1222" spans="1:10" x14ac:dyDescent="0.3">
      <c r="E1222" s="4" t="s">
        <v>116</v>
      </c>
      <c r="G1222" s="8">
        <f>SUM(G1208:G1221)</f>
        <v>2492.1799999999998</v>
      </c>
      <c r="H1222" s="8">
        <f>SUM(H1208:H1221)</f>
        <v>1675.23</v>
      </c>
      <c r="I1222" s="8">
        <f>G1222-H1222</f>
        <v>816.94999999999982</v>
      </c>
    </row>
    <row r="1224" spans="1:10" x14ac:dyDescent="0.3">
      <c r="A1224" s="5">
        <v>430000041</v>
      </c>
      <c r="B1224" s="6" t="s">
        <v>1102</v>
      </c>
      <c r="C1224" s="7"/>
      <c r="D1224" s="7"/>
      <c r="E1224" s="7"/>
      <c r="F1224" s="7"/>
      <c r="G1224" s="7"/>
      <c r="H1224" s="7"/>
      <c r="I1224" s="7"/>
      <c r="J1224" s="7"/>
    </row>
    <row r="1225" spans="1:10" x14ac:dyDescent="0.3">
      <c r="E1225" s="4" t="s">
        <v>11</v>
      </c>
      <c r="G1225" s="8">
        <v>4118.82</v>
      </c>
      <c r="H1225" s="8">
        <v>0</v>
      </c>
      <c r="I1225" s="8">
        <f>G1225-H1225</f>
        <v>4118.82</v>
      </c>
    </row>
    <row r="1226" spans="1:10" x14ac:dyDescent="0.3">
      <c r="C1226" s="9" t="s">
        <v>12</v>
      </c>
      <c r="D1226" s="10">
        <v>45659</v>
      </c>
      <c r="E1226" t="s">
        <v>1103</v>
      </c>
      <c r="F1226" s="11" t="s">
        <v>1104</v>
      </c>
      <c r="G1226" s="8">
        <v>0</v>
      </c>
      <c r="H1226" s="8">
        <v>374.99</v>
      </c>
      <c r="I1226" s="8">
        <f t="shared" ref="I1226:I1248" si="42">G1226-H1226+I1225</f>
        <v>3743.83</v>
      </c>
      <c r="J1226" s="12">
        <v>430000041</v>
      </c>
    </row>
    <row r="1227" spans="1:10" x14ac:dyDescent="0.3">
      <c r="C1227" s="9"/>
      <c r="D1227" s="10">
        <v>45659</v>
      </c>
      <c r="E1227" t="s">
        <v>1103</v>
      </c>
      <c r="F1227" s="11" t="s">
        <v>1104</v>
      </c>
      <c r="G1227" s="8">
        <v>374.99</v>
      </c>
      <c r="H1227" s="8">
        <v>0</v>
      </c>
      <c r="I1227" s="8">
        <f t="shared" si="42"/>
        <v>4118.82</v>
      </c>
      <c r="J1227" s="12">
        <v>430000041</v>
      </c>
    </row>
    <row r="1228" spans="1:10" x14ac:dyDescent="0.3">
      <c r="C1228" s="9" t="s">
        <v>12</v>
      </c>
      <c r="D1228" s="10">
        <v>45679</v>
      </c>
      <c r="E1228" t="s">
        <v>1105</v>
      </c>
      <c r="F1228" s="11" t="s">
        <v>1106</v>
      </c>
      <c r="G1228" s="8">
        <v>133.1</v>
      </c>
      <c r="H1228" s="8">
        <v>0</v>
      </c>
      <c r="I1228" s="8">
        <f t="shared" si="42"/>
        <v>4251.92</v>
      </c>
      <c r="J1228" s="12"/>
    </row>
    <row r="1229" spans="1:10" x14ac:dyDescent="0.3">
      <c r="C1229" s="9" t="s">
        <v>12</v>
      </c>
      <c r="D1229" s="10">
        <v>45688</v>
      </c>
      <c r="E1229" t="s">
        <v>1107</v>
      </c>
      <c r="F1229" s="11" t="s">
        <v>1108</v>
      </c>
      <c r="G1229" s="8">
        <v>2962.9</v>
      </c>
      <c r="H1229" s="8">
        <v>0</v>
      </c>
      <c r="I1229" s="8">
        <f t="shared" si="42"/>
        <v>7214.82</v>
      </c>
      <c r="J1229" s="12"/>
    </row>
    <row r="1230" spans="1:10" x14ac:dyDescent="0.3">
      <c r="C1230" s="9" t="s">
        <v>12</v>
      </c>
      <c r="D1230" s="10">
        <v>45699</v>
      </c>
      <c r="E1230" t="s">
        <v>1109</v>
      </c>
      <c r="F1230" s="11" t="s">
        <v>1110</v>
      </c>
      <c r="G1230" s="8">
        <v>124.73</v>
      </c>
      <c r="H1230" s="8">
        <v>0</v>
      </c>
      <c r="I1230" s="8">
        <f t="shared" si="42"/>
        <v>7339.5499999999993</v>
      </c>
      <c r="J1230" s="12"/>
    </row>
    <row r="1231" spans="1:10" x14ac:dyDescent="0.3">
      <c r="C1231" s="9" t="s">
        <v>12</v>
      </c>
      <c r="D1231" s="10">
        <v>45720</v>
      </c>
      <c r="E1231" t="s">
        <v>1111</v>
      </c>
      <c r="F1231" s="11" t="s">
        <v>1112</v>
      </c>
      <c r="G1231" s="8">
        <v>401.88</v>
      </c>
      <c r="H1231" s="8">
        <v>0</v>
      </c>
      <c r="I1231" s="8">
        <f t="shared" si="42"/>
        <v>7741.4299999999994</v>
      </c>
      <c r="J1231" s="12"/>
    </row>
    <row r="1232" spans="1:10" x14ac:dyDescent="0.3">
      <c r="C1232" s="9" t="s">
        <v>12</v>
      </c>
      <c r="D1232" s="10">
        <v>45723</v>
      </c>
      <c r="E1232" t="s">
        <v>1113</v>
      </c>
      <c r="F1232" s="11" t="s">
        <v>1114</v>
      </c>
      <c r="G1232" s="8">
        <v>133.1</v>
      </c>
      <c r="H1232" s="8">
        <v>0</v>
      </c>
      <c r="I1232" s="8">
        <f t="shared" si="42"/>
        <v>7874.53</v>
      </c>
      <c r="J1232" s="12"/>
    </row>
    <row r="1233" spans="3:10" x14ac:dyDescent="0.3">
      <c r="C1233" s="9" t="s">
        <v>12</v>
      </c>
      <c r="D1233" s="10">
        <v>45736</v>
      </c>
      <c r="E1233" t="s">
        <v>1115</v>
      </c>
      <c r="F1233" s="11" t="s">
        <v>1116</v>
      </c>
      <c r="G1233" s="8">
        <v>204.99</v>
      </c>
      <c r="H1233" s="8">
        <v>0</v>
      </c>
      <c r="I1233" s="8">
        <f t="shared" si="42"/>
        <v>8079.5199999999995</v>
      </c>
      <c r="J1233" s="12"/>
    </row>
    <row r="1234" spans="3:10" x14ac:dyDescent="0.3">
      <c r="C1234" s="9" t="s">
        <v>12</v>
      </c>
      <c r="D1234" s="10">
        <v>45740</v>
      </c>
      <c r="E1234" t="s">
        <v>886</v>
      </c>
      <c r="F1234" s="11" t="s">
        <v>14</v>
      </c>
      <c r="G1234" s="8">
        <v>0</v>
      </c>
      <c r="H1234" s="8">
        <v>2962.9</v>
      </c>
      <c r="I1234" s="8">
        <f t="shared" si="42"/>
        <v>5116.619999999999</v>
      </c>
      <c r="J1234" s="12">
        <v>572000007</v>
      </c>
    </row>
    <row r="1235" spans="3:10" x14ac:dyDescent="0.3">
      <c r="C1235" s="9" t="s">
        <v>12</v>
      </c>
      <c r="D1235" s="10">
        <v>45740</v>
      </c>
      <c r="E1235" t="s">
        <v>886</v>
      </c>
      <c r="F1235" s="11" t="s">
        <v>14</v>
      </c>
      <c r="G1235" s="8">
        <v>0</v>
      </c>
      <c r="H1235" s="8">
        <v>630.12</v>
      </c>
      <c r="I1235" s="8">
        <f t="shared" si="42"/>
        <v>4486.4999999999991</v>
      </c>
      <c r="J1235" s="12">
        <v>572000007</v>
      </c>
    </row>
    <row r="1236" spans="3:10" x14ac:dyDescent="0.3">
      <c r="C1236" s="9" t="s">
        <v>12</v>
      </c>
      <c r="D1236" s="10">
        <v>45740</v>
      </c>
      <c r="E1236" t="s">
        <v>886</v>
      </c>
      <c r="F1236" s="11" t="s">
        <v>14</v>
      </c>
      <c r="G1236" s="8">
        <v>0</v>
      </c>
      <c r="H1236" s="8">
        <v>150.81</v>
      </c>
      <c r="I1236" s="8">
        <f t="shared" si="42"/>
        <v>4335.6899999999987</v>
      </c>
      <c r="J1236" s="12">
        <v>572000007</v>
      </c>
    </row>
    <row r="1237" spans="3:10" x14ac:dyDescent="0.3">
      <c r="C1237" s="9" t="s">
        <v>12</v>
      </c>
      <c r="D1237" s="10">
        <v>45740</v>
      </c>
      <c r="E1237" t="s">
        <v>108</v>
      </c>
      <c r="F1237" s="11" t="s">
        <v>14</v>
      </c>
      <c r="G1237" s="8">
        <v>0</v>
      </c>
      <c r="H1237" s="8">
        <v>133.1</v>
      </c>
      <c r="I1237" s="8">
        <f t="shared" si="42"/>
        <v>4202.5899999999983</v>
      </c>
      <c r="J1237" s="12">
        <v>572000007</v>
      </c>
    </row>
    <row r="1238" spans="3:10" x14ac:dyDescent="0.3">
      <c r="C1238" s="9" t="s">
        <v>12</v>
      </c>
      <c r="D1238" s="10">
        <v>45771</v>
      </c>
      <c r="E1238" t="s">
        <v>305</v>
      </c>
      <c r="F1238" s="11" t="s">
        <v>14</v>
      </c>
      <c r="G1238" s="8">
        <v>0</v>
      </c>
      <c r="H1238" s="8">
        <v>204.99</v>
      </c>
      <c r="I1238" s="8">
        <f t="shared" si="42"/>
        <v>3997.5999999999985</v>
      </c>
      <c r="J1238" s="12">
        <v>572000007</v>
      </c>
    </row>
    <row r="1239" spans="3:10" x14ac:dyDescent="0.3">
      <c r="C1239" s="9" t="s">
        <v>12</v>
      </c>
      <c r="D1239" s="10">
        <v>45771</v>
      </c>
      <c r="E1239" t="s">
        <v>305</v>
      </c>
      <c r="F1239" s="11" t="s">
        <v>14</v>
      </c>
      <c r="G1239" s="8">
        <v>0</v>
      </c>
      <c r="H1239" s="8">
        <v>124.73</v>
      </c>
      <c r="I1239" s="8">
        <f t="shared" si="42"/>
        <v>3872.8699999999985</v>
      </c>
      <c r="J1239" s="12">
        <v>572000007</v>
      </c>
    </row>
    <row r="1240" spans="3:10" x14ac:dyDescent="0.3">
      <c r="C1240" s="9" t="s">
        <v>12</v>
      </c>
      <c r="D1240" s="10">
        <v>45771</v>
      </c>
      <c r="E1240" t="s">
        <v>305</v>
      </c>
      <c r="F1240" s="11" t="s">
        <v>14</v>
      </c>
      <c r="G1240" s="8">
        <v>0</v>
      </c>
      <c r="H1240" s="8">
        <v>401.88</v>
      </c>
      <c r="I1240" s="8">
        <f t="shared" si="42"/>
        <v>3470.9899999999984</v>
      </c>
      <c r="J1240" s="12">
        <v>572000007</v>
      </c>
    </row>
    <row r="1241" spans="3:10" x14ac:dyDescent="0.3">
      <c r="C1241" s="9" t="s">
        <v>12</v>
      </c>
      <c r="D1241" s="10">
        <v>45771</v>
      </c>
      <c r="E1241" t="s">
        <v>305</v>
      </c>
      <c r="F1241" s="11" t="s">
        <v>14</v>
      </c>
      <c r="G1241" s="8">
        <v>0</v>
      </c>
      <c r="H1241" s="8">
        <v>2962.9</v>
      </c>
      <c r="I1241" s="8">
        <f t="shared" si="42"/>
        <v>508.08999999999833</v>
      </c>
      <c r="J1241" s="12">
        <v>572000007</v>
      </c>
    </row>
    <row r="1242" spans="3:10" x14ac:dyDescent="0.3">
      <c r="C1242" s="9" t="s">
        <v>12</v>
      </c>
      <c r="D1242" s="10">
        <v>45791</v>
      </c>
      <c r="E1242" t="s">
        <v>1117</v>
      </c>
      <c r="F1242" s="11" t="s">
        <v>1118</v>
      </c>
      <c r="G1242" s="8">
        <v>133.1</v>
      </c>
      <c r="H1242" s="8">
        <v>0</v>
      </c>
      <c r="I1242" s="8">
        <f t="shared" si="42"/>
        <v>641.18999999999835</v>
      </c>
      <c r="J1242" s="12"/>
    </row>
    <row r="1243" spans="3:10" x14ac:dyDescent="0.3">
      <c r="C1243" s="9" t="s">
        <v>12</v>
      </c>
      <c r="D1243" s="10">
        <v>45831</v>
      </c>
      <c r="E1243" t="s">
        <v>886</v>
      </c>
      <c r="F1243" s="11" t="s">
        <v>14</v>
      </c>
      <c r="G1243" s="8">
        <v>0</v>
      </c>
      <c r="H1243" s="8">
        <v>133.1</v>
      </c>
      <c r="I1243" s="8">
        <f t="shared" si="42"/>
        <v>508.08999999999833</v>
      </c>
      <c r="J1243" s="12">
        <v>572000007</v>
      </c>
    </row>
    <row r="1244" spans="3:10" x14ac:dyDescent="0.3">
      <c r="C1244" s="9" t="s">
        <v>12</v>
      </c>
      <c r="D1244" s="10">
        <v>45831</v>
      </c>
      <c r="E1244" t="s">
        <v>886</v>
      </c>
      <c r="F1244" s="11" t="s">
        <v>14</v>
      </c>
      <c r="G1244" s="8">
        <v>0</v>
      </c>
      <c r="H1244" s="8">
        <v>133.1</v>
      </c>
      <c r="I1244" s="8">
        <f t="shared" si="42"/>
        <v>374.9899999999983</v>
      </c>
      <c r="J1244" s="12">
        <v>572000007</v>
      </c>
    </row>
    <row r="1245" spans="3:10" x14ac:dyDescent="0.3">
      <c r="C1245" s="9"/>
      <c r="D1245" s="10">
        <v>45853</v>
      </c>
      <c r="E1245" t="s">
        <v>1119</v>
      </c>
      <c r="F1245" s="11" t="s">
        <v>1120</v>
      </c>
      <c r="G1245" s="8">
        <v>486.8</v>
      </c>
      <c r="H1245" s="8">
        <v>0</v>
      </c>
      <c r="I1245" s="8">
        <f t="shared" si="42"/>
        <v>861.78999999999837</v>
      </c>
      <c r="J1245" s="12"/>
    </row>
    <row r="1246" spans="3:10" x14ac:dyDescent="0.3">
      <c r="C1246" s="9"/>
      <c r="D1246" s="10">
        <v>45874</v>
      </c>
      <c r="E1246" t="s">
        <v>1121</v>
      </c>
      <c r="F1246" s="11" t="s">
        <v>1122</v>
      </c>
      <c r="G1246" s="8">
        <v>164.71</v>
      </c>
      <c r="H1246" s="8">
        <v>0</v>
      </c>
      <c r="I1246" s="8">
        <f t="shared" si="42"/>
        <v>1026.4999999999984</v>
      </c>
      <c r="J1246" s="12"/>
    </row>
    <row r="1247" spans="3:10" x14ac:dyDescent="0.3">
      <c r="C1247" s="9"/>
      <c r="D1247" s="10">
        <v>45905</v>
      </c>
      <c r="E1247" t="s">
        <v>1123</v>
      </c>
      <c r="F1247" s="11" t="s">
        <v>1124</v>
      </c>
      <c r="G1247" s="8">
        <v>626.63</v>
      </c>
      <c r="H1247" s="8">
        <v>0</v>
      </c>
      <c r="I1247" s="8">
        <f t="shared" si="42"/>
        <v>1653.1299999999983</v>
      </c>
      <c r="J1247" s="12"/>
    </row>
    <row r="1248" spans="3:10" x14ac:dyDescent="0.3">
      <c r="C1248" s="9"/>
      <c r="D1248" s="10">
        <v>45923</v>
      </c>
      <c r="E1248" t="s">
        <v>305</v>
      </c>
      <c r="F1248" s="11" t="s">
        <v>14</v>
      </c>
      <c r="G1248" s="8">
        <v>0</v>
      </c>
      <c r="H1248" s="8">
        <v>164.71</v>
      </c>
      <c r="I1248" s="8">
        <f t="shared" si="42"/>
        <v>1488.4199999999983</v>
      </c>
      <c r="J1248" s="12">
        <v>572000007</v>
      </c>
    </row>
    <row r="1249" spans="1:10" x14ac:dyDescent="0.3">
      <c r="E1249" s="4" t="s">
        <v>116</v>
      </c>
      <c r="G1249" s="8">
        <f>SUM(G1225:G1248)</f>
        <v>9865.7499999999964</v>
      </c>
      <c r="H1249" s="8">
        <f>SUM(H1225:H1248)</f>
        <v>8377.33</v>
      </c>
      <c r="I1249" s="8">
        <f>G1249-H1249</f>
        <v>1488.4199999999964</v>
      </c>
    </row>
    <row r="1251" spans="1:10" x14ac:dyDescent="0.3">
      <c r="A1251" s="5">
        <v>430000048</v>
      </c>
      <c r="B1251" s="6" t="s">
        <v>1125</v>
      </c>
      <c r="C1251" s="7"/>
      <c r="D1251" s="7"/>
      <c r="E1251" s="7"/>
      <c r="F1251" s="7"/>
      <c r="G1251" s="7"/>
      <c r="H1251" s="7"/>
      <c r="I1251" s="7"/>
      <c r="J1251" s="7"/>
    </row>
    <row r="1252" spans="1:10" x14ac:dyDescent="0.3">
      <c r="E1252" s="4" t="s">
        <v>11</v>
      </c>
      <c r="G1252" s="8">
        <v>175.52</v>
      </c>
      <c r="H1252" s="8">
        <v>0</v>
      </c>
      <c r="I1252" s="8">
        <f>G1252-H1252</f>
        <v>175.52</v>
      </c>
    </row>
    <row r="1253" spans="1:10" x14ac:dyDescent="0.3">
      <c r="C1253" s="9" t="s">
        <v>12</v>
      </c>
      <c r="D1253" s="10">
        <v>45659</v>
      </c>
      <c r="E1253" t="s">
        <v>1126</v>
      </c>
      <c r="F1253" s="11" t="s">
        <v>1127</v>
      </c>
      <c r="G1253" s="8">
        <v>0</v>
      </c>
      <c r="H1253" s="8">
        <v>250.87</v>
      </c>
      <c r="I1253" s="8">
        <f t="shared" ref="I1253:I1259" si="43">G1253-H1253+I1252</f>
        <v>-75.349999999999994</v>
      </c>
      <c r="J1253" s="12"/>
    </row>
    <row r="1254" spans="1:10" x14ac:dyDescent="0.3">
      <c r="C1254" s="9" t="s">
        <v>12</v>
      </c>
      <c r="D1254" s="10">
        <v>45659</v>
      </c>
      <c r="E1254" t="s">
        <v>1128</v>
      </c>
      <c r="F1254" s="11" t="s">
        <v>1129</v>
      </c>
      <c r="G1254" s="8">
        <v>0</v>
      </c>
      <c r="H1254" s="8">
        <v>-75.349999999999994</v>
      </c>
      <c r="I1254" s="8">
        <f t="shared" si="43"/>
        <v>0</v>
      </c>
      <c r="J1254" s="12">
        <v>430000048</v>
      </c>
    </row>
    <row r="1255" spans="1:10" x14ac:dyDescent="0.3">
      <c r="C1255" s="9"/>
      <c r="D1255" s="10">
        <v>45659</v>
      </c>
      <c r="E1255" t="s">
        <v>1128</v>
      </c>
      <c r="F1255" s="11" t="s">
        <v>1129</v>
      </c>
      <c r="G1255" s="8">
        <v>-75.349999999999994</v>
      </c>
      <c r="H1255" s="8">
        <v>0</v>
      </c>
      <c r="I1255" s="8">
        <f t="shared" si="43"/>
        <v>-75.349999999999994</v>
      </c>
      <c r="J1255" s="12">
        <v>430000048</v>
      </c>
    </row>
    <row r="1256" spans="1:10" x14ac:dyDescent="0.3">
      <c r="C1256" s="9" t="s">
        <v>12</v>
      </c>
      <c r="D1256" s="10">
        <v>45769</v>
      </c>
      <c r="E1256" t="s">
        <v>1130</v>
      </c>
      <c r="F1256" s="11" t="s">
        <v>1131</v>
      </c>
      <c r="G1256" s="8">
        <v>227.6</v>
      </c>
      <c r="H1256" s="8">
        <v>0</v>
      </c>
      <c r="I1256" s="8">
        <f t="shared" si="43"/>
        <v>152.25</v>
      </c>
      <c r="J1256" s="12"/>
    </row>
    <row r="1257" spans="1:10" x14ac:dyDescent="0.3">
      <c r="C1257" s="9" t="s">
        <v>12</v>
      </c>
      <c r="D1257" s="10">
        <v>45813</v>
      </c>
      <c r="E1257" t="s">
        <v>1059</v>
      </c>
      <c r="F1257" s="11" t="s">
        <v>14</v>
      </c>
      <c r="G1257" s="8">
        <v>0</v>
      </c>
      <c r="H1257" s="8">
        <v>227.6</v>
      </c>
      <c r="I1257" s="8">
        <f t="shared" si="43"/>
        <v>-75.349999999999994</v>
      </c>
      <c r="J1257" s="12"/>
    </row>
    <row r="1258" spans="1:10" x14ac:dyDescent="0.3">
      <c r="C1258" s="9"/>
      <c r="D1258" s="10">
        <v>45905</v>
      </c>
      <c r="E1258" t="s">
        <v>1132</v>
      </c>
      <c r="F1258" s="11" t="s">
        <v>1133</v>
      </c>
      <c r="G1258" s="8">
        <v>246.42</v>
      </c>
      <c r="H1258" s="8">
        <v>0</v>
      </c>
      <c r="I1258" s="8">
        <f t="shared" si="43"/>
        <v>171.07</v>
      </c>
      <c r="J1258" s="12"/>
    </row>
    <row r="1259" spans="1:10" x14ac:dyDescent="0.3">
      <c r="C1259" s="9"/>
      <c r="D1259" s="10">
        <v>45917</v>
      </c>
      <c r="E1259" t="s">
        <v>1134</v>
      </c>
      <c r="F1259" s="11" t="s">
        <v>1135</v>
      </c>
      <c r="G1259" s="8">
        <v>961.25</v>
      </c>
      <c r="H1259" s="8">
        <v>0</v>
      </c>
      <c r="I1259" s="8">
        <f t="shared" si="43"/>
        <v>1132.32</v>
      </c>
      <c r="J1259" s="12"/>
    </row>
    <row r="1260" spans="1:10" x14ac:dyDescent="0.3">
      <c r="E1260" s="4" t="s">
        <v>116</v>
      </c>
      <c r="G1260" s="8">
        <f>SUM(G1252:G1259)</f>
        <v>1535.44</v>
      </c>
      <c r="H1260" s="8">
        <f>SUM(H1252:H1259)</f>
        <v>403.12</v>
      </c>
      <c r="I1260" s="8">
        <f>G1260-H1260</f>
        <v>1132.3200000000002</v>
      </c>
    </row>
    <row r="1262" spans="1:10" x14ac:dyDescent="0.3">
      <c r="A1262" s="5">
        <v>430000051</v>
      </c>
      <c r="B1262" s="6" t="s">
        <v>1136</v>
      </c>
      <c r="C1262" s="7"/>
      <c r="D1262" s="7"/>
      <c r="E1262" s="7"/>
      <c r="F1262" s="7"/>
      <c r="G1262" s="7"/>
      <c r="H1262" s="7"/>
      <c r="I1262" s="7"/>
      <c r="J1262" s="7"/>
    </row>
    <row r="1263" spans="1:10" x14ac:dyDescent="0.3">
      <c r="C1263" s="9"/>
      <c r="D1263" s="10">
        <v>45883</v>
      </c>
      <c r="E1263" t="s">
        <v>1137</v>
      </c>
      <c r="F1263" s="11" t="s">
        <v>1138</v>
      </c>
      <c r="G1263" s="8">
        <v>133.1</v>
      </c>
      <c r="H1263" s="8">
        <v>0</v>
      </c>
      <c r="I1263" s="8">
        <f>G1263-H1263</f>
        <v>133.1</v>
      </c>
      <c r="J1263" s="12"/>
    </row>
    <row r="1264" spans="1:10" x14ac:dyDescent="0.3">
      <c r="C1264" s="9"/>
      <c r="D1264" s="10">
        <v>45888</v>
      </c>
      <c r="E1264" t="s">
        <v>1139</v>
      </c>
      <c r="F1264" s="11" t="s">
        <v>1140</v>
      </c>
      <c r="G1264" s="8">
        <v>133.1</v>
      </c>
      <c r="H1264" s="8">
        <v>0</v>
      </c>
      <c r="I1264" s="8">
        <f>G1264-H1264+I1263</f>
        <v>266.2</v>
      </c>
      <c r="J1264" s="12"/>
    </row>
    <row r="1265" spans="1:10" x14ac:dyDescent="0.3">
      <c r="E1265" s="4" t="s">
        <v>116</v>
      </c>
      <c r="G1265" s="8">
        <f>SUM(G1263:G1264)</f>
        <v>266.2</v>
      </c>
      <c r="H1265" s="8">
        <f>SUM(H1263:H1264)</f>
        <v>0</v>
      </c>
      <c r="I1265" s="8">
        <f>G1265-H1265</f>
        <v>266.2</v>
      </c>
    </row>
    <row r="1267" spans="1:10" x14ac:dyDescent="0.3">
      <c r="A1267" s="5">
        <v>430000071</v>
      </c>
      <c r="B1267" s="6" t="s">
        <v>1141</v>
      </c>
      <c r="C1267" s="7"/>
      <c r="D1267" s="7"/>
      <c r="E1267" s="7"/>
      <c r="F1267" s="7"/>
      <c r="G1267" s="7"/>
      <c r="H1267" s="7"/>
      <c r="I1267" s="7"/>
      <c r="J1267" s="7"/>
    </row>
    <row r="1268" spans="1:10" x14ac:dyDescent="0.3">
      <c r="C1268" s="9"/>
      <c r="D1268" s="10">
        <v>45859</v>
      </c>
      <c r="E1268" t="s">
        <v>1059</v>
      </c>
      <c r="F1268" s="11" t="s">
        <v>14</v>
      </c>
      <c r="G1268" s="8">
        <v>0</v>
      </c>
      <c r="H1268" s="8">
        <v>138.96</v>
      </c>
      <c r="I1268" s="8">
        <f>G1268-H1268</f>
        <v>-138.96</v>
      </c>
      <c r="J1268" s="12"/>
    </row>
    <row r="1269" spans="1:10" x14ac:dyDescent="0.3">
      <c r="E1269" s="4" t="s">
        <v>116</v>
      </c>
      <c r="G1269" s="8">
        <f>G1268</f>
        <v>0</v>
      </c>
      <c r="H1269" s="8">
        <f>H1268</f>
        <v>138.96</v>
      </c>
      <c r="I1269" s="8">
        <f>G1269-H1269</f>
        <v>-138.96</v>
      </c>
    </row>
    <row r="1271" spans="1:10" x14ac:dyDescent="0.3">
      <c r="A1271" s="5">
        <v>430000073</v>
      </c>
      <c r="B1271" s="6" t="s">
        <v>1142</v>
      </c>
      <c r="C1271" s="7"/>
      <c r="D1271" s="7"/>
      <c r="E1271" s="7"/>
      <c r="F1271" s="7"/>
      <c r="G1271" s="7"/>
      <c r="H1271" s="7"/>
      <c r="I1271" s="7"/>
      <c r="J1271" s="7"/>
    </row>
    <row r="1272" spans="1:10" x14ac:dyDescent="0.3">
      <c r="E1272" s="4" t="s">
        <v>11</v>
      </c>
      <c r="G1272" s="8">
        <v>3106.14</v>
      </c>
      <c r="H1272" s="8">
        <v>0</v>
      </c>
      <c r="I1272" s="8">
        <f>G1272-H1272</f>
        <v>3106.14</v>
      </c>
    </row>
    <row r="1273" spans="1:10" x14ac:dyDescent="0.3">
      <c r="E1273" s="4" t="s">
        <v>116</v>
      </c>
      <c r="G1273" s="8">
        <f>G1272</f>
        <v>3106.14</v>
      </c>
      <c r="H1273" s="8">
        <f>H1272</f>
        <v>0</v>
      </c>
      <c r="I1273" s="8">
        <f>G1273-H1273</f>
        <v>3106.14</v>
      </c>
    </row>
    <row r="1275" spans="1:10" x14ac:dyDescent="0.3">
      <c r="A1275" s="5">
        <v>430000076</v>
      </c>
      <c r="B1275" s="6" t="s">
        <v>1143</v>
      </c>
      <c r="C1275" s="7"/>
      <c r="D1275" s="7"/>
      <c r="E1275" s="7"/>
      <c r="F1275" s="7"/>
      <c r="G1275" s="7"/>
      <c r="H1275" s="7"/>
      <c r="I1275" s="7"/>
      <c r="J1275" s="7"/>
    </row>
    <row r="1276" spans="1:10" x14ac:dyDescent="0.3">
      <c r="C1276" s="9"/>
      <c r="D1276" s="10">
        <v>45912</v>
      </c>
      <c r="E1276" t="s">
        <v>1144</v>
      </c>
      <c r="F1276" s="11" t="s">
        <v>1145</v>
      </c>
      <c r="G1276" s="8">
        <v>253.79</v>
      </c>
      <c r="H1276" s="8">
        <v>0</v>
      </c>
      <c r="I1276" s="8">
        <f>G1276-H1276</f>
        <v>253.79</v>
      </c>
      <c r="J1276" s="12"/>
    </row>
    <row r="1277" spans="1:10" x14ac:dyDescent="0.3">
      <c r="E1277" s="4" t="s">
        <v>116</v>
      </c>
      <c r="G1277" s="8">
        <f>G1276</f>
        <v>253.79</v>
      </c>
      <c r="H1277" s="8">
        <f>H1276</f>
        <v>0</v>
      </c>
      <c r="I1277" s="8">
        <f>G1277-H1277</f>
        <v>253.79</v>
      </c>
    </row>
    <row r="1279" spans="1:10" x14ac:dyDescent="0.3">
      <c r="A1279" s="5">
        <v>430000077</v>
      </c>
      <c r="B1279" s="6" t="s">
        <v>1146</v>
      </c>
      <c r="C1279" s="7"/>
      <c r="D1279" s="7"/>
      <c r="E1279" s="7"/>
      <c r="F1279" s="7"/>
      <c r="G1279" s="7"/>
      <c r="H1279" s="7"/>
      <c r="I1279" s="7"/>
      <c r="J1279" s="7"/>
    </row>
    <row r="1280" spans="1:10" x14ac:dyDescent="0.3">
      <c r="C1280" s="9"/>
      <c r="D1280" s="10">
        <v>45715</v>
      </c>
      <c r="E1280" t="s">
        <v>1147</v>
      </c>
      <c r="F1280" s="11" t="s">
        <v>1148</v>
      </c>
      <c r="G1280" s="8">
        <v>146.94</v>
      </c>
      <c r="H1280" s="8">
        <v>0</v>
      </c>
      <c r="I1280" s="8">
        <f>G1280-H1280</f>
        <v>146.94</v>
      </c>
      <c r="J1280" s="12"/>
    </row>
    <row r="1281" spans="1:10" x14ac:dyDescent="0.3">
      <c r="E1281" s="4" t="s">
        <v>116</v>
      </c>
      <c r="G1281" s="8">
        <f>G1280</f>
        <v>146.94</v>
      </c>
      <c r="H1281" s="8">
        <f>H1280</f>
        <v>0</v>
      </c>
      <c r="I1281" s="8">
        <f>G1281-H1281</f>
        <v>146.94</v>
      </c>
    </row>
    <row r="1283" spans="1:10" x14ac:dyDescent="0.3">
      <c r="A1283" s="5">
        <v>430000086</v>
      </c>
      <c r="B1283" s="6" t="s">
        <v>1149</v>
      </c>
      <c r="C1283" s="7"/>
      <c r="D1283" s="7"/>
      <c r="E1283" s="7"/>
      <c r="F1283" s="7"/>
      <c r="G1283" s="7"/>
      <c r="H1283" s="7"/>
      <c r="I1283" s="7"/>
      <c r="J1283" s="7"/>
    </row>
    <row r="1284" spans="1:10" x14ac:dyDescent="0.3">
      <c r="C1284" s="9" t="s">
        <v>12</v>
      </c>
      <c r="D1284" s="10">
        <v>45687</v>
      </c>
      <c r="E1284" t="s">
        <v>1150</v>
      </c>
      <c r="F1284" s="11" t="s">
        <v>1151</v>
      </c>
      <c r="G1284" s="8">
        <v>399.7</v>
      </c>
      <c r="H1284" s="8">
        <v>0</v>
      </c>
      <c r="I1284" s="8">
        <f>G1284-H1284</f>
        <v>399.7</v>
      </c>
      <c r="J1284" s="12"/>
    </row>
    <row r="1285" spans="1:10" x14ac:dyDescent="0.3">
      <c r="C1285" s="9" t="s">
        <v>12</v>
      </c>
      <c r="D1285" s="10">
        <v>45688</v>
      </c>
      <c r="E1285" t="s">
        <v>1126</v>
      </c>
      <c r="F1285" s="11" t="s">
        <v>14</v>
      </c>
      <c r="G1285" s="8">
        <v>0</v>
      </c>
      <c r="H1285" s="8">
        <v>399.7</v>
      </c>
      <c r="I1285" s="8">
        <f t="shared" ref="I1285:I1290" si="44">G1285-H1285+I1284</f>
        <v>0</v>
      </c>
      <c r="J1285" s="12"/>
    </row>
    <row r="1286" spans="1:10" x14ac:dyDescent="0.3">
      <c r="C1286" s="9" t="s">
        <v>12</v>
      </c>
      <c r="D1286" s="10">
        <v>45754</v>
      </c>
      <c r="E1286" t="s">
        <v>1152</v>
      </c>
      <c r="F1286" s="11" t="s">
        <v>1153</v>
      </c>
      <c r="G1286" s="8">
        <v>472.3</v>
      </c>
      <c r="H1286" s="8">
        <v>0</v>
      </c>
      <c r="I1286" s="8">
        <f t="shared" si="44"/>
        <v>472.3</v>
      </c>
      <c r="J1286" s="12"/>
    </row>
    <row r="1287" spans="1:10" x14ac:dyDescent="0.3">
      <c r="C1287" s="9" t="s">
        <v>12</v>
      </c>
      <c r="D1287" s="10">
        <v>45769</v>
      </c>
      <c r="E1287" t="s">
        <v>1059</v>
      </c>
      <c r="F1287" s="11" t="s">
        <v>14</v>
      </c>
      <c r="G1287" s="8">
        <v>0</v>
      </c>
      <c r="H1287" s="8">
        <v>472.3</v>
      </c>
      <c r="I1287" s="8">
        <f t="shared" si="44"/>
        <v>0</v>
      </c>
      <c r="J1287" s="12">
        <v>572000005</v>
      </c>
    </row>
    <row r="1288" spans="1:10" x14ac:dyDescent="0.3">
      <c r="C1288" s="9"/>
      <c r="D1288" s="10">
        <v>45834</v>
      </c>
      <c r="E1288" t="s">
        <v>1154</v>
      </c>
      <c r="F1288" s="11" t="s">
        <v>1155</v>
      </c>
      <c r="G1288" s="8">
        <v>205.25</v>
      </c>
      <c r="H1288" s="8">
        <v>0</v>
      </c>
      <c r="I1288" s="8">
        <f t="shared" si="44"/>
        <v>205.25</v>
      </c>
      <c r="J1288" s="12"/>
    </row>
    <row r="1289" spans="1:10" x14ac:dyDescent="0.3">
      <c r="C1289" s="9"/>
      <c r="D1289" s="10">
        <v>45848</v>
      </c>
      <c r="E1289" t="s">
        <v>1059</v>
      </c>
      <c r="F1289" s="11" t="s">
        <v>14</v>
      </c>
      <c r="G1289" s="8">
        <v>0</v>
      </c>
      <c r="H1289" s="8">
        <v>205.25</v>
      </c>
      <c r="I1289" s="8">
        <f t="shared" si="44"/>
        <v>0</v>
      </c>
      <c r="J1289" s="12"/>
    </row>
    <row r="1290" spans="1:10" x14ac:dyDescent="0.3">
      <c r="C1290" s="9"/>
      <c r="D1290" s="10">
        <v>45919</v>
      </c>
      <c r="E1290" t="s">
        <v>1156</v>
      </c>
      <c r="F1290" s="11" t="s">
        <v>1157</v>
      </c>
      <c r="G1290" s="8">
        <v>1051</v>
      </c>
      <c r="H1290" s="8">
        <v>0</v>
      </c>
      <c r="I1290" s="8">
        <f t="shared" si="44"/>
        <v>1051</v>
      </c>
      <c r="J1290" s="12"/>
    </row>
    <row r="1291" spans="1:10" x14ac:dyDescent="0.3">
      <c r="E1291" s="4" t="s">
        <v>116</v>
      </c>
      <c r="G1291" s="8">
        <f>SUM(G1284:G1290)</f>
        <v>2128.25</v>
      </c>
      <c r="H1291" s="8">
        <f>SUM(H1284:H1290)</f>
        <v>1077.25</v>
      </c>
      <c r="I1291" s="8">
        <f>G1291-H1291</f>
        <v>1051</v>
      </c>
    </row>
    <row r="1293" spans="1:10" x14ac:dyDescent="0.3">
      <c r="A1293" s="5">
        <v>430000092</v>
      </c>
      <c r="B1293" s="6" t="s">
        <v>1158</v>
      </c>
      <c r="C1293" s="7"/>
      <c r="D1293" s="7"/>
      <c r="E1293" s="7"/>
      <c r="F1293" s="7"/>
      <c r="G1293" s="7"/>
      <c r="H1293" s="7"/>
      <c r="I1293" s="7"/>
      <c r="J1293" s="7"/>
    </row>
    <row r="1294" spans="1:10" x14ac:dyDescent="0.3">
      <c r="E1294" s="4" t="s">
        <v>11</v>
      </c>
      <c r="G1294" s="8">
        <v>578.72</v>
      </c>
      <c r="H1294" s="8">
        <v>0</v>
      </c>
      <c r="I1294" s="8">
        <f>G1294-H1294</f>
        <v>578.72</v>
      </c>
    </row>
    <row r="1295" spans="1:10" x14ac:dyDescent="0.3">
      <c r="C1295" s="9" t="s">
        <v>12</v>
      </c>
      <c r="D1295" s="10">
        <v>45673</v>
      </c>
      <c r="E1295" t="s">
        <v>1159</v>
      </c>
      <c r="F1295" s="11" t="s">
        <v>1160</v>
      </c>
      <c r="G1295" s="8">
        <v>113.97</v>
      </c>
      <c r="H1295" s="8">
        <v>0</v>
      </c>
      <c r="I1295" s="8">
        <f t="shared" ref="I1295:I1303" si="45">G1295-H1295+I1294</f>
        <v>692.69</v>
      </c>
      <c r="J1295" s="12"/>
    </row>
    <row r="1296" spans="1:10" x14ac:dyDescent="0.3">
      <c r="C1296" s="9" t="s">
        <v>12</v>
      </c>
      <c r="D1296" s="10">
        <v>45687</v>
      </c>
      <c r="E1296" t="s">
        <v>108</v>
      </c>
      <c r="F1296" s="11" t="s">
        <v>14</v>
      </c>
      <c r="G1296" s="8">
        <v>0</v>
      </c>
      <c r="H1296" s="8">
        <v>319.2</v>
      </c>
      <c r="I1296" s="8">
        <f t="shared" si="45"/>
        <v>373.49000000000007</v>
      </c>
      <c r="J1296" s="12">
        <v>572000007</v>
      </c>
    </row>
    <row r="1297" spans="1:10" x14ac:dyDescent="0.3">
      <c r="C1297" s="9" t="s">
        <v>12</v>
      </c>
      <c r="D1297" s="10">
        <v>45694</v>
      </c>
      <c r="E1297" t="s">
        <v>1161</v>
      </c>
      <c r="F1297" s="11" t="s">
        <v>1162</v>
      </c>
      <c r="G1297" s="8">
        <v>225.47</v>
      </c>
      <c r="H1297" s="8">
        <v>0</v>
      </c>
      <c r="I1297" s="8">
        <f t="shared" si="45"/>
        <v>598.96</v>
      </c>
      <c r="J1297" s="12"/>
    </row>
    <row r="1298" spans="1:10" x14ac:dyDescent="0.3">
      <c r="C1298" s="9" t="s">
        <v>12</v>
      </c>
      <c r="D1298" s="10">
        <v>45744</v>
      </c>
      <c r="E1298" t="s">
        <v>108</v>
      </c>
      <c r="F1298" s="11" t="s">
        <v>14</v>
      </c>
      <c r="G1298" s="8">
        <v>0</v>
      </c>
      <c r="H1298" s="8">
        <v>373.49</v>
      </c>
      <c r="I1298" s="8">
        <f t="shared" si="45"/>
        <v>225.47000000000003</v>
      </c>
      <c r="J1298" s="12">
        <v>572000007</v>
      </c>
    </row>
    <row r="1299" spans="1:10" x14ac:dyDescent="0.3">
      <c r="C1299" s="9"/>
      <c r="D1299" s="10">
        <v>45749</v>
      </c>
      <c r="E1299" t="s">
        <v>1163</v>
      </c>
      <c r="F1299" s="11" t="s">
        <v>1164</v>
      </c>
      <c r="G1299" s="8">
        <v>2149.67</v>
      </c>
      <c r="H1299" s="8">
        <v>0</v>
      </c>
      <c r="I1299" s="8">
        <f t="shared" si="45"/>
        <v>2375.1400000000003</v>
      </c>
      <c r="J1299" s="12"/>
    </row>
    <row r="1300" spans="1:10" x14ac:dyDescent="0.3">
      <c r="C1300" s="9" t="s">
        <v>12</v>
      </c>
      <c r="D1300" s="10">
        <v>45758</v>
      </c>
      <c r="E1300" t="s">
        <v>305</v>
      </c>
      <c r="F1300" s="11" t="s">
        <v>14</v>
      </c>
      <c r="G1300" s="8">
        <v>0</v>
      </c>
      <c r="H1300" s="8">
        <v>225.47</v>
      </c>
      <c r="I1300" s="8">
        <f t="shared" si="45"/>
        <v>2149.6700000000005</v>
      </c>
      <c r="J1300" s="12">
        <v>572000007</v>
      </c>
    </row>
    <row r="1301" spans="1:10" x14ac:dyDescent="0.3">
      <c r="C1301" s="9"/>
      <c r="D1301" s="10">
        <v>45819</v>
      </c>
      <c r="E1301" t="s">
        <v>886</v>
      </c>
      <c r="F1301" s="11" t="s">
        <v>14</v>
      </c>
      <c r="G1301" s="8">
        <v>0</v>
      </c>
      <c r="H1301" s="8">
        <v>2149.67</v>
      </c>
      <c r="I1301" s="8">
        <f t="shared" si="45"/>
        <v>0</v>
      </c>
      <c r="J1301" s="12">
        <v>572000007</v>
      </c>
    </row>
    <row r="1302" spans="1:10" x14ac:dyDescent="0.3">
      <c r="C1302" s="9"/>
      <c r="D1302" s="10">
        <v>45869</v>
      </c>
      <c r="E1302" t="s">
        <v>1165</v>
      </c>
      <c r="F1302" s="11" t="s">
        <v>1166</v>
      </c>
      <c r="G1302" s="8">
        <v>330.33</v>
      </c>
      <c r="H1302" s="8">
        <v>0</v>
      </c>
      <c r="I1302" s="8">
        <f t="shared" si="45"/>
        <v>330.33</v>
      </c>
      <c r="J1302" s="12"/>
    </row>
    <row r="1303" spans="1:10" x14ac:dyDescent="0.3">
      <c r="C1303" s="9"/>
      <c r="D1303" s="10">
        <v>45883</v>
      </c>
      <c r="E1303" t="s">
        <v>1167</v>
      </c>
      <c r="F1303" s="11" t="s">
        <v>1168</v>
      </c>
      <c r="G1303" s="8">
        <v>389.8</v>
      </c>
      <c r="H1303" s="8">
        <v>0</v>
      </c>
      <c r="I1303" s="8">
        <f t="shared" si="45"/>
        <v>720.13</v>
      </c>
      <c r="J1303" s="12"/>
    </row>
    <row r="1304" spans="1:10" x14ac:dyDescent="0.3">
      <c r="E1304" s="4" t="s">
        <v>116</v>
      </c>
      <c r="G1304" s="8">
        <f>SUM(G1294:G1303)</f>
        <v>3787.96</v>
      </c>
      <c r="H1304" s="8">
        <f>SUM(H1294:H1303)</f>
        <v>3067.83</v>
      </c>
      <c r="I1304" s="8">
        <f>G1304-H1304</f>
        <v>720.13000000000011</v>
      </c>
    </row>
    <row r="1306" spans="1:10" x14ac:dyDescent="0.3">
      <c r="A1306" s="5">
        <v>430000101</v>
      </c>
      <c r="B1306" s="6" t="s">
        <v>1169</v>
      </c>
      <c r="C1306" s="7"/>
      <c r="D1306" s="7"/>
      <c r="E1306" s="7"/>
      <c r="F1306" s="7"/>
      <c r="G1306" s="7"/>
      <c r="H1306" s="7"/>
      <c r="I1306" s="7"/>
      <c r="J1306" s="7"/>
    </row>
    <row r="1307" spans="1:10" x14ac:dyDescent="0.3">
      <c r="C1307" s="9"/>
      <c r="D1307" s="10">
        <v>45838</v>
      </c>
      <c r="E1307" t="s">
        <v>1170</v>
      </c>
      <c r="F1307" s="11" t="s">
        <v>1171</v>
      </c>
      <c r="G1307" s="8">
        <v>245.94</v>
      </c>
      <c r="H1307" s="8">
        <v>0</v>
      </c>
      <c r="I1307" s="8">
        <f>G1307-H1307</f>
        <v>245.94</v>
      </c>
      <c r="J1307" s="12"/>
    </row>
    <row r="1308" spans="1:10" x14ac:dyDescent="0.3">
      <c r="C1308" s="9"/>
      <c r="D1308" s="10">
        <v>45859</v>
      </c>
      <c r="E1308" t="s">
        <v>1059</v>
      </c>
      <c r="F1308" s="11" t="s">
        <v>14</v>
      </c>
      <c r="G1308" s="8">
        <v>0</v>
      </c>
      <c r="H1308" s="8">
        <v>245.94</v>
      </c>
      <c r="I1308" s="8">
        <f>G1308-H1308+I1307</f>
        <v>0</v>
      </c>
      <c r="J1308" s="12"/>
    </row>
    <row r="1309" spans="1:10" x14ac:dyDescent="0.3">
      <c r="C1309" s="9"/>
      <c r="D1309" s="10">
        <v>45860</v>
      </c>
      <c r="E1309" t="s">
        <v>1031</v>
      </c>
      <c r="F1309" s="11" t="s">
        <v>14</v>
      </c>
      <c r="G1309" s="8">
        <v>245.94</v>
      </c>
      <c r="H1309" s="8">
        <v>0</v>
      </c>
      <c r="I1309" s="8">
        <f>G1309-H1309+I1308</f>
        <v>245.94</v>
      </c>
      <c r="J1309" s="12">
        <v>572000005</v>
      </c>
    </row>
    <row r="1310" spans="1:10" x14ac:dyDescent="0.3">
      <c r="C1310" s="9"/>
      <c r="D1310" s="10">
        <v>45881</v>
      </c>
      <c r="E1310" t="s">
        <v>1172</v>
      </c>
      <c r="F1310" s="11" t="s">
        <v>1173</v>
      </c>
      <c r="G1310" s="8">
        <v>-245.94</v>
      </c>
      <c r="H1310" s="8">
        <v>0</v>
      </c>
      <c r="I1310" s="8">
        <f>G1310-H1310+I1309</f>
        <v>0</v>
      </c>
      <c r="J1310" s="12"/>
    </row>
    <row r="1311" spans="1:10" x14ac:dyDescent="0.3">
      <c r="C1311" s="9"/>
      <c r="D1311" s="10">
        <v>45898</v>
      </c>
      <c r="E1311" t="s">
        <v>1059</v>
      </c>
      <c r="F1311" s="11" t="s">
        <v>14</v>
      </c>
      <c r="G1311" s="8">
        <v>0</v>
      </c>
      <c r="H1311" s="8">
        <v>245.94</v>
      </c>
      <c r="I1311" s="8">
        <f>G1311-H1311+I1310</f>
        <v>-245.94</v>
      </c>
      <c r="J1311" s="12"/>
    </row>
    <row r="1312" spans="1:10" x14ac:dyDescent="0.3">
      <c r="E1312" s="4" t="s">
        <v>116</v>
      </c>
      <c r="G1312" s="8">
        <f>SUM(G1307:G1311)</f>
        <v>245.94</v>
      </c>
      <c r="H1312" s="8">
        <f>SUM(H1307:H1311)</f>
        <v>491.88</v>
      </c>
      <c r="I1312" s="8">
        <f>G1312-H1312</f>
        <v>-245.94</v>
      </c>
    </row>
    <row r="1314" spans="1:10" x14ac:dyDescent="0.3">
      <c r="A1314" s="5">
        <v>430000102</v>
      </c>
      <c r="B1314" s="6" t="s">
        <v>1174</v>
      </c>
      <c r="C1314" s="7"/>
      <c r="D1314" s="7"/>
      <c r="E1314" s="7"/>
      <c r="F1314" s="7"/>
      <c r="G1314" s="7"/>
      <c r="H1314" s="7"/>
      <c r="I1314" s="7"/>
      <c r="J1314" s="7"/>
    </row>
    <row r="1315" spans="1:10" x14ac:dyDescent="0.3">
      <c r="E1315" s="4" t="s">
        <v>11</v>
      </c>
      <c r="G1315" s="8">
        <v>199.65</v>
      </c>
      <c r="H1315" s="8">
        <v>0</v>
      </c>
      <c r="I1315" s="8">
        <f>G1315-H1315</f>
        <v>199.65</v>
      </c>
    </row>
    <row r="1316" spans="1:10" x14ac:dyDescent="0.3">
      <c r="C1316" s="9" t="s">
        <v>12</v>
      </c>
      <c r="D1316" s="10">
        <v>45679</v>
      </c>
      <c r="E1316" t="s">
        <v>1175</v>
      </c>
      <c r="F1316" s="11" t="s">
        <v>1176</v>
      </c>
      <c r="G1316" s="8">
        <v>203.13</v>
      </c>
      <c r="H1316" s="8">
        <v>0</v>
      </c>
      <c r="I1316" s="8">
        <f t="shared" ref="I1316:I1324" si="46">G1316-H1316+I1315</f>
        <v>402.78</v>
      </c>
      <c r="J1316" s="12"/>
    </row>
    <row r="1317" spans="1:10" x14ac:dyDescent="0.3">
      <c r="C1317" s="9" t="s">
        <v>12</v>
      </c>
      <c r="D1317" s="10">
        <v>45688</v>
      </c>
      <c r="E1317" t="s">
        <v>1177</v>
      </c>
      <c r="F1317" s="11" t="s">
        <v>1178</v>
      </c>
      <c r="G1317" s="8">
        <v>744.32</v>
      </c>
      <c r="H1317" s="8">
        <v>0</v>
      </c>
      <c r="I1317" s="8">
        <f t="shared" si="46"/>
        <v>1147.0999999999999</v>
      </c>
      <c r="J1317" s="12"/>
    </row>
    <row r="1318" spans="1:10" x14ac:dyDescent="0.3">
      <c r="C1318" s="9" t="s">
        <v>12</v>
      </c>
      <c r="D1318" s="10">
        <v>45712</v>
      </c>
      <c r="E1318" t="s">
        <v>886</v>
      </c>
      <c r="F1318" s="11" t="s">
        <v>14</v>
      </c>
      <c r="G1318" s="8">
        <v>0</v>
      </c>
      <c r="H1318" s="8">
        <v>203.13</v>
      </c>
      <c r="I1318" s="8">
        <f t="shared" si="46"/>
        <v>943.96999999999991</v>
      </c>
      <c r="J1318" s="12">
        <v>572000007</v>
      </c>
    </row>
    <row r="1319" spans="1:10" x14ac:dyDescent="0.3">
      <c r="C1319" s="9" t="s">
        <v>12</v>
      </c>
      <c r="D1319" s="10">
        <v>45761</v>
      </c>
      <c r="E1319" t="s">
        <v>1179</v>
      </c>
      <c r="F1319" s="11" t="s">
        <v>1180</v>
      </c>
      <c r="G1319" s="8">
        <v>423.9</v>
      </c>
      <c r="H1319" s="8">
        <v>0</v>
      </c>
      <c r="I1319" s="8">
        <f t="shared" si="46"/>
        <v>1367.87</v>
      </c>
      <c r="J1319" s="12"/>
    </row>
    <row r="1320" spans="1:10" x14ac:dyDescent="0.3">
      <c r="C1320" s="9" t="s">
        <v>12</v>
      </c>
      <c r="D1320" s="10">
        <v>45782</v>
      </c>
      <c r="E1320" t="s">
        <v>305</v>
      </c>
      <c r="F1320" s="11" t="s">
        <v>14</v>
      </c>
      <c r="G1320" s="8">
        <v>0</v>
      </c>
      <c r="H1320" s="8">
        <v>423.9</v>
      </c>
      <c r="I1320" s="8">
        <f t="shared" si="46"/>
        <v>943.96999999999991</v>
      </c>
      <c r="J1320" s="12">
        <v>572000007</v>
      </c>
    </row>
    <row r="1321" spans="1:10" x14ac:dyDescent="0.3">
      <c r="C1321" s="9"/>
      <c r="D1321" s="10">
        <v>45789</v>
      </c>
      <c r="E1321" t="s">
        <v>305</v>
      </c>
      <c r="F1321" s="11" t="s">
        <v>14</v>
      </c>
      <c r="G1321" s="8">
        <v>0</v>
      </c>
      <c r="H1321" s="8">
        <v>423.9</v>
      </c>
      <c r="I1321" s="8">
        <f t="shared" si="46"/>
        <v>520.06999999999994</v>
      </c>
      <c r="J1321" s="12">
        <v>572000007</v>
      </c>
    </row>
    <row r="1322" spans="1:10" x14ac:dyDescent="0.3">
      <c r="C1322" s="9" t="s">
        <v>12</v>
      </c>
      <c r="D1322" s="10">
        <v>45789</v>
      </c>
      <c r="E1322" t="s">
        <v>305</v>
      </c>
      <c r="F1322" s="11" t="s">
        <v>14</v>
      </c>
      <c r="G1322" s="8">
        <v>0</v>
      </c>
      <c r="H1322" s="8">
        <v>744.32</v>
      </c>
      <c r="I1322" s="8">
        <f t="shared" si="46"/>
        <v>-224.25000000000011</v>
      </c>
      <c r="J1322" s="12">
        <v>572000007</v>
      </c>
    </row>
    <row r="1323" spans="1:10" x14ac:dyDescent="0.3">
      <c r="C1323" s="9"/>
      <c r="D1323" s="10">
        <v>45824</v>
      </c>
      <c r="E1323" t="s">
        <v>1181</v>
      </c>
      <c r="F1323" s="11" t="s">
        <v>1182</v>
      </c>
      <c r="G1323" s="8">
        <v>250.24</v>
      </c>
      <c r="H1323" s="8">
        <v>0</v>
      </c>
      <c r="I1323" s="8">
        <f t="shared" si="46"/>
        <v>25.989999999999895</v>
      </c>
      <c r="J1323" s="12"/>
    </row>
    <row r="1324" spans="1:10" x14ac:dyDescent="0.3">
      <c r="C1324" s="9"/>
      <c r="D1324" s="10">
        <v>45870</v>
      </c>
      <c r="E1324" t="s">
        <v>305</v>
      </c>
      <c r="F1324" s="11" t="s">
        <v>14</v>
      </c>
      <c r="G1324" s="8">
        <v>0</v>
      </c>
      <c r="H1324" s="8">
        <v>250.24</v>
      </c>
      <c r="I1324" s="8">
        <f t="shared" si="46"/>
        <v>-224.25000000000011</v>
      </c>
      <c r="J1324" s="12">
        <v>572000007</v>
      </c>
    </row>
    <row r="1325" spans="1:10" x14ac:dyDescent="0.3">
      <c r="E1325" s="4" t="s">
        <v>116</v>
      </c>
      <c r="G1325" s="8">
        <f>SUM(G1315:G1324)</f>
        <v>1821.24</v>
      </c>
      <c r="H1325" s="8">
        <f>SUM(H1315:H1324)</f>
        <v>2045.49</v>
      </c>
      <c r="I1325" s="8">
        <f>G1325-H1325</f>
        <v>-224.25</v>
      </c>
    </row>
    <row r="1327" spans="1:10" x14ac:dyDescent="0.3">
      <c r="A1327" s="5">
        <v>430000110</v>
      </c>
      <c r="B1327" s="6" t="s">
        <v>1183</v>
      </c>
      <c r="C1327" s="7"/>
      <c r="D1327" s="7"/>
      <c r="E1327" s="7"/>
      <c r="F1327" s="7"/>
      <c r="G1327" s="7"/>
      <c r="H1327" s="7"/>
      <c r="I1327" s="7"/>
      <c r="J1327" s="7"/>
    </row>
    <row r="1328" spans="1:10" x14ac:dyDescent="0.3">
      <c r="C1328" s="9"/>
      <c r="D1328" s="10">
        <v>45888</v>
      </c>
      <c r="E1328" t="s">
        <v>1184</v>
      </c>
      <c r="F1328" s="11" t="s">
        <v>1185</v>
      </c>
      <c r="G1328" s="8">
        <v>473.3</v>
      </c>
      <c r="H1328" s="8">
        <v>0</v>
      </c>
      <c r="I1328" s="8">
        <f>G1328-H1328</f>
        <v>473.3</v>
      </c>
      <c r="J1328" s="12"/>
    </row>
    <row r="1329" spans="1:10" x14ac:dyDescent="0.3">
      <c r="E1329" s="4" t="s">
        <v>116</v>
      </c>
      <c r="G1329" s="8">
        <f>G1328</f>
        <v>473.3</v>
      </c>
      <c r="H1329" s="8">
        <f>H1328</f>
        <v>0</v>
      </c>
      <c r="I1329" s="8">
        <f>G1329-H1329</f>
        <v>473.3</v>
      </c>
    </row>
    <row r="1331" spans="1:10" x14ac:dyDescent="0.3">
      <c r="A1331" s="5">
        <v>430000123</v>
      </c>
      <c r="B1331" s="6" t="s">
        <v>1186</v>
      </c>
      <c r="C1331" s="7"/>
      <c r="D1331" s="7"/>
      <c r="E1331" s="7"/>
      <c r="F1331" s="7"/>
      <c r="G1331" s="7"/>
      <c r="H1331" s="7"/>
      <c r="I1331" s="7"/>
      <c r="J1331" s="7"/>
    </row>
    <row r="1332" spans="1:10" x14ac:dyDescent="0.3">
      <c r="E1332" s="4" t="s">
        <v>11</v>
      </c>
      <c r="G1332" s="8">
        <v>157.30000000000001</v>
      </c>
      <c r="H1332" s="8">
        <v>0</v>
      </c>
      <c r="I1332" s="8">
        <f>G1332-H1332</f>
        <v>157.30000000000001</v>
      </c>
    </row>
    <row r="1333" spans="1:10" x14ac:dyDescent="0.3">
      <c r="C1333" s="9"/>
      <c r="D1333" s="10">
        <v>45670</v>
      </c>
      <c r="E1333" t="s">
        <v>1187</v>
      </c>
      <c r="F1333" s="11" t="s">
        <v>1188</v>
      </c>
      <c r="G1333" s="8">
        <v>157.30000000000001</v>
      </c>
      <c r="H1333" s="8">
        <v>0</v>
      </c>
      <c r="I1333" s="8">
        <f>G1333-H1333+I1332</f>
        <v>314.60000000000002</v>
      </c>
      <c r="J1333" s="12"/>
    </row>
    <row r="1334" spans="1:10" x14ac:dyDescent="0.3">
      <c r="E1334" s="4" t="s">
        <v>116</v>
      </c>
      <c r="G1334" s="8">
        <f>SUM(G1332:G1333)</f>
        <v>314.60000000000002</v>
      </c>
      <c r="H1334" s="8">
        <f>SUM(H1332:H1333)</f>
        <v>0</v>
      </c>
      <c r="I1334" s="8">
        <f>G1334-H1334</f>
        <v>314.60000000000002</v>
      </c>
    </row>
    <row r="1336" spans="1:10" x14ac:dyDescent="0.3">
      <c r="A1336" s="5">
        <v>430000125</v>
      </c>
      <c r="B1336" s="6" t="s">
        <v>1189</v>
      </c>
      <c r="C1336" s="7"/>
      <c r="D1336" s="7"/>
      <c r="E1336" s="7"/>
      <c r="F1336" s="7"/>
      <c r="G1336" s="7"/>
      <c r="H1336" s="7"/>
      <c r="I1336" s="7"/>
      <c r="J1336" s="7"/>
    </row>
    <row r="1337" spans="1:10" x14ac:dyDescent="0.3">
      <c r="C1337" s="9" t="s">
        <v>12</v>
      </c>
      <c r="D1337" s="10">
        <v>45698</v>
      </c>
      <c r="E1337" t="s">
        <v>1190</v>
      </c>
      <c r="F1337" s="11" t="s">
        <v>1191</v>
      </c>
      <c r="G1337" s="8">
        <v>203.87</v>
      </c>
      <c r="H1337" s="8">
        <v>0</v>
      </c>
      <c r="I1337" s="8">
        <f>G1337-H1337</f>
        <v>203.87</v>
      </c>
      <c r="J1337" s="12"/>
    </row>
    <row r="1338" spans="1:10" x14ac:dyDescent="0.3">
      <c r="C1338" s="9" t="s">
        <v>12</v>
      </c>
      <c r="D1338" s="10">
        <v>45698</v>
      </c>
      <c r="E1338" t="s">
        <v>1059</v>
      </c>
      <c r="F1338" s="11" t="s">
        <v>14</v>
      </c>
      <c r="G1338" s="8">
        <v>0</v>
      </c>
      <c r="H1338" s="8">
        <v>203.87</v>
      </c>
      <c r="I1338" s="8">
        <f t="shared" ref="I1338:I1343" si="47">G1338-H1338+I1337</f>
        <v>0</v>
      </c>
      <c r="J1338" s="12"/>
    </row>
    <row r="1339" spans="1:10" x14ac:dyDescent="0.3">
      <c r="C1339" s="9" t="s">
        <v>12</v>
      </c>
      <c r="D1339" s="10">
        <v>45747</v>
      </c>
      <c r="E1339" t="s">
        <v>1192</v>
      </c>
      <c r="F1339" s="11" t="s">
        <v>1193</v>
      </c>
      <c r="G1339" s="8">
        <v>532.99</v>
      </c>
      <c r="H1339" s="8">
        <v>0</v>
      </c>
      <c r="I1339" s="8">
        <f t="shared" si="47"/>
        <v>532.99</v>
      </c>
      <c r="J1339" s="12"/>
    </row>
    <row r="1340" spans="1:10" x14ac:dyDescent="0.3">
      <c r="C1340" s="9" t="s">
        <v>12</v>
      </c>
      <c r="D1340" s="10">
        <v>45772</v>
      </c>
      <c r="E1340" t="s">
        <v>1194</v>
      </c>
      <c r="F1340" s="11" t="s">
        <v>1195</v>
      </c>
      <c r="G1340" s="8">
        <v>418.2</v>
      </c>
      <c r="H1340" s="8">
        <v>0</v>
      </c>
      <c r="I1340" s="8">
        <f t="shared" si="47"/>
        <v>951.19</v>
      </c>
      <c r="J1340" s="12"/>
    </row>
    <row r="1341" spans="1:10" x14ac:dyDescent="0.3">
      <c r="C1341" s="9" t="s">
        <v>12</v>
      </c>
      <c r="D1341" s="10">
        <v>45782</v>
      </c>
      <c r="E1341" t="s">
        <v>1059</v>
      </c>
      <c r="F1341" s="11" t="s">
        <v>14</v>
      </c>
      <c r="G1341" s="8">
        <v>0</v>
      </c>
      <c r="H1341" s="8">
        <v>418.2</v>
      </c>
      <c r="I1341" s="8">
        <f t="shared" si="47"/>
        <v>532.99</v>
      </c>
      <c r="J1341" s="12"/>
    </row>
    <row r="1342" spans="1:10" x14ac:dyDescent="0.3">
      <c r="C1342" s="9" t="s">
        <v>12</v>
      </c>
      <c r="D1342" s="10">
        <v>45789</v>
      </c>
      <c r="E1342" t="s">
        <v>1059</v>
      </c>
      <c r="F1342" s="11" t="s">
        <v>14</v>
      </c>
      <c r="G1342" s="8">
        <v>0</v>
      </c>
      <c r="H1342" s="8">
        <v>532.99</v>
      </c>
      <c r="I1342" s="8">
        <f t="shared" si="47"/>
        <v>0</v>
      </c>
      <c r="J1342" s="12"/>
    </row>
    <row r="1343" spans="1:10" x14ac:dyDescent="0.3">
      <c r="C1343" s="9"/>
      <c r="D1343" s="10">
        <v>45791</v>
      </c>
      <c r="E1343" t="s">
        <v>1031</v>
      </c>
      <c r="F1343" s="11" t="s">
        <v>14</v>
      </c>
      <c r="G1343" s="8">
        <v>532.99</v>
      </c>
      <c r="H1343" s="8">
        <v>0</v>
      </c>
      <c r="I1343" s="8">
        <f t="shared" si="47"/>
        <v>532.99</v>
      </c>
      <c r="J1343" s="12">
        <v>572000005</v>
      </c>
    </row>
    <row r="1344" spans="1:10" x14ac:dyDescent="0.3">
      <c r="E1344" s="4" t="s">
        <v>116</v>
      </c>
      <c r="G1344" s="8">
        <f>SUM(G1337:G1343)</f>
        <v>1688.05</v>
      </c>
      <c r="H1344" s="8">
        <f>SUM(H1337:H1343)</f>
        <v>1155.06</v>
      </c>
      <c r="I1344" s="8">
        <f>G1344-H1344</f>
        <v>532.99</v>
      </c>
    </row>
    <row r="1346" spans="1:10" x14ac:dyDescent="0.3">
      <c r="A1346" s="5">
        <v>430000129</v>
      </c>
      <c r="B1346" s="6" t="s">
        <v>1196</v>
      </c>
      <c r="C1346" s="7"/>
      <c r="D1346" s="7"/>
      <c r="E1346" s="7"/>
      <c r="F1346" s="7"/>
      <c r="G1346" s="7"/>
      <c r="H1346" s="7"/>
      <c r="I1346" s="7"/>
      <c r="J1346" s="7"/>
    </row>
    <row r="1347" spans="1:10" x14ac:dyDescent="0.3">
      <c r="C1347" s="9" t="s">
        <v>12</v>
      </c>
      <c r="D1347" s="10">
        <v>45679</v>
      </c>
      <c r="E1347" t="s">
        <v>1197</v>
      </c>
      <c r="F1347" s="11" t="s">
        <v>1198</v>
      </c>
      <c r="G1347" s="8">
        <v>1404.06</v>
      </c>
      <c r="H1347" s="8">
        <v>0</v>
      </c>
      <c r="I1347" s="8">
        <f>G1347-H1347</f>
        <v>1404.06</v>
      </c>
      <c r="J1347" s="12"/>
    </row>
    <row r="1348" spans="1:10" x14ac:dyDescent="0.3">
      <c r="C1348" s="9" t="s">
        <v>12</v>
      </c>
      <c r="D1348" s="10">
        <v>45680</v>
      </c>
      <c r="E1348" t="s">
        <v>1126</v>
      </c>
      <c r="F1348" s="11" t="s">
        <v>14</v>
      </c>
      <c r="G1348" s="8">
        <v>0</v>
      </c>
      <c r="H1348" s="8">
        <v>1404.06</v>
      </c>
      <c r="I1348" s="8">
        <f t="shared" ref="I1348:I1355" si="48">G1348-H1348+I1347</f>
        <v>0</v>
      </c>
      <c r="J1348" s="12"/>
    </row>
    <row r="1349" spans="1:10" x14ac:dyDescent="0.3">
      <c r="C1349" s="9" t="s">
        <v>12</v>
      </c>
      <c r="D1349" s="10">
        <v>45729</v>
      </c>
      <c r="E1349" t="s">
        <v>1199</v>
      </c>
      <c r="F1349" s="11" t="s">
        <v>1200</v>
      </c>
      <c r="G1349" s="8">
        <v>491.94</v>
      </c>
      <c r="H1349" s="8">
        <v>0</v>
      </c>
      <c r="I1349" s="8">
        <f t="shared" si="48"/>
        <v>491.94</v>
      </c>
      <c r="J1349" s="12"/>
    </row>
    <row r="1350" spans="1:10" x14ac:dyDescent="0.3">
      <c r="C1350" s="9" t="s">
        <v>12</v>
      </c>
      <c r="D1350" s="10">
        <v>45733</v>
      </c>
      <c r="E1350" t="s">
        <v>1059</v>
      </c>
      <c r="F1350" s="11" t="s">
        <v>14</v>
      </c>
      <c r="G1350" s="8">
        <v>0</v>
      </c>
      <c r="H1350" s="8">
        <v>491.94</v>
      </c>
      <c r="I1350" s="8">
        <f t="shared" si="48"/>
        <v>0</v>
      </c>
      <c r="J1350" s="12"/>
    </row>
    <row r="1351" spans="1:10" x14ac:dyDescent="0.3">
      <c r="C1351" s="9" t="s">
        <v>12</v>
      </c>
      <c r="D1351" s="10">
        <v>45741</v>
      </c>
      <c r="E1351" t="s">
        <v>1201</v>
      </c>
      <c r="F1351" s="11" t="s">
        <v>1202</v>
      </c>
      <c r="G1351" s="8">
        <v>351.08</v>
      </c>
      <c r="H1351" s="8">
        <v>0</v>
      </c>
      <c r="I1351" s="8">
        <f t="shared" si="48"/>
        <v>351.08</v>
      </c>
      <c r="J1351" s="12"/>
    </row>
    <row r="1352" spans="1:10" x14ac:dyDescent="0.3">
      <c r="C1352" s="9" t="s">
        <v>12</v>
      </c>
      <c r="D1352" s="10">
        <v>45742</v>
      </c>
      <c r="E1352" t="s">
        <v>1059</v>
      </c>
      <c r="F1352" s="11" t="s">
        <v>14</v>
      </c>
      <c r="G1352" s="8">
        <v>0</v>
      </c>
      <c r="H1352" s="8">
        <v>351.08</v>
      </c>
      <c r="I1352" s="8">
        <f t="shared" si="48"/>
        <v>0</v>
      </c>
      <c r="J1352" s="12"/>
    </row>
    <row r="1353" spans="1:10" x14ac:dyDescent="0.3">
      <c r="C1353" s="9" t="s">
        <v>12</v>
      </c>
      <c r="D1353" s="10">
        <v>45784</v>
      </c>
      <c r="E1353" t="s">
        <v>1203</v>
      </c>
      <c r="F1353" s="11" t="s">
        <v>1204</v>
      </c>
      <c r="G1353" s="8">
        <v>624.84</v>
      </c>
      <c r="H1353" s="8">
        <v>0</v>
      </c>
      <c r="I1353" s="8">
        <f t="shared" si="48"/>
        <v>624.84</v>
      </c>
      <c r="J1353" s="12"/>
    </row>
    <row r="1354" spans="1:10" x14ac:dyDescent="0.3">
      <c r="C1354" s="9" t="s">
        <v>12</v>
      </c>
      <c r="D1354" s="10">
        <v>45799</v>
      </c>
      <c r="E1354" t="s">
        <v>1059</v>
      </c>
      <c r="F1354" s="11" t="s">
        <v>14</v>
      </c>
      <c r="G1354" s="8">
        <v>0</v>
      </c>
      <c r="H1354" s="8">
        <v>624.84</v>
      </c>
      <c r="I1354" s="8">
        <f t="shared" si="48"/>
        <v>0</v>
      </c>
      <c r="J1354" s="12">
        <v>572000005</v>
      </c>
    </row>
    <row r="1355" spans="1:10" x14ac:dyDescent="0.3">
      <c r="C1355" s="9"/>
      <c r="D1355" s="10">
        <v>45881</v>
      </c>
      <c r="E1355" t="s">
        <v>1205</v>
      </c>
      <c r="F1355" s="11" t="s">
        <v>1206</v>
      </c>
      <c r="G1355" s="8">
        <v>245.94</v>
      </c>
      <c r="H1355" s="8">
        <v>0</v>
      </c>
      <c r="I1355" s="8">
        <f t="shared" si="48"/>
        <v>245.94</v>
      </c>
      <c r="J1355" s="12"/>
    </row>
    <row r="1356" spans="1:10" x14ac:dyDescent="0.3">
      <c r="E1356" s="4" t="s">
        <v>116</v>
      </c>
      <c r="G1356" s="8">
        <f>SUM(G1347:G1355)</f>
        <v>3117.86</v>
      </c>
      <c r="H1356" s="8">
        <f>SUM(H1347:H1355)</f>
        <v>2871.92</v>
      </c>
      <c r="I1356" s="8">
        <f>G1356-H1356</f>
        <v>245.94000000000005</v>
      </c>
    </row>
    <row r="1358" spans="1:10" x14ac:dyDescent="0.3">
      <c r="A1358" s="5">
        <v>430000145</v>
      </c>
      <c r="B1358" s="6" t="s">
        <v>1207</v>
      </c>
      <c r="C1358" s="7"/>
      <c r="D1358" s="7"/>
      <c r="E1358" s="7"/>
      <c r="F1358" s="7"/>
      <c r="G1358" s="7"/>
      <c r="H1358" s="7"/>
      <c r="I1358" s="7"/>
      <c r="J1358" s="7"/>
    </row>
    <row r="1359" spans="1:10" x14ac:dyDescent="0.3">
      <c r="C1359" s="9" t="s">
        <v>12</v>
      </c>
      <c r="D1359" s="10">
        <v>45685</v>
      </c>
      <c r="E1359" t="s">
        <v>1208</v>
      </c>
      <c r="F1359" s="11" t="s">
        <v>1209</v>
      </c>
      <c r="G1359" s="8">
        <v>154.97999999999999</v>
      </c>
      <c r="H1359" s="8">
        <v>0</v>
      </c>
      <c r="I1359" s="8">
        <f>G1359-H1359</f>
        <v>154.97999999999999</v>
      </c>
      <c r="J1359" s="12"/>
    </row>
    <row r="1360" spans="1:10" x14ac:dyDescent="0.3">
      <c r="C1360" s="9" t="s">
        <v>12</v>
      </c>
      <c r="D1360" s="10">
        <v>45687</v>
      </c>
      <c r="E1360" t="s">
        <v>1126</v>
      </c>
      <c r="F1360" s="11" t="s">
        <v>14</v>
      </c>
      <c r="G1360" s="8">
        <v>0</v>
      </c>
      <c r="H1360" s="8">
        <v>154.97999999999999</v>
      </c>
      <c r="I1360" s="8">
        <f t="shared" ref="I1360:I1374" si="49">G1360-H1360+I1359</f>
        <v>0</v>
      </c>
      <c r="J1360" s="12"/>
    </row>
    <row r="1361" spans="3:10" x14ac:dyDescent="0.3">
      <c r="C1361" s="9" t="s">
        <v>12</v>
      </c>
      <c r="D1361" s="10">
        <v>45698</v>
      </c>
      <c r="E1361" t="s">
        <v>1210</v>
      </c>
      <c r="F1361" s="11" t="s">
        <v>1211</v>
      </c>
      <c r="G1361" s="8">
        <v>258.77</v>
      </c>
      <c r="H1361" s="8">
        <v>0</v>
      </c>
      <c r="I1361" s="8">
        <f t="shared" si="49"/>
        <v>258.77</v>
      </c>
      <c r="J1361" s="12"/>
    </row>
    <row r="1362" spans="3:10" x14ac:dyDescent="0.3">
      <c r="C1362" s="9" t="s">
        <v>12</v>
      </c>
      <c r="D1362" s="10">
        <v>45698</v>
      </c>
      <c r="E1362" t="s">
        <v>1059</v>
      </c>
      <c r="F1362" s="11" t="s">
        <v>14</v>
      </c>
      <c r="G1362" s="8">
        <v>0</v>
      </c>
      <c r="H1362" s="8">
        <v>258.77</v>
      </c>
      <c r="I1362" s="8">
        <f t="shared" si="49"/>
        <v>0</v>
      </c>
      <c r="J1362" s="12"/>
    </row>
    <row r="1363" spans="3:10" x14ac:dyDescent="0.3">
      <c r="C1363" s="9" t="s">
        <v>12</v>
      </c>
      <c r="D1363" s="10">
        <v>45708</v>
      </c>
      <c r="E1363" t="s">
        <v>1212</v>
      </c>
      <c r="F1363" s="11" t="s">
        <v>1213</v>
      </c>
      <c r="G1363" s="8">
        <v>351.08</v>
      </c>
      <c r="H1363" s="8">
        <v>0</v>
      </c>
      <c r="I1363" s="8">
        <f t="shared" si="49"/>
        <v>351.08</v>
      </c>
      <c r="J1363" s="12"/>
    </row>
    <row r="1364" spans="3:10" x14ac:dyDescent="0.3">
      <c r="C1364" s="9" t="s">
        <v>12</v>
      </c>
      <c r="D1364" s="10">
        <v>45708</v>
      </c>
      <c r="E1364" t="s">
        <v>1059</v>
      </c>
      <c r="F1364" s="11" t="s">
        <v>14</v>
      </c>
      <c r="G1364" s="8">
        <v>0</v>
      </c>
      <c r="H1364" s="8">
        <v>351.08</v>
      </c>
      <c r="I1364" s="8">
        <f t="shared" si="49"/>
        <v>0</v>
      </c>
      <c r="J1364" s="12"/>
    </row>
    <row r="1365" spans="3:10" x14ac:dyDescent="0.3">
      <c r="C1365" s="9" t="s">
        <v>12</v>
      </c>
      <c r="D1365" s="10">
        <v>45741</v>
      </c>
      <c r="E1365" t="s">
        <v>1214</v>
      </c>
      <c r="F1365" s="11" t="s">
        <v>1215</v>
      </c>
      <c r="G1365" s="8">
        <v>137.26</v>
      </c>
      <c r="H1365" s="8">
        <v>0</v>
      </c>
      <c r="I1365" s="8">
        <f t="shared" si="49"/>
        <v>137.26</v>
      </c>
      <c r="J1365" s="12"/>
    </row>
    <row r="1366" spans="3:10" x14ac:dyDescent="0.3">
      <c r="C1366" s="9" t="s">
        <v>12</v>
      </c>
      <c r="D1366" s="10">
        <v>45742</v>
      </c>
      <c r="E1366" t="s">
        <v>1059</v>
      </c>
      <c r="F1366" s="11" t="s">
        <v>14</v>
      </c>
      <c r="G1366" s="8">
        <v>0</v>
      </c>
      <c r="H1366" s="8">
        <v>137.26</v>
      </c>
      <c r="I1366" s="8">
        <f t="shared" si="49"/>
        <v>0</v>
      </c>
      <c r="J1366" s="12"/>
    </row>
    <row r="1367" spans="3:10" x14ac:dyDescent="0.3">
      <c r="C1367" s="9"/>
      <c r="D1367" s="10">
        <v>45824</v>
      </c>
      <c r="E1367" t="s">
        <v>1216</v>
      </c>
      <c r="F1367" s="11" t="s">
        <v>1217</v>
      </c>
      <c r="G1367" s="8">
        <v>133.1</v>
      </c>
      <c r="H1367" s="8">
        <v>0</v>
      </c>
      <c r="I1367" s="8">
        <f t="shared" si="49"/>
        <v>133.1</v>
      </c>
      <c r="J1367" s="12"/>
    </row>
    <row r="1368" spans="3:10" x14ac:dyDescent="0.3">
      <c r="C1368" s="9"/>
      <c r="D1368" s="10">
        <v>45842</v>
      </c>
      <c r="E1368" t="s">
        <v>1059</v>
      </c>
      <c r="F1368" s="11" t="s">
        <v>14</v>
      </c>
      <c r="G1368" s="8">
        <v>0</v>
      </c>
      <c r="H1368" s="8">
        <v>133.1</v>
      </c>
      <c r="I1368" s="8">
        <f t="shared" si="49"/>
        <v>0</v>
      </c>
      <c r="J1368" s="12"/>
    </row>
    <row r="1369" spans="3:10" x14ac:dyDescent="0.3">
      <c r="C1369" s="9"/>
      <c r="D1369" s="10">
        <v>45869</v>
      </c>
      <c r="E1369" t="s">
        <v>1218</v>
      </c>
      <c r="F1369" s="11" t="s">
        <v>1219</v>
      </c>
      <c r="G1369" s="8">
        <v>206.5</v>
      </c>
      <c r="H1369" s="8">
        <v>0</v>
      </c>
      <c r="I1369" s="8">
        <f t="shared" si="49"/>
        <v>206.5</v>
      </c>
      <c r="J1369" s="12"/>
    </row>
    <row r="1370" spans="3:10" x14ac:dyDescent="0.3">
      <c r="C1370" s="9"/>
      <c r="D1370" s="10">
        <v>45887</v>
      </c>
      <c r="E1370" t="s">
        <v>1059</v>
      </c>
      <c r="F1370" s="11" t="s">
        <v>14</v>
      </c>
      <c r="G1370" s="8">
        <v>0</v>
      </c>
      <c r="H1370" s="8">
        <v>206.5</v>
      </c>
      <c r="I1370" s="8">
        <f t="shared" si="49"/>
        <v>0</v>
      </c>
      <c r="J1370" s="12"/>
    </row>
    <row r="1371" spans="3:10" x14ac:dyDescent="0.3">
      <c r="C1371" s="9"/>
      <c r="D1371" s="10">
        <v>45896</v>
      </c>
      <c r="E1371" t="s">
        <v>1220</v>
      </c>
      <c r="F1371" s="11" t="s">
        <v>1221</v>
      </c>
      <c r="G1371" s="8">
        <v>1405.47</v>
      </c>
      <c r="H1371" s="8">
        <v>0</v>
      </c>
      <c r="I1371" s="8">
        <f t="shared" si="49"/>
        <v>1405.47</v>
      </c>
      <c r="J1371" s="12"/>
    </row>
    <row r="1372" spans="3:10" x14ac:dyDescent="0.3">
      <c r="C1372" s="9"/>
      <c r="D1372" s="10">
        <v>45900</v>
      </c>
      <c r="E1372" t="s">
        <v>1222</v>
      </c>
      <c r="F1372" s="11" t="s">
        <v>1223</v>
      </c>
      <c r="G1372" s="8">
        <v>204.93</v>
      </c>
      <c r="H1372" s="8">
        <v>0</v>
      </c>
      <c r="I1372" s="8">
        <f t="shared" si="49"/>
        <v>1610.4</v>
      </c>
      <c r="J1372" s="12"/>
    </row>
    <row r="1373" spans="3:10" x14ac:dyDescent="0.3">
      <c r="C1373" s="9"/>
      <c r="D1373" s="10">
        <v>45912</v>
      </c>
      <c r="E1373" t="s">
        <v>1059</v>
      </c>
      <c r="F1373" s="11" t="s">
        <v>14</v>
      </c>
      <c r="G1373" s="8">
        <v>0</v>
      </c>
      <c r="H1373" s="8">
        <v>702.73</v>
      </c>
      <c r="I1373" s="8">
        <f t="shared" si="49"/>
        <v>907.67000000000007</v>
      </c>
      <c r="J1373" s="12"/>
    </row>
    <row r="1374" spans="3:10" x14ac:dyDescent="0.3">
      <c r="C1374" s="9"/>
      <c r="D1374" s="10">
        <v>45915</v>
      </c>
      <c r="E1374" t="s">
        <v>1059</v>
      </c>
      <c r="F1374" s="11" t="s">
        <v>14</v>
      </c>
      <c r="G1374" s="8">
        <v>0</v>
      </c>
      <c r="H1374" s="8">
        <v>204.93</v>
      </c>
      <c r="I1374" s="8">
        <f t="shared" si="49"/>
        <v>702.74</v>
      </c>
      <c r="J1374" s="12"/>
    </row>
    <row r="1375" spans="3:10" x14ac:dyDescent="0.3">
      <c r="E1375" s="4" t="s">
        <v>116</v>
      </c>
      <c r="G1375" s="8">
        <f>SUM(G1359:G1374)</f>
        <v>2852.0899999999997</v>
      </c>
      <c r="H1375" s="8">
        <f>SUM(H1359:H1374)</f>
        <v>2149.35</v>
      </c>
      <c r="I1375" s="8">
        <f>G1375-H1375</f>
        <v>702.73999999999978</v>
      </c>
    </row>
    <row r="1377" spans="1:10" x14ac:dyDescent="0.3">
      <c r="A1377" s="5">
        <v>430000149</v>
      </c>
      <c r="B1377" s="6" t="s">
        <v>1224</v>
      </c>
      <c r="C1377" s="7"/>
      <c r="D1377" s="7"/>
      <c r="E1377" s="7"/>
      <c r="F1377" s="7"/>
      <c r="G1377" s="7"/>
      <c r="H1377" s="7"/>
      <c r="I1377" s="7"/>
      <c r="J1377" s="7"/>
    </row>
    <row r="1378" spans="1:10" x14ac:dyDescent="0.3">
      <c r="C1378" s="9" t="s">
        <v>12</v>
      </c>
      <c r="D1378" s="10">
        <v>45679</v>
      </c>
      <c r="E1378" t="s">
        <v>1225</v>
      </c>
      <c r="F1378" s="11" t="s">
        <v>1226</v>
      </c>
      <c r="G1378" s="8">
        <v>2339.29</v>
      </c>
      <c r="H1378" s="8">
        <v>0</v>
      </c>
      <c r="I1378" s="8">
        <f>G1378-H1378</f>
        <v>2339.29</v>
      </c>
      <c r="J1378" s="12"/>
    </row>
    <row r="1379" spans="1:10" x14ac:dyDescent="0.3">
      <c r="C1379" s="9" t="s">
        <v>12</v>
      </c>
      <c r="D1379" s="10">
        <v>45680</v>
      </c>
      <c r="E1379" t="s">
        <v>1126</v>
      </c>
      <c r="F1379" s="11" t="s">
        <v>14</v>
      </c>
      <c r="G1379" s="8">
        <v>0</v>
      </c>
      <c r="H1379" s="8">
        <v>2339.29</v>
      </c>
      <c r="I1379" s="8">
        <f t="shared" ref="I1379:I1386" si="50">G1379-H1379+I1378</f>
        <v>0</v>
      </c>
      <c r="J1379" s="12">
        <v>572000007</v>
      </c>
    </row>
    <row r="1380" spans="1:10" x14ac:dyDescent="0.3">
      <c r="C1380" s="9"/>
      <c r="D1380" s="10">
        <v>45814</v>
      </c>
      <c r="E1380" t="s">
        <v>1227</v>
      </c>
      <c r="F1380" s="11" t="s">
        <v>1228</v>
      </c>
      <c r="G1380" s="8">
        <v>490.7</v>
      </c>
      <c r="H1380" s="8">
        <v>0</v>
      </c>
      <c r="I1380" s="8">
        <f t="shared" si="50"/>
        <v>490.7</v>
      </c>
      <c r="J1380" s="12"/>
    </row>
    <row r="1381" spans="1:10" x14ac:dyDescent="0.3">
      <c r="C1381" s="9"/>
      <c r="D1381" s="10">
        <v>45814</v>
      </c>
      <c r="E1381" t="s">
        <v>1229</v>
      </c>
      <c r="F1381" s="11" t="s">
        <v>1230</v>
      </c>
      <c r="G1381" s="8">
        <v>-490.7</v>
      </c>
      <c r="H1381" s="8">
        <v>0</v>
      </c>
      <c r="I1381" s="8">
        <f t="shared" si="50"/>
        <v>0</v>
      </c>
      <c r="J1381" s="12"/>
    </row>
    <row r="1382" spans="1:10" x14ac:dyDescent="0.3">
      <c r="C1382" s="9"/>
      <c r="D1382" s="10">
        <v>45817</v>
      </c>
      <c r="E1382" t="s">
        <v>1231</v>
      </c>
      <c r="F1382" s="11" t="s">
        <v>1232</v>
      </c>
      <c r="G1382" s="8">
        <v>553.09</v>
      </c>
      <c r="H1382" s="8">
        <v>0</v>
      </c>
      <c r="I1382" s="8">
        <f t="shared" si="50"/>
        <v>553.09</v>
      </c>
      <c r="J1382" s="12"/>
    </row>
    <row r="1383" spans="1:10" x14ac:dyDescent="0.3">
      <c r="C1383" s="9"/>
      <c r="D1383" s="10">
        <v>45847</v>
      </c>
      <c r="E1383" t="s">
        <v>1059</v>
      </c>
      <c r="F1383" s="11" t="s">
        <v>14</v>
      </c>
      <c r="G1383" s="8">
        <v>0</v>
      </c>
      <c r="H1383" s="8">
        <v>553.09</v>
      </c>
      <c r="I1383" s="8">
        <f t="shared" si="50"/>
        <v>0</v>
      </c>
      <c r="J1383" s="12">
        <v>572000005</v>
      </c>
    </row>
    <row r="1384" spans="1:10" x14ac:dyDescent="0.3">
      <c r="C1384" s="9"/>
      <c r="D1384" s="10">
        <v>45869</v>
      </c>
      <c r="E1384" t="s">
        <v>1233</v>
      </c>
      <c r="F1384" s="11" t="s">
        <v>1234</v>
      </c>
      <c r="G1384" s="8">
        <v>255.46</v>
      </c>
      <c r="H1384" s="8">
        <v>0</v>
      </c>
      <c r="I1384" s="8">
        <f t="shared" si="50"/>
        <v>255.46</v>
      </c>
      <c r="J1384" s="12"/>
    </row>
    <row r="1385" spans="1:10" x14ac:dyDescent="0.3">
      <c r="C1385" s="9"/>
      <c r="D1385" s="10">
        <v>45901</v>
      </c>
      <c r="E1385" t="s">
        <v>1235</v>
      </c>
      <c r="F1385" s="11" t="s">
        <v>1236</v>
      </c>
      <c r="G1385" s="8">
        <v>169.4</v>
      </c>
      <c r="H1385" s="8">
        <v>0</v>
      </c>
      <c r="I1385" s="8">
        <f t="shared" si="50"/>
        <v>424.86</v>
      </c>
      <c r="J1385" s="12"/>
    </row>
    <row r="1386" spans="1:10" x14ac:dyDescent="0.3">
      <c r="C1386" s="9"/>
      <c r="D1386" s="10">
        <v>45901</v>
      </c>
      <c r="E1386" t="s">
        <v>1059</v>
      </c>
      <c r="F1386" s="11" t="s">
        <v>14</v>
      </c>
      <c r="G1386" s="8">
        <v>0</v>
      </c>
      <c r="H1386" s="8">
        <v>255.46</v>
      </c>
      <c r="I1386" s="8">
        <f t="shared" si="50"/>
        <v>169.4</v>
      </c>
      <c r="J1386" s="12"/>
    </row>
    <row r="1387" spans="1:10" x14ac:dyDescent="0.3">
      <c r="E1387" s="4" t="s">
        <v>116</v>
      </c>
      <c r="G1387" s="8">
        <f>SUM(G1378:G1386)</f>
        <v>3317.2400000000002</v>
      </c>
      <c r="H1387" s="8">
        <f>SUM(H1378:H1386)</f>
        <v>3147.84</v>
      </c>
      <c r="I1387" s="8">
        <f>G1387-H1387</f>
        <v>169.40000000000009</v>
      </c>
    </row>
    <row r="1389" spans="1:10" x14ac:dyDescent="0.3">
      <c r="A1389" s="5">
        <v>430000163</v>
      </c>
      <c r="B1389" s="6" t="s">
        <v>1237</v>
      </c>
      <c r="C1389" s="7"/>
      <c r="D1389" s="7"/>
      <c r="E1389" s="7"/>
      <c r="F1389" s="7"/>
      <c r="G1389" s="7"/>
      <c r="H1389" s="7"/>
      <c r="I1389" s="7"/>
      <c r="J1389" s="7"/>
    </row>
    <row r="1390" spans="1:10" x14ac:dyDescent="0.3">
      <c r="C1390" s="9" t="s">
        <v>12</v>
      </c>
      <c r="D1390" s="10">
        <v>45672</v>
      </c>
      <c r="E1390" t="s">
        <v>1238</v>
      </c>
      <c r="F1390" s="11" t="s">
        <v>1239</v>
      </c>
      <c r="G1390" s="8">
        <v>301.18</v>
      </c>
      <c r="H1390" s="8">
        <v>0</v>
      </c>
      <c r="I1390" s="8">
        <f>G1390-H1390</f>
        <v>301.18</v>
      </c>
      <c r="J1390" s="12"/>
    </row>
    <row r="1391" spans="1:10" x14ac:dyDescent="0.3">
      <c r="C1391" s="9" t="s">
        <v>12</v>
      </c>
      <c r="D1391" s="10">
        <v>45713</v>
      </c>
      <c r="E1391" t="s">
        <v>886</v>
      </c>
      <c r="F1391" s="11" t="s">
        <v>14</v>
      </c>
      <c r="G1391" s="8">
        <v>0</v>
      </c>
      <c r="H1391" s="8">
        <v>301.18</v>
      </c>
      <c r="I1391" s="8">
        <f t="shared" ref="I1391:I1398" si="51">G1391-H1391+I1390</f>
        <v>0</v>
      </c>
      <c r="J1391" s="12">
        <v>572000007</v>
      </c>
    </row>
    <row r="1392" spans="1:10" x14ac:dyDescent="0.3">
      <c r="C1392" s="9" t="s">
        <v>12</v>
      </c>
      <c r="D1392" s="10">
        <v>45715</v>
      </c>
      <c r="E1392" t="s">
        <v>1240</v>
      </c>
      <c r="F1392" s="11" t="s">
        <v>1241</v>
      </c>
      <c r="G1392" s="8">
        <v>133.1</v>
      </c>
      <c r="H1392" s="8">
        <v>0</v>
      </c>
      <c r="I1392" s="8">
        <f t="shared" si="51"/>
        <v>133.1</v>
      </c>
      <c r="J1392" s="12"/>
    </row>
    <row r="1393" spans="1:10" x14ac:dyDescent="0.3">
      <c r="C1393" s="9" t="s">
        <v>12</v>
      </c>
      <c r="D1393" s="10">
        <v>45722</v>
      </c>
      <c r="E1393" t="s">
        <v>886</v>
      </c>
      <c r="F1393" s="11" t="s">
        <v>14</v>
      </c>
      <c r="G1393" s="8">
        <v>0</v>
      </c>
      <c r="H1393" s="8">
        <v>133.1</v>
      </c>
      <c r="I1393" s="8">
        <f t="shared" si="51"/>
        <v>0</v>
      </c>
      <c r="J1393" s="12">
        <v>572000007</v>
      </c>
    </row>
    <row r="1394" spans="1:10" x14ac:dyDescent="0.3">
      <c r="C1394" s="9" t="s">
        <v>12</v>
      </c>
      <c r="D1394" s="10">
        <v>45729</v>
      </c>
      <c r="E1394" t="s">
        <v>1242</v>
      </c>
      <c r="F1394" s="11" t="s">
        <v>1243</v>
      </c>
      <c r="G1394" s="8">
        <v>66.44</v>
      </c>
      <c r="H1394" s="8">
        <v>0</v>
      </c>
      <c r="I1394" s="8">
        <f t="shared" si="51"/>
        <v>66.44</v>
      </c>
      <c r="J1394" s="12"/>
    </row>
    <row r="1395" spans="1:10" x14ac:dyDescent="0.3">
      <c r="C1395" s="9" t="s">
        <v>12</v>
      </c>
      <c r="D1395" s="10">
        <v>45741</v>
      </c>
      <c r="E1395" t="s">
        <v>1244</v>
      </c>
      <c r="F1395" s="11" t="s">
        <v>1245</v>
      </c>
      <c r="G1395" s="8">
        <v>1081.17</v>
      </c>
      <c r="H1395" s="8">
        <v>0</v>
      </c>
      <c r="I1395" s="8">
        <f t="shared" si="51"/>
        <v>1147.6100000000001</v>
      </c>
      <c r="J1395" s="12"/>
    </row>
    <row r="1396" spans="1:10" x14ac:dyDescent="0.3">
      <c r="C1396" s="9" t="s">
        <v>12</v>
      </c>
      <c r="D1396" s="10">
        <v>45790</v>
      </c>
      <c r="E1396" t="s">
        <v>305</v>
      </c>
      <c r="F1396" s="11" t="s">
        <v>14</v>
      </c>
      <c r="G1396" s="8">
        <v>0</v>
      </c>
      <c r="H1396" s="8">
        <v>66.44</v>
      </c>
      <c r="I1396" s="8">
        <f t="shared" si="51"/>
        <v>1081.17</v>
      </c>
      <c r="J1396" s="12">
        <v>572000007</v>
      </c>
    </row>
    <row r="1397" spans="1:10" x14ac:dyDescent="0.3">
      <c r="C1397" s="9" t="s">
        <v>12</v>
      </c>
      <c r="D1397" s="10">
        <v>45853</v>
      </c>
      <c r="E1397" t="s">
        <v>886</v>
      </c>
      <c r="F1397" s="11" t="s">
        <v>14</v>
      </c>
      <c r="G1397" s="8">
        <v>0</v>
      </c>
      <c r="H1397" s="8">
        <v>1081.17</v>
      </c>
      <c r="I1397" s="8">
        <f t="shared" si="51"/>
        <v>0</v>
      </c>
      <c r="J1397" s="12">
        <v>572000007</v>
      </c>
    </row>
    <row r="1398" spans="1:10" x14ac:dyDescent="0.3">
      <c r="C1398" s="9"/>
      <c r="D1398" s="10">
        <v>45915</v>
      </c>
      <c r="E1398" t="s">
        <v>1246</v>
      </c>
      <c r="F1398" s="11" t="s">
        <v>1247</v>
      </c>
      <c r="G1398" s="8">
        <v>219.07</v>
      </c>
      <c r="H1398" s="8">
        <v>0</v>
      </c>
      <c r="I1398" s="8">
        <f t="shared" si="51"/>
        <v>219.07</v>
      </c>
      <c r="J1398" s="12"/>
    </row>
    <row r="1399" spans="1:10" x14ac:dyDescent="0.3">
      <c r="E1399" s="4" t="s">
        <v>116</v>
      </c>
      <c r="G1399" s="8">
        <f>SUM(G1390:G1398)</f>
        <v>1800.96</v>
      </c>
      <c r="H1399" s="8">
        <f>SUM(H1390:H1398)</f>
        <v>1581.89</v>
      </c>
      <c r="I1399" s="8">
        <f>G1399-H1399</f>
        <v>219.06999999999994</v>
      </c>
    </row>
    <row r="1401" spans="1:10" x14ac:dyDescent="0.3">
      <c r="A1401" s="5">
        <v>430000182</v>
      </c>
      <c r="B1401" s="6" t="s">
        <v>1248</v>
      </c>
      <c r="C1401" s="7"/>
      <c r="D1401" s="7"/>
      <c r="E1401" s="7"/>
      <c r="F1401" s="7"/>
      <c r="G1401" s="7"/>
      <c r="H1401" s="7"/>
      <c r="I1401" s="7"/>
      <c r="J1401" s="7"/>
    </row>
    <row r="1402" spans="1:10" x14ac:dyDescent="0.3">
      <c r="C1402" s="9" t="s">
        <v>12</v>
      </c>
      <c r="D1402" s="10">
        <v>45673</v>
      </c>
      <c r="E1402" t="s">
        <v>1249</v>
      </c>
      <c r="F1402" s="11" t="s">
        <v>1250</v>
      </c>
      <c r="G1402" s="8">
        <v>133.1</v>
      </c>
      <c r="H1402" s="8">
        <v>0</v>
      </c>
      <c r="I1402" s="8">
        <f>G1402-H1402</f>
        <v>133.1</v>
      </c>
      <c r="J1402" s="12"/>
    </row>
    <row r="1403" spans="1:10" x14ac:dyDescent="0.3">
      <c r="C1403" s="9" t="s">
        <v>12</v>
      </c>
      <c r="D1403" s="10">
        <v>45733</v>
      </c>
      <c r="E1403" t="s">
        <v>108</v>
      </c>
      <c r="F1403" s="11" t="s">
        <v>14</v>
      </c>
      <c r="G1403" s="8">
        <v>0</v>
      </c>
      <c r="H1403" s="8">
        <v>133.1</v>
      </c>
      <c r="I1403" s="8">
        <f t="shared" ref="I1403:I1413" si="52">G1403-H1403+I1402</f>
        <v>0</v>
      </c>
      <c r="J1403" s="12">
        <v>572000007</v>
      </c>
    </row>
    <row r="1404" spans="1:10" x14ac:dyDescent="0.3">
      <c r="C1404" s="9" t="s">
        <v>12</v>
      </c>
      <c r="D1404" s="10">
        <v>45796</v>
      </c>
      <c r="E1404" t="s">
        <v>1251</v>
      </c>
      <c r="F1404" s="11" t="s">
        <v>1252</v>
      </c>
      <c r="G1404" s="8">
        <v>102.85</v>
      </c>
      <c r="H1404" s="8">
        <v>0</v>
      </c>
      <c r="I1404" s="8">
        <f t="shared" si="52"/>
        <v>102.85</v>
      </c>
      <c r="J1404" s="12"/>
    </row>
    <row r="1405" spans="1:10" x14ac:dyDescent="0.3">
      <c r="C1405" s="9" t="s">
        <v>12</v>
      </c>
      <c r="D1405" s="10">
        <v>45797</v>
      </c>
      <c r="E1405" t="s">
        <v>1253</v>
      </c>
      <c r="F1405" s="11" t="s">
        <v>1254</v>
      </c>
      <c r="G1405" s="8">
        <v>363</v>
      </c>
      <c r="H1405" s="8">
        <v>0</v>
      </c>
      <c r="I1405" s="8">
        <f t="shared" si="52"/>
        <v>465.85</v>
      </c>
      <c r="J1405" s="12"/>
    </row>
    <row r="1406" spans="1:10" x14ac:dyDescent="0.3">
      <c r="C1406" s="9" t="s">
        <v>12</v>
      </c>
      <c r="D1406" s="10">
        <v>45818</v>
      </c>
      <c r="E1406" t="s">
        <v>1255</v>
      </c>
      <c r="F1406" s="11" t="s">
        <v>1256</v>
      </c>
      <c r="G1406" s="8">
        <v>163.35</v>
      </c>
      <c r="H1406" s="8">
        <v>0</v>
      </c>
      <c r="I1406" s="8">
        <f t="shared" si="52"/>
        <v>629.20000000000005</v>
      </c>
      <c r="J1406" s="12"/>
    </row>
    <row r="1407" spans="1:10" x14ac:dyDescent="0.3">
      <c r="C1407" s="9"/>
      <c r="D1407" s="10">
        <v>45838</v>
      </c>
      <c r="E1407" t="s">
        <v>1257</v>
      </c>
      <c r="F1407" s="11" t="s">
        <v>1258</v>
      </c>
      <c r="G1407" s="8">
        <v>136.94</v>
      </c>
      <c r="H1407" s="8">
        <v>0</v>
      </c>
      <c r="I1407" s="8">
        <f t="shared" si="52"/>
        <v>766.1400000000001</v>
      </c>
      <c r="J1407" s="12"/>
    </row>
    <row r="1408" spans="1:10" x14ac:dyDescent="0.3">
      <c r="C1408" s="9" t="s">
        <v>12</v>
      </c>
      <c r="D1408" s="10">
        <v>45848</v>
      </c>
      <c r="E1408" t="s">
        <v>1059</v>
      </c>
      <c r="F1408" s="11" t="s">
        <v>14</v>
      </c>
      <c r="G1408" s="8">
        <v>0</v>
      </c>
      <c r="H1408" s="8">
        <v>163.35</v>
      </c>
      <c r="I1408" s="8">
        <f t="shared" si="52"/>
        <v>602.79000000000008</v>
      </c>
      <c r="J1408" s="12"/>
    </row>
    <row r="1409" spans="1:10" x14ac:dyDescent="0.3">
      <c r="C1409" s="9" t="s">
        <v>12</v>
      </c>
      <c r="D1409" s="10">
        <v>45848</v>
      </c>
      <c r="E1409" t="s">
        <v>1059</v>
      </c>
      <c r="F1409" s="11" t="s">
        <v>14</v>
      </c>
      <c r="G1409" s="8">
        <v>0</v>
      </c>
      <c r="H1409" s="8">
        <v>102.85</v>
      </c>
      <c r="I1409" s="8">
        <f t="shared" si="52"/>
        <v>499.94000000000005</v>
      </c>
      <c r="J1409" s="12"/>
    </row>
    <row r="1410" spans="1:10" x14ac:dyDescent="0.3">
      <c r="C1410" s="9" t="s">
        <v>12</v>
      </c>
      <c r="D1410" s="10">
        <v>45848</v>
      </c>
      <c r="E1410" t="s">
        <v>1059</v>
      </c>
      <c r="F1410" s="11" t="s">
        <v>14</v>
      </c>
      <c r="G1410" s="8">
        <v>0</v>
      </c>
      <c r="H1410" s="8">
        <v>363</v>
      </c>
      <c r="I1410" s="8">
        <f t="shared" si="52"/>
        <v>136.94000000000005</v>
      </c>
      <c r="J1410" s="12"/>
    </row>
    <row r="1411" spans="1:10" x14ac:dyDescent="0.3">
      <c r="C1411" s="9"/>
      <c r="D1411" s="10">
        <v>45868</v>
      </c>
      <c r="E1411" t="s">
        <v>1059</v>
      </c>
      <c r="F1411" s="11" t="s">
        <v>14</v>
      </c>
      <c r="G1411" s="8">
        <v>0</v>
      </c>
      <c r="H1411" s="8">
        <v>136.94</v>
      </c>
      <c r="I1411" s="8">
        <f t="shared" si="52"/>
        <v>0</v>
      </c>
      <c r="J1411" s="12"/>
    </row>
    <row r="1412" spans="1:10" x14ac:dyDescent="0.3">
      <c r="C1412" s="9"/>
      <c r="D1412" s="10">
        <v>45895</v>
      </c>
      <c r="E1412" t="s">
        <v>1259</v>
      </c>
      <c r="F1412" s="11" t="s">
        <v>1260</v>
      </c>
      <c r="G1412" s="8">
        <v>309.27999999999997</v>
      </c>
      <c r="H1412" s="8">
        <v>0</v>
      </c>
      <c r="I1412" s="8">
        <f t="shared" si="52"/>
        <v>309.27999999999997</v>
      </c>
      <c r="J1412" s="12"/>
    </row>
    <row r="1413" spans="1:10" x14ac:dyDescent="0.3">
      <c r="C1413" s="9"/>
      <c r="D1413" s="10">
        <v>45926</v>
      </c>
      <c r="E1413" t="s">
        <v>1031</v>
      </c>
      <c r="F1413" s="11" t="s">
        <v>14</v>
      </c>
      <c r="G1413" s="8">
        <v>309.27999999999997</v>
      </c>
      <c r="H1413" s="8">
        <v>0</v>
      </c>
      <c r="I1413" s="8">
        <f t="shared" si="52"/>
        <v>618.55999999999995</v>
      </c>
      <c r="J1413" s="12">
        <v>572000005</v>
      </c>
    </row>
    <row r="1414" spans="1:10" x14ac:dyDescent="0.3">
      <c r="E1414" s="4" t="s">
        <v>116</v>
      </c>
      <c r="G1414" s="8">
        <f>SUM(G1402:G1413)</f>
        <v>1517.8</v>
      </c>
      <c r="H1414" s="8">
        <f>SUM(H1402:H1413)</f>
        <v>899.24</v>
      </c>
      <c r="I1414" s="8">
        <f>G1414-H1414</f>
        <v>618.55999999999995</v>
      </c>
    </row>
    <row r="1416" spans="1:10" x14ac:dyDescent="0.3">
      <c r="A1416" s="5">
        <v>430000185</v>
      </c>
      <c r="B1416" s="6" t="s">
        <v>1261</v>
      </c>
      <c r="C1416" s="7"/>
      <c r="D1416" s="7"/>
      <c r="E1416" s="7"/>
      <c r="F1416" s="7"/>
      <c r="G1416" s="7"/>
      <c r="H1416" s="7"/>
      <c r="I1416" s="7"/>
      <c r="J1416" s="7"/>
    </row>
    <row r="1417" spans="1:10" x14ac:dyDescent="0.3">
      <c r="E1417" s="4" t="s">
        <v>11</v>
      </c>
      <c r="G1417" s="8">
        <v>133.1</v>
      </c>
      <c r="H1417" s="8">
        <v>0</v>
      </c>
      <c r="I1417" s="8">
        <f>G1417-H1417</f>
        <v>133.1</v>
      </c>
    </row>
    <row r="1418" spans="1:10" x14ac:dyDescent="0.3">
      <c r="E1418" s="4" t="s">
        <v>116</v>
      </c>
      <c r="G1418" s="8">
        <f>G1417</f>
        <v>133.1</v>
      </c>
      <c r="H1418" s="8">
        <f>H1417</f>
        <v>0</v>
      </c>
      <c r="I1418" s="8">
        <f>G1418-H1418</f>
        <v>133.1</v>
      </c>
    </row>
    <row r="1420" spans="1:10" x14ac:dyDescent="0.3">
      <c r="A1420" s="5">
        <v>430000186</v>
      </c>
      <c r="B1420" s="6" t="s">
        <v>1262</v>
      </c>
      <c r="C1420" s="7"/>
      <c r="D1420" s="7"/>
      <c r="E1420" s="7"/>
      <c r="F1420" s="7"/>
      <c r="G1420" s="7"/>
      <c r="H1420" s="7"/>
      <c r="I1420" s="7"/>
      <c r="J1420" s="7"/>
    </row>
    <row r="1421" spans="1:10" x14ac:dyDescent="0.3">
      <c r="C1421" s="9" t="s">
        <v>12</v>
      </c>
      <c r="D1421" s="10">
        <v>45684</v>
      </c>
      <c r="E1421" t="s">
        <v>1263</v>
      </c>
      <c r="F1421" s="11" t="s">
        <v>1264</v>
      </c>
      <c r="G1421" s="8">
        <v>6893.38</v>
      </c>
      <c r="H1421" s="8">
        <v>0</v>
      </c>
      <c r="I1421" s="8">
        <f>G1421-H1421</f>
        <v>6893.38</v>
      </c>
      <c r="J1421" s="12"/>
    </row>
    <row r="1422" spans="1:10" x14ac:dyDescent="0.3">
      <c r="C1422" s="9" t="s">
        <v>12</v>
      </c>
      <c r="D1422" s="10">
        <v>45685</v>
      </c>
      <c r="E1422" t="s">
        <v>1265</v>
      </c>
      <c r="F1422" s="11" t="s">
        <v>14</v>
      </c>
      <c r="G1422" s="8">
        <v>0</v>
      </c>
      <c r="H1422" s="8">
        <v>6893.38</v>
      </c>
      <c r="I1422" s="8">
        <f t="shared" ref="I1422:I1428" si="53">G1422-H1422+I1421</f>
        <v>0</v>
      </c>
      <c r="J1422" s="12">
        <v>572000002</v>
      </c>
    </row>
    <row r="1423" spans="1:10" x14ac:dyDescent="0.3">
      <c r="C1423" s="9" t="s">
        <v>12</v>
      </c>
      <c r="D1423" s="10">
        <v>45716</v>
      </c>
      <c r="E1423" t="s">
        <v>1266</v>
      </c>
      <c r="F1423" s="11" t="s">
        <v>1267</v>
      </c>
      <c r="G1423" s="8">
        <v>1024.4000000000001</v>
      </c>
      <c r="H1423" s="8">
        <v>0</v>
      </c>
      <c r="I1423" s="8">
        <f t="shared" si="53"/>
        <v>1024.4000000000001</v>
      </c>
      <c r="J1423" s="12"/>
    </row>
    <row r="1424" spans="1:10" x14ac:dyDescent="0.3">
      <c r="C1424" s="9" t="s">
        <v>12</v>
      </c>
      <c r="D1424" s="10">
        <v>45720</v>
      </c>
      <c r="E1424" t="s">
        <v>1059</v>
      </c>
      <c r="F1424" s="11" t="s">
        <v>14</v>
      </c>
      <c r="G1424" s="8">
        <v>0</v>
      </c>
      <c r="H1424" s="8">
        <v>1024.4000000000001</v>
      </c>
      <c r="I1424" s="8">
        <f t="shared" si="53"/>
        <v>0</v>
      </c>
      <c r="J1424" s="12"/>
    </row>
    <row r="1425" spans="1:10" x14ac:dyDescent="0.3">
      <c r="C1425" s="9" t="s">
        <v>12</v>
      </c>
      <c r="D1425" s="10">
        <v>45726</v>
      </c>
      <c r="E1425" t="s">
        <v>1268</v>
      </c>
      <c r="F1425" s="11" t="s">
        <v>1269</v>
      </c>
      <c r="G1425" s="8">
        <v>13399.54</v>
      </c>
      <c r="H1425" s="8">
        <v>0</v>
      </c>
      <c r="I1425" s="8">
        <f t="shared" si="53"/>
        <v>13399.54</v>
      </c>
      <c r="J1425" s="12"/>
    </row>
    <row r="1426" spans="1:10" x14ac:dyDescent="0.3">
      <c r="C1426" s="9" t="s">
        <v>12</v>
      </c>
      <c r="D1426" s="10">
        <v>45726</v>
      </c>
      <c r="E1426" t="s">
        <v>1270</v>
      </c>
      <c r="F1426" s="11" t="s">
        <v>1271</v>
      </c>
      <c r="G1426" s="8">
        <v>-6893.37</v>
      </c>
      <c r="H1426" s="8">
        <v>0</v>
      </c>
      <c r="I1426" s="8">
        <f t="shared" si="53"/>
        <v>6506.170000000001</v>
      </c>
      <c r="J1426" s="12"/>
    </row>
    <row r="1427" spans="1:10" x14ac:dyDescent="0.3">
      <c r="C1427" s="9" t="s">
        <v>12</v>
      </c>
      <c r="D1427" s="10">
        <v>45726</v>
      </c>
      <c r="E1427" t="s">
        <v>1265</v>
      </c>
      <c r="F1427" s="11" t="s">
        <v>14</v>
      </c>
      <c r="G1427" s="8">
        <v>0</v>
      </c>
      <c r="H1427" s="8">
        <v>6506.17</v>
      </c>
      <c r="I1427" s="8">
        <f t="shared" si="53"/>
        <v>0</v>
      </c>
      <c r="J1427" s="12"/>
    </row>
    <row r="1428" spans="1:10" x14ac:dyDescent="0.3">
      <c r="C1428" s="9"/>
      <c r="D1428" s="10">
        <v>45917</v>
      </c>
      <c r="E1428" t="s">
        <v>1272</v>
      </c>
      <c r="F1428" s="11" t="s">
        <v>1273</v>
      </c>
      <c r="G1428" s="8">
        <v>227.65</v>
      </c>
      <c r="H1428" s="8">
        <v>0</v>
      </c>
      <c r="I1428" s="8">
        <f t="shared" si="53"/>
        <v>227.65</v>
      </c>
      <c r="J1428" s="12"/>
    </row>
    <row r="1429" spans="1:10" x14ac:dyDescent="0.3">
      <c r="E1429" s="4" t="s">
        <v>116</v>
      </c>
      <c r="G1429" s="8">
        <f>SUM(G1421:G1428)</f>
        <v>14651.6</v>
      </c>
      <c r="H1429" s="8">
        <f>SUM(H1421:H1428)</f>
        <v>14423.95</v>
      </c>
      <c r="I1429" s="8">
        <f>G1429-H1429</f>
        <v>227.64999999999964</v>
      </c>
    </row>
    <row r="1431" spans="1:10" x14ac:dyDescent="0.3">
      <c r="A1431" s="5">
        <v>430000188</v>
      </c>
      <c r="B1431" s="6" t="s">
        <v>1274</v>
      </c>
      <c r="C1431" s="7"/>
      <c r="D1431" s="7"/>
      <c r="E1431" s="7"/>
      <c r="F1431" s="7"/>
      <c r="G1431" s="7"/>
      <c r="H1431" s="7"/>
      <c r="I1431" s="7"/>
      <c r="J1431" s="7"/>
    </row>
    <row r="1432" spans="1:10" x14ac:dyDescent="0.3">
      <c r="E1432" s="4" t="s">
        <v>11</v>
      </c>
      <c r="G1432" s="8">
        <v>4976.8500000000004</v>
      </c>
      <c r="H1432" s="8">
        <v>0</v>
      </c>
      <c r="I1432" s="8">
        <f>G1432-H1432</f>
        <v>4976.8500000000004</v>
      </c>
    </row>
    <row r="1433" spans="1:10" x14ac:dyDescent="0.3">
      <c r="C1433" s="9" t="s">
        <v>12</v>
      </c>
      <c r="D1433" s="10">
        <v>45670</v>
      </c>
      <c r="E1433" t="s">
        <v>1275</v>
      </c>
      <c r="F1433" s="11" t="s">
        <v>1276</v>
      </c>
      <c r="G1433" s="8">
        <v>80.28</v>
      </c>
      <c r="H1433" s="8">
        <v>0</v>
      </c>
      <c r="I1433" s="8">
        <f t="shared" ref="I1433:I1464" si="54">G1433-H1433+I1432</f>
        <v>5057.13</v>
      </c>
      <c r="J1433" s="12"/>
    </row>
    <row r="1434" spans="1:10" x14ac:dyDescent="0.3">
      <c r="C1434" s="9" t="s">
        <v>12</v>
      </c>
      <c r="D1434" s="10">
        <v>45671</v>
      </c>
      <c r="E1434" t="s">
        <v>1059</v>
      </c>
      <c r="F1434" s="11" t="s">
        <v>14</v>
      </c>
      <c r="G1434" s="8">
        <v>0</v>
      </c>
      <c r="H1434" s="8">
        <v>80.28</v>
      </c>
      <c r="I1434" s="8">
        <f t="shared" si="54"/>
        <v>4976.8500000000004</v>
      </c>
      <c r="J1434" s="12"/>
    </row>
    <row r="1435" spans="1:10" x14ac:dyDescent="0.3">
      <c r="C1435" s="9" t="s">
        <v>12</v>
      </c>
      <c r="D1435" s="10">
        <v>45672</v>
      </c>
      <c r="E1435" t="s">
        <v>1277</v>
      </c>
      <c r="F1435" s="11" t="s">
        <v>1278</v>
      </c>
      <c r="G1435" s="8">
        <v>145.5</v>
      </c>
      <c r="H1435" s="8">
        <v>0</v>
      </c>
      <c r="I1435" s="8">
        <f t="shared" si="54"/>
        <v>5122.3500000000004</v>
      </c>
      <c r="J1435" s="12"/>
    </row>
    <row r="1436" spans="1:10" x14ac:dyDescent="0.3">
      <c r="C1436" s="9" t="s">
        <v>12</v>
      </c>
      <c r="D1436" s="10">
        <v>45673</v>
      </c>
      <c r="E1436" t="s">
        <v>1059</v>
      </c>
      <c r="F1436" s="11" t="s">
        <v>14</v>
      </c>
      <c r="G1436" s="8">
        <v>0</v>
      </c>
      <c r="H1436" s="8">
        <v>145.5</v>
      </c>
      <c r="I1436" s="8">
        <f t="shared" si="54"/>
        <v>4976.8500000000004</v>
      </c>
      <c r="J1436" s="12"/>
    </row>
    <row r="1437" spans="1:10" x14ac:dyDescent="0.3">
      <c r="C1437" s="9" t="s">
        <v>12</v>
      </c>
      <c r="D1437" s="10">
        <v>45678</v>
      </c>
      <c r="E1437" t="s">
        <v>1279</v>
      </c>
      <c r="F1437" s="11" t="s">
        <v>1280</v>
      </c>
      <c r="G1437" s="8">
        <v>527.16</v>
      </c>
      <c r="H1437" s="8">
        <v>0</v>
      </c>
      <c r="I1437" s="8">
        <f t="shared" si="54"/>
        <v>5504.01</v>
      </c>
      <c r="J1437" s="12"/>
    </row>
    <row r="1438" spans="1:10" x14ac:dyDescent="0.3">
      <c r="C1438" s="9" t="s">
        <v>12</v>
      </c>
      <c r="D1438" s="10">
        <v>45680</v>
      </c>
      <c r="E1438" t="s">
        <v>1126</v>
      </c>
      <c r="F1438" s="11" t="s">
        <v>14</v>
      </c>
      <c r="G1438" s="8">
        <v>0</v>
      </c>
      <c r="H1438" s="8">
        <v>527.16</v>
      </c>
      <c r="I1438" s="8">
        <f t="shared" si="54"/>
        <v>4976.8500000000004</v>
      </c>
      <c r="J1438" s="12"/>
    </row>
    <row r="1439" spans="1:10" x14ac:dyDescent="0.3">
      <c r="C1439" s="9"/>
      <c r="D1439" s="10">
        <v>45691</v>
      </c>
      <c r="E1439" t="s">
        <v>1281</v>
      </c>
      <c r="F1439" s="11" t="s">
        <v>398</v>
      </c>
      <c r="G1439" s="8">
        <v>-2343.77</v>
      </c>
      <c r="H1439" s="8">
        <v>0</v>
      </c>
      <c r="I1439" s="8">
        <f t="shared" si="54"/>
        <v>2633.0800000000004</v>
      </c>
      <c r="J1439" s="12"/>
    </row>
    <row r="1440" spans="1:10" x14ac:dyDescent="0.3">
      <c r="C1440" s="9" t="s">
        <v>12</v>
      </c>
      <c r="D1440" s="10">
        <v>45702</v>
      </c>
      <c r="E1440" t="s">
        <v>1282</v>
      </c>
      <c r="F1440" s="11" t="s">
        <v>1283</v>
      </c>
      <c r="G1440" s="8">
        <v>429.95</v>
      </c>
      <c r="H1440" s="8">
        <v>0</v>
      </c>
      <c r="I1440" s="8">
        <f t="shared" si="54"/>
        <v>3063.03</v>
      </c>
      <c r="J1440" s="12"/>
    </row>
    <row r="1441" spans="3:10" x14ac:dyDescent="0.3">
      <c r="C1441" s="9" t="s">
        <v>12</v>
      </c>
      <c r="D1441" s="10">
        <v>45705</v>
      </c>
      <c r="E1441" t="s">
        <v>1284</v>
      </c>
      <c r="F1441" s="11" t="s">
        <v>1285</v>
      </c>
      <c r="G1441" s="8">
        <v>266.60000000000002</v>
      </c>
      <c r="H1441" s="8">
        <v>0</v>
      </c>
      <c r="I1441" s="8">
        <f t="shared" si="54"/>
        <v>3329.63</v>
      </c>
      <c r="J1441" s="12"/>
    </row>
    <row r="1442" spans="3:10" x14ac:dyDescent="0.3">
      <c r="C1442" s="9" t="s">
        <v>12</v>
      </c>
      <c r="D1442" s="10">
        <v>45705</v>
      </c>
      <c r="E1442" t="s">
        <v>1059</v>
      </c>
      <c r="F1442" s="11" t="s">
        <v>14</v>
      </c>
      <c r="G1442" s="8">
        <v>0</v>
      </c>
      <c r="H1442" s="8">
        <v>429.95</v>
      </c>
      <c r="I1442" s="8">
        <f t="shared" si="54"/>
        <v>2899.6800000000003</v>
      </c>
      <c r="J1442" s="12"/>
    </row>
    <row r="1443" spans="3:10" x14ac:dyDescent="0.3">
      <c r="C1443" s="9" t="s">
        <v>12</v>
      </c>
      <c r="D1443" s="10">
        <v>45706</v>
      </c>
      <c r="E1443" t="s">
        <v>1059</v>
      </c>
      <c r="F1443" s="11" t="s">
        <v>14</v>
      </c>
      <c r="G1443" s="8">
        <v>0</v>
      </c>
      <c r="H1443" s="8">
        <v>266.60000000000002</v>
      </c>
      <c r="I1443" s="8">
        <f t="shared" si="54"/>
        <v>2633.0800000000004</v>
      </c>
      <c r="J1443" s="12"/>
    </row>
    <row r="1444" spans="3:10" x14ac:dyDescent="0.3">
      <c r="C1444" s="9" t="s">
        <v>12</v>
      </c>
      <c r="D1444" s="10">
        <v>45709</v>
      </c>
      <c r="E1444" t="s">
        <v>1286</v>
      </c>
      <c r="F1444" s="11" t="s">
        <v>1287</v>
      </c>
      <c r="G1444" s="8">
        <v>398.72</v>
      </c>
      <c r="H1444" s="8">
        <v>0</v>
      </c>
      <c r="I1444" s="8">
        <f t="shared" si="54"/>
        <v>3031.8</v>
      </c>
      <c r="J1444" s="12"/>
    </row>
    <row r="1445" spans="3:10" x14ac:dyDescent="0.3">
      <c r="C1445" s="9" t="s">
        <v>12</v>
      </c>
      <c r="D1445" s="10">
        <v>45712</v>
      </c>
      <c r="E1445" t="s">
        <v>1288</v>
      </c>
      <c r="F1445" s="11" t="s">
        <v>1289</v>
      </c>
      <c r="G1445" s="8">
        <v>68.180000000000007</v>
      </c>
      <c r="H1445" s="8">
        <v>0</v>
      </c>
      <c r="I1445" s="8">
        <f t="shared" si="54"/>
        <v>3099.98</v>
      </c>
      <c r="J1445" s="12"/>
    </row>
    <row r="1446" spans="3:10" x14ac:dyDescent="0.3">
      <c r="C1446" s="9" t="s">
        <v>12</v>
      </c>
      <c r="D1446" s="10">
        <v>45713</v>
      </c>
      <c r="E1446" t="s">
        <v>1059</v>
      </c>
      <c r="F1446" s="11" t="s">
        <v>14</v>
      </c>
      <c r="G1446" s="8">
        <v>0</v>
      </c>
      <c r="H1446" s="8">
        <v>398.72</v>
      </c>
      <c r="I1446" s="8">
        <f t="shared" si="54"/>
        <v>2701.26</v>
      </c>
      <c r="J1446" s="12"/>
    </row>
    <row r="1447" spans="3:10" x14ac:dyDescent="0.3">
      <c r="C1447" s="9" t="s">
        <v>12</v>
      </c>
      <c r="D1447" s="10">
        <v>45713</v>
      </c>
      <c r="E1447" t="s">
        <v>1059</v>
      </c>
      <c r="F1447" s="11" t="s">
        <v>14</v>
      </c>
      <c r="G1447" s="8">
        <v>0</v>
      </c>
      <c r="H1447" s="8">
        <v>68.180000000000007</v>
      </c>
      <c r="I1447" s="8">
        <f t="shared" si="54"/>
        <v>2633.0800000000004</v>
      </c>
      <c r="J1447" s="12"/>
    </row>
    <row r="1448" spans="3:10" x14ac:dyDescent="0.3">
      <c r="C1448" s="9" t="s">
        <v>12</v>
      </c>
      <c r="D1448" s="10">
        <v>45716</v>
      </c>
      <c r="E1448" t="s">
        <v>1290</v>
      </c>
      <c r="F1448" s="11" t="s">
        <v>1291</v>
      </c>
      <c r="G1448" s="8">
        <v>215.59</v>
      </c>
      <c r="H1448" s="8">
        <v>0</v>
      </c>
      <c r="I1448" s="8">
        <f t="shared" si="54"/>
        <v>2848.6700000000005</v>
      </c>
      <c r="J1448" s="12"/>
    </row>
    <row r="1449" spans="3:10" x14ac:dyDescent="0.3">
      <c r="C1449" s="9" t="s">
        <v>12</v>
      </c>
      <c r="D1449" s="10">
        <v>45720</v>
      </c>
      <c r="E1449" t="s">
        <v>1059</v>
      </c>
      <c r="F1449" s="11" t="s">
        <v>14</v>
      </c>
      <c r="G1449" s="8">
        <v>0</v>
      </c>
      <c r="H1449" s="8">
        <v>215.59</v>
      </c>
      <c r="I1449" s="8">
        <f t="shared" si="54"/>
        <v>2633.0800000000004</v>
      </c>
      <c r="J1449" s="12"/>
    </row>
    <row r="1450" spans="3:10" x14ac:dyDescent="0.3">
      <c r="C1450" s="9" t="s">
        <v>12</v>
      </c>
      <c r="D1450" s="10">
        <v>45730</v>
      </c>
      <c r="E1450" t="s">
        <v>1292</v>
      </c>
      <c r="F1450" s="11" t="s">
        <v>1293</v>
      </c>
      <c r="G1450" s="8">
        <v>399.7</v>
      </c>
      <c r="H1450" s="8">
        <v>0</v>
      </c>
      <c r="I1450" s="8">
        <f t="shared" si="54"/>
        <v>3032.78</v>
      </c>
      <c r="J1450" s="12"/>
    </row>
    <row r="1451" spans="3:10" x14ac:dyDescent="0.3">
      <c r="C1451" s="9" t="s">
        <v>12</v>
      </c>
      <c r="D1451" s="10">
        <v>45733</v>
      </c>
      <c r="E1451" t="s">
        <v>1059</v>
      </c>
      <c r="F1451" s="11" t="s">
        <v>14</v>
      </c>
      <c r="G1451" s="8">
        <v>0</v>
      </c>
      <c r="H1451" s="8">
        <v>399.7</v>
      </c>
      <c r="I1451" s="8">
        <f t="shared" si="54"/>
        <v>2633.0800000000004</v>
      </c>
      <c r="J1451" s="12"/>
    </row>
    <row r="1452" spans="3:10" x14ac:dyDescent="0.3">
      <c r="C1452" s="9" t="s">
        <v>12</v>
      </c>
      <c r="D1452" s="10">
        <v>45741</v>
      </c>
      <c r="E1452" t="s">
        <v>1294</v>
      </c>
      <c r="F1452" s="11" t="s">
        <v>1295</v>
      </c>
      <c r="G1452" s="8">
        <v>68.180000000000007</v>
      </c>
      <c r="H1452" s="8">
        <v>0</v>
      </c>
      <c r="I1452" s="8">
        <f t="shared" si="54"/>
        <v>2701.26</v>
      </c>
      <c r="J1452" s="12"/>
    </row>
    <row r="1453" spans="3:10" x14ac:dyDescent="0.3">
      <c r="C1453" s="9" t="s">
        <v>12</v>
      </c>
      <c r="D1453" s="10">
        <v>45749</v>
      </c>
      <c r="E1453" t="s">
        <v>1296</v>
      </c>
      <c r="F1453" s="11" t="s">
        <v>1297</v>
      </c>
      <c r="G1453" s="8">
        <v>462.94</v>
      </c>
      <c r="H1453" s="8">
        <v>0</v>
      </c>
      <c r="I1453" s="8">
        <f t="shared" si="54"/>
        <v>3164.2000000000003</v>
      </c>
      <c r="J1453" s="12"/>
    </row>
    <row r="1454" spans="3:10" x14ac:dyDescent="0.3">
      <c r="C1454" s="9" t="s">
        <v>12</v>
      </c>
      <c r="D1454" s="10">
        <v>45771</v>
      </c>
      <c r="E1454" t="s">
        <v>1059</v>
      </c>
      <c r="F1454" s="11" t="s">
        <v>14</v>
      </c>
      <c r="G1454" s="8">
        <v>0</v>
      </c>
      <c r="H1454" s="8">
        <v>68.180000000000007</v>
      </c>
      <c r="I1454" s="8">
        <f t="shared" si="54"/>
        <v>3096.0200000000004</v>
      </c>
      <c r="J1454" s="12"/>
    </row>
    <row r="1455" spans="3:10" x14ac:dyDescent="0.3">
      <c r="C1455" s="9" t="s">
        <v>12</v>
      </c>
      <c r="D1455" s="10">
        <v>45776</v>
      </c>
      <c r="E1455" t="s">
        <v>1298</v>
      </c>
      <c r="F1455" s="11" t="s">
        <v>1299</v>
      </c>
      <c r="G1455" s="8">
        <v>1202.67</v>
      </c>
      <c r="H1455" s="8">
        <v>0</v>
      </c>
      <c r="I1455" s="8">
        <f t="shared" si="54"/>
        <v>4298.6900000000005</v>
      </c>
      <c r="J1455" s="12"/>
    </row>
    <row r="1456" spans="3:10" x14ac:dyDescent="0.3">
      <c r="C1456" s="9" t="s">
        <v>12</v>
      </c>
      <c r="D1456" s="10">
        <v>45779</v>
      </c>
      <c r="E1456" t="s">
        <v>1059</v>
      </c>
      <c r="F1456" s="11" t="s">
        <v>14</v>
      </c>
      <c r="G1456" s="8">
        <v>0</v>
      </c>
      <c r="H1456" s="8">
        <v>462.94</v>
      </c>
      <c r="I1456" s="8">
        <f t="shared" si="54"/>
        <v>3835.7500000000005</v>
      </c>
      <c r="J1456" s="12">
        <v>572000005</v>
      </c>
    </row>
    <row r="1457" spans="3:10" x14ac:dyDescent="0.3">
      <c r="C1457" s="9" t="s">
        <v>12</v>
      </c>
      <c r="D1457" s="10">
        <v>45782</v>
      </c>
      <c r="E1457" t="s">
        <v>1059</v>
      </c>
      <c r="F1457" s="11" t="s">
        <v>14</v>
      </c>
      <c r="G1457" s="8">
        <v>0</v>
      </c>
      <c r="H1457" s="8">
        <v>1202.67</v>
      </c>
      <c r="I1457" s="8">
        <f t="shared" si="54"/>
        <v>2633.0800000000004</v>
      </c>
      <c r="J1457" s="12"/>
    </row>
    <row r="1458" spans="3:10" x14ac:dyDescent="0.3">
      <c r="C1458" s="9" t="s">
        <v>12</v>
      </c>
      <c r="D1458" s="10">
        <v>45784</v>
      </c>
      <c r="E1458" t="s">
        <v>1300</v>
      </c>
      <c r="F1458" s="11" t="s">
        <v>1301</v>
      </c>
      <c r="G1458" s="8">
        <v>1018.83</v>
      </c>
      <c r="H1458" s="8">
        <v>0</v>
      </c>
      <c r="I1458" s="8">
        <f t="shared" si="54"/>
        <v>3651.9100000000003</v>
      </c>
      <c r="J1458" s="12"/>
    </row>
    <row r="1459" spans="3:10" x14ac:dyDescent="0.3">
      <c r="C1459" s="9" t="s">
        <v>12</v>
      </c>
      <c r="D1459" s="10">
        <v>45790</v>
      </c>
      <c r="E1459" t="s">
        <v>1302</v>
      </c>
      <c r="F1459" s="11" t="s">
        <v>1303</v>
      </c>
      <c r="G1459" s="8">
        <v>8940.09</v>
      </c>
      <c r="H1459" s="8">
        <v>0</v>
      </c>
      <c r="I1459" s="8">
        <f t="shared" si="54"/>
        <v>12592</v>
      </c>
      <c r="J1459" s="12"/>
    </row>
    <row r="1460" spans="3:10" x14ac:dyDescent="0.3">
      <c r="C1460" s="9" t="s">
        <v>12</v>
      </c>
      <c r="D1460" s="10">
        <v>45791</v>
      </c>
      <c r="E1460" t="s">
        <v>305</v>
      </c>
      <c r="F1460" s="11" t="s">
        <v>14</v>
      </c>
      <c r="G1460" s="8">
        <v>0</v>
      </c>
      <c r="H1460" s="8">
        <v>8940.09</v>
      </c>
      <c r="I1460" s="8">
        <f t="shared" si="54"/>
        <v>3651.91</v>
      </c>
      <c r="J1460" s="12">
        <v>572000007</v>
      </c>
    </row>
    <row r="1461" spans="3:10" x14ac:dyDescent="0.3">
      <c r="C1461" s="9" t="s">
        <v>12</v>
      </c>
      <c r="D1461" s="10">
        <v>45798</v>
      </c>
      <c r="E1461" t="s">
        <v>1304</v>
      </c>
      <c r="F1461" s="11" t="s">
        <v>1305</v>
      </c>
      <c r="G1461" s="8">
        <v>5264.04</v>
      </c>
      <c r="H1461" s="8">
        <v>0</v>
      </c>
      <c r="I1461" s="8">
        <f t="shared" si="54"/>
        <v>8915.9500000000007</v>
      </c>
      <c r="J1461" s="12"/>
    </row>
    <row r="1462" spans="3:10" x14ac:dyDescent="0.3">
      <c r="C1462" s="9" t="s">
        <v>12</v>
      </c>
      <c r="D1462" s="10">
        <v>45805</v>
      </c>
      <c r="E1462" t="s">
        <v>1306</v>
      </c>
      <c r="F1462" s="11" t="s">
        <v>1307</v>
      </c>
      <c r="G1462" s="8">
        <v>562.36</v>
      </c>
      <c r="H1462" s="8">
        <v>0</v>
      </c>
      <c r="I1462" s="8">
        <f t="shared" si="54"/>
        <v>9478.3100000000013</v>
      </c>
      <c r="J1462" s="12"/>
    </row>
    <row r="1463" spans="3:10" x14ac:dyDescent="0.3">
      <c r="C1463" s="9" t="s">
        <v>12</v>
      </c>
      <c r="D1463" s="10">
        <v>45810</v>
      </c>
      <c r="E1463" t="s">
        <v>1059</v>
      </c>
      <c r="F1463" s="11" t="s">
        <v>14</v>
      </c>
      <c r="G1463" s="8">
        <v>0</v>
      </c>
      <c r="H1463" s="8">
        <v>2632.02</v>
      </c>
      <c r="I1463" s="8">
        <f t="shared" si="54"/>
        <v>6846.2900000000009</v>
      </c>
      <c r="J1463" s="12"/>
    </row>
    <row r="1464" spans="3:10" x14ac:dyDescent="0.3">
      <c r="C1464" s="9" t="s">
        <v>12</v>
      </c>
      <c r="D1464" s="10">
        <v>45810</v>
      </c>
      <c r="E1464" t="s">
        <v>1059</v>
      </c>
      <c r="F1464" s="11" t="s">
        <v>14</v>
      </c>
      <c r="G1464" s="8">
        <v>0</v>
      </c>
      <c r="H1464" s="8">
        <v>2632.02</v>
      </c>
      <c r="I1464" s="8">
        <f t="shared" si="54"/>
        <v>4214.2700000000004</v>
      </c>
      <c r="J1464" s="12"/>
    </row>
    <row r="1465" spans="3:10" x14ac:dyDescent="0.3">
      <c r="C1465" s="9" t="s">
        <v>12</v>
      </c>
      <c r="D1465" s="10">
        <v>45810</v>
      </c>
      <c r="E1465" t="s">
        <v>1308</v>
      </c>
      <c r="F1465" s="11" t="s">
        <v>1309</v>
      </c>
      <c r="G1465" s="8">
        <v>201.83</v>
      </c>
      <c r="H1465" s="8">
        <v>0</v>
      </c>
      <c r="I1465" s="8">
        <f t="shared" ref="I1465:I1496" si="55">G1465-H1465+I1464</f>
        <v>4416.1000000000004</v>
      </c>
      <c r="J1465" s="12"/>
    </row>
    <row r="1466" spans="3:10" x14ac:dyDescent="0.3">
      <c r="C1466" s="9" t="s">
        <v>12</v>
      </c>
      <c r="D1466" s="10">
        <v>45814</v>
      </c>
      <c r="E1466" t="s">
        <v>1059</v>
      </c>
      <c r="F1466" s="11" t="s">
        <v>14</v>
      </c>
      <c r="G1466" s="8">
        <v>0</v>
      </c>
      <c r="H1466" s="8">
        <v>1018.83</v>
      </c>
      <c r="I1466" s="8">
        <f t="shared" si="55"/>
        <v>3397.2700000000004</v>
      </c>
      <c r="J1466" s="12">
        <v>572000005</v>
      </c>
    </row>
    <row r="1467" spans="3:10" x14ac:dyDescent="0.3">
      <c r="C1467" s="9" t="s">
        <v>12</v>
      </c>
      <c r="D1467" s="10">
        <v>45818</v>
      </c>
      <c r="E1467" t="s">
        <v>1310</v>
      </c>
      <c r="F1467" s="11" t="s">
        <v>1311</v>
      </c>
      <c r="G1467" s="8">
        <v>421.09</v>
      </c>
      <c r="H1467" s="8">
        <v>0</v>
      </c>
      <c r="I1467" s="8">
        <f t="shared" si="55"/>
        <v>3818.3600000000006</v>
      </c>
      <c r="J1467" s="12"/>
    </row>
    <row r="1468" spans="3:10" x14ac:dyDescent="0.3">
      <c r="C1468" s="9" t="s">
        <v>12</v>
      </c>
      <c r="D1468" s="10">
        <v>45835</v>
      </c>
      <c r="E1468" t="s">
        <v>1059</v>
      </c>
      <c r="F1468" s="11" t="s">
        <v>14</v>
      </c>
      <c r="G1468" s="8">
        <v>0</v>
      </c>
      <c r="H1468" s="8">
        <v>562.36</v>
      </c>
      <c r="I1468" s="8">
        <f t="shared" si="55"/>
        <v>3256.0000000000005</v>
      </c>
      <c r="J1468" s="12">
        <v>572000005</v>
      </c>
    </row>
    <row r="1469" spans="3:10" x14ac:dyDescent="0.3">
      <c r="C1469" s="9" t="s">
        <v>12</v>
      </c>
      <c r="D1469" s="10">
        <v>45841</v>
      </c>
      <c r="E1469" t="s">
        <v>1059</v>
      </c>
      <c r="F1469" s="11" t="s">
        <v>14</v>
      </c>
      <c r="G1469" s="8">
        <v>0</v>
      </c>
      <c r="H1469" s="8">
        <v>201.83</v>
      </c>
      <c r="I1469" s="8">
        <f t="shared" si="55"/>
        <v>3054.1700000000005</v>
      </c>
      <c r="J1469" s="12">
        <v>572000005</v>
      </c>
    </row>
    <row r="1470" spans="3:10" x14ac:dyDescent="0.3">
      <c r="C1470" s="9"/>
      <c r="D1470" s="10">
        <v>45842</v>
      </c>
      <c r="E1470" t="s">
        <v>1312</v>
      </c>
      <c r="F1470" s="11" t="s">
        <v>1313</v>
      </c>
      <c r="G1470" s="8">
        <v>181.5</v>
      </c>
      <c r="H1470" s="8">
        <v>0</v>
      </c>
      <c r="I1470" s="8">
        <f t="shared" si="55"/>
        <v>3235.6700000000005</v>
      </c>
      <c r="J1470" s="12"/>
    </row>
    <row r="1471" spans="3:10" x14ac:dyDescent="0.3">
      <c r="C1471" s="9"/>
      <c r="D1471" s="10">
        <v>45842</v>
      </c>
      <c r="E1471" t="s">
        <v>1314</v>
      </c>
      <c r="F1471" s="11" t="s">
        <v>1315</v>
      </c>
      <c r="G1471" s="8">
        <v>923.39</v>
      </c>
      <c r="H1471" s="8">
        <v>0</v>
      </c>
      <c r="I1471" s="8">
        <f t="shared" si="55"/>
        <v>4159.0600000000004</v>
      </c>
      <c r="J1471" s="12"/>
    </row>
    <row r="1472" spans="3:10" x14ac:dyDescent="0.3">
      <c r="C1472" s="9" t="s">
        <v>12</v>
      </c>
      <c r="D1472" s="10">
        <v>45848</v>
      </c>
      <c r="E1472" t="s">
        <v>1059</v>
      </c>
      <c r="F1472" s="11" t="s">
        <v>14</v>
      </c>
      <c r="G1472" s="8">
        <v>0</v>
      </c>
      <c r="H1472" s="8">
        <v>421.09</v>
      </c>
      <c r="I1472" s="8">
        <f t="shared" si="55"/>
        <v>3737.9700000000003</v>
      </c>
      <c r="J1472" s="12"/>
    </row>
    <row r="1473" spans="3:10" x14ac:dyDescent="0.3">
      <c r="C1473" s="9"/>
      <c r="D1473" s="10">
        <v>45861</v>
      </c>
      <c r="E1473" t="s">
        <v>1316</v>
      </c>
      <c r="F1473" s="11" t="s">
        <v>1317</v>
      </c>
      <c r="G1473" s="8">
        <v>955.9</v>
      </c>
      <c r="H1473" s="8">
        <v>0</v>
      </c>
      <c r="I1473" s="8">
        <f t="shared" si="55"/>
        <v>4693.87</v>
      </c>
      <c r="J1473" s="12"/>
    </row>
    <row r="1474" spans="3:10" x14ac:dyDescent="0.3">
      <c r="C1474" s="9"/>
      <c r="D1474" s="10">
        <v>45873</v>
      </c>
      <c r="E1474" t="s">
        <v>1059</v>
      </c>
      <c r="F1474" s="11" t="s">
        <v>14</v>
      </c>
      <c r="G1474" s="8">
        <v>0</v>
      </c>
      <c r="H1474" s="8">
        <v>181.5</v>
      </c>
      <c r="I1474" s="8">
        <f t="shared" si="55"/>
        <v>4512.37</v>
      </c>
      <c r="J1474" s="12"/>
    </row>
    <row r="1475" spans="3:10" x14ac:dyDescent="0.3">
      <c r="C1475" s="9"/>
      <c r="D1475" s="10">
        <v>45873</v>
      </c>
      <c r="E1475" t="s">
        <v>1059</v>
      </c>
      <c r="F1475" s="11" t="s">
        <v>14</v>
      </c>
      <c r="G1475" s="8">
        <v>0</v>
      </c>
      <c r="H1475" s="8">
        <v>923.39</v>
      </c>
      <c r="I1475" s="8">
        <f t="shared" si="55"/>
        <v>3588.98</v>
      </c>
      <c r="J1475" s="12"/>
    </row>
    <row r="1476" spans="3:10" x14ac:dyDescent="0.3">
      <c r="C1476" s="9"/>
      <c r="D1476" s="10">
        <v>45874</v>
      </c>
      <c r="E1476" t="s">
        <v>1318</v>
      </c>
      <c r="F1476" s="11" t="s">
        <v>1319</v>
      </c>
      <c r="G1476" s="8">
        <v>5402.74</v>
      </c>
      <c r="H1476" s="8">
        <v>0</v>
      </c>
      <c r="I1476" s="8">
        <f t="shared" si="55"/>
        <v>8991.7199999999993</v>
      </c>
      <c r="J1476" s="12"/>
    </row>
    <row r="1477" spans="3:10" x14ac:dyDescent="0.3">
      <c r="C1477" s="9"/>
      <c r="D1477" s="10">
        <v>45876</v>
      </c>
      <c r="E1477" t="s">
        <v>1320</v>
      </c>
      <c r="F1477" s="11" t="s">
        <v>1321</v>
      </c>
      <c r="G1477" s="8">
        <v>457.93</v>
      </c>
      <c r="H1477" s="8">
        <v>0</v>
      </c>
      <c r="I1477" s="8">
        <f t="shared" si="55"/>
        <v>9449.65</v>
      </c>
      <c r="J1477" s="12"/>
    </row>
    <row r="1478" spans="3:10" x14ac:dyDescent="0.3">
      <c r="C1478" s="9"/>
      <c r="D1478" s="10">
        <v>45881</v>
      </c>
      <c r="E1478" t="s">
        <v>1322</v>
      </c>
      <c r="F1478" s="11" t="s">
        <v>1323</v>
      </c>
      <c r="G1478" s="8">
        <v>133.1</v>
      </c>
      <c r="H1478" s="8">
        <v>0</v>
      </c>
      <c r="I1478" s="8">
        <f t="shared" si="55"/>
        <v>9582.75</v>
      </c>
      <c r="J1478" s="12"/>
    </row>
    <row r="1479" spans="3:10" x14ac:dyDescent="0.3">
      <c r="C1479" s="9"/>
      <c r="D1479" s="10">
        <v>45891</v>
      </c>
      <c r="E1479" t="s">
        <v>1059</v>
      </c>
      <c r="F1479" s="11" t="s">
        <v>14</v>
      </c>
      <c r="G1479" s="8">
        <v>0</v>
      </c>
      <c r="H1479" s="8">
        <v>955.9</v>
      </c>
      <c r="I1479" s="8">
        <f t="shared" si="55"/>
        <v>8626.85</v>
      </c>
      <c r="J1479" s="12">
        <v>572000005</v>
      </c>
    </row>
    <row r="1480" spans="3:10" x14ac:dyDescent="0.3">
      <c r="C1480" s="9"/>
      <c r="D1480" s="10">
        <v>45898</v>
      </c>
      <c r="E1480" t="s">
        <v>1059</v>
      </c>
      <c r="F1480" s="11" t="s">
        <v>14</v>
      </c>
      <c r="G1480" s="8">
        <v>0</v>
      </c>
      <c r="H1480" s="8">
        <v>2701.37</v>
      </c>
      <c r="I1480" s="8">
        <f t="shared" si="55"/>
        <v>5925.4800000000005</v>
      </c>
      <c r="J1480" s="12"/>
    </row>
    <row r="1481" spans="3:10" x14ac:dyDescent="0.3">
      <c r="C1481" s="9"/>
      <c r="D1481" s="10">
        <v>45900</v>
      </c>
      <c r="E1481" t="s">
        <v>1324</v>
      </c>
      <c r="F1481" s="11" t="s">
        <v>1325</v>
      </c>
      <c r="G1481" s="8">
        <v>1410.57</v>
      </c>
      <c r="H1481" s="8">
        <v>0</v>
      </c>
      <c r="I1481" s="8">
        <f t="shared" si="55"/>
        <v>7336.05</v>
      </c>
      <c r="J1481" s="12"/>
    </row>
    <row r="1482" spans="3:10" x14ac:dyDescent="0.3">
      <c r="C1482" s="9"/>
      <c r="D1482" s="10">
        <v>45905</v>
      </c>
      <c r="E1482" t="s">
        <v>1326</v>
      </c>
      <c r="F1482" s="11" t="s">
        <v>1327</v>
      </c>
      <c r="G1482" s="8">
        <v>35.07</v>
      </c>
      <c r="H1482" s="8">
        <v>0</v>
      </c>
      <c r="I1482" s="8">
        <f t="shared" si="55"/>
        <v>7371.12</v>
      </c>
      <c r="J1482" s="12"/>
    </row>
    <row r="1483" spans="3:10" x14ac:dyDescent="0.3">
      <c r="C1483" s="9"/>
      <c r="D1483" s="10">
        <v>45908</v>
      </c>
      <c r="E1483" t="s">
        <v>1059</v>
      </c>
      <c r="F1483" s="11" t="s">
        <v>14</v>
      </c>
      <c r="G1483" s="8">
        <v>0</v>
      </c>
      <c r="H1483" s="8">
        <v>457.93</v>
      </c>
      <c r="I1483" s="8">
        <f t="shared" si="55"/>
        <v>6913.19</v>
      </c>
      <c r="J1483" s="12"/>
    </row>
    <row r="1484" spans="3:10" x14ac:dyDescent="0.3">
      <c r="C1484" s="9"/>
      <c r="D1484" s="10">
        <v>45911</v>
      </c>
      <c r="E1484" t="s">
        <v>1059</v>
      </c>
      <c r="F1484" s="11" t="s">
        <v>14</v>
      </c>
      <c r="G1484" s="8">
        <v>0</v>
      </c>
      <c r="H1484" s="8">
        <v>133.1</v>
      </c>
      <c r="I1484" s="8">
        <f t="shared" si="55"/>
        <v>6780.0899999999992</v>
      </c>
      <c r="J1484" s="12"/>
    </row>
    <row r="1485" spans="3:10" x14ac:dyDescent="0.3">
      <c r="C1485" s="9"/>
      <c r="D1485" s="10">
        <v>45917</v>
      </c>
      <c r="E1485" t="s">
        <v>1328</v>
      </c>
      <c r="F1485" s="11" t="s">
        <v>1329</v>
      </c>
      <c r="G1485" s="8">
        <v>363.48</v>
      </c>
      <c r="H1485" s="8">
        <v>0</v>
      </c>
      <c r="I1485" s="8">
        <f t="shared" si="55"/>
        <v>7143.57</v>
      </c>
      <c r="J1485" s="12"/>
    </row>
    <row r="1486" spans="3:10" x14ac:dyDescent="0.3">
      <c r="C1486" s="9"/>
      <c r="D1486" s="10">
        <v>45917</v>
      </c>
      <c r="E1486" t="s">
        <v>1330</v>
      </c>
      <c r="F1486" s="11" t="s">
        <v>1331</v>
      </c>
      <c r="G1486" s="8">
        <v>197.77</v>
      </c>
      <c r="H1486" s="8">
        <v>0</v>
      </c>
      <c r="I1486" s="8">
        <f t="shared" si="55"/>
        <v>7341.34</v>
      </c>
      <c r="J1486" s="12"/>
    </row>
    <row r="1487" spans="3:10" x14ac:dyDescent="0.3">
      <c r="E1487" s="4" t="s">
        <v>116</v>
      </c>
      <c r="G1487" s="8">
        <f>SUM(G1432:G1486)</f>
        <v>33368.240000000005</v>
      </c>
      <c r="H1487" s="8">
        <f>SUM(H1432:H1486)</f>
        <v>26026.9</v>
      </c>
      <c r="I1487" s="8">
        <f>G1487-H1487</f>
        <v>7341.3400000000038</v>
      </c>
    </row>
    <row r="1489" spans="1:10" x14ac:dyDescent="0.3">
      <c r="A1489" s="5">
        <v>430000191</v>
      </c>
      <c r="B1489" s="6" t="s">
        <v>1332</v>
      </c>
      <c r="C1489" s="7"/>
      <c r="D1489" s="7"/>
      <c r="E1489" s="7"/>
      <c r="F1489" s="7"/>
      <c r="G1489" s="7"/>
      <c r="H1489" s="7"/>
      <c r="I1489" s="7"/>
      <c r="J1489" s="7"/>
    </row>
    <row r="1490" spans="1:10" x14ac:dyDescent="0.3">
      <c r="C1490" s="9" t="s">
        <v>12</v>
      </c>
      <c r="D1490" s="10">
        <v>45762</v>
      </c>
      <c r="E1490" t="s">
        <v>1333</v>
      </c>
      <c r="F1490" s="11" t="s">
        <v>1334</v>
      </c>
      <c r="G1490" s="8">
        <v>133.1</v>
      </c>
      <c r="H1490" s="8">
        <v>0</v>
      </c>
      <c r="I1490" s="8">
        <f>G1490-H1490</f>
        <v>133.1</v>
      </c>
      <c r="J1490" s="12"/>
    </row>
    <row r="1491" spans="1:10" x14ac:dyDescent="0.3">
      <c r="C1491" s="9" t="s">
        <v>12</v>
      </c>
      <c r="D1491" s="10">
        <v>45792</v>
      </c>
      <c r="E1491" t="s">
        <v>1059</v>
      </c>
      <c r="F1491" s="11" t="s">
        <v>14</v>
      </c>
      <c r="G1491" s="8">
        <v>0</v>
      </c>
      <c r="H1491" s="8">
        <v>133.1</v>
      </c>
      <c r="I1491" s="8">
        <f t="shared" ref="I1491:I1503" si="56">G1491-H1491+I1490</f>
        <v>0</v>
      </c>
      <c r="J1491" s="12"/>
    </row>
    <row r="1492" spans="1:10" x14ac:dyDescent="0.3">
      <c r="C1492" s="9"/>
      <c r="D1492" s="10">
        <v>45847</v>
      </c>
      <c r="E1492" t="s">
        <v>1335</v>
      </c>
      <c r="F1492" s="11" t="s">
        <v>1336</v>
      </c>
      <c r="G1492" s="8">
        <v>154.97999999999999</v>
      </c>
      <c r="H1492" s="8">
        <v>0</v>
      </c>
      <c r="I1492" s="8">
        <f t="shared" si="56"/>
        <v>154.97999999999999</v>
      </c>
      <c r="J1492" s="12"/>
    </row>
    <row r="1493" spans="1:10" x14ac:dyDescent="0.3">
      <c r="C1493" s="9"/>
      <c r="D1493" s="10">
        <v>45860</v>
      </c>
      <c r="E1493" t="s">
        <v>1337</v>
      </c>
      <c r="F1493" s="11" t="s">
        <v>1338</v>
      </c>
      <c r="G1493" s="8">
        <v>544.5</v>
      </c>
      <c r="H1493" s="8">
        <v>0</v>
      </c>
      <c r="I1493" s="8">
        <f t="shared" si="56"/>
        <v>699.48</v>
      </c>
      <c r="J1493" s="12"/>
    </row>
    <row r="1494" spans="1:10" x14ac:dyDescent="0.3">
      <c r="C1494" s="9"/>
      <c r="D1494" s="10">
        <v>45874</v>
      </c>
      <c r="E1494" t="s">
        <v>1339</v>
      </c>
      <c r="F1494" s="11" t="s">
        <v>1340</v>
      </c>
      <c r="G1494" s="8">
        <v>357.74</v>
      </c>
      <c r="H1494" s="8">
        <v>0</v>
      </c>
      <c r="I1494" s="8">
        <f t="shared" si="56"/>
        <v>1057.22</v>
      </c>
      <c r="J1494" s="12"/>
    </row>
    <row r="1495" spans="1:10" x14ac:dyDescent="0.3">
      <c r="C1495" s="9"/>
      <c r="D1495" s="10">
        <v>45877</v>
      </c>
      <c r="E1495" t="s">
        <v>1059</v>
      </c>
      <c r="F1495" s="11" t="s">
        <v>14</v>
      </c>
      <c r="G1495" s="8">
        <v>0</v>
      </c>
      <c r="H1495" s="8">
        <v>154.97999999999999</v>
      </c>
      <c r="I1495" s="8">
        <f t="shared" si="56"/>
        <v>902.24</v>
      </c>
      <c r="J1495" s="12"/>
    </row>
    <row r="1496" spans="1:10" x14ac:dyDescent="0.3">
      <c r="C1496" s="9"/>
      <c r="D1496" s="10">
        <v>45880</v>
      </c>
      <c r="E1496" t="s">
        <v>1031</v>
      </c>
      <c r="F1496" s="11" t="s">
        <v>14</v>
      </c>
      <c r="G1496" s="8">
        <v>154.97999999999999</v>
      </c>
      <c r="H1496" s="8">
        <v>0</v>
      </c>
      <c r="I1496" s="8">
        <f t="shared" si="56"/>
        <v>1057.22</v>
      </c>
      <c r="J1496" s="12">
        <v>572000005</v>
      </c>
    </row>
    <row r="1497" spans="1:10" x14ac:dyDescent="0.3">
      <c r="C1497" s="9"/>
      <c r="D1497" s="10">
        <v>45881</v>
      </c>
      <c r="E1497" t="s">
        <v>1341</v>
      </c>
      <c r="F1497" s="11" t="s">
        <v>1342</v>
      </c>
      <c r="G1497" s="8">
        <v>193.6</v>
      </c>
      <c r="H1497" s="8">
        <v>0</v>
      </c>
      <c r="I1497" s="8">
        <f t="shared" si="56"/>
        <v>1250.82</v>
      </c>
      <c r="J1497" s="12"/>
    </row>
    <row r="1498" spans="1:10" x14ac:dyDescent="0.3">
      <c r="C1498" s="9"/>
      <c r="D1498" s="10">
        <v>45890</v>
      </c>
      <c r="E1498" t="s">
        <v>1059</v>
      </c>
      <c r="F1498" s="11" t="s">
        <v>14</v>
      </c>
      <c r="G1498" s="8">
        <v>0</v>
      </c>
      <c r="H1498" s="8">
        <v>544.5</v>
      </c>
      <c r="I1498" s="8">
        <f t="shared" si="56"/>
        <v>706.31999999999994</v>
      </c>
      <c r="J1498" s="12"/>
    </row>
    <row r="1499" spans="1:10" x14ac:dyDescent="0.3">
      <c r="C1499" s="9"/>
      <c r="D1499" s="10">
        <v>45891</v>
      </c>
      <c r="E1499" t="s">
        <v>1031</v>
      </c>
      <c r="F1499" s="11" t="s">
        <v>14</v>
      </c>
      <c r="G1499" s="8">
        <v>544.5</v>
      </c>
      <c r="H1499" s="8">
        <v>0</v>
      </c>
      <c r="I1499" s="8">
        <f t="shared" si="56"/>
        <v>1250.82</v>
      </c>
      <c r="J1499" s="12">
        <v>572000005</v>
      </c>
    </row>
    <row r="1500" spans="1:10" x14ac:dyDescent="0.3">
      <c r="C1500" s="9"/>
      <c r="D1500" s="10">
        <v>45904</v>
      </c>
      <c r="E1500" t="s">
        <v>1059</v>
      </c>
      <c r="F1500" s="11" t="s">
        <v>14</v>
      </c>
      <c r="G1500" s="8">
        <v>0</v>
      </c>
      <c r="H1500" s="8">
        <v>357.74</v>
      </c>
      <c r="I1500" s="8">
        <f t="shared" si="56"/>
        <v>893.07999999999993</v>
      </c>
      <c r="J1500" s="12"/>
    </row>
    <row r="1501" spans="1:10" x14ac:dyDescent="0.3">
      <c r="C1501" s="9"/>
      <c r="D1501" s="10">
        <v>45905</v>
      </c>
      <c r="E1501" t="s">
        <v>1031</v>
      </c>
      <c r="F1501" s="11" t="s">
        <v>14</v>
      </c>
      <c r="G1501" s="8">
        <v>357.74</v>
      </c>
      <c r="H1501" s="8">
        <v>0</v>
      </c>
      <c r="I1501" s="8">
        <f t="shared" si="56"/>
        <v>1250.82</v>
      </c>
      <c r="J1501" s="12">
        <v>572000005</v>
      </c>
    </row>
    <row r="1502" spans="1:10" x14ac:dyDescent="0.3">
      <c r="C1502" s="9"/>
      <c r="D1502" s="10">
        <v>45911</v>
      </c>
      <c r="E1502" t="s">
        <v>1059</v>
      </c>
      <c r="F1502" s="11" t="s">
        <v>14</v>
      </c>
      <c r="G1502" s="8">
        <v>0</v>
      </c>
      <c r="H1502" s="8">
        <v>193.6</v>
      </c>
      <c r="I1502" s="8">
        <f t="shared" si="56"/>
        <v>1057.22</v>
      </c>
      <c r="J1502" s="12"/>
    </row>
    <row r="1503" spans="1:10" x14ac:dyDescent="0.3">
      <c r="C1503" s="9"/>
      <c r="D1503" s="10">
        <v>45912</v>
      </c>
      <c r="E1503" t="s">
        <v>1031</v>
      </c>
      <c r="F1503" s="11" t="s">
        <v>14</v>
      </c>
      <c r="G1503" s="8">
        <v>193.6</v>
      </c>
      <c r="H1503" s="8">
        <v>0</v>
      </c>
      <c r="I1503" s="8">
        <f t="shared" si="56"/>
        <v>1250.82</v>
      </c>
      <c r="J1503" s="12">
        <v>572000005</v>
      </c>
    </row>
    <row r="1504" spans="1:10" x14ac:dyDescent="0.3">
      <c r="E1504" s="4" t="s">
        <v>116</v>
      </c>
      <c r="G1504" s="8">
        <f>SUM(G1490:G1503)</f>
        <v>2634.7399999999993</v>
      </c>
      <c r="H1504" s="8">
        <f>SUM(H1490:H1503)</f>
        <v>1383.9199999999998</v>
      </c>
      <c r="I1504" s="8">
        <f>G1504-H1504</f>
        <v>1250.8199999999995</v>
      </c>
    </row>
    <row r="1506" spans="1:10" x14ac:dyDescent="0.3">
      <c r="A1506" s="5">
        <v>430000192</v>
      </c>
      <c r="B1506" s="6" t="s">
        <v>1343</v>
      </c>
      <c r="C1506" s="7"/>
      <c r="D1506" s="7"/>
      <c r="E1506" s="7"/>
      <c r="F1506" s="7"/>
      <c r="G1506" s="7"/>
      <c r="H1506" s="7"/>
      <c r="I1506" s="7"/>
      <c r="J1506" s="7"/>
    </row>
    <row r="1507" spans="1:10" x14ac:dyDescent="0.3">
      <c r="C1507" s="9" t="s">
        <v>12</v>
      </c>
      <c r="D1507" s="10">
        <v>45736</v>
      </c>
      <c r="E1507" t="s">
        <v>1344</v>
      </c>
      <c r="F1507" s="11" t="s">
        <v>1345</v>
      </c>
      <c r="G1507" s="8">
        <v>33.979999999999997</v>
      </c>
      <c r="H1507" s="8">
        <v>0</v>
      </c>
      <c r="I1507" s="8">
        <f>G1507-H1507</f>
        <v>33.979999999999997</v>
      </c>
      <c r="J1507" s="12"/>
    </row>
    <row r="1508" spans="1:10" x14ac:dyDescent="0.3">
      <c r="C1508" s="9" t="s">
        <v>12</v>
      </c>
      <c r="D1508" s="10">
        <v>45737</v>
      </c>
      <c r="E1508" t="s">
        <v>1059</v>
      </c>
      <c r="F1508" s="11" t="s">
        <v>14</v>
      </c>
      <c r="G1508" s="8">
        <v>0</v>
      </c>
      <c r="H1508" s="8">
        <v>33.979999999999997</v>
      </c>
      <c r="I1508" s="8">
        <f t="shared" ref="I1508:I1517" si="57">G1508-H1508+I1507</f>
        <v>0</v>
      </c>
      <c r="J1508" s="12"/>
    </row>
    <row r="1509" spans="1:10" x14ac:dyDescent="0.3">
      <c r="C1509" s="9" t="s">
        <v>12</v>
      </c>
      <c r="D1509" s="10">
        <v>45805</v>
      </c>
      <c r="E1509" t="s">
        <v>1346</v>
      </c>
      <c r="F1509" s="11" t="s">
        <v>1347</v>
      </c>
      <c r="G1509" s="8">
        <v>157.30000000000001</v>
      </c>
      <c r="H1509" s="8">
        <v>0</v>
      </c>
      <c r="I1509" s="8">
        <f t="shared" si="57"/>
        <v>157.30000000000001</v>
      </c>
      <c r="J1509" s="12"/>
    </row>
    <row r="1510" spans="1:10" x14ac:dyDescent="0.3">
      <c r="C1510" s="9" t="s">
        <v>12</v>
      </c>
      <c r="D1510" s="10">
        <v>45814</v>
      </c>
      <c r="E1510" t="s">
        <v>1348</v>
      </c>
      <c r="F1510" s="11" t="s">
        <v>1349</v>
      </c>
      <c r="G1510" s="8">
        <v>39.01</v>
      </c>
      <c r="H1510" s="8">
        <v>0</v>
      </c>
      <c r="I1510" s="8">
        <f t="shared" si="57"/>
        <v>196.31</v>
      </c>
      <c r="J1510" s="12"/>
    </row>
    <row r="1511" spans="1:10" x14ac:dyDescent="0.3">
      <c r="C1511" s="9" t="s">
        <v>12</v>
      </c>
      <c r="D1511" s="10">
        <v>45818</v>
      </c>
      <c r="E1511" t="s">
        <v>1059</v>
      </c>
      <c r="F1511" s="11" t="s">
        <v>14</v>
      </c>
      <c r="G1511" s="8">
        <v>0</v>
      </c>
      <c r="H1511" s="8">
        <v>157.30000000000001</v>
      </c>
      <c r="I1511" s="8">
        <f t="shared" si="57"/>
        <v>39.009999999999991</v>
      </c>
      <c r="J1511" s="12"/>
    </row>
    <row r="1512" spans="1:10" x14ac:dyDescent="0.3">
      <c r="C1512" s="9" t="s">
        <v>12</v>
      </c>
      <c r="D1512" s="10">
        <v>45821</v>
      </c>
      <c r="E1512" t="s">
        <v>1059</v>
      </c>
      <c r="F1512" s="11" t="s">
        <v>14</v>
      </c>
      <c r="G1512" s="8">
        <v>0</v>
      </c>
      <c r="H1512" s="8">
        <v>39.01</v>
      </c>
      <c r="I1512" s="8">
        <f t="shared" si="57"/>
        <v>0</v>
      </c>
      <c r="J1512" s="12"/>
    </row>
    <row r="1513" spans="1:10" x14ac:dyDescent="0.3">
      <c r="C1513" s="9"/>
      <c r="D1513" s="10">
        <v>45847</v>
      </c>
      <c r="E1513" t="s">
        <v>1350</v>
      </c>
      <c r="F1513" s="11" t="s">
        <v>1351</v>
      </c>
      <c r="G1513" s="8">
        <v>45.76</v>
      </c>
      <c r="H1513" s="8">
        <v>0</v>
      </c>
      <c r="I1513" s="8">
        <f t="shared" si="57"/>
        <v>45.76</v>
      </c>
      <c r="J1513" s="12"/>
    </row>
    <row r="1514" spans="1:10" x14ac:dyDescent="0.3">
      <c r="C1514" s="9"/>
      <c r="D1514" s="10">
        <v>45852</v>
      </c>
      <c r="E1514" t="s">
        <v>1352</v>
      </c>
      <c r="F1514" s="11" t="s">
        <v>1353</v>
      </c>
      <c r="G1514" s="8">
        <v>1013.47</v>
      </c>
      <c r="H1514" s="8">
        <v>0</v>
      </c>
      <c r="I1514" s="8">
        <f t="shared" si="57"/>
        <v>1059.23</v>
      </c>
      <c r="J1514" s="12"/>
    </row>
    <row r="1515" spans="1:10" x14ac:dyDescent="0.3">
      <c r="C1515" s="9"/>
      <c r="D1515" s="10">
        <v>45859</v>
      </c>
      <c r="E1515" t="s">
        <v>1059</v>
      </c>
      <c r="F1515" s="11" t="s">
        <v>14</v>
      </c>
      <c r="G1515" s="8">
        <v>0</v>
      </c>
      <c r="H1515" s="8">
        <v>1013.47</v>
      </c>
      <c r="I1515" s="8">
        <f t="shared" si="57"/>
        <v>45.759999999999991</v>
      </c>
      <c r="J1515" s="12"/>
    </row>
    <row r="1516" spans="1:10" x14ac:dyDescent="0.3">
      <c r="C1516" s="9"/>
      <c r="D1516" s="10">
        <v>45859</v>
      </c>
      <c r="E1516" t="s">
        <v>1059</v>
      </c>
      <c r="F1516" s="11" t="s">
        <v>14</v>
      </c>
      <c r="G1516" s="8">
        <v>0</v>
      </c>
      <c r="H1516" s="8">
        <v>45.76</v>
      </c>
      <c r="I1516" s="8">
        <f t="shared" si="57"/>
        <v>0</v>
      </c>
      <c r="J1516" s="12"/>
    </row>
    <row r="1517" spans="1:10" x14ac:dyDescent="0.3">
      <c r="C1517" s="9"/>
      <c r="D1517" s="10">
        <v>45875</v>
      </c>
      <c r="E1517" t="s">
        <v>305</v>
      </c>
      <c r="F1517" s="11" t="s">
        <v>14</v>
      </c>
      <c r="G1517" s="8">
        <v>0</v>
      </c>
      <c r="H1517" s="8">
        <v>39.01</v>
      </c>
      <c r="I1517" s="8">
        <f t="shared" si="57"/>
        <v>-39.01</v>
      </c>
      <c r="J1517" s="12">
        <v>572000007</v>
      </c>
    </row>
    <row r="1518" spans="1:10" x14ac:dyDescent="0.3">
      <c r="E1518" s="4" t="s">
        <v>116</v>
      </c>
      <c r="G1518" s="8">
        <f>SUM(G1507:G1517)</f>
        <v>1289.52</v>
      </c>
      <c r="H1518" s="8">
        <f>SUM(H1507:H1517)</f>
        <v>1328.53</v>
      </c>
      <c r="I1518" s="8">
        <f>G1518-H1518</f>
        <v>-39.009999999999991</v>
      </c>
    </row>
    <row r="1520" spans="1:10" x14ac:dyDescent="0.3">
      <c r="A1520" s="5">
        <v>430000199</v>
      </c>
      <c r="B1520" s="6" t="s">
        <v>1354</v>
      </c>
      <c r="C1520" s="7"/>
      <c r="D1520" s="7"/>
      <c r="E1520" s="7"/>
      <c r="F1520" s="7"/>
      <c r="G1520" s="7"/>
      <c r="H1520" s="7"/>
      <c r="I1520" s="7"/>
      <c r="J1520" s="7"/>
    </row>
    <row r="1521" spans="1:10" x14ac:dyDescent="0.3">
      <c r="E1521" s="4" t="s">
        <v>11</v>
      </c>
      <c r="G1521" s="8">
        <v>157.30000000000001</v>
      </c>
      <c r="H1521" s="8">
        <v>0</v>
      </c>
      <c r="I1521" s="8">
        <f>G1521-H1521</f>
        <v>157.30000000000001</v>
      </c>
    </row>
    <row r="1522" spans="1:10" x14ac:dyDescent="0.3">
      <c r="C1522" s="9" t="s">
        <v>12</v>
      </c>
      <c r="D1522" s="10">
        <v>45688</v>
      </c>
      <c r="E1522" t="s">
        <v>1355</v>
      </c>
      <c r="F1522" s="11" t="s">
        <v>1356</v>
      </c>
      <c r="G1522" s="8">
        <v>810.9</v>
      </c>
      <c r="H1522" s="8">
        <v>0</v>
      </c>
      <c r="I1522" s="8">
        <f>G1522-H1522+I1521</f>
        <v>968.2</v>
      </c>
      <c r="J1522" s="12"/>
    </row>
    <row r="1523" spans="1:10" x14ac:dyDescent="0.3">
      <c r="C1523" s="9" t="s">
        <v>12</v>
      </c>
      <c r="D1523" s="10">
        <v>45747</v>
      </c>
      <c r="E1523" t="s">
        <v>886</v>
      </c>
      <c r="F1523" s="11" t="s">
        <v>14</v>
      </c>
      <c r="G1523" s="8">
        <v>0</v>
      </c>
      <c r="H1523" s="8">
        <v>810.9</v>
      </c>
      <c r="I1523" s="8">
        <f>G1523-H1523+I1522</f>
        <v>157.30000000000007</v>
      </c>
      <c r="J1523" s="12">
        <v>572000007</v>
      </c>
    </row>
    <row r="1524" spans="1:10" x14ac:dyDescent="0.3">
      <c r="E1524" s="4" t="s">
        <v>116</v>
      </c>
      <c r="G1524" s="8">
        <f>SUM(G1521:G1523)</f>
        <v>968.2</v>
      </c>
      <c r="H1524" s="8">
        <f>SUM(H1521:H1523)</f>
        <v>810.9</v>
      </c>
      <c r="I1524" s="8">
        <f>G1524-H1524</f>
        <v>157.30000000000007</v>
      </c>
    </row>
    <row r="1526" spans="1:10" x14ac:dyDescent="0.3">
      <c r="A1526" s="5">
        <v>430000201</v>
      </c>
      <c r="B1526" s="6" t="s">
        <v>1357</v>
      </c>
      <c r="C1526" s="7"/>
      <c r="D1526" s="7"/>
      <c r="E1526" s="7"/>
      <c r="F1526" s="7"/>
      <c r="G1526" s="7"/>
      <c r="H1526" s="7"/>
      <c r="I1526" s="7"/>
      <c r="J1526" s="7"/>
    </row>
    <row r="1527" spans="1:10" x14ac:dyDescent="0.3">
      <c r="C1527" s="9" t="s">
        <v>12</v>
      </c>
      <c r="D1527" s="10">
        <v>45684</v>
      </c>
      <c r="E1527" t="s">
        <v>1358</v>
      </c>
      <c r="F1527" s="11" t="s">
        <v>1359</v>
      </c>
      <c r="G1527" s="8">
        <v>150.94999999999999</v>
      </c>
      <c r="H1527" s="8">
        <v>0</v>
      </c>
      <c r="I1527" s="8">
        <f>G1527-H1527</f>
        <v>150.94999999999999</v>
      </c>
      <c r="J1527" s="12"/>
    </row>
    <row r="1528" spans="1:10" x14ac:dyDescent="0.3">
      <c r="C1528" s="9" t="s">
        <v>12</v>
      </c>
      <c r="D1528" s="10">
        <v>45687</v>
      </c>
      <c r="E1528" t="s">
        <v>1360</v>
      </c>
      <c r="F1528" s="11" t="s">
        <v>1361</v>
      </c>
      <c r="G1528" s="8">
        <v>331.36</v>
      </c>
      <c r="H1528" s="8">
        <v>0</v>
      </c>
      <c r="I1528" s="8">
        <f t="shared" ref="I1528:I1543" si="58">G1528-H1528+I1527</f>
        <v>482.31</v>
      </c>
      <c r="J1528" s="12"/>
    </row>
    <row r="1529" spans="1:10" x14ac:dyDescent="0.3">
      <c r="C1529" s="9" t="s">
        <v>12</v>
      </c>
      <c r="D1529" s="10">
        <v>45705</v>
      </c>
      <c r="E1529" t="s">
        <v>1362</v>
      </c>
      <c r="F1529" s="11" t="s">
        <v>1363</v>
      </c>
      <c r="G1529" s="8">
        <v>876.39</v>
      </c>
      <c r="H1529" s="8">
        <v>0</v>
      </c>
      <c r="I1529" s="8">
        <f t="shared" si="58"/>
        <v>1358.7</v>
      </c>
      <c r="J1529" s="12"/>
    </row>
    <row r="1530" spans="1:10" x14ac:dyDescent="0.3">
      <c r="C1530" s="9" t="s">
        <v>12</v>
      </c>
      <c r="D1530" s="10">
        <v>45716</v>
      </c>
      <c r="E1530" t="s">
        <v>108</v>
      </c>
      <c r="F1530" s="11" t="s">
        <v>14</v>
      </c>
      <c r="G1530" s="8">
        <v>0</v>
      </c>
      <c r="H1530" s="8">
        <v>1358.7</v>
      </c>
      <c r="I1530" s="8">
        <f t="shared" si="58"/>
        <v>0</v>
      </c>
      <c r="J1530" s="12">
        <v>572000007</v>
      </c>
    </row>
    <row r="1531" spans="1:10" x14ac:dyDescent="0.3">
      <c r="C1531" s="9" t="s">
        <v>12</v>
      </c>
      <c r="D1531" s="10">
        <v>45762</v>
      </c>
      <c r="E1531" t="s">
        <v>1364</v>
      </c>
      <c r="F1531" s="11" t="s">
        <v>1365</v>
      </c>
      <c r="G1531" s="8">
        <v>222.26</v>
      </c>
      <c r="H1531" s="8">
        <v>0</v>
      </c>
      <c r="I1531" s="8">
        <f t="shared" si="58"/>
        <v>222.26</v>
      </c>
      <c r="J1531" s="12"/>
    </row>
    <row r="1532" spans="1:10" x14ac:dyDescent="0.3">
      <c r="C1532" s="9" t="s">
        <v>12</v>
      </c>
      <c r="D1532" s="10">
        <v>45779</v>
      </c>
      <c r="E1532" t="s">
        <v>305</v>
      </c>
      <c r="F1532" s="11" t="s">
        <v>14</v>
      </c>
      <c r="G1532" s="8">
        <v>0</v>
      </c>
      <c r="H1532" s="8">
        <v>222.26</v>
      </c>
      <c r="I1532" s="8">
        <f t="shared" si="58"/>
        <v>0</v>
      </c>
      <c r="J1532" s="12">
        <v>572000007</v>
      </c>
    </row>
    <row r="1533" spans="1:10" x14ac:dyDescent="0.3">
      <c r="C1533" s="9"/>
      <c r="D1533" s="10">
        <v>45806</v>
      </c>
      <c r="E1533" t="s">
        <v>1366</v>
      </c>
      <c r="F1533" s="11" t="s">
        <v>1367</v>
      </c>
      <c r="G1533" s="8">
        <v>227</v>
      </c>
      <c r="H1533" s="8">
        <v>0</v>
      </c>
      <c r="I1533" s="8">
        <f t="shared" si="58"/>
        <v>227</v>
      </c>
      <c r="J1533" s="12"/>
    </row>
    <row r="1534" spans="1:10" x14ac:dyDescent="0.3">
      <c r="C1534" s="9"/>
      <c r="D1534" s="10">
        <v>45849</v>
      </c>
      <c r="E1534" t="s">
        <v>1368</v>
      </c>
      <c r="F1534" s="11" t="s">
        <v>1369</v>
      </c>
      <c r="G1534" s="8">
        <v>300.63</v>
      </c>
      <c r="H1534" s="8">
        <v>0</v>
      </c>
      <c r="I1534" s="8">
        <f t="shared" si="58"/>
        <v>527.63</v>
      </c>
      <c r="J1534" s="12"/>
    </row>
    <row r="1535" spans="1:10" x14ac:dyDescent="0.3">
      <c r="C1535" s="9"/>
      <c r="D1535" s="10">
        <v>45860</v>
      </c>
      <c r="E1535" t="s">
        <v>1370</v>
      </c>
      <c r="F1535" s="11" t="s">
        <v>1371</v>
      </c>
      <c r="G1535" s="8">
        <v>342.63</v>
      </c>
      <c r="H1535" s="8">
        <v>0</v>
      </c>
      <c r="I1535" s="8">
        <f t="shared" si="58"/>
        <v>870.26</v>
      </c>
      <c r="J1535" s="12"/>
    </row>
    <row r="1536" spans="1:10" x14ac:dyDescent="0.3">
      <c r="C1536" s="9"/>
      <c r="D1536" s="10">
        <v>45869</v>
      </c>
      <c r="E1536" t="s">
        <v>1372</v>
      </c>
      <c r="F1536" s="11" t="s">
        <v>14</v>
      </c>
      <c r="G1536" s="8">
        <v>0</v>
      </c>
      <c r="H1536" s="8">
        <v>870.26</v>
      </c>
      <c r="I1536" s="8">
        <f t="shared" si="58"/>
        <v>0</v>
      </c>
      <c r="J1536" s="12">
        <v>572000007</v>
      </c>
    </row>
    <row r="1537" spans="1:10" x14ac:dyDescent="0.3">
      <c r="C1537" s="9"/>
      <c r="D1537" s="10">
        <v>45876</v>
      </c>
      <c r="E1537" t="s">
        <v>1373</v>
      </c>
      <c r="F1537" s="11" t="s">
        <v>1374</v>
      </c>
      <c r="G1537" s="8">
        <v>456.55</v>
      </c>
      <c r="H1537" s="8">
        <v>0</v>
      </c>
      <c r="I1537" s="8">
        <f t="shared" si="58"/>
        <v>456.55</v>
      </c>
      <c r="J1537" s="12"/>
    </row>
    <row r="1538" spans="1:10" x14ac:dyDescent="0.3">
      <c r="C1538" s="9"/>
      <c r="D1538" s="10">
        <v>45880</v>
      </c>
      <c r="E1538" t="s">
        <v>1375</v>
      </c>
      <c r="F1538" s="11" t="s">
        <v>1376</v>
      </c>
      <c r="G1538" s="8">
        <v>193.6</v>
      </c>
      <c r="H1538" s="8">
        <v>0</v>
      </c>
      <c r="I1538" s="8">
        <f t="shared" si="58"/>
        <v>650.15</v>
      </c>
      <c r="J1538" s="12"/>
    </row>
    <row r="1539" spans="1:10" x14ac:dyDescent="0.3">
      <c r="C1539" s="9"/>
      <c r="D1539" s="10">
        <v>45902</v>
      </c>
      <c r="E1539" t="s">
        <v>1377</v>
      </c>
      <c r="F1539" s="11" t="s">
        <v>14</v>
      </c>
      <c r="G1539" s="8">
        <v>0</v>
      </c>
      <c r="H1539" s="8">
        <v>650.15</v>
      </c>
      <c r="I1539" s="8">
        <f t="shared" si="58"/>
        <v>0</v>
      </c>
      <c r="J1539" s="12">
        <v>572000007</v>
      </c>
    </row>
    <row r="1540" spans="1:10" x14ac:dyDescent="0.3">
      <c r="C1540" s="9"/>
      <c r="D1540" s="10">
        <v>45909</v>
      </c>
      <c r="E1540" t="s">
        <v>1378</v>
      </c>
      <c r="F1540" s="11" t="s">
        <v>1379</v>
      </c>
      <c r="G1540" s="8">
        <v>-264.12</v>
      </c>
      <c r="H1540" s="8">
        <v>0</v>
      </c>
      <c r="I1540" s="8">
        <f t="shared" si="58"/>
        <v>-264.12</v>
      </c>
      <c r="J1540" s="12"/>
    </row>
    <row r="1541" spans="1:10" x14ac:dyDescent="0.3">
      <c r="C1541" s="9"/>
      <c r="D1541" s="10">
        <v>45909</v>
      </c>
      <c r="E1541" t="s">
        <v>1380</v>
      </c>
      <c r="F1541" s="11" t="s">
        <v>1381</v>
      </c>
      <c r="G1541" s="8">
        <v>264.12</v>
      </c>
      <c r="H1541" s="8">
        <v>0</v>
      </c>
      <c r="I1541" s="8">
        <f t="shared" si="58"/>
        <v>0</v>
      </c>
      <c r="J1541" s="12"/>
    </row>
    <row r="1542" spans="1:10" x14ac:dyDescent="0.3">
      <c r="C1542" s="9"/>
      <c r="D1542" s="10">
        <v>45909</v>
      </c>
      <c r="E1542" t="s">
        <v>1382</v>
      </c>
      <c r="F1542" s="11" t="s">
        <v>1383</v>
      </c>
      <c r="G1542" s="8">
        <v>264.12</v>
      </c>
      <c r="H1542" s="8">
        <v>0</v>
      </c>
      <c r="I1542" s="8">
        <f t="shared" si="58"/>
        <v>264.12</v>
      </c>
      <c r="J1542" s="12"/>
    </row>
    <row r="1543" spans="1:10" x14ac:dyDescent="0.3">
      <c r="C1543" s="9"/>
      <c r="D1543" s="10">
        <v>45912</v>
      </c>
      <c r="E1543" t="s">
        <v>1384</v>
      </c>
      <c r="F1543" s="11" t="s">
        <v>1385</v>
      </c>
      <c r="G1543" s="8">
        <v>133.1</v>
      </c>
      <c r="H1543" s="8">
        <v>0</v>
      </c>
      <c r="I1543" s="8">
        <f t="shared" si="58"/>
        <v>397.22</v>
      </c>
      <c r="J1543" s="12"/>
    </row>
    <row r="1544" spans="1:10" x14ac:dyDescent="0.3">
      <c r="E1544" s="4" t="s">
        <v>116</v>
      </c>
      <c r="G1544" s="8">
        <f>SUM(G1527:G1543)</f>
        <v>3498.59</v>
      </c>
      <c r="H1544" s="8">
        <f>SUM(H1527:H1543)</f>
        <v>3101.3700000000003</v>
      </c>
      <c r="I1544" s="8">
        <f>G1544-H1544</f>
        <v>397.2199999999998</v>
      </c>
    </row>
    <row r="1546" spans="1:10" x14ac:dyDescent="0.3">
      <c r="A1546" s="5">
        <v>430000214</v>
      </c>
      <c r="B1546" s="6" t="s">
        <v>1386</v>
      </c>
      <c r="C1546" s="7"/>
      <c r="D1546" s="7"/>
      <c r="E1546" s="7"/>
      <c r="F1546" s="7"/>
      <c r="G1546" s="7"/>
      <c r="H1546" s="7"/>
      <c r="I1546" s="7"/>
      <c r="J1546" s="7"/>
    </row>
    <row r="1547" spans="1:10" x14ac:dyDescent="0.3">
      <c r="E1547" s="4" t="s">
        <v>11</v>
      </c>
      <c r="G1547" s="8">
        <v>909.54</v>
      </c>
      <c r="H1547" s="8">
        <v>0</v>
      </c>
      <c r="I1547" s="8">
        <f>G1547-H1547</f>
        <v>909.54</v>
      </c>
    </row>
    <row r="1548" spans="1:10" x14ac:dyDescent="0.3">
      <c r="C1548" s="9" t="s">
        <v>12</v>
      </c>
      <c r="D1548" s="10">
        <v>45677</v>
      </c>
      <c r="E1548" t="s">
        <v>1387</v>
      </c>
      <c r="F1548" s="11" t="s">
        <v>1388</v>
      </c>
      <c r="G1548" s="8">
        <v>133.1</v>
      </c>
      <c r="H1548" s="8">
        <v>0</v>
      </c>
      <c r="I1548" s="8">
        <f t="shared" ref="I1548:I1556" si="59">G1548-H1548+I1547</f>
        <v>1042.6399999999999</v>
      </c>
      <c r="J1548" s="12"/>
    </row>
    <row r="1549" spans="1:10" x14ac:dyDescent="0.3">
      <c r="C1549" s="9" t="s">
        <v>12</v>
      </c>
      <c r="D1549" s="10">
        <v>45687</v>
      </c>
      <c r="E1549" t="s">
        <v>108</v>
      </c>
      <c r="F1549" s="11" t="s">
        <v>14</v>
      </c>
      <c r="G1549" s="8">
        <v>0</v>
      </c>
      <c r="H1549" s="8">
        <v>322.76</v>
      </c>
      <c r="I1549" s="8">
        <f t="shared" si="59"/>
        <v>719.87999999999988</v>
      </c>
      <c r="J1549" s="12">
        <v>572000009</v>
      </c>
    </row>
    <row r="1550" spans="1:10" x14ac:dyDescent="0.3">
      <c r="C1550" s="9" t="s">
        <v>12</v>
      </c>
      <c r="D1550" s="10">
        <v>45712</v>
      </c>
      <c r="E1550" t="s">
        <v>886</v>
      </c>
      <c r="F1550" s="11" t="s">
        <v>14</v>
      </c>
      <c r="G1550" s="8">
        <v>0</v>
      </c>
      <c r="H1550" s="8">
        <v>138</v>
      </c>
      <c r="I1550" s="8">
        <f t="shared" si="59"/>
        <v>581.87999999999988</v>
      </c>
      <c r="J1550" s="12">
        <v>572000009</v>
      </c>
    </row>
    <row r="1551" spans="1:10" x14ac:dyDescent="0.3">
      <c r="C1551" s="9" t="s">
        <v>12</v>
      </c>
      <c r="D1551" s="10">
        <v>45737</v>
      </c>
      <c r="E1551" t="s">
        <v>1389</v>
      </c>
      <c r="F1551" s="11" t="s">
        <v>14</v>
      </c>
      <c r="G1551" s="8">
        <v>0</v>
      </c>
      <c r="H1551" s="8">
        <v>581.88</v>
      </c>
      <c r="I1551" s="8">
        <f t="shared" si="59"/>
        <v>0</v>
      </c>
      <c r="J1551" s="12">
        <v>572000009</v>
      </c>
    </row>
    <row r="1552" spans="1:10" x14ac:dyDescent="0.3">
      <c r="C1552" s="9"/>
      <c r="D1552" s="10">
        <v>45772</v>
      </c>
      <c r="E1552" t="s">
        <v>1390</v>
      </c>
      <c r="F1552" s="11" t="s">
        <v>1391</v>
      </c>
      <c r="G1552" s="8">
        <v>133.1</v>
      </c>
      <c r="H1552" s="8">
        <v>0</v>
      </c>
      <c r="I1552" s="8">
        <f t="shared" si="59"/>
        <v>133.1</v>
      </c>
      <c r="J1552" s="12"/>
    </row>
    <row r="1553" spans="1:10" x14ac:dyDescent="0.3">
      <c r="C1553" s="9"/>
      <c r="D1553" s="10">
        <v>45798</v>
      </c>
      <c r="E1553" t="s">
        <v>1392</v>
      </c>
      <c r="F1553" s="11" t="s">
        <v>1393</v>
      </c>
      <c r="G1553" s="8">
        <v>401.02</v>
      </c>
      <c r="H1553" s="8">
        <v>0</v>
      </c>
      <c r="I1553" s="8">
        <f t="shared" si="59"/>
        <v>534.12</v>
      </c>
      <c r="J1553" s="12"/>
    </row>
    <row r="1554" spans="1:10" x14ac:dyDescent="0.3">
      <c r="C1554" s="9"/>
      <c r="D1554" s="10">
        <v>45867</v>
      </c>
      <c r="E1554" t="s">
        <v>1394</v>
      </c>
      <c r="F1554" s="11" t="s">
        <v>14</v>
      </c>
      <c r="G1554" s="8">
        <v>0</v>
      </c>
      <c r="H1554" s="8">
        <v>133.1</v>
      </c>
      <c r="I1554" s="8">
        <f t="shared" si="59"/>
        <v>401.02</v>
      </c>
      <c r="J1554" s="12">
        <v>572000001</v>
      </c>
    </row>
    <row r="1555" spans="1:10" x14ac:dyDescent="0.3">
      <c r="C1555" s="9"/>
      <c r="D1555" s="10">
        <v>45891</v>
      </c>
      <c r="E1555" t="s">
        <v>305</v>
      </c>
      <c r="F1555" s="11" t="s">
        <v>14</v>
      </c>
      <c r="G1555" s="8">
        <v>0</v>
      </c>
      <c r="H1555" s="8">
        <v>401.02</v>
      </c>
      <c r="I1555" s="8">
        <f t="shared" si="59"/>
        <v>0</v>
      </c>
      <c r="J1555" s="12">
        <v>572000001</v>
      </c>
    </row>
    <row r="1556" spans="1:10" x14ac:dyDescent="0.3">
      <c r="C1556" s="9"/>
      <c r="D1556" s="10">
        <v>45912</v>
      </c>
      <c r="E1556" t="s">
        <v>1395</v>
      </c>
      <c r="F1556" s="11" t="s">
        <v>1396</v>
      </c>
      <c r="G1556" s="8">
        <v>133.1</v>
      </c>
      <c r="H1556" s="8">
        <v>0</v>
      </c>
      <c r="I1556" s="8">
        <f t="shared" si="59"/>
        <v>133.1</v>
      </c>
      <c r="J1556" s="12"/>
    </row>
    <row r="1557" spans="1:10" x14ac:dyDescent="0.3">
      <c r="E1557" s="4" t="s">
        <v>116</v>
      </c>
      <c r="G1557" s="8">
        <f>SUM(G1547:G1556)</f>
        <v>1709.8599999999997</v>
      </c>
      <c r="H1557" s="8">
        <f>SUM(H1547:H1556)</f>
        <v>1576.7599999999998</v>
      </c>
      <c r="I1557" s="8">
        <f>G1557-H1557</f>
        <v>133.09999999999991</v>
      </c>
    </row>
    <row r="1559" spans="1:10" x14ac:dyDescent="0.3">
      <c r="A1559" s="5">
        <v>430000215</v>
      </c>
      <c r="B1559" s="6" t="s">
        <v>1397</v>
      </c>
      <c r="C1559" s="7"/>
      <c r="D1559" s="7"/>
      <c r="E1559" s="7"/>
      <c r="F1559" s="7"/>
      <c r="G1559" s="7"/>
      <c r="H1559" s="7"/>
      <c r="I1559" s="7"/>
      <c r="J1559" s="7"/>
    </row>
    <row r="1560" spans="1:10" x14ac:dyDescent="0.3">
      <c r="C1560" s="9" t="s">
        <v>12</v>
      </c>
      <c r="D1560" s="10">
        <v>45673</v>
      </c>
      <c r="E1560" t="s">
        <v>1398</v>
      </c>
      <c r="F1560" s="11" t="s">
        <v>1399</v>
      </c>
      <c r="G1560" s="8">
        <v>1377.09</v>
      </c>
      <c r="H1560" s="8">
        <v>0</v>
      </c>
      <c r="I1560" s="8">
        <f>G1560-H1560</f>
        <v>1377.09</v>
      </c>
      <c r="J1560" s="12"/>
    </row>
    <row r="1561" spans="1:10" x14ac:dyDescent="0.3">
      <c r="C1561" s="9" t="s">
        <v>12</v>
      </c>
      <c r="D1561" s="10">
        <v>45673</v>
      </c>
      <c r="E1561" t="s">
        <v>1059</v>
      </c>
      <c r="F1561" s="11" t="s">
        <v>14</v>
      </c>
      <c r="G1561" s="8">
        <v>0</v>
      </c>
      <c r="H1561" s="8">
        <v>1377.09</v>
      </c>
      <c r="I1561" s="8">
        <f t="shared" ref="I1561:I1577" si="60">G1561-H1561+I1560</f>
        <v>0</v>
      </c>
      <c r="J1561" s="12"/>
    </row>
    <row r="1562" spans="1:10" x14ac:dyDescent="0.3">
      <c r="C1562" s="9" t="s">
        <v>12</v>
      </c>
      <c r="D1562" s="10">
        <v>45681</v>
      </c>
      <c r="E1562" t="s">
        <v>1400</v>
      </c>
      <c r="F1562" s="11" t="s">
        <v>1401</v>
      </c>
      <c r="G1562" s="8">
        <v>1097.04</v>
      </c>
      <c r="H1562" s="8">
        <v>0</v>
      </c>
      <c r="I1562" s="8">
        <f t="shared" si="60"/>
        <v>1097.04</v>
      </c>
      <c r="J1562" s="12"/>
    </row>
    <row r="1563" spans="1:10" x14ac:dyDescent="0.3">
      <c r="C1563" s="9" t="s">
        <v>12</v>
      </c>
      <c r="D1563" s="10">
        <v>45684</v>
      </c>
      <c r="E1563" t="s">
        <v>1126</v>
      </c>
      <c r="F1563" s="11" t="s">
        <v>14</v>
      </c>
      <c r="G1563" s="8">
        <v>0</v>
      </c>
      <c r="H1563" s="8">
        <v>1097.04</v>
      </c>
      <c r="I1563" s="8">
        <f t="shared" si="60"/>
        <v>0</v>
      </c>
      <c r="J1563" s="12"/>
    </row>
    <row r="1564" spans="1:10" x14ac:dyDescent="0.3">
      <c r="C1564" s="9" t="s">
        <v>12</v>
      </c>
      <c r="D1564" s="10">
        <v>45705</v>
      </c>
      <c r="E1564" t="s">
        <v>1402</v>
      </c>
      <c r="F1564" s="11" t="s">
        <v>1403</v>
      </c>
      <c r="G1564" s="8">
        <v>530.59</v>
      </c>
      <c r="H1564" s="8">
        <v>0</v>
      </c>
      <c r="I1564" s="8">
        <f t="shared" si="60"/>
        <v>530.59</v>
      </c>
      <c r="J1564" s="12"/>
    </row>
    <row r="1565" spans="1:10" x14ac:dyDescent="0.3">
      <c r="C1565" s="9" t="s">
        <v>12</v>
      </c>
      <c r="D1565" s="10">
        <v>45706</v>
      </c>
      <c r="E1565" t="s">
        <v>1059</v>
      </c>
      <c r="F1565" s="11" t="s">
        <v>14</v>
      </c>
      <c r="G1565" s="8">
        <v>0</v>
      </c>
      <c r="H1565" s="8">
        <v>530.59</v>
      </c>
      <c r="I1565" s="8">
        <f t="shared" si="60"/>
        <v>0</v>
      </c>
      <c r="J1565" s="12"/>
    </row>
    <row r="1566" spans="1:10" x14ac:dyDescent="0.3">
      <c r="C1566" s="9" t="s">
        <v>12</v>
      </c>
      <c r="D1566" s="10">
        <v>45743</v>
      </c>
      <c r="E1566" t="s">
        <v>1404</v>
      </c>
      <c r="F1566" s="11" t="s">
        <v>1405</v>
      </c>
      <c r="G1566" s="8">
        <v>2160.56</v>
      </c>
      <c r="H1566" s="8">
        <v>0</v>
      </c>
      <c r="I1566" s="8">
        <f t="shared" si="60"/>
        <v>2160.56</v>
      </c>
      <c r="J1566" s="12"/>
    </row>
    <row r="1567" spans="1:10" x14ac:dyDescent="0.3">
      <c r="C1567" s="9" t="s">
        <v>12</v>
      </c>
      <c r="D1567" s="10">
        <v>45748</v>
      </c>
      <c r="E1567" t="s">
        <v>1059</v>
      </c>
      <c r="F1567" s="11" t="s">
        <v>14</v>
      </c>
      <c r="G1567" s="8">
        <v>0</v>
      </c>
      <c r="H1567" s="8">
        <v>2160.56</v>
      </c>
      <c r="I1567" s="8">
        <f t="shared" si="60"/>
        <v>0</v>
      </c>
      <c r="J1567" s="12"/>
    </row>
    <row r="1568" spans="1:10" x14ac:dyDescent="0.3">
      <c r="C1568" s="9"/>
      <c r="D1568" s="10">
        <v>45824</v>
      </c>
      <c r="E1568" t="s">
        <v>1406</v>
      </c>
      <c r="F1568" s="11" t="s">
        <v>1407</v>
      </c>
      <c r="G1568" s="8">
        <v>696.57</v>
      </c>
      <c r="H1568" s="8">
        <v>0</v>
      </c>
      <c r="I1568" s="8">
        <f t="shared" si="60"/>
        <v>696.57</v>
      </c>
      <c r="J1568" s="12"/>
    </row>
    <row r="1569" spans="1:10" x14ac:dyDescent="0.3">
      <c r="C1569" s="9"/>
      <c r="D1569" s="10">
        <v>45838</v>
      </c>
      <c r="E1569" t="s">
        <v>1408</v>
      </c>
      <c r="F1569" s="11" t="s">
        <v>1409</v>
      </c>
      <c r="G1569" s="8">
        <v>110.21</v>
      </c>
      <c r="H1569" s="8">
        <v>0</v>
      </c>
      <c r="I1569" s="8">
        <f t="shared" si="60"/>
        <v>806.78000000000009</v>
      </c>
      <c r="J1569" s="12"/>
    </row>
    <row r="1570" spans="1:10" x14ac:dyDescent="0.3">
      <c r="C1570" s="9"/>
      <c r="D1570" s="10">
        <v>45854</v>
      </c>
      <c r="E1570" t="s">
        <v>1410</v>
      </c>
      <c r="F1570" s="11" t="s">
        <v>1411</v>
      </c>
      <c r="G1570" s="8">
        <v>101.16</v>
      </c>
      <c r="H1570" s="8">
        <v>0</v>
      </c>
      <c r="I1570" s="8">
        <f t="shared" si="60"/>
        <v>907.94</v>
      </c>
      <c r="J1570" s="12"/>
    </row>
    <row r="1571" spans="1:10" x14ac:dyDescent="0.3">
      <c r="C1571" s="9"/>
      <c r="D1571" s="10">
        <v>45862</v>
      </c>
      <c r="E1571" t="s">
        <v>1412</v>
      </c>
      <c r="F1571" s="11" t="s">
        <v>1413</v>
      </c>
      <c r="G1571" s="8">
        <v>98.4</v>
      </c>
      <c r="H1571" s="8">
        <v>0</v>
      </c>
      <c r="I1571" s="8">
        <f t="shared" si="60"/>
        <v>1006.34</v>
      </c>
      <c r="J1571" s="12"/>
    </row>
    <row r="1572" spans="1:10" x14ac:dyDescent="0.3">
      <c r="C1572" s="9"/>
      <c r="D1572" s="10">
        <v>45887</v>
      </c>
      <c r="E1572" t="s">
        <v>1059</v>
      </c>
      <c r="F1572" s="11" t="s">
        <v>14</v>
      </c>
      <c r="G1572" s="8">
        <v>0</v>
      </c>
      <c r="H1572" s="8">
        <v>101.16</v>
      </c>
      <c r="I1572" s="8">
        <f t="shared" si="60"/>
        <v>905.18000000000006</v>
      </c>
      <c r="J1572" s="12"/>
    </row>
    <row r="1573" spans="1:10" x14ac:dyDescent="0.3">
      <c r="C1573" s="9"/>
      <c r="D1573" s="10">
        <v>45887</v>
      </c>
      <c r="E1573" t="s">
        <v>1059</v>
      </c>
      <c r="F1573" s="11" t="s">
        <v>14</v>
      </c>
      <c r="G1573" s="8">
        <v>0</v>
      </c>
      <c r="H1573" s="8">
        <v>696.57</v>
      </c>
      <c r="I1573" s="8">
        <f t="shared" si="60"/>
        <v>208.61</v>
      </c>
      <c r="J1573" s="12"/>
    </row>
    <row r="1574" spans="1:10" x14ac:dyDescent="0.3">
      <c r="C1574" s="9"/>
      <c r="D1574" s="10">
        <v>45887</v>
      </c>
      <c r="E1574" t="s">
        <v>1059</v>
      </c>
      <c r="F1574" s="11" t="s">
        <v>14</v>
      </c>
      <c r="G1574" s="8">
        <v>0</v>
      </c>
      <c r="H1574" s="8">
        <v>110.21</v>
      </c>
      <c r="I1574" s="8">
        <f t="shared" si="60"/>
        <v>98.40000000000002</v>
      </c>
      <c r="J1574" s="12"/>
    </row>
    <row r="1575" spans="1:10" x14ac:dyDescent="0.3">
      <c r="C1575" s="9"/>
      <c r="D1575" s="10">
        <v>45895</v>
      </c>
      <c r="E1575" t="s">
        <v>1414</v>
      </c>
      <c r="F1575" s="11" t="s">
        <v>1415</v>
      </c>
      <c r="G1575" s="8">
        <v>184.91</v>
      </c>
      <c r="H1575" s="8">
        <v>0</v>
      </c>
      <c r="I1575" s="8">
        <f t="shared" si="60"/>
        <v>283.31</v>
      </c>
      <c r="J1575" s="12"/>
    </row>
    <row r="1576" spans="1:10" x14ac:dyDescent="0.3">
      <c r="C1576" s="9"/>
      <c r="D1576" s="10">
        <v>45902</v>
      </c>
      <c r="E1576" t="s">
        <v>1416</v>
      </c>
      <c r="F1576" s="11" t="s">
        <v>1417</v>
      </c>
      <c r="G1576" s="8">
        <v>205.63</v>
      </c>
      <c r="H1576" s="8">
        <v>0</v>
      </c>
      <c r="I1576" s="8">
        <f t="shared" si="60"/>
        <v>488.94</v>
      </c>
      <c r="J1576" s="12"/>
    </row>
    <row r="1577" spans="1:10" x14ac:dyDescent="0.3">
      <c r="C1577" s="9"/>
      <c r="D1577" s="10">
        <v>45915</v>
      </c>
      <c r="E1577" t="s">
        <v>1059</v>
      </c>
      <c r="F1577" s="11" t="s">
        <v>14</v>
      </c>
      <c r="G1577" s="8">
        <v>0</v>
      </c>
      <c r="H1577" s="8">
        <v>98.4</v>
      </c>
      <c r="I1577" s="8">
        <f t="shared" si="60"/>
        <v>390.53999999999996</v>
      </c>
      <c r="J1577" s="12"/>
    </row>
    <row r="1578" spans="1:10" x14ac:dyDescent="0.3">
      <c r="E1578" s="4" t="s">
        <v>116</v>
      </c>
      <c r="G1578" s="8">
        <f>SUM(G1560:G1577)</f>
        <v>6562.16</v>
      </c>
      <c r="H1578" s="8">
        <f>SUM(H1560:H1577)</f>
        <v>6171.62</v>
      </c>
      <c r="I1578" s="8">
        <f>G1578-H1578</f>
        <v>390.53999999999996</v>
      </c>
    </row>
    <row r="1580" spans="1:10" x14ac:dyDescent="0.3">
      <c r="A1580" s="5">
        <v>430000220</v>
      </c>
      <c r="B1580" s="6" t="s">
        <v>1418</v>
      </c>
      <c r="C1580" s="7"/>
      <c r="D1580" s="7"/>
      <c r="E1580" s="7"/>
      <c r="F1580" s="7"/>
      <c r="G1580" s="7"/>
      <c r="H1580" s="7"/>
      <c r="I1580" s="7"/>
      <c r="J1580" s="7"/>
    </row>
    <row r="1581" spans="1:10" x14ac:dyDescent="0.3">
      <c r="C1581" s="9"/>
      <c r="D1581" s="10">
        <v>45869</v>
      </c>
      <c r="E1581" t="s">
        <v>1419</v>
      </c>
      <c r="F1581" s="11" t="s">
        <v>1420</v>
      </c>
      <c r="G1581" s="8">
        <v>199.65</v>
      </c>
      <c r="H1581" s="8">
        <v>0</v>
      </c>
      <c r="I1581" s="8">
        <f>G1581-H1581</f>
        <v>199.65</v>
      </c>
      <c r="J1581" s="12"/>
    </row>
    <row r="1582" spans="1:10" x14ac:dyDescent="0.3">
      <c r="E1582" s="4" t="s">
        <v>116</v>
      </c>
      <c r="G1582" s="8">
        <f>G1581</f>
        <v>199.65</v>
      </c>
      <c r="H1582" s="8">
        <f>H1581</f>
        <v>0</v>
      </c>
      <c r="I1582" s="8">
        <f>G1582-H1582</f>
        <v>199.65</v>
      </c>
    </row>
    <row r="1584" spans="1:10" x14ac:dyDescent="0.3">
      <c r="A1584" s="5">
        <v>430000230</v>
      </c>
      <c r="B1584" s="6" t="s">
        <v>1421</v>
      </c>
      <c r="C1584" s="7"/>
      <c r="D1584" s="7"/>
      <c r="E1584" s="7"/>
      <c r="F1584" s="7"/>
      <c r="G1584" s="7"/>
      <c r="H1584" s="7"/>
      <c r="I1584" s="7"/>
      <c r="J1584" s="7"/>
    </row>
    <row r="1585" spans="1:10" x14ac:dyDescent="0.3">
      <c r="E1585" s="4" t="s">
        <v>11</v>
      </c>
      <c r="G1585" s="8">
        <v>102.85</v>
      </c>
      <c r="H1585" s="8">
        <v>0</v>
      </c>
      <c r="I1585" s="8">
        <f>G1585-H1585</f>
        <v>102.85</v>
      </c>
    </row>
    <row r="1586" spans="1:10" x14ac:dyDescent="0.3">
      <c r="E1586" s="4" t="s">
        <v>116</v>
      </c>
      <c r="G1586" s="8">
        <f>G1585</f>
        <v>102.85</v>
      </c>
      <c r="H1586" s="8">
        <f>H1585</f>
        <v>0</v>
      </c>
      <c r="I1586" s="8">
        <f>G1586-H1586</f>
        <v>102.85</v>
      </c>
    </row>
    <row r="1588" spans="1:10" x14ac:dyDescent="0.3">
      <c r="A1588" s="5">
        <v>430000239</v>
      </c>
      <c r="B1588" s="6" t="s">
        <v>1422</v>
      </c>
      <c r="C1588" s="7"/>
      <c r="D1588" s="7"/>
      <c r="E1588" s="7"/>
      <c r="F1588" s="7"/>
      <c r="G1588" s="7"/>
      <c r="H1588" s="7"/>
      <c r="I1588" s="7"/>
      <c r="J1588" s="7"/>
    </row>
    <row r="1589" spans="1:10" x14ac:dyDescent="0.3">
      <c r="E1589" s="4" t="s">
        <v>11</v>
      </c>
      <c r="G1589" s="8">
        <v>16256.19</v>
      </c>
      <c r="H1589" s="8">
        <v>0</v>
      </c>
      <c r="I1589" s="8">
        <f>G1589-H1589</f>
        <v>16256.19</v>
      </c>
    </row>
    <row r="1590" spans="1:10" x14ac:dyDescent="0.3">
      <c r="C1590" s="9" t="s">
        <v>12</v>
      </c>
      <c r="D1590" s="10">
        <v>45667</v>
      </c>
      <c r="E1590" t="s">
        <v>1423</v>
      </c>
      <c r="F1590" s="11" t="s">
        <v>1424</v>
      </c>
      <c r="G1590" s="8">
        <v>359.88</v>
      </c>
      <c r="H1590" s="8">
        <v>0</v>
      </c>
      <c r="I1590" s="8">
        <f t="shared" ref="I1590:I1613" si="61">G1590-H1590+I1589</f>
        <v>16616.07</v>
      </c>
      <c r="J1590" s="12"/>
    </row>
    <row r="1591" spans="1:10" x14ac:dyDescent="0.3">
      <c r="C1591" s="9" t="s">
        <v>12</v>
      </c>
      <c r="D1591" s="10">
        <v>45672</v>
      </c>
      <c r="E1591" t="s">
        <v>1425</v>
      </c>
      <c r="F1591" s="11" t="s">
        <v>1426</v>
      </c>
      <c r="G1591" s="8">
        <v>669.42</v>
      </c>
      <c r="H1591" s="8">
        <v>0</v>
      </c>
      <c r="I1591" s="8">
        <f t="shared" si="61"/>
        <v>17285.489999999998</v>
      </c>
      <c r="J1591" s="12"/>
    </row>
    <row r="1592" spans="1:10" x14ac:dyDescent="0.3">
      <c r="C1592" s="9" t="s">
        <v>12</v>
      </c>
      <c r="D1592" s="10">
        <v>45674</v>
      </c>
      <c r="E1592" t="s">
        <v>1427</v>
      </c>
      <c r="F1592" s="11" t="s">
        <v>14</v>
      </c>
      <c r="G1592" s="8">
        <v>0</v>
      </c>
      <c r="H1592" s="8">
        <v>11025.79</v>
      </c>
      <c r="I1592" s="8">
        <f t="shared" si="61"/>
        <v>6259.6999999999971</v>
      </c>
      <c r="J1592" s="12">
        <v>572000005</v>
      </c>
    </row>
    <row r="1593" spans="1:10" x14ac:dyDescent="0.3">
      <c r="C1593" s="9" t="s">
        <v>12</v>
      </c>
      <c r="D1593" s="10">
        <v>45685</v>
      </c>
      <c r="E1593" t="s">
        <v>1428</v>
      </c>
      <c r="F1593" s="11" t="s">
        <v>1429</v>
      </c>
      <c r="G1593" s="8">
        <v>305.22000000000003</v>
      </c>
      <c r="H1593" s="8">
        <v>0</v>
      </c>
      <c r="I1593" s="8">
        <f t="shared" si="61"/>
        <v>6564.9199999999973</v>
      </c>
      <c r="J1593" s="12"/>
    </row>
    <row r="1594" spans="1:10" x14ac:dyDescent="0.3">
      <c r="C1594" s="9" t="s">
        <v>12</v>
      </c>
      <c r="D1594" s="10">
        <v>45714</v>
      </c>
      <c r="E1594" t="s">
        <v>108</v>
      </c>
      <c r="F1594" s="11" t="s">
        <v>14</v>
      </c>
      <c r="G1594" s="8">
        <v>0</v>
      </c>
      <c r="H1594" s="8">
        <v>5230.3999999999996</v>
      </c>
      <c r="I1594" s="8">
        <f t="shared" si="61"/>
        <v>1334.5199999999977</v>
      </c>
      <c r="J1594" s="12">
        <v>572000007</v>
      </c>
    </row>
    <row r="1595" spans="1:10" x14ac:dyDescent="0.3">
      <c r="C1595" s="9" t="s">
        <v>12</v>
      </c>
      <c r="D1595" s="10">
        <v>45721</v>
      </c>
      <c r="E1595" t="s">
        <v>1430</v>
      </c>
      <c r="F1595" s="11" t="s">
        <v>1431</v>
      </c>
      <c r="G1595" s="8">
        <v>1823.77</v>
      </c>
      <c r="H1595" s="8">
        <v>0</v>
      </c>
      <c r="I1595" s="8">
        <f t="shared" si="61"/>
        <v>3158.2899999999977</v>
      </c>
      <c r="J1595" s="12"/>
    </row>
    <row r="1596" spans="1:10" x14ac:dyDescent="0.3">
      <c r="C1596" s="9" t="s">
        <v>12</v>
      </c>
      <c r="D1596" s="10">
        <v>45723</v>
      </c>
      <c r="E1596" t="s">
        <v>1432</v>
      </c>
      <c r="F1596" s="11" t="s">
        <v>1433</v>
      </c>
      <c r="G1596" s="8">
        <v>163.35</v>
      </c>
      <c r="H1596" s="8">
        <v>0</v>
      </c>
      <c r="I1596" s="8">
        <f t="shared" si="61"/>
        <v>3321.6399999999976</v>
      </c>
      <c r="J1596" s="12"/>
    </row>
    <row r="1597" spans="1:10" x14ac:dyDescent="0.3">
      <c r="C1597" s="9" t="s">
        <v>12</v>
      </c>
      <c r="D1597" s="10">
        <v>45736</v>
      </c>
      <c r="E1597" t="s">
        <v>1434</v>
      </c>
      <c r="F1597" s="11" t="s">
        <v>1435</v>
      </c>
      <c r="G1597" s="8">
        <v>960.76</v>
      </c>
      <c r="H1597" s="8">
        <v>0</v>
      </c>
      <c r="I1597" s="8">
        <f t="shared" si="61"/>
        <v>4282.3999999999978</v>
      </c>
      <c r="J1597" s="12"/>
    </row>
    <row r="1598" spans="1:10" x14ac:dyDescent="0.3">
      <c r="C1598" s="9" t="s">
        <v>12</v>
      </c>
      <c r="D1598" s="10">
        <v>45742</v>
      </c>
      <c r="E1598" t="s">
        <v>108</v>
      </c>
      <c r="F1598" s="11" t="s">
        <v>14</v>
      </c>
      <c r="G1598" s="8">
        <v>0</v>
      </c>
      <c r="H1598" s="8">
        <v>1029.3</v>
      </c>
      <c r="I1598" s="8">
        <f t="shared" si="61"/>
        <v>3253.0999999999976</v>
      </c>
      <c r="J1598" s="12">
        <v>572000007</v>
      </c>
    </row>
    <row r="1599" spans="1:10" x14ac:dyDescent="0.3">
      <c r="C1599" s="9" t="s">
        <v>12</v>
      </c>
      <c r="D1599" s="10">
        <v>45747</v>
      </c>
      <c r="E1599" t="s">
        <v>1436</v>
      </c>
      <c r="F1599" s="11" t="s">
        <v>1437</v>
      </c>
      <c r="G1599" s="8">
        <v>1072.44</v>
      </c>
      <c r="H1599" s="8">
        <v>0</v>
      </c>
      <c r="I1599" s="8">
        <f t="shared" si="61"/>
        <v>4325.5399999999972</v>
      </c>
      <c r="J1599" s="12"/>
    </row>
    <row r="1600" spans="1:10" x14ac:dyDescent="0.3">
      <c r="C1600" s="9"/>
      <c r="D1600" s="10">
        <v>45756</v>
      </c>
      <c r="E1600" t="s">
        <v>1438</v>
      </c>
      <c r="F1600" s="11" t="s">
        <v>1439</v>
      </c>
      <c r="G1600" s="8">
        <v>596.54999999999995</v>
      </c>
      <c r="H1600" s="8">
        <v>0</v>
      </c>
      <c r="I1600" s="8">
        <f t="shared" si="61"/>
        <v>4922.0899999999974</v>
      </c>
      <c r="J1600" s="12"/>
    </row>
    <row r="1601" spans="1:10" x14ac:dyDescent="0.3">
      <c r="C1601" s="9" t="s">
        <v>12</v>
      </c>
      <c r="D1601" s="10">
        <v>45772</v>
      </c>
      <c r="E1601" t="s">
        <v>305</v>
      </c>
      <c r="F1601" s="11" t="s">
        <v>14</v>
      </c>
      <c r="G1601" s="8">
        <v>0</v>
      </c>
      <c r="H1601" s="8">
        <v>305.22000000000003</v>
      </c>
      <c r="I1601" s="8">
        <f t="shared" si="61"/>
        <v>4616.8699999999972</v>
      </c>
      <c r="J1601" s="12">
        <v>572000007</v>
      </c>
    </row>
    <row r="1602" spans="1:10" x14ac:dyDescent="0.3">
      <c r="C1602" s="9"/>
      <c r="D1602" s="10">
        <v>45783</v>
      </c>
      <c r="E1602" t="s">
        <v>1440</v>
      </c>
      <c r="F1602" s="11" t="s">
        <v>1441</v>
      </c>
      <c r="G1602" s="8">
        <v>634.30999999999995</v>
      </c>
      <c r="H1602" s="8">
        <v>0</v>
      </c>
      <c r="I1602" s="8">
        <f t="shared" si="61"/>
        <v>5251.1799999999967</v>
      </c>
      <c r="J1602" s="12"/>
    </row>
    <row r="1603" spans="1:10" x14ac:dyDescent="0.3">
      <c r="C1603" s="9"/>
      <c r="D1603" s="10">
        <v>45810</v>
      </c>
      <c r="E1603" t="s">
        <v>1442</v>
      </c>
      <c r="F1603" s="11" t="s">
        <v>1443</v>
      </c>
      <c r="G1603" s="8">
        <v>102.85</v>
      </c>
      <c r="H1603" s="8">
        <v>0</v>
      </c>
      <c r="I1603" s="8">
        <f t="shared" si="61"/>
        <v>5354.029999999997</v>
      </c>
      <c r="J1603" s="12"/>
    </row>
    <row r="1604" spans="1:10" x14ac:dyDescent="0.3">
      <c r="C1604" s="9" t="s">
        <v>12</v>
      </c>
      <c r="D1604" s="10">
        <v>45835</v>
      </c>
      <c r="E1604" t="s">
        <v>108</v>
      </c>
      <c r="F1604" s="11" t="s">
        <v>14</v>
      </c>
      <c r="G1604" s="8">
        <v>0</v>
      </c>
      <c r="H1604" s="8">
        <v>1987.12</v>
      </c>
      <c r="I1604" s="8">
        <f t="shared" si="61"/>
        <v>3366.9099999999971</v>
      </c>
      <c r="J1604" s="12">
        <v>572000007</v>
      </c>
    </row>
    <row r="1605" spans="1:10" x14ac:dyDescent="0.3">
      <c r="C1605" s="9" t="s">
        <v>12</v>
      </c>
      <c r="D1605" s="10">
        <v>45835</v>
      </c>
      <c r="E1605" t="s">
        <v>886</v>
      </c>
      <c r="F1605" s="11" t="s">
        <v>14</v>
      </c>
      <c r="G1605" s="8">
        <v>0</v>
      </c>
      <c r="H1605" s="8">
        <v>1072.44</v>
      </c>
      <c r="I1605" s="8">
        <f t="shared" si="61"/>
        <v>2294.4699999999971</v>
      </c>
      <c r="J1605" s="12"/>
    </row>
    <row r="1606" spans="1:10" x14ac:dyDescent="0.3">
      <c r="C1606" s="9" t="s">
        <v>12</v>
      </c>
      <c r="D1606" s="10">
        <v>45835</v>
      </c>
      <c r="E1606" t="s">
        <v>886</v>
      </c>
      <c r="F1606" s="11" t="s">
        <v>14</v>
      </c>
      <c r="G1606" s="8">
        <v>0</v>
      </c>
      <c r="H1606" s="8">
        <v>960.76</v>
      </c>
      <c r="I1606" s="8">
        <f t="shared" si="61"/>
        <v>1333.7099999999971</v>
      </c>
      <c r="J1606" s="12">
        <v>572000007</v>
      </c>
    </row>
    <row r="1607" spans="1:10" x14ac:dyDescent="0.3">
      <c r="C1607" s="9"/>
      <c r="D1607" s="10">
        <v>45841</v>
      </c>
      <c r="E1607" t="s">
        <v>1444</v>
      </c>
      <c r="F1607" s="11" t="s">
        <v>1445</v>
      </c>
      <c r="G1607" s="8">
        <v>816.15</v>
      </c>
      <c r="H1607" s="8">
        <v>0</v>
      </c>
      <c r="I1607" s="8">
        <f t="shared" si="61"/>
        <v>2149.8599999999969</v>
      </c>
      <c r="J1607" s="12"/>
    </row>
    <row r="1608" spans="1:10" x14ac:dyDescent="0.3">
      <c r="C1608" s="9"/>
      <c r="D1608" s="10">
        <v>45863</v>
      </c>
      <c r="E1608" t="s">
        <v>305</v>
      </c>
      <c r="F1608" s="11" t="s">
        <v>14</v>
      </c>
      <c r="G1608" s="8">
        <v>0</v>
      </c>
      <c r="H1608" s="8">
        <v>634.30999999999995</v>
      </c>
      <c r="I1608" s="8">
        <f t="shared" si="61"/>
        <v>1515.549999999997</v>
      </c>
      <c r="J1608" s="12">
        <v>572000007</v>
      </c>
    </row>
    <row r="1609" spans="1:10" x14ac:dyDescent="0.3">
      <c r="C1609" s="9"/>
      <c r="D1609" s="10">
        <v>45874</v>
      </c>
      <c r="E1609" t="s">
        <v>1446</v>
      </c>
      <c r="F1609" s="11" t="s">
        <v>1447</v>
      </c>
      <c r="G1609" s="8">
        <v>1348.35</v>
      </c>
      <c r="H1609" s="8">
        <v>0</v>
      </c>
      <c r="I1609" s="8">
        <f t="shared" si="61"/>
        <v>2863.8999999999969</v>
      </c>
      <c r="J1609" s="12"/>
    </row>
    <row r="1610" spans="1:10" x14ac:dyDescent="0.3">
      <c r="C1610" s="9"/>
      <c r="D1610" s="10">
        <v>45876</v>
      </c>
      <c r="E1610" t="s">
        <v>1448</v>
      </c>
      <c r="F1610" s="11" t="s">
        <v>1449</v>
      </c>
      <c r="G1610" s="8">
        <v>865.15</v>
      </c>
      <c r="H1610" s="8">
        <v>0</v>
      </c>
      <c r="I1610" s="8">
        <f t="shared" si="61"/>
        <v>3729.049999999997</v>
      </c>
      <c r="J1610" s="12"/>
    </row>
    <row r="1611" spans="1:10" x14ac:dyDescent="0.3">
      <c r="C1611" s="9"/>
      <c r="D1611" s="10">
        <v>45895</v>
      </c>
      <c r="E1611" t="s">
        <v>1450</v>
      </c>
      <c r="F1611" s="11" t="s">
        <v>1451</v>
      </c>
      <c r="G1611" s="8">
        <v>326.7</v>
      </c>
      <c r="H1611" s="8">
        <v>0</v>
      </c>
      <c r="I1611" s="8">
        <f t="shared" si="61"/>
        <v>4055.7499999999968</v>
      </c>
      <c r="J1611" s="12"/>
    </row>
    <row r="1612" spans="1:10" x14ac:dyDescent="0.3">
      <c r="C1612" s="9"/>
      <c r="D1612" s="10">
        <v>45903</v>
      </c>
      <c r="E1612" t="s">
        <v>1452</v>
      </c>
      <c r="F1612" s="11" t="s">
        <v>14</v>
      </c>
      <c r="G1612" s="8">
        <v>0</v>
      </c>
      <c r="H1612" s="8">
        <v>102.85</v>
      </c>
      <c r="I1612" s="8">
        <f t="shared" si="61"/>
        <v>3952.8999999999969</v>
      </c>
      <c r="J1612" s="12">
        <v>572000007</v>
      </c>
    </row>
    <row r="1613" spans="1:10" x14ac:dyDescent="0.3">
      <c r="C1613" s="9"/>
      <c r="D1613" s="10">
        <v>45909</v>
      </c>
      <c r="E1613" t="s">
        <v>1453</v>
      </c>
      <c r="F1613" s="11" t="s">
        <v>1454</v>
      </c>
      <c r="G1613" s="8">
        <v>658.72</v>
      </c>
      <c r="H1613" s="8">
        <v>0</v>
      </c>
      <c r="I1613" s="8">
        <f t="shared" si="61"/>
        <v>4611.6199999999972</v>
      </c>
      <c r="J1613" s="12"/>
    </row>
    <row r="1614" spans="1:10" x14ac:dyDescent="0.3">
      <c r="E1614" s="4" t="s">
        <v>116</v>
      </c>
      <c r="G1614" s="8">
        <f>SUM(G1589:G1613)</f>
        <v>26959.809999999998</v>
      </c>
      <c r="H1614" s="8">
        <f>SUM(H1589:H1613)</f>
        <v>22348.19</v>
      </c>
      <c r="I1614" s="8">
        <f>G1614-H1614</f>
        <v>4611.619999999999</v>
      </c>
    </row>
    <row r="1616" spans="1:10" x14ac:dyDescent="0.3">
      <c r="A1616" s="5">
        <v>430000240</v>
      </c>
      <c r="B1616" s="6" t="s">
        <v>1455</v>
      </c>
      <c r="C1616" s="7"/>
      <c r="D1616" s="7"/>
      <c r="E1616" s="7"/>
      <c r="F1616" s="7"/>
      <c r="G1616" s="7"/>
      <c r="H1616" s="7"/>
      <c r="I1616" s="7"/>
      <c r="J1616" s="7"/>
    </row>
    <row r="1617" spans="3:10" x14ac:dyDescent="0.3">
      <c r="C1617" s="9" t="s">
        <v>12</v>
      </c>
      <c r="D1617" s="10">
        <v>45672</v>
      </c>
      <c r="E1617" t="s">
        <v>1456</v>
      </c>
      <c r="F1617" s="11" t="s">
        <v>1457</v>
      </c>
      <c r="G1617" s="8">
        <v>236.18</v>
      </c>
      <c r="H1617" s="8">
        <v>0</v>
      </c>
      <c r="I1617" s="8">
        <f>G1617-H1617</f>
        <v>236.18</v>
      </c>
      <c r="J1617" s="12"/>
    </row>
    <row r="1618" spans="3:10" x14ac:dyDescent="0.3">
      <c r="C1618" s="9" t="s">
        <v>12</v>
      </c>
      <c r="D1618" s="10">
        <v>45673</v>
      </c>
      <c r="E1618" t="s">
        <v>1059</v>
      </c>
      <c r="F1618" s="11" t="s">
        <v>14</v>
      </c>
      <c r="G1618" s="8">
        <v>0</v>
      </c>
      <c r="H1618" s="8">
        <v>236.18</v>
      </c>
      <c r="I1618" s="8">
        <f t="shared" ref="I1618:I1647" si="62">G1618-H1618+I1617</f>
        <v>0</v>
      </c>
      <c r="J1618" s="12"/>
    </row>
    <row r="1619" spans="3:10" x14ac:dyDescent="0.3">
      <c r="C1619" s="9" t="s">
        <v>12</v>
      </c>
      <c r="D1619" s="10">
        <v>45698</v>
      </c>
      <c r="E1619" t="s">
        <v>1458</v>
      </c>
      <c r="F1619" s="11" t="s">
        <v>1459</v>
      </c>
      <c r="G1619" s="8">
        <v>876.39</v>
      </c>
      <c r="H1619" s="8">
        <v>0</v>
      </c>
      <c r="I1619" s="8">
        <f t="shared" si="62"/>
        <v>876.39</v>
      </c>
      <c r="J1619" s="12"/>
    </row>
    <row r="1620" spans="3:10" x14ac:dyDescent="0.3">
      <c r="C1620" s="9" t="s">
        <v>12</v>
      </c>
      <c r="D1620" s="10">
        <v>45698</v>
      </c>
      <c r="E1620" t="s">
        <v>1059</v>
      </c>
      <c r="F1620" s="11" t="s">
        <v>14</v>
      </c>
      <c r="G1620" s="8">
        <v>0</v>
      </c>
      <c r="H1620" s="8">
        <v>876.39</v>
      </c>
      <c r="I1620" s="8">
        <f t="shared" si="62"/>
        <v>0</v>
      </c>
      <c r="J1620" s="12"/>
    </row>
    <row r="1621" spans="3:10" x14ac:dyDescent="0.3">
      <c r="C1621" s="9" t="s">
        <v>12</v>
      </c>
      <c r="D1621" s="10">
        <v>45705</v>
      </c>
      <c r="E1621" t="s">
        <v>1460</v>
      </c>
      <c r="F1621" s="11" t="s">
        <v>1461</v>
      </c>
      <c r="G1621" s="8">
        <v>187.94</v>
      </c>
      <c r="H1621" s="8">
        <v>0</v>
      </c>
      <c r="I1621" s="8">
        <f t="shared" si="62"/>
        <v>187.94</v>
      </c>
      <c r="J1621" s="12"/>
    </row>
    <row r="1622" spans="3:10" x14ac:dyDescent="0.3">
      <c r="C1622" s="9" t="s">
        <v>12</v>
      </c>
      <c r="D1622" s="10">
        <v>45706</v>
      </c>
      <c r="E1622" t="s">
        <v>1059</v>
      </c>
      <c r="F1622" s="11" t="s">
        <v>14</v>
      </c>
      <c r="G1622" s="8">
        <v>0</v>
      </c>
      <c r="H1622" s="8">
        <v>187.94</v>
      </c>
      <c r="I1622" s="8">
        <f t="shared" si="62"/>
        <v>0</v>
      </c>
      <c r="J1622" s="12"/>
    </row>
    <row r="1623" spans="3:10" x14ac:dyDescent="0.3">
      <c r="C1623" s="9" t="s">
        <v>12</v>
      </c>
      <c r="D1623" s="10">
        <v>45712</v>
      </c>
      <c r="E1623" t="s">
        <v>1462</v>
      </c>
      <c r="F1623" s="11" t="s">
        <v>1463</v>
      </c>
      <c r="G1623" s="8">
        <v>116.91</v>
      </c>
      <c r="H1623" s="8">
        <v>0</v>
      </c>
      <c r="I1623" s="8">
        <f t="shared" si="62"/>
        <v>116.91</v>
      </c>
      <c r="J1623" s="12"/>
    </row>
    <row r="1624" spans="3:10" x14ac:dyDescent="0.3">
      <c r="C1624" s="9" t="s">
        <v>12</v>
      </c>
      <c r="D1624" s="10">
        <v>45712</v>
      </c>
      <c r="E1624" t="s">
        <v>1464</v>
      </c>
      <c r="F1624" s="11" t="s">
        <v>1465</v>
      </c>
      <c r="G1624" s="8">
        <v>133.1</v>
      </c>
      <c r="H1624" s="8">
        <v>0</v>
      </c>
      <c r="I1624" s="8">
        <f t="shared" si="62"/>
        <v>250.01</v>
      </c>
      <c r="J1624" s="12"/>
    </row>
    <row r="1625" spans="3:10" x14ac:dyDescent="0.3">
      <c r="C1625" s="9" t="s">
        <v>12</v>
      </c>
      <c r="D1625" s="10">
        <v>45713</v>
      </c>
      <c r="E1625" t="s">
        <v>1059</v>
      </c>
      <c r="F1625" s="11" t="s">
        <v>14</v>
      </c>
      <c r="G1625" s="8">
        <v>0</v>
      </c>
      <c r="H1625" s="8">
        <v>133.1</v>
      </c>
      <c r="I1625" s="8">
        <f t="shared" si="62"/>
        <v>116.91</v>
      </c>
      <c r="J1625" s="12"/>
    </row>
    <row r="1626" spans="3:10" x14ac:dyDescent="0.3">
      <c r="C1626" s="9" t="s">
        <v>12</v>
      </c>
      <c r="D1626" s="10">
        <v>45713</v>
      </c>
      <c r="E1626" t="s">
        <v>1059</v>
      </c>
      <c r="F1626" s="11" t="s">
        <v>14</v>
      </c>
      <c r="G1626" s="8">
        <v>0</v>
      </c>
      <c r="H1626" s="8">
        <v>116.91</v>
      </c>
      <c r="I1626" s="8">
        <f t="shared" si="62"/>
        <v>0</v>
      </c>
      <c r="J1626" s="12"/>
    </row>
    <row r="1627" spans="3:10" x14ac:dyDescent="0.3">
      <c r="C1627" s="9" t="s">
        <v>12</v>
      </c>
      <c r="D1627" s="10">
        <v>45776</v>
      </c>
      <c r="E1627" t="s">
        <v>1466</v>
      </c>
      <c r="F1627" s="11" t="s">
        <v>1467</v>
      </c>
      <c r="G1627" s="8">
        <v>323.61</v>
      </c>
      <c r="H1627" s="8">
        <v>0</v>
      </c>
      <c r="I1627" s="8">
        <f t="shared" si="62"/>
        <v>323.61</v>
      </c>
      <c r="J1627" s="12"/>
    </row>
    <row r="1628" spans="3:10" x14ac:dyDescent="0.3">
      <c r="C1628" s="9" t="s">
        <v>12</v>
      </c>
      <c r="D1628" s="10">
        <v>45798</v>
      </c>
      <c r="E1628" t="s">
        <v>1468</v>
      </c>
      <c r="F1628" s="11" t="s">
        <v>1469</v>
      </c>
      <c r="G1628" s="8">
        <v>1495.17</v>
      </c>
      <c r="H1628" s="8">
        <v>0</v>
      </c>
      <c r="I1628" s="8">
        <f t="shared" si="62"/>
        <v>1818.7800000000002</v>
      </c>
      <c r="J1628" s="12"/>
    </row>
    <row r="1629" spans="3:10" x14ac:dyDescent="0.3">
      <c r="C1629" s="9" t="s">
        <v>12</v>
      </c>
      <c r="D1629" s="10">
        <v>45800</v>
      </c>
      <c r="E1629" t="s">
        <v>1470</v>
      </c>
      <c r="F1629" s="11" t="s">
        <v>1471</v>
      </c>
      <c r="G1629" s="8">
        <v>109.38</v>
      </c>
      <c r="H1629" s="8">
        <v>0</v>
      </c>
      <c r="I1629" s="8">
        <f t="shared" si="62"/>
        <v>1928.1600000000003</v>
      </c>
      <c r="J1629" s="12"/>
    </row>
    <row r="1630" spans="3:10" x14ac:dyDescent="0.3">
      <c r="C1630" s="9" t="s">
        <v>12</v>
      </c>
      <c r="D1630" s="10">
        <v>45805</v>
      </c>
      <c r="E1630" t="s">
        <v>1059</v>
      </c>
      <c r="F1630" s="11" t="s">
        <v>14</v>
      </c>
      <c r="G1630" s="8">
        <v>0</v>
      </c>
      <c r="H1630" s="8">
        <v>1495.17</v>
      </c>
      <c r="I1630" s="8">
        <f t="shared" si="62"/>
        <v>432.99000000000024</v>
      </c>
      <c r="J1630" s="12"/>
    </row>
    <row r="1631" spans="3:10" x14ac:dyDescent="0.3">
      <c r="C1631" s="9" t="s">
        <v>12</v>
      </c>
      <c r="D1631" s="10">
        <v>45806</v>
      </c>
      <c r="E1631" t="s">
        <v>1472</v>
      </c>
      <c r="F1631" s="11" t="s">
        <v>1473</v>
      </c>
      <c r="G1631" s="8">
        <v>223.85</v>
      </c>
      <c r="H1631" s="8">
        <v>0</v>
      </c>
      <c r="I1631" s="8">
        <f t="shared" si="62"/>
        <v>656.84000000000026</v>
      </c>
      <c r="J1631" s="12"/>
    </row>
    <row r="1632" spans="3:10" x14ac:dyDescent="0.3">
      <c r="C1632" s="9" t="s">
        <v>12</v>
      </c>
      <c r="D1632" s="10">
        <v>45806</v>
      </c>
      <c r="E1632" t="s">
        <v>1059</v>
      </c>
      <c r="F1632" s="11" t="s">
        <v>14</v>
      </c>
      <c r="G1632" s="8">
        <v>0</v>
      </c>
      <c r="H1632" s="8">
        <v>323.61</v>
      </c>
      <c r="I1632" s="8">
        <f t="shared" si="62"/>
        <v>333.23000000000025</v>
      </c>
      <c r="J1632" s="12"/>
    </row>
    <row r="1633" spans="3:10" x14ac:dyDescent="0.3">
      <c r="C1633" s="9" t="s">
        <v>12</v>
      </c>
      <c r="D1633" s="10">
        <v>45831</v>
      </c>
      <c r="E1633" t="s">
        <v>1059</v>
      </c>
      <c r="F1633" s="11" t="s">
        <v>14</v>
      </c>
      <c r="G1633" s="8">
        <v>0</v>
      </c>
      <c r="H1633" s="8">
        <v>109.38</v>
      </c>
      <c r="I1633" s="8">
        <f t="shared" si="62"/>
        <v>223.85000000000025</v>
      </c>
      <c r="J1633" s="12"/>
    </row>
    <row r="1634" spans="3:10" x14ac:dyDescent="0.3">
      <c r="C1634" s="9" t="s">
        <v>12</v>
      </c>
      <c r="D1634" s="10">
        <v>45838</v>
      </c>
      <c r="E1634" t="s">
        <v>1059</v>
      </c>
      <c r="F1634" s="11" t="s">
        <v>14</v>
      </c>
      <c r="G1634" s="8">
        <v>0</v>
      </c>
      <c r="H1634" s="8">
        <v>223.85</v>
      </c>
      <c r="I1634" s="8">
        <f t="shared" si="62"/>
        <v>2.5579538487363607E-13</v>
      </c>
      <c r="J1634" s="12">
        <v>572000005</v>
      </c>
    </row>
    <row r="1635" spans="3:10" x14ac:dyDescent="0.3">
      <c r="C1635" s="9"/>
      <c r="D1635" s="10">
        <v>45847</v>
      </c>
      <c r="E1635" t="s">
        <v>1474</v>
      </c>
      <c r="F1635" s="11" t="s">
        <v>1475</v>
      </c>
      <c r="G1635" s="8">
        <v>843.53</v>
      </c>
      <c r="H1635" s="8">
        <v>0</v>
      </c>
      <c r="I1635" s="8">
        <f t="shared" si="62"/>
        <v>843.5300000000002</v>
      </c>
      <c r="J1635" s="12"/>
    </row>
    <row r="1636" spans="3:10" x14ac:dyDescent="0.3">
      <c r="C1636" s="9"/>
      <c r="D1636" s="10">
        <v>45855</v>
      </c>
      <c r="E1636" t="s">
        <v>1476</v>
      </c>
      <c r="F1636" s="11" t="s">
        <v>1477</v>
      </c>
      <c r="G1636" s="8">
        <v>503.61</v>
      </c>
      <c r="H1636" s="8">
        <v>0</v>
      </c>
      <c r="I1636" s="8">
        <f t="shared" si="62"/>
        <v>1347.1400000000003</v>
      </c>
      <c r="J1636" s="12"/>
    </row>
    <row r="1637" spans="3:10" x14ac:dyDescent="0.3">
      <c r="C1637" s="9"/>
      <c r="D1637" s="10">
        <v>45856</v>
      </c>
      <c r="E1637" t="s">
        <v>1478</v>
      </c>
      <c r="F1637" s="11" t="s">
        <v>1479</v>
      </c>
      <c r="G1637" s="8">
        <v>133.1</v>
      </c>
      <c r="H1637" s="8">
        <v>0</v>
      </c>
      <c r="I1637" s="8">
        <f t="shared" si="62"/>
        <v>1480.2400000000002</v>
      </c>
      <c r="J1637" s="12"/>
    </row>
    <row r="1638" spans="3:10" x14ac:dyDescent="0.3">
      <c r="C1638" s="9"/>
      <c r="D1638" s="10">
        <v>45869</v>
      </c>
      <c r="E1638" t="s">
        <v>1480</v>
      </c>
      <c r="F1638" s="11" t="s">
        <v>1481</v>
      </c>
      <c r="G1638" s="8">
        <v>223.85</v>
      </c>
      <c r="H1638" s="8">
        <v>0</v>
      </c>
      <c r="I1638" s="8">
        <f t="shared" si="62"/>
        <v>1704.0900000000001</v>
      </c>
      <c r="J1638" s="12"/>
    </row>
    <row r="1639" spans="3:10" x14ac:dyDescent="0.3">
      <c r="C1639" s="9"/>
      <c r="D1639" s="10">
        <v>45874</v>
      </c>
      <c r="E1639" t="s">
        <v>1482</v>
      </c>
      <c r="F1639" s="11" t="s">
        <v>1483</v>
      </c>
      <c r="G1639" s="8">
        <v>1911.04</v>
      </c>
      <c r="H1639" s="8">
        <v>0</v>
      </c>
      <c r="I1639" s="8">
        <f t="shared" si="62"/>
        <v>3615.13</v>
      </c>
      <c r="J1639" s="12"/>
    </row>
    <row r="1640" spans="3:10" x14ac:dyDescent="0.3">
      <c r="C1640" s="9"/>
      <c r="D1640" s="10">
        <v>45877</v>
      </c>
      <c r="E1640" t="s">
        <v>1059</v>
      </c>
      <c r="F1640" s="11" t="s">
        <v>14</v>
      </c>
      <c r="G1640" s="8">
        <v>0</v>
      </c>
      <c r="H1640" s="8">
        <v>843.53</v>
      </c>
      <c r="I1640" s="8">
        <f t="shared" si="62"/>
        <v>2771.6000000000004</v>
      </c>
      <c r="J1640" s="12"/>
    </row>
    <row r="1641" spans="3:10" x14ac:dyDescent="0.3">
      <c r="C1641" s="9"/>
      <c r="D1641" s="10">
        <v>45887</v>
      </c>
      <c r="E1641" t="s">
        <v>1059</v>
      </c>
      <c r="F1641" s="11" t="s">
        <v>14</v>
      </c>
      <c r="G1641" s="8">
        <v>0</v>
      </c>
      <c r="H1641" s="8">
        <v>133.1</v>
      </c>
      <c r="I1641" s="8">
        <f t="shared" si="62"/>
        <v>2638.5000000000005</v>
      </c>
      <c r="J1641" s="12"/>
    </row>
    <row r="1642" spans="3:10" x14ac:dyDescent="0.3">
      <c r="C1642" s="9"/>
      <c r="D1642" s="10">
        <v>45890</v>
      </c>
      <c r="E1642" t="s">
        <v>1484</v>
      </c>
      <c r="F1642" s="11" t="s">
        <v>1485</v>
      </c>
      <c r="G1642" s="8">
        <v>1776.96</v>
      </c>
      <c r="H1642" s="8">
        <v>0</v>
      </c>
      <c r="I1642" s="8">
        <f t="shared" si="62"/>
        <v>4415.4600000000009</v>
      </c>
      <c r="J1642" s="12"/>
    </row>
    <row r="1643" spans="3:10" x14ac:dyDescent="0.3">
      <c r="C1643" s="9"/>
      <c r="D1643" s="10">
        <v>45890</v>
      </c>
      <c r="E1643" t="s">
        <v>1059</v>
      </c>
      <c r="F1643" s="11" t="s">
        <v>14</v>
      </c>
      <c r="G1643" s="8">
        <v>0</v>
      </c>
      <c r="H1643" s="8">
        <v>503.61</v>
      </c>
      <c r="I1643" s="8">
        <f t="shared" si="62"/>
        <v>3911.8500000000008</v>
      </c>
      <c r="J1643" s="12"/>
    </row>
    <row r="1644" spans="3:10" x14ac:dyDescent="0.3">
      <c r="C1644" s="9"/>
      <c r="D1644" s="10">
        <v>45895</v>
      </c>
      <c r="E1644" t="s">
        <v>1486</v>
      </c>
      <c r="F1644" s="11" t="s">
        <v>1487</v>
      </c>
      <c r="G1644" s="8">
        <v>2524.0500000000002</v>
      </c>
      <c r="H1644" s="8">
        <v>0</v>
      </c>
      <c r="I1644" s="8">
        <f t="shared" si="62"/>
        <v>6435.9000000000015</v>
      </c>
      <c r="J1644" s="12"/>
    </row>
    <row r="1645" spans="3:10" x14ac:dyDescent="0.3">
      <c r="C1645" s="9"/>
      <c r="D1645" s="10">
        <v>45895</v>
      </c>
      <c r="E1645" t="s">
        <v>1488</v>
      </c>
      <c r="F1645" s="11" t="s">
        <v>1489</v>
      </c>
      <c r="G1645" s="8">
        <v>361.86</v>
      </c>
      <c r="H1645" s="8">
        <v>0</v>
      </c>
      <c r="I1645" s="8">
        <f t="shared" si="62"/>
        <v>6797.7600000000011</v>
      </c>
      <c r="J1645" s="12"/>
    </row>
    <row r="1646" spans="3:10" x14ac:dyDescent="0.3">
      <c r="C1646" s="9"/>
      <c r="D1646" s="10">
        <v>45901</v>
      </c>
      <c r="E1646" t="s">
        <v>1059</v>
      </c>
      <c r="F1646" s="11" t="s">
        <v>14</v>
      </c>
      <c r="G1646" s="8">
        <v>0</v>
      </c>
      <c r="H1646" s="8">
        <v>223.85</v>
      </c>
      <c r="I1646" s="8">
        <f t="shared" si="62"/>
        <v>6573.9100000000008</v>
      </c>
      <c r="J1646" s="12"/>
    </row>
    <row r="1647" spans="3:10" x14ac:dyDescent="0.3">
      <c r="C1647" s="9"/>
      <c r="D1647" s="10">
        <v>45904</v>
      </c>
      <c r="E1647" t="s">
        <v>1059</v>
      </c>
      <c r="F1647" s="11" t="s">
        <v>14</v>
      </c>
      <c r="G1647" s="8">
        <v>0</v>
      </c>
      <c r="H1647" s="8">
        <v>1911.04</v>
      </c>
      <c r="I1647" s="8">
        <f t="shared" si="62"/>
        <v>4662.8700000000008</v>
      </c>
      <c r="J1647" s="12"/>
    </row>
    <row r="1648" spans="3:10" x14ac:dyDescent="0.3">
      <c r="E1648" s="4" t="s">
        <v>116</v>
      </c>
      <c r="G1648" s="8">
        <f>SUM(G1617:G1647)</f>
        <v>11980.530000000002</v>
      </c>
      <c r="H1648" s="8">
        <f>SUM(H1617:H1647)</f>
        <v>7317.6600000000008</v>
      </c>
      <c r="I1648" s="8">
        <f>G1648-H1648</f>
        <v>4662.8700000000017</v>
      </c>
    </row>
    <row r="1650" spans="1:10" x14ac:dyDescent="0.3">
      <c r="A1650" s="5">
        <v>430000241</v>
      </c>
      <c r="B1650" s="6" t="s">
        <v>1490</v>
      </c>
      <c r="C1650" s="7"/>
      <c r="D1650" s="7"/>
      <c r="E1650" s="7"/>
      <c r="F1650" s="7"/>
      <c r="G1650" s="7"/>
      <c r="H1650" s="7"/>
      <c r="I1650" s="7"/>
      <c r="J1650" s="7"/>
    </row>
    <row r="1651" spans="1:10" x14ac:dyDescent="0.3">
      <c r="E1651" s="4" t="s">
        <v>11</v>
      </c>
      <c r="G1651" s="8">
        <v>739.53</v>
      </c>
      <c r="H1651" s="8">
        <v>0</v>
      </c>
      <c r="I1651" s="8">
        <f>G1651-H1651</f>
        <v>739.53</v>
      </c>
    </row>
    <row r="1652" spans="1:10" x14ac:dyDescent="0.3">
      <c r="C1652" s="9" t="s">
        <v>12</v>
      </c>
      <c r="D1652" s="10">
        <v>45678</v>
      </c>
      <c r="E1652" t="s">
        <v>886</v>
      </c>
      <c r="F1652" s="11" t="s">
        <v>14</v>
      </c>
      <c r="G1652" s="8">
        <v>0</v>
      </c>
      <c r="H1652" s="8">
        <v>309.64</v>
      </c>
      <c r="I1652" s="8">
        <f t="shared" ref="I1652:I1663" si="63">G1652-H1652+I1651</f>
        <v>429.89</v>
      </c>
      <c r="J1652" s="12">
        <v>572000007</v>
      </c>
    </row>
    <row r="1653" spans="1:10" x14ac:dyDescent="0.3">
      <c r="C1653" s="9" t="s">
        <v>12</v>
      </c>
      <c r="D1653" s="10">
        <v>45684</v>
      </c>
      <c r="E1653" t="s">
        <v>886</v>
      </c>
      <c r="F1653" s="11" t="s">
        <v>14</v>
      </c>
      <c r="G1653" s="8">
        <v>0</v>
      </c>
      <c r="H1653" s="8">
        <v>129.19</v>
      </c>
      <c r="I1653" s="8">
        <f t="shared" si="63"/>
        <v>300.7</v>
      </c>
      <c r="J1653" s="12">
        <v>572000007</v>
      </c>
    </row>
    <row r="1654" spans="1:10" x14ac:dyDescent="0.3">
      <c r="C1654" s="9" t="s">
        <v>12</v>
      </c>
      <c r="D1654" s="10">
        <v>45712</v>
      </c>
      <c r="E1654" t="s">
        <v>1491</v>
      </c>
      <c r="F1654" s="11" t="s">
        <v>1492</v>
      </c>
      <c r="G1654" s="8">
        <v>175.76</v>
      </c>
      <c r="H1654" s="8">
        <v>0</v>
      </c>
      <c r="I1654" s="8">
        <f t="shared" si="63"/>
        <v>476.46</v>
      </c>
      <c r="J1654" s="12"/>
    </row>
    <row r="1655" spans="1:10" x14ac:dyDescent="0.3">
      <c r="C1655" s="9" t="s">
        <v>12</v>
      </c>
      <c r="D1655" s="10">
        <v>45742</v>
      </c>
      <c r="E1655" t="s">
        <v>886</v>
      </c>
      <c r="F1655" s="11" t="s">
        <v>14</v>
      </c>
      <c r="G1655" s="8">
        <v>0</v>
      </c>
      <c r="H1655" s="8">
        <v>300.7</v>
      </c>
      <c r="I1655" s="8">
        <f t="shared" si="63"/>
        <v>175.76</v>
      </c>
      <c r="J1655" s="12">
        <v>572000007</v>
      </c>
    </row>
    <row r="1656" spans="1:10" x14ac:dyDescent="0.3">
      <c r="C1656" s="9" t="s">
        <v>12</v>
      </c>
      <c r="D1656" s="10">
        <v>45775</v>
      </c>
      <c r="E1656" t="s">
        <v>305</v>
      </c>
      <c r="F1656" s="11" t="s">
        <v>14</v>
      </c>
      <c r="G1656" s="8">
        <v>0</v>
      </c>
      <c r="H1656" s="8">
        <v>175.76</v>
      </c>
      <c r="I1656" s="8">
        <f t="shared" si="63"/>
        <v>0</v>
      </c>
      <c r="J1656" s="12">
        <v>572000007</v>
      </c>
    </row>
    <row r="1657" spans="1:10" x14ac:dyDescent="0.3">
      <c r="C1657" s="9"/>
      <c r="D1657" s="10">
        <v>45800</v>
      </c>
      <c r="E1657" t="s">
        <v>1493</v>
      </c>
      <c r="F1657" s="11" t="s">
        <v>1494</v>
      </c>
      <c r="G1657" s="8">
        <v>186.79</v>
      </c>
      <c r="H1657" s="8">
        <v>0</v>
      </c>
      <c r="I1657" s="8">
        <f t="shared" si="63"/>
        <v>186.79</v>
      </c>
      <c r="J1657" s="12"/>
    </row>
    <row r="1658" spans="1:10" x14ac:dyDescent="0.3">
      <c r="C1658" s="9"/>
      <c r="D1658" s="10">
        <v>45805</v>
      </c>
      <c r="E1658" t="s">
        <v>1495</v>
      </c>
      <c r="F1658" s="11" t="s">
        <v>1496</v>
      </c>
      <c r="G1658" s="8">
        <v>296.85000000000002</v>
      </c>
      <c r="H1658" s="8">
        <v>0</v>
      </c>
      <c r="I1658" s="8">
        <f t="shared" si="63"/>
        <v>483.64</v>
      </c>
      <c r="J1658" s="12"/>
    </row>
    <row r="1659" spans="1:10" x14ac:dyDescent="0.3">
      <c r="C1659" s="9"/>
      <c r="D1659" s="10">
        <v>45856</v>
      </c>
      <c r="E1659" t="s">
        <v>1497</v>
      </c>
      <c r="F1659" s="11" t="s">
        <v>1498</v>
      </c>
      <c r="G1659" s="8">
        <v>552.1</v>
      </c>
      <c r="H1659" s="8">
        <v>0</v>
      </c>
      <c r="I1659" s="8">
        <f t="shared" si="63"/>
        <v>1035.74</v>
      </c>
      <c r="J1659" s="12"/>
    </row>
    <row r="1660" spans="1:10" x14ac:dyDescent="0.3">
      <c r="C1660" s="9"/>
      <c r="D1660" s="10">
        <v>45866</v>
      </c>
      <c r="E1660" t="s">
        <v>1499</v>
      </c>
      <c r="F1660" s="11" t="s">
        <v>1500</v>
      </c>
      <c r="G1660" s="8">
        <v>157.30000000000001</v>
      </c>
      <c r="H1660" s="8">
        <v>0</v>
      </c>
      <c r="I1660" s="8">
        <f t="shared" si="63"/>
        <v>1193.04</v>
      </c>
      <c r="J1660" s="12"/>
    </row>
    <row r="1661" spans="1:10" x14ac:dyDescent="0.3">
      <c r="C1661" s="9"/>
      <c r="D1661" s="10">
        <v>45876</v>
      </c>
      <c r="E1661" t="s">
        <v>305</v>
      </c>
      <c r="F1661" s="11" t="s">
        <v>14</v>
      </c>
      <c r="G1661" s="8">
        <v>0</v>
      </c>
      <c r="H1661" s="8">
        <v>186.79</v>
      </c>
      <c r="I1661" s="8">
        <f t="shared" si="63"/>
        <v>1006.25</v>
      </c>
      <c r="J1661" s="12">
        <v>572000007</v>
      </c>
    </row>
    <row r="1662" spans="1:10" x14ac:dyDescent="0.3">
      <c r="C1662" s="9"/>
      <c r="D1662" s="10">
        <v>45896</v>
      </c>
      <c r="E1662" t="s">
        <v>305</v>
      </c>
      <c r="F1662" s="11" t="s">
        <v>14</v>
      </c>
      <c r="G1662" s="8">
        <v>0</v>
      </c>
      <c r="H1662" s="8">
        <v>296.85000000000002</v>
      </c>
      <c r="I1662" s="8">
        <f t="shared" si="63"/>
        <v>709.4</v>
      </c>
      <c r="J1662" s="12">
        <v>572000007</v>
      </c>
    </row>
    <row r="1663" spans="1:10" x14ac:dyDescent="0.3">
      <c r="C1663" s="9"/>
      <c r="D1663" s="10">
        <v>45919</v>
      </c>
      <c r="E1663" t="s">
        <v>305</v>
      </c>
      <c r="F1663" s="11" t="s">
        <v>14</v>
      </c>
      <c r="G1663" s="8">
        <v>0</v>
      </c>
      <c r="H1663" s="8">
        <v>552.1</v>
      </c>
      <c r="I1663" s="8">
        <f t="shared" si="63"/>
        <v>157.29999999999995</v>
      </c>
      <c r="J1663" s="12">
        <v>572000007</v>
      </c>
    </row>
    <row r="1664" spans="1:10" x14ac:dyDescent="0.3">
      <c r="E1664" s="4" t="s">
        <v>116</v>
      </c>
      <c r="G1664" s="8">
        <f>SUM(G1651:G1663)</f>
        <v>2108.33</v>
      </c>
      <c r="H1664" s="8">
        <f>SUM(H1651:H1663)</f>
        <v>1951.0299999999997</v>
      </c>
      <c r="I1664" s="8">
        <f>G1664-H1664</f>
        <v>157.30000000000018</v>
      </c>
    </row>
    <row r="1666" spans="1:10" x14ac:dyDescent="0.3">
      <c r="A1666" s="5">
        <v>430000252</v>
      </c>
      <c r="B1666" s="6" t="s">
        <v>1501</v>
      </c>
      <c r="C1666" s="7"/>
      <c r="D1666" s="7"/>
      <c r="E1666" s="7"/>
      <c r="F1666" s="7"/>
      <c r="G1666" s="7"/>
      <c r="H1666" s="7"/>
      <c r="I1666" s="7"/>
      <c r="J1666" s="7"/>
    </row>
    <row r="1667" spans="1:10" x14ac:dyDescent="0.3">
      <c r="E1667" s="4" t="s">
        <v>11</v>
      </c>
      <c r="G1667" s="8">
        <v>198.83</v>
      </c>
      <c r="H1667" s="8">
        <v>0</v>
      </c>
      <c r="I1667" s="8">
        <f>G1667-H1667</f>
        <v>198.83</v>
      </c>
    </row>
    <row r="1668" spans="1:10" x14ac:dyDescent="0.3">
      <c r="E1668" s="4" t="s">
        <v>116</v>
      </c>
      <c r="G1668" s="8">
        <f>G1667</f>
        <v>198.83</v>
      </c>
      <c r="H1668" s="8">
        <f>H1667</f>
        <v>0</v>
      </c>
      <c r="I1668" s="8">
        <f>G1668-H1668</f>
        <v>198.83</v>
      </c>
    </row>
    <row r="1670" spans="1:10" x14ac:dyDescent="0.3">
      <c r="A1670" s="5">
        <v>430000273</v>
      </c>
      <c r="B1670" s="6" t="s">
        <v>1502</v>
      </c>
      <c r="C1670" s="7"/>
      <c r="D1670" s="7"/>
      <c r="E1670" s="7"/>
      <c r="F1670" s="7"/>
      <c r="G1670" s="7"/>
      <c r="H1670" s="7"/>
      <c r="I1670" s="7"/>
      <c r="J1670" s="7"/>
    </row>
    <row r="1671" spans="1:10" x14ac:dyDescent="0.3">
      <c r="C1671" s="9"/>
      <c r="D1671" s="10">
        <v>45705</v>
      </c>
      <c r="E1671" t="s">
        <v>1503</v>
      </c>
      <c r="F1671" s="11" t="s">
        <v>1504</v>
      </c>
      <c r="G1671" s="8">
        <v>539.91999999999996</v>
      </c>
      <c r="H1671" s="8">
        <v>0</v>
      </c>
      <c r="I1671" s="8">
        <f>G1671-H1671</f>
        <v>539.91999999999996</v>
      </c>
      <c r="J1671" s="12"/>
    </row>
    <row r="1672" spans="1:10" x14ac:dyDescent="0.3">
      <c r="C1672" s="9"/>
      <c r="D1672" s="10">
        <v>45771</v>
      </c>
      <c r="E1672" t="s">
        <v>1505</v>
      </c>
      <c r="F1672" s="11" t="s">
        <v>1506</v>
      </c>
      <c r="G1672" s="8">
        <v>133.1</v>
      </c>
      <c r="H1672" s="8">
        <v>0</v>
      </c>
      <c r="I1672" s="8">
        <f>G1672-H1672+I1671</f>
        <v>673.02</v>
      </c>
      <c r="J1672" s="12"/>
    </row>
    <row r="1673" spans="1:10" x14ac:dyDescent="0.3">
      <c r="C1673" s="9"/>
      <c r="D1673" s="10">
        <v>45859</v>
      </c>
      <c r="E1673" t="s">
        <v>305</v>
      </c>
      <c r="F1673" s="11" t="s">
        <v>14</v>
      </c>
      <c r="G1673" s="8">
        <v>0</v>
      </c>
      <c r="H1673" s="8">
        <v>133.1</v>
      </c>
      <c r="I1673" s="8">
        <f>G1673-H1673+I1672</f>
        <v>539.91999999999996</v>
      </c>
      <c r="J1673" s="12">
        <v>572000007</v>
      </c>
    </row>
    <row r="1674" spans="1:10" x14ac:dyDescent="0.3">
      <c r="C1674" s="9"/>
      <c r="D1674" s="10">
        <v>45859</v>
      </c>
      <c r="E1674" t="s">
        <v>305</v>
      </c>
      <c r="F1674" s="11" t="s">
        <v>14</v>
      </c>
      <c r="G1674" s="8">
        <v>0</v>
      </c>
      <c r="H1674" s="8">
        <v>539.91</v>
      </c>
      <c r="I1674" s="8">
        <f>G1674-H1674+I1673</f>
        <v>9.9999999999909051E-3</v>
      </c>
      <c r="J1674" s="12">
        <v>572000007</v>
      </c>
    </row>
    <row r="1675" spans="1:10" x14ac:dyDescent="0.3">
      <c r="E1675" s="4" t="s">
        <v>116</v>
      </c>
      <c r="G1675" s="8">
        <f>SUM(G1671:G1674)</f>
        <v>673.02</v>
      </c>
      <c r="H1675" s="8">
        <f>SUM(H1671:H1674)</f>
        <v>673.01</v>
      </c>
      <c r="I1675" s="8">
        <f>G1675-H1675</f>
        <v>9.9999999999909051E-3</v>
      </c>
    </row>
    <row r="1677" spans="1:10" x14ac:dyDescent="0.3">
      <c r="A1677" s="5">
        <v>430000278</v>
      </c>
      <c r="B1677" s="6" t="s">
        <v>1507</v>
      </c>
      <c r="C1677" s="7"/>
      <c r="D1677" s="7"/>
      <c r="E1677" s="7"/>
      <c r="F1677" s="7"/>
      <c r="G1677" s="7"/>
      <c r="H1677" s="7"/>
      <c r="I1677" s="7"/>
      <c r="J1677" s="7"/>
    </row>
    <row r="1678" spans="1:10" x14ac:dyDescent="0.3">
      <c r="E1678" s="4" t="s">
        <v>11</v>
      </c>
      <c r="G1678" s="8">
        <v>86.87</v>
      </c>
      <c r="H1678" s="8">
        <v>0</v>
      </c>
      <c r="I1678" s="8">
        <f>G1678-H1678</f>
        <v>86.87</v>
      </c>
    </row>
    <row r="1679" spans="1:10" x14ac:dyDescent="0.3">
      <c r="C1679" s="9"/>
      <c r="D1679" s="10">
        <v>45747</v>
      </c>
      <c r="E1679" t="s">
        <v>1508</v>
      </c>
      <c r="F1679" s="11" t="s">
        <v>1509</v>
      </c>
      <c r="G1679" s="8">
        <v>157.30000000000001</v>
      </c>
      <c r="H1679" s="8">
        <v>0</v>
      </c>
      <c r="I1679" s="8">
        <f>G1679-H1679+I1678</f>
        <v>244.17000000000002</v>
      </c>
      <c r="J1679" s="12"/>
    </row>
    <row r="1680" spans="1:10" x14ac:dyDescent="0.3">
      <c r="C1680" s="9"/>
      <c r="D1680" s="10">
        <v>45762</v>
      </c>
      <c r="E1680" t="s">
        <v>305</v>
      </c>
      <c r="F1680" s="11" t="s">
        <v>14</v>
      </c>
      <c r="G1680" s="8">
        <v>0</v>
      </c>
      <c r="H1680" s="8">
        <v>277.39999999999998</v>
      </c>
      <c r="I1680" s="8">
        <f>G1680-H1680+I1679</f>
        <v>-33.229999999999961</v>
      </c>
      <c r="J1680" s="12">
        <v>572000007</v>
      </c>
    </row>
    <row r="1681" spans="1:10" x14ac:dyDescent="0.3">
      <c r="C1681" s="9"/>
      <c r="D1681" s="10">
        <v>45874</v>
      </c>
      <c r="E1681" t="s">
        <v>1510</v>
      </c>
      <c r="F1681" s="11" t="s">
        <v>14</v>
      </c>
      <c r="G1681" s="8">
        <v>0</v>
      </c>
      <c r="H1681" s="8">
        <v>157.30000000000001</v>
      </c>
      <c r="I1681" s="8">
        <f>G1681-H1681+I1680</f>
        <v>-190.52999999999997</v>
      </c>
      <c r="J1681" s="12">
        <v>572000007</v>
      </c>
    </row>
    <row r="1682" spans="1:10" x14ac:dyDescent="0.3">
      <c r="C1682" s="9"/>
      <c r="D1682" s="10">
        <v>45895</v>
      </c>
      <c r="E1682" t="s">
        <v>1511</v>
      </c>
      <c r="F1682" s="11" t="s">
        <v>1512</v>
      </c>
      <c r="G1682" s="8">
        <v>133.1</v>
      </c>
      <c r="H1682" s="8">
        <v>0</v>
      </c>
      <c r="I1682" s="8">
        <f>G1682-H1682+I1681</f>
        <v>-57.429999999999978</v>
      </c>
      <c r="J1682" s="12"/>
    </row>
    <row r="1683" spans="1:10" x14ac:dyDescent="0.3">
      <c r="E1683" s="4" t="s">
        <v>116</v>
      </c>
      <c r="G1683" s="8">
        <f>SUM(G1678:G1682)</f>
        <v>377.27</v>
      </c>
      <c r="H1683" s="8">
        <f>SUM(H1678:H1682)</f>
        <v>434.7</v>
      </c>
      <c r="I1683" s="8">
        <f>G1683-H1683</f>
        <v>-57.430000000000007</v>
      </c>
    </row>
    <row r="1685" spans="1:10" x14ac:dyDescent="0.3">
      <c r="A1685" s="5">
        <v>430000283</v>
      </c>
      <c r="B1685" s="6" t="s">
        <v>1513</v>
      </c>
      <c r="C1685" s="7"/>
      <c r="D1685" s="7"/>
      <c r="E1685" s="7"/>
      <c r="F1685" s="7"/>
      <c r="G1685" s="7"/>
      <c r="H1685" s="7"/>
      <c r="I1685" s="7"/>
      <c r="J1685" s="7"/>
    </row>
    <row r="1686" spans="1:10" x14ac:dyDescent="0.3">
      <c r="C1686" s="9" t="s">
        <v>12</v>
      </c>
      <c r="D1686" s="10">
        <v>45679</v>
      </c>
      <c r="E1686" t="s">
        <v>1514</v>
      </c>
      <c r="F1686" s="11" t="s">
        <v>1515</v>
      </c>
      <c r="G1686" s="8">
        <v>102.85</v>
      </c>
      <c r="H1686" s="8">
        <v>0</v>
      </c>
      <c r="I1686" s="8">
        <f>G1686-H1686</f>
        <v>102.85</v>
      </c>
      <c r="J1686" s="12"/>
    </row>
    <row r="1687" spans="1:10" x14ac:dyDescent="0.3">
      <c r="C1687" s="9" t="s">
        <v>12</v>
      </c>
      <c r="D1687" s="10">
        <v>45684</v>
      </c>
      <c r="E1687" t="s">
        <v>1516</v>
      </c>
      <c r="F1687" s="11" t="s">
        <v>1517</v>
      </c>
      <c r="G1687" s="8">
        <v>102.85</v>
      </c>
      <c r="H1687" s="8">
        <v>0</v>
      </c>
      <c r="I1687" s="8">
        <f t="shared" ref="I1687:I1700" si="64">G1687-H1687+I1686</f>
        <v>205.7</v>
      </c>
      <c r="J1687" s="12"/>
    </row>
    <row r="1688" spans="1:10" x14ac:dyDescent="0.3">
      <c r="C1688" s="9" t="s">
        <v>12</v>
      </c>
      <c r="D1688" s="10">
        <v>45684</v>
      </c>
      <c r="E1688" t="s">
        <v>108</v>
      </c>
      <c r="F1688" s="11" t="s">
        <v>14</v>
      </c>
      <c r="G1688" s="8">
        <v>0</v>
      </c>
      <c r="H1688" s="8">
        <v>102.85</v>
      </c>
      <c r="I1688" s="8">
        <f t="shared" si="64"/>
        <v>102.85</v>
      </c>
      <c r="J1688" s="12">
        <v>572000007</v>
      </c>
    </row>
    <row r="1689" spans="1:10" x14ac:dyDescent="0.3">
      <c r="C1689" s="9" t="s">
        <v>12</v>
      </c>
      <c r="D1689" s="10">
        <v>45684</v>
      </c>
      <c r="E1689" t="s">
        <v>108</v>
      </c>
      <c r="F1689" s="11" t="s">
        <v>14</v>
      </c>
      <c r="G1689" s="8">
        <v>0</v>
      </c>
      <c r="H1689" s="8">
        <v>102.85</v>
      </c>
      <c r="I1689" s="8">
        <f t="shared" si="64"/>
        <v>0</v>
      </c>
      <c r="J1689" s="12">
        <v>572000007</v>
      </c>
    </row>
    <row r="1690" spans="1:10" x14ac:dyDescent="0.3">
      <c r="C1690" s="9" t="s">
        <v>12</v>
      </c>
      <c r="D1690" s="10">
        <v>45694</v>
      </c>
      <c r="E1690" t="s">
        <v>1518</v>
      </c>
      <c r="F1690" s="11" t="s">
        <v>1519</v>
      </c>
      <c r="G1690" s="8">
        <v>102.85</v>
      </c>
      <c r="H1690" s="8">
        <v>0</v>
      </c>
      <c r="I1690" s="8">
        <f t="shared" si="64"/>
        <v>102.85</v>
      </c>
      <c r="J1690" s="12"/>
    </row>
    <row r="1691" spans="1:10" x14ac:dyDescent="0.3">
      <c r="C1691" s="9" t="s">
        <v>12</v>
      </c>
      <c r="D1691" s="10">
        <v>45700</v>
      </c>
      <c r="E1691" t="s">
        <v>108</v>
      </c>
      <c r="F1691" s="11" t="s">
        <v>14</v>
      </c>
      <c r="G1691" s="8">
        <v>0</v>
      </c>
      <c r="H1691" s="8">
        <v>102.85</v>
      </c>
      <c r="I1691" s="8">
        <f t="shared" si="64"/>
        <v>0</v>
      </c>
      <c r="J1691" s="12">
        <v>572000007</v>
      </c>
    </row>
    <row r="1692" spans="1:10" x14ac:dyDescent="0.3">
      <c r="C1692" s="9" t="s">
        <v>12</v>
      </c>
      <c r="D1692" s="10">
        <v>45708</v>
      </c>
      <c r="E1692" t="s">
        <v>1520</v>
      </c>
      <c r="F1692" s="11" t="s">
        <v>1521</v>
      </c>
      <c r="G1692" s="8">
        <v>133.1</v>
      </c>
      <c r="H1692" s="8">
        <v>0</v>
      </c>
      <c r="I1692" s="8">
        <f t="shared" si="64"/>
        <v>133.1</v>
      </c>
      <c r="J1692" s="12"/>
    </row>
    <row r="1693" spans="1:10" x14ac:dyDescent="0.3">
      <c r="C1693" s="9" t="s">
        <v>12</v>
      </c>
      <c r="D1693" s="10">
        <v>45713</v>
      </c>
      <c r="E1693" t="s">
        <v>108</v>
      </c>
      <c r="F1693" s="11" t="s">
        <v>14</v>
      </c>
      <c r="G1693" s="8">
        <v>0</v>
      </c>
      <c r="H1693" s="8">
        <v>133.1</v>
      </c>
      <c r="I1693" s="8">
        <f t="shared" si="64"/>
        <v>0</v>
      </c>
      <c r="J1693" s="12">
        <v>572000007</v>
      </c>
    </row>
    <row r="1694" spans="1:10" x14ac:dyDescent="0.3">
      <c r="C1694" s="9" t="s">
        <v>12</v>
      </c>
      <c r="D1694" s="10">
        <v>45782</v>
      </c>
      <c r="E1694" t="s">
        <v>1522</v>
      </c>
      <c r="F1694" s="11" t="s">
        <v>14</v>
      </c>
      <c r="G1694" s="8">
        <v>0</v>
      </c>
      <c r="H1694" s="8">
        <v>133.1</v>
      </c>
      <c r="I1694" s="8">
        <f t="shared" si="64"/>
        <v>-133.1</v>
      </c>
      <c r="J1694" s="12">
        <v>572000007</v>
      </c>
    </row>
    <row r="1695" spans="1:10" x14ac:dyDescent="0.3">
      <c r="C1695" s="9" t="s">
        <v>12</v>
      </c>
      <c r="D1695" s="10">
        <v>45782</v>
      </c>
      <c r="E1695" t="s">
        <v>1522</v>
      </c>
      <c r="F1695" s="11" t="s">
        <v>14</v>
      </c>
      <c r="G1695" s="8">
        <v>0</v>
      </c>
      <c r="H1695" s="8">
        <v>133.1</v>
      </c>
      <c r="I1695" s="8">
        <f t="shared" si="64"/>
        <v>-266.2</v>
      </c>
      <c r="J1695" s="12">
        <v>572000007</v>
      </c>
    </row>
    <row r="1696" spans="1:10" x14ac:dyDescent="0.3">
      <c r="C1696" s="9" t="s">
        <v>12</v>
      </c>
      <c r="D1696" s="10">
        <v>45782</v>
      </c>
      <c r="E1696" t="s">
        <v>1523</v>
      </c>
      <c r="F1696" s="11" t="s">
        <v>1524</v>
      </c>
      <c r="G1696" s="8">
        <v>133.1</v>
      </c>
      <c r="H1696" s="8">
        <v>0</v>
      </c>
      <c r="I1696" s="8">
        <f t="shared" si="64"/>
        <v>-133.1</v>
      </c>
      <c r="J1696" s="12"/>
    </row>
    <row r="1697" spans="1:10" x14ac:dyDescent="0.3">
      <c r="C1697" s="9" t="s">
        <v>12</v>
      </c>
      <c r="D1697" s="10">
        <v>45783</v>
      </c>
      <c r="E1697" t="s">
        <v>305</v>
      </c>
      <c r="F1697" s="11" t="s">
        <v>14</v>
      </c>
      <c r="G1697" s="8">
        <v>133.1</v>
      </c>
      <c r="H1697" s="8">
        <v>0</v>
      </c>
      <c r="I1697" s="8">
        <f t="shared" si="64"/>
        <v>0</v>
      </c>
      <c r="J1697" s="12">
        <v>572000007</v>
      </c>
    </row>
    <row r="1698" spans="1:10" x14ac:dyDescent="0.3">
      <c r="C1698" s="9"/>
      <c r="D1698" s="10">
        <v>45877</v>
      </c>
      <c r="E1698" t="s">
        <v>1525</v>
      </c>
      <c r="F1698" s="11" t="s">
        <v>1526</v>
      </c>
      <c r="G1698" s="8">
        <v>301.77</v>
      </c>
      <c r="H1698" s="8">
        <v>0</v>
      </c>
      <c r="I1698" s="8">
        <f t="shared" si="64"/>
        <v>301.77</v>
      </c>
      <c r="J1698" s="12"/>
    </row>
    <row r="1699" spans="1:10" x14ac:dyDescent="0.3">
      <c r="C1699" s="9"/>
      <c r="D1699" s="10">
        <v>45895</v>
      </c>
      <c r="E1699" t="s">
        <v>305</v>
      </c>
      <c r="F1699" s="11" t="s">
        <v>14</v>
      </c>
      <c r="G1699" s="8">
        <v>0</v>
      </c>
      <c r="H1699" s="8">
        <v>301.77</v>
      </c>
      <c r="I1699" s="8">
        <f t="shared" si="64"/>
        <v>0</v>
      </c>
      <c r="J1699" s="12">
        <v>572000007</v>
      </c>
    </row>
    <row r="1700" spans="1:10" x14ac:dyDescent="0.3">
      <c r="C1700" s="9"/>
      <c r="D1700" s="10">
        <v>45916</v>
      </c>
      <c r="E1700" t="s">
        <v>1527</v>
      </c>
      <c r="F1700" s="11" t="s">
        <v>1528</v>
      </c>
      <c r="G1700" s="8">
        <v>244.11</v>
      </c>
      <c r="H1700" s="8">
        <v>0</v>
      </c>
      <c r="I1700" s="8">
        <f t="shared" si="64"/>
        <v>244.11</v>
      </c>
      <c r="J1700" s="12"/>
    </row>
    <row r="1701" spans="1:10" x14ac:dyDescent="0.3">
      <c r="E1701" s="4" t="s">
        <v>116</v>
      </c>
      <c r="G1701" s="8">
        <f>SUM(G1686:G1700)</f>
        <v>1253.73</v>
      </c>
      <c r="H1701" s="8">
        <f>SUM(H1686:H1700)</f>
        <v>1009.62</v>
      </c>
      <c r="I1701" s="8">
        <f>G1701-H1701</f>
        <v>244.11</v>
      </c>
    </row>
    <row r="1703" spans="1:10" x14ac:dyDescent="0.3">
      <c r="A1703" s="5">
        <v>430000285</v>
      </c>
      <c r="B1703" s="6" t="s">
        <v>1529</v>
      </c>
      <c r="C1703" s="7"/>
      <c r="D1703" s="7"/>
      <c r="E1703" s="7"/>
      <c r="F1703" s="7"/>
      <c r="G1703" s="7"/>
      <c r="H1703" s="7"/>
      <c r="I1703" s="7"/>
      <c r="J1703" s="7"/>
    </row>
    <row r="1704" spans="1:10" x14ac:dyDescent="0.3">
      <c r="C1704" s="9"/>
      <c r="D1704" s="10">
        <v>45791</v>
      </c>
      <c r="E1704" t="s">
        <v>1530</v>
      </c>
      <c r="F1704" s="11" t="s">
        <v>1531</v>
      </c>
      <c r="G1704" s="8">
        <v>1823.2</v>
      </c>
      <c r="H1704" s="8">
        <v>0</v>
      </c>
      <c r="I1704" s="8">
        <f>G1704-H1704</f>
        <v>1823.2</v>
      </c>
      <c r="J1704" s="12"/>
    </row>
    <row r="1705" spans="1:10" x14ac:dyDescent="0.3">
      <c r="C1705" s="9" t="s">
        <v>12</v>
      </c>
      <c r="D1705" s="10">
        <v>45825</v>
      </c>
      <c r="E1705" t="s">
        <v>1532</v>
      </c>
      <c r="F1705" s="11" t="s">
        <v>1533</v>
      </c>
      <c r="G1705" s="8">
        <v>508.2</v>
      </c>
      <c r="H1705" s="8">
        <v>0</v>
      </c>
      <c r="I1705" s="8">
        <f t="shared" ref="I1705:I1717" si="65">G1705-H1705+I1704</f>
        <v>2331.4</v>
      </c>
      <c r="J1705" s="12"/>
    </row>
    <row r="1706" spans="1:10" x14ac:dyDescent="0.3">
      <c r="C1706" s="9" t="s">
        <v>12</v>
      </c>
      <c r="D1706" s="10">
        <v>45825</v>
      </c>
      <c r="E1706" t="s">
        <v>1534</v>
      </c>
      <c r="F1706" s="11" t="s">
        <v>1535</v>
      </c>
      <c r="G1706" s="8">
        <v>254.1</v>
      </c>
      <c r="H1706" s="8">
        <v>0</v>
      </c>
      <c r="I1706" s="8">
        <f t="shared" si="65"/>
        <v>2585.5</v>
      </c>
      <c r="J1706" s="12"/>
    </row>
    <row r="1707" spans="1:10" x14ac:dyDescent="0.3">
      <c r="C1707" s="9" t="s">
        <v>12</v>
      </c>
      <c r="D1707" s="10">
        <v>45825</v>
      </c>
      <c r="E1707" t="s">
        <v>1536</v>
      </c>
      <c r="F1707" s="11" t="s">
        <v>1537</v>
      </c>
      <c r="G1707" s="8">
        <v>102.85</v>
      </c>
      <c r="H1707" s="8">
        <v>0</v>
      </c>
      <c r="I1707" s="8">
        <f t="shared" si="65"/>
        <v>2688.35</v>
      </c>
      <c r="J1707" s="12"/>
    </row>
    <row r="1708" spans="1:10" x14ac:dyDescent="0.3">
      <c r="C1708" s="9" t="s">
        <v>12</v>
      </c>
      <c r="D1708" s="10">
        <v>45834</v>
      </c>
      <c r="E1708" t="s">
        <v>108</v>
      </c>
      <c r="F1708" s="11" t="s">
        <v>14</v>
      </c>
      <c r="G1708" s="8">
        <v>0</v>
      </c>
      <c r="H1708" s="8">
        <v>102.85</v>
      </c>
      <c r="I1708" s="8">
        <f t="shared" si="65"/>
        <v>2585.5</v>
      </c>
      <c r="J1708" s="12">
        <v>572000007</v>
      </c>
    </row>
    <row r="1709" spans="1:10" x14ac:dyDescent="0.3">
      <c r="C1709" s="9" t="s">
        <v>12</v>
      </c>
      <c r="D1709" s="10">
        <v>45834</v>
      </c>
      <c r="E1709" t="s">
        <v>108</v>
      </c>
      <c r="F1709" s="11" t="s">
        <v>14</v>
      </c>
      <c r="G1709" s="8">
        <v>0</v>
      </c>
      <c r="H1709" s="8">
        <v>254.1</v>
      </c>
      <c r="I1709" s="8">
        <f t="shared" si="65"/>
        <v>2331.4</v>
      </c>
      <c r="J1709" s="12">
        <v>572000007</v>
      </c>
    </row>
    <row r="1710" spans="1:10" x14ac:dyDescent="0.3">
      <c r="C1710" s="9" t="s">
        <v>12</v>
      </c>
      <c r="D1710" s="10">
        <v>45834</v>
      </c>
      <c r="E1710" t="s">
        <v>886</v>
      </c>
      <c r="F1710" s="11" t="s">
        <v>14</v>
      </c>
      <c r="G1710" s="8">
        <v>0</v>
      </c>
      <c r="H1710" s="8">
        <v>508.2</v>
      </c>
      <c r="I1710" s="8">
        <f t="shared" si="65"/>
        <v>1823.2</v>
      </c>
      <c r="J1710" s="12">
        <v>572000007</v>
      </c>
    </row>
    <row r="1711" spans="1:10" x14ac:dyDescent="0.3">
      <c r="C1711" s="9"/>
      <c r="D1711" s="10">
        <v>45849</v>
      </c>
      <c r="E1711" t="s">
        <v>1538</v>
      </c>
      <c r="F1711" s="11" t="s">
        <v>1539</v>
      </c>
      <c r="G1711" s="8">
        <v>810.7</v>
      </c>
      <c r="H1711" s="8">
        <v>0</v>
      </c>
      <c r="I1711" s="8">
        <f t="shared" si="65"/>
        <v>2633.9</v>
      </c>
      <c r="J1711" s="12"/>
    </row>
    <row r="1712" spans="1:10" x14ac:dyDescent="0.3">
      <c r="C1712" s="9"/>
      <c r="D1712" s="10">
        <v>45866</v>
      </c>
      <c r="E1712" t="s">
        <v>886</v>
      </c>
      <c r="F1712" s="11" t="s">
        <v>14</v>
      </c>
      <c r="G1712" s="8">
        <v>0</v>
      </c>
      <c r="H1712" s="8">
        <v>1823.22</v>
      </c>
      <c r="I1712" s="8">
        <f t="shared" si="65"/>
        <v>810.68000000000006</v>
      </c>
      <c r="J1712" s="12">
        <v>572000007</v>
      </c>
    </row>
    <row r="1713" spans="1:10" x14ac:dyDescent="0.3">
      <c r="C1713" s="9"/>
      <c r="D1713" s="10">
        <v>45895</v>
      </c>
      <c r="E1713" t="s">
        <v>1540</v>
      </c>
      <c r="F1713" s="11" t="s">
        <v>1541</v>
      </c>
      <c r="G1713" s="8">
        <v>426.3</v>
      </c>
      <c r="H1713" s="8">
        <v>0</v>
      </c>
      <c r="I1713" s="8">
        <f t="shared" si="65"/>
        <v>1236.98</v>
      </c>
      <c r="J1713" s="12"/>
    </row>
    <row r="1714" spans="1:10" x14ac:dyDescent="0.3">
      <c r="C1714" s="9"/>
      <c r="D1714" s="10">
        <v>45900</v>
      </c>
      <c r="E1714" t="s">
        <v>1542</v>
      </c>
      <c r="F1714" s="11" t="s">
        <v>1543</v>
      </c>
      <c r="G1714" s="8">
        <v>190.88</v>
      </c>
      <c r="H1714" s="8">
        <v>0</v>
      </c>
      <c r="I1714" s="8">
        <f t="shared" si="65"/>
        <v>1427.8600000000001</v>
      </c>
      <c r="J1714" s="12"/>
    </row>
    <row r="1715" spans="1:10" x14ac:dyDescent="0.3">
      <c r="C1715" s="9"/>
      <c r="D1715" s="10">
        <v>45919</v>
      </c>
      <c r="E1715" t="s">
        <v>1544</v>
      </c>
      <c r="F1715" s="11" t="s">
        <v>1545</v>
      </c>
      <c r="G1715" s="8">
        <v>461.05</v>
      </c>
      <c r="H1715" s="8">
        <v>0</v>
      </c>
      <c r="I1715" s="8">
        <f t="shared" si="65"/>
        <v>1888.91</v>
      </c>
      <c r="J1715" s="12"/>
    </row>
    <row r="1716" spans="1:10" x14ac:dyDescent="0.3">
      <c r="C1716" s="9"/>
      <c r="D1716" s="10">
        <v>45919</v>
      </c>
      <c r="E1716" t="s">
        <v>1546</v>
      </c>
      <c r="F1716" s="11" t="s">
        <v>1547</v>
      </c>
      <c r="G1716" s="8">
        <v>102.85</v>
      </c>
      <c r="H1716" s="8">
        <v>0</v>
      </c>
      <c r="I1716" s="8">
        <f t="shared" si="65"/>
        <v>1991.76</v>
      </c>
      <c r="J1716" s="12"/>
    </row>
    <row r="1717" spans="1:10" x14ac:dyDescent="0.3">
      <c r="C1717" s="9"/>
      <c r="D1717" s="10">
        <v>45925</v>
      </c>
      <c r="E1717" t="s">
        <v>886</v>
      </c>
      <c r="F1717" s="11" t="s">
        <v>14</v>
      </c>
      <c r="G1717" s="8">
        <v>0</v>
      </c>
      <c r="H1717" s="8">
        <v>810.7</v>
      </c>
      <c r="I1717" s="8">
        <f t="shared" si="65"/>
        <v>1181.06</v>
      </c>
      <c r="J1717" s="12">
        <v>572000007</v>
      </c>
    </row>
    <row r="1718" spans="1:10" x14ac:dyDescent="0.3">
      <c r="E1718" s="4" t="s">
        <v>116</v>
      </c>
      <c r="G1718" s="8">
        <f>SUM(G1704:G1717)</f>
        <v>4680.130000000001</v>
      </c>
      <c r="H1718" s="8">
        <f>SUM(H1704:H1717)</f>
        <v>3499.0699999999997</v>
      </c>
      <c r="I1718" s="8">
        <f>G1718-H1718</f>
        <v>1181.0600000000013</v>
      </c>
    </row>
    <row r="1720" spans="1:10" x14ac:dyDescent="0.3">
      <c r="A1720" s="5">
        <v>430000288</v>
      </c>
      <c r="B1720" s="6" t="s">
        <v>1548</v>
      </c>
      <c r="C1720" s="7"/>
      <c r="D1720" s="7"/>
      <c r="E1720" s="7"/>
      <c r="F1720" s="7"/>
      <c r="G1720" s="7"/>
      <c r="H1720" s="7"/>
      <c r="I1720" s="7"/>
      <c r="J1720" s="7"/>
    </row>
    <row r="1721" spans="1:10" x14ac:dyDescent="0.3">
      <c r="C1721" s="9"/>
      <c r="D1721" s="10">
        <v>45825</v>
      </c>
      <c r="E1721" t="s">
        <v>108</v>
      </c>
      <c r="F1721" s="11" t="s">
        <v>14</v>
      </c>
      <c r="G1721" s="8">
        <v>0</v>
      </c>
      <c r="H1721" s="8">
        <v>3000</v>
      </c>
      <c r="I1721" s="8">
        <f>G1721-H1721</f>
        <v>-3000</v>
      </c>
      <c r="J1721" s="12">
        <v>572000007</v>
      </c>
    </row>
    <row r="1722" spans="1:10" x14ac:dyDescent="0.3">
      <c r="E1722" s="4" t="s">
        <v>116</v>
      </c>
      <c r="G1722" s="8">
        <f>G1721</f>
        <v>0</v>
      </c>
      <c r="H1722" s="8">
        <f>H1721</f>
        <v>3000</v>
      </c>
      <c r="I1722" s="8">
        <f>G1722-H1722</f>
        <v>-3000</v>
      </c>
    </row>
    <row r="1724" spans="1:10" x14ac:dyDescent="0.3">
      <c r="A1724" s="5">
        <v>430000303</v>
      </c>
      <c r="B1724" s="6" t="s">
        <v>1549</v>
      </c>
      <c r="C1724" s="7"/>
      <c r="D1724" s="7"/>
      <c r="E1724" s="7"/>
      <c r="F1724" s="7"/>
      <c r="G1724" s="7"/>
      <c r="H1724" s="7"/>
      <c r="I1724" s="7"/>
      <c r="J1724" s="7"/>
    </row>
    <row r="1725" spans="1:10" x14ac:dyDescent="0.3">
      <c r="C1725" s="9" t="s">
        <v>12</v>
      </c>
      <c r="D1725" s="10">
        <v>45674</v>
      </c>
      <c r="E1725" t="s">
        <v>1550</v>
      </c>
      <c r="F1725" s="11" t="s">
        <v>1551</v>
      </c>
      <c r="G1725" s="8">
        <v>3630</v>
      </c>
      <c r="H1725" s="8">
        <v>0</v>
      </c>
      <c r="I1725" s="8">
        <f>G1725-H1725</f>
        <v>3630</v>
      </c>
      <c r="J1725" s="12"/>
    </row>
    <row r="1726" spans="1:10" x14ac:dyDescent="0.3">
      <c r="C1726" s="9" t="s">
        <v>12</v>
      </c>
      <c r="D1726" s="10">
        <v>45701</v>
      </c>
      <c r="E1726" t="s">
        <v>886</v>
      </c>
      <c r="F1726" s="11" t="s">
        <v>14</v>
      </c>
      <c r="G1726" s="8">
        <v>0</v>
      </c>
      <c r="H1726" s="8">
        <v>3630</v>
      </c>
      <c r="I1726" s="8">
        <f t="shared" ref="I1726:I1731" si="66">G1726-H1726+I1725</f>
        <v>0</v>
      </c>
      <c r="J1726" s="12"/>
    </row>
    <row r="1727" spans="1:10" x14ac:dyDescent="0.3">
      <c r="C1727" s="9" t="s">
        <v>12</v>
      </c>
      <c r="D1727" s="10">
        <v>45737</v>
      </c>
      <c r="E1727" t="s">
        <v>1552</v>
      </c>
      <c r="F1727" s="11" t="s">
        <v>1553</v>
      </c>
      <c r="G1727" s="8">
        <v>9457.67</v>
      </c>
      <c r="H1727" s="8">
        <v>0</v>
      </c>
      <c r="I1727" s="8">
        <f t="shared" si="66"/>
        <v>9457.67</v>
      </c>
      <c r="J1727" s="12"/>
    </row>
    <row r="1728" spans="1:10" x14ac:dyDescent="0.3">
      <c r="C1728" s="9" t="s">
        <v>12</v>
      </c>
      <c r="D1728" s="10">
        <v>45770</v>
      </c>
      <c r="E1728" t="s">
        <v>305</v>
      </c>
      <c r="F1728" s="11" t="s">
        <v>14</v>
      </c>
      <c r="G1728" s="8">
        <v>0</v>
      </c>
      <c r="H1728" s="8">
        <v>9457.67</v>
      </c>
      <c r="I1728" s="8">
        <f t="shared" si="66"/>
        <v>0</v>
      </c>
      <c r="J1728" s="12">
        <v>572000007</v>
      </c>
    </row>
    <row r="1729" spans="1:10" x14ac:dyDescent="0.3">
      <c r="C1729" s="9" t="s">
        <v>12</v>
      </c>
      <c r="D1729" s="10">
        <v>45804</v>
      </c>
      <c r="E1729" t="s">
        <v>1554</v>
      </c>
      <c r="F1729" s="11" t="s">
        <v>1555</v>
      </c>
      <c r="G1729" s="8">
        <v>6544.04</v>
      </c>
      <c r="H1729" s="8">
        <v>0</v>
      </c>
      <c r="I1729" s="8">
        <f t="shared" si="66"/>
        <v>6544.04</v>
      </c>
      <c r="J1729" s="12"/>
    </row>
    <row r="1730" spans="1:10" x14ac:dyDescent="0.3">
      <c r="C1730" s="9" t="s">
        <v>12</v>
      </c>
      <c r="D1730" s="10">
        <v>45804</v>
      </c>
      <c r="E1730" t="s">
        <v>886</v>
      </c>
      <c r="F1730" s="11" t="s">
        <v>14</v>
      </c>
      <c r="G1730" s="8">
        <v>0</v>
      </c>
      <c r="H1730" s="8">
        <v>6544.04</v>
      </c>
      <c r="I1730" s="8">
        <f t="shared" si="66"/>
        <v>0</v>
      </c>
      <c r="J1730" s="12">
        <v>572000007</v>
      </c>
    </row>
    <row r="1731" spans="1:10" x14ac:dyDescent="0.3">
      <c r="C1731" s="9"/>
      <c r="D1731" s="10">
        <v>45859</v>
      </c>
      <c r="E1731" t="s">
        <v>1556</v>
      </c>
      <c r="F1731" s="11" t="s">
        <v>1557</v>
      </c>
      <c r="G1731" s="8">
        <v>6543.98</v>
      </c>
      <c r="H1731" s="8">
        <v>0</v>
      </c>
      <c r="I1731" s="8">
        <f t="shared" si="66"/>
        <v>6543.98</v>
      </c>
      <c r="J1731" s="12"/>
    </row>
    <row r="1732" spans="1:10" x14ac:dyDescent="0.3">
      <c r="E1732" s="4" t="s">
        <v>116</v>
      </c>
      <c r="G1732" s="8">
        <f>SUM(G1725:G1731)</f>
        <v>26175.69</v>
      </c>
      <c r="H1732" s="8">
        <f>SUM(H1725:H1731)</f>
        <v>19631.71</v>
      </c>
      <c r="I1732" s="8">
        <f>G1732-H1732</f>
        <v>6543.98</v>
      </c>
    </row>
    <row r="1734" spans="1:10" x14ac:dyDescent="0.3">
      <c r="A1734" s="5">
        <v>430000305</v>
      </c>
      <c r="B1734" s="6" t="s">
        <v>1558</v>
      </c>
      <c r="C1734" s="7"/>
      <c r="D1734" s="7"/>
      <c r="E1734" s="7"/>
      <c r="F1734" s="7"/>
      <c r="G1734" s="7"/>
      <c r="H1734" s="7"/>
      <c r="I1734" s="7"/>
      <c r="J1734" s="7"/>
    </row>
    <row r="1735" spans="1:10" x14ac:dyDescent="0.3">
      <c r="C1735" s="9" t="s">
        <v>12</v>
      </c>
      <c r="D1735" s="10">
        <v>45664</v>
      </c>
      <c r="E1735" t="s">
        <v>1559</v>
      </c>
      <c r="F1735" s="11" t="s">
        <v>1560</v>
      </c>
      <c r="G1735" s="8">
        <v>139.15</v>
      </c>
      <c r="H1735" s="8">
        <v>0</v>
      </c>
      <c r="I1735" s="8">
        <f>G1735-H1735</f>
        <v>139.15</v>
      </c>
      <c r="J1735" s="12"/>
    </row>
    <row r="1736" spans="1:10" x14ac:dyDescent="0.3">
      <c r="C1736" s="9" t="s">
        <v>12</v>
      </c>
      <c r="D1736" s="10">
        <v>45667</v>
      </c>
      <c r="E1736" t="s">
        <v>1561</v>
      </c>
      <c r="F1736" s="11" t="s">
        <v>1562</v>
      </c>
      <c r="G1736" s="8">
        <v>159.12</v>
      </c>
      <c r="H1736" s="8">
        <v>0</v>
      </c>
      <c r="I1736" s="8">
        <f t="shared" ref="I1736:I1755" si="67">G1736-H1736+I1735</f>
        <v>298.27</v>
      </c>
      <c r="J1736" s="12"/>
    </row>
    <row r="1737" spans="1:10" x14ac:dyDescent="0.3">
      <c r="C1737" s="9" t="s">
        <v>12</v>
      </c>
      <c r="D1737" s="10">
        <v>45708</v>
      </c>
      <c r="E1737" t="s">
        <v>1563</v>
      </c>
      <c r="F1737" s="11" t="s">
        <v>1564</v>
      </c>
      <c r="G1737" s="8">
        <v>139.15</v>
      </c>
      <c r="H1737" s="8">
        <v>0</v>
      </c>
      <c r="I1737" s="8">
        <f t="shared" si="67"/>
        <v>437.41999999999996</v>
      </c>
      <c r="J1737" s="12"/>
    </row>
    <row r="1738" spans="1:10" x14ac:dyDescent="0.3">
      <c r="C1738" s="9" t="s">
        <v>12</v>
      </c>
      <c r="D1738" s="10">
        <v>45722</v>
      </c>
      <c r="E1738" t="s">
        <v>1565</v>
      </c>
      <c r="F1738" s="11" t="s">
        <v>1566</v>
      </c>
      <c r="G1738" s="8">
        <v>139.15</v>
      </c>
      <c r="H1738" s="8">
        <v>0</v>
      </c>
      <c r="I1738" s="8">
        <f t="shared" si="67"/>
        <v>576.56999999999994</v>
      </c>
      <c r="J1738" s="12"/>
    </row>
    <row r="1739" spans="1:10" x14ac:dyDescent="0.3">
      <c r="C1739" s="9" t="s">
        <v>12</v>
      </c>
      <c r="D1739" s="10">
        <v>45722</v>
      </c>
      <c r="E1739" t="s">
        <v>1567</v>
      </c>
      <c r="F1739" s="11" t="s">
        <v>394</v>
      </c>
      <c r="G1739" s="8">
        <v>-139.15</v>
      </c>
      <c r="H1739" s="8">
        <v>0</v>
      </c>
      <c r="I1739" s="8">
        <f t="shared" si="67"/>
        <v>437.41999999999996</v>
      </c>
      <c r="J1739" s="12"/>
    </row>
    <row r="1740" spans="1:10" x14ac:dyDescent="0.3">
      <c r="C1740" s="9" t="s">
        <v>12</v>
      </c>
      <c r="D1740" s="10">
        <v>45722</v>
      </c>
      <c r="E1740" t="s">
        <v>1568</v>
      </c>
      <c r="F1740" s="11" t="s">
        <v>1569</v>
      </c>
      <c r="G1740" s="8">
        <v>139.15</v>
      </c>
      <c r="H1740" s="8">
        <v>0</v>
      </c>
      <c r="I1740" s="8">
        <f t="shared" si="67"/>
        <v>576.56999999999994</v>
      </c>
      <c r="J1740" s="12"/>
    </row>
    <row r="1741" spans="1:10" x14ac:dyDescent="0.3">
      <c r="C1741" s="9" t="s">
        <v>12</v>
      </c>
      <c r="D1741" s="10">
        <v>45727</v>
      </c>
      <c r="E1741" t="s">
        <v>1570</v>
      </c>
      <c r="F1741" s="11" t="s">
        <v>400</v>
      </c>
      <c r="G1741" s="8">
        <v>-139.15</v>
      </c>
      <c r="H1741" s="8">
        <v>0</v>
      </c>
      <c r="I1741" s="8">
        <f t="shared" si="67"/>
        <v>437.41999999999996</v>
      </c>
      <c r="J1741" s="12"/>
    </row>
    <row r="1742" spans="1:10" x14ac:dyDescent="0.3">
      <c r="C1742" s="9" t="s">
        <v>12</v>
      </c>
      <c r="D1742" s="10">
        <v>45747</v>
      </c>
      <c r="E1742" t="s">
        <v>108</v>
      </c>
      <c r="F1742" s="11" t="s">
        <v>14</v>
      </c>
      <c r="G1742" s="8">
        <v>0</v>
      </c>
      <c r="H1742" s="8">
        <v>159.12</v>
      </c>
      <c r="I1742" s="8">
        <f t="shared" si="67"/>
        <v>278.29999999999995</v>
      </c>
      <c r="J1742" s="12">
        <v>572000009</v>
      </c>
    </row>
    <row r="1743" spans="1:10" x14ac:dyDescent="0.3">
      <c r="C1743" s="9" t="s">
        <v>12</v>
      </c>
      <c r="D1743" s="10">
        <v>45747</v>
      </c>
      <c r="E1743" t="s">
        <v>108</v>
      </c>
      <c r="F1743" s="11" t="s">
        <v>14</v>
      </c>
      <c r="G1743" s="8">
        <v>0</v>
      </c>
      <c r="H1743" s="8">
        <v>139.15</v>
      </c>
      <c r="I1743" s="8">
        <f t="shared" si="67"/>
        <v>139.14999999999995</v>
      </c>
      <c r="J1743" s="12">
        <v>572000009</v>
      </c>
    </row>
    <row r="1744" spans="1:10" x14ac:dyDescent="0.3">
      <c r="C1744" s="9" t="s">
        <v>12</v>
      </c>
      <c r="D1744" s="10">
        <v>45776</v>
      </c>
      <c r="E1744" t="s">
        <v>1571</v>
      </c>
      <c r="F1744" s="11" t="s">
        <v>1572</v>
      </c>
      <c r="G1744" s="8">
        <v>133.1</v>
      </c>
      <c r="H1744" s="8">
        <v>0</v>
      </c>
      <c r="I1744" s="8">
        <f t="shared" si="67"/>
        <v>272.24999999999994</v>
      </c>
      <c r="J1744" s="12"/>
    </row>
    <row r="1745" spans="1:10" x14ac:dyDescent="0.3">
      <c r="C1745" s="9" t="s">
        <v>12</v>
      </c>
      <c r="D1745" s="10">
        <v>45779</v>
      </c>
      <c r="E1745" t="s">
        <v>108</v>
      </c>
      <c r="F1745" s="11" t="s">
        <v>14</v>
      </c>
      <c r="G1745" s="8">
        <v>0</v>
      </c>
      <c r="H1745" s="8">
        <v>139.15</v>
      </c>
      <c r="I1745" s="8">
        <f t="shared" si="67"/>
        <v>133.09999999999994</v>
      </c>
      <c r="J1745" s="12">
        <v>572000009</v>
      </c>
    </row>
    <row r="1746" spans="1:10" x14ac:dyDescent="0.3">
      <c r="C1746" s="9" t="s">
        <v>12</v>
      </c>
      <c r="D1746" s="10">
        <v>45783</v>
      </c>
      <c r="E1746" t="s">
        <v>1573</v>
      </c>
      <c r="F1746" s="11" t="s">
        <v>1574</v>
      </c>
      <c r="G1746" s="8">
        <v>133.1</v>
      </c>
      <c r="H1746" s="8">
        <v>0</v>
      </c>
      <c r="I1746" s="8">
        <f t="shared" si="67"/>
        <v>266.19999999999993</v>
      </c>
      <c r="J1746" s="12"/>
    </row>
    <row r="1747" spans="1:10" x14ac:dyDescent="0.3">
      <c r="C1747" s="9" t="s">
        <v>12</v>
      </c>
      <c r="D1747" s="10">
        <v>45791</v>
      </c>
      <c r="E1747" t="s">
        <v>1575</v>
      </c>
      <c r="F1747" s="11" t="s">
        <v>1576</v>
      </c>
      <c r="G1747" s="8">
        <v>-133.1</v>
      </c>
      <c r="H1747" s="8">
        <v>0</v>
      </c>
      <c r="I1747" s="8">
        <f t="shared" si="67"/>
        <v>133.09999999999994</v>
      </c>
      <c r="J1747" s="12"/>
    </row>
    <row r="1748" spans="1:10" x14ac:dyDescent="0.3">
      <c r="C1748" s="9" t="s">
        <v>12</v>
      </c>
      <c r="D1748" s="10">
        <v>45791</v>
      </c>
      <c r="E1748" t="s">
        <v>1577</v>
      </c>
      <c r="F1748" s="11" t="s">
        <v>1578</v>
      </c>
      <c r="G1748" s="8">
        <v>-133.1</v>
      </c>
      <c r="H1748" s="8">
        <v>0</v>
      </c>
      <c r="I1748" s="8">
        <f t="shared" si="67"/>
        <v>0</v>
      </c>
      <c r="J1748" s="12"/>
    </row>
    <row r="1749" spans="1:10" x14ac:dyDescent="0.3">
      <c r="C1749" s="9"/>
      <c r="D1749" s="10">
        <v>45859</v>
      </c>
      <c r="E1749" t="s">
        <v>1579</v>
      </c>
      <c r="F1749" s="11" t="s">
        <v>1580</v>
      </c>
      <c r="G1749" s="8">
        <v>193.6</v>
      </c>
      <c r="H1749" s="8">
        <v>0</v>
      </c>
      <c r="I1749" s="8">
        <f t="shared" si="67"/>
        <v>193.6</v>
      </c>
      <c r="J1749" s="12"/>
    </row>
    <row r="1750" spans="1:10" x14ac:dyDescent="0.3">
      <c r="C1750" s="9"/>
      <c r="D1750" s="10">
        <v>45870</v>
      </c>
      <c r="F1750" s="11" t="s">
        <v>14</v>
      </c>
      <c r="G1750" s="8">
        <v>0</v>
      </c>
      <c r="H1750" s="8">
        <v>193.6</v>
      </c>
      <c r="I1750" s="8">
        <f t="shared" si="67"/>
        <v>0</v>
      </c>
      <c r="J1750" s="12">
        <v>572000007</v>
      </c>
    </row>
    <row r="1751" spans="1:10" x14ac:dyDescent="0.3">
      <c r="C1751" s="9"/>
      <c r="D1751" s="10">
        <v>45880</v>
      </c>
      <c r="E1751" t="s">
        <v>1581</v>
      </c>
      <c r="F1751" s="11" t="s">
        <v>1582</v>
      </c>
      <c r="G1751" s="8">
        <v>426.3</v>
      </c>
      <c r="H1751" s="8">
        <v>0</v>
      </c>
      <c r="I1751" s="8">
        <f t="shared" si="67"/>
        <v>426.3</v>
      </c>
      <c r="J1751" s="12"/>
    </row>
    <row r="1752" spans="1:10" x14ac:dyDescent="0.3">
      <c r="C1752" s="9"/>
      <c r="D1752" s="10">
        <v>45882</v>
      </c>
      <c r="E1752" t="s">
        <v>1583</v>
      </c>
      <c r="F1752" s="11" t="s">
        <v>1584</v>
      </c>
      <c r="G1752" s="8">
        <v>291.89</v>
      </c>
      <c r="H1752" s="8">
        <v>0</v>
      </c>
      <c r="I1752" s="8">
        <f t="shared" si="67"/>
        <v>718.19</v>
      </c>
      <c r="J1752" s="12"/>
    </row>
    <row r="1753" spans="1:10" x14ac:dyDescent="0.3">
      <c r="C1753" s="9"/>
      <c r="D1753" s="10">
        <v>45883</v>
      </c>
      <c r="E1753" t="s">
        <v>1585</v>
      </c>
      <c r="F1753" s="11" t="s">
        <v>1586</v>
      </c>
      <c r="G1753" s="8">
        <v>-426.3</v>
      </c>
      <c r="H1753" s="8">
        <v>0</v>
      </c>
      <c r="I1753" s="8">
        <f t="shared" si="67"/>
        <v>291.89000000000004</v>
      </c>
      <c r="J1753" s="12"/>
    </row>
    <row r="1754" spans="1:10" x14ac:dyDescent="0.3">
      <c r="C1754" s="9"/>
      <c r="D1754" s="10">
        <v>45890</v>
      </c>
      <c r="E1754" t="s">
        <v>1587</v>
      </c>
      <c r="F1754" s="11" t="s">
        <v>1588</v>
      </c>
      <c r="G1754" s="8">
        <v>426.3</v>
      </c>
      <c r="H1754" s="8">
        <v>0</v>
      </c>
      <c r="I1754" s="8">
        <f t="shared" si="67"/>
        <v>718.19</v>
      </c>
      <c r="J1754" s="12"/>
    </row>
    <row r="1755" spans="1:10" x14ac:dyDescent="0.3">
      <c r="C1755" s="9"/>
      <c r="D1755" s="10">
        <v>45912</v>
      </c>
      <c r="E1755" t="s">
        <v>1589</v>
      </c>
      <c r="F1755" s="11" t="s">
        <v>1590</v>
      </c>
      <c r="G1755" s="8">
        <v>222.36</v>
      </c>
      <c r="H1755" s="8">
        <v>0</v>
      </c>
      <c r="I1755" s="8">
        <f t="shared" si="67"/>
        <v>940.55000000000007</v>
      </c>
      <c r="J1755" s="12"/>
    </row>
    <row r="1756" spans="1:10" x14ac:dyDescent="0.3">
      <c r="E1756" s="4" t="s">
        <v>116</v>
      </c>
      <c r="G1756" s="8">
        <f>SUM(G1735:G1755)</f>
        <v>1571.5700000000002</v>
      </c>
      <c r="H1756" s="8">
        <f>SUM(H1735:H1755)</f>
        <v>631.02</v>
      </c>
      <c r="I1756" s="8">
        <f>G1756-H1756</f>
        <v>940.55000000000018</v>
      </c>
    </row>
    <row r="1758" spans="1:10" x14ac:dyDescent="0.3">
      <c r="A1758" s="5">
        <v>430000307</v>
      </c>
      <c r="B1758" s="6" t="s">
        <v>1591</v>
      </c>
      <c r="C1758" s="7"/>
      <c r="D1758" s="7"/>
      <c r="E1758" s="7"/>
      <c r="F1758" s="7"/>
      <c r="G1758" s="7"/>
      <c r="H1758" s="7"/>
      <c r="I1758" s="7"/>
      <c r="J1758" s="7"/>
    </row>
    <row r="1759" spans="1:10" x14ac:dyDescent="0.3">
      <c r="C1759" s="9" t="s">
        <v>12</v>
      </c>
      <c r="D1759" s="10">
        <v>45726</v>
      </c>
      <c r="E1759" t="s">
        <v>1592</v>
      </c>
      <c r="F1759" s="11" t="s">
        <v>1593</v>
      </c>
      <c r="G1759" s="8">
        <v>186.39</v>
      </c>
      <c r="H1759" s="8">
        <v>0</v>
      </c>
      <c r="I1759" s="8">
        <f>G1759-H1759</f>
        <v>186.39</v>
      </c>
      <c r="J1759" s="12"/>
    </row>
    <row r="1760" spans="1:10" x14ac:dyDescent="0.3">
      <c r="C1760" s="9" t="s">
        <v>12</v>
      </c>
      <c r="D1760" s="10">
        <v>45726</v>
      </c>
      <c r="E1760" t="s">
        <v>1059</v>
      </c>
      <c r="F1760" s="11" t="s">
        <v>14</v>
      </c>
      <c r="G1760" s="8">
        <v>0</v>
      </c>
      <c r="H1760" s="8">
        <v>186.39</v>
      </c>
      <c r="I1760" s="8">
        <f t="shared" ref="I1760:I1765" si="68">G1760-H1760+I1759</f>
        <v>0</v>
      </c>
      <c r="J1760" s="12"/>
    </row>
    <row r="1761" spans="1:10" x14ac:dyDescent="0.3">
      <c r="C1761" s="9" t="s">
        <v>12</v>
      </c>
      <c r="D1761" s="10">
        <v>45777</v>
      </c>
      <c r="E1761" t="s">
        <v>1594</v>
      </c>
      <c r="F1761" s="11" t="s">
        <v>1595</v>
      </c>
      <c r="G1761" s="8">
        <v>127.05</v>
      </c>
      <c r="H1761" s="8">
        <v>0</v>
      </c>
      <c r="I1761" s="8">
        <f t="shared" si="68"/>
        <v>127.05</v>
      </c>
      <c r="J1761" s="12"/>
    </row>
    <row r="1762" spans="1:10" x14ac:dyDescent="0.3">
      <c r="C1762" s="9" t="s">
        <v>12</v>
      </c>
      <c r="D1762" s="10">
        <v>45824</v>
      </c>
      <c r="E1762" t="s">
        <v>1059</v>
      </c>
      <c r="F1762" s="11" t="s">
        <v>14</v>
      </c>
      <c r="G1762" s="8">
        <v>0</v>
      </c>
      <c r="H1762" s="8">
        <v>127.05</v>
      </c>
      <c r="I1762" s="8">
        <f t="shared" si="68"/>
        <v>0</v>
      </c>
      <c r="J1762" s="12"/>
    </row>
    <row r="1763" spans="1:10" x14ac:dyDescent="0.3">
      <c r="C1763" s="9"/>
      <c r="D1763" s="10">
        <v>45833</v>
      </c>
      <c r="E1763" t="s">
        <v>1596</v>
      </c>
      <c r="F1763" s="11" t="s">
        <v>1597</v>
      </c>
      <c r="G1763" s="8">
        <v>193.67</v>
      </c>
      <c r="H1763" s="8">
        <v>0</v>
      </c>
      <c r="I1763" s="8">
        <f t="shared" si="68"/>
        <v>193.67</v>
      </c>
      <c r="J1763" s="12"/>
    </row>
    <row r="1764" spans="1:10" x14ac:dyDescent="0.3">
      <c r="C1764" s="9"/>
      <c r="D1764" s="10">
        <v>45887</v>
      </c>
      <c r="E1764" t="s">
        <v>1059</v>
      </c>
      <c r="F1764" s="11" t="s">
        <v>14</v>
      </c>
      <c r="G1764" s="8">
        <v>0</v>
      </c>
      <c r="H1764" s="8">
        <v>193.67</v>
      </c>
      <c r="I1764" s="8">
        <f t="shared" si="68"/>
        <v>0</v>
      </c>
      <c r="J1764" s="12"/>
    </row>
    <row r="1765" spans="1:10" x14ac:dyDescent="0.3">
      <c r="C1765" s="9"/>
      <c r="D1765" s="10">
        <v>45904</v>
      </c>
      <c r="E1765" t="s">
        <v>1598</v>
      </c>
      <c r="F1765" s="11" t="s">
        <v>1599</v>
      </c>
      <c r="G1765" s="8">
        <v>295.17</v>
      </c>
      <c r="H1765" s="8">
        <v>0</v>
      </c>
      <c r="I1765" s="8">
        <f t="shared" si="68"/>
        <v>295.17</v>
      </c>
      <c r="J1765" s="12"/>
    </row>
    <row r="1766" spans="1:10" x14ac:dyDescent="0.3">
      <c r="E1766" s="4" t="s">
        <v>116</v>
      </c>
      <c r="G1766" s="8">
        <f>SUM(G1759:G1765)</f>
        <v>802.28</v>
      </c>
      <c r="H1766" s="8">
        <f>SUM(H1759:H1765)</f>
        <v>507.11</v>
      </c>
      <c r="I1766" s="8">
        <f>G1766-H1766</f>
        <v>295.16999999999996</v>
      </c>
    </row>
    <row r="1768" spans="1:10" x14ac:dyDescent="0.3">
      <c r="A1768" s="5">
        <v>430000308</v>
      </c>
      <c r="B1768" s="6" t="s">
        <v>1600</v>
      </c>
      <c r="C1768" s="7"/>
      <c r="D1768" s="7"/>
      <c r="E1768" s="7"/>
      <c r="F1768" s="7"/>
      <c r="G1768" s="7"/>
      <c r="H1768" s="7"/>
      <c r="I1768" s="7"/>
      <c r="J1768" s="7"/>
    </row>
    <row r="1769" spans="1:10" x14ac:dyDescent="0.3">
      <c r="C1769" s="9" t="s">
        <v>12</v>
      </c>
      <c r="D1769" s="10">
        <v>45733</v>
      </c>
      <c r="E1769" t="s">
        <v>1601</v>
      </c>
      <c r="F1769" s="11" t="s">
        <v>1602</v>
      </c>
      <c r="G1769" s="8">
        <v>3633.63</v>
      </c>
      <c r="H1769" s="8">
        <v>0</v>
      </c>
      <c r="I1769" s="8">
        <f>G1769-H1769</f>
        <v>3633.63</v>
      </c>
      <c r="J1769" s="12"/>
    </row>
    <row r="1770" spans="1:10" x14ac:dyDescent="0.3">
      <c r="C1770" s="9" t="s">
        <v>12</v>
      </c>
      <c r="D1770" s="10">
        <v>45735</v>
      </c>
      <c r="E1770" t="s">
        <v>886</v>
      </c>
      <c r="F1770" s="11" t="s">
        <v>14</v>
      </c>
      <c r="G1770" s="8">
        <v>0</v>
      </c>
      <c r="H1770" s="8">
        <v>3633.63</v>
      </c>
      <c r="I1770" s="8">
        <f t="shared" ref="I1770:I1777" si="69">G1770-H1770+I1769</f>
        <v>0</v>
      </c>
      <c r="J1770" s="12">
        <v>572000007</v>
      </c>
    </row>
    <row r="1771" spans="1:10" x14ac:dyDescent="0.3">
      <c r="C1771" s="9" t="s">
        <v>12</v>
      </c>
      <c r="D1771" s="10">
        <v>45758</v>
      </c>
      <c r="E1771" t="s">
        <v>1603</v>
      </c>
      <c r="F1771" s="11" t="s">
        <v>1604</v>
      </c>
      <c r="G1771" s="8">
        <v>8093.69</v>
      </c>
      <c r="H1771" s="8">
        <v>0</v>
      </c>
      <c r="I1771" s="8">
        <f t="shared" si="69"/>
        <v>8093.69</v>
      </c>
      <c r="J1771" s="12"/>
    </row>
    <row r="1772" spans="1:10" x14ac:dyDescent="0.3">
      <c r="C1772" s="9" t="s">
        <v>12</v>
      </c>
      <c r="D1772" s="10">
        <v>45786</v>
      </c>
      <c r="E1772" t="s">
        <v>1605</v>
      </c>
      <c r="F1772" s="11" t="s">
        <v>14</v>
      </c>
      <c r="G1772" s="8">
        <v>0</v>
      </c>
      <c r="H1772" s="8">
        <v>8093.69</v>
      </c>
      <c r="I1772" s="8">
        <f t="shared" si="69"/>
        <v>0</v>
      </c>
      <c r="J1772" s="12">
        <v>572000007</v>
      </c>
    </row>
    <row r="1773" spans="1:10" x14ac:dyDescent="0.3">
      <c r="C1773" s="9" t="s">
        <v>12</v>
      </c>
      <c r="D1773" s="10">
        <v>45793</v>
      </c>
      <c r="E1773" t="s">
        <v>1606</v>
      </c>
      <c r="F1773" s="11" t="s">
        <v>1607</v>
      </c>
      <c r="G1773" s="8">
        <v>5311.9</v>
      </c>
      <c r="H1773" s="8">
        <v>0</v>
      </c>
      <c r="I1773" s="8">
        <f t="shared" si="69"/>
        <v>5311.9</v>
      </c>
      <c r="J1773" s="12"/>
    </row>
    <row r="1774" spans="1:10" x14ac:dyDescent="0.3">
      <c r="C1774" s="9" t="s">
        <v>12</v>
      </c>
      <c r="D1774" s="10">
        <v>45793</v>
      </c>
      <c r="E1774" t="s">
        <v>1608</v>
      </c>
      <c r="F1774" s="11" t="s">
        <v>1609</v>
      </c>
      <c r="G1774" s="8">
        <v>-5311.9</v>
      </c>
      <c r="H1774" s="8">
        <v>0</v>
      </c>
      <c r="I1774" s="8">
        <f t="shared" si="69"/>
        <v>0</v>
      </c>
      <c r="J1774" s="12"/>
    </row>
    <row r="1775" spans="1:10" x14ac:dyDescent="0.3">
      <c r="C1775" s="9"/>
      <c r="D1775" s="10">
        <v>45848</v>
      </c>
      <c r="E1775" t="s">
        <v>1610</v>
      </c>
      <c r="F1775" s="11" t="s">
        <v>1611</v>
      </c>
      <c r="G1775" s="8">
        <v>11761.2</v>
      </c>
      <c r="H1775" s="8">
        <v>0</v>
      </c>
      <c r="I1775" s="8">
        <f t="shared" si="69"/>
        <v>11761.2</v>
      </c>
      <c r="J1775" s="12"/>
    </row>
    <row r="1776" spans="1:10" x14ac:dyDescent="0.3">
      <c r="C1776" s="9"/>
      <c r="D1776" s="10">
        <v>45867</v>
      </c>
      <c r="E1776" t="s">
        <v>1612</v>
      </c>
      <c r="F1776" s="11" t="s">
        <v>1613</v>
      </c>
      <c r="G1776" s="8">
        <v>14512.74</v>
      </c>
      <c r="H1776" s="8">
        <v>0</v>
      </c>
      <c r="I1776" s="8">
        <f t="shared" si="69"/>
        <v>26273.940000000002</v>
      </c>
      <c r="J1776" s="12"/>
    </row>
    <row r="1777" spans="1:10" x14ac:dyDescent="0.3">
      <c r="C1777" s="9"/>
      <c r="D1777" s="10">
        <v>45869</v>
      </c>
      <c r="E1777" t="s">
        <v>1614</v>
      </c>
      <c r="F1777" s="11" t="s">
        <v>1615</v>
      </c>
      <c r="G1777" s="8">
        <v>6768.74</v>
      </c>
      <c r="H1777" s="8">
        <v>0</v>
      </c>
      <c r="I1777" s="8">
        <f t="shared" si="69"/>
        <v>33042.68</v>
      </c>
      <c r="J1777" s="12"/>
    </row>
    <row r="1778" spans="1:10" x14ac:dyDescent="0.3">
      <c r="E1778" s="4" t="s">
        <v>116</v>
      </c>
      <c r="G1778" s="8">
        <f>SUM(G1769:G1777)</f>
        <v>44770</v>
      </c>
      <c r="H1778" s="8">
        <f>SUM(H1769:H1777)</f>
        <v>11727.32</v>
      </c>
      <c r="I1778" s="8">
        <f>G1778-H1778</f>
        <v>33042.68</v>
      </c>
    </row>
    <row r="1780" spans="1:10" x14ac:dyDescent="0.3">
      <c r="A1780" s="5">
        <v>430000311</v>
      </c>
      <c r="B1780" s="6" t="s">
        <v>1616</v>
      </c>
      <c r="C1780" s="7"/>
      <c r="D1780" s="7"/>
      <c r="E1780" s="7"/>
      <c r="F1780" s="7"/>
      <c r="G1780" s="7"/>
      <c r="H1780" s="7"/>
      <c r="I1780" s="7"/>
      <c r="J1780" s="7"/>
    </row>
    <row r="1781" spans="1:10" x14ac:dyDescent="0.3">
      <c r="C1781" s="9" t="s">
        <v>12</v>
      </c>
      <c r="D1781" s="10">
        <v>45734</v>
      </c>
      <c r="E1781" t="s">
        <v>1617</v>
      </c>
      <c r="F1781" s="11" t="s">
        <v>1618</v>
      </c>
      <c r="G1781" s="8">
        <v>664.75</v>
      </c>
      <c r="H1781" s="8">
        <v>0</v>
      </c>
      <c r="I1781" s="8">
        <f>G1781-H1781</f>
        <v>664.75</v>
      </c>
      <c r="J1781" s="12"/>
    </row>
    <row r="1782" spans="1:10" x14ac:dyDescent="0.3">
      <c r="C1782" s="9" t="s">
        <v>12</v>
      </c>
      <c r="D1782" s="10">
        <v>45734</v>
      </c>
      <c r="E1782" t="s">
        <v>1619</v>
      </c>
      <c r="F1782" s="11" t="s">
        <v>1620</v>
      </c>
      <c r="G1782" s="8">
        <v>323.61</v>
      </c>
      <c r="H1782" s="8">
        <v>0</v>
      </c>
      <c r="I1782" s="8">
        <f t="shared" ref="I1782:I1792" si="70">G1782-H1782+I1781</f>
        <v>988.36</v>
      </c>
      <c r="J1782" s="12"/>
    </row>
    <row r="1783" spans="1:10" x14ac:dyDescent="0.3">
      <c r="C1783" s="9" t="s">
        <v>12</v>
      </c>
      <c r="D1783" s="10">
        <v>45734</v>
      </c>
      <c r="E1783" t="s">
        <v>1621</v>
      </c>
      <c r="F1783" s="11" t="s">
        <v>14</v>
      </c>
      <c r="G1783" s="8">
        <v>0</v>
      </c>
      <c r="H1783" s="8">
        <v>988.36</v>
      </c>
      <c r="I1783" s="8">
        <f t="shared" si="70"/>
        <v>0</v>
      </c>
      <c r="J1783" s="12">
        <v>572000007</v>
      </c>
    </row>
    <row r="1784" spans="1:10" x14ac:dyDescent="0.3">
      <c r="C1784" s="9" t="s">
        <v>12</v>
      </c>
      <c r="D1784" s="10">
        <v>45793</v>
      </c>
      <c r="E1784" t="s">
        <v>1622</v>
      </c>
      <c r="F1784" s="11" t="s">
        <v>1623</v>
      </c>
      <c r="G1784" s="8">
        <v>133.1</v>
      </c>
      <c r="H1784" s="8">
        <v>0</v>
      </c>
      <c r="I1784" s="8">
        <f t="shared" si="70"/>
        <v>133.1</v>
      </c>
      <c r="J1784" s="12"/>
    </row>
    <row r="1785" spans="1:10" x14ac:dyDescent="0.3">
      <c r="C1785" s="9" t="s">
        <v>12</v>
      </c>
      <c r="D1785" s="10">
        <v>45797</v>
      </c>
      <c r="E1785" t="s">
        <v>1624</v>
      </c>
      <c r="F1785" s="11" t="s">
        <v>14</v>
      </c>
      <c r="G1785" s="8">
        <v>0</v>
      </c>
      <c r="H1785" s="8">
        <v>133.1</v>
      </c>
      <c r="I1785" s="8">
        <f t="shared" si="70"/>
        <v>0</v>
      </c>
      <c r="J1785" s="12">
        <v>572000007</v>
      </c>
    </row>
    <row r="1786" spans="1:10" x14ac:dyDescent="0.3">
      <c r="C1786" s="9"/>
      <c r="D1786" s="10">
        <v>45833</v>
      </c>
      <c r="E1786" t="s">
        <v>1625</v>
      </c>
      <c r="F1786" s="11" t="s">
        <v>1626</v>
      </c>
      <c r="G1786" s="8">
        <v>237.16</v>
      </c>
      <c r="H1786" s="8">
        <v>0</v>
      </c>
      <c r="I1786" s="8">
        <f t="shared" si="70"/>
        <v>237.16</v>
      </c>
      <c r="J1786" s="12"/>
    </row>
    <row r="1787" spans="1:10" x14ac:dyDescent="0.3">
      <c r="C1787" s="9"/>
      <c r="D1787" s="10">
        <v>45846</v>
      </c>
      <c r="E1787" t="s">
        <v>1624</v>
      </c>
      <c r="F1787" s="11" t="s">
        <v>14</v>
      </c>
      <c r="G1787" s="8">
        <v>0</v>
      </c>
      <c r="H1787" s="8">
        <v>236.16</v>
      </c>
      <c r="I1787" s="8">
        <f t="shared" si="70"/>
        <v>1</v>
      </c>
      <c r="J1787" s="12">
        <v>572000007</v>
      </c>
    </row>
    <row r="1788" spans="1:10" x14ac:dyDescent="0.3">
      <c r="C1788" s="9"/>
      <c r="D1788" s="10">
        <v>45848</v>
      </c>
      <c r="E1788" t="s">
        <v>1059</v>
      </c>
      <c r="F1788" s="11" t="s">
        <v>14</v>
      </c>
      <c r="G1788" s="8">
        <v>0</v>
      </c>
      <c r="H1788" s="8">
        <v>237.16</v>
      </c>
      <c r="I1788" s="8">
        <f t="shared" si="70"/>
        <v>-236.16</v>
      </c>
      <c r="J1788" s="12"/>
    </row>
    <row r="1789" spans="1:10" x14ac:dyDescent="0.3">
      <c r="C1789" s="9"/>
      <c r="D1789" s="10">
        <v>45848</v>
      </c>
      <c r="E1789" t="s">
        <v>1627</v>
      </c>
      <c r="F1789" s="11" t="s">
        <v>14</v>
      </c>
      <c r="G1789" s="8">
        <v>237.16</v>
      </c>
      <c r="H1789" s="8">
        <v>0</v>
      </c>
      <c r="I1789" s="8">
        <f t="shared" si="70"/>
        <v>1</v>
      </c>
      <c r="J1789" s="12">
        <v>572000007</v>
      </c>
    </row>
    <row r="1790" spans="1:10" x14ac:dyDescent="0.3">
      <c r="C1790" s="9"/>
      <c r="D1790" s="10">
        <v>45867</v>
      </c>
      <c r="E1790" t="s">
        <v>1628</v>
      </c>
      <c r="F1790" s="11" t="s">
        <v>1629</v>
      </c>
      <c r="G1790" s="8">
        <v>383.93</v>
      </c>
      <c r="H1790" s="8">
        <v>0</v>
      </c>
      <c r="I1790" s="8">
        <f t="shared" si="70"/>
        <v>384.93</v>
      </c>
      <c r="J1790" s="12"/>
    </row>
    <row r="1791" spans="1:10" x14ac:dyDescent="0.3">
      <c r="C1791" s="9"/>
      <c r="D1791" s="10">
        <v>45869</v>
      </c>
      <c r="E1791" t="s">
        <v>305</v>
      </c>
      <c r="F1791" s="11" t="s">
        <v>14</v>
      </c>
      <c r="G1791" s="8">
        <v>0</v>
      </c>
      <c r="H1791" s="8">
        <v>383.93</v>
      </c>
      <c r="I1791" s="8">
        <f t="shared" si="70"/>
        <v>1</v>
      </c>
      <c r="J1791" s="12">
        <v>572000007</v>
      </c>
    </row>
    <row r="1792" spans="1:10" x14ac:dyDescent="0.3">
      <c r="C1792" s="9"/>
      <c r="D1792" s="10">
        <v>45890</v>
      </c>
      <c r="E1792" t="s">
        <v>1630</v>
      </c>
      <c r="F1792" s="11" t="s">
        <v>1631</v>
      </c>
      <c r="G1792" s="8">
        <v>133.1</v>
      </c>
      <c r="H1792" s="8">
        <v>0</v>
      </c>
      <c r="I1792" s="8">
        <f t="shared" si="70"/>
        <v>134.1</v>
      </c>
      <c r="J1792" s="12"/>
    </row>
    <row r="1793" spans="1:10" x14ac:dyDescent="0.3">
      <c r="E1793" s="4" t="s">
        <v>116</v>
      </c>
      <c r="G1793" s="8">
        <f>SUM(G1781:G1792)</f>
        <v>2112.8100000000004</v>
      </c>
      <c r="H1793" s="8">
        <f>SUM(H1781:H1792)</f>
        <v>1978.7100000000003</v>
      </c>
      <c r="I1793" s="8">
        <f>G1793-H1793</f>
        <v>134.10000000000014</v>
      </c>
    </row>
    <row r="1795" spans="1:10" x14ac:dyDescent="0.3">
      <c r="A1795" s="5">
        <v>430000313</v>
      </c>
      <c r="B1795" s="6" t="s">
        <v>1632</v>
      </c>
      <c r="C1795" s="7"/>
      <c r="D1795" s="7"/>
      <c r="E1795" s="7"/>
      <c r="F1795" s="7"/>
      <c r="G1795" s="7"/>
      <c r="H1795" s="7"/>
      <c r="I1795" s="7"/>
      <c r="J1795" s="7"/>
    </row>
    <row r="1796" spans="1:10" x14ac:dyDescent="0.3">
      <c r="C1796" s="9" t="s">
        <v>12</v>
      </c>
      <c r="D1796" s="10">
        <v>45737</v>
      </c>
      <c r="E1796" t="s">
        <v>1633</v>
      </c>
      <c r="F1796" s="11" t="s">
        <v>1634</v>
      </c>
      <c r="G1796" s="8">
        <v>724.37</v>
      </c>
      <c r="H1796" s="8">
        <v>0</v>
      </c>
      <c r="I1796" s="8">
        <f>G1796-H1796</f>
        <v>724.37</v>
      </c>
      <c r="J1796" s="12"/>
    </row>
    <row r="1797" spans="1:10" x14ac:dyDescent="0.3">
      <c r="C1797" s="9" t="s">
        <v>12</v>
      </c>
      <c r="D1797" s="10">
        <v>45763</v>
      </c>
      <c r="E1797" t="s">
        <v>1635</v>
      </c>
      <c r="F1797" s="11" t="s">
        <v>1636</v>
      </c>
      <c r="G1797" s="8">
        <v>-724.37</v>
      </c>
      <c r="H1797" s="8">
        <v>0</v>
      </c>
      <c r="I1797" s="8">
        <f>G1797-H1797+I1796</f>
        <v>0</v>
      </c>
      <c r="J1797" s="12"/>
    </row>
    <row r="1798" spans="1:10" x14ac:dyDescent="0.3">
      <c r="C1798" s="9" t="s">
        <v>12</v>
      </c>
      <c r="D1798" s="10">
        <v>45763</v>
      </c>
      <c r="E1798" t="s">
        <v>1637</v>
      </c>
      <c r="F1798" s="11" t="s">
        <v>1638</v>
      </c>
      <c r="G1798" s="8">
        <v>639.29999999999995</v>
      </c>
      <c r="H1798" s="8">
        <v>0</v>
      </c>
      <c r="I1798" s="8">
        <f>G1798-H1798+I1797</f>
        <v>639.29999999999995</v>
      </c>
      <c r="J1798" s="12"/>
    </row>
    <row r="1799" spans="1:10" x14ac:dyDescent="0.3">
      <c r="C1799" s="9" t="s">
        <v>12</v>
      </c>
      <c r="D1799" s="10">
        <v>45764</v>
      </c>
      <c r="E1799" t="s">
        <v>1639</v>
      </c>
      <c r="F1799" s="11" t="s">
        <v>14</v>
      </c>
      <c r="G1799" s="8">
        <v>0</v>
      </c>
      <c r="H1799" s="8">
        <v>639.29999999999995</v>
      </c>
      <c r="I1799" s="8">
        <f>G1799-H1799+I1798</f>
        <v>0</v>
      </c>
      <c r="J1799" s="12">
        <v>572000007</v>
      </c>
    </row>
    <row r="1800" spans="1:10" x14ac:dyDescent="0.3">
      <c r="C1800" s="9"/>
      <c r="D1800" s="10">
        <v>45903</v>
      </c>
      <c r="E1800" t="s">
        <v>1640</v>
      </c>
      <c r="F1800" s="11" t="s">
        <v>1641</v>
      </c>
      <c r="G1800" s="8">
        <v>165.64</v>
      </c>
      <c r="H1800" s="8">
        <v>0</v>
      </c>
      <c r="I1800" s="8">
        <f>G1800-H1800+I1799</f>
        <v>165.64</v>
      </c>
      <c r="J1800" s="12"/>
    </row>
    <row r="1801" spans="1:10" x14ac:dyDescent="0.3">
      <c r="E1801" s="4" t="s">
        <v>116</v>
      </c>
      <c r="G1801" s="8">
        <f>SUM(G1796:G1800)</f>
        <v>804.93999999999994</v>
      </c>
      <c r="H1801" s="8">
        <f>SUM(H1796:H1800)</f>
        <v>639.29999999999995</v>
      </c>
      <c r="I1801" s="8">
        <f>G1801-H1801</f>
        <v>165.64</v>
      </c>
    </row>
    <row r="1803" spans="1:10" x14ac:dyDescent="0.3">
      <c r="A1803" s="5">
        <v>430000316</v>
      </c>
      <c r="B1803" s="6" t="s">
        <v>1642</v>
      </c>
      <c r="C1803" s="7"/>
      <c r="D1803" s="7"/>
      <c r="E1803" s="7"/>
      <c r="F1803" s="7"/>
      <c r="G1803" s="7"/>
      <c r="H1803" s="7"/>
      <c r="I1803" s="7"/>
      <c r="J1803" s="7"/>
    </row>
    <row r="1804" spans="1:10" x14ac:dyDescent="0.3">
      <c r="C1804" s="9" t="s">
        <v>12</v>
      </c>
      <c r="D1804" s="10">
        <v>45786</v>
      </c>
      <c r="E1804" t="s">
        <v>1643</v>
      </c>
      <c r="F1804" s="11" t="s">
        <v>1644</v>
      </c>
      <c r="G1804" s="8">
        <v>2141.1</v>
      </c>
      <c r="H1804" s="8">
        <v>0</v>
      </c>
      <c r="I1804" s="8">
        <f>G1804-H1804</f>
        <v>2141.1</v>
      </c>
      <c r="J1804" s="12"/>
    </row>
    <row r="1805" spans="1:10" x14ac:dyDescent="0.3">
      <c r="C1805" s="9" t="s">
        <v>12</v>
      </c>
      <c r="D1805" s="10">
        <v>45791</v>
      </c>
      <c r="E1805" t="s">
        <v>1645</v>
      </c>
      <c r="F1805" s="11" t="s">
        <v>1646</v>
      </c>
      <c r="G1805" s="8">
        <v>2432.1</v>
      </c>
      <c r="H1805" s="8">
        <v>0</v>
      </c>
      <c r="I1805" s="8">
        <f t="shared" ref="I1805:I1819" si="71">G1805-H1805+I1804</f>
        <v>4573.2</v>
      </c>
      <c r="J1805" s="12"/>
    </row>
    <row r="1806" spans="1:10" x14ac:dyDescent="0.3">
      <c r="C1806" s="9" t="s">
        <v>12</v>
      </c>
      <c r="D1806" s="10">
        <v>45791</v>
      </c>
      <c r="E1806" t="s">
        <v>305</v>
      </c>
      <c r="F1806" s="11" t="s">
        <v>14</v>
      </c>
      <c r="G1806" s="8">
        <v>0</v>
      </c>
      <c r="H1806" s="8">
        <v>2141.1</v>
      </c>
      <c r="I1806" s="8">
        <f t="shared" si="71"/>
        <v>2432.1</v>
      </c>
      <c r="J1806" s="12">
        <v>572000007</v>
      </c>
    </row>
    <row r="1807" spans="1:10" x14ac:dyDescent="0.3">
      <c r="C1807" s="9" t="s">
        <v>12</v>
      </c>
      <c r="D1807" s="10">
        <v>45800</v>
      </c>
      <c r="E1807" t="s">
        <v>1647</v>
      </c>
      <c r="F1807" s="11" t="s">
        <v>1648</v>
      </c>
      <c r="G1807" s="8">
        <v>-2432.1</v>
      </c>
      <c r="H1807" s="8">
        <v>0</v>
      </c>
      <c r="I1807" s="8">
        <f t="shared" si="71"/>
        <v>0</v>
      </c>
      <c r="J1807" s="12"/>
    </row>
    <row r="1808" spans="1:10" x14ac:dyDescent="0.3">
      <c r="C1808" s="9"/>
      <c r="D1808" s="10">
        <v>45821</v>
      </c>
      <c r="E1808" t="s">
        <v>1649</v>
      </c>
      <c r="F1808" s="11" t="s">
        <v>1650</v>
      </c>
      <c r="G1808" s="8">
        <v>2141.09</v>
      </c>
      <c r="H1808" s="8">
        <v>0</v>
      </c>
      <c r="I1808" s="8">
        <f t="shared" si="71"/>
        <v>2141.09</v>
      </c>
      <c r="J1808" s="12"/>
    </row>
    <row r="1809" spans="1:10" x14ac:dyDescent="0.3">
      <c r="C1809" s="9"/>
      <c r="D1809" s="10">
        <v>45827</v>
      </c>
      <c r="E1809" t="s">
        <v>1651</v>
      </c>
      <c r="F1809" s="11" t="s">
        <v>1652</v>
      </c>
      <c r="G1809" s="8">
        <v>4624.63</v>
      </c>
      <c r="H1809" s="8">
        <v>0</v>
      </c>
      <c r="I1809" s="8">
        <f t="shared" si="71"/>
        <v>6765.72</v>
      </c>
      <c r="J1809" s="12"/>
    </row>
    <row r="1810" spans="1:10" x14ac:dyDescent="0.3">
      <c r="C1810" s="9"/>
      <c r="D1810" s="10">
        <v>45832</v>
      </c>
      <c r="E1810" t="s">
        <v>108</v>
      </c>
      <c r="F1810" s="11" t="s">
        <v>14</v>
      </c>
      <c r="G1810" s="8">
        <v>0</v>
      </c>
      <c r="H1810" s="8">
        <v>6765</v>
      </c>
      <c r="I1810" s="8">
        <f t="shared" si="71"/>
        <v>0.72000000000025466</v>
      </c>
      <c r="J1810" s="12">
        <v>572000007</v>
      </c>
    </row>
    <row r="1811" spans="1:10" x14ac:dyDescent="0.3">
      <c r="C1811" s="9"/>
      <c r="D1811" s="10">
        <v>45855</v>
      </c>
      <c r="E1811" t="s">
        <v>1653</v>
      </c>
      <c r="F1811" s="11" t="s">
        <v>1654</v>
      </c>
      <c r="G1811" s="8">
        <v>5862.45</v>
      </c>
      <c r="H1811" s="8">
        <v>0</v>
      </c>
      <c r="I1811" s="8">
        <f t="shared" si="71"/>
        <v>5863.17</v>
      </c>
      <c r="J1811" s="12"/>
    </row>
    <row r="1812" spans="1:10" x14ac:dyDescent="0.3">
      <c r="C1812" s="9"/>
      <c r="D1812" s="10">
        <v>45859</v>
      </c>
      <c r="E1812" t="s">
        <v>1655</v>
      </c>
      <c r="F1812" s="11" t="s">
        <v>1656</v>
      </c>
      <c r="G1812" s="8">
        <v>4624.63</v>
      </c>
      <c r="H1812" s="8">
        <v>0</v>
      </c>
      <c r="I1812" s="8">
        <f t="shared" si="71"/>
        <v>10487.8</v>
      </c>
      <c r="J1812" s="12"/>
    </row>
    <row r="1813" spans="1:10" x14ac:dyDescent="0.3">
      <c r="C1813" s="9"/>
      <c r="D1813" s="10">
        <v>45859</v>
      </c>
      <c r="E1813" t="s">
        <v>305</v>
      </c>
      <c r="F1813" s="11" t="s">
        <v>14</v>
      </c>
      <c r="G1813" s="8">
        <v>0</v>
      </c>
      <c r="H1813" s="8">
        <v>5862.45</v>
      </c>
      <c r="I1813" s="8">
        <f t="shared" si="71"/>
        <v>4625.3499999999995</v>
      </c>
      <c r="J1813" s="12">
        <v>572000007</v>
      </c>
    </row>
    <row r="1814" spans="1:10" x14ac:dyDescent="0.3">
      <c r="C1814" s="9"/>
      <c r="D1814" s="10">
        <v>45894</v>
      </c>
      <c r="E1814" t="s">
        <v>305</v>
      </c>
      <c r="F1814" s="11" t="s">
        <v>14</v>
      </c>
      <c r="G1814" s="8">
        <v>0</v>
      </c>
      <c r="H1814" s="8">
        <v>4624.63</v>
      </c>
      <c r="I1814" s="8">
        <f t="shared" si="71"/>
        <v>0.71999999999934516</v>
      </c>
      <c r="J1814" s="12">
        <v>572000007</v>
      </c>
    </row>
    <row r="1815" spans="1:10" x14ac:dyDescent="0.3">
      <c r="C1815" s="9"/>
      <c r="D1815" s="10">
        <v>45898</v>
      </c>
      <c r="E1815" t="s">
        <v>1657</v>
      </c>
      <c r="F1815" s="11" t="s">
        <v>1658</v>
      </c>
      <c r="G1815" s="8">
        <v>5862.45</v>
      </c>
      <c r="H1815" s="8">
        <v>0</v>
      </c>
      <c r="I1815" s="8">
        <f t="shared" si="71"/>
        <v>5863.1699999999992</v>
      </c>
      <c r="J1815" s="12"/>
    </row>
    <row r="1816" spans="1:10" x14ac:dyDescent="0.3">
      <c r="C1816" s="9"/>
      <c r="D1816" s="10">
        <v>45915</v>
      </c>
      <c r="E1816" t="s">
        <v>1659</v>
      </c>
      <c r="F1816" s="11" t="s">
        <v>1660</v>
      </c>
      <c r="G1816" s="8">
        <v>16679.849999999999</v>
      </c>
      <c r="H1816" s="8">
        <v>0</v>
      </c>
      <c r="I1816" s="8">
        <f t="shared" si="71"/>
        <v>22543.019999999997</v>
      </c>
      <c r="J1816" s="12"/>
    </row>
    <row r="1817" spans="1:10" x14ac:dyDescent="0.3">
      <c r="C1817" s="9"/>
      <c r="D1817" s="10">
        <v>45917</v>
      </c>
      <c r="E1817" t="s">
        <v>305</v>
      </c>
      <c r="F1817" s="11" t="s">
        <v>14</v>
      </c>
      <c r="G1817" s="8">
        <v>0</v>
      </c>
      <c r="H1817" s="8">
        <v>8339.92</v>
      </c>
      <c r="I1817" s="8">
        <f t="shared" si="71"/>
        <v>14203.099999999997</v>
      </c>
      <c r="J1817" s="12">
        <v>572000007</v>
      </c>
    </row>
    <row r="1818" spans="1:10" x14ac:dyDescent="0.3">
      <c r="C1818" s="9"/>
      <c r="D1818" s="10">
        <v>45918</v>
      </c>
      <c r="E1818" t="s">
        <v>305</v>
      </c>
      <c r="F1818" s="11" t="s">
        <v>14</v>
      </c>
      <c r="G1818" s="8">
        <v>0</v>
      </c>
      <c r="H1818" s="8">
        <v>8339.92</v>
      </c>
      <c r="I1818" s="8">
        <f t="shared" si="71"/>
        <v>5863.1799999999967</v>
      </c>
      <c r="J1818" s="12">
        <v>572000007</v>
      </c>
    </row>
    <row r="1819" spans="1:10" x14ac:dyDescent="0.3">
      <c r="C1819" s="9"/>
      <c r="D1819" s="10">
        <v>45926</v>
      </c>
      <c r="E1819" t="s">
        <v>1661</v>
      </c>
      <c r="F1819" s="11" t="s">
        <v>14</v>
      </c>
      <c r="G1819" s="8">
        <v>2657.64</v>
      </c>
      <c r="H1819" s="8">
        <v>0</v>
      </c>
      <c r="I1819" s="8">
        <f t="shared" si="71"/>
        <v>8520.8199999999961</v>
      </c>
      <c r="J1819" s="12">
        <v>572000007</v>
      </c>
    </row>
    <row r="1820" spans="1:10" x14ac:dyDescent="0.3">
      <c r="E1820" s="4" t="s">
        <v>116</v>
      </c>
      <c r="G1820" s="8">
        <f>SUM(G1804:G1819)</f>
        <v>44593.84</v>
      </c>
      <c r="H1820" s="8">
        <f>SUM(H1804:H1819)</f>
        <v>36073.019999999997</v>
      </c>
      <c r="I1820" s="8">
        <f>G1820-H1820</f>
        <v>8520.82</v>
      </c>
    </row>
    <row r="1822" spans="1:10" x14ac:dyDescent="0.3">
      <c r="A1822" s="5">
        <v>430000317</v>
      </c>
      <c r="B1822" s="6" t="s">
        <v>1662</v>
      </c>
      <c r="C1822" s="7"/>
      <c r="D1822" s="7"/>
      <c r="E1822" s="7"/>
      <c r="F1822" s="7"/>
      <c r="G1822" s="7"/>
      <c r="H1822" s="7"/>
      <c r="I1822" s="7"/>
      <c r="J1822" s="7"/>
    </row>
    <row r="1823" spans="1:10" x14ac:dyDescent="0.3">
      <c r="C1823" s="9" t="s">
        <v>12</v>
      </c>
      <c r="D1823" s="10">
        <v>45793</v>
      </c>
      <c r="E1823" t="s">
        <v>1663</v>
      </c>
      <c r="F1823" s="11" t="s">
        <v>1664</v>
      </c>
      <c r="G1823" s="8">
        <v>5311.9</v>
      </c>
      <c r="H1823" s="8">
        <v>0</v>
      </c>
      <c r="I1823" s="8">
        <f>G1823-H1823</f>
        <v>5311.9</v>
      </c>
      <c r="J1823" s="12"/>
    </row>
    <row r="1824" spans="1:10" x14ac:dyDescent="0.3">
      <c r="C1824" s="9" t="s">
        <v>12</v>
      </c>
      <c r="D1824" s="10">
        <v>45799</v>
      </c>
      <c r="E1824" t="s">
        <v>1605</v>
      </c>
      <c r="F1824" s="11" t="s">
        <v>14</v>
      </c>
      <c r="G1824" s="8">
        <v>0</v>
      </c>
      <c r="H1824" s="8">
        <v>5311.9</v>
      </c>
      <c r="I1824" s="8">
        <f>G1824-H1824+I1823</f>
        <v>0</v>
      </c>
      <c r="J1824" s="12">
        <v>572000007</v>
      </c>
    </row>
    <row r="1825" spans="1:10" x14ac:dyDescent="0.3">
      <c r="C1825" s="9"/>
      <c r="D1825" s="10">
        <v>45867</v>
      </c>
      <c r="E1825" t="s">
        <v>1605</v>
      </c>
      <c r="F1825" s="11" t="s">
        <v>14</v>
      </c>
      <c r="G1825" s="8">
        <v>0</v>
      </c>
      <c r="H1825" s="8">
        <v>11761.2</v>
      </c>
      <c r="I1825" s="8">
        <f>G1825-H1825+I1824</f>
        <v>-11761.2</v>
      </c>
      <c r="J1825" s="12">
        <v>572000007</v>
      </c>
    </row>
    <row r="1826" spans="1:10" x14ac:dyDescent="0.3">
      <c r="C1826" s="9"/>
      <c r="D1826" s="10">
        <v>45873</v>
      </c>
      <c r="E1826" t="s">
        <v>1605</v>
      </c>
      <c r="F1826" s="11" t="s">
        <v>14</v>
      </c>
      <c r="G1826" s="8">
        <v>0</v>
      </c>
      <c r="H1826" s="8">
        <v>14512.74</v>
      </c>
      <c r="I1826" s="8">
        <f>G1826-H1826+I1825</f>
        <v>-26273.940000000002</v>
      </c>
      <c r="J1826" s="12">
        <v>572000007</v>
      </c>
    </row>
    <row r="1827" spans="1:10" x14ac:dyDescent="0.3">
      <c r="C1827" s="9"/>
      <c r="D1827" s="10">
        <v>45882</v>
      </c>
      <c r="E1827" t="s">
        <v>1605</v>
      </c>
      <c r="F1827" s="11" t="s">
        <v>14</v>
      </c>
      <c r="G1827" s="8">
        <v>0</v>
      </c>
      <c r="H1827" s="8">
        <v>6768.74</v>
      </c>
      <c r="I1827" s="8">
        <f>G1827-H1827+I1826</f>
        <v>-33042.68</v>
      </c>
      <c r="J1827" s="12">
        <v>572000007</v>
      </c>
    </row>
    <row r="1828" spans="1:10" x14ac:dyDescent="0.3">
      <c r="E1828" s="4" t="s">
        <v>116</v>
      </c>
      <c r="G1828" s="8">
        <f>SUM(G1823:G1827)</f>
        <v>5311.9</v>
      </c>
      <c r="H1828" s="8">
        <f>SUM(H1823:H1827)</f>
        <v>38354.579999999994</v>
      </c>
      <c r="I1828" s="8">
        <f>G1828-H1828</f>
        <v>-33042.679999999993</v>
      </c>
    </row>
    <row r="1830" spans="1:10" x14ac:dyDescent="0.3">
      <c r="A1830" s="5">
        <v>430000327</v>
      </c>
      <c r="B1830" s="6" t="s">
        <v>1665</v>
      </c>
      <c r="C1830" s="7"/>
      <c r="D1830" s="7"/>
      <c r="E1830" s="7"/>
      <c r="F1830" s="7"/>
      <c r="G1830" s="7"/>
      <c r="H1830" s="7"/>
      <c r="I1830" s="7"/>
      <c r="J1830" s="7"/>
    </row>
    <row r="1831" spans="1:10" x14ac:dyDescent="0.3">
      <c r="C1831" s="9"/>
      <c r="D1831" s="10">
        <v>45838</v>
      </c>
      <c r="E1831" t="s">
        <v>1666</v>
      </c>
      <c r="F1831" s="11" t="s">
        <v>1667</v>
      </c>
      <c r="G1831" s="8">
        <v>9039.91</v>
      </c>
      <c r="H1831" s="8">
        <v>0</v>
      </c>
      <c r="I1831" s="8">
        <f>G1831-H1831</f>
        <v>9039.91</v>
      </c>
      <c r="J1831" s="12"/>
    </row>
    <row r="1832" spans="1:10" x14ac:dyDescent="0.3">
      <c r="C1832" s="9"/>
      <c r="D1832" s="10">
        <v>45845</v>
      </c>
      <c r="E1832" t="s">
        <v>108</v>
      </c>
      <c r="F1832" s="11" t="s">
        <v>14</v>
      </c>
      <c r="G1832" s="8">
        <v>0</v>
      </c>
      <c r="H1832" s="8">
        <v>4519.95</v>
      </c>
      <c r="I1832" s="8">
        <f>G1832-H1832+I1831</f>
        <v>4519.96</v>
      </c>
      <c r="J1832" s="12">
        <v>572000007</v>
      </c>
    </row>
    <row r="1833" spans="1:10" x14ac:dyDescent="0.3">
      <c r="C1833" s="9"/>
      <c r="D1833" s="10">
        <v>45917</v>
      </c>
      <c r="E1833" t="s">
        <v>1668</v>
      </c>
      <c r="F1833" s="11" t="s">
        <v>1669</v>
      </c>
      <c r="G1833" s="8">
        <v>-9039.91</v>
      </c>
      <c r="H1833" s="8">
        <v>0</v>
      </c>
      <c r="I1833" s="8">
        <f>G1833-H1833+I1832</f>
        <v>-4519.95</v>
      </c>
      <c r="J1833" s="12"/>
    </row>
    <row r="1834" spans="1:10" x14ac:dyDescent="0.3">
      <c r="C1834" s="9"/>
      <c r="D1834" s="10">
        <v>45917</v>
      </c>
      <c r="E1834" t="s">
        <v>1670</v>
      </c>
      <c r="F1834" s="11" t="s">
        <v>1671</v>
      </c>
      <c r="G1834" s="8">
        <v>8335.2099999999991</v>
      </c>
      <c r="H1834" s="8">
        <v>0</v>
      </c>
      <c r="I1834" s="8">
        <f>G1834-H1834+I1833</f>
        <v>3815.2599999999993</v>
      </c>
      <c r="J1834" s="12"/>
    </row>
    <row r="1835" spans="1:10" x14ac:dyDescent="0.3">
      <c r="E1835" s="4" t="s">
        <v>116</v>
      </c>
      <c r="G1835" s="8">
        <f>SUM(G1831:G1834)</f>
        <v>8335.2099999999991</v>
      </c>
      <c r="H1835" s="8">
        <f>SUM(H1831:H1834)</f>
        <v>4519.95</v>
      </c>
      <c r="I1835" s="8">
        <f>G1835-H1835</f>
        <v>3815.2599999999993</v>
      </c>
    </row>
    <row r="1837" spans="1:10" x14ac:dyDescent="0.3">
      <c r="A1837" s="5">
        <v>430000329</v>
      </c>
      <c r="B1837" s="6" t="s">
        <v>1672</v>
      </c>
      <c r="C1837" s="7"/>
      <c r="D1837" s="7"/>
      <c r="E1837" s="7"/>
      <c r="F1837" s="7"/>
      <c r="G1837" s="7"/>
      <c r="H1837" s="7"/>
      <c r="I1837" s="7"/>
      <c r="J1837" s="7"/>
    </row>
    <row r="1838" spans="1:10" x14ac:dyDescent="0.3">
      <c r="C1838" s="9"/>
      <c r="D1838" s="10">
        <v>45856</v>
      </c>
      <c r="E1838" t="s">
        <v>1673</v>
      </c>
      <c r="F1838" s="11" t="s">
        <v>1674</v>
      </c>
      <c r="G1838" s="8">
        <v>102.51</v>
      </c>
      <c r="H1838" s="8">
        <v>0</v>
      </c>
      <c r="I1838" s="8">
        <f>G1838-H1838</f>
        <v>102.51</v>
      </c>
      <c r="J1838" s="12"/>
    </row>
    <row r="1839" spans="1:10" x14ac:dyDescent="0.3">
      <c r="E1839" s="4" t="s">
        <v>116</v>
      </c>
      <c r="G1839" s="8">
        <f>G1838</f>
        <v>102.51</v>
      </c>
      <c r="H1839" s="8">
        <f>H1838</f>
        <v>0</v>
      </c>
      <c r="I1839" s="8">
        <f>G1839-H1839</f>
        <v>102.51</v>
      </c>
    </row>
    <row r="1841" spans="1:10" x14ac:dyDescent="0.3">
      <c r="A1841" s="5">
        <v>430000331</v>
      </c>
      <c r="B1841" s="6" t="s">
        <v>1675</v>
      </c>
      <c r="C1841" s="7"/>
      <c r="D1841" s="7"/>
      <c r="E1841" s="7"/>
      <c r="F1841" s="7"/>
      <c r="G1841" s="7"/>
      <c r="H1841" s="7"/>
      <c r="I1841" s="7"/>
      <c r="J1841" s="7"/>
    </row>
    <row r="1842" spans="1:10" x14ac:dyDescent="0.3">
      <c r="C1842" s="9"/>
      <c r="D1842" s="10">
        <v>45868</v>
      </c>
      <c r="E1842" t="s">
        <v>1676</v>
      </c>
      <c r="F1842" s="11" t="s">
        <v>1677</v>
      </c>
      <c r="G1842" s="8">
        <v>456.55</v>
      </c>
      <c r="H1842" s="8">
        <v>0</v>
      </c>
      <c r="I1842" s="8">
        <f>G1842-H1842</f>
        <v>456.55</v>
      </c>
      <c r="J1842" s="12"/>
    </row>
    <row r="1843" spans="1:10" x14ac:dyDescent="0.3">
      <c r="E1843" s="4" t="s">
        <v>116</v>
      </c>
      <c r="G1843" s="8">
        <f>G1842</f>
        <v>456.55</v>
      </c>
      <c r="H1843" s="8">
        <f>H1842</f>
        <v>0</v>
      </c>
      <c r="I1843" s="8">
        <f>G1843-H1843</f>
        <v>456.55</v>
      </c>
    </row>
    <row r="1845" spans="1:10" x14ac:dyDescent="0.3">
      <c r="A1845" s="5">
        <v>430000332</v>
      </c>
      <c r="B1845" s="6" t="s">
        <v>1678</v>
      </c>
      <c r="C1845" s="7"/>
      <c r="D1845" s="7"/>
      <c r="E1845" s="7"/>
      <c r="F1845" s="7"/>
      <c r="G1845" s="7"/>
      <c r="H1845" s="7"/>
      <c r="I1845" s="7"/>
      <c r="J1845" s="7"/>
    </row>
    <row r="1846" spans="1:10" x14ac:dyDescent="0.3">
      <c r="C1846" s="9"/>
      <c r="D1846" s="10">
        <v>45868</v>
      </c>
      <c r="E1846" t="s">
        <v>1679</v>
      </c>
      <c r="F1846" s="11" t="s">
        <v>1680</v>
      </c>
      <c r="G1846" s="8">
        <v>1779.92</v>
      </c>
      <c r="H1846" s="8">
        <v>0</v>
      </c>
      <c r="I1846" s="8">
        <f>G1846-H1846</f>
        <v>1779.92</v>
      </c>
      <c r="J1846" s="12"/>
    </row>
    <row r="1847" spans="1:10" x14ac:dyDescent="0.3">
      <c r="E1847" s="4" t="s">
        <v>116</v>
      </c>
      <c r="G1847" s="8">
        <f>G1846</f>
        <v>1779.92</v>
      </c>
      <c r="H1847" s="8">
        <f>H1846</f>
        <v>0</v>
      </c>
      <c r="I1847" s="8">
        <f>G1847-H1847</f>
        <v>1779.92</v>
      </c>
    </row>
    <row r="1849" spans="1:10" x14ac:dyDescent="0.3">
      <c r="A1849" s="5">
        <v>430000335</v>
      </c>
      <c r="B1849" s="6" t="s">
        <v>1681</v>
      </c>
      <c r="C1849" s="7"/>
      <c r="D1849" s="7"/>
      <c r="E1849" s="7"/>
      <c r="F1849" s="7"/>
      <c r="G1849" s="7"/>
      <c r="H1849" s="7"/>
      <c r="I1849" s="7"/>
      <c r="J1849" s="7"/>
    </row>
    <row r="1850" spans="1:10" x14ac:dyDescent="0.3">
      <c r="C1850" s="9"/>
      <c r="D1850" s="10">
        <v>45894</v>
      </c>
      <c r="E1850" t="s">
        <v>1682</v>
      </c>
      <c r="F1850" s="11" t="s">
        <v>1683</v>
      </c>
      <c r="G1850" s="8">
        <v>1210</v>
      </c>
      <c r="H1850" s="8">
        <v>0</v>
      </c>
      <c r="I1850" s="8">
        <f>G1850-H1850</f>
        <v>1210</v>
      </c>
      <c r="J1850" s="12"/>
    </row>
    <row r="1851" spans="1:10" x14ac:dyDescent="0.3">
      <c r="E1851" s="4" t="s">
        <v>116</v>
      </c>
      <c r="G1851" s="8">
        <f>G1850</f>
        <v>1210</v>
      </c>
      <c r="H1851" s="8">
        <f>H1850</f>
        <v>0</v>
      </c>
      <c r="I1851" s="8">
        <f>G1851-H1851</f>
        <v>1210</v>
      </c>
    </row>
    <row r="1853" spans="1:10" x14ac:dyDescent="0.3">
      <c r="A1853" s="5">
        <v>430000337</v>
      </c>
      <c r="B1853" s="6" t="s">
        <v>1684</v>
      </c>
      <c r="C1853" s="7"/>
      <c r="D1853" s="7"/>
      <c r="E1853" s="7"/>
      <c r="F1853" s="7"/>
      <c r="G1853" s="7"/>
      <c r="H1853" s="7"/>
      <c r="I1853" s="7"/>
      <c r="J1853" s="7"/>
    </row>
    <row r="1854" spans="1:10" x14ac:dyDescent="0.3">
      <c r="C1854" s="9"/>
      <c r="D1854" s="10">
        <v>45912</v>
      </c>
      <c r="E1854" t="s">
        <v>1685</v>
      </c>
      <c r="F1854" s="11" t="s">
        <v>1686</v>
      </c>
      <c r="G1854" s="8">
        <v>9326.69</v>
      </c>
      <c r="H1854" s="8">
        <v>0</v>
      </c>
      <c r="I1854" s="8">
        <f>G1854-H1854</f>
        <v>9326.69</v>
      </c>
      <c r="J1854" s="12"/>
    </row>
    <row r="1855" spans="1:10" x14ac:dyDescent="0.3">
      <c r="C1855" s="9"/>
      <c r="D1855" s="10">
        <v>45912</v>
      </c>
      <c r="E1855" t="s">
        <v>1687</v>
      </c>
      <c r="F1855" s="11" t="s">
        <v>1688</v>
      </c>
      <c r="G1855" s="8">
        <v>7461.35</v>
      </c>
      <c r="H1855" s="8">
        <v>0</v>
      </c>
      <c r="I1855" s="8">
        <f>G1855-H1855+I1854</f>
        <v>16788.04</v>
      </c>
      <c r="J1855" s="12"/>
    </row>
    <row r="1856" spans="1:10" x14ac:dyDescent="0.3">
      <c r="E1856" s="4" t="s">
        <v>116</v>
      </c>
      <c r="G1856" s="8">
        <f>SUM(G1854:G1855)</f>
        <v>16788.04</v>
      </c>
      <c r="H1856" s="8">
        <f>SUM(H1854:H1855)</f>
        <v>0</v>
      </c>
      <c r="I1856" s="8">
        <f>G1856-H1856</f>
        <v>16788.04</v>
      </c>
    </row>
    <row r="1858" spans="1:10" x14ac:dyDescent="0.3">
      <c r="A1858" s="5">
        <v>430000338</v>
      </c>
      <c r="B1858" s="6" t="s">
        <v>1689</v>
      </c>
      <c r="C1858" s="7"/>
      <c r="D1858" s="7"/>
      <c r="E1858" s="7"/>
      <c r="F1858" s="7"/>
      <c r="G1858" s="7"/>
      <c r="H1858" s="7"/>
      <c r="I1858" s="7"/>
      <c r="J1858" s="7"/>
    </row>
    <row r="1859" spans="1:10" x14ac:dyDescent="0.3">
      <c r="C1859" s="9"/>
      <c r="D1859" s="10">
        <v>45917</v>
      </c>
      <c r="E1859" t="s">
        <v>1690</v>
      </c>
      <c r="F1859" s="11" t="s">
        <v>1691</v>
      </c>
      <c r="G1859" s="8">
        <v>1233.4000000000001</v>
      </c>
      <c r="H1859" s="8">
        <v>0</v>
      </c>
      <c r="I1859" s="8">
        <f>G1859-H1859</f>
        <v>1233.4000000000001</v>
      </c>
      <c r="J1859" s="12"/>
    </row>
    <row r="1860" spans="1:10" x14ac:dyDescent="0.3">
      <c r="E1860" s="4" t="s">
        <v>116</v>
      </c>
      <c r="G1860" s="8">
        <f>G1859</f>
        <v>1233.4000000000001</v>
      </c>
      <c r="H1860" s="8">
        <f>H1859</f>
        <v>0</v>
      </c>
      <c r="I1860" s="8">
        <f>G1860-H1860</f>
        <v>1233.4000000000001</v>
      </c>
    </row>
    <row r="1862" spans="1:10" x14ac:dyDescent="0.3">
      <c r="A1862" s="5">
        <v>430000339</v>
      </c>
      <c r="B1862" s="6" t="s">
        <v>1692</v>
      </c>
      <c r="C1862" s="7"/>
      <c r="D1862" s="7"/>
      <c r="E1862" s="7"/>
      <c r="F1862" s="7"/>
      <c r="G1862" s="7"/>
      <c r="H1862" s="7"/>
      <c r="I1862" s="7"/>
      <c r="J1862" s="7"/>
    </row>
    <row r="1863" spans="1:10" x14ac:dyDescent="0.3">
      <c r="C1863" s="9"/>
      <c r="D1863" s="10">
        <v>45919</v>
      </c>
      <c r="E1863" t="s">
        <v>1693</v>
      </c>
      <c r="F1863" s="11" t="s">
        <v>1694</v>
      </c>
      <c r="G1863" s="8">
        <v>15446.86</v>
      </c>
      <c r="H1863" s="8">
        <v>0</v>
      </c>
      <c r="I1863" s="8">
        <f>G1863-H1863</f>
        <v>15446.86</v>
      </c>
      <c r="J1863" s="12"/>
    </row>
    <row r="1864" spans="1:10" x14ac:dyDescent="0.3">
      <c r="E1864" s="4" t="s">
        <v>116</v>
      </c>
      <c r="G1864" s="8">
        <f>G1863</f>
        <v>15446.86</v>
      </c>
      <c r="H1864" s="8">
        <f>H1863</f>
        <v>0</v>
      </c>
      <c r="I1864" s="8">
        <f>G1864-H1864</f>
        <v>15446.86</v>
      </c>
    </row>
    <row r="1866" spans="1:10" x14ac:dyDescent="0.3">
      <c r="A1866" s="5">
        <v>430000340</v>
      </c>
      <c r="B1866" s="6" t="s">
        <v>1695</v>
      </c>
      <c r="C1866" s="7"/>
      <c r="D1866" s="7"/>
      <c r="E1866" s="7"/>
      <c r="F1866" s="7"/>
      <c r="G1866" s="7"/>
      <c r="H1866" s="7"/>
      <c r="I1866" s="7"/>
      <c r="J1866" s="7"/>
    </row>
    <row r="1867" spans="1:10" x14ac:dyDescent="0.3">
      <c r="C1867" s="9"/>
      <c r="D1867" s="10">
        <v>45919</v>
      </c>
      <c r="E1867" t="s">
        <v>1696</v>
      </c>
      <c r="F1867" s="11" t="s">
        <v>1697</v>
      </c>
      <c r="G1867" s="8">
        <v>133.1</v>
      </c>
      <c r="H1867" s="8">
        <v>0</v>
      </c>
      <c r="I1867" s="8">
        <f>G1867-H1867</f>
        <v>133.1</v>
      </c>
      <c r="J1867" s="12"/>
    </row>
    <row r="1868" spans="1:10" x14ac:dyDescent="0.3">
      <c r="E1868" s="4" t="s">
        <v>116</v>
      </c>
      <c r="G1868" s="8">
        <f>G1867</f>
        <v>133.1</v>
      </c>
      <c r="H1868" s="8">
        <f>H1867</f>
        <v>0</v>
      </c>
      <c r="I1868" s="8">
        <f>G1868-H1868</f>
        <v>133.1</v>
      </c>
    </row>
    <row r="1870" spans="1:10" x14ac:dyDescent="0.3">
      <c r="A1870" s="5">
        <v>430000466</v>
      </c>
      <c r="B1870" s="6" t="s">
        <v>1698</v>
      </c>
      <c r="C1870" s="7"/>
      <c r="D1870" s="7"/>
      <c r="E1870" s="7"/>
      <c r="F1870" s="7"/>
      <c r="G1870" s="7"/>
      <c r="H1870" s="7"/>
      <c r="I1870" s="7"/>
      <c r="J1870" s="7"/>
    </row>
    <row r="1871" spans="1:10" x14ac:dyDescent="0.3">
      <c r="E1871" s="4" t="s">
        <v>11</v>
      </c>
      <c r="G1871" s="8">
        <v>3814.55</v>
      </c>
      <c r="H1871" s="8">
        <v>0</v>
      </c>
      <c r="I1871" s="8">
        <f>G1871-H1871</f>
        <v>3814.55</v>
      </c>
    </row>
    <row r="1872" spans="1:10" x14ac:dyDescent="0.3">
      <c r="C1872" s="9" t="s">
        <v>12</v>
      </c>
      <c r="D1872" s="10">
        <v>45667</v>
      </c>
      <c r="E1872" t="s">
        <v>886</v>
      </c>
      <c r="F1872" s="11" t="s">
        <v>14</v>
      </c>
      <c r="G1872" s="8">
        <v>0</v>
      </c>
      <c r="H1872" s="8">
        <v>3814.55</v>
      </c>
      <c r="I1872" s="8">
        <f t="shared" ref="I1872:I1880" si="72">G1872-H1872+I1871</f>
        <v>0</v>
      </c>
      <c r="J1872" s="12">
        <v>572000007</v>
      </c>
    </row>
    <row r="1873" spans="1:10" x14ac:dyDescent="0.3">
      <c r="C1873" s="9"/>
      <c r="D1873" s="10">
        <v>45680</v>
      </c>
      <c r="E1873" t="s">
        <v>108</v>
      </c>
      <c r="F1873" s="11" t="s">
        <v>14</v>
      </c>
      <c r="G1873" s="8">
        <v>0</v>
      </c>
      <c r="H1873" s="8">
        <v>258.39999999999998</v>
      </c>
      <c r="I1873" s="8">
        <f t="shared" si="72"/>
        <v>-258.39999999999998</v>
      </c>
      <c r="J1873" s="12">
        <v>572000007</v>
      </c>
    </row>
    <row r="1874" spans="1:10" x14ac:dyDescent="0.3">
      <c r="C1874" s="9" t="s">
        <v>12</v>
      </c>
      <c r="D1874" s="10">
        <v>45712</v>
      </c>
      <c r="E1874" t="s">
        <v>1699</v>
      </c>
      <c r="F1874" s="11" t="s">
        <v>1700</v>
      </c>
      <c r="G1874" s="8">
        <v>395.06</v>
      </c>
      <c r="H1874" s="8">
        <v>0</v>
      </c>
      <c r="I1874" s="8">
        <f t="shared" si="72"/>
        <v>136.66000000000003</v>
      </c>
      <c r="J1874" s="12"/>
    </row>
    <row r="1875" spans="1:10" x14ac:dyDescent="0.3">
      <c r="C1875" s="9" t="s">
        <v>12</v>
      </c>
      <c r="D1875" s="10">
        <v>45716</v>
      </c>
      <c r="E1875" t="s">
        <v>1701</v>
      </c>
      <c r="F1875" s="11" t="s">
        <v>1702</v>
      </c>
      <c r="G1875" s="8">
        <v>322.06</v>
      </c>
      <c r="H1875" s="8">
        <v>0</v>
      </c>
      <c r="I1875" s="8">
        <f t="shared" si="72"/>
        <v>458.72</v>
      </c>
      <c r="J1875" s="12"/>
    </row>
    <row r="1876" spans="1:10" x14ac:dyDescent="0.3">
      <c r="C1876" s="9" t="s">
        <v>12</v>
      </c>
      <c r="D1876" s="10">
        <v>45728</v>
      </c>
      <c r="E1876" t="s">
        <v>1703</v>
      </c>
      <c r="F1876" s="11" t="s">
        <v>1704</v>
      </c>
      <c r="G1876" s="8">
        <v>309.99</v>
      </c>
      <c r="H1876" s="8">
        <v>0</v>
      </c>
      <c r="I1876" s="8">
        <f t="shared" si="72"/>
        <v>768.71</v>
      </c>
      <c r="J1876" s="12"/>
    </row>
    <row r="1877" spans="1:10" x14ac:dyDescent="0.3">
      <c r="C1877" s="9" t="s">
        <v>12</v>
      </c>
      <c r="D1877" s="10">
        <v>45728</v>
      </c>
      <c r="E1877" t="s">
        <v>1705</v>
      </c>
      <c r="F1877" s="11" t="s">
        <v>1706</v>
      </c>
      <c r="G1877" s="8">
        <v>705.39</v>
      </c>
      <c r="H1877" s="8">
        <v>0</v>
      </c>
      <c r="I1877" s="8">
        <f t="shared" si="72"/>
        <v>1474.1</v>
      </c>
      <c r="J1877" s="12"/>
    </row>
    <row r="1878" spans="1:10" x14ac:dyDescent="0.3">
      <c r="C1878" s="9" t="s">
        <v>12</v>
      </c>
      <c r="D1878" s="10">
        <v>45769</v>
      </c>
      <c r="E1878" t="s">
        <v>1707</v>
      </c>
      <c r="F1878" s="11" t="s">
        <v>14</v>
      </c>
      <c r="G1878" s="8">
        <v>0</v>
      </c>
      <c r="H1878" s="8">
        <v>322.06</v>
      </c>
      <c r="I1878" s="8">
        <f t="shared" si="72"/>
        <v>1152.04</v>
      </c>
      <c r="J1878" s="12"/>
    </row>
    <row r="1879" spans="1:10" x14ac:dyDescent="0.3">
      <c r="C1879" s="9" t="s">
        <v>12</v>
      </c>
      <c r="D1879" s="10">
        <v>45769</v>
      </c>
      <c r="E1879" t="s">
        <v>1707</v>
      </c>
      <c r="F1879" s="11" t="s">
        <v>14</v>
      </c>
      <c r="G1879" s="8">
        <v>0</v>
      </c>
      <c r="H1879" s="8">
        <v>395.06</v>
      </c>
      <c r="I1879" s="8">
        <f t="shared" si="72"/>
        <v>756.98</v>
      </c>
      <c r="J1879" s="12"/>
    </row>
    <row r="1880" spans="1:10" x14ac:dyDescent="0.3">
      <c r="C1880" s="9" t="s">
        <v>12</v>
      </c>
      <c r="D1880" s="10">
        <v>45783</v>
      </c>
      <c r="E1880" t="s">
        <v>305</v>
      </c>
      <c r="F1880" s="11" t="s">
        <v>14</v>
      </c>
      <c r="G1880" s="8">
        <v>0</v>
      </c>
      <c r="H1880" s="8">
        <v>1015.38</v>
      </c>
      <c r="I1880" s="8">
        <f t="shared" si="72"/>
        <v>-258.39999999999998</v>
      </c>
      <c r="J1880" s="12">
        <v>572000007</v>
      </c>
    </row>
    <row r="1881" spans="1:10" x14ac:dyDescent="0.3">
      <c r="E1881" s="4" t="s">
        <v>116</v>
      </c>
      <c r="G1881" s="8">
        <f>SUM(G1871:G1880)</f>
        <v>5547.0500000000011</v>
      </c>
      <c r="H1881" s="8">
        <f>SUM(H1871:H1880)</f>
        <v>5805.4500000000007</v>
      </c>
      <c r="I1881" s="8">
        <f>G1881-H1881</f>
        <v>-258.39999999999964</v>
      </c>
    </row>
    <row r="1883" spans="1:10" x14ac:dyDescent="0.3">
      <c r="A1883" s="5">
        <v>430000530</v>
      </c>
      <c r="B1883" s="6" t="s">
        <v>1708</v>
      </c>
      <c r="C1883" s="7"/>
      <c r="D1883" s="7"/>
      <c r="E1883" s="7"/>
      <c r="F1883" s="7"/>
      <c r="G1883" s="7"/>
      <c r="H1883" s="7"/>
      <c r="I1883" s="7"/>
      <c r="J1883" s="7"/>
    </row>
    <row r="1884" spans="1:10" x14ac:dyDescent="0.3">
      <c r="C1884" s="9"/>
      <c r="D1884" s="10">
        <v>45838</v>
      </c>
      <c r="E1884" t="s">
        <v>1709</v>
      </c>
      <c r="F1884" s="11" t="s">
        <v>1710</v>
      </c>
      <c r="G1884" s="8">
        <v>655.42</v>
      </c>
      <c r="H1884" s="8">
        <v>0</v>
      </c>
      <c r="I1884" s="8">
        <f>G1884-H1884</f>
        <v>655.42</v>
      </c>
      <c r="J1884" s="12"/>
    </row>
    <row r="1885" spans="1:10" x14ac:dyDescent="0.3">
      <c r="C1885" s="9"/>
      <c r="D1885" s="10">
        <v>45842</v>
      </c>
      <c r="E1885" t="s">
        <v>1711</v>
      </c>
      <c r="F1885" s="11" t="s">
        <v>1712</v>
      </c>
      <c r="G1885" s="8">
        <v>448.06</v>
      </c>
      <c r="H1885" s="8">
        <v>0</v>
      </c>
      <c r="I1885" s="8">
        <f>G1885-H1885+I1884</f>
        <v>1103.48</v>
      </c>
      <c r="J1885" s="12"/>
    </row>
    <row r="1886" spans="1:10" x14ac:dyDescent="0.3">
      <c r="C1886" s="9"/>
      <c r="D1886" s="10">
        <v>45883</v>
      </c>
      <c r="E1886" t="s">
        <v>1713</v>
      </c>
      <c r="F1886" s="11" t="s">
        <v>1714</v>
      </c>
      <c r="G1886" s="8">
        <v>724.19</v>
      </c>
      <c r="H1886" s="8">
        <v>0</v>
      </c>
      <c r="I1886" s="8">
        <f>G1886-H1886+I1885</f>
        <v>1827.67</v>
      </c>
      <c r="J1886" s="12"/>
    </row>
    <row r="1887" spans="1:10" x14ac:dyDescent="0.3">
      <c r="C1887" s="9"/>
      <c r="D1887" s="10">
        <v>45923</v>
      </c>
      <c r="E1887" t="s">
        <v>1715</v>
      </c>
      <c r="F1887" s="11" t="s">
        <v>14</v>
      </c>
      <c r="G1887" s="8">
        <v>0</v>
      </c>
      <c r="H1887" s="8">
        <v>655.42</v>
      </c>
      <c r="I1887" s="8">
        <f>G1887-H1887+I1886</f>
        <v>1172.25</v>
      </c>
      <c r="J1887" s="12">
        <v>572000001</v>
      </c>
    </row>
    <row r="1888" spans="1:10" x14ac:dyDescent="0.3">
      <c r="E1888" s="4" t="s">
        <v>116</v>
      </c>
      <c r="G1888" s="8">
        <f>SUM(G1884:G1887)</f>
        <v>1827.67</v>
      </c>
      <c r="H1888" s="8">
        <f>SUM(H1884:H1887)</f>
        <v>655.42</v>
      </c>
      <c r="I1888" s="8">
        <f>G1888-H1888</f>
        <v>1172.25</v>
      </c>
    </row>
    <row r="1890" spans="1:10" x14ac:dyDescent="0.3">
      <c r="A1890" s="5">
        <v>430000539</v>
      </c>
      <c r="B1890" s="6" t="s">
        <v>1716</v>
      </c>
      <c r="C1890" s="7"/>
      <c r="D1890" s="7"/>
      <c r="E1890" s="7"/>
      <c r="F1890" s="7"/>
      <c r="G1890" s="7"/>
      <c r="H1890" s="7"/>
      <c r="I1890" s="7"/>
      <c r="J1890" s="7"/>
    </row>
    <row r="1891" spans="1:10" x14ac:dyDescent="0.3">
      <c r="E1891" s="4" t="s">
        <v>11</v>
      </c>
      <c r="G1891" s="8">
        <v>479.91</v>
      </c>
      <c r="H1891" s="8">
        <v>0</v>
      </c>
      <c r="I1891" s="8">
        <f>G1891-H1891</f>
        <v>479.91</v>
      </c>
    </row>
    <row r="1892" spans="1:10" x14ac:dyDescent="0.3">
      <c r="C1892" s="9"/>
      <c r="D1892" s="10">
        <v>45708</v>
      </c>
      <c r="E1892" t="s">
        <v>1717</v>
      </c>
      <c r="F1892" s="11" t="s">
        <v>14</v>
      </c>
      <c r="G1892" s="8">
        <v>0</v>
      </c>
      <c r="H1892" s="8">
        <v>110.35</v>
      </c>
      <c r="I1892" s="8">
        <f>G1892-H1892+I1891</f>
        <v>369.56000000000006</v>
      </c>
      <c r="J1892" s="12">
        <v>572000009</v>
      </c>
    </row>
    <row r="1893" spans="1:10" x14ac:dyDescent="0.3">
      <c r="C1893" s="9" t="s">
        <v>12</v>
      </c>
      <c r="D1893" s="10">
        <v>45824</v>
      </c>
      <c r="E1893" t="s">
        <v>1718</v>
      </c>
      <c r="F1893" s="11" t="s">
        <v>1719</v>
      </c>
      <c r="G1893" s="8">
        <v>369.55</v>
      </c>
      <c r="H1893" s="8">
        <v>0</v>
      </c>
      <c r="I1893" s="8">
        <f>G1893-H1893+I1892</f>
        <v>739.11000000000013</v>
      </c>
      <c r="J1893" s="12"/>
    </row>
    <row r="1894" spans="1:10" x14ac:dyDescent="0.3">
      <c r="C1894" s="9" t="s">
        <v>12</v>
      </c>
      <c r="D1894" s="10">
        <v>45824</v>
      </c>
      <c r="E1894" t="s">
        <v>1720</v>
      </c>
      <c r="F1894" s="11" t="s">
        <v>1721</v>
      </c>
      <c r="G1894" s="8">
        <v>338.68</v>
      </c>
      <c r="H1894" s="8">
        <v>0</v>
      </c>
      <c r="I1894" s="8">
        <f>G1894-H1894+I1893</f>
        <v>1077.7900000000002</v>
      </c>
      <c r="J1894" s="12"/>
    </row>
    <row r="1895" spans="1:10" x14ac:dyDescent="0.3">
      <c r="C1895" s="9" t="s">
        <v>12</v>
      </c>
      <c r="D1895" s="10">
        <v>45845</v>
      </c>
      <c r="E1895" t="s">
        <v>1722</v>
      </c>
      <c r="F1895" s="11" t="s">
        <v>14</v>
      </c>
      <c r="G1895" s="8">
        <v>0</v>
      </c>
      <c r="H1895" s="8">
        <v>369.55</v>
      </c>
      <c r="I1895" s="8">
        <f>G1895-H1895+I1894</f>
        <v>708.24000000000024</v>
      </c>
      <c r="J1895" s="12"/>
    </row>
    <row r="1896" spans="1:10" x14ac:dyDescent="0.3">
      <c r="C1896" s="9" t="s">
        <v>12</v>
      </c>
      <c r="D1896" s="10">
        <v>45845</v>
      </c>
      <c r="E1896" t="s">
        <v>1722</v>
      </c>
      <c r="F1896" s="11" t="s">
        <v>14</v>
      </c>
      <c r="G1896" s="8">
        <v>0</v>
      </c>
      <c r="H1896" s="8">
        <v>338.68</v>
      </c>
      <c r="I1896" s="8">
        <f>G1896-H1896+I1895</f>
        <v>369.56000000000023</v>
      </c>
      <c r="J1896" s="12"/>
    </row>
    <row r="1897" spans="1:10" x14ac:dyDescent="0.3">
      <c r="E1897" s="4" t="s">
        <v>116</v>
      </c>
      <c r="G1897" s="8">
        <f>SUM(G1891:G1896)</f>
        <v>1188.1400000000001</v>
      </c>
      <c r="H1897" s="8">
        <f>SUM(H1891:H1896)</f>
        <v>818.57999999999993</v>
      </c>
      <c r="I1897" s="8">
        <f>G1897-H1897</f>
        <v>369.56000000000017</v>
      </c>
    </row>
    <row r="1899" spans="1:10" x14ac:dyDescent="0.3">
      <c r="A1899" s="5">
        <v>430000603</v>
      </c>
      <c r="B1899" s="6" t="s">
        <v>1723</v>
      </c>
      <c r="C1899" s="7"/>
      <c r="D1899" s="7"/>
      <c r="E1899" s="7"/>
      <c r="F1899" s="7"/>
      <c r="G1899" s="7"/>
      <c r="H1899" s="7"/>
      <c r="I1899" s="7"/>
      <c r="J1899" s="7"/>
    </row>
    <row r="1900" spans="1:10" x14ac:dyDescent="0.3">
      <c r="E1900" s="4" t="s">
        <v>11</v>
      </c>
      <c r="G1900" s="8">
        <v>157.30000000000001</v>
      </c>
      <c r="H1900" s="8">
        <v>0</v>
      </c>
      <c r="I1900" s="8">
        <f>G1900-H1900</f>
        <v>157.30000000000001</v>
      </c>
    </row>
    <row r="1901" spans="1:10" x14ac:dyDescent="0.3">
      <c r="C1901" s="9" t="s">
        <v>12</v>
      </c>
      <c r="D1901" s="10">
        <v>45740</v>
      </c>
      <c r="E1901" t="s">
        <v>108</v>
      </c>
      <c r="F1901" s="11" t="s">
        <v>14</v>
      </c>
      <c r="G1901" s="8">
        <v>0</v>
      </c>
      <c r="H1901" s="8">
        <v>157.30000000000001</v>
      </c>
      <c r="I1901" s="8">
        <f t="shared" ref="I1901:I1912" si="73">G1901-H1901+I1900</f>
        <v>0</v>
      </c>
      <c r="J1901" s="12">
        <v>572000009</v>
      </c>
    </row>
    <row r="1902" spans="1:10" x14ac:dyDescent="0.3">
      <c r="C1902" s="9"/>
      <c r="D1902" s="10">
        <v>45747</v>
      </c>
      <c r="E1902" t="s">
        <v>1724</v>
      </c>
      <c r="F1902" s="11" t="s">
        <v>1725</v>
      </c>
      <c r="G1902" s="8">
        <v>426.84</v>
      </c>
      <c r="H1902" s="8">
        <v>0</v>
      </c>
      <c r="I1902" s="8">
        <f t="shared" si="73"/>
        <v>426.84</v>
      </c>
      <c r="J1902" s="12"/>
    </row>
    <row r="1903" spans="1:10" x14ac:dyDescent="0.3">
      <c r="C1903" s="9"/>
      <c r="D1903" s="10">
        <v>45756</v>
      </c>
      <c r="E1903" t="s">
        <v>1726</v>
      </c>
      <c r="F1903" s="11" t="s">
        <v>1727</v>
      </c>
      <c r="G1903" s="8">
        <v>186.95</v>
      </c>
      <c r="H1903" s="8">
        <v>0</v>
      </c>
      <c r="I1903" s="8">
        <f t="shared" si="73"/>
        <v>613.79</v>
      </c>
      <c r="J1903" s="12"/>
    </row>
    <row r="1904" spans="1:10" x14ac:dyDescent="0.3">
      <c r="C1904" s="9"/>
      <c r="D1904" s="10">
        <v>45756</v>
      </c>
      <c r="E1904" t="s">
        <v>1728</v>
      </c>
      <c r="F1904" s="11" t="s">
        <v>1729</v>
      </c>
      <c r="G1904" s="8">
        <v>936.89</v>
      </c>
      <c r="H1904" s="8">
        <v>0</v>
      </c>
      <c r="I1904" s="8">
        <f t="shared" si="73"/>
        <v>1550.6799999999998</v>
      </c>
      <c r="J1904" s="12"/>
    </row>
    <row r="1905" spans="1:10" x14ac:dyDescent="0.3">
      <c r="C1905" s="9"/>
      <c r="D1905" s="10">
        <v>45776</v>
      </c>
      <c r="E1905" t="s">
        <v>1730</v>
      </c>
      <c r="F1905" s="11" t="s">
        <v>1731</v>
      </c>
      <c r="G1905" s="8">
        <v>282.54000000000002</v>
      </c>
      <c r="H1905" s="8">
        <v>0</v>
      </c>
      <c r="I1905" s="8">
        <f t="shared" si="73"/>
        <v>1833.2199999999998</v>
      </c>
      <c r="J1905" s="12"/>
    </row>
    <row r="1906" spans="1:10" x14ac:dyDescent="0.3">
      <c r="C1906" s="9"/>
      <c r="D1906" s="10">
        <v>45834</v>
      </c>
      <c r="E1906" t="s">
        <v>1732</v>
      </c>
      <c r="F1906" s="11" t="s">
        <v>1733</v>
      </c>
      <c r="G1906" s="8">
        <v>176.32</v>
      </c>
      <c r="H1906" s="8">
        <v>0</v>
      </c>
      <c r="I1906" s="8">
        <f t="shared" si="73"/>
        <v>2009.5399999999997</v>
      </c>
      <c r="J1906" s="12"/>
    </row>
    <row r="1907" spans="1:10" x14ac:dyDescent="0.3">
      <c r="C1907" s="9"/>
      <c r="D1907" s="10">
        <v>45880</v>
      </c>
      <c r="E1907" t="s">
        <v>305</v>
      </c>
      <c r="F1907" s="11" t="s">
        <v>14</v>
      </c>
      <c r="G1907" s="8">
        <v>0</v>
      </c>
      <c r="H1907" s="8">
        <v>282.54000000000002</v>
      </c>
      <c r="I1907" s="8">
        <f t="shared" si="73"/>
        <v>1726.9999999999998</v>
      </c>
      <c r="J1907" s="12">
        <v>572000001</v>
      </c>
    </row>
    <row r="1908" spans="1:10" x14ac:dyDescent="0.3">
      <c r="C1908" s="9"/>
      <c r="D1908" s="10">
        <v>45880</v>
      </c>
      <c r="E1908" t="s">
        <v>305</v>
      </c>
      <c r="F1908" s="11" t="s">
        <v>14</v>
      </c>
      <c r="G1908" s="8">
        <v>0</v>
      </c>
      <c r="H1908" s="8">
        <v>936.89</v>
      </c>
      <c r="I1908" s="8">
        <f t="shared" si="73"/>
        <v>790.10999999999979</v>
      </c>
      <c r="J1908" s="12">
        <v>572000001</v>
      </c>
    </row>
    <row r="1909" spans="1:10" x14ac:dyDescent="0.3">
      <c r="C1909" s="9"/>
      <c r="D1909" s="10">
        <v>45880</v>
      </c>
      <c r="E1909" t="s">
        <v>305</v>
      </c>
      <c r="F1909" s="11" t="s">
        <v>14</v>
      </c>
      <c r="G1909" s="8">
        <v>0</v>
      </c>
      <c r="H1909" s="8">
        <v>186.95</v>
      </c>
      <c r="I1909" s="8">
        <f t="shared" si="73"/>
        <v>603.15999999999985</v>
      </c>
      <c r="J1909" s="12">
        <v>572000001</v>
      </c>
    </row>
    <row r="1910" spans="1:10" x14ac:dyDescent="0.3">
      <c r="C1910" s="9"/>
      <c r="D1910" s="10">
        <v>45880</v>
      </c>
      <c r="E1910" t="s">
        <v>305</v>
      </c>
      <c r="F1910" s="11" t="s">
        <v>14</v>
      </c>
      <c r="G1910" s="8">
        <v>0</v>
      </c>
      <c r="H1910" s="8">
        <v>426.84</v>
      </c>
      <c r="I1910" s="8">
        <f t="shared" si="73"/>
        <v>176.31999999999988</v>
      </c>
      <c r="J1910" s="12">
        <v>572000001</v>
      </c>
    </row>
    <row r="1911" spans="1:10" x14ac:dyDescent="0.3">
      <c r="C1911" s="9"/>
      <c r="D1911" s="10">
        <v>45894</v>
      </c>
      <c r="E1911" t="s">
        <v>1059</v>
      </c>
      <c r="F1911" s="11" t="s">
        <v>14</v>
      </c>
      <c r="G1911" s="8">
        <v>0</v>
      </c>
      <c r="H1911" s="8">
        <v>176.32</v>
      </c>
      <c r="I1911" s="8">
        <f t="shared" si="73"/>
        <v>0</v>
      </c>
      <c r="J1911" s="12"/>
    </row>
    <row r="1912" spans="1:10" x14ac:dyDescent="0.3">
      <c r="C1912" s="9"/>
      <c r="D1912" s="10">
        <v>45925</v>
      </c>
      <c r="E1912" t="s">
        <v>886</v>
      </c>
      <c r="F1912" s="11" t="s">
        <v>14</v>
      </c>
      <c r="G1912" s="8">
        <v>0</v>
      </c>
      <c r="H1912" s="8">
        <v>176.32</v>
      </c>
      <c r="I1912" s="8">
        <f t="shared" si="73"/>
        <v>-176.32</v>
      </c>
      <c r="J1912" s="12">
        <v>572000007</v>
      </c>
    </row>
    <row r="1913" spans="1:10" x14ac:dyDescent="0.3">
      <c r="E1913" s="4" t="s">
        <v>116</v>
      </c>
      <c r="G1913" s="8">
        <f>SUM(G1900:G1912)</f>
        <v>2166.84</v>
      </c>
      <c r="H1913" s="8">
        <f>SUM(H1900:H1912)</f>
        <v>2343.1600000000003</v>
      </c>
      <c r="I1913" s="8">
        <f>G1913-H1913</f>
        <v>-176.32000000000016</v>
      </c>
    </row>
    <row r="1915" spans="1:10" x14ac:dyDescent="0.3">
      <c r="A1915" s="5">
        <v>430001002</v>
      </c>
      <c r="B1915" s="6" t="s">
        <v>1734</v>
      </c>
      <c r="C1915" s="7"/>
      <c r="D1915" s="7"/>
      <c r="E1915" s="7"/>
      <c r="F1915" s="7"/>
      <c r="G1915" s="7"/>
      <c r="H1915" s="7"/>
      <c r="I1915" s="7"/>
      <c r="J1915" s="7"/>
    </row>
    <row r="1916" spans="1:10" x14ac:dyDescent="0.3">
      <c r="C1916" s="9" t="s">
        <v>12</v>
      </c>
      <c r="D1916" s="10">
        <v>45813</v>
      </c>
      <c r="E1916" t="s">
        <v>1735</v>
      </c>
      <c r="F1916" s="11" t="s">
        <v>1736</v>
      </c>
      <c r="G1916" s="8">
        <v>217.8</v>
      </c>
      <c r="H1916" s="8">
        <v>0</v>
      </c>
      <c r="I1916" s="8">
        <f>G1916-H1916</f>
        <v>217.8</v>
      </c>
      <c r="J1916" s="12"/>
    </row>
    <row r="1917" spans="1:10" x14ac:dyDescent="0.3">
      <c r="C1917" s="9" t="s">
        <v>12</v>
      </c>
      <c r="D1917" s="10">
        <v>45828</v>
      </c>
      <c r="E1917" t="s">
        <v>886</v>
      </c>
      <c r="F1917" s="11" t="s">
        <v>14</v>
      </c>
      <c r="G1917" s="8">
        <v>0</v>
      </c>
      <c r="H1917" s="8">
        <v>217.8</v>
      </c>
      <c r="I1917" s="8">
        <f>G1917-H1917+I1916</f>
        <v>0</v>
      </c>
      <c r="J1917" s="12">
        <v>572000007</v>
      </c>
    </row>
    <row r="1918" spans="1:10" x14ac:dyDescent="0.3">
      <c r="C1918" s="9"/>
      <c r="D1918" s="10">
        <v>45849</v>
      </c>
      <c r="E1918" t="s">
        <v>1737</v>
      </c>
      <c r="F1918" s="11" t="s">
        <v>1738</v>
      </c>
      <c r="G1918" s="8">
        <v>318.95999999999998</v>
      </c>
      <c r="H1918" s="8">
        <v>0</v>
      </c>
      <c r="I1918" s="8">
        <f>G1918-H1918+I1917</f>
        <v>318.95999999999998</v>
      </c>
      <c r="J1918" s="12"/>
    </row>
    <row r="1919" spans="1:10" x14ac:dyDescent="0.3">
      <c r="C1919" s="9"/>
      <c r="D1919" s="10">
        <v>45917</v>
      </c>
      <c r="E1919" t="s">
        <v>1739</v>
      </c>
      <c r="F1919" s="11" t="s">
        <v>1740</v>
      </c>
      <c r="G1919" s="8">
        <v>199.65</v>
      </c>
      <c r="H1919" s="8">
        <v>0</v>
      </c>
      <c r="I1919" s="8">
        <f>G1919-H1919+I1918</f>
        <v>518.61</v>
      </c>
      <c r="J1919" s="12"/>
    </row>
    <row r="1920" spans="1:10" x14ac:dyDescent="0.3">
      <c r="E1920" s="4" t="s">
        <v>116</v>
      </c>
      <c r="G1920" s="8">
        <f>SUM(G1916:G1919)</f>
        <v>736.41</v>
      </c>
      <c r="H1920" s="8">
        <f>SUM(H1916:H1919)</f>
        <v>217.8</v>
      </c>
      <c r="I1920" s="8">
        <f>G1920-H1920</f>
        <v>518.6099999999999</v>
      </c>
    </row>
    <row r="1922" spans="1:10" x14ac:dyDescent="0.3">
      <c r="A1922" s="5">
        <v>430010174</v>
      </c>
      <c r="B1922" s="6" t="s">
        <v>1741</v>
      </c>
      <c r="C1922" s="7"/>
      <c r="D1922" s="7"/>
      <c r="E1922" s="7"/>
      <c r="F1922" s="7"/>
      <c r="G1922" s="7"/>
      <c r="H1922" s="7"/>
      <c r="I1922" s="7"/>
      <c r="J1922" s="7"/>
    </row>
    <row r="1923" spans="1:10" x14ac:dyDescent="0.3">
      <c r="C1923" s="9" t="s">
        <v>12</v>
      </c>
      <c r="D1923" s="10">
        <v>45716</v>
      </c>
      <c r="E1923" t="s">
        <v>1742</v>
      </c>
      <c r="F1923" s="11" t="s">
        <v>1743</v>
      </c>
      <c r="G1923" s="8">
        <v>1968.17</v>
      </c>
      <c r="H1923" s="8">
        <v>0</v>
      </c>
      <c r="I1923" s="8">
        <f>G1923-H1923</f>
        <v>1968.17</v>
      </c>
      <c r="J1923" s="12"/>
    </row>
    <row r="1924" spans="1:10" x14ac:dyDescent="0.3">
      <c r="C1924" s="9" t="s">
        <v>12</v>
      </c>
      <c r="D1924" s="10">
        <v>45721</v>
      </c>
      <c r="E1924" t="s">
        <v>1059</v>
      </c>
      <c r="F1924" s="11" t="s">
        <v>14</v>
      </c>
      <c r="G1924" s="8">
        <v>0</v>
      </c>
      <c r="H1924" s="8">
        <v>1968.17</v>
      </c>
      <c r="I1924" s="8">
        <f>G1924-H1924+I1923</f>
        <v>0</v>
      </c>
      <c r="J1924" s="12">
        <v>572000005</v>
      </c>
    </row>
    <row r="1925" spans="1:10" x14ac:dyDescent="0.3">
      <c r="C1925" s="9"/>
      <c r="D1925" s="10">
        <v>45895</v>
      </c>
      <c r="E1925" t="s">
        <v>1744</v>
      </c>
      <c r="F1925" s="11" t="s">
        <v>1745</v>
      </c>
      <c r="G1925" s="8">
        <v>133.1</v>
      </c>
      <c r="H1925" s="8">
        <v>0</v>
      </c>
      <c r="I1925" s="8">
        <f>G1925-H1925+I1924</f>
        <v>133.1</v>
      </c>
      <c r="J1925" s="12"/>
    </row>
    <row r="1926" spans="1:10" x14ac:dyDescent="0.3">
      <c r="C1926" s="9"/>
      <c r="D1926" s="10">
        <v>45900</v>
      </c>
      <c r="E1926" t="s">
        <v>1746</v>
      </c>
      <c r="F1926" s="11" t="s">
        <v>1747</v>
      </c>
      <c r="G1926" s="8">
        <v>253.95</v>
      </c>
      <c r="H1926" s="8">
        <v>0</v>
      </c>
      <c r="I1926" s="8">
        <f>G1926-H1926+I1925</f>
        <v>387.04999999999995</v>
      </c>
      <c r="J1926" s="12"/>
    </row>
    <row r="1927" spans="1:10" x14ac:dyDescent="0.3">
      <c r="E1927" s="4" t="s">
        <v>116</v>
      </c>
      <c r="G1927" s="8">
        <f>SUM(G1923:G1926)</f>
        <v>2355.2199999999998</v>
      </c>
      <c r="H1927" s="8">
        <f>SUM(H1923:H1926)</f>
        <v>1968.17</v>
      </c>
      <c r="I1927" s="8">
        <f>G1927-H1927</f>
        <v>387.04999999999973</v>
      </c>
    </row>
    <row r="1929" spans="1:10" x14ac:dyDescent="0.3">
      <c r="A1929" s="5">
        <v>430010328</v>
      </c>
      <c r="B1929" s="6" t="s">
        <v>1748</v>
      </c>
      <c r="C1929" s="7"/>
      <c r="D1929" s="7"/>
      <c r="E1929" s="7"/>
      <c r="F1929" s="7"/>
      <c r="G1929" s="7"/>
      <c r="H1929" s="7"/>
      <c r="I1929" s="7"/>
      <c r="J1929" s="7"/>
    </row>
    <row r="1930" spans="1:10" x14ac:dyDescent="0.3">
      <c r="C1930" s="9" t="s">
        <v>12</v>
      </c>
      <c r="D1930" s="10">
        <v>45721</v>
      </c>
      <c r="E1930" t="s">
        <v>1749</v>
      </c>
      <c r="F1930" s="11" t="s">
        <v>1750</v>
      </c>
      <c r="G1930" s="8">
        <v>133.1</v>
      </c>
      <c r="H1930" s="8">
        <v>0</v>
      </c>
      <c r="I1930" s="8">
        <f>G1930-H1930</f>
        <v>133.1</v>
      </c>
      <c r="J1930" s="12"/>
    </row>
    <row r="1931" spans="1:10" x14ac:dyDescent="0.3">
      <c r="C1931" s="9" t="s">
        <v>12</v>
      </c>
      <c r="D1931" s="10">
        <v>45722</v>
      </c>
      <c r="E1931" t="s">
        <v>1059</v>
      </c>
      <c r="F1931" s="11" t="s">
        <v>14</v>
      </c>
      <c r="G1931" s="8">
        <v>0</v>
      </c>
      <c r="H1931" s="8">
        <v>133.1</v>
      </c>
      <c r="I1931" s="8">
        <f t="shared" ref="I1931:I1940" si="74">G1931-H1931+I1930</f>
        <v>0</v>
      </c>
      <c r="J1931" s="12"/>
    </row>
    <row r="1932" spans="1:10" x14ac:dyDescent="0.3">
      <c r="C1932" s="9" t="s">
        <v>12</v>
      </c>
      <c r="D1932" s="10">
        <v>45776</v>
      </c>
      <c r="E1932" t="s">
        <v>1751</v>
      </c>
      <c r="F1932" s="11" t="s">
        <v>1752</v>
      </c>
      <c r="G1932" s="8">
        <v>5091.97</v>
      </c>
      <c r="H1932" s="8">
        <v>0</v>
      </c>
      <c r="I1932" s="8">
        <f t="shared" si="74"/>
        <v>5091.97</v>
      </c>
      <c r="J1932" s="12"/>
    </row>
    <row r="1933" spans="1:10" x14ac:dyDescent="0.3">
      <c r="C1933" s="9" t="s">
        <v>12</v>
      </c>
      <c r="D1933" s="10">
        <v>45777</v>
      </c>
      <c r="E1933" t="s">
        <v>1059</v>
      </c>
      <c r="F1933" s="11" t="s">
        <v>14</v>
      </c>
      <c r="G1933" s="8">
        <v>0</v>
      </c>
      <c r="H1933" s="8">
        <v>5091.97</v>
      </c>
      <c r="I1933" s="8">
        <f t="shared" si="74"/>
        <v>0</v>
      </c>
      <c r="J1933" s="12">
        <v>572000005</v>
      </c>
    </row>
    <row r="1934" spans="1:10" x14ac:dyDescent="0.3">
      <c r="C1934" s="9" t="s">
        <v>12</v>
      </c>
      <c r="D1934" s="10">
        <v>45826</v>
      </c>
      <c r="E1934" t="s">
        <v>1753</v>
      </c>
      <c r="F1934" s="11" t="s">
        <v>1754</v>
      </c>
      <c r="G1934" s="8">
        <v>1657.6</v>
      </c>
      <c r="H1934" s="8">
        <v>0</v>
      </c>
      <c r="I1934" s="8">
        <f t="shared" si="74"/>
        <v>1657.6</v>
      </c>
      <c r="J1934" s="12"/>
    </row>
    <row r="1935" spans="1:10" x14ac:dyDescent="0.3">
      <c r="C1935" s="9" t="s">
        <v>12</v>
      </c>
      <c r="D1935" s="10">
        <v>45835</v>
      </c>
      <c r="E1935" t="s">
        <v>1059</v>
      </c>
      <c r="F1935" s="11" t="s">
        <v>14</v>
      </c>
      <c r="G1935" s="8">
        <v>0</v>
      </c>
      <c r="H1935" s="8">
        <v>1657.6</v>
      </c>
      <c r="I1935" s="8">
        <f t="shared" si="74"/>
        <v>0</v>
      </c>
      <c r="J1935" s="12"/>
    </row>
    <row r="1936" spans="1:10" x14ac:dyDescent="0.3">
      <c r="C1936" s="9"/>
      <c r="D1936" s="10">
        <v>45845</v>
      </c>
      <c r="E1936" t="s">
        <v>1031</v>
      </c>
      <c r="F1936" s="11" t="s">
        <v>14</v>
      </c>
      <c r="G1936" s="8">
        <v>1697.32</v>
      </c>
      <c r="H1936" s="8">
        <v>0</v>
      </c>
      <c r="I1936" s="8">
        <f t="shared" si="74"/>
        <v>1697.32</v>
      </c>
      <c r="J1936" s="12">
        <v>572000005</v>
      </c>
    </row>
    <row r="1937" spans="1:10" x14ac:dyDescent="0.3">
      <c r="C1937" s="9"/>
      <c r="D1937" s="10">
        <v>45849</v>
      </c>
      <c r="E1937" t="s">
        <v>1755</v>
      </c>
      <c r="F1937" s="11" t="s">
        <v>14</v>
      </c>
      <c r="G1937" s="8">
        <v>1697.33</v>
      </c>
      <c r="H1937" s="8">
        <v>0</v>
      </c>
      <c r="I1937" s="8">
        <f t="shared" si="74"/>
        <v>3394.6499999999996</v>
      </c>
      <c r="J1937" s="12">
        <v>572000005</v>
      </c>
    </row>
    <row r="1938" spans="1:10" x14ac:dyDescent="0.3">
      <c r="C1938" s="9"/>
      <c r="D1938" s="10">
        <v>45852</v>
      </c>
      <c r="E1938" t="s">
        <v>1756</v>
      </c>
      <c r="F1938" s="11" t="s">
        <v>1757</v>
      </c>
      <c r="G1938" s="8">
        <v>432.97</v>
      </c>
      <c r="H1938" s="8">
        <v>0</v>
      </c>
      <c r="I1938" s="8">
        <f t="shared" si="74"/>
        <v>3827.62</v>
      </c>
      <c r="J1938" s="12"/>
    </row>
    <row r="1939" spans="1:10" x14ac:dyDescent="0.3">
      <c r="C1939" s="9"/>
      <c r="D1939" s="10">
        <v>45861</v>
      </c>
      <c r="E1939" t="s">
        <v>1059</v>
      </c>
      <c r="F1939" s="11" t="s">
        <v>14</v>
      </c>
      <c r="G1939" s="8">
        <v>0</v>
      </c>
      <c r="H1939" s="8">
        <v>1697.32</v>
      </c>
      <c r="I1939" s="8">
        <f t="shared" si="74"/>
        <v>2130.3000000000002</v>
      </c>
      <c r="J1939" s="12"/>
    </row>
    <row r="1940" spans="1:10" x14ac:dyDescent="0.3">
      <c r="C1940" s="9"/>
      <c r="D1940" s="10">
        <v>45890</v>
      </c>
      <c r="E1940" t="s">
        <v>1059</v>
      </c>
      <c r="F1940" s="11" t="s">
        <v>14</v>
      </c>
      <c r="G1940" s="8">
        <v>0</v>
      </c>
      <c r="H1940" s="8">
        <v>432.97</v>
      </c>
      <c r="I1940" s="8">
        <f t="shared" si="74"/>
        <v>1697.3300000000002</v>
      </c>
      <c r="J1940" s="12"/>
    </row>
    <row r="1941" spans="1:10" x14ac:dyDescent="0.3">
      <c r="E1941" s="4" t="s">
        <v>116</v>
      </c>
      <c r="G1941" s="8">
        <f>SUM(G1930:G1940)</f>
        <v>10710.289999999999</v>
      </c>
      <c r="H1941" s="8">
        <f>SUM(H1930:H1940)</f>
        <v>9012.9599999999991</v>
      </c>
      <c r="I1941" s="8">
        <f>G1941-H1941</f>
        <v>1697.33</v>
      </c>
    </row>
    <row r="1943" spans="1:10" x14ac:dyDescent="0.3">
      <c r="A1943" s="5">
        <v>430010341</v>
      </c>
      <c r="B1943" s="6" t="s">
        <v>1758</v>
      </c>
      <c r="C1943" s="7"/>
      <c r="D1943" s="7"/>
      <c r="E1943" s="7"/>
      <c r="F1943" s="7"/>
      <c r="G1943" s="7"/>
      <c r="H1943" s="7"/>
      <c r="I1943" s="7"/>
      <c r="J1943" s="7"/>
    </row>
    <row r="1944" spans="1:10" x14ac:dyDescent="0.3">
      <c r="E1944" s="4" t="s">
        <v>11</v>
      </c>
      <c r="G1944" s="8">
        <v>0</v>
      </c>
      <c r="H1944" s="8">
        <v>148.12</v>
      </c>
      <c r="I1944" s="8">
        <f>G1944-H1944</f>
        <v>-148.12</v>
      </c>
    </row>
    <row r="1945" spans="1:10" x14ac:dyDescent="0.3">
      <c r="C1945" s="9" t="s">
        <v>12</v>
      </c>
      <c r="D1945" s="10">
        <v>45660</v>
      </c>
      <c r="E1945" t="s">
        <v>1759</v>
      </c>
      <c r="F1945" s="11" t="s">
        <v>1760</v>
      </c>
      <c r="G1945" s="8">
        <v>271.51</v>
      </c>
      <c r="H1945" s="8">
        <v>0</v>
      </c>
      <c r="I1945" s="8">
        <f t="shared" ref="I1945:I1962" si="75">G1945-H1945+I1944</f>
        <v>123.38999999999999</v>
      </c>
      <c r="J1945" s="12"/>
    </row>
    <row r="1946" spans="1:10" x14ac:dyDescent="0.3">
      <c r="C1946" s="9" t="s">
        <v>12</v>
      </c>
      <c r="D1946" s="10">
        <v>45661</v>
      </c>
      <c r="E1946" t="s">
        <v>886</v>
      </c>
      <c r="F1946" s="11" t="s">
        <v>14</v>
      </c>
      <c r="G1946" s="8">
        <v>0</v>
      </c>
      <c r="H1946" s="8">
        <v>135.69</v>
      </c>
      <c r="I1946" s="8">
        <f t="shared" si="75"/>
        <v>-12.300000000000011</v>
      </c>
      <c r="J1946" s="12">
        <v>572000002</v>
      </c>
    </row>
    <row r="1947" spans="1:10" x14ac:dyDescent="0.3">
      <c r="C1947" s="9" t="s">
        <v>12</v>
      </c>
      <c r="D1947" s="10">
        <v>45661</v>
      </c>
      <c r="E1947" t="s">
        <v>886</v>
      </c>
      <c r="F1947" s="11" t="s">
        <v>14</v>
      </c>
      <c r="G1947" s="8">
        <v>0</v>
      </c>
      <c r="H1947" s="8">
        <v>125.96</v>
      </c>
      <c r="I1947" s="8">
        <f t="shared" si="75"/>
        <v>-138.26</v>
      </c>
      <c r="J1947" s="12">
        <v>572000002</v>
      </c>
    </row>
    <row r="1948" spans="1:10" x14ac:dyDescent="0.3">
      <c r="C1948" s="9" t="s">
        <v>12</v>
      </c>
      <c r="D1948" s="10">
        <v>45666</v>
      </c>
      <c r="E1948" t="s">
        <v>1761</v>
      </c>
      <c r="F1948" s="11" t="s">
        <v>1762</v>
      </c>
      <c r="G1948" s="8">
        <v>116.16</v>
      </c>
      <c r="H1948" s="8">
        <v>0</v>
      </c>
      <c r="I1948" s="8">
        <f t="shared" si="75"/>
        <v>-22.099999999999994</v>
      </c>
      <c r="J1948" s="12"/>
    </row>
    <row r="1949" spans="1:10" x14ac:dyDescent="0.3">
      <c r="C1949" s="9" t="s">
        <v>12</v>
      </c>
      <c r="D1949" s="10">
        <v>45679</v>
      </c>
      <c r="E1949" t="s">
        <v>1763</v>
      </c>
      <c r="F1949" s="11" t="s">
        <v>1764</v>
      </c>
      <c r="G1949" s="8">
        <v>102.85</v>
      </c>
      <c r="H1949" s="8">
        <v>0</v>
      </c>
      <c r="I1949" s="8">
        <f t="shared" si="75"/>
        <v>80.75</v>
      </c>
      <c r="J1949" s="12"/>
    </row>
    <row r="1950" spans="1:10" x14ac:dyDescent="0.3">
      <c r="C1950" s="9" t="s">
        <v>12</v>
      </c>
      <c r="D1950" s="10">
        <v>45680</v>
      </c>
      <c r="E1950" t="s">
        <v>1765</v>
      </c>
      <c r="F1950" s="11" t="s">
        <v>14</v>
      </c>
      <c r="G1950" s="8">
        <v>409.77</v>
      </c>
      <c r="H1950" s="8">
        <v>0</v>
      </c>
      <c r="I1950" s="8">
        <f t="shared" si="75"/>
        <v>490.52</v>
      </c>
      <c r="J1950" s="12">
        <v>572000002</v>
      </c>
    </row>
    <row r="1951" spans="1:10" x14ac:dyDescent="0.3">
      <c r="C1951" s="9" t="s">
        <v>12</v>
      </c>
      <c r="D1951" s="10">
        <v>45696</v>
      </c>
      <c r="E1951" t="s">
        <v>886</v>
      </c>
      <c r="F1951" s="11" t="s">
        <v>14</v>
      </c>
      <c r="G1951" s="8">
        <v>0</v>
      </c>
      <c r="H1951" s="8">
        <v>271.51</v>
      </c>
      <c r="I1951" s="8">
        <f t="shared" si="75"/>
        <v>219.01</v>
      </c>
      <c r="J1951" s="12">
        <v>572000002</v>
      </c>
    </row>
    <row r="1952" spans="1:10" x14ac:dyDescent="0.3">
      <c r="C1952" s="9" t="s">
        <v>12</v>
      </c>
      <c r="D1952" s="10">
        <v>45696</v>
      </c>
      <c r="E1952" t="s">
        <v>886</v>
      </c>
      <c r="F1952" s="11" t="s">
        <v>14</v>
      </c>
      <c r="G1952" s="8">
        <v>0</v>
      </c>
      <c r="H1952" s="8">
        <v>116.16</v>
      </c>
      <c r="I1952" s="8">
        <f t="shared" si="75"/>
        <v>102.85</v>
      </c>
      <c r="J1952" s="12">
        <v>572000002</v>
      </c>
    </row>
    <row r="1953" spans="1:10" x14ac:dyDescent="0.3">
      <c r="C1953" s="9" t="s">
        <v>12</v>
      </c>
      <c r="D1953" s="10">
        <v>45698</v>
      </c>
      <c r="E1953" t="s">
        <v>1766</v>
      </c>
      <c r="F1953" s="11" t="s">
        <v>1767</v>
      </c>
      <c r="G1953" s="8">
        <v>142.78</v>
      </c>
      <c r="H1953" s="8">
        <v>0</v>
      </c>
      <c r="I1953" s="8">
        <f t="shared" si="75"/>
        <v>245.63</v>
      </c>
      <c r="J1953" s="12"/>
    </row>
    <row r="1954" spans="1:10" x14ac:dyDescent="0.3">
      <c r="C1954" s="9" t="s">
        <v>12</v>
      </c>
      <c r="D1954" s="10">
        <v>45709</v>
      </c>
      <c r="E1954" t="s">
        <v>886</v>
      </c>
      <c r="F1954" s="11" t="s">
        <v>14</v>
      </c>
      <c r="G1954" s="8">
        <v>0</v>
      </c>
      <c r="H1954" s="8">
        <v>102.85</v>
      </c>
      <c r="I1954" s="8">
        <f t="shared" si="75"/>
        <v>142.78</v>
      </c>
      <c r="J1954" s="12">
        <v>572000002</v>
      </c>
    </row>
    <row r="1955" spans="1:10" x14ac:dyDescent="0.3">
      <c r="C1955" s="9"/>
      <c r="D1955" s="10">
        <v>45720</v>
      </c>
      <c r="E1955" t="s">
        <v>1768</v>
      </c>
      <c r="F1955" s="11" t="s">
        <v>1769</v>
      </c>
      <c r="G1955" s="8">
        <v>112.53</v>
      </c>
      <c r="H1955" s="8">
        <v>0</v>
      </c>
      <c r="I1955" s="8">
        <f t="shared" si="75"/>
        <v>255.31</v>
      </c>
      <c r="J1955" s="12"/>
    </row>
    <row r="1956" spans="1:10" x14ac:dyDescent="0.3">
      <c r="C1956" s="9" t="s">
        <v>12</v>
      </c>
      <c r="D1956" s="10">
        <v>45735</v>
      </c>
      <c r="E1956" t="s">
        <v>886</v>
      </c>
      <c r="F1956" s="11" t="s">
        <v>14</v>
      </c>
      <c r="G1956" s="8">
        <v>0</v>
      </c>
      <c r="H1956" s="8">
        <v>142.78</v>
      </c>
      <c r="I1956" s="8">
        <f t="shared" si="75"/>
        <v>112.53</v>
      </c>
      <c r="J1956" s="12">
        <v>572000002</v>
      </c>
    </row>
    <row r="1957" spans="1:10" x14ac:dyDescent="0.3">
      <c r="C1957" s="9"/>
      <c r="D1957" s="10">
        <v>45845</v>
      </c>
      <c r="E1957" t="s">
        <v>1770</v>
      </c>
      <c r="F1957" s="11" t="s">
        <v>1771</v>
      </c>
      <c r="G1957" s="8">
        <v>1830.32</v>
      </c>
      <c r="H1957" s="8">
        <v>0</v>
      </c>
      <c r="I1957" s="8">
        <f t="shared" si="75"/>
        <v>1942.85</v>
      </c>
      <c r="J1957" s="12"/>
    </row>
    <row r="1958" spans="1:10" x14ac:dyDescent="0.3">
      <c r="C1958" s="9"/>
      <c r="D1958" s="10">
        <v>45876</v>
      </c>
      <c r="E1958" t="s">
        <v>1772</v>
      </c>
      <c r="F1958" s="11" t="s">
        <v>14</v>
      </c>
      <c r="G1958" s="8">
        <v>0</v>
      </c>
      <c r="H1958" s="8">
        <v>915.16</v>
      </c>
      <c r="I1958" s="8">
        <f t="shared" si="75"/>
        <v>1027.69</v>
      </c>
      <c r="J1958" s="12">
        <v>572000007</v>
      </c>
    </row>
    <row r="1959" spans="1:10" x14ac:dyDescent="0.3">
      <c r="C1959" s="9"/>
      <c r="D1959" s="10">
        <v>45900</v>
      </c>
      <c r="E1959" t="s">
        <v>1773</v>
      </c>
      <c r="F1959" s="11" t="s">
        <v>1774</v>
      </c>
      <c r="G1959" s="8">
        <v>133.1</v>
      </c>
      <c r="H1959" s="8">
        <v>0</v>
      </c>
      <c r="I1959" s="8">
        <f t="shared" si="75"/>
        <v>1160.79</v>
      </c>
      <c r="J1959" s="12"/>
    </row>
    <row r="1960" spans="1:10" x14ac:dyDescent="0.3">
      <c r="C1960" s="9"/>
      <c r="D1960" s="10">
        <v>45901</v>
      </c>
      <c r="E1960" t="s">
        <v>305</v>
      </c>
      <c r="F1960" s="11" t="s">
        <v>14</v>
      </c>
      <c r="G1960" s="8">
        <v>0</v>
      </c>
      <c r="H1960" s="8">
        <v>112.53</v>
      </c>
      <c r="I1960" s="8">
        <f t="shared" si="75"/>
        <v>1048.26</v>
      </c>
      <c r="J1960" s="12">
        <v>572000007</v>
      </c>
    </row>
    <row r="1961" spans="1:10" x14ac:dyDescent="0.3">
      <c r="C1961" s="9"/>
      <c r="D1961" s="10">
        <v>45909</v>
      </c>
      <c r="E1961" t="s">
        <v>1775</v>
      </c>
      <c r="F1961" s="11" t="s">
        <v>1776</v>
      </c>
      <c r="G1961" s="8">
        <v>508.37</v>
      </c>
      <c r="H1961" s="8">
        <v>0</v>
      </c>
      <c r="I1961" s="8">
        <f t="shared" si="75"/>
        <v>1556.63</v>
      </c>
      <c r="J1961" s="12"/>
    </row>
    <row r="1962" spans="1:10" x14ac:dyDescent="0.3">
      <c r="C1962" s="9"/>
      <c r="D1962" s="10">
        <v>45919</v>
      </c>
      <c r="E1962" t="s">
        <v>305</v>
      </c>
      <c r="F1962" s="11" t="s">
        <v>14</v>
      </c>
      <c r="G1962" s="8">
        <v>0</v>
      </c>
      <c r="H1962" s="8">
        <v>915.16</v>
      </c>
      <c r="I1962" s="8">
        <f t="shared" si="75"/>
        <v>641.47000000000014</v>
      </c>
      <c r="J1962" s="12">
        <v>572000007</v>
      </c>
    </row>
    <row r="1963" spans="1:10" x14ac:dyDescent="0.3">
      <c r="E1963" s="4" t="s">
        <v>116</v>
      </c>
      <c r="G1963" s="8">
        <f>SUM(G1944:G1962)</f>
        <v>3627.39</v>
      </c>
      <c r="H1963" s="8">
        <f>SUM(H1944:H1962)</f>
        <v>2985.92</v>
      </c>
      <c r="I1963" s="8">
        <f>G1963-H1963</f>
        <v>641.4699999999998</v>
      </c>
    </row>
    <row r="1965" spans="1:10" x14ac:dyDescent="0.3">
      <c r="A1965" s="5">
        <v>430010404</v>
      </c>
      <c r="B1965" s="6" t="s">
        <v>1777</v>
      </c>
      <c r="C1965" s="7"/>
      <c r="D1965" s="7"/>
      <c r="E1965" s="7"/>
      <c r="F1965" s="7"/>
      <c r="G1965" s="7"/>
      <c r="H1965" s="7"/>
      <c r="I1965" s="7"/>
      <c r="J1965" s="7"/>
    </row>
    <row r="1966" spans="1:10" x14ac:dyDescent="0.3">
      <c r="C1966" s="9" t="s">
        <v>12</v>
      </c>
      <c r="D1966" s="10">
        <v>45687</v>
      </c>
      <c r="E1966" t="s">
        <v>1778</v>
      </c>
      <c r="F1966" s="11" t="s">
        <v>1779</v>
      </c>
      <c r="G1966" s="8">
        <v>233.92</v>
      </c>
      <c r="H1966" s="8">
        <v>0</v>
      </c>
      <c r="I1966" s="8">
        <f>G1966-H1966</f>
        <v>233.92</v>
      </c>
      <c r="J1966" s="12"/>
    </row>
    <row r="1967" spans="1:10" x14ac:dyDescent="0.3">
      <c r="C1967" s="9" t="s">
        <v>12</v>
      </c>
      <c r="D1967" s="10">
        <v>45688</v>
      </c>
      <c r="E1967" t="s">
        <v>1126</v>
      </c>
      <c r="F1967" s="11" t="s">
        <v>14</v>
      </c>
      <c r="G1967" s="8">
        <v>0</v>
      </c>
      <c r="H1967" s="8">
        <v>233.92</v>
      </c>
      <c r="I1967" s="8">
        <f t="shared" ref="I1967:I1988" si="76">G1967-H1967+I1966</f>
        <v>0</v>
      </c>
      <c r="J1967" s="12"/>
    </row>
    <row r="1968" spans="1:10" x14ac:dyDescent="0.3">
      <c r="C1968" s="9" t="s">
        <v>12</v>
      </c>
      <c r="D1968" s="10">
        <v>45705</v>
      </c>
      <c r="E1968" t="s">
        <v>1780</v>
      </c>
      <c r="F1968" s="11" t="s">
        <v>1781</v>
      </c>
      <c r="G1968" s="8">
        <v>378.17</v>
      </c>
      <c r="H1968" s="8">
        <v>0</v>
      </c>
      <c r="I1968" s="8">
        <f t="shared" si="76"/>
        <v>378.17</v>
      </c>
      <c r="J1968" s="12"/>
    </row>
    <row r="1969" spans="3:10" x14ac:dyDescent="0.3">
      <c r="C1969" s="9" t="s">
        <v>12</v>
      </c>
      <c r="D1969" s="10">
        <v>45706</v>
      </c>
      <c r="E1969" t="s">
        <v>1059</v>
      </c>
      <c r="F1969" s="11" t="s">
        <v>14</v>
      </c>
      <c r="G1969" s="8">
        <v>0</v>
      </c>
      <c r="H1969" s="8">
        <v>378.17</v>
      </c>
      <c r="I1969" s="8">
        <f t="shared" si="76"/>
        <v>0</v>
      </c>
      <c r="J1969" s="12"/>
    </row>
    <row r="1970" spans="3:10" x14ac:dyDescent="0.3">
      <c r="C1970" s="9" t="s">
        <v>12</v>
      </c>
      <c r="D1970" s="10">
        <v>45722</v>
      </c>
      <c r="E1970" t="s">
        <v>1782</v>
      </c>
      <c r="F1970" s="11" t="s">
        <v>1783</v>
      </c>
      <c r="G1970" s="8">
        <v>418.25</v>
      </c>
      <c r="H1970" s="8">
        <v>0</v>
      </c>
      <c r="I1970" s="8">
        <f t="shared" si="76"/>
        <v>418.25</v>
      </c>
      <c r="J1970" s="12"/>
    </row>
    <row r="1971" spans="3:10" x14ac:dyDescent="0.3">
      <c r="C1971" s="9" t="s">
        <v>12</v>
      </c>
      <c r="D1971" s="10">
        <v>45722</v>
      </c>
      <c r="E1971" t="s">
        <v>1059</v>
      </c>
      <c r="F1971" s="11" t="s">
        <v>14</v>
      </c>
      <c r="G1971" s="8">
        <v>0</v>
      </c>
      <c r="H1971" s="8">
        <v>418.25</v>
      </c>
      <c r="I1971" s="8">
        <f t="shared" si="76"/>
        <v>0</v>
      </c>
      <c r="J1971" s="12"/>
    </row>
    <row r="1972" spans="3:10" x14ac:dyDescent="0.3">
      <c r="C1972" s="9"/>
      <c r="D1972" s="10">
        <v>45790</v>
      </c>
      <c r="E1972" t="s">
        <v>1784</v>
      </c>
      <c r="F1972" s="11" t="s">
        <v>1785</v>
      </c>
      <c r="G1972" s="8">
        <v>829.67</v>
      </c>
      <c r="H1972" s="8">
        <v>0</v>
      </c>
      <c r="I1972" s="8">
        <f t="shared" si="76"/>
        <v>829.67</v>
      </c>
      <c r="J1972" s="12"/>
    </row>
    <row r="1973" spans="3:10" x14ac:dyDescent="0.3">
      <c r="C1973" s="9"/>
      <c r="D1973" s="10">
        <v>45793</v>
      </c>
      <c r="E1973" t="s">
        <v>305</v>
      </c>
      <c r="F1973" s="11" t="s">
        <v>14</v>
      </c>
      <c r="G1973" s="8">
        <v>0</v>
      </c>
      <c r="H1973" s="8">
        <v>5000</v>
      </c>
      <c r="I1973" s="8">
        <f t="shared" si="76"/>
        <v>-4170.33</v>
      </c>
      <c r="J1973" s="12">
        <v>572000007</v>
      </c>
    </row>
    <row r="1974" spans="3:10" x14ac:dyDescent="0.3">
      <c r="C1974" s="9"/>
      <c r="D1974" s="10">
        <v>45803</v>
      </c>
      <c r="E1974" t="s">
        <v>1786</v>
      </c>
      <c r="F1974" s="11" t="s">
        <v>1787</v>
      </c>
      <c r="G1974" s="8">
        <v>12347.45</v>
      </c>
      <c r="H1974" s="8">
        <v>0</v>
      </c>
      <c r="I1974" s="8">
        <f t="shared" si="76"/>
        <v>8177.1200000000008</v>
      </c>
      <c r="J1974" s="12"/>
    </row>
    <row r="1975" spans="3:10" x14ac:dyDescent="0.3">
      <c r="C1975" s="9"/>
      <c r="D1975" s="10">
        <v>45803</v>
      </c>
      <c r="E1975" t="s">
        <v>1788</v>
      </c>
      <c r="F1975" s="11" t="s">
        <v>1789</v>
      </c>
      <c r="G1975" s="8">
        <v>6394.85</v>
      </c>
      <c r="H1975" s="8">
        <v>0</v>
      </c>
      <c r="I1975" s="8">
        <f t="shared" si="76"/>
        <v>14571.970000000001</v>
      </c>
      <c r="J1975" s="12"/>
    </row>
    <row r="1976" spans="3:10" x14ac:dyDescent="0.3">
      <c r="C1976" s="9"/>
      <c r="D1976" s="10">
        <v>45818</v>
      </c>
      <c r="E1976" t="s">
        <v>108</v>
      </c>
      <c r="F1976" s="11" t="s">
        <v>14</v>
      </c>
      <c r="G1976" s="8">
        <v>0</v>
      </c>
      <c r="H1976" s="8">
        <v>13451</v>
      </c>
      <c r="I1976" s="8">
        <f t="shared" si="76"/>
        <v>1120.9700000000012</v>
      </c>
      <c r="J1976" s="12">
        <v>572000007</v>
      </c>
    </row>
    <row r="1977" spans="3:10" x14ac:dyDescent="0.3">
      <c r="C1977" s="9"/>
      <c r="D1977" s="10">
        <v>45848</v>
      </c>
      <c r="E1977" t="s">
        <v>1059</v>
      </c>
      <c r="F1977" s="11" t="s">
        <v>14</v>
      </c>
      <c r="G1977" s="8">
        <v>0</v>
      </c>
      <c r="H1977" s="8">
        <v>829.67</v>
      </c>
      <c r="I1977" s="8">
        <f t="shared" si="76"/>
        <v>291.30000000000121</v>
      </c>
      <c r="J1977" s="12"/>
    </row>
    <row r="1978" spans="3:10" x14ac:dyDescent="0.3">
      <c r="C1978" s="9"/>
      <c r="D1978" s="10">
        <v>45870</v>
      </c>
      <c r="E1978" t="s">
        <v>1790</v>
      </c>
      <c r="F1978" s="11" t="s">
        <v>1791</v>
      </c>
      <c r="G1978" s="8">
        <v>-6394.85</v>
      </c>
      <c r="H1978" s="8">
        <v>0</v>
      </c>
      <c r="I1978" s="8">
        <f t="shared" si="76"/>
        <v>-6103.5499999999993</v>
      </c>
      <c r="J1978" s="12"/>
    </row>
    <row r="1979" spans="3:10" x14ac:dyDescent="0.3">
      <c r="C1979" s="9"/>
      <c r="D1979" s="10">
        <v>45870</v>
      </c>
      <c r="E1979" t="s">
        <v>1792</v>
      </c>
      <c r="F1979" s="11" t="s">
        <v>1793</v>
      </c>
      <c r="G1979" s="8">
        <v>-12347.45</v>
      </c>
      <c r="H1979" s="8">
        <v>0</v>
      </c>
      <c r="I1979" s="8">
        <f t="shared" si="76"/>
        <v>-18451</v>
      </c>
      <c r="J1979" s="12"/>
    </row>
    <row r="1980" spans="3:10" x14ac:dyDescent="0.3">
      <c r="C1980" s="9"/>
      <c r="D1980" s="10">
        <v>45874</v>
      </c>
      <c r="E1980" t="s">
        <v>1794</v>
      </c>
      <c r="F1980" s="11" t="s">
        <v>14</v>
      </c>
      <c r="G1980" s="8">
        <v>18451</v>
      </c>
      <c r="H1980" s="8">
        <v>0</v>
      </c>
      <c r="I1980" s="8">
        <f t="shared" si="76"/>
        <v>0</v>
      </c>
      <c r="J1980" s="12">
        <v>572000007</v>
      </c>
    </row>
    <row r="1981" spans="3:10" x14ac:dyDescent="0.3">
      <c r="C1981" s="9"/>
      <c r="D1981" s="10">
        <v>45876</v>
      </c>
      <c r="E1981" t="s">
        <v>1795</v>
      </c>
      <c r="F1981" s="11" t="s">
        <v>1796</v>
      </c>
      <c r="G1981" s="8">
        <v>365.7</v>
      </c>
      <c r="H1981" s="8">
        <v>0</v>
      </c>
      <c r="I1981" s="8">
        <f t="shared" si="76"/>
        <v>365.7</v>
      </c>
      <c r="J1981" s="12"/>
    </row>
    <row r="1982" spans="3:10" x14ac:dyDescent="0.3">
      <c r="C1982" s="9"/>
      <c r="D1982" s="10">
        <v>45876</v>
      </c>
      <c r="E1982" t="s">
        <v>1797</v>
      </c>
      <c r="F1982" s="11" t="s">
        <v>1798</v>
      </c>
      <c r="G1982" s="8">
        <v>693.23</v>
      </c>
      <c r="H1982" s="8">
        <v>0</v>
      </c>
      <c r="I1982" s="8">
        <f t="shared" si="76"/>
        <v>1058.93</v>
      </c>
      <c r="J1982" s="12"/>
    </row>
    <row r="1983" spans="3:10" x14ac:dyDescent="0.3">
      <c r="C1983" s="9"/>
      <c r="D1983" s="10">
        <v>45883</v>
      </c>
      <c r="E1983" t="s">
        <v>1799</v>
      </c>
      <c r="F1983" s="11" t="s">
        <v>1800</v>
      </c>
      <c r="G1983" s="8">
        <v>305.3</v>
      </c>
      <c r="H1983" s="8">
        <v>0</v>
      </c>
      <c r="I1983" s="8">
        <f t="shared" si="76"/>
        <v>1364.23</v>
      </c>
      <c r="J1983" s="12"/>
    </row>
    <row r="1984" spans="3:10" x14ac:dyDescent="0.3">
      <c r="C1984" s="9"/>
      <c r="D1984" s="10">
        <v>45903</v>
      </c>
      <c r="E1984" t="s">
        <v>1801</v>
      </c>
      <c r="F1984" s="11" t="s">
        <v>1802</v>
      </c>
      <c r="G1984" s="8">
        <v>549.23</v>
      </c>
      <c r="H1984" s="8">
        <v>0</v>
      </c>
      <c r="I1984" s="8">
        <f t="shared" si="76"/>
        <v>1913.46</v>
      </c>
      <c r="J1984" s="12"/>
    </row>
    <row r="1985" spans="1:10" x14ac:dyDescent="0.3">
      <c r="C1985" s="9"/>
      <c r="D1985" s="10">
        <v>45910</v>
      </c>
      <c r="E1985" t="s">
        <v>1059</v>
      </c>
      <c r="F1985" s="11" t="s">
        <v>14</v>
      </c>
      <c r="G1985" s="8">
        <v>0</v>
      </c>
      <c r="H1985" s="8">
        <v>693.23</v>
      </c>
      <c r="I1985" s="8">
        <f t="shared" si="76"/>
        <v>1220.23</v>
      </c>
      <c r="J1985" s="12"/>
    </row>
    <row r="1986" spans="1:10" x14ac:dyDescent="0.3">
      <c r="C1986" s="9"/>
      <c r="D1986" s="10">
        <v>45910</v>
      </c>
      <c r="E1986" t="s">
        <v>1059</v>
      </c>
      <c r="F1986" s="11" t="s">
        <v>14</v>
      </c>
      <c r="G1986" s="8">
        <v>0</v>
      </c>
      <c r="H1986" s="8">
        <v>365.7</v>
      </c>
      <c r="I1986" s="8">
        <f t="shared" si="76"/>
        <v>854.53</v>
      </c>
      <c r="J1986" s="12"/>
    </row>
    <row r="1987" spans="1:10" x14ac:dyDescent="0.3">
      <c r="C1987" s="9"/>
      <c r="D1987" s="10">
        <v>45910</v>
      </c>
      <c r="E1987" t="s">
        <v>1031</v>
      </c>
      <c r="F1987" s="11" t="s">
        <v>14</v>
      </c>
      <c r="G1987" s="8">
        <v>693.23</v>
      </c>
      <c r="H1987" s="8">
        <v>0</v>
      </c>
      <c r="I1987" s="8">
        <f t="shared" si="76"/>
        <v>1547.76</v>
      </c>
      <c r="J1987" s="12"/>
    </row>
    <row r="1988" spans="1:10" x14ac:dyDescent="0.3">
      <c r="C1988" s="9"/>
      <c r="D1988" s="10">
        <v>45910</v>
      </c>
      <c r="E1988" t="s">
        <v>1031</v>
      </c>
      <c r="F1988" s="11" t="s">
        <v>14</v>
      </c>
      <c r="G1988" s="8">
        <v>365.7</v>
      </c>
      <c r="H1988" s="8">
        <v>0</v>
      </c>
      <c r="I1988" s="8">
        <f t="shared" si="76"/>
        <v>1913.46</v>
      </c>
      <c r="J1988" s="12"/>
    </row>
    <row r="1989" spans="1:10" x14ac:dyDescent="0.3">
      <c r="E1989" s="4" t="s">
        <v>116</v>
      </c>
      <c r="G1989" s="8">
        <f>SUM(G1966:G1988)</f>
        <v>23283.4</v>
      </c>
      <c r="H1989" s="8">
        <f>SUM(H1966:H1988)</f>
        <v>21369.94</v>
      </c>
      <c r="I1989" s="8">
        <f>G1989-H1989</f>
        <v>1913.4600000000028</v>
      </c>
    </row>
    <row r="1991" spans="1:10" x14ac:dyDescent="0.3">
      <c r="A1991" s="5">
        <v>430010504</v>
      </c>
      <c r="B1991" s="6" t="s">
        <v>1803</v>
      </c>
      <c r="C1991" s="7"/>
      <c r="D1991" s="7"/>
      <c r="E1991" s="7"/>
      <c r="F1991" s="7"/>
      <c r="G1991" s="7"/>
      <c r="H1991" s="7"/>
      <c r="I1991" s="7"/>
      <c r="J1991" s="7"/>
    </row>
    <row r="1992" spans="1:10" x14ac:dyDescent="0.3">
      <c r="C1992" s="9" t="s">
        <v>12</v>
      </c>
      <c r="D1992" s="10">
        <v>45693</v>
      </c>
      <c r="E1992" t="s">
        <v>1804</v>
      </c>
      <c r="F1992" s="11" t="s">
        <v>1805</v>
      </c>
      <c r="G1992" s="8">
        <v>133.1</v>
      </c>
      <c r="H1992" s="8">
        <v>0</v>
      </c>
      <c r="I1992" s="8">
        <f>G1992-H1992</f>
        <v>133.1</v>
      </c>
      <c r="J1992" s="12"/>
    </row>
    <row r="1993" spans="1:10" x14ac:dyDescent="0.3">
      <c r="C1993" s="9" t="s">
        <v>12</v>
      </c>
      <c r="D1993" s="10">
        <v>45695</v>
      </c>
      <c r="E1993" t="s">
        <v>1806</v>
      </c>
      <c r="F1993" s="11" t="s">
        <v>1805</v>
      </c>
      <c r="G1993" s="8">
        <v>0</v>
      </c>
      <c r="H1993" s="8">
        <v>133.1</v>
      </c>
      <c r="I1993" s="8">
        <f>G1993-H1993+I1992</f>
        <v>0</v>
      </c>
      <c r="J1993" s="12"/>
    </row>
    <row r="1994" spans="1:10" x14ac:dyDescent="0.3">
      <c r="C1994" s="9"/>
      <c r="D1994" s="10">
        <v>45803</v>
      </c>
      <c r="E1994" t="s">
        <v>1807</v>
      </c>
      <c r="F1994" s="11" t="s">
        <v>1808</v>
      </c>
      <c r="G1994" s="8">
        <v>3388</v>
      </c>
      <c r="H1994" s="8">
        <v>0</v>
      </c>
      <c r="I1994" s="8">
        <f>G1994-H1994+I1993</f>
        <v>3388</v>
      </c>
      <c r="J1994" s="12"/>
    </row>
    <row r="1995" spans="1:10" x14ac:dyDescent="0.3">
      <c r="C1995" s="9"/>
      <c r="D1995" s="10">
        <v>45803</v>
      </c>
      <c r="E1995" t="s">
        <v>305</v>
      </c>
      <c r="F1995" s="11" t="s">
        <v>14</v>
      </c>
      <c r="G1995" s="8">
        <v>0</v>
      </c>
      <c r="H1995" s="8">
        <v>1000</v>
      </c>
      <c r="I1995" s="8">
        <f>G1995-H1995+I1994</f>
        <v>2388</v>
      </c>
      <c r="J1995" s="12">
        <v>572000007</v>
      </c>
    </row>
    <row r="1996" spans="1:10" x14ac:dyDescent="0.3">
      <c r="E1996" s="4" t="s">
        <v>116</v>
      </c>
      <c r="G1996" s="8">
        <f>SUM(G1992:G1995)</f>
        <v>3521.1</v>
      </c>
      <c r="H1996" s="8">
        <f>SUM(H1992:H1995)</f>
        <v>1133.0999999999999</v>
      </c>
      <c r="I1996" s="8">
        <f>G1996-H1996</f>
        <v>2388</v>
      </c>
    </row>
    <row r="1998" spans="1:10" x14ac:dyDescent="0.3">
      <c r="A1998" s="5">
        <v>430010775</v>
      </c>
      <c r="B1998" s="6" t="s">
        <v>1809</v>
      </c>
      <c r="C1998" s="7"/>
      <c r="D1998" s="7"/>
      <c r="E1998" s="7"/>
      <c r="F1998" s="7"/>
      <c r="G1998" s="7"/>
      <c r="H1998" s="7"/>
      <c r="I1998" s="7"/>
      <c r="J1998" s="7"/>
    </row>
    <row r="1999" spans="1:10" x14ac:dyDescent="0.3">
      <c r="C1999" s="9" t="s">
        <v>12</v>
      </c>
      <c r="D1999" s="10">
        <v>45681</v>
      </c>
      <c r="E1999" t="s">
        <v>1810</v>
      </c>
      <c r="F1999" s="11" t="s">
        <v>1811</v>
      </c>
      <c r="G1999" s="8">
        <v>3582.07</v>
      </c>
      <c r="H1999" s="8">
        <v>0</v>
      </c>
      <c r="I1999" s="8">
        <f>G1999-H1999</f>
        <v>3582.07</v>
      </c>
      <c r="J1999" s="12"/>
    </row>
    <row r="2000" spans="1:10" x14ac:dyDescent="0.3">
      <c r="C2000" s="9" t="s">
        <v>12</v>
      </c>
      <c r="D2000" s="10">
        <v>45681</v>
      </c>
      <c r="E2000" t="s">
        <v>1059</v>
      </c>
      <c r="F2000" s="11" t="s">
        <v>14</v>
      </c>
      <c r="G2000" s="8">
        <v>0</v>
      </c>
      <c r="H2000" s="8">
        <v>895.52</v>
      </c>
      <c r="I2000" s="8">
        <f t="shared" ref="I2000:I2012" si="77">G2000-H2000+I1999</f>
        <v>2686.55</v>
      </c>
      <c r="J2000" s="12"/>
    </row>
    <row r="2001" spans="1:10" x14ac:dyDescent="0.3">
      <c r="C2001" s="9" t="s">
        <v>12</v>
      </c>
      <c r="D2001" s="10">
        <v>45681</v>
      </c>
      <c r="E2001" t="s">
        <v>1059</v>
      </c>
      <c r="F2001" s="11" t="s">
        <v>14</v>
      </c>
      <c r="G2001" s="8">
        <v>0</v>
      </c>
      <c r="H2001" s="8">
        <v>895.52</v>
      </c>
      <c r="I2001" s="8">
        <f t="shared" si="77"/>
        <v>1791.0300000000002</v>
      </c>
      <c r="J2001" s="12"/>
    </row>
    <row r="2002" spans="1:10" x14ac:dyDescent="0.3">
      <c r="C2002" s="9" t="s">
        <v>12</v>
      </c>
      <c r="D2002" s="10">
        <v>45681</v>
      </c>
      <c r="E2002" t="s">
        <v>1059</v>
      </c>
      <c r="F2002" s="11" t="s">
        <v>14</v>
      </c>
      <c r="G2002" s="8">
        <v>0</v>
      </c>
      <c r="H2002" s="8">
        <v>895.52</v>
      </c>
      <c r="I2002" s="8">
        <f t="shared" si="77"/>
        <v>895.51000000000022</v>
      </c>
      <c r="J2002" s="12"/>
    </row>
    <row r="2003" spans="1:10" x14ac:dyDescent="0.3">
      <c r="C2003" s="9" t="s">
        <v>12</v>
      </c>
      <c r="D2003" s="10">
        <v>45681</v>
      </c>
      <c r="E2003" t="s">
        <v>1059</v>
      </c>
      <c r="F2003" s="11" t="s">
        <v>14</v>
      </c>
      <c r="G2003" s="8">
        <v>0</v>
      </c>
      <c r="H2003" s="8">
        <v>895.51</v>
      </c>
      <c r="I2003" s="8">
        <f t="shared" si="77"/>
        <v>0</v>
      </c>
      <c r="J2003" s="12"/>
    </row>
    <row r="2004" spans="1:10" x14ac:dyDescent="0.3">
      <c r="C2004" s="9" t="s">
        <v>12</v>
      </c>
      <c r="D2004" s="10">
        <v>45726</v>
      </c>
      <c r="E2004" t="s">
        <v>1812</v>
      </c>
      <c r="F2004" s="11" t="s">
        <v>1813</v>
      </c>
      <c r="G2004" s="8">
        <v>6029.43</v>
      </c>
      <c r="H2004" s="8">
        <v>0</v>
      </c>
      <c r="I2004" s="8">
        <f t="shared" si="77"/>
        <v>6029.43</v>
      </c>
      <c r="J2004" s="12"/>
    </row>
    <row r="2005" spans="1:10" x14ac:dyDescent="0.3">
      <c r="C2005" s="9"/>
      <c r="D2005" s="10">
        <v>45726</v>
      </c>
      <c r="E2005" t="s">
        <v>1814</v>
      </c>
      <c r="F2005" s="11" t="s">
        <v>1815</v>
      </c>
      <c r="G2005" s="8">
        <v>3014.72</v>
      </c>
      <c r="H2005" s="8">
        <v>0</v>
      </c>
      <c r="I2005" s="8">
        <f t="shared" si="77"/>
        <v>9044.15</v>
      </c>
      <c r="J2005" s="12"/>
    </row>
    <row r="2006" spans="1:10" x14ac:dyDescent="0.3">
      <c r="C2006" s="9"/>
      <c r="D2006" s="10">
        <v>45727</v>
      </c>
      <c r="E2006" t="s">
        <v>1265</v>
      </c>
      <c r="F2006" s="11" t="s">
        <v>14</v>
      </c>
      <c r="G2006" s="8">
        <v>0</v>
      </c>
      <c r="H2006" s="8">
        <v>3000</v>
      </c>
      <c r="I2006" s="8">
        <f t="shared" si="77"/>
        <v>6044.15</v>
      </c>
      <c r="J2006" s="12">
        <v>572000002</v>
      </c>
    </row>
    <row r="2007" spans="1:10" x14ac:dyDescent="0.3">
      <c r="C2007" s="9" t="s">
        <v>12</v>
      </c>
      <c r="D2007" s="10">
        <v>45740</v>
      </c>
      <c r="E2007" t="s">
        <v>1816</v>
      </c>
      <c r="F2007" s="11" t="s">
        <v>390</v>
      </c>
      <c r="G2007" s="8">
        <v>-6029.43</v>
      </c>
      <c r="H2007" s="8">
        <v>0</v>
      </c>
      <c r="I2007" s="8">
        <f t="shared" si="77"/>
        <v>14.719999999999345</v>
      </c>
      <c r="J2007" s="12"/>
    </row>
    <row r="2008" spans="1:10" x14ac:dyDescent="0.3">
      <c r="C2008" s="9"/>
      <c r="D2008" s="10">
        <v>45820</v>
      </c>
      <c r="E2008" t="s">
        <v>1817</v>
      </c>
      <c r="F2008" s="11" t="s">
        <v>1818</v>
      </c>
      <c r="G2008" s="8">
        <v>295.70999999999998</v>
      </c>
      <c r="H2008" s="8">
        <v>0</v>
      </c>
      <c r="I2008" s="8">
        <f t="shared" si="77"/>
        <v>310.42999999999932</v>
      </c>
      <c r="J2008" s="12"/>
    </row>
    <row r="2009" spans="1:10" x14ac:dyDescent="0.3">
      <c r="C2009" s="9"/>
      <c r="D2009" s="10">
        <v>45827</v>
      </c>
      <c r="E2009" t="s">
        <v>1819</v>
      </c>
      <c r="F2009" s="11" t="s">
        <v>1820</v>
      </c>
      <c r="G2009" s="8">
        <v>3014.71</v>
      </c>
      <c r="H2009" s="8">
        <v>0</v>
      </c>
      <c r="I2009" s="8">
        <f t="shared" si="77"/>
        <v>3325.1399999999994</v>
      </c>
      <c r="J2009" s="12"/>
    </row>
    <row r="2010" spans="1:10" x14ac:dyDescent="0.3">
      <c r="C2010" s="9"/>
      <c r="D2010" s="10">
        <v>45828</v>
      </c>
      <c r="E2010" t="s">
        <v>1821</v>
      </c>
      <c r="F2010" s="11" t="s">
        <v>14</v>
      </c>
      <c r="G2010" s="8">
        <v>0</v>
      </c>
      <c r="H2010" s="8">
        <v>1000</v>
      </c>
      <c r="I2010" s="8">
        <f t="shared" si="77"/>
        <v>2325.1399999999994</v>
      </c>
      <c r="J2010" s="12">
        <v>572000002</v>
      </c>
    </row>
    <row r="2011" spans="1:10" x14ac:dyDescent="0.3">
      <c r="C2011" s="9"/>
      <c r="D2011" s="10">
        <v>45853</v>
      </c>
      <c r="E2011" t="s">
        <v>1059</v>
      </c>
      <c r="F2011" s="11" t="s">
        <v>14</v>
      </c>
      <c r="G2011" s="8">
        <v>0</v>
      </c>
      <c r="H2011" s="8">
        <v>295.70999999999998</v>
      </c>
      <c r="I2011" s="8">
        <f t="shared" si="77"/>
        <v>2029.4299999999994</v>
      </c>
      <c r="J2011" s="12"/>
    </row>
    <row r="2012" spans="1:10" x14ac:dyDescent="0.3">
      <c r="C2012" s="9"/>
      <c r="D2012" s="10">
        <v>45917</v>
      </c>
      <c r="E2012" t="s">
        <v>1822</v>
      </c>
      <c r="F2012" s="11" t="s">
        <v>1823</v>
      </c>
      <c r="G2012" s="8">
        <v>110.07</v>
      </c>
      <c r="H2012" s="8">
        <v>0</v>
      </c>
      <c r="I2012" s="8">
        <f t="shared" si="77"/>
        <v>2139.4999999999995</v>
      </c>
      <c r="J2012" s="12"/>
    </row>
    <row r="2013" spans="1:10" x14ac:dyDescent="0.3">
      <c r="E2013" s="4" t="s">
        <v>116</v>
      </c>
      <c r="G2013" s="8">
        <f>SUM(G1999:G2012)</f>
        <v>10017.279999999999</v>
      </c>
      <c r="H2013" s="8">
        <f>SUM(H1999:H2012)</f>
        <v>7877.78</v>
      </c>
      <c r="I2013" s="8">
        <f>G2013-H2013</f>
        <v>2139.4999999999991</v>
      </c>
    </row>
    <row r="2015" spans="1:10" x14ac:dyDescent="0.3">
      <c r="A2015" s="5">
        <v>430020068</v>
      </c>
      <c r="B2015" s="6" t="s">
        <v>1824</v>
      </c>
      <c r="C2015" s="7"/>
      <c r="D2015" s="7"/>
      <c r="E2015" s="7"/>
      <c r="F2015" s="7"/>
      <c r="G2015" s="7"/>
      <c r="H2015" s="7"/>
      <c r="I2015" s="7"/>
      <c r="J2015" s="7"/>
    </row>
    <row r="2016" spans="1:10" x14ac:dyDescent="0.3">
      <c r="E2016" s="4" t="s">
        <v>11</v>
      </c>
      <c r="G2016" s="8">
        <v>240.73</v>
      </c>
      <c r="H2016" s="8">
        <v>0</v>
      </c>
      <c r="I2016" s="8">
        <f>G2016-H2016</f>
        <v>240.73</v>
      </c>
    </row>
    <row r="2017" spans="1:10" x14ac:dyDescent="0.3">
      <c r="E2017" s="4" t="s">
        <v>116</v>
      </c>
      <c r="G2017" s="8">
        <f>G2016</f>
        <v>240.73</v>
      </c>
      <c r="H2017" s="8">
        <f>H2016</f>
        <v>0</v>
      </c>
      <c r="I2017" s="8">
        <f>G2017-H2017</f>
        <v>240.73</v>
      </c>
    </row>
    <row r="2019" spans="1:10" x14ac:dyDescent="0.3">
      <c r="A2019" s="5">
        <v>430020711</v>
      </c>
      <c r="B2019" s="6" t="s">
        <v>1825</v>
      </c>
      <c r="C2019" s="7"/>
      <c r="D2019" s="7"/>
      <c r="E2019" s="7"/>
      <c r="F2019" s="7"/>
      <c r="G2019" s="7"/>
      <c r="H2019" s="7"/>
      <c r="I2019" s="7"/>
      <c r="J2019" s="7"/>
    </row>
    <row r="2020" spans="1:10" x14ac:dyDescent="0.3">
      <c r="C2020" s="9" t="s">
        <v>12</v>
      </c>
      <c r="D2020" s="10">
        <v>45797</v>
      </c>
      <c r="E2020" t="s">
        <v>1826</v>
      </c>
      <c r="F2020" s="11" t="s">
        <v>1827</v>
      </c>
      <c r="G2020" s="8">
        <v>366.62</v>
      </c>
      <c r="H2020" s="8">
        <v>0</v>
      </c>
      <c r="I2020" s="8">
        <f>G2020-H2020</f>
        <v>366.62</v>
      </c>
      <c r="J2020" s="12"/>
    </row>
    <row r="2021" spans="1:10" x14ac:dyDescent="0.3">
      <c r="C2021" s="9" t="s">
        <v>12</v>
      </c>
      <c r="D2021" s="10">
        <v>45799</v>
      </c>
      <c r="E2021" t="s">
        <v>886</v>
      </c>
      <c r="F2021" s="11" t="s">
        <v>14</v>
      </c>
      <c r="G2021" s="8">
        <v>0</v>
      </c>
      <c r="H2021" s="8">
        <v>366.62</v>
      </c>
      <c r="I2021" s="8">
        <f>G2021-H2021+I2020</f>
        <v>0</v>
      </c>
      <c r="J2021" s="12">
        <v>572000005</v>
      </c>
    </row>
    <row r="2022" spans="1:10" x14ac:dyDescent="0.3">
      <c r="C2022" s="9"/>
      <c r="D2022" s="10">
        <v>45853</v>
      </c>
      <c r="E2022" t="s">
        <v>1828</v>
      </c>
      <c r="F2022" s="11" t="s">
        <v>1829</v>
      </c>
      <c r="G2022" s="8">
        <v>8397.4</v>
      </c>
      <c r="H2022" s="8">
        <v>0</v>
      </c>
      <c r="I2022" s="8">
        <f>G2022-H2022+I2021</f>
        <v>8397.4</v>
      </c>
      <c r="J2022" s="12"/>
    </row>
    <row r="2023" spans="1:10" x14ac:dyDescent="0.3">
      <c r="C2023" s="9"/>
      <c r="D2023" s="10">
        <v>45909</v>
      </c>
      <c r="E2023" t="s">
        <v>1830</v>
      </c>
      <c r="F2023" s="11" t="s">
        <v>1831</v>
      </c>
      <c r="G2023" s="8">
        <v>0.01</v>
      </c>
      <c r="H2023" s="8">
        <v>0</v>
      </c>
      <c r="I2023" s="8">
        <f>G2023-H2023+I2022</f>
        <v>8397.41</v>
      </c>
      <c r="J2023" s="12">
        <v>705000000</v>
      </c>
    </row>
    <row r="2024" spans="1:10" x14ac:dyDescent="0.3">
      <c r="E2024" s="4" t="s">
        <v>116</v>
      </c>
      <c r="G2024" s="8">
        <f>SUM(G2020:G2023)</f>
        <v>8764.0300000000007</v>
      </c>
      <c r="H2024" s="8">
        <f>SUM(H2020:H2023)</f>
        <v>366.62</v>
      </c>
      <c r="I2024" s="8">
        <f>G2024-H2024</f>
        <v>8397.41</v>
      </c>
    </row>
    <row r="2026" spans="1:10" x14ac:dyDescent="0.3">
      <c r="A2026" s="5">
        <v>430030054</v>
      </c>
      <c r="B2026" s="6" t="s">
        <v>1832</v>
      </c>
      <c r="C2026" s="7"/>
      <c r="D2026" s="7"/>
      <c r="E2026" s="7"/>
      <c r="F2026" s="7"/>
      <c r="G2026" s="7"/>
      <c r="H2026" s="7"/>
      <c r="I2026" s="7"/>
      <c r="J2026" s="7"/>
    </row>
    <row r="2027" spans="1:10" x14ac:dyDescent="0.3">
      <c r="C2027" s="9" t="s">
        <v>12</v>
      </c>
      <c r="D2027" s="10">
        <v>45678</v>
      </c>
      <c r="E2027" t="s">
        <v>1833</v>
      </c>
      <c r="F2027" s="11" t="s">
        <v>1834</v>
      </c>
      <c r="G2027" s="8">
        <v>148.58000000000001</v>
      </c>
      <c r="H2027" s="8">
        <v>0</v>
      </c>
      <c r="I2027" s="8">
        <f>G2027-H2027</f>
        <v>148.58000000000001</v>
      </c>
      <c r="J2027" s="12"/>
    </row>
    <row r="2028" spans="1:10" x14ac:dyDescent="0.3">
      <c r="C2028" s="9" t="s">
        <v>12</v>
      </c>
      <c r="D2028" s="10">
        <v>45686</v>
      </c>
      <c r="E2028" t="s">
        <v>1835</v>
      </c>
      <c r="F2028" s="11" t="s">
        <v>14</v>
      </c>
      <c r="G2028" s="8">
        <v>0</v>
      </c>
      <c r="H2028" s="8">
        <v>148.58000000000001</v>
      </c>
      <c r="I2028" s="8">
        <f>G2028-H2028+I2027</f>
        <v>0</v>
      </c>
      <c r="J2028" s="12"/>
    </row>
    <row r="2029" spans="1:10" x14ac:dyDescent="0.3">
      <c r="C2029" s="9"/>
      <c r="D2029" s="10">
        <v>45756</v>
      </c>
      <c r="E2029" t="s">
        <v>1836</v>
      </c>
      <c r="F2029" s="11" t="s">
        <v>1837</v>
      </c>
      <c r="G2029" s="8">
        <v>381.33</v>
      </c>
      <c r="H2029" s="8">
        <v>0</v>
      </c>
      <c r="I2029" s="8">
        <f>G2029-H2029+I2028</f>
        <v>381.33</v>
      </c>
      <c r="J2029" s="12"/>
    </row>
    <row r="2030" spans="1:10" x14ac:dyDescent="0.3">
      <c r="C2030" s="9" t="s">
        <v>12</v>
      </c>
      <c r="D2030" s="10">
        <v>45761</v>
      </c>
      <c r="E2030" t="s">
        <v>1838</v>
      </c>
      <c r="F2030" s="11" t="s">
        <v>1839</v>
      </c>
      <c r="G2030" s="8">
        <v>381.33</v>
      </c>
      <c r="H2030" s="8">
        <v>0</v>
      </c>
      <c r="I2030" s="8">
        <f>G2030-H2030+I2029</f>
        <v>762.66</v>
      </c>
      <c r="J2030" s="12"/>
    </row>
    <row r="2031" spans="1:10" x14ac:dyDescent="0.3">
      <c r="C2031" s="9" t="s">
        <v>12</v>
      </c>
      <c r="D2031" s="10">
        <v>45761</v>
      </c>
      <c r="E2031" t="s">
        <v>1840</v>
      </c>
      <c r="F2031" s="11" t="s">
        <v>1841</v>
      </c>
      <c r="G2031" s="8">
        <v>-381.33</v>
      </c>
      <c r="H2031" s="8">
        <v>0</v>
      </c>
      <c r="I2031" s="8">
        <f>G2031-H2031+I2030</f>
        <v>381.33</v>
      </c>
      <c r="J2031" s="12"/>
    </row>
    <row r="2032" spans="1:10" x14ac:dyDescent="0.3">
      <c r="C2032" s="9"/>
      <c r="D2032" s="10">
        <v>45912</v>
      </c>
      <c r="E2032" t="s">
        <v>1842</v>
      </c>
      <c r="F2032" s="11" t="s">
        <v>1843</v>
      </c>
      <c r="G2032" s="8">
        <v>338.8</v>
      </c>
      <c r="H2032" s="8">
        <v>0</v>
      </c>
      <c r="I2032" s="8">
        <f>G2032-H2032+I2031</f>
        <v>720.13</v>
      </c>
      <c r="J2032" s="12"/>
    </row>
    <row r="2033" spans="1:10" x14ac:dyDescent="0.3">
      <c r="E2033" s="4" t="s">
        <v>116</v>
      </c>
      <c r="G2033" s="8">
        <f>SUM(G2027:G2032)</f>
        <v>868.71</v>
      </c>
      <c r="H2033" s="8">
        <f>SUM(H2027:H2032)</f>
        <v>148.58000000000001</v>
      </c>
      <c r="I2033" s="8">
        <f>G2033-H2033</f>
        <v>720.13</v>
      </c>
    </row>
    <row r="2035" spans="1:10" x14ac:dyDescent="0.3">
      <c r="A2035" s="5">
        <v>430030077</v>
      </c>
      <c r="B2035" s="6" t="s">
        <v>1844</v>
      </c>
      <c r="C2035" s="7"/>
      <c r="D2035" s="7"/>
      <c r="E2035" s="7"/>
      <c r="F2035" s="7"/>
      <c r="G2035" s="7"/>
      <c r="H2035" s="7"/>
      <c r="I2035" s="7"/>
      <c r="J2035" s="7"/>
    </row>
    <row r="2036" spans="1:10" x14ac:dyDescent="0.3">
      <c r="C2036" s="9" t="s">
        <v>12</v>
      </c>
      <c r="D2036" s="10">
        <v>45818</v>
      </c>
      <c r="E2036" t="s">
        <v>1845</v>
      </c>
      <c r="F2036" s="11" t="s">
        <v>1846</v>
      </c>
      <c r="G2036" s="8">
        <v>229.8</v>
      </c>
      <c r="H2036" s="8">
        <v>0</v>
      </c>
      <c r="I2036" s="8">
        <f>G2036-H2036</f>
        <v>229.8</v>
      </c>
      <c r="J2036" s="12"/>
    </row>
    <row r="2037" spans="1:10" x14ac:dyDescent="0.3">
      <c r="C2037" s="9"/>
      <c r="D2037" s="10">
        <v>45827</v>
      </c>
      <c r="E2037" t="s">
        <v>1847</v>
      </c>
      <c r="F2037" s="11" t="s">
        <v>1848</v>
      </c>
      <c r="G2037" s="8">
        <v>163.35</v>
      </c>
      <c r="H2037" s="8">
        <v>0</v>
      </c>
      <c r="I2037" s="8">
        <f t="shared" ref="I2037:I2046" si="78">G2037-H2037+I2036</f>
        <v>393.15</v>
      </c>
      <c r="J2037" s="12"/>
    </row>
    <row r="2038" spans="1:10" x14ac:dyDescent="0.3">
      <c r="C2038" s="9"/>
      <c r="D2038" s="10">
        <v>45827</v>
      </c>
      <c r="E2038" t="s">
        <v>1849</v>
      </c>
      <c r="F2038" s="11" t="s">
        <v>1850</v>
      </c>
      <c r="G2038" s="8">
        <v>356.85</v>
      </c>
      <c r="H2038" s="8">
        <v>0</v>
      </c>
      <c r="I2038" s="8">
        <f t="shared" si="78"/>
        <v>750</v>
      </c>
      <c r="J2038" s="12"/>
    </row>
    <row r="2039" spans="1:10" x14ac:dyDescent="0.3">
      <c r="C2039" s="9"/>
      <c r="D2039" s="10">
        <v>45833</v>
      </c>
      <c r="E2039" t="s">
        <v>1851</v>
      </c>
      <c r="F2039" s="11" t="s">
        <v>1852</v>
      </c>
      <c r="G2039" s="8">
        <v>162.75</v>
      </c>
      <c r="H2039" s="8">
        <v>0</v>
      </c>
      <c r="I2039" s="8">
        <f t="shared" si="78"/>
        <v>912.75</v>
      </c>
      <c r="J2039" s="12"/>
    </row>
    <row r="2040" spans="1:10" x14ac:dyDescent="0.3">
      <c r="C2040" s="9" t="s">
        <v>12</v>
      </c>
      <c r="D2040" s="10">
        <v>45848</v>
      </c>
      <c r="E2040" t="s">
        <v>1059</v>
      </c>
      <c r="F2040" s="11" t="s">
        <v>14</v>
      </c>
      <c r="G2040" s="8">
        <v>0</v>
      </c>
      <c r="H2040" s="8">
        <v>229.8</v>
      </c>
      <c r="I2040" s="8">
        <f t="shared" si="78"/>
        <v>682.95</v>
      </c>
      <c r="J2040" s="12"/>
    </row>
    <row r="2041" spans="1:10" x14ac:dyDescent="0.3">
      <c r="C2041" s="9"/>
      <c r="D2041" s="10">
        <v>45859</v>
      </c>
      <c r="E2041" t="s">
        <v>1059</v>
      </c>
      <c r="F2041" s="11" t="s">
        <v>14</v>
      </c>
      <c r="G2041" s="8">
        <v>0</v>
      </c>
      <c r="H2041" s="8">
        <v>356.85</v>
      </c>
      <c r="I2041" s="8">
        <f t="shared" si="78"/>
        <v>326.10000000000002</v>
      </c>
      <c r="J2041" s="12"/>
    </row>
    <row r="2042" spans="1:10" x14ac:dyDescent="0.3">
      <c r="C2042" s="9"/>
      <c r="D2042" s="10">
        <v>45859</v>
      </c>
      <c r="E2042" t="s">
        <v>1059</v>
      </c>
      <c r="F2042" s="11" t="s">
        <v>14</v>
      </c>
      <c r="G2042" s="8">
        <v>0</v>
      </c>
      <c r="H2042" s="8">
        <v>163.35</v>
      </c>
      <c r="I2042" s="8">
        <f t="shared" si="78"/>
        <v>162.75000000000003</v>
      </c>
      <c r="J2042" s="12"/>
    </row>
    <row r="2043" spans="1:10" x14ac:dyDescent="0.3">
      <c r="C2043" s="9"/>
      <c r="D2043" s="10">
        <v>45860</v>
      </c>
      <c r="E2043" t="s">
        <v>1853</v>
      </c>
      <c r="F2043" s="11" t="s">
        <v>1854</v>
      </c>
      <c r="G2043" s="8">
        <v>146.26</v>
      </c>
      <c r="H2043" s="8">
        <v>0</v>
      </c>
      <c r="I2043" s="8">
        <f t="shared" si="78"/>
        <v>309.01</v>
      </c>
      <c r="J2043" s="12"/>
    </row>
    <row r="2044" spans="1:10" x14ac:dyDescent="0.3">
      <c r="C2044" s="9"/>
      <c r="D2044" s="10">
        <v>45863</v>
      </c>
      <c r="E2044" t="s">
        <v>1059</v>
      </c>
      <c r="F2044" s="11" t="s">
        <v>14</v>
      </c>
      <c r="G2044" s="8">
        <v>0</v>
      </c>
      <c r="H2044" s="8">
        <v>162.75</v>
      </c>
      <c r="I2044" s="8">
        <f t="shared" si="78"/>
        <v>146.26</v>
      </c>
      <c r="J2044" s="12"/>
    </row>
    <row r="2045" spans="1:10" x14ac:dyDescent="0.3">
      <c r="C2045" s="9"/>
      <c r="D2045" s="10">
        <v>45894</v>
      </c>
      <c r="E2045" t="s">
        <v>1059</v>
      </c>
      <c r="F2045" s="11" t="s">
        <v>14</v>
      </c>
      <c r="G2045" s="8">
        <v>0</v>
      </c>
      <c r="H2045" s="8">
        <v>146.26</v>
      </c>
      <c r="I2045" s="8">
        <f t="shared" si="78"/>
        <v>0</v>
      </c>
      <c r="J2045" s="12"/>
    </row>
    <row r="2046" spans="1:10" x14ac:dyDescent="0.3">
      <c r="C2046" s="9"/>
      <c r="D2046" s="10">
        <v>45900</v>
      </c>
      <c r="E2046" t="s">
        <v>1855</v>
      </c>
      <c r="F2046" s="11" t="s">
        <v>1856</v>
      </c>
      <c r="G2046" s="8">
        <v>133.1</v>
      </c>
      <c r="H2046" s="8">
        <v>0</v>
      </c>
      <c r="I2046" s="8">
        <f t="shared" si="78"/>
        <v>133.1</v>
      </c>
      <c r="J2046" s="12"/>
    </row>
    <row r="2047" spans="1:10" x14ac:dyDescent="0.3">
      <c r="E2047" s="4" t="s">
        <v>116</v>
      </c>
      <c r="G2047" s="8">
        <f>SUM(G2036:G2046)</f>
        <v>1192.1099999999999</v>
      </c>
      <c r="H2047" s="8">
        <f>SUM(H2036:H2046)</f>
        <v>1059.0100000000002</v>
      </c>
      <c r="I2047" s="8">
        <f>G2047-H2047</f>
        <v>133.09999999999968</v>
      </c>
    </row>
    <row r="2049" spans="1:10" x14ac:dyDescent="0.3">
      <c r="A2049" s="5">
        <v>430030081</v>
      </c>
      <c r="B2049" s="6" t="s">
        <v>1857</v>
      </c>
      <c r="C2049" s="7"/>
      <c r="D2049" s="7"/>
      <c r="E2049" s="7"/>
      <c r="F2049" s="7"/>
      <c r="G2049" s="7"/>
      <c r="H2049" s="7"/>
      <c r="I2049" s="7"/>
      <c r="J2049" s="7"/>
    </row>
    <row r="2050" spans="1:10" x14ac:dyDescent="0.3">
      <c r="C2050" s="9" t="s">
        <v>12</v>
      </c>
      <c r="D2050" s="10">
        <v>45812</v>
      </c>
      <c r="E2050" t="s">
        <v>1858</v>
      </c>
      <c r="F2050" s="11" t="s">
        <v>1859</v>
      </c>
      <c r="G2050" s="8">
        <v>258.11</v>
      </c>
      <c r="H2050" s="8">
        <v>0</v>
      </c>
      <c r="I2050" s="8">
        <f>G2050-H2050</f>
        <v>258.11</v>
      </c>
      <c r="J2050" s="12"/>
    </row>
    <row r="2051" spans="1:10" x14ac:dyDescent="0.3">
      <c r="C2051" s="9" t="s">
        <v>12</v>
      </c>
      <c r="D2051" s="10">
        <v>45842</v>
      </c>
      <c r="E2051" t="s">
        <v>1059</v>
      </c>
      <c r="F2051" s="11" t="s">
        <v>14</v>
      </c>
      <c r="G2051" s="8">
        <v>0</v>
      </c>
      <c r="H2051" s="8">
        <v>258.11</v>
      </c>
      <c r="I2051" s="8">
        <f>G2051-H2051+I2050</f>
        <v>0</v>
      </c>
      <c r="J2051" s="12"/>
    </row>
    <row r="2052" spans="1:10" x14ac:dyDescent="0.3">
      <c r="C2052" s="9"/>
      <c r="D2052" s="10">
        <v>45909</v>
      </c>
      <c r="E2052" t="s">
        <v>1860</v>
      </c>
      <c r="F2052" s="11" t="s">
        <v>1861</v>
      </c>
      <c r="G2052" s="8">
        <v>393.25</v>
      </c>
      <c r="H2052" s="8">
        <v>0</v>
      </c>
      <c r="I2052" s="8">
        <f>G2052-H2052+I2051</f>
        <v>393.25</v>
      </c>
      <c r="J2052" s="12"/>
    </row>
    <row r="2053" spans="1:10" x14ac:dyDescent="0.3">
      <c r="C2053" s="9"/>
      <c r="D2053" s="10">
        <v>45917</v>
      </c>
      <c r="E2053" t="s">
        <v>1862</v>
      </c>
      <c r="F2053" s="11" t="s">
        <v>1863</v>
      </c>
      <c r="G2053" s="8">
        <v>2687.61</v>
      </c>
      <c r="H2053" s="8">
        <v>0</v>
      </c>
      <c r="I2053" s="8">
        <f>G2053-H2053+I2052</f>
        <v>3080.86</v>
      </c>
      <c r="J2053" s="12"/>
    </row>
    <row r="2054" spans="1:10" x14ac:dyDescent="0.3">
      <c r="E2054" s="4" t="s">
        <v>116</v>
      </c>
      <c r="G2054" s="8">
        <f>SUM(G2050:G2053)</f>
        <v>3338.9700000000003</v>
      </c>
      <c r="H2054" s="8">
        <f>SUM(H2050:H2053)</f>
        <v>258.11</v>
      </c>
      <c r="I2054" s="8">
        <f>G2054-H2054</f>
        <v>3080.86</v>
      </c>
    </row>
    <row r="2056" spans="1:10" x14ac:dyDescent="0.3">
      <c r="A2056" s="5">
        <v>430030277</v>
      </c>
      <c r="B2056" s="6" t="s">
        <v>1864</v>
      </c>
      <c r="C2056" s="7"/>
      <c r="D2056" s="7"/>
      <c r="E2056" s="7"/>
      <c r="F2056" s="7"/>
      <c r="G2056" s="7"/>
      <c r="H2056" s="7"/>
      <c r="I2056" s="7"/>
      <c r="J2056" s="7"/>
    </row>
    <row r="2057" spans="1:10" x14ac:dyDescent="0.3">
      <c r="E2057" s="4" t="s">
        <v>11</v>
      </c>
      <c r="G2057" s="8">
        <v>0</v>
      </c>
      <c r="H2057" s="8">
        <v>133.33000000000001</v>
      </c>
      <c r="I2057" s="8">
        <f>G2057-H2057</f>
        <v>-133.33000000000001</v>
      </c>
    </row>
    <row r="2058" spans="1:10" x14ac:dyDescent="0.3">
      <c r="C2058" s="9" t="s">
        <v>12</v>
      </c>
      <c r="D2058" s="10">
        <v>45715</v>
      </c>
      <c r="E2058" t="s">
        <v>1865</v>
      </c>
      <c r="F2058" s="11" t="s">
        <v>1866</v>
      </c>
      <c r="G2058" s="8">
        <v>139.68</v>
      </c>
      <c r="H2058" s="8">
        <v>0</v>
      </c>
      <c r="I2058" s="8">
        <f t="shared" ref="I2058:I2063" si="79">G2058-H2058+I2057</f>
        <v>6.3499999999999943</v>
      </c>
      <c r="J2058" s="12"/>
    </row>
    <row r="2059" spans="1:10" x14ac:dyDescent="0.3">
      <c r="C2059" s="9" t="s">
        <v>12</v>
      </c>
      <c r="D2059" s="10">
        <v>45716</v>
      </c>
      <c r="E2059" t="s">
        <v>1059</v>
      </c>
      <c r="F2059" s="11" t="s">
        <v>14</v>
      </c>
      <c r="G2059" s="8">
        <v>0</v>
      </c>
      <c r="H2059" s="8">
        <v>139.68</v>
      </c>
      <c r="I2059" s="8">
        <f t="shared" si="79"/>
        <v>-133.33000000000001</v>
      </c>
      <c r="J2059" s="12"/>
    </row>
    <row r="2060" spans="1:10" x14ac:dyDescent="0.3">
      <c r="C2060" s="9" t="s">
        <v>12</v>
      </c>
      <c r="D2060" s="10">
        <v>45727</v>
      </c>
      <c r="E2060" t="s">
        <v>1867</v>
      </c>
      <c r="F2060" s="11" t="s">
        <v>1868</v>
      </c>
      <c r="G2060" s="8">
        <v>399.7</v>
      </c>
      <c r="H2060" s="8">
        <v>0</v>
      </c>
      <c r="I2060" s="8">
        <f t="shared" si="79"/>
        <v>266.37</v>
      </c>
      <c r="J2060" s="12"/>
    </row>
    <row r="2061" spans="1:10" x14ac:dyDescent="0.3">
      <c r="C2061" s="9" t="s">
        <v>12</v>
      </c>
      <c r="D2061" s="10">
        <v>45728</v>
      </c>
      <c r="E2061" t="s">
        <v>1059</v>
      </c>
      <c r="F2061" s="11" t="s">
        <v>14</v>
      </c>
      <c r="G2061" s="8">
        <v>0</v>
      </c>
      <c r="H2061" s="8">
        <v>399.7</v>
      </c>
      <c r="I2061" s="8">
        <f t="shared" si="79"/>
        <v>-133.32999999999998</v>
      </c>
      <c r="J2061" s="12"/>
    </row>
    <row r="2062" spans="1:10" x14ac:dyDescent="0.3">
      <c r="C2062" s="9"/>
      <c r="D2062" s="10">
        <v>45883</v>
      </c>
      <c r="E2062" t="s">
        <v>1869</v>
      </c>
      <c r="F2062" s="11" t="s">
        <v>1870</v>
      </c>
      <c r="G2062" s="8">
        <v>157.30000000000001</v>
      </c>
      <c r="H2062" s="8">
        <v>0</v>
      </c>
      <c r="I2062" s="8">
        <f t="shared" si="79"/>
        <v>23.970000000000027</v>
      </c>
      <c r="J2062" s="12"/>
    </row>
    <row r="2063" spans="1:10" x14ac:dyDescent="0.3">
      <c r="C2063" s="9"/>
      <c r="D2063" s="10">
        <v>45912</v>
      </c>
      <c r="E2063" t="s">
        <v>1871</v>
      </c>
      <c r="F2063" s="11" t="s">
        <v>1872</v>
      </c>
      <c r="G2063" s="8">
        <v>102.85</v>
      </c>
      <c r="H2063" s="8">
        <v>0</v>
      </c>
      <c r="I2063" s="8">
        <f t="shared" si="79"/>
        <v>126.82000000000002</v>
      </c>
      <c r="J2063" s="12"/>
    </row>
    <row r="2064" spans="1:10" x14ac:dyDescent="0.3">
      <c r="E2064" s="4" t="s">
        <v>116</v>
      </c>
      <c r="G2064" s="8">
        <f>SUM(G2057:G2063)</f>
        <v>799.53000000000009</v>
      </c>
      <c r="H2064" s="8">
        <f>SUM(H2057:H2063)</f>
        <v>672.71</v>
      </c>
      <c r="I2064" s="8">
        <f>G2064-H2064</f>
        <v>126.82000000000005</v>
      </c>
    </row>
    <row r="2066" spans="1:10" x14ac:dyDescent="0.3">
      <c r="A2066" s="5">
        <v>430030375</v>
      </c>
      <c r="B2066" s="6" t="s">
        <v>1873</v>
      </c>
      <c r="C2066" s="7"/>
      <c r="D2066" s="7"/>
      <c r="E2066" s="7"/>
      <c r="F2066" s="7"/>
      <c r="G2066" s="7"/>
      <c r="H2066" s="7"/>
      <c r="I2066" s="7"/>
      <c r="J2066" s="7"/>
    </row>
    <row r="2067" spans="1:10" x14ac:dyDescent="0.3">
      <c r="C2067" s="9" t="s">
        <v>12</v>
      </c>
      <c r="D2067" s="10">
        <v>45698</v>
      </c>
      <c r="E2067" t="s">
        <v>1874</v>
      </c>
      <c r="F2067" s="11" t="s">
        <v>1875</v>
      </c>
      <c r="G2067" s="8">
        <v>157.30000000000001</v>
      </c>
      <c r="H2067" s="8">
        <v>0</v>
      </c>
      <c r="I2067" s="8">
        <f>G2067-H2067</f>
        <v>157.30000000000001</v>
      </c>
      <c r="J2067" s="12"/>
    </row>
    <row r="2068" spans="1:10" x14ac:dyDescent="0.3">
      <c r="C2068" s="9" t="s">
        <v>12</v>
      </c>
      <c r="D2068" s="10">
        <v>45698</v>
      </c>
      <c r="E2068" t="s">
        <v>1059</v>
      </c>
      <c r="F2068" s="11" t="s">
        <v>14</v>
      </c>
      <c r="G2068" s="8">
        <v>0</v>
      </c>
      <c r="H2068" s="8">
        <v>157.30000000000001</v>
      </c>
      <c r="I2068" s="8">
        <f>G2068-H2068+I2067</f>
        <v>0</v>
      </c>
      <c r="J2068" s="12"/>
    </row>
    <row r="2069" spans="1:10" x14ac:dyDescent="0.3">
      <c r="C2069" s="9"/>
      <c r="D2069" s="10">
        <v>45827</v>
      </c>
      <c r="E2069" t="s">
        <v>1876</v>
      </c>
      <c r="F2069" s="11" t="s">
        <v>1877</v>
      </c>
      <c r="G2069" s="8">
        <v>96.8</v>
      </c>
      <c r="H2069" s="8">
        <v>0</v>
      </c>
      <c r="I2069" s="8">
        <f>G2069-H2069+I2068</f>
        <v>96.8</v>
      </c>
      <c r="J2069" s="12"/>
    </row>
    <row r="2070" spans="1:10" x14ac:dyDescent="0.3">
      <c r="C2070" s="9"/>
      <c r="D2070" s="10">
        <v>45887</v>
      </c>
      <c r="E2070" t="s">
        <v>1059</v>
      </c>
      <c r="F2070" s="11" t="s">
        <v>14</v>
      </c>
      <c r="G2070" s="8">
        <v>0</v>
      </c>
      <c r="H2070" s="8">
        <v>96.8</v>
      </c>
      <c r="I2070" s="8">
        <f>G2070-H2070+I2069</f>
        <v>0</v>
      </c>
      <c r="J2070" s="12"/>
    </row>
    <row r="2071" spans="1:10" x14ac:dyDescent="0.3">
      <c r="C2071" s="9"/>
      <c r="D2071" s="10">
        <v>45900</v>
      </c>
      <c r="E2071" t="s">
        <v>1878</v>
      </c>
      <c r="F2071" s="11" t="s">
        <v>1879</v>
      </c>
      <c r="G2071" s="8">
        <v>257.05</v>
      </c>
      <c r="H2071" s="8">
        <v>0</v>
      </c>
      <c r="I2071" s="8">
        <f>G2071-H2071+I2070</f>
        <v>257.05</v>
      </c>
      <c r="J2071" s="12"/>
    </row>
    <row r="2072" spans="1:10" x14ac:dyDescent="0.3">
      <c r="C2072" s="9"/>
      <c r="D2072" s="10">
        <v>45903</v>
      </c>
      <c r="E2072" t="s">
        <v>1880</v>
      </c>
      <c r="F2072" s="11" t="s">
        <v>1881</v>
      </c>
      <c r="G2072" s="8">
        <v>949.1</v>
      </c>
      <c r="H2072" s="8">
        <v>0</v>
      </c>
      <c r="I2072" s="8">
        <f>G2072-H2072+I2071</f>
        <v>1206.1500000000001</v>
      </c>
      <c r="J2072" s="12"/>
    </row>
    <row r="2073" spans="1:10" x14ac:dyDescent="0.3">
      <c r="E2073" s="4" t="s">
        <v>116</v>
      </c>
      <c r="G2073" s="8">
        <f>SUM(G2067:G2072)</f>
        <v>1460.25</v>
      </c>
      <c r="H2073" s="8">
        <f>SUM(H2067:H2072)</f>
        <v>254.10000000000002</v>
      </c>
      <c r="I2073" s="8">
        <f>G2073-H2073</f>
        <v>1206.1500000000001</v>
      </c>
    </row>
    <row r="2075" spans="1:10" x14ac:dyDescent="0.3">
      <c r="A2075" s="5">
        <v>430030712</v>
      </c>
      <c r="B2075" s="6" t="s">
        <v>1882</v>
      </c>
      <c r="C2075" s="7"/>
      <c r="D2075" s="7"/>
      <c r="E2075" s="7"/>
      <c r="F2075" s="7"/>
      <c r="G2075" s="7"/>
      <c r="H2075" s="7"/>
      <c r="I2075" s="7"/>
      <c r="J2075" s="7"/>
    </row>
    <row r="2076" spans="1:10" x14ac:dyDescent="0.3">
      <c r="C2076" s="9" t="s">
        <v>12</v>
      </c>
      <c r="D2076" s="10">
        <v>45708</v>
      </c>
      <c r="E2076" t="s">
        <v>1883</v>
      </c>
      <c r="F2076" s="11" t="s">
        <v>1884</v>
      </c>
      <c r="G2076" s="8">
        <v>312.27999999999997</v>
      </c>
      <c r="H2076" s="8">
        <v>0</v>
      </c>
      <c r="I2076" s="8">
        <f>G2076-H2076</f>
        <v>312.27999999999997</v>
      </c>
      <c r="J2076" s="12"/>
    </row>
    <row r="2077" spans="1:10" x14ac:dyDescent="0.3">
      <c r="C2077" s="9" t="s">
        <v>12</v>
      </c>
      <c r="D2077" s="10">
        <v>45708</v>
      </c>
      <c r="E2077" t="s">
        <v>1059</v>
      </c>
      <c r="F2077" s="11" t="s">
        <v>14</v>
      </c>
      <c r="G2077" s="8">
        <v>0</v>
      </c>
      <c r="H2077" s="8">
        <v>312.27999999999997</v>
      </c>
      <c r="I2077" s="8">
        <f t="shared" ref="I2077:I2082" si="80">G2077-H2077+I2076</f>
        <v>0</v>
      </c>
      <c r="J2077" s="12"/>
    </row>
    <row r="2078" spans="1:10" x14ac:dyDescent="0.3">
      <c r="C2078" s="9"/>
      <c r="D2078" s="10">
        <v>45847</v>
      </c>
      <c r="E2078" t="s">
        <v>1885</v>
      </c>
      <c r="F2078" s="11" t="s">
        <v>1886</v>
      </c>
      <c r="G2078" s="8">
        <v>433.37</v>
      </c>
      <c r="H2078" s="8">
        <v>0</v>
      </c>
      <c r="I2078" s="8">
        <f t="shared" si="80"/>
        <v>433.37</v>
      </c>
      <c r="J2078" s="12"/>
    </row>
    <row r="2079" spans="1:10" x14ac:dyDescent="0.3">
      <c r="C2079" s="9"/>
      <c r="D2079" s="10">
        <v>45877</v>
      </c>
      <c r="E2079" t="s">
        <v>1059</v>
      </c>
      <c r="F2079" s="11" t="s">
        <v>14</v>
      </c>
      <c r="G2079" s="8">
        <v>0</v>
      </c>
      <c r="H2079" s="8">
        <v>433.37</v>
      </c>
      <c r="I2079" s="8">
        <f t="shared" si="80"/>
        <v>0</v>
      </c>
      <c r="J2079" s="12"/>
    </row>
    <row r="2080" spans="1:10" x14ac:dyDescent="0.3">
      <c r="C2080" s="9"/>
      <c r="D2080" s="10">
        <v>45881</v>
      </c>
      <c r="E2080" t="s">
        <v>1031</v>
      </c>
      <c r="F2080" s="11" t="s">
        <v>14</v>
      </c>
      <c r="G2080" s="8">
        <v>433.37</v>
      </c>
      <c r="H2080" s="8">
        <v>0</v>
      </c>
      <c r="I2080" s="8">
        <f t="shared" si="80"/>
        <v>433.37</v>
      </c>
      <c r="J2080" s="12">
        <v>572000005</v>
      </c>
    </row>
    <row r="2081" spans="1:10" x14ac:dyDescent="0.3">
      <c r="C2081" s="9"/>
      <c r="D2081" s="10">
        <v>45895</v>
      </c>
      <c r="E2081" t="s">
        <v>1887</v>
      </c>
      <c r="F2081" s="11" t="s">
        <v>1888</v>
      </c>
      <c r="G2081" s="8">
        <v>3001.53</v>
      </c>
      <c r="H2081" s="8">
        <v>0</v>
      </c>
      <c r="I2081" s="8">
        <f t="shared" si="80"/>
        <v>3434.9</v>
      </c>
      <c r="J2081" s="12"/>
    </row>
    <row r="2082" spans="1:10" x14ac:dyDescent="0.3">
      <c r="C2082" s="9"/>
      <c r="D2082" s="10">
        <v>45895</v>
      </c>
      <c r="E2082" t="s">
        <v>886</v>
      </c>
      <c r="F2082" s="11" t="s">
        <v>14</v>
      </c>
      <c r="G2082" s="8">
        <v>0</v>
      </c>
      <c r="H2082" s="8">
        <v>433.37</v>
      </c>
      <c r="I2082" s="8">
        <f t="shared" si="80"/>
        <v>3001.53</v>
      </c>
      <c r="J2082" s="12">
        <v>572000007</v>
      </c>
    </row>
    <row r="2083" spans="1:10" x14ac:dyDescent="0.3">
      <c r="E2083" s="4" t="s">
        <v>116</v>
      </c>
      <c r="G2083" s="8">
        <f>SUM(G2076:G2082)</f>
        <v>4180.55</v>
      </c>
      <c r="H2083" s="8">
        <f>SUM(H2076:H2082)</f>
        <v>1179.02</v>
      </c>
      <c r="I2083" s="8">
        <f>G2083-H2083</f>
        <v>3001.53</v>
      </c>
    </row>
    <row r="2085" spans="1:10" x14ac:dyDescent="0.3">
      <c r="A2085" s="5">
        <v>430040072</v>
      </c>
      <c r="B2085" s="6" t="s">
        <v>1889</v>
      </c>
      <c r="C2085" s="7"/>
      <c r="D2085" s="7"/>
      <c r="E2085" s="7"/>
      <c r="F2085" s="7"/>
      <c r="G2085" s="7"/>
      <c r="H2085" s="7"/>
      <c r="I2085" s="7"/>
      <c r="J2085" s="7"/>
    </row>
    <row r="2086" spans="1:10" x14ac:dyDescent="0.3">
      <c r="C2086" s="9" t="s">
        <v>12</v>
      </c>
      <c r="D2086" s="10">
        <v>45679</v>
      </c>
      <c r="E2086" t="s">
        <v>1890</v>
      </c>
      <c r="F2086" s="11" t="s">
        <v>1891</v>
      </c>
      <c r="G2086" s="8">
        <v>621.26</v>
      </c>
      <c r="H2086" s="8">
        <v>0</v>
      </c>
      <c r="I2086" s="8">
        <f>G2086-H2086</f>
        <v>621.26</v>
      </c>
      <c r="J2086" s="12"/>
    </row>
    <row r="2087" spans="1:10" x14ac:dyDescent="0.3">
      <c r="C2087" s="9" t="s">
        <v>12</v>
      </c>
      <c r="D2087" s="10">
        <v>45684</v>
      </c>
      <c r="E2087" t="s">
        <v>1892</v>
      </c>
      <c r="F2087" s="11" t="s">
        <v>1893</v>
      </c>
      <c r="G2087" s="8">
        <v>621.26</v>
      </c>
      <c r="H2087" s="8">
        <v>0</v>
      </c>
      <c r="I2087" s="8">
        <f t="shared" ref="I2087:I2112" si="81">G2087-H2087+I2086</f>
        <v>1242.52</v>
      </c>
      <c r="J2087" s="12"/>
    </row>
    <row r="2088" spans="1:10" x14ac:dyDescent="0.3">
      <c r="C2088" s="9" t="s">
        <v>12</v>
      </c>
      <c r="D2088" s="10">
        <v>45687</v>
      </c>
      <c r="E2088" t="s">
        <v>1894</v>
      </c>
      <c r="F2088" s="11" t="s">
        <v>396</v>
      </c>
      <c r="G2088" s="8">
        <v>-621.26</v>
      </c>
      <c r="H2088" s="8">
        <v>0</v>
      </c>
      <c r="I2088" s="8">
        <f t="shared" si="81"/>
        <v>621.26</v>
      </c>
      <c r="J2088" s="12"/>
    </row>
    <row r="2089" spans="1:10" x14ac:dyDescent="0.3">
      <c r="C2089" s="9" t="s">
        <v>12</v>
      </c>
      <c r="D2089" s="10">
        <v>45701</v>
      </c>
      <c r="E2089" t="s">
        <v>886</v>
      </c>
      <c r="F2089" s="11" t="s">
        <v>14</v>
      </c>
      <c r="G2089" s="8">
        <v>0</v>
      </c>
      <c r="H2089" s="8">
        <v>621.26</v>
      </c>
      <c r="I2089" s="8">
        <f t="shared" si="81"/>
        <v>0</v>
      </c>
      <c r="J2089" s="12">
        <v>572000002</v>
      </c>
    </row>
    <row r="2090" spans="1:10" x14ac:dyDescent="0.3">
      <c r="C2090" s="9" t="s">
        <v>12</v>
      </c>
      <c r="D2090" s="10">
        <v>45713</v>
      </c>
      <c r="E2090" t="s">
        <v>1895</v>
      </c>
      <c r="F2090" s="11" t="s">
        <v>1896</v>
      </c>
      <c r="G2090" s="8">
        <v>45.91</v>
      </c>
      <c r="H2090" s="8">
        <v>0</v>
      </c>
      <c r="I2090" s="8">
        <f t="shared" si="81"/>
        <v>45.91</v>
      </c>
      <c r="J2090" s="12"/>
    </row>
    <row r="2091" spans="1:10" x14ac:dyDescent="0.3">
      <c r="C2091" s="9" t="s">
        <v>12</v>
      </c>
      <c r="D2091" s="10">
        <v>45716</v>
      </c>
      <c r="E2091" t="s">
        <v>1897</v>
      </c>
      <c r="F2091" s="11" t="s">
        <v>1898</v>
      </c>
      <c r="G2091" s="8">
        <v>35.18</v>
      </c>
      <c r="H2091" s="8">
        <v>0</v>
      </c>
      <c r="I2091" s="8">
        <f t="shared" si="81"/>
        <v>81.09</v>
      </c>
      <c r="J2091" s="12"/>
    </row>
    <row r="2092" spans="1:10" x14ac:dyDescent="0.3">
      <c r="C2092" s="9" t="s">
        <v>12</v>
      </c>
      <c r="D2092" s="10">
        <v>45720</v>
      </c>
      <c r="E2092" t="s">
        <v>1899</v>
      </c>
      <c r="F2092" s="11" t="s">
        <v>1900</v>
      </c>
      <c r="G2092" s="8">
        <v>1339.97</v>
      </c>
      <c r="H2092" s="8">
        <v>0</v>
      </c>
      <c r="I2092" s="8">
        <f t="shared" si="81"/>
        <v>1421.06</v>
      </c>
      <c r="J2092" s="12"/>
    </row>
    <row r="2093" spans="1:10" x14ac:dyDescent="0.3">
      <c r="C2093" s="9" t="s">
        <v>12</v>
      </c>
      <c r="D2093" s="10">
        <v>45728</v>
      </c>
      <c r="E2093" t="s">
        <v>886</v>
      </c>
      <c r="F2093" s="11" t="s">
        <v>14</v>
      </c>
      <c r="G2093" s="8">
        <v>0</v>
      </c>
      <c r="H2093" s="8">
        <v>45.91</v>
      </c>
      <c r="I2093" s="8">
        <f t="shared" si="81"/>
        <v>1375.1499999999999</v>
      </c>
      <c r="J2093" s="12">
        <v>572000002</v>
      </c>
    </row>
    <row r="2094" spans="1:10" x14ac:dyDescent="0.3">
      <c r="C2094" s="9" t="s">
        <v>12</v>
      </c>
      <c r="D2094" s="10">
        <v>45728</v>
      </c>
      <c r="E2094" t="s">
        <v>886</v>
      </c>
      <c r="F2094" s="11" t="s">
        <v>14</v>
      </c>
      <c r="G2094" s="8">
        <v>0</v>
      </c>
      <c r="H2094" s="8">
        <v>35.18</v>
      </c>
      <c r="I2094" s="8">
        <f t="shared" si="81"/>
        <v>1339.9699999999998</v>
      </c>
      <c r="J2094" s="12">
        <v>572000002</v>
      </c>
    </row>
    <row r="2095" spans="1:10" x14ac:dyDescent="0.3">
      <c r="C2095" s="9" t="s">
        <v>12</v>
      </c>
      <c r="D2095" s="10">
        <v>45754</v>
      </c>
      <c r="E2095" t="s">
        <v>1901</v>
      </c>
      <c r="F2095" s="11" t="s">
        <v>1902</v>
      </c>
      <c r="G2095" s="8">
        <v>-75.7</v>
      </c>
      <c r="H2095" s="8">
        <v>0</v>
      </c>
      <c r="I2095" s="8">
        <f t="shared" si="81"/>
        <v>1264.2699999999998</v>
      </c>
      <c r="J2095" s="12"/>
    </row>
    <row r="2096" spans="1:10" x14ac:dyDescent="0.3">
      <c r="C2096" s="9" t="s">
        <v>12</v>
      </c>
      <c r="D2096" s="10">
        <v>45754</v>
      </c>
      <c r="E2096" t="s">
        <v>1903</v>
      </c>
      <c r="F2096" s="11" t="s">
        <v>1904</v>
      </c>
      <c r="G2096" s="8">
        <v>75.7</v>
      </c>
      <c r="H2096" s="8">
        <v>0</v>
      </c>
      <c r="I2096" s="8">
        <f t="shared" si="81"/>
        <v>1339.9699999999998</v>
      </c>
      <c r="J2096" s="12"/>
    </row>
    <row r="2097" spans="3:10" x14ac:dyDescent="0.3">
      <c r="C2097" s="9" t="s">
        <v>12</v>
      </c>
      <c r="D2097" s="10">
        <v>45754</v>
      </c>
      <c r="E2097" t="s">
        <v>1905</v>
      </c>
      <c r="F2097" s="11" t="s">
        <v>1906</v>
      </c>
      <c r="G2097" s="8">
        <v>75.7</v>
      </c>
      <c r="H2097" s="8">
        <v>0</v>
      </c>
      <c r="I2097" s="8">
        <f t="shared" si="81"/>
        <v>1415.6699999999998</v>
      </c>
      <c r="J2097" s="12"/>
    </row>
    <row r="2098" spans="3:10" x14ac:dyDescent="0.3">
      <c r="C2098" s="9" t="s">
        <v>12</v>
      </c>
      <c r="D2098" s="10">
        <v>45756</v>
      </c>
      <c r="E2098" t="s">
        <v>1907</v>
      </c>
      <c r="F2098" s="11" t="s">
        <v>1908</v>
      </c>
      <c r="G2098" s="8">
        <v>19.97</v>
      </c>
      <c r="H2098" s="8">
        <v>0</v>
      </c>
      <c r="I2098" s="8">
        <f t="shared" si="81"/>
        <v>1435.6399999999999</v>
      </c>
      <c r="J2098" s="12"/>
    </row>
    <row r="2099" spans="3:10" x14ac:dyDescent="0.3">
      <c r="C2099" s="9" t="s">
        <v>12</v>
      </c>
      <c r="D2099" s="10">
        <v>45757</v>
      </c>
      <c r="E2099" t="s">
        <v>1909</v>
      </c>
      <c r="F2099" s="11" t="s">
        <v>14</v>
      </c>
      <c r="G2099" s="8">
        <v>0</v>
      </c>
      <c r="H2099" s="8">
        <v>75.7</v>
      </c>
      <c r="I2099" s="8">
        <f t="shared" si="81"/>
        <v>1359.9399999999998</v>
      </c>
      <c r="J2099" s="12">
        <v>572000002</v>
      </c>
    </row>
    <row r="2100" spans="3:10" x14ac:dyDescent="0.3">
      <c r="C2100" s="9" t="s">
        <v>12</v>
      </c>
      <c r="D2100" s="10">
        <v>45782</v>
      </c>
      <c r="E2100" t="s">
        <v>305</v>
      </c>
      <c r="F2100" s="11" t="s">
        <v>14</v>
      </c>
      <c r="G2100" s="8">
        <v>0</v>
      </c>
      <c r="H2100" s="8">
        <v>19.97</v>
      </c>
      <c r="I2100" s="8">
        <f t="shared" si="81"/>
        <v>1339.9699999999998</v>
      </c>
      <c r="J2100" s="12">
        <v>572000007</v>
      </c>
    </row>
    <row r="2101" spans="3:10" x14ac:dyDescent="0.3">
      <c r="C2101" s="9" t="s">
        <v>12</v>
      </c>
      <c r="D2101" s="10">
        <v>45782</v>
      </c>
      <c r="E2101" t="s">
        <v>305</v>
      </c>
      <c r="F2101" s="11" t="s">
        <v>14</v>
      </c>
      <c r="G2101" s="8">
        <v>0</v>
      </c>
      <c r="H2101" s="8">
        <v>1339.97</v>
      </c>
      <c r="I2101" s="8">
        <f t="shared" si="81"/>
        <v>0</v>
      </c>
      <c r="J2101" s="12">
        <v>572000007</v>
      </c>
    </row>
    <row r="2102" spans="3:10" x14ac:dyDescent="0.3">
      <c r="C2102" s="9" t="s">
        <v>12</v>
      </c>
      <c r="D2102" s="10">
        <v>45793</v>
      </c>
      <c r="E2102" t="s">
        <v>1910</v>
      </c>
      <c r="F2102" s="11" t="s">
        <v>1911</v>
      </c>
      <c r="G2102" s="8">
        <v>186.79</v>
      </c>
      <c r="H2102" s="8">
        <v>0</v>
      </c>
      <c r="I2102" s="8">
        <f t="shared" si="81"/>
        <v>186.79</v>
      </c>
      <c r="J2102" s="12"/>
    </row>
    <row r="2103" spans="3:10" x14ac:dyDescent="0.3">
      <c r="C2103" s="9" t="s">
        <v>12</v>
      </c>
      <c r="D2103" s="10">
        <v>45804</v>
      </c>
      <c r="E2103" t="s">
        <v>1912</v>
      </c>
      <c r="F2103" s="11" t="s">
        <v>1913</v>
      </c>
      <c r="G2103" s="8">
        <v>4721.0600000000004</v>
      </c>
      <c r="H2103" s="8">
        <v>0</v>
      </c>
      <c r="I2103" s="8">
        <f t="shared" si="81"/>
        <v>4907.8500000000004</v>
      </c>
      <c r="J2103" s="12"/>
    </row>
    <row r="2104" spans="3:10" x14ac:dyDescent="0.3">
      <c r="C2104" s="9" t="s">
        <v>12</v>
      </c>
      <c r="D2104" s="10">
        <v>45805</v>
      </c>
      <c r="E2104" t="s">
        <v>886</v>
      </c>
      <c r="F2104" s="11" t="s">
        <v>14</v>
      </c>
      <c r="G2104" s="8">
        <v>0</v>
      </c>
      <c r="H2104" s="8">
        <v>4721.0600000000004</v>
      </c>
      <c r="I2104" s="8">
        <f t="shared" si="81"/>
        <v>186.78999999999996</v>
      </c>
      <c r="J2104" s="12">
        <v>572000007</v>
      </c>
    </row>
    <row r="2105" spans="3:10" x14ac:dyDescent="0.3">
      <c r="C2105" s="9" t="s">
        <v>12</v>
      </c>
      <c r="D2105" s="10">
        <v>45811</v>
      </c>
      <c r="E2105" t="s">
        <v>886</v>
      </c>
      <c r="F2105" s="11" t="s">
        <v>14</v>
      </c>
      <c r="G2105" s="8">
        <v>0</v>
      </c>
      <c r="H2105" s="8">
        <v>186.79</v>
      </c>
      <c r="I2105" s="8">
        <f t="shared" si="81"/>
        <v>0</v>
      </c>
      <c r="J2105" s="12">
        <v>572000007</v>
      </c>
    </row>
    <row r="2106" spans="3:10" x14ac:dyDescent="0.3">
      <c r="C2106" s="9"/>
      <c r="D2106" s="10">
        <v>45849</v>
      </c>
      <c r="E2106" t="s">
        <v>1914</v>
      </c>
      <c r="F2106" s="11" t="s">
        <v>1915</v>
      </c>
      <c r="G2106" s="8">
        <v>308.85000000000002</v>
      </c>
      <c r="H2106" s="8">
        <v>0</v>
      </c>
      <c r="I2106" s="8">
        <f t="shared" si="81"/>
        <v>308.85000000000002</v>
      </c>
      <c r="J2106" s="12"/>
    </row>
    <row r="2107" spans="3:10" x14ac:dyDescent="0.3">
      <c r="C2107" s="9"/>
      <c r="D2107" s="10">
        <v>45866</v>
      </c>
      <c r="E2107" t="s">
        <v>1916</v>
      </c>
      <c r="F2107" s="11" t="s">
        <v>1917</v>
      </c>
      <c r="G2107" s="8">
        <v>4721.0600000000004</v>
      </c>
      <c r="H2107" s="8">
        <v>0</v>
      </c>
      <c r="I2107" s="8">
        <f t="shared" si="81"/>
        <v>5029.9100000000008</v>
      </c>
      <c r="J2107" s="12"/>
    </row>
    <row r="2108" spans="3:10" x14ac:dyDescent="0.3">
      <c r="C2108" s="9"/>
      <c r="D2108" s="10">
        <v>45867</v>
      </c>
      <c r="E2108" t="s">
        <v>1918</v>
      </c>
      <c r="F2108" s="11" t="s">
        <v>1919</v>
      </c>
      <c r="G2108" s="8">
        <v>145.19999999999999</v>
      </c>
      <c r="H2108" s="8">
        <v>0</v>
      </c>
      <c r="I2108" s="8">
        <f t="shared" si="81"/>
        <v>5175.1100000000006</v>
      </c>
      <c r="J2108" s="12"/>
    </row>
    <row r="2109" spans="3:10" x14ac:dyDescent="0.3">
      <c r="C2109" s="9"/>
      <c r="D2109" s="10">
        <v>45880</v>
      </c>
      <c r="E2109" t="s">
        <v>1920</v>
      </c>
      <c r="F2109" s="11" t="s">
        <v>1921</v>
      </c>
      <c r="G2109" s="8">
        <v>234.26</v>
      </c>
      <c r="H2109" s="8">
        <v>0</v>
      </c>
      <c r="I2109" s="8">
        <f t="shared" si="81"/>
        <v>5409.3700000000008</v>
      </c>
      <c r="J2109" s="12"/>
    </row>
    <row r="2110" spans="3:10" x14ac:dyDescent="0.3">
      <c r="C2110" s="9"/>
      <c r="D2110" s="10">
        <v>45902</v>
      </c>
      <c r="E2110" t="s">
        <v>305</v>
      </c>
      <c r="F2110" s="11" t="s">
        <v>14</v>
      </c>
      <c r="G2110" s="8">
        <v>0</v>
      </c>
      <c r="H2110" s="8">
        <v>4721.0600000000004</v>
      </c>
      <c r="I2110" s="8">
        <f t="shared" si="81"/>
        <v>688.3100000000004</v>
      </c>
      <c r="J2110" s="12">
        <v>572000007</v>
      </c>
    </row>
    <row r="2111" spans="3:10" x14ac:dyDescent="0.3">
      <c r="C2111" s="9"/>
      <c r="D2111" s="10">
        <v>45902</v>
      </c>
      <c r="E2111" t="s">
        <v>305</v>
      </c>
      <c r="F2111" s="11" t="s">
        <v>14</v>
      </c>
      <c r="G2111" s="8">
        <v>0</v>
      </c>
      <c r="H2111" s="8">
        <v>145.19999999999999</v>
      </c>
      <c r="I2111" s="8">
        <f t="shared" si="81"/>
        <v>543.11000000000035</v>
      </c>
      <c r="J2111" s="12">
        <v>572000007</v>
      </c>
    </row>
    <row r="2112" spans="3:10" x14ac:dyDescent="0.3">
      <c r="C2112" s="9"/>
      <c r="D2112" s="10">
        <v>45902</v>
      </c>
      <c r="E2112" t="s">
        <v>305</v>
      </c>
      <c r="F2112" s="11" t="s">
        <v>14</v>
      </c>
      <c r="G2112" s="8">
        <v>0</v>
      </c>
      <c r="H2112" s="8">
        <v>234.26</v>
      </c>
      <c r="I2112" s="8">
        <f t="shared" si="81"/>
        <v>308.85000000000036</v>
      </c>
      <c r="J2112" s="12">
        <v>572000007</v>
      </c>
    </row>
    <row r="2113" spans="1:10" x14ac:dyDescent="0.3">
      <c r="E2113" s="4" t="s">
        <v>116</v>
      </c>
      <c r="G2113" s="8">
        <f>SUM(G2086:G2112)</f>
        <v>12455.210000000001</v>
      </c>
      <c r="H2113" s="8">
        <f>SUM(H2086:H2112)</f>
        <v>12146.360000000002</v>
      </c>
      <c r="I2113" s="8">
        <f>G2113-H2113</f>
        <v>308.84999999999854</v>
      </c>
    </row>
    <row r="2115" spans="1:10" x14ac:dyDescent="0.3">
      <c r="A2115" s="5">
        <v>430040087</v>
      </c>
      <c r="B2115" s="6" t="s">
        <v>1922</v>
      </c>
      <c r="C2115" s="7"/>
      <c r="D2115" s="7"/>
      <c r="E2115" s="7"/>
      <c r="F2115" s="7"/>
      <c r="G2115" s="7"/>
      <c r="H2115" s="7"/>
      <c r="I2115" s="7"/>
      <c r="J2115" s="7"/>
    </row>
    <row r="2116" spans="1:10" x14ac:dyDescent="0.3">
      <c r="C2116" s="9" t="s">
        <v>12</v>
      </c>
      <c r="D2116" s="10">
        <v>45687</v>
      </c>
      <c r="E2116" t="s">
        <v>1923</v>
      </c>
      <c r="F2116" s="11" t="s">
        <v>1924</v>
      </c>
      <c r="G2116" s="8">
        <v>199.65</v>
      </c>
      <c r="H2116" s="8">
        <v>0</v>
      </c>
      <c r="I2116" s="8">
        <f>G2116-H2116</f>
        <v>199.65</v>
      </c>
      <c r="J2116" s="12"/>
    </row>
    <row r="2117" spans="1:10" x14ac:dyDescent="0.3">
      <c r="C2117" s="9" t="s">
        <v>12</v>
      </c>
      <c r="D2117" s="10">
        <v>45688</v>
      </c>
      <c r="E2117" t="s">
        <v>1126</v>
      </c>
      <c r="F2117" s="11" t="s">
        <v>14</v>
      </c>
      <c r="G2117" s="8">
        <v>0</v>
      </c>
      <c r="H2117" s="8">
        <v>199.65</v>
      </c>
      <c r="I2117" s="8">
        <f t="shared" ref="I2117:I2130" si="82">G2117-H2117+I2116</f>
        <v>0</v>
      </c>
      <c r="J2117" s="12"/>
    </row>
    <row r="2118" spans="1:10" x14ac:dyDescent="0.3">
      <c r="C2118" s="9" t="s">
        <v>12</v>
      </c>
      <c r="D2118" s="10">
        <v>45693</v>
      </c>
      <c r="E2118" t="s">
        <v>1925</v>
      </c>
      <c r="F2118" s="11" t="s">
        <v>1926</v>
      </c>
      <c r="G2118" s="8">
        <v>466.25</v>
      </c>
      <c r="H2118" s="8">
        <v>0</v>
      </c>
      <c r="I2118" s="8">
        <f t="shared" si="82"/>
        <v>466.25</v>
      </c>
      <c r="J2118" s="12"/>
    </row>
    <row r="2119" spans="1:10" x14ac:dyDescent="0.3">
      <c r="C2119" s="9" t="s">
        <v>12</v>
      </c>
      <c r="D2119" s="10">
        <v>45695</v>
      </c>
      <c r="E2119" t="s">
        <v>1059</v>
      </c>
      <c r="F2119" s="11" t="s">
        <v>14</v>
      </c>
      <c r="G2119" s="8">
        <v>0</v>
      </c>
      <c r="H2119" s="8">
        <v>466.25</v>
      </c>
      <c r="I2119" s="8">
        <f t="shared" si="82"/>
        <v>0</v>
      </c>
      <c r="J2119" s="12"/>
    </row>
    <row r="2120" spans="1:10" x14ac:dyDescent="0.3">
      <c r="C2120" s="9" t="s">
        <v>12</v>
      </c>
      <c r="D2120" s="10">
        <v>45736</v>
      </c>
      <c r="E2120" t="s">
        <v>1927</v>
      </c>
      <c r="F2120" s="11" t="s">
        <v>1928</v>
      </c>
      <c r="G2120" s="8">
        <v>169.4</v>
      </c>
      <c r="H2120" s="8">
        <v>0</v>
      </c>
      <c r="I2120" s="8">
        <f t="shared" si="82"/>
        <v>169.4</v>
      </c>
      <c r="J2120" s="12"/>
    </row>
    <row r="2121" spans="1:10" x14ac:dyDescent="0.3">
      <c r="C2121" s="9" t="s">
        <v>12</v>
      </c>
      <c r="D2121" s="10">
        <v>45737</v>
      </c>
      <c r="E2121" t="s">
        <v>1059</v>
      </c>
      <c r="F2121" s="11" t="s">
        <v>14</v>
      </c>
      <c r="G2121" s="8">
        <v>0</v>
      </c>
      <c r="H2121" s="8">
        <v>169.4</v>
      </c>
      <c r="I2121" s="8">
        <f t="shared" si="82"/>
        <v>0</v>
      </c>
      <c r="J2121" s="12"/>
    </row>
    <row r="2122" spans="1:10" x14ac:dyDescent="0.3">
      <c r="C2122" s="9" t="s">
        <v>12</v>
      </c>
      <c r="D2122" s="10">
        <v>45751</v>
      </c>
      <c r="E2122" t="s">
        <v>1929</v>
      </c>
      <c r="F2122" s="11" t="s">
        <v>1930</v>
      </c>
      <c r="G2122" s="8">
        <v>186.47</v>
      </c>
      <c r="H2122" s="8">
        <v>0</v>
      </c>
      <c r="I2122" s="8">
        <f t="shared" si="82"/>
        <v>186.47</v>
      </c>
      <c r="J2122" s="12"/>
    </row>
    <row r="2123" spans="1:10" x14ac:dyDescent="0.3">
      <c r="C2123" s="9" t="s">
        <v>12</v>
      </c>
      <c r="D2123" s="10">
        <v>45756</v>
      </c>
      <c r="E2123" t="s">
        <v>1931</v>
      </c>
      <c r="F2123" s="11" t="s">
        <v>1932</v>
      </c>
      <c r="G2123" s="8">
        <v>260.14999999999998</v>
      </c>
      <c r="H2123" s="8">
        <v>0</v>
      </c>
      <c r="I2123" s="8">
        <f t="shared" si="82"/>
        <v>446.62</v>
      </c>
      <c r="J2123" s="12"/>
    </row>
    <row r="2124" spans="1:10" x14ac:dyDescent="0.3">
      <c r="C2124" s="9" t="s">
        <v>12</v>
      </c>
      <c r="D2124" s="10">
        <v>45782</v>
      </c>
      <c r="E2124" t="s">
        <v>1059</v>
      </c>
      <c r="F2124" s="11" t="s">
        <v>14</v>
      </c>
      <c r="G2124" s="8">
        <v>0</v>
      </c>
      <c r="H2124" s="8">
        <v>186.47</v>
      </c>
      <c r="I2124" s="8">
        <f t="shared" si="82"/>
        <v>260.14999999999998</v>
      </c>
      <c r="J2124" s="12"/>
    </row>
    <row r="2125" spans="1:10" x14ac:dyDescent="0.3">
      <c r="C2125" s="9" t="s">
        <v>12</v>
      </c>
      <c r="D2125" s="10">
        <v>45786</v>
      </c>
      <c r="E2125" t="s">
        <v>1059</v>
      </c>
      <c r="F2125" s="11" t="s">
        <v>14</v>
      </c>
      <c r="G2125" s="8">
        <v>0</v>
      </c>
      <c r="H2125" s="8">
        <v>260.14999999999998</v>
      </c>
      <c r="I2125" s="8">
        <f t="shared" si="82"/>
        <v>0</v>
      </c>
      <c r="J2125" s="12"/>
    </row>
    <row r="2126" spans="1:10" x14ac:dyDescent="0.3">
      <c r="C2126" s="9"/>
      <c r="D2126" s="10">
        <v>45868</v>
      </c>
      <c r="E2126" t="s">
        <v>1933</v>
      </c>
      <c r="F2126" s="11" t="s">
        <v>1934</v>
      </c>
      <c r="G2126" s="8">
        <v>1364.83</v>
      </c>
      <c r="H2126" s="8">
        <v>0</v>
      </c>
      <c r="I2126" s="8">
        <f t="shared" si="82"/>
        <v>1364.83</v>
      </c>
      <c r="J2126" s="12"/>
    </row>
    <row r="2127" spans="1:10" x14ac:dyDescent="0.3">
      <c r="C2127" s="9"/>
      <c r="D2127" s="10">
        <v>45888</v>
      </c>
      <c r="E2127" t="s">
        <v>1935</v>
      </c>
      <c r="F2127" s="11" t="s">
        <v>1936</v>
      </c>
      <c r="G2127" s="8">
        <v>388.45</v>
      </c>
      <c r="H2127" s="8">
        <v>0</v>
      </c>
      <c r="I2127" s="8">
        <f t="shared" si="82"/>
        <v>1753.28</v>
      </c>
      <c r="J2127" s="12"/>
    </row>
    <row r="2128" spans="1:10" x14ac:dyDescent="0.3">
      <c r="C2128" s="9"/>
      <c r="D2128" s="10">
        <v>45898</v>
      </c>
      <c r="E2128" t="s">
        <v>1059</v>
      </c>
      <c r="F2128" s="11" t="s">
        <v>14</v>
      </c>
      <c r="G2128" s="8">
        <v>0</v>
      </c>
      <c r="H2128" s="8">
        <v>1364.83</v>
      </c>
      <c r="I2128" s="8">
        <f t="shared" si="82"/>
        <v>388.45000000000005</v>
      </c>
      <c r="J2128" s="12"/>
    </row>
    <row r="2129" spans="1:10" x14ac:dyDescent="0.3">
      <c r="C2129" s="9"/>
      <c r="D2129" s="10">
        <v>45900</v>
      </c>
      <c r="E2129" t="s">
        <v>1937</v>
      </c>
      <c r="F2129" s="11" t="s">
        <v>1938</v>
      </c>
      <c r="G2129" s="8">
        <v>303.17</v>
      </c>
      <c r="H2129" s="8">
        <v>0</v>
      </c>
      <c r="I2129" s="8">
        <f t="shared" si="82"/>
        <v>691.62000000000012</v>
      </c>
      <c r="J2129" s="12"/>
    </row>
    <row r="2130" spans="1:10" x14ac:dyDescent="0.3">
      <c r="C2130" s="9"/>
      <c r="D2130" s="10">
        <v>45905</v>
      </c>
      <c r="E2130" t="s">
        <v>1939</v>
      </c>
      <c r="F2130" s="11" t="s">
        <v>1940</v>
      </c>
      <c r="G2130" s="8">
        <v>324.31</v>
      </c>
      <c r="H2130" s="8">
        <v>0</v>
      </c>
      <c r="I2130" s="8">
        <f t="shared" si="82"/>
        <v>1015.9300000000001</v>
      </c>
      <c r="J2130" s="12"/>
    </row>
    <row r="2131" spans="1:10" x14ac:dyDescent="0.3">
      <c r="E2131" s="4" t="s">
        <v>116</v>
      </c>
      <c r="G2131" s="8">
        <f>SUM(G2116:G2130)</f>
        <v>3662.68</v>
      </c>
      <c r="H2131" s="8">
        <f>SUM(H2116:H2130)</f>
        <v>2646.75</v>
      </c>
      <c r="I2131" s="8">
        <f>G2131-H2131</f>
        <v>1015.9299999999998</v>
      </c>
    </row>
    <row r="2133" spans="1:10" x14ac:dyDescent="0.3">
      <c r="A2133" s="5">
        <v>430040094</v>
      </c>
      <c r="B2133" s="6" t="s">
        <v>1941</v>
      </c>
      <c r="C2133" s="7"/>
      <c r="D2133" s="7"/>
      <c r="E2133" s="7"/>
      <c r="F2133" s="7"/>
      <c r="G2133" s="7"/>
      <c r="H2133" s="7"/>
      <c r="I2133" s="7"/>
      <c r="J2133" s="7"/>
    </row>
    <row r="2134" spans="1:10" x14ac:dyDescent="0.3">
      <c r="C2134" s="9" t="s">
        <v>12</v>
      </c>
      <c r="D2134" s="10">
        <v>45664</v>
      </c>
      <c r="E2134" t="s">
        <v>1942</v>
      </c>
      <c r="F2134" s="11" t="s">
        <v>361</v>
      </c>
      <c r="G2134" s="8">
        <v>726.23</v>
      </c>
      <c r="H2134" s="8">
        <v>0</v>
      </c>
      <c r="I2134" s="8">
        <f>G2134-H2134</f>
        <v>726.23</v>
      </c>
      <c r="J2134" s="12"/>
    </row>
    <row r="2135" spans="1:10" x14ac:dyDescent="0.3">
      <c r="C2135" s="9" t="s">
        <v>12</v>
      </c>
      <c r="D2135" s="10">
        <v>45665</v>
      </c>
      <c r="E2135" t="s">
        <v>1059</v>
      </c>
      <c r="F2135" s="11" t="s">
        <v>14</v>
      </c>
      <c r="G2135" s="8">
        <v>0</v>
      </c>
      <c r="H2135" s="8">
        <v>726.23</v>
      </c>
      <c r="I2135" s="8">
        <f t="shared" ref="I2135:I2146" si="83">G2135-H2135+I2134</f>
        <v>0</v>
      </c>
      <c r="J2135" s="12"/>
    </row>
    <row r="2136" spans="1:10" x14ac:dyDescent="0.3">
      <c r="C2136" s="9" t="s">
        <v>12</v>
      </c>
      <c r="D2136" s="10">
        <v>45679</v>
      </c>
      <c r="E2136" t="s">
        <v>1031</v>
      </c>
      <c r="F2136" s="11" t="s">
        <v>14</v>
      </c>
      <c r="G2136" s="8">
        <v>726.23</v>
      </c>
      <c r="H2136" s="8">
        <v>0</v>
      </c>
      <c r="I2136" s="8">
        <f t="shared" si="83"/>
        <v>726.23</v>
      </c>
      <c r="J2136" s="12">
        <v>572000005</v>
      </c>
    </row>
    <row r="2137" spans="1:10" x14ac:dyDescent="0.3">
      <c r="C2137" s="9" t="s">
        <v>12</v>
      </c>
      <c r="D2137" s="10">
        <v>45681</v>
      </c>
      <c r="E2137" t="s">
        <v>1059</v>
      </c>
      <c r="F2137" s="11" t="s">
        <v>14</v>
      </c>
      <c r="G2137" s="8">
        <v>0</v>
      </c>
      <c r="H2137" s="8">
        <v>726.23</v>
      </c>
      <c r="I2137" s="8">
        <f t="shared" si="83"/>
        <v>0</v>
      </c>
      <c r="J2137" s="12"/>
    </row>
    <row r="2138" spans="1:10" x14ac:dyDescent="0.3">
      <c r="C2138" s="9" t="s">
        <v>12</v>
      </c>
      <c r="D2138" s="10">
        <v>45723</v>
      </c>
      <c r="E2138" t="s">
        <v>1943</v>
      </c>
      <c r="F2138" s="11" t="s">
        <v>1944</v>
      </c>
      <c r="G2138" s="8">
        <v>254.1</v>
      </c>
      <c r="H2138" s="8">
        <v>0</v>
      </c>
      <c r="I2138" s="8">
        <f t="shared" si="83"/>
        <v>254.1</v>
      </c>
      <c r="J2138" s="12"/>
    </row>
    <row r="2139" spans="1:10" x14ac:dyDescent="0.3">
      <c r="C2139" s="9" t="s">
        <v>12</v>
      </c>
      <c r="D2139" s="10">
        <v>45726</v>
      </c>
      <c r="E2139" t="s">
        <v>1059</v>
      </c>
      <c r="F2139" s="11" t="s">
        <v>14</v>
      </c>
      <c r="G2139" s="8">
        <v>0</v>
      </c>
      <c r="H2139" s="8">
        <v>254.1</v>
      </c>
      <c r="I2139" s="8">
        <f t="shared" si="83"/>
        <v>0</v>
      </c>
      <c r="J2139" s="12"/>
    </row>
    <row r="2140" spans="1:10" x14ac:dyDescent="0.3">
      <c r="C2140" s="9" t="s">
        <v>12</v>
      </c>
      <c r="D2140" s="10">
        <v>45839</v>
      </c>
      <c r="E2140" t="s">
        <v>1059</v>
      </c>
      <c r="F2140" s="11" t="s">
        <v>14</v>
      </c>
      <c r="G2140" s="8">
        <v>0</v>
      </c>
      <c r="H2140" s="8">
        <v>258.89999999999998</v>
      </c>
      <c r="I2140" s="8">
        <f t="shared" si="83"/>
        <v>-258.89999999999998</v>
      </c>
      <c r="J2140" s="12">
        <v>572000005</v>
      </c>
    </row>
    <row r="2141" spans="1:10" x14ac:dyDescent="0.3">
      <c r="C2141" s="9" t="s">
        <v>12</v>
      </c>
      <c r="D2141" s="10">
        <v>45839</v>
      </c>
      <c r="E2141" t="s">
        <v>1945</v>
      </c>
      <c r="F2141" s="11" t="s">
        <v>14</v>
      </c>
      <c r="G2141" s="8">
        <v>258.89999999999998</v>
      </c>
      <c r="H2141" s="8">
        <v>0</v>
      </c>
      <c r="I2141" s="8">
        <f t="shared" si="83"/>
        <v>0</v>
      </c>
      <c r="J2141" s="12">
        <v>572000005</v>
      </c>
    </row>
    <row r="2142" spans="1:10" x14ac:dyDescent="0.3">
      <c r="C2142" s="9"/>
      <c r="D2142" s="10">
        <v>45854</v>
      </c>
      <c r="E2142" t="s">
        <v>1946</v>
      </c>
      <c r="F2142" s="11" t="s">
        <v>1947</v>
      </c>
      <c r="G2142" s="8">
        <v>133.1</v>
      </c>
      <c r="H2142" s="8">
        <v>0</v>
      </c>
      <c r="I2142" s="8">
        <f t="shared" si="83"/>
        <v>133.1</v>
      </c>
      <c r="J2142" s="12"/>
    </row>
    <row r="2143" spans="1:10" x14ac:dyDescent="0.3">
      <c r="C2143" s="9"/>
      <c r="D2143" s="10">
        <v>45860</v>
      </c>
      <c r="E2143" t="s">
        <v>1948</v>
      </c>
      <c r="F2143" s="11" t="s">
        <v>1949</v>
      </c>
      <c r="G2143" s="8">
        <v>486.8</v>
      </c>
      <c r="H2143" s="8">
        <v>0</v>
      </c>
      <c r="I2143" s="8">
        <f t="shared" si="83"/>
        <v>619.9</v>
      </c>
      <c r="J2143" s="12"/>
    </row>
    <row r="2144" spans="1:10" x14ac:dyDescent="0.3">
      <c r="C2144" s="9"/>
      <c r="D2144" s="10">
        <v>45869</v>
      </c>
      <c r="E2144" t="s">
        <v>1950</v>
      </c>
      <c r="F2144" s="11" t="s">
        <v>1951</v>
      </c>
      <c r="G2144" s="8">
        <v>236.91</v>
      </c>
      <c r="H2144" s="8">
        <v>0</v>
      </c>
      <c r="I2144" s="8">
        <f t="shared" si="83"/>
        <v>856.81</v>
      </c>
      <c r="J2144" s="12"/>
    </row>
    <row r="2145" spans="1:10" x14ac:dyDescent="0.3">
      <c r="C2145" s="9"/>
      <c r="D2145" s="10">
        <v>45905</v>
      </c>
      <c r="E2145" t="s">
        <v>1059</v>
      </c>
      <c r="F2145" s="11" t="s">
        <v>14</v>
      </c>
      <c r="G2145" s="8">
        <v>0</v>
      </c>
      <c r="H2145" s="8">
        <v>133.1</v>
      </c>
      <c r="I2145" s="8">
        <f t="shared" si="83"/>
        <v>723.70999999999992</v>
      </c>
      <c r="J2145" s="12"/>
    </row>
    <row r="2146" spans="1:10" x14ac:dyDescent="0.3">
      <c r="C2146" s="9"/>
      <c r="D2146" s="10">
        <v>45905</v>
      </c>
      <c r="E2146" t="s">
        <v>1059</v>
      </c>
      <c r="F2146" s="11" t="s">
        <v>14</v>
      </c>
      <c r="G2146" s="8">
        <v>0</v>
      </c>
      <c r="H2146" s="8">
        <v>486.8</v>
      </c>
      <c r="I2146" s="8">
        <f t="shared" si="83"/>
        <v>236.90999999999991</v>
      </c>
      <c r="J2146" s="12"/>
    </row>
    <row r="2147" spans="1:10" x14ac:dyDescent="0.3">
      <c r="E2147" s="4" t="s">
        <v>116</v>
      </c>
      <c r="G2147" s="8">
        <f>SUM(G2134:G2146)</f>
        <v>2822.27</v>
      </c>
      <c r="H2147" s="8">
        <f>SUM(H2134:H2146)</f>
        <v>2585.36</v>
      </c>
      <c r="I2147" s="8">
        <f>G2147-H2147</f>
        <v>236.90999999999985</v>
      </c>
    </row>
    <row r="2149" spans="1:10" x14ac:dyDescent="0.3">
      <c r="A2149" s="5">
        <v>430040139</v>
      </c>
      <c r="B2149" s="6" t="s">
        <v>1952</v>
      </c>
      <c r="C2149" s="7"/>
      <c r="D2149" s="7"/>
      <c r="E2149" s="7"/>
      <c r="F2149" s="7"/>
      <c r="G2149" s="7"/>
      <c r="H2149" s="7"/>
      <c r="I2149" s="7"/>
      <c r="J2149" s="7"/>
    </row>
    <row r="2150" spans="1:10" x14ac:dyDescent="0.3">
      <c r="E2150" s="4" t="s">
        <v>11</v>
      </c>
      <c r="G2150" s="8">
        <v>0</v>
      </c>
      <c r="H2150" s="8">
        <v>183.05</v>
      </c>
      <c r="I2150" s="8">
        <f>G2150-H2150</f>
        <v>-183.05</v>
      </c>
    </row>
    <row r="2151" spans="1:10" x14ac:dyDescent="0.3">
      <c r="C2151" s="9" t="s">
        <v>12</v>
      </c>
      <c r="D2151" s="10">
        <v>45671</v>
      </c>
      <c r="E2151" t="s">
        <v>1953</v>
      </c>
      <c r="F2151" s="11" t="s">
        <v>1954</v>
      </c>
      <c r="G2151" s="8">
        <v>399.7</v>
      </c>
      <c r="H2151" s="8">
        <v>0</v>
      </c>
      <c r="I2151" s="8">
        <f t="shared" ref="I2151:I2180" si="84">G2151-H2151+I2150</f>
        <v>216.64999999999998</v>
      </c>
      <c r="J2151" s="12"/>
    </row>
    <row r="2152" spans="1:10" x14ac:dyDescent="0.3">
      <c r="C2152" s="9" t="s">
        <v>12</v>
      </c>
      <c r="D2152" s="10">
        <v>45673</v>
      </c>
      <c r="E2152" t="s">
        <v>1059</v>
      </c>
      <c r="F2152" s="11" t="s">
        <v>14</v>
      </c>
      <c r="G2152" s="8">
        <v>0</v>
      </c>
      <c r="H2152" s="8">
        <v>399.7</v>
      </c>
      <c r="I2152" s="8">
        <f t="shared" si="84"/>
        <v>-183.05</v>
      </c>
      <c r="J2152" s="12"/>
    </row>
    <row r="2153" spans="1:10" x14ac:dyDescent="0.3">
      <c r="C2153" s="9" t="s">
        <v>12</v>
      </c>
      <c r="D2153" s="10">
        <v>45705</v>
      </c>
      <c r="E2153" t="s">
        <v>1955</v>
      </c>
      <c r="F2153" s="11" t="s">
        <v>1956</v>
      </c>
      <c r="G2153" s="8">
        <v>240.88</v>
      </c>
      <c r="H2153" s="8">
        <v>0</v>
      </c>
      <c r="I2153" s="8">
        <f t="shared" si="84"/>
        <v>57.829999999999984</v>
      </c>
      <c r="J2153" s="12"/>
    </row>
    <row r="2154" spans="1:10" x14ac:dyDescent="0.3">
      <c r="C2154" s="9" t="s">
        <v>12</v>
      </c>
      <c r="D2154" s="10">
        <v>45706</v>
      </c>
      <c r="E2154" t="s">
        <v>1059</v>
      </c>
      <c r="F2154" s="11" t="s">
        <v>14</v>
      </c>
      <c r="G2154" s="8">
        <v>0</v>
      </c>
      <c r="H2154" s="8">
        <v>240.88</v>
      </c>
      <c r="I2154" s="8">
        <f t="shared" si="84"/>
        <v>-183.05</v>
      </c>
      <c r="J2154" s="12"/>
    </row>
    <row r="2155" spans="1:10" x14ac:dyDescent="0.3">
      <c r="C2155" s="9" t="s">
        <v>12</v>
      </c>
      <c r="D2155" s="10">
        <v>45715</v>
      </c>
      <c r="E2155" t="s">
        <v>1957</v>
      </c>
      <c r="F2155" s="11" t="s">
        <v>1958</v>
      </c>
      <c r="G2155" s="8">
        <v>141.22999999999999</v>
      </c>
      <c r="H2155" s="8">
        <v>0</v>
      </c>
      <c r="I2155" s="8">
        <f t="shared" si="84"/>
        <v>-41.820000000000022</v>
      </c>
      <c r="J2155" s="12"/>
    </row>
    <row r="2156" spans="1:10" x14ac:dyDescent="0.3">
      <c r="C2156" s="9" t="s">
        <v>12</v>
      </c>
      <c r="D2156" s="10">
        <v>45721</v>
      </c>
      <c r="E2156" t="s">
        <v>1959</v>
      </c>
      <c r="F2156" s="11" t="s">
        <v>1960</v>
      </c>
      <c r="G2156" s="8">
        <v>40.69</v>
      </c>
      <c r="H2156" s="8">
        <v>0</v>
      </c>
      <c r="I2156" s="8">
        <f t="shared" si="84"/>
        <v>-1.1300000000000239</v>
      </c>
      <c r="J2156" s="12"/>
    </row>
    <row r="2157" spans="1:10" x14ac:dyDescent="0.3">
      <c r="C2157" s="9" t="s">
        <v>12</v>
      </c>
      <c r="D2157" s="10">
        <v>45722</v>
      </c>
      <c r="E2157" t="s">
        <v>1059</v>
      </c>
      <c r="F2157" s="11" t="s">
        <v>14</v>
      </c>
      <c r="G2157" s="8">
        <v>0</v>
      </c>
      <c r="H2157" s="8">
        <v>40.69</v>
      </c>
      <c r="I2157" s="8">
        <f t="shared" si="84"/>
        <v>-41.820000000000022</v>
      </c>
      <c r="J2157" s="12"/>
    </row>
    <row r="2158" spans="1:10" x14ac:dyDescent="0.3">
      <c r="C2158" s="9" t="s">
        <v>12</v>
      </c>
      <c r="D2158" s="10">
        <v>45722</v>
      </c>
      <c r="E2158" t="s">
        <v>1059</v>
      </c>
      <c r="F2158" s="11" t="s">
        <v>14</v>
      </c>
      <c r="G2158" s="8">
        <v>0</v>
      </c>
      <c r="H2158" s="8">
        <v>141.22999999999999</v>
      </c>
      <c r="I2158" s="8">
        <f t="shared" si="84"/>
        <v>-183.05</v>
      </c>
      <c r="J2158" s="12"/>
    </row>
    <row r="2159" spans="1:10" x14ac:dyDescent="0.3">
      <c r="C2159" s="9" t="s">
        <v>12</v>
      </c>
      <c r="D2159" s="10">
        <v>45747</v>
      </c>
      <c r="E2159" t="s">
        <v>1961</v>
      </c>
      <c r="F2159" s="11" t="s">
        <v>1962</v>
      </c>
      <c r="G2159" s="8">
        <v>115.18</v>
      </c>
      <c r="H2159" s="8">
        <v>0</v>
      </c>
      <c r="I2159" s="8">
        <f t="shared" si="84"/>
        <v>-67.87</v>
      </c>
      <c r="J2159" s="12"/>
    </row>
    <row r="2160" spans="1:10" x14ac:dyDescent="0.3">
      <c r="C2160" s="9" t="s">
        <v>12</v>
      </c>
      <c r="D2160" s="10">
        <v>45747</v>
      </c>
      <c r="E2160" t="s">
        <v>1963</v>
      </c>
      <c r="F2160" s="11" t="s">
        <v>1964</v>
      </c>
      <c r="G2160" s="8">
        <v>351.78</v>
      </c>
      <c r="H2160" s="8">
        <v>0</v>
      </c>
      <c r="I2160" s="8">
        <f t="shared" si="84"/>
        <v>283.90999999999997</v>
      </c>
      <c r="J2160" s="12"/>
    </row>
    <row r="2161" spans="3:10" x14ac:dyDescent="0.3">
      <c r="C2161" s="9" t="s">
        <v>12</v>
      </c>
      <c r="D2161" s="10">
        <v>45754</v>
      </c>
      <c r="E2161" t="s">
        <v>1965</v>
      </c>
      <c r="F2161" s="11" t="s">
        <v>14</v>
      </c>
      <c r="G2161" s="8">
        <v>183.05</v>
      </c>
      <c r="H2161" s="8">
        <v>0</v>
      </c>
      <c r="I2161" s="8">
        <f t="shared" si="84"/>
        <v>466.96</v>
      </c>
      <c r="J2161" s="12">
        <v>572000007</v>
      </c>
    </row>
    <row r="2162" spans="3:10" x14ac:dyDescent="0.3">
      <c r="C2162" s="9" t="s">
        <v>12</v>
      </c>
      <c r="D2162" s="10">
        <v>45755</v>
      </c>
      <c r="E2162" t="s">
        <v>1966</v>
      </c>
      <c r="F2162" s="11" t="s">
        <v>1967</v>
      </c>
      <c r="G2162" s="8">
        <v>120.02</v>
      </c>
      <c r="H2162" s="8">
        <v>0</v>
      </c>
      <c r="I2162" s="8">
        <f t="shared" si="84"/>
        <v>586.98</v>
      </c>
      <c r="J2162" s="12"/>
    </row>
    <row r="2163" spans="3:10" x14ac:dyDescent="0.3">
      <c r="C2163" s="9" t="s">
        <v>12</v>
      </c>
      <c r="D2163" s="10">
        <v>45761</v>
      </c>
      <c r="E2163" t="s">
        <v>1968</v>
      </c>
      <c r="F2163" s="11" t="s">
        <v>1969</v>
      </c>
      <c r="G2163" s="8">
        <v>57.52</v>
      </c>
      <c r="H2163" s="8">
        <v>0</v>
      </c>
      <c r="I2163" s="8">
        <f t="shared" si="84"/>
        <v>644.5</v>
      </c>
      <c r="J2163" s="12"/>
    </row>
    <row r="2164" spans="3:10" x14ac:dyDescent="0.3">
      <c r="C2164" s="9"/>
      <c r="D2164" s="10">
        <v>45793</v>
      </c>
      <c r="E2164" t="s">
        <v>1970</v>
      </c>
      <c r="F2164" s="11" t="s">
        <v>1971</v>
      </c>
      <c r="G2164" s="8">
        <v>304.45999999999998</v>
      </c>
      <c r="H2164" s="8">
        <v>0</v>
      </c>
      <c r="I2164" s="8">
        <f t="shared" si="84"/>
        <v>948.96</v>
      </c>
      <c r="J2164" s="12"/>
    </row>
    <row r="2165" spans="3:10" x14ac:dyDescent="0.3">
      <c r="C2165" s="9" t="s">
        <v>12</v>
      </c>
      <c r="D2165" s="10">
        <v>45810</v>
      </c>
      <c r="E2165" t="s">
        <v>1059</v>
      </c>
      <c r="F2165" s="11" t="s">
        <v>14</v>
      </c>
      <c r="G2165" s="8">
        <v>0</v>
      </c>
      <c r="H2165" s="8">
        <v>351.78</v>
      </c>
      <c r="I2165" s="8">
        <f t="shared" si="84"/>
        <v>597.18000000000006</v>
      </c>
      <c r="J2165" s="12"/>
    </row>
    <row r="2166" spans="3:10" x14ac:dyDescent="0.3">
      <c r="C2166" s="9" t="s">
        <v>12</v>
      </c>
      <c r="D2166" s="10">
        <v>45810</v>
      </c>
      <c r="E2166" t="s">
        <v>1059</v>
      </c>
      <c r="F2166" s="11" t="s">
        <v>14</v>
      </c>
      <c r="G2166" s="8">
        <v>0</v>
      </c>
      <c r="H2166" s="8">
        <v>115.18</v>
      </c>
      <c r="I2166" s="8">
        <f t="shared" si="84"/>
        <v>482.00000000000006</v>
      </c>
      <c r="J2166" s="12"/>
    </row>
    <row r="2167" spans="3:10" x14ac:dyDescent="0.3">
      <c r="C2167" s="9"/>
      <c r="D2167" s="10">
        <v>45814</v>
      </c>
      <c r="E2167" t="s">
        <v>1972</v>
      </c>
      <c r="F2167" s="11" t="s">
        <v>1973</v>
      </c>
      <c r="G2167" s="8">
        <v>83.88</v>
      </c>
      <c r="H2167" s="8">
        <v>0</v>
      </c>
      <c r="I2167" s="8">
        <f t="shared" si="84"/>
        <v>565.88000000000011</v>
      </c>
      <c r="J2167" s="12"/>
    </row>
    <row r="2168" spans="3:10" x14ac:dyDescent="0.3">
      <c r="C2168" s="9"/>
      <c r="D2168" s="10">
        <v>45824</v>
      </c>
      <c r="E2168" t="s">
        <v>1974</v>
      </c>
      <c r="F2168" s="11" t="s">
        <v>1975</v>
      </c>
      <c r="G2168" s="8">
        <v>381.33</v>
      </c>
      <c r="H2168" s="8">
        <v>0</v>
      </c>
      <c r="I2168" s="8">
        <f t="shared" si="84"/>
        <v>947.21</v>
      </c>
      <c r="J2168" s="12"/>
    </row>
    <row r="2169" spans="3:10" x14ac:dyDescent="0.3">
      <c r="C2169" s="9" t="s">
        <v>12</v>
      </c>
      <c r="D2169" s="10">
        <v>45840</v>
      </c>
      <c r="E2169" t="s">
        <v>1059</v>
      </c>
      <c r="F2169" s="11" t="s">
        <v>14</v>
      </c>
      <c r="G2169" s="8">
        <v>0</v>
      </c>
      <c r="H2169" s="8">
        <v>120.02</v>
      </c>
      <c r="I2169" s="8">
        <f t="shared" si="84"/>
        <v>827.19</v>
      </c>
      <c r="J2169" s="12"/>
    </row>
    <row r="2170" spans="3:10" x14ac:dyDescent="0.3">
      <c r="C2170" s="9" t="s">
        <v>12</v>
      </c>
      <c r="D2170" s="10">
        <v>45840</v>
      </c>
      <c r="E2170" t="s">
        <v>1059</v>
      </c>
      <c r="F2170" s="11" t="s">
        <v>14</v>
      </c>
      <c r="G2170" s="8">
        <v>0</v>
      </c>
      <c r="H2170" s="8">
        <v>57.52</v>
      </c>
      <c r="I2170" s="8">
        <f t="shared" si="84"/>
        <v>769.67000000000007</v>
      </c>
      <c r="J2170" s="12"/>
    </row>
    <row r="2171" spans="3:10" x14ac:dyDescent="0.3">
      <c r="C2171" s="9"/>
      <c r="D2171" s="10">
        <v>45841</v>
      </c>
      <c r="E2171" t="s">
        <v>1976</v>
      </c>
      <c r="F2171" s="11" t="s">
        <v>1977</v>
      </c>
      <c r="G2171" s="8">
        <v>139.19999999999999</v>
      </c>
      <c r="H2171" s="8">
        <v>0</v>
      </c>
      <c r="I2171" s="8">
        <f t="shared" si="84"/>
        <v>908.87000000000012</v>
      </c>
      <c r="J2171" s="12"/>
    </row>
    <row r="2172" spans="3:10" x14ac:dyDescent="0.3">
      <c r="C2172" s="9"/>
      <c r="D2172" s="10">
        <v>45841</v>
      </c>
      <c r="E2172" t="s">
        <v>1978</v>
      </c>
      <c r="F2172" s="11" t="s">
        <v>1979</v>
      </c>
      <c r="G2172" s="8">
        <v>148.5</v>
      </c>
      <c r="H2172" s="8">
        <v>0</v>
      </c>
      <c r="I2172" s="8">
        <f t="shared" si="84"/>
        <v>1057.3700000000001</v>
      </c>
      <c r="J2172" s="12"/>
    </row>
    <row r="2173" spans="3:10" x14ac:dyDescent="0.3">
      <c r="C2173" s="9"/>
      <c r="D2173" s="10">
        <v>45854</v>
      </c>
      <c r="E2173" t="s">
        <v>1980</v>
      </c>
      <c r="F2173" s="11" t="s">
        <v>1981</v>
      </c>
      <c r="G2173" s="8">
        <v>147.19</v>
      </c>
      <c r="H2173" s="8">
        <v>0</v>
      </c>
      <c r="I2173" s="8">
        <f t="shared" si="84"/>
        <v>1204.5600000000002</v>
      </c>
      <c r="J2173" s="12"/>
    </row>
    <row r="2174" spans="3:10" x14ac:dyDescent="0.3">
      <c r="C2174" s="9"/>
      <c r="D2174" s="10">
        <v>45873</v>
      </c>
      <c r="E2174" t="s">
        <v>1059</v>
      </c>
      <c r="F2174" s="11" t="s">
        <v>14</v>
      </c>
      <c r="G2174" s="8">
        <v>0</v>
      </c>
      <c r="H2174" s="8">
        <v>304.45999999999998</v>
      </c>
      <c r="I2174" s="8">
        <f t="shared" si="84"/>
        <v>900.10000000000014</v>
      </c>
      <c r="J2174" s="12"/>
    </row>
    <row r="2175" spans="3:10" x14ac:dyDescent="0.3">
      <c r="C2175" s="9"/>
      <c r="D2175" s="10">
        <v>45900</v>
      </c>
      <c r="E2175" t="s">
        <v>1982</v>
      </c>
      <c r="F2175" s="11" t="s">
        <v>1983</v>
      </c>
      <c r="G2175" s="8">
        <v>456.93</v>
      </c>
      <c r="H2175" s="8">
        <v>0</v>
      </c>
      <c r="I2175" s="8">
        <f t="shared" si="84"/>
        <v>1357.0300000000002</v>
      </c>
      <c r="J2175" s="12"/>
    </row>
    <row r="2176" spans="3:10" x14ac:dyDescent="0.3">
      <c r="C2176" s="9"/>
      <c r="D2176" s="10">
        <v>45902</v>
      </c>
      <c r="E2176" t="s">
        <v>1059</v>
      </c>
      <c r="F2176" s="11" t="s">
        <v>14</v>
      </c>
      <c r="G2176" s="8">
        <v>0</v>
      </c>
      <c r="H2176" s="8">
        <v>148.5</v>
      </c>
      <c r="I2176" s="8">
        <f t="shared" si="84"/>
        <v>1208.5300000000002</v>
      </c>
      <c r="J2176" s="12"/>
    </row>
    <row r="2177" spans="1:10" x14ac:dyDescent="0.3">
      <c r="C2177" s="9"/>
      <c r="D2177" s="10">
        <v>45902</v>
      </c>
      <c r="E2177" t="s">
        <v>1059</v>
      </c>
      <c r="F2177" s="11" t="s">
        <v>14</v>
      </c>
      <c r="G2177" s="8">
        <v>0</v>
      </c>
      <c r="H2177" s="8">
        <v>139.19999999999999</v>
      </c>
      <c r="I2177" s="8">
        <f t="shared" si="84"/>
        <v>1069.3300000000002</v>
      </c>
      <c r="J2177" s="12"/>
    </row>
    <row r="2178" spans="1:10" x14ac:dyDescent="0.3">
      <c r="C2178" s="9"/>
      <c r="D2178" s="10">
        <v>45902</v>
      </c>
      <c r="E2178" t="s">
        <v>1059</v>
      </c>
      <c r="F2178" s="11" t="s">
        <v>14</v>
      </c>
      <c r="G2178" s="8">
        <v>0</v>
      </c>
      <c r="H2178" s="8">
        <v>381.33</v>
      </c>
      <c r="I2178" s="8">
        <f t="shared" si="84"/>
        <v>688.00000000000023</v>
      </c>
      <c r="J2178" s="12"/>
    </row>
    <row r="2179" spans="1:10" x14ac:dyDescent="0.3">
      <c r="C2179" s="9"/>
      <c r="D2179" s="10">
        <v>45902</v>
      </c>
      <c r="E2179" t="s">
        <v>1059</v>
      </c>
      <c r="F2179" s="11" t="s">
        <v>14</v>
      </c>
      <c r="G2179" s="8">
        <v>0</v>
      </c>
      <c r="H2179" s="8">
        <v>83.88</v>
      </c>
      <c r="I2179" s="8">
        <f t="shared" si="84"/>
        <v>604.12000000000023</v>
      </c>
      <c r="J2179" s="12"/>
    </row>
    <row r="2180" spans="1:10" x14ac:dyDescent="0.3">
      <c r="C2180" s="9"/>
      <c r="D2180" s="10">
        <v>45905</v>
      </c>
      <c r="E2180" t="s">
        <v>1984</v>
      </c>
      <c r="F2180" s="11" t="s">
        <v>1985</v>
      </c>
      <c r="G2180" s="8">
        <v>133.1</v>
      </c>
      <c r="H2180" s="8">
        <v>0</v>
      </c>
      <c r="I2180" s="8">
        <f t="shared" si="84"/>
        <v>737.22000000000025</v>
      </c>
      <c r="J2180" s="12"/>
    </row>
    <row r="2181" spans="1:10" x14ac:dyDescent="0.3">
      <c r="E2181" s="4" t="s">
        <v>116</v>
      </c>
      <c r="G2181" s="8">
        <f>SUM(G2150:G2180)</f>
        <v>3444.6399999999994</v>
      </c>
      <c r="H2181" s="8">
        <f>SUM(H2150:H2180)</f>
        <v>2707.42</v>
      </c>
      <c r="I2181" s="8">
        <f>G2181-H2181</f>
        <v>737.21999999999935</v>
      </c>
    </row>
    <row r="2183" spans="1:10" x14ac:dyDescent="0.3">
      <c r="A2183" s="5">
        <v>430040142</v>
      </c>
      <c r="B2183" s="6" t="s">
        <v>1986</v>
      </c>
      <c r="C2183" s="7"/>
      <c r="D2183" s="7"/>
      <c r="E2183" s="7"/>
      <c r="F2183" s="7"/>
      <c r="G2183" s="7"/>
      <c r="H2183" s="7"/>
      <c r="I2183" s="7"/>
      <c r="J2183" s="7"/>
    </row>
    <row r="2184" spans="1:10" x14ac:dyDescent="0.3">
      <c r="C2184" s="9"/>
      <c r="D2184" s="10">
        <v>45804</v>
      </c>
      <c r="E2184" t="s">
        <v>1987</v>
      </c>
      <c r="F2184" s="11" t="s">
        <v>1988</v>
      </c>
      <c r="G2184" s="8">
        <v>67.14</v>
      </c>
      <c r="H2184" s="8">
        <v>0</v>
      </c>
      <c r="I2184" s="8">
        <f>G2184-H2184</f>
        <v>67.14</v>
      </c>
      <c r="J2184" s="12"/>
    </row>
    <row r="2185" spans="1:10" x14ac:dyDescent="0.3">
      <c r="C2185" s="9"/>
      <c r="D2185" s="10">
        <v>45838</v>
      </c>
      <c r="E2185" t="s">
        <v>1989</v>
      </c>
      <c r="F2185" s="11" t="s">
        <v>1990</v>
      </c>
      <c r="G2185" s="8">
        <v>133.1</v>
      </c>
      <c r="H2185" s="8">
        <v>0</v>
      </c>
      <c r="I2185" s="8">
        <f>G2185-H2185+I2184</f>
        <v>200.24</v>
      </c>
      <c r="J2185" s="12"/>
    </row>
    <row r="2186" spans="1:10" x14ac:dyDescent="0.3">
      <c r="C2186" s="9"/>
      <c r="D2186" s="10">
        <v>45862</v>
      </c>
      <c r="E2186" t="s">
        <v>305</v>
      </c>
      <c r="F2186" s="11" t="s">
        <v>14</v>
      </c>
      <c r="G2186" s="8">
        <v>0</v>
      </c>
      <c r="H2186" s="8">
        <v>67.14</v>
      </c>
      <c r="I2186" s="8">
        <f>G2186-H2186+I2185</f>
        <v>133.10000000000002</v>
      </c>
      <c r="J2186" s="12">
        <v>572000007</v>
      </c>
    </row>
    <row r="2187" spans="1:10" x14ac:dyDescent="0.3">
      <c r="C2187" s="9"/>
      <c r="D2187" s="10">
        <v>45900</v>
      </c>
      <c r="E2187" t="s">
        <v>1991</v>
      </c>
      <c r="F2187" s="11" t="s">
        <v>1992</v>
      </c>
      <c r="G2187" s="8">
        <v>426.71</v>
      </c>
      <c r="H2187" s="8">
        <v>0</v>
      </c>
      <c r="I2187" s="8">
        <f>G2187-H2187+I2186</f>
        <v>559.80999999999995</v>
      </c>
      <c r="J2187" s="12"/>
    </row>
    <row r="2188" spans="1:10" x14ac:dyDescent="0.3">
      <c r="E2188" s="4" t="s">
        <v>116</v>
      </c>
      <c r="G2188" s="8">
        <f>SUM(G2184:G2187)</f>
        <v>626.95000000000005</v>
      </c>
      <c r="H2188" s="8">
        <f>SUM(H2184:H2187)</f>
        <v>67.14</v>
      </c>
      <c r="I2188" s="8">
        <f>G2188-H2188</f>
        <v>559.81000000000006</v>
      </c>
    </row>
    <row r="2190" spans="1:10" x14ac:dyDescent="0.3">
      <c r="A2190" s="5">
        <v>430040194</v>
      </c>
      <c r="B2190" s="6" t="s">
        <v>1993</v>
      </c>
      <c r="C2190" s="7"/>
      <c r="D2190" s="7"/>
      <c r="E2190" s="7"/>
      <c r="F2190" s="7"/>
      <c r="G2190" s="7"/>
      <c r="H2190" s="7"/>
      <c r="I2190" s="7"/>
      <c r="J2190" s="7"/>
    </row>
    <row r="2191" spans="1:10" x14ac:dyDescent="0.3">
      <c r="C2191" s="9" t="s">
        <v>12</v>
      </c>
      <c r="D2191" s="10">
        <v>45704</v>
      </c>
      <c r="E2191" t="s">
        <v>1994</v>
      </c>
      <c r="F2191" s="11" t="s">
        <v>1995</v>
      </c>
      <c r="G2191" s="8">
        <v>1369.45</v>
      </c>
      <c r="H2191" s="8">
        <v>0</v>
      </c>
      <c r="I2191" s="8">
        <f>G2191-H2191</f>
        <v>1369.45</v>
      </c>
      <c r="J2191" s="12"/>
    </row>
    <row r="2192" spans="1:10" x14ac:dyDescent="0.3">
      <c r="C2192" s="9" t="s">
        <v>12</v>
      </c>
      <c r="D2192" s="10">
        <v>45705</v>
      </c>
      <c r="E2192" t="s">
        <v>1059</v>
      </c>
      <c r="F2192" s="11" t="s">
        <v>14</v>
      </c>
      <c r="G2192" s="8">
        <v>0</v>
      </c>
      <c r="H2192" s="8">
        <v>1369.45</v>
      </c>
      <c r="I2192" s="8">
        <f t="shared" ref="I2192:I2199" si="85">G2192-H2192+I2191</f>
        <v>0</v>
      </c>
      <c r="J2192" s="12"/>
    </row>
    <row r="2193" spans="1:10" x14ac:dyDescent="0.3">
      <c r="C2193" s="9" t="s">
        <v>12</v>
      </c>
      <c r="D2193" s="10">
        <v>45811</v>
      </c>
      <c r="E2193" t="s">
        <v>1996</v>
      </c>
      <c r="F2193" s="11" t="s">
        <v>1997</v>
      </c>
      <c r="G2193" s="8">
        <v>354.6</v>
      </c>
      <c r="H2193" s="8">
        <v>0</v>
      </c>
      <c r="I2193" s="8">
        <f t="shared" si="85"/>
        <v>354.6</v>
      </c>
      <c r="J2193" s="12"/>
    </row>
    <row r="2194" spans="1:10" x14ac:dyDescent="0.3">
      <c r="C2194" s="9" t="s">
        <v>12</v>
      </c>
      <c r="D2194" s="10">
        <v>45813</v>
      </c>
      <c r="E2194" t="s">
        <v>1998</v>
      </c>
      <c r="F2194" s="11" t="s">
        <v>1999</v>
      </c>
      <c r="G2194" s="8">
        <v>354.6</v>
      </c>
      <c r="H2194" s="8">
        <v>0</v>
      </c>
      <c r="I2194" s="8">
        <f t="shared" si="85"/>
        <v>709.2</v>
      </c>
      <c r="J2194" s="12"/>
    </row>
    <row r="2195" spans="1:10" x14ac:dyDescent="0.3">
      <c r="C2195" s="9" t="s">
        <v>12</v>
      </c>
      <c r="D2195" s="10">
        <v>45825</v>
      </c>
      <c r="E2195" t="s">
        <v>2000</v>
      </c>
      <c r="F2195" s="11" t="s">
        <v>2001</v>
      </c>
      <c r="G2195" s="8">
        <v>-354.6</v>
      </c>
      <c r="H2195" s="8">
        <v>0</v>
      </c>
      <c r="I2195" s="8">
        <f t="shared" si="85"/>
        <v>354.6</v>
      </c>
      <c r="J2195" s="12"/>
    </row>
    <row r="2196" spans="1:10" x14ac:dyDescent="0.3">
      <c r="C2196" s="9" t="s">
        <v>12</v>
      </c>
      <c r="D2196" s="10">
        <v>45832</v>
      </c>
      <c r="E2196" t="s">
        <v>1059</v>
      </c>
      <c r="F2196" s="11" t="s">
        <v>14</v>
      </c>
      <c r="G2196" s="8">
        <v>0</v>
      </c>
      <c r="H2196" s="8">
        <v>354.6</v>
      </c>
      <c r="I2196" s="8">
        <f t="shared" si="85"/>
        <v>0</v>
      </c>
      <c r="J2196" s="12"/>
    </row>
    <row r="2197" spans="1:10" x14ac:dyDescent="0.3">
      <c r="C2197" s="9"/>
      <c r="D2197" s="10">
        <v>45873</v>
      </c>
      <c r="E2197" t="s">
        <v>2002</v>
      </c>
      <c r="F2197" s="11" t="s">
        <v>2003</v>
      </c>
      <c r="G2197" s="8">
        <v>603.36</v>
      </c>
      <c r="H2197" s="8">
        <v>0</v>
      </c>
      <c r="I2197" s="8">
        <f t="shared" si="85"/>
        <v>603.36</v>
      </c>
      <c r="J2197" s="12"/>
    </row>
    <row r="2198" spans="1:10" x14ac:dyDescent="0.3">
      <c r="C2198" s="9"/>
      <c r="D2198" s="10">
        <v>45888</v>
      </c>
      <c r="E2198" t="s">
        <v>1059</v>
      </c>
      <c r="F2198" s="11" t="s">
        <v>14</v>
      </c>
      <c r="G2198" s="8">
        <v>0</v>
      </c>
      <c r="H2198" s="8">
        <v>603.36</v>
      </c>
      <c r="I2198" s="8">
        <f t="shared" si="85"/>
        <v>0</v>
      </c>
      <c r="J2198" s="12">
        <v>572000005</v>
      </c>
    </row>
    <row r="2199" spans="1:10" x14ac:dyDescent="0.3">
      <c r="C2199" s="9"/>
      <c r="D2199" s="10">
        <v>45912</v>
      </c>
      <c r="E2199" t="s">
        <v>2004</v>
      </c>
      <c r="F2199" s="11" t="s">
        <v>2005</v>
      </c>
      <c r="G2199" s="8">
        <v>366.23</v>
      </c>
      <c r="H2199" s="8">
        <v>0</v>
      </c>
      <c r="I2199" s="8">
        <f t="shared" si="85"/>
        <v>366.23</v>
      </c>
      <c r="J2199" s="12"/>
    </row>
    <row r="2200" spans="1:10" x14ac:dyDescent="0.3">
      <c r="E2200" s="4" t="s">
        <v>116</v>
      </c>
      <c r="G2200" s="8">
        <f>SUM(G2191:G2199)</f>
        <v>2693.6400000000003</v>
      </c>
      <c r="H2200" s="8">
        <f>SUM(H2191:H2199)</f>
        <v>2327.4100000000003</v>
      </c>
      <c r="I2200" s="8">
        <f>G2200-H2200</f>
        <v>366.23</v>
      </c>
    </row>
    <row r="2202" spans="1:10" x14ac:dyDescent="0.3">
      <c r="A2202" s="5">
        <v>430040257</v>
      </c>
      <c r="B2202" s="6" t="s">
        <v>2006</v>
      </c>
      <c r="C2202" s="7"/>
      <c r="D2202" s="7"/>
      <c r="E2202" s="7"/>
      <c r="F2202" s="7"/>
      <c r="G2202" s="7"/>
      <c r="H2202" s="7"/>
      <c r="I2202" s="7"/>
      <c r="J2202" s="7"/>
    </row>
    <row r="2203" spans="1:10" x14ac:dyDescent="0.3">
      <c r="C2203" s="9"/>
      <c r="D2203" s="10">
        <v>45866</v>
      </c>
      <c r="E2203" t="s">
        <v>2007</v>
      </c>
      <c r="F2203" s="11" t="s">
        <v>2008</v>
      </c>
      <c r="G2203" s="8">
        <v>344.03</v>
      </c>
      <c r="H2203" s="8">
        <v>0</v>
      </c>
      <c r="I2203" s="8">
        <f>G2203-H2203</f>
        <v>344.03</v>
      </c>
      <c r="J2203" s="12"/>
    </row>
    <row r="2204" spans="1:10" x14ac:dyDescent="0.3">
      <c r="C2204" s="9"/>
      <c r="D2204" s="10">
        <v>45873</v>
      </c>
      <c r="E2204" t="s">
        <v>1059</v>
      </c>
      <c r="F2204" s="11" t="s">
        <v>14</v>
      </c>
      <c r="G2204" s="8">
        <v>0</v>
      </c>
      <c r="H2204" s="8">
        <v>344.03</v>
      </c>
      <c r="I2204" s="8">
        <f>G2204-H2204+I2203</f>
        <v>0</v>
      </c>
      <c r="J2204" s="12"/>
    </row>
    <row r="2205" spans="1:10" x14ac:dyDescent="0.3">
      <c r="C2205" s="9"/>
      <c r="D2205" s="10">
        <v>45917</v>
      </c>
      <c r="E2205" t="s">
        <v>2009</v>
      </c>
      <c r="F2205" s="11" t="s">
        <v>2010</v>
      </c>
      <c r="G2205" s="8">
        <v>309.27</v>
      </c>
      <c r="H2205" s="8">
        <v>0</v>
      </c>
      <c r="I2205" s="8">
        <f>G2205-H2205+I2204</f>
        <v>309.27</v>
      </c>
      <c r="J2205" s="12"/>
    </row>
    <row r="2206" spans="1:10" x14ac:dyDescent="0.3">
      <c r="E2206" s="4" t="s">
        <v>116</v>
      </c>
      <c r="G2206" s="8">
        <f>SUM(G2203:G2205)</f>
        <v>653.29999999999995</v>
      </c>
      <c r="H2206" s="8">
        <f>SUM(H2203:H2205)</f>
        <v>344.03</v>
      </c>
      <c r="I2206" s="8">
        <f>G2206-H2206</f>
        <v>309.27</v>
      </c>
    </row>
    <row r="2208" spans="1:10" x14ac:dyDescent="0.3">
      <c r="A2208" s="5">
        <v>430040274</v>
      </c>
      <c r="B2208" s="6" t="s">
        <v>2011</v>
      </c>
      <c r="C2208" s="7"/>
      <c r="D2208" s="7"/>
      <c r="E2208" s="7"/>
      <c r="F2208" s="7"/>
      <c r="G2208" s="7"/>
      <c r="H2208" s="7"/>
      <c r="I2208" s="7"/>
      <c r="J2208" s="7"/>
    </row>
    <row r="2209" spans="1:10" x14ac:dyDescent="0.3">
      <c r="C2209" s="9" t="s">
        <v>12</v>
      </c>
      <c r="D2209" s="10">
        <v>45660</v>
      </c>
      <c r="E2209" t="s">
        <v>2012</v>
      </c>
      <c r="F2209" s="11" t="s">
        <v>2013</v>
      </c>
      <c r="G2209" s="8">
        <v>400.75</v>
      </c>
      <c r="H2209" s="8">
        <v>0</v>
      </c>
      <c r="I2209" s="8">
        <f>G2209-H2209</f>
        <v>400.75</v>
      </c>
      <c r="J2209" s="12"/>
    </row>
    <row r="2210" spans="1:10" x14ac:dyDescent="0.3">
      <c r="C2210" s="9" t="s">
        <v>12</v>
      </c>
      <c r="D2210" s="10">
        <v>45665</v>
      </c>
      <c r="E2210" t="s">
        <v>1059</v>
      </c>
      <c r="F2210" s="11" t="s">
        <v>14</v>
      </c>
      <c r="G2210" s="8">
        <v>0</v>
      </c>
      <c r="H2210" s="8">
        <v>400.75</v>
      </c>
      <c r="I2210" s="8">
        <f t="shared" ref="I2210:I2221" si="86">G2210-H2210+I2209</f>
        <v>0</v>
      </c>
      <c r="J2210" s="12"/>
    </row>
    <row r="2211" spans="1:10" x14ac:dyDescent="0.3">
      <c r="C2211" s="9" t="s">
        <v>12</v>
      </c>
      <c r="D2211" s="10">
        <v>45685</v>
      </c>
      <c r="E2211" t="s">
        <v>2014</v>
      </c>
      <c r="F2211" s="11" t="s">
        <v>2015</v>
      </c>
      <c r="G2211" s="8">
        <v>2825.35</v>
      </c>
      <c r="H2211" s="8">
        <v>0</v>
      </c>
      <c r="I2211" s="8">
        <f t="shared" si="86"/>
        <v>2825.35</v>
      </c>
      <c r="J2211" s="12"/>
    </row>
    <row r="2212" spans="1:10" x14ac:dyDescent="0.3">
      <c r="C2212" s="9" t="s">
        <v>12</v>
      </c>
      <c r="D2212" s="10">
        <v>45685</v>
      </c>
      <c r="E2212" t="s">
        <v>886</v>
      </c>
      <c r="F2212" s="11" t="s">
        <v>14</v>
      </c>
      <c r="G2212" s="8">
        <v>0</v>
      </c>
      <c r="H2212" s="8">
        <v>2825.35</v>
      </c>
      <c r="I2212" s="8">
        <f t="shared" si="86"/>
        <v>0</v>
      </c>
      <c r="J2212" s="12">
        <v>572000007</v>
      </c>
    </row>
    <row r="2213" spans="1:10" x14ac:dyDescent="0.3">
      <c r="C2213" s="9" t="s">
        <v>12</v>
      </c>
      <c r="D2213" s="10">
        <v>45693</v>
      </c>
      <c r="E2213" t="s">
        <v>2016</v>
      </c>
      <c r="F2213" s="11" t="s">
        <v>2017</v>
      </c>
      <c r="G2213" s="8">
        <v>140.6</v>
      </c>
      <c r="H2213" s="8">
        <v>0</v>
      </c>
      <c r="I2213" s="8">
        <f t="shared" si="86"/>
        <v>140.6</v>
      </c>
      <c r="J2213" s="12"/>
    </row>
    <row r="2214" spans="1:10" x14ac:dyDescent="0.3">
      <c r="C2214" s="9" t="s">
        <v>12</v>
      </c>
      <c r="D2214" s="10">
        <v>45695</v>
      </c>
      <c r="E2214" t="s">
        <v>1059</v>
      </c>
      <c r="F2214" s="11" t="s">
        <v>14</v>
      </c>
      <c r="G2214" s="8">
        <v>0</v>
      </c>
      <c r="H2214" s="8">
        <v>140.6</v>
      </c>
      <c r="I2214" s="8">
        <f t="shared" si="86"/>
        <v>0</v>
      </c>
      <c r="J2214" s="12"/>
    </row>
    <row r="2215" spans="1:10" x14ac:dyDescent="0.3">
      <c r="C2215" s="9"/>
      <c r="D2215" s="10">
        <v>45708</v>
      </c>
      <c r="E2215" t="s">
        <v>2018</v>
      </c>
      <c r="F2215" s="11" t="s">
        <v>2019</v>
      </c>
      <c r="G2215" s="8">
        <v>-2825.35</v>
      </c>
      <c r="H2215" s="8">
        <v>0</v>
      </c>
      <c r="I2215" s="8">
        <f t="shared" si="86"/>
        <v>-2825.35</v>
      </c>
      <c r="J2215" s="12"/>
    </row>
    <row r="2216" spans="1:10" x14ac:dyDescent="0.3">
      <c r="C2216" s="9"/>
      <c r="D2216" s="10">
        <v>45708</v>
      </c>
      <c r="E2216" t="s">
        <v>2020</v>
      </c>
      <c r="F2216" s="11" t="s">
        <v>2021</v>
      </c>
      <c r="G2216" s="8">
        <v>5650.7</v>
      </c>
      <c r="H2216" s="8">
        <v>0</v>
      </c>
      <c r="I2216" s="8">
        <f t="shared" si="86"/>
        <v>2825.35</v>
      </c>
      <c r="J2216" s="12"/>
    </row>
    <row r="2217" spans="1:10" x14ac:dyDescent="0.3">
      <c r="C2217" s="9"/>
      <c r="D2217" s="10">
        <v>45708</v>
      </c>
      <c r="E2217" t="s">
        <v>1059</v>
      </c>
      <c r="F2217" s="11" t="s">
        <v>14</v>
      </c>
      <c r="G2217" s="8">
        <v>0</v>
      </c>
      <c r="H2217" s="8">
        <v>2828.35</v>
      </c>
      <c r="I2217" s="8">
        <f t="shared" si="86"/>
        <v>-3</v>
      </c>
      <c r="J2217" s="12"/>
    </row>
    <row r="2218" spans="1:10" x14ac:dyDescent="0.3">
      <c r="C2218" s="9" t="s">
        <v>12</v>
      </c>
      <c r="D2218" s="10">
        <v>45776</v>
      </c>
      <c r="E2218" t="s">
        <v>2022</v>
      </c>
      <c r="F2218" s="11" t="s">
        <v>2023</v>
      </c>
      <c r="G2218" s="8">
        <v>163.35</v>
      </c>
      <c r="H2218" s="8">
        <v>0</v>
      </c>
      <c r="I2218" s="8">
        <f t="shared" si="86"/>
        <v>160.35</v>
      </c>
      <c r="J2218" s="12"/>
    </row>
    <row r="2219" spans="1:10" x14ac:dyDescent="0.3">
      <c r="C2219" s="9" t="s">
        <v>12</v>
      </c>
      <c r="D2219" s="10">
        <v>45791</v>
      </c>
      <c r="E2219" t="s">
        <v>1059</v>
      </c>
      <c r="F2219" s="11" t="s">
        <v>14</v>
      </c>
      <c r="G2219" s="8">
        <v>0</v>
      </c>
      <c r="H2219" s="8">
        <v>163.35</v>
      </c>
      <c r="I2219" s="8">
        <f t="shared" si="86"/>
        <v>-3</v>
      </c>
      <c r="J2219" s="12">
        <v>572000005</v>
      </c>
    </row>
    <row r="2220" spans="1:10" x14ac:dyDescent="0.3">
      <c r="C2220" s="9" t="s">
        <v>12</v>
      </c>
      <c r="D2220" s="10">
        <v>45806</v>
      </c>
      <c r="E2220" t="s">
        <v>2024</v>
      </c>
      <c r="F2220" s="11" t="s">
        <v>2025</v>
      </c>
      <c r="G2220" s="8">
        <v>141.68</v>
      </c>
      <c r="H2220" s="8">
        <v>0</v>
      </c>
      <c r="I2220" s="8">
        <f t="shared" si="86"/>
        <v>138.68</v>
      </c>
      <c r="J2220" s="12"/>
    </row>
    <row r="2221" spans="1:10" x14ac:dyDescent="0.3">
      <c r="C2221" s="9" t="s">
        <v>12</v>
      </c>
      <c r="D2221" s="10">
        <v>45821</v>
      </c>
      <c r="E2221" t="s">
        <v>1059</v>
      </c>
      <c r="F2221" s="11" t="s">
        <v>14</v>
      </c>
      <c r="G2221" s="8">
        <v>0</v>
      </c>
      <c r="H2221" s="8">
        <v>141.68</v>
      </c>
      <c r="I2221" s="8">
        <f t="shared" si="86"/>
        <v>-3</v>
      </c>
      <c r="J2221" s="12"/>
    </row>
    <row r="2222" spans="1:10" x14ac:dyDescent="0.3">
      <c r="E2222" s="4" t="s">
        <v>116</v>
      </c>
      <c r="G2222" s="8">
        <f>SUM(G2209:G2221)</f>
        <v>6497.08</v>
      </c>
      <c r="H2222" s="8">
        <f>SUM(H2209:H2221)</f>
        <v>6500.08</v>
      </c>
      <c r="I2222" s="8">
        <f>G2222-H2222</f>
        <v>-3</v>
      </c>
    </row>
    <row r="2224" spans="1:10" x14ac:dyDescent="0.3">
      <c r="A2224" s="5">
        <v>430040291</v>
      </c>
      <c r="B2224" s="6" t="s">
        <v>2026</v>
      </c>
      <c r="C2224" s="7"/>
      <c r="D2224" s="7"/>
      <c r="E2224" s="7"/>
      <c r="F2224" s="7"/>
      <c r="G2224" s="7"/>
      <c r="H2224" s="7"/>
      <c r="I2224" s="7"/>
      <c r="J2224" s="7"/>
    </row>
    <row r="2225" spans="3:10" x14ac:dyDescent="0.3">
      <c r="E2225" s="4" t="s">
        <v>11</v>
      </c>
      <c r="G2225" s="8">
        <v>135.36000000000001</v>
      </c>
      <c r="H2225" s="8">
        <v>0</v>
      </c>
      <c r="I2225" s="8">
        <f>G2225-H2225</f>
        <v>135.36000000000001</v>
      </c>
    </row>
    <row r="2226" spans="3:10" x14ac:dyDescent="0.3">
      <c r="C2226" s="9" t="s">
        <v>12</v>
      </c>
      <c r="D2226" s="10">
        <v>45664</v>
      </c>
      <c r="E2226" t="s">
        <v>2027</v>
      </c>
      <c r="F2226" s="11" t="s">
        <v>363</v>
      </c>
      <c r="G2226" s="8">
        <v>226.5</v>
      </c>
      <c r="H2226" s="8">
        <v>0</v>
      </c>
      <c r="I2226" s="8">
        <f t="shared" ref="I2226:I2250" si="87">G2226-H2226+I2225</f>
        <v>361.86</v>
      </c>
      <c r="J2226" s="12"/>
    </row>
    <row r="2227" spans="3:10" x14ac:dyDescent="0.3">
      <c r="C2227" s="9" t="s">
        <v>12</v>
      </c>
      <c r="D2227" s="10">
        <v>45664</v>
      </c>
      <c r="E2227" t="s">
        <v>2028</v>
      </c>
      <c r="F2227" s="11" t="s">
        <v>365</v>
      </c>
      <c r="G2227" s="8">
        <v>364.67</v>
      </c>
      <c r="H2227" s="8">
        <v>0</v>
      </c>
      <c r="I2227" s="8">
        <f t="shared" si="87"/>
        <v>726.53</v>
      </c>
      <c r="J2227" s="12"/>
    </row>
    <row r="2228" spans="3:10" x14ac:dyDescent="0.3">
      <c r="C2228" s="9" t="s">
        <v>12</v>
      </c>
      <c r="D2228" s="10">
        <v>45692</v>
      </c>
      <c r="E2228" t="s">
        <v>886</v>
      </c>
      <c r="F2228" s="11" t="s">
        <v>14</v>
      </c>
      <c r="G2228" s="8">
        <v>0</v>
      </c>
      <c r="H2228" s="8">
        <v>135.36000000000001</v>
      </c>
      <c r="I2228" s="8">
        <f t="shared" si="87"/>
        <v>591.16999999999996</v>
      </c>
      <c r="J2228" s="12">
        <v>572000007</v>
      </c>
    </row>
    <row r="2229" spans="3:10" x14ac:dyDescent="0.3">
      <c r="C2229" s="9" t="s">
        <v>12</v>
      </c>
      <c r="D2229" s="10">
        <v>45692</v>
      </c>
      <c r="E2229" t="s">
        <v>886</v>
      </c>
      <c r="F2229" s="11" t="s">
        <v>14</v>
      </c>
      <c r="G2229" s="8">
        <v>0</v>
      </c>
      <c r="H2229" s="8">
        <v>226.5</v>
      </c>
      <c r="I2229" s="8">
        <f t="shared" si="87"/>
        <v>364.66999999999996</v>
      </c>
      <c r="J2229" s="12">
        <v>572000007</v>
      </c>
    </row>
    <row r="2230" spans="3:10" x14ac:dyDescent="0.3">
      <c r="C2230" s="9" t="s">
        <v>12</v>
      </c>
      <c r="D2230" s="10">
        <v>45692</v>
      </c>
      <c r="E2230" t="s">
        <v>886</v>
      </c>
      <c r="F2230" s="11" t="s">
        <v>14</v>
      </c>
      <c r="G2230" s="8">
        <v>0</v>
      </c>
      <c r="H2230" s="8">
        <v>364.67</v>
      </c>
      <c r="I2230" s="8">
        <f t="shared" si="87"/>
        <v>0</v>
      </c>
      <c r="J2230" s="12">
        <v>572000007</v>
      </c>
    </row>
    <row r="2231" spans="3:10" x14ac:dyDescent="0.3">
      <c r="C2231" s="9" t="s">
        <v>12</v>
      </c>
      <c r="D2231" s="10">
        <v>45694</v>
      </c>
      <c r="E2231" t="s">
        <v>2029</v>
      </c>
      <c r="F2231" s="11" t="s">
        <v>2030</v>
      </c>
      <c r="G2231" s="8">
        <v>191.28</v>
      </c>
      <c r="H2231" s="8">
        <v>0</v>
      </c>
      <c r="I2231" s="8">
        <f t="shared" si="87"/>
        <v>191.28</v>
      </c>
      <c r="J2231" s="12"/>
    </row>
    <row r="2232" spans="3:10" x14ac:dyDescent="0.3">
      <c r="C2232" s="9" t="s">
        <v>12</v>
      </c>
      <c r="D2232" s="10">
        <v>45720</v>
      </c>
      <c r="E2232" t="s">
        <v>886</v>
      </c>
      <c r="F2232" s="11" t="s">
        <v>14</v>
      </c>
      <c r="G2232" s="8">
        <v>0</v>
      </c>
      <c r="H2232" s="8">
        <v>191.28</v>
      </c>
      <c r="I2232" s="8">
        <f t="shared" si="87"/>
        <v>0</v>
      </c>
      <c r="J2232" s="12">
        <v>572000007</v>
      </c>
    </row>
    <row r="2233" spans="3:10" x14ac:dyDescent="0.3">
      <c r="C2233" s="9" t="s">
        <v>12</v>
      </c>
      <c r="D2233" s="10">
        <v>45723</v>
      </c>
      <c r="E2233" t="s">
        <v>2031</v>
      </c>
      <c r="F2233" s="11" t="s">
        <v>2032</v>
      </c>
      <c r="G2233" s="8">
        <v>124.5</v>
      </c>
      <c r="H2233" s="8">
        <v>0</v>
      </c>
      <c r="I2233" s="8">
        <f t="shared" si="87"/>
        <v>124.5</v>
      </c>
      <c r="J2233" s="12"/>
    </row>
    <row r="2234" spans="3:10" x14ac:dyDescent="0.3">
      <c r="C2234" s="9" t="s">
        <v>12</v>
      </c>
      <c r="D2234" s="10">
        <v>45729</v>
      </c>
      <c r="E2234" t="s">
        <v>886</v>
      </c>
      <c r="F2234" s="11" t="s">
        <v>14</v>
      </c>
      <c r="G2234" s="8">
        <v>0</v>
      </c>
      <c r="H2234" s="8">
        <v>124.5</v>
      </c>
      <c r="I2234" s="8">
        <f t="shared" si="87"/>
        <v>0</v>
      </c>
      <c r="J2234" s="12">
        <v>572000007</v>
      </c>
    </row>
    <row r="2235" spans="3:10" x14ac:dyDescent="0.3">
      <c r="C2235" s="9" t="s">
        <v>12</v>
      </c>
      <c r="D2235" s="10">
        <v>45756</v>
      </c>
      <c r="E2235" t="s">
        <v>2033</v>
      </c>
      <c r="F2235" s="11" t="s">
        <v>2034</v>
      </c>
      <c r="G2235" s="8">
        <v>133.1</v>
      </c>
      <c r="H2235" s="8">
        <v>0</v>
      </c>
      <c r="I2235" s="8">
        <f t="shared" si="87"/>
        <v>133.1</v>
      </c>
      <c r="J2235" s="12"/>
    </row>
    <row r="2236" spans="3:10" x14ac:dyDescent="0.3">
      <c r="C2236" s="9" t="s">
        <v>12</v>
      </c>
      <c r="D2236" s="10">
        <v>45770</v>
      </c>
      <c r="E2236" t="s">
        <v>2035</v>
      </c>
      <c r="F2236" s="11" t="s">
        <v>2036</v>
      </c>
      <c r="G2236" s="8">
        <v>290.91000000000003</v>
      </c>
      <c r="H2236" s="8">
        <v>0</v>
      </c>
      <c r="I2236" s="8">
        <f t="shared" si="87"/>
        <v>424.01</v>
      </c>
      <c r="J2236" s="12"/>
    </row>
    <row r="2237" spans="3:10" x14ac:dyDescent="0.3">
      <c r="C2237" s="9" t="s">
        <v>12</v>
      </c>
      <c r="D2237" s="10">
        <v>45782</v>
      </c>
      <c r="E2237" t="s">
        <v>305</v>
      </c>
      <c r="F2237" s="11" t="s">
        <v>14</v>
      </c>
      <c r="G2237" s="8">
        <v>0</v>
      </c>
      <c r="H2237" s="8">
        <v>133.1</v>
      </c>
      <c r="I2237" s="8">
        <f t="shared" si="87"/>
        <v>290.90999999999997</v>
      </c>
      <c r="J2237" s="12">
        <v>572000007</v>
      </c>
    </row>
    <row r="2238" spans="3:10" x14ac:dyDescent="0.3">
      <c r="C2238" s="9" t="s">
        <v>12</v>
      </c>
      <c r="D2238" s="10">
        <v>45782</v>
      </c>
      <c r="E2238" t="s">
        <v>305</v>
      </c>
      <c r="F2238" s="11" t="s">
        <v>14</v>
      </c>
      <c r="G2238" s="8">
        <v>0</v>
      </c>
      <c r="H2238" s="8">
        <v>290.91000000000003</v>
      </c>
      <c r="I2238" s="8">
        <f t="shared" si="87"/>
        <v>0</v>
      </c>
      <c r="J2238" s="12">
        <v>572000007</v>
      </c>
    </row>
    <row r="2239" spans="3:10" x14ac:dyDescent="0.3">
      <c r="C2239" s="9" t="s">
        <v>12</v>
      </c>
      <c r="D2239" s="10">
        <v>45784</v>
      </c>
      <c r="E2239" t="s">
        <v>2037</v>
      </c>
      <c r="F2239" s="11" t="s">
        <v>2038</v>
      </c>
      <c r="G2239" s="8">
        <v>2282.42</v>
      </c>
      <c r="H2239" s="8">
        <v>0</v>
      </c>
      <c r="I2239" s="8">
        <f t="shared" si="87"/>
        <v>2282.42</v>
      </c>
      <c r="J2239" s="12"/>
    </row>
    <row r="2240" spans="3:10" x14ac:dyDescent="0.3">
      <c r="C2240" s="9" t="s">
        <v>12</v>
      </c>
      <c r="D2240" s="10">
        <v>45790</v>
      </c>
      <c r="E2240" t="s">
        <v>2039</v>
      </c>
      <c r="F2240" s="11" t="s">
        <v>2040</v>
      </c>
      <c r="G2240" s="8">
        <v>116.31</v>
      </c>
      <c r="H2240" s="8">
        <v>0</v>
      </c>
      <c r="I2240" s="8">
        <f t="shared" si="87"/>
        <v>2398.73</v>
      </c>
      <c r="J2240" s="12"/>
    </row>
    <row r="2241" spans="1:10" x14ac:dyDescent="0.3">
      <c r="C2241" s="9" t="s">
        <v>12</v>
      </c>
      <c r="D2241" s="10">
        <v>45811</v>
      </c>
      <c r="E2241" t="s">
        <v>886</v>
      </c>
      <c r="F2241" s="11" t="s">
        <v>14</v>
      </c>
      <c r="G2241" s="8">
        <v>0</v>
      </c>
      <c r="H2241" s="8">
        <v>2282.42</v>
      </c>
      <c r="I2241" s="8">
        <f t="shared" si="87"/>
        <v>116.30999999999995</v>
      </c>
      <c r="J2241" s="12">
        <v>572000007</v>
      </c>
    </row>
    <row r="2242" spans="1:10" x14ac:dyDescent="0.3">
      <c r="C2242" s="9" t="s">
        <v>12</v>
      </c>
      <c r="D2242" s="10">
        <v>45811</v>
      </c>
      <c r="E2242" t="s">
        <v>886</v>
      </c>
      <c r="F2242" s="11" t="s">
        <v>14</v>
      </c>
      <c r="G2242" s="8">
        <v>0</v>
      </c>
      <c r="H2242" s="8">
        <v>116.31</v>
      </c>
      <c r="I2242" s="8">
        <f t="shared" si="87"/>
        <v>0</v>
      </c>
      <c r="J2242" s="12">
        <v>572000007</v>
      </c>
    </row>
    <row r="2243" spans="1:10" x14ac:dyDescent="0.3">
      <c r="C2243" s="9" t="s">
        <v>12</v>
      </c>
      <c r="D2243" s="10">
        <v>45819</v>
      </c>
      <c r="E2243" t="s">
        <v>2041</v>
      </c>
      <c r="F2243" s="11" t="s">
        <v>2042</v>
      </c>
      <c r="G2243" s="8">
        <v>134.07</v>
      </c>
      <c r="H2243" s="8">
        <v>0</v>
      </c>
      <c r="I2243" s="8">
        <f t="shared" si="87"/>
        <v>134.07</v>
      </c>
      <c r="J2243" s="12"/>
    </row>
    <row r="2244" spans="1:10" x14ac:dyDescent="0.3">
      <c r="C2244" s="9" t="s">
        <v>12</v>
      </c>
      <c r="D2244" s="10">
        <v>45840</v>
      </c>
      <c r="E2244" t="s">
        <v>886</v>
      </c>
      <c r="F2244" s="11" t="s">
        <v>14</v>
      </c>
      <c r="G2244" s="8">
        <v>0</v>
      </c>
      <c r="H2244" s="8">
        <v>134.07</v>
      </c>
      <c r="I2244" s="8">
        <f t="shared" si="87"/>
        <v>0</v>
      </c>
      <c r="J2244" s="12">
        <v>572000007</v>
      </c>
    </row>
    <row r="2245" spans="1:10" x14ac:dyDescent="0.3">
      <c r="C2245" s="9"/>
      <c r="D2245" s="10">
        <v>45855</v>
      </c>
      <c r="E2245" t="s">
        <v>2043</v>
      </c>
      <c r="F2245" s="11" t="s">
        <v>2044</v>
      </c>
      <c r="G2245" s="8">
        <v>965.81</v>
      </c>
      <c r="H2245" s="8">
        <v>0</v>
      </c>
      <c r="I2245" s="8">
        <f t="shared" si="87"/>
        <v>965.81</v>
      </c>
      <c r="J2245" s="12"/>
    </row>
    <row r="2246" spans="1:10" x14ac:dyDescent="0.3">
      <c r="C2246" s="9"/>
      <c r="D2246" s="10">
        <v>45862</v>
      </c>
      <c r="E2246" t="s">
        <v>2045</v>
      </c>
      <c r="F2246" s="11" t="s">
        <v>2046</v>
      </c>
      <c r="G2246" s="8">
        <v>229.68</v>
      </c>
      <c r="H2246" s="8">
        <v>0</v>
      </c>
      <c r="I2246" s="8">
        <f t="shared" si="87"/>
        <v>1195.49</v>
      </c>
      <c r="J2246" s="12"/>
    </row>
    <row r="2247" spans="1:10" x14ac:dyDescent="0.3">
      <c r="C2247" s="9"/>
      <c r="D2247" s="10">
        <v>45862</v>
      </c>
      <c r="E2247" t="s">
        <v>2047</v>
      </c>
      <c r="F2247" s="11" t="s">
        <v>2048</v>
      </c>
      <c r="G2247" s="8">
        <v>1940.1</v>
      </c>
      <c r="H2247" s="8">
        <v>0</v>
      </c>
      <c r="I2247" s="8">
        <f t="shared" si="87"/>
        <v>3135.59</v>
      </c>
      <c r="J2247" s="12"/>
    </row>
    <row r="2248" spans="1:10" x14ac:dyDescent="0.3">
      <c r="C2248" s="9"/>
      <c r="D2248" s="10">
        <v>45862</v>
      </c>
      <c r="E2248" t="s">
        <v>2049</v>
      </c>
      <c r="F2248" s="11" t="s">
        <v>2050</v>
      </c>
      <c r="G2248" s="8">
        <v>389.51</v>
      </c>
      <c r="H2248" s="8">
        <v>0</v>
      </c>
      <c r="I2248" s="8">
        <f t="shared" si="87"/>
        <v>3525.1000000000004</v>
      </c>
      <c r="J2248" s="12"/>
    </row>
    <row r="2249" spans="1:10" x14ac:dyDescent="0.3">
      <c r="C2249" s="9"/>
      <c r="D2249" s="10">
        <v>45873</v>
      </c>
      <c r="E2249" t="s">
        <v>305</v>
      </c>
      <c r="F2249" s="11" t="s">
        <v>14</v>
      </c>
      <c r="G2249" s="8">
        <v>0</v>
      </c>
      <c r="H2249" s="8">
        <v>965.81</v>
      </c>
      <c r="I2249" s="8">
        <f t="shared" si="87"/>
        <v>2559.2900000000004</v>
      </c>
      <c r="J2249" s="12">
        <v>572000007</v>
      </c>
    </row>
    <row r="2250" spans="1:10" x14ac:dyDescent="0.3">
      <c r="C2250" s="9"/>
      <c r="D2250" s="10">
        <v>45923</v>
      </c>
      <c r="E2250" t="s">
        <v>305</v>
      </c>
      <c r="F2250" s="11" t="s">
        <v>14</v>
      </c>
      <c r="G2250" s="8">
        <v>0</v>
      </c>
      <c r="H2250" s="8">
        <v>1940.1</v>
      </c>
      <c r="I2250" s="8">
        <f t="shared" si="87"/>
        <v>619.19000000000051</v>
      </c>
      <c r="J2250" s="12">
        <v>572000007</v>
      </c>
    </row>
    <row r="2251" spans="1:10" x14ac:dyDescent="0.3">
      <c r="E2251" s="4" t="s">
        <v>116</v>
      </c>
      <c r="G2251" s="8">
        <f>SUM(G2225:G2250)</f>
        <v>7524.2200000000012</v>
      </c>
      <c r="H2251" s="8">
        <f>SUM(H2225:H2250)</f>
        <v>6905.0300000000007</v>
      </c>
      <c r="I2251" s="8">
        <f>G2251-H2251</f>
        <v>619.19000000000051</v>
      </c>
    </row>
    <row r="2253" spans="1:10" x14ac:dyDescent="0.3">
      <c r="A2253" s="5">
        <v>430040407</v>
      </c>
      <c r="B2253" s="6" t="s">
        <v>2051</v>
      </c>
      <c r="C2253" s="7"/>
      <c r="D2253" s="7"/>
      <c r="E2253" s="7"/>
      <c r="F2253" s="7"/>
      <c r="G2253" s="7"/>
      <c r="H2253" s="7"/>
      <c r="I2253" s="7"/>
      <c r="J2253" s="7"/>
    </row>
    <row r="2254" spans="1:10" x14ac:dyDescent="0.3">
      <c r="E2254" s="4" t="s">
        <v>11</v>
      </c>
      <c r="G2254" s="8">
        <v>0</v>
      </c>
      <c r="H2254" s="8">
        <v>309.06</v>
      </c>
      <c r="I2254" s="8">
        <f>G2254-H2254</f>
        <v>-309.06</v>
      </c>
    </row>
    <row r="2255" spans="1:10" x14ac:dyDescent="0.3">
      <c r="E2255" s="4" t="s">
        <v>116</v>
      </c>
      <c r="G2255" s="8">
        <f>G2254</f>
        <v>0</v>
      </c>
      <c r="H2255" s="8">
        <f>H2254</f>
        <v>309.06</v>
      </c>
      <c r="I2255" s="8">
        <f>G2255-H2255</f>
        <v>-309.06</v>
      </c>
    </row>
    <row r="2257" spans="1:10" x14ac:dyDescent="0.3">
      <c r="A2257" s="5">
        <v>430040445</v>
      </c>
      <c r="B2257" s="6" t="s">
        <v>2052</v>
      </c>
      <c r="C2257" s="7"/>
      <c r="D2257" s="7"/>
      <c r="E2257" s="7"/>
      <c r="F2257" s="7"/>
      <c r="G2257" s="7"/>
      <c r="H2257" s="7"/>
      <c r="I2257" s="7"/>
      <c r="J2257" s="7"/>
    </row>
    <row r="2258" spans="1:10" x14ac:dyDescent="0.3">
      <c r="C2258" s="9" t="s">
        <v>12</v>
      </c>
      <c r="D2258" s="10">
        <v>45694</v>
      </c>
      <c r="E2258" t="s">
        <v>2053</v>
      </c>
      <c r="F2258" s="11" t="s">
        <v>2054</v>
      </c>
      <c r="G2258" s="8">
        <v>157.30000000000001</v>
      </c>
      <c r="H2258" s="8">
        <v>0</v>
      </c>
      <c r="I2258" s="8">
        <f>G2258-H2258</f>
        <v>157.30000000000001</v>
      </c>
      <c r="J2258" s="12"/>
    </row>
    <row r="2259" spans="1:10" x14ac:dyDescent="0.3">
      <c r="C2259" s="9" t="s">
        <v>12</v>
      </c>
      <c r="D2259" s="10">
        <v>45702</v>
      </c>
      <c r="E2259" t="s">
        <v>2055</v>
      </c>
      <c r="F2259" s="11" t="s">
        <v>2056</v>
      </c>
      <c r="G2259" s="8">
        <v>423.9</v>
      </c>
      <c r="H2259" s="8">
        <v>0</v>
      </c>
      <c r="I2259" s="8">
        <f t="shared" ref="I2259:I2266" si="88">G2259-H2259+I2258</f>
        <v>581.20000000000005</v>
      </c>
      <c r="J2259" s="12"/>
    </row>
    <row r="2260" spans="1:10" x14ac:dyDescent="0.3">
      <c r="C2260" s="9" t="s">
        <v>12</v>
      </c>
      <c r="D2260" s="10">
        <v>45729</v>
      </c>
      <c r="E2260" t="s">
        <v>2057</v>
      </c>
      <c r="F2260" s="11" t="s">
        <v>14</v>
      </c>
      <c r="G2260" s="8">
        <v>0</v>
      </c>
      <c r="H2260" s="8">
        <v>157.30000000000001</v>
      </c>
      <c r="I2260" s="8">
        <f t="shared" si="88"/>
        <v>423.90000000000003</v>
      </c>
      <c r="J2260" s="12">
        <v>572000007</v>
      </c>
    </row>
    <row r="2261" spans="1:10" x14ac:dyDescent="0.3">
      <c r="C2261" s="9" t="s">
        <v>12</v>
      </c>
      <c r="D2261" s="10">
        <v>45729</v>
      </c>
      <c r="E2261" t="s">
        <v>2057</v>
      </c>
      <c r="F2261" s="11" t="s">
        <v>14</v>
      </c>
      <c r="G2261" s="8">
        <v>0</v>
      </c>
      <c r="H2261" s="8">
        <v>423.9</v>
      </c>
      <c r="I2261" s="8">
        <f t="shared" si="88"/>
        <v>0</v>
      </c>
      <c r="J2261" s="12">
        <v>572000007</v>
      </c>
    </row>
    <row r="2262" spans="1:10" x14ac:dyDescent="0.3">
      <c r="C2262" s="9" t="s">
        <v>12</v>
      </c>
      <c r="D2262" s="10">
        <v>45762</v>
      </c>
      <c r="E2262" t="s">
        <v>2058</v>
      </c>
      <c r="F2262" s="11" t="s">
        <v>2059</v>
      </c>
      <c r="G2262" s="8">
        <v>157.30000000000001</v>
      </c>
      <c r="H2262" s="8">
        <v>0</v>
      </c>
      <c r="I2262" s="8">
        <f t="shared" si="88"/>
        <v>157.30000000000001</v>
      </c>
      <c r="J2262" s="12"/>
    </row>
    <row r="2263" spans="1:10" x14ac:dyDescent="0.3">
      <c r="C2263" s="9" t="s">
        <v>12</v>
      </c>
      <c r="D2263" s="10">
        <v>45777</v>
      </c>
      <c r="E2263" t="s">
        <v>2060</v>
      </c>
      <c r="F2263" s="11" t="s">
        <v>2061</v>
      </c>
      <c r="G2263" s="8">
        <v>423.9</v>
      </c>
      <c r="H2263" s="8">
        <v>0</v>
      </c>
      <c r="I2263" s="8">
        <f t="shared" si="88"/>
        <v>581.20000000000005</v>
      </c>
      <c r="J2263" s="12"/>
    </row>
    <row r="2264" spans="1:10" x14ac:dyDescent="0.3">
      <c r="C2264" s="9" t="s">
        <v>12</v>
      </c>
      <c r="D2264" s="10">
        <v>45796</v>
      </c>
      <c r="E2264" t="s">
        <v>2057</v>
      </c>
      <c r="F2264" s="11" t="s">
        <v>14</v>
      </c>
      <c r="G2264" s="8">
        <v>0</v>
      </c>
      <c r="H2264" s="8">
        <v>157.30000000000001</v>
      </c>
      <c r="I2264" s="8">
        <f t="shared" si="88"/>
        <v>423.90000000000003</v>
      </c>
      <c r="J2264" s="12">
        <v>572000007</v>
      </c>
    </row>
    <row r="2265" spans="1:10" x14ac:dyDescent="0.3">
      <c r="C2265" s="9" t="s">
        <v>12</v>
      </c>
      <c r="D2265" s="10">
        <v>45804</v>
      </c>
      <c r="E2265" t="s">
        <v>2062</v>
      </c>
      <c r="F2265" s="11" t="s">
        <v>14</v>
      </c>
      <c r="G2265" s="8">
        <v>0</v>
      </c>
      <c r="H2265" s="8">
        <v>423.9</v>
      </c>
      <c r="I2265" s="8">
        <f t="shared" si="88"/>
        <v>0</v>
      </c>
      <c r="J2265" s="12">
        <v>572000007</v>
      </c>
    </row>
    <row r="2266" spans="1:10" x14ac:dyDescent="0.3">
      <c r="C2266" s="9"/>
      <c r="D2266" s="10">
        <v>45856</v>
      </c>
      <c r="E2266" t="s">
        <v>2063</v>
      </c>
      <c r="F2266" s="11" t="s">
        <v>2064</v>
      </c>
      <c r="G2266" s="8">
        <v>450.86</v>
      </c>
      <c r="H2266" s="8">
        <v>0</v>
      </c>
      <c r="I2266" s="8">
        <f t="shared" si="88"/>
        <v>450.86</v>
      </c>
      <c r="J2266" s="12"/>
    </row>
    <row r="2267" spans="1:10" x14ac:dyDescent="0.3">
      <c r="E2267" s="4" t="s">
        <v>116</v>
      </c>
      <c r="G2267" s="8">
        <f>SUM(G2258:G2266)</f>
        <v>1613.2600000000002</v>
      </c>
      <c r="H2267" s="8">
        <f>SUM(H2258:H2266)</f>
        <v>1162.4000000000001</v>
      </c>
      <c r="I2267" s="8">
        <f>G2267-H2267</f>
        <v>450.86000000000013</v>
      </c>
    </row>
    <row r="2269" spans="1:10" x14ac:dyDescent="0.3">
      <c r="A2269" s="5">
        <v>430040458</v>
      </c>
      <c r="B2269" s="6" t="s">
        <v>2065</v>
      </c>
      <c r="C2269" s="7"/>
      <c r="D2269" s="7"/>
      <c r="E2269" s="7"/>
      <c r="F2269" s="7"/>
      <c r="G2269" s="7"/>
      <c r="H2269" s="7"/>
      <c r="I2269" s="7"/>
      <c r="J2269" s="7"/>
    </row>
    <row r="2270" spans="1:10" x14ac:dyDescent="0.3">
      <c r="C2270" s="9" t="s">
        <v>12</v>
      </c>
      <c r="D2270" s="10">
        <v>45705</v>
      </c>
      <c r="E2270" t="s">
        <v>2066</v>
      </c>
      <c r="F2270" s="11" t="s">
        <v>2067</v>
      </c>
      <c r="G2270" s="8">
        <v>900.59</v>
      </c>
      <c r="H2270" s="8">
        <v>0</v>
      </c>
      <c r="I2270" s="8">
        <f>G2270-H2270</f>
        <v>900.59</v>
      </c>
      <c r="J2270" s="12"/>
    </row>
    <row r="2271" spans="1:10" x14ac:dyDescent="0.3">
      <c r="C2271" s="9" t="s">
        <v>12</v>
      </c>
      <c r="D2271" s="10">
        <v>45715</v>
      </c>
      <c r="E2271" t="s">
        <v>2068</v>
      </c>
      <c r="F2271" s="11" t="s">
        <v>2069</v>
      </c>
      <c r="G2271" s="8">
        <v>157.30000000000001</v>
      </c>
      <c r="H2271" s="8">
        <v>0</v>
      </c>
      <c r="I2271" s="8">
        <f t="shared" ref="I2271:I2279" si="89">G2271-H2271+I2270</f>
        <v>1057.8900000000001</v>
      </c>
      <c r="J2271" s="12"/>
    </row>
    <row r="2272" spans="1:10" x14ac:dyDescent="0.3">
      <c r="C2272" s="9" t="s">
        <v>12</v>
      </c>
      <c r="D2272" s="10">
        <v>45734</v>
      </c>
      <c r="E2272" t="s">
        <v>2070</v>
      </c>
      <c r="F2272" s="11" t="s">
        <v>2071</v>
      </c>
      <c r="G2272" s="8">
        <v>194.16</v>
      </c>
      <c r="H2272" s="8">
        <v>0</v>
      </c>
      <c r="I2272" s="8">
        <f t="shared" si="89"/>
        <v>1252.0500000000002</v>
      </c>
      <c r="J2272" s="12"/>
    </row>
    <row r="2273" spans="1:10" x14ac:dyDescent="0.3">
      <c r="C2273" s="9" t="s">
        <v>12</v>
      </c>
      <c r="D2273" s="10">
        <v>45754</v>
      </c>
      <c r="E2273" t="s">
        <v>305</v>
      </c>
      <c r="F2273" s="11" t="s">
        <v>14</v>
      </c>
      <c r="G2273" s="8">
        <v>0</v>
      </c>
      <c r="H2273" s="8">
        <v>157.30000000000001</v>
      </c>
      <c r="I2273" s="8">
        <f t="shared" si="89"/>
        <v>1094.7500000000002</v>
      </c>
      <c r="J2273" s="12">
        <v>572000007</v>
      </c>
    </row>
    <row r="2274" spans="1:10" x14ac:dyDescent="0.3">
      <c r="C2274" s="9" t="s">
        <v>12</v>
      </c>
      <c r="D2274" s="10">
        <v>45754</v>
      </c>
      <c r="E2274" t="s">
        <v>305</v>
      </c>
      <c r="F2274" s="11" t="s">
        <v>14</v>
      </c>
      <c r="G2274" s="8">
        <v>0</v>
      </c>
      <c r="H2274" s="8">
        <v>900.59</v>
      </c>
      <c r="I2274" s="8">
        <f t="shared" si="89"/>
        <v>194.1600000000002</v>
      </c>
      <c r="J2274" s="12">
        <v>572000007</v>
      </c>
    </row>
    <row r="2275" spans="1:10" x14ac:dyDescent="0.3">
      <c r="C2275" s="9" t="s">
        <v>12</v>
      </c>
      <c r="D2275" s="10">
        <v>45783</v>
      </c>
      <c r="E2275" t="s">
        <v>305</v>
      </c>
      <c r="F2275" s="11" t="s">
        <v>14</v>
      </c>
      <c r="G2275" s="8">
        <v>0</v>
      </c>
      <c r="H2275" s="8">
        <v>194.16</v>
      </c>
      <c r="I2275" s="8">
        <f t="shared" si="89"/>
        <v>0</v>
      </c>
      <c r="J2275" s="12">
        <v>572000007</v>
      </c>
    </row>
    <row r="2276" spans="1:10" x14ac:dyDescent="0.3">
      <c r="C2276" s="9"/>
      <c r="D2276" s="10">
        <v>45900</v>
      </c>
      <c r="E2276" t="s">
        <v>2072</v>
      </c>
      <c r="F2276" s="11" t="s">
        <v>2073</v>
      </c>
      <c r="G2276" s="8">
        <v>426.68</v>
      </c>
      <c r="H2276" s="8">
        <v>0</v>
      </c>
      <c r="I2276" s="8">
        <f t="shared" si="89"/>
        <v>426.68</v>
      </c>
      <c r="J2276" s="12"/>
    </row>
    <row r="2277" spans="1:10" x14ac:dyDescent="0.3">
      <c r="C2277" s="9"/>
      <c r="D2277" s="10">
        <v>45903</v>
      </c>
      <c r="E2277" t="s">
        <v>2074</v>
      </c>
      <c r="F2277" s="11" t="s">
        <v>2075</v>
      </c>
      <c r="G2277" s="8">
        <v>152.61000000000001</v>
      </c>
      <c r="H2277" s="8">
        <v>0</v>
      </c>
      <c r="I2277" s="8">
        <f t="shared" si="89"/>
        <v>579.29</v>
      </c>
      <c r="J2277" s="12"/>
    </row>
    <row r="2278" spans="1:10" x14ac:dyDescent="0.3">
      <c r="C2278" s="9"/>
      <c r="D2278" s="10">
        <v>45904</v>
      </c>
      <c r="E2278" t="s">
        <v>2076</v>
      </c>
      <c r="F2278" s="11" t="s">
        <v>2077</v>
      </c>
      <c r="G2278" s="8">
        <v>152.61000000000001</v>
      </c>
      <c r="H2278" s="8">
        <v>0</v>
      </c>
      <c r="I2278" s="8">
        <f t="shared" si="89"/>
        <v>731.9</v>
      </c>
      <c r="J2278" s="12"/>
    </row>
    <row r="2279" spans="1:10" x14ac:dyDescent="0.3">
      <c r="C2279" s="9"/>
      <c r="D2279" s="10">
        <v>45905</v>
      </c>
      <c r="E2279" t="s">
        <v>2078</v>
      </c>
      <c r="F2279" s="11" t="s">
        <v>2079</v>
      </c>
      <c r="G2279" s="8">
        <v>-152.61000000000001</v>
      </c>
      <c r="H2279" s="8">
        <v>0</v>
      </c>
      <c r="I2279" s="8">
        <f t="shared" si="89"/>
        <v>579.29</v>
      </c>
      <c r="J2279" s="12"/>
    </row>
    <row r="2280" spans="1:10" x14ac:dyDescent="0.3">
      <c r="E2280" s="4" t="s">
        <v>116</v>
      </c>
      <c r="G2280" s="8">
        <f>SUM(G2270:G2279)</f>
        <v>1831.3400000000001</v>
      </c>
      <c r="H2280" s="8">
        <f>SUM(H2270:H2279)</f>
        <v>1252.0500000000002</v>
      </c>
      <c r="I2280" s="8">
        <f>G2280-H2280</f>
        <v>579.29</v>
      </c>
    </row>
    <row r="2282" spans="1:10" x14ac:dyDescent="0.3">
      <c r="A2282" s="5">
        <v>430040469</v>
      </c>
      <c r="B2282" s="6" t="s">
        <v>2080</v>
      </c>
      <c r="C2282" s="7"/>
      <c r="D2282" s="7"/>
      <c r="E2282" s="7"/>
      <c r="F2282" s="7"/>
      <c r="G2282" s="7"/>
      <c r="H2282" s="7"/>
      <c r="I2282" s="7"/>
      <c r="J2282" s="7"/>
    </row>
    <row r="2283" spans="1:10" x14ac:dyDescent="0.3">
      <c r="E2283" s="4" t="s">
        <v>11</v>
      </c>
      <c r="G2283" s="8">
        <v>492.93</v>
      </c>
      <c r="H2283" s="8">
        <v>0</v>
      </c>
      <c r="I2283" s="8">
        <f>G2283-H2283</f>
        <v>492.93</v>
      </c>
    </row>
    <row r="2284" spans="1:10" x14ac:dyDescent="0.3">
      <c r="C2284" s="9" t="s">
        <v>12</v>
      </c>
      <c r="D2284" s="10">
        <v>45685</v>
      </c>
      <c r="E2284" t="s">
        <v>2081</v>
      </c>
      <c r="F2284" s="11" t="s">
        <v>2082</v>
      </c>
      <c r="G2284" s="8">
        <v>195.75</v>
      </c>
      <c r="H2284" s="8">
        <v>0</v>
      </c>
      <c r="I2284" s="8">
        <f t="shared" ref="I2284:I2296" si="90">G2284-H2284+I2283</f>
        <v>688.68000000000006</v>
      </c>
      <c r="J2284" s="12"/>
    </row>
    <row r="2285" spans="1:10" x14ac:dyDescent="0.3">
      <c r="C2285" s="9" t="s">
        <v>12</v>
      </c>
      <c r="D2285" s="10">
        <v>45692</v>
      </c>
      <c r="E2285" t="s">
        <v>108</v>
      </c>
      <c r="F2285" s="11" t="s">
        <v>14</v>
      </c>
      <c r="G2285" s="8">
        <v>0</v>
      </c>
      <c r="H2285" s="8">
        <v>492.93</v>
      </c>
      <c r="I2285" s="8">
        <f t="shared" si="90"/>
        <v>195.75000000000006</v>
      </c>
      <c r="J2285" s="12">
        <v>572000009</v>
      </c>
    </row>
    <row r="2286" spans="1:10" x14ac:dyDescent="0.3">
      <c r="C2286" s="9" t="s">
        <v>12</v>
      </c>
      <c r="D2286" s="10">
        <v>45747</v>
      </c>
      <c r="E2286" t="s">
        <v>108</v>
      </c>
      <c r="F2286" s="11" t="s">
        <v>14</v>
      </c>
      <c r="G2286" s="8">
        <v>0</v>
      </c>
      <c r="H2286" s="8">
        <v>195.75</v>
      </c>
      <c r="I2286" s="8">
        <f t="shared" si="90"/>
        <v>0</v>
      </c>
      <c r="J2286" s="12">
        <v>572000009</v>
      </c>
    </row>
    <row r="2287" spans="1:10" x14ac:dyDescent="0.3">
      <c r="C2287" s="9" t="s">
        <v>12</v>
      </c>
      <c r="D2287" s="10">
        <v>45791</v>
      </c>
      <c r="E2287" t="s">
        <v>2083</v>
      </c>
      <c r="F2287" s="11" t="s">
        <v>2084</v>
      </c>
      <c r="G2287" s="8">
        <v>133.1</v>
      </c>
      <c r="H2287" s="8">
        <v>0</v>
      </c>
      <c r="I2287" s="8">
        <f t="shared" si="90"/>
        <v>133.1</v>
      </c>
      <c r="J2287" s="12"/>
    </row>
    <row r="2288" spans="1:10" x14ac:dyDescent="0.3">
      <c r="C2288" s="9" t="s">
        <v>12</v>
      </c>
      <c r="D2288" s="10">
        <v>45791</v>
      </c>
      <c r="E2288" t="s">
        <v>2085</v>
      </c>
      <c r="F2288" s="11" t="s">
        <v>2086</v>
      </c>
      <c r="G2288" s="8">
        <v>133.1</v>
      </c>
      <c r="H2288" s="8">
        <v>0</v>
      </c>
      <c r="I2288" s="8">
        <f t="shared" si="90"/>
        <v>266.2</v>
      </c>
      <c r="J2288" s="12"/>
    </row>
    <row r="2289" spans="1:10" x14ac:dyDescent="0.3">
      <c r="C2289" s="9" t="s">
        <v>12</v>
      </c>
      <c r="D2289" s="10">
        <v>45793</v>
      </c>
      <c r="E2289" t="s">
        <v>2087</v>
      </c>
      <c r="F2289" s="11" t="s">
        <v>2088</v>
      </c>
      <c r="G2289" s="8">
        <v>399.7</v>
      </c>
      <c r="H2289" s="8">
        <v>0</v>
      </c>
      <c r="I2289" s="8">
        <f t="shared" si="90"/>
        <v>665.9</v>
      </c>
      <c r="J2289" s="12"/>
    </row>
    <row r="2290" spans="1:10" x14ac:dyDescent="0.3">
      <c r="C2290" s="9" t="s">
        <v>12</v>
      </c>
      <c r="D2290" s="10">
        <v>45839</v>
      </c>
      <c r="E2290" t="s">
        <v>108</v>
      </c>
      <c r="F2290" s="11" t="s">
        <v>14</v>
      </c>
      <c r="G2290" s="8">
        <v>0</v>
      </c>
      <c r="H2290" s="8">
        <v>133.1</v>
      </c>
      <c r="I2290" s="8">
        <f t="shared" si="90"/>
        <v>532.79999999999995</v>
      </c>
      <c r="J2290" s="12">
        <v>572000007</v>
      </c>
    </row>
    <row r="2291" spans="1:10" x14ac:dyDescent="0.3">
      <c r="C2291" s="9" t="s">
        <v>12</v>
      </c>
      <c r="D2291" s="10">
        <v>45839</v>
      </c>
      <c r="E2291" t="s">
        <v>108</v>
      </c>
      <c r="F2291" s="11" t="s">
        <v>14</v>
      </c>
      <c r="G2291" s="8">
        <v>0</v>
      </c>
      <c r="H2291" s="8">
        <v>133.1</v>
      </c>
      <c r="I2291" s="8">
        <f t="shared" si="90"/>
        <v>399.69999999999993</v>
      </c>
      <c r="J2291" s="12">
        <v>572000007</v>
      </c>
    </row>
    <row r="2292" spans="1:10" x14ac:dyDescent="0.3">
      <c r="C2292" s="9" t="s">
        <v>12</v>
      </c>
      <c r="D2292" s="10">
        <v>45839</v>
      </c>
      <c r="E2292" t="s">
        <v>886</v>
      </c>
      <c r="F2292" s="11" t="s">
        <v>14</v>
      </c>
      <c r="G2292" s="8">
        <v>0</v>
      </c>
      <c r="H2292" s="8">
        <v>399.7</v>
      </c>
      <c r="I2292" s="8">
        <f t="shared" si="90"/>
        <v>0</v>
      </c>
      <c r="J2292" s="12">
        <v>572000007</v>
      </c>
    </row>
    <row r="2293" spans="1:10" x14ac:dyDescent="0.3">
      <c r="C2293" s="9"/>
      <c r="D2293" s="10">
        <v>45859</v>
      </c>
      <c r="E2293" t="s">
        <v>2089</v>
      </c>
      <c r="F2293" s="11" t="s">
        <v>2090</v>
      </c>
      <c r="G2293" s="8">
        <v>-193.6</v>
      </c>
      <c r="H2293" s="8">
        <v>0</v>
      </c>
      <c r="I2293" s="8">
        <f t="shared" si="90"/>
        <v>-193.6</v>
      </c>
      <c r="J2293" s="12"/>
    </row>
    <row r="2294" spans="1:10" x14ac:dyDescent="0.3">
      <c r="C2294" s="9"/>
      <c r="D2294" s="10">
        <v>45859</v>
      </c>
      <c r="E2294" t="s">
        <v>2091</v>
      </c>
      <c r="F2294" s="11" t="s">
        <v>2092</v>
      </c>
      <c r="G2294" s="8">
        <v>193.6</v>
      </c>
      <c r="H2294" s="8">
        <v>0</v>
      </c>
      <c r="I2294" s="8">
        <f t="shared" si="90"/>
        <v>0</v>
      </c>
      <c r="J2294" s="12"/>
    </row>
    <row r="2295" spans="1:10" x14ac:dyDescent="0.3">
      <c r="C2295" s="9"/>
      <c r="D2295" s="10">
        <v>45883</v>
      </c>
      <c r="E2295" t="s">
        <v>2093</v>
      </c>
      <c r="F2295" s="11" t="s">
        <v>2094</v>
      </c>
      <c r="G2295" s="8">
        <v>426.3</v>
      </c>
      <c r="H2295" s="8">
        <v>0</v>
      </c>
      <c r="I2295" s="8">
        <f t="shared" si="90"/>
        <v>426.3</v>
      </c>
      <c r="J2295" s="12"/>
    </row>
    <row r="2296" spans="1:10" x14ac:dyDescent="0.3">
      <c r="C2296" s="9"/>
      <c r="D2296" s="10">
        <v>45883</v>
      </c>
      <c r="E2296" t="s">
        <v>2095</v>
      </c>
      <c r="F2296" s="11" t="s">
        <v>2096</v>
      </c>
      <c r="G2296" s="8">
        <v>195.05</v>
      </c>
      <c r="H2296" s="8">
        <v>0</v>
      </c>
      <c r="I2296" s="8">
        <f t="shared" si="90"/>
        <v>621.35</v>
      </c>
      <c r="J2296" s="12"/>
    </row>
    <row r="2297" spans="1:10" x14ac:dyDescent="0.3">
      <c r="E2297" s="4" t="s">
        <v>116</v>
      </c>
      <c r="G2297" s="8">
        <f>SUM(G2283:G2296)</f>
        <v>1975.93</v>
      </c>
      <c r="H2297" s="8">
        <f>SUM(H2283:H2296)</f>
        <v>1354.5800000000002</v>
      </c>
      <c r="I2297" s="8">
        <f>G2297-H2297</f>
        <v>621.34999999999991</v>
      </c>
    </row>
    <row r="2299" spans="1:10" x14ac:dyDescent="0.3">
      <c r="A2299" s="5">
        <v>430040481</v>
      </c>
      <c r="B2299" s="6" t="s">
        <v>2097</v>
      </c>
      <c r="C2299" s="7"/>
      <c r="D2299" s="7"/>
      <c r="E2299" s="7"/>
      <c r="F2299" s="7"/>
      <c r="G2299" s="7"/>
      <c r="H2299" s="7"/>
      <c r="I2299" s="7"/>
      <c r="J2299" s="7"/>
    </row>
    <row r="2300" spans="1:10" x14ac:dyDescent="0.3">
      <c r="C2300" s="9" t="s">
        <v>12</v>
      </c>
      <c r="D2300" s="10">
        <v>45677</v>
      </c>
      <c r="E2300" t="s">
        <v>2098</v>
      </c>
      <c r="F2300" s="11" t="s">
        <v>2099</v>
      </c>
      <c r="G2300" s="8">
        <v>157.74</v>
      </c>
      <c r="H2300" s="8">
        <v>0</v>
      </c>
      <c r="I2300" s="8">
        <f>G2300-H2300</f>
        <v>157.74</v>
      </c>
      <c r="J2300" s="12"/>
    </row>
    <row r="2301" spans="1:10" x14ac:dyDescent="0.3">
      <c r="C2301" s="9" t="s">
        <v>12</v>
      </c>
      <c r="D2301" s="10">
        <v>45677</v>
      </c>
      <c r="E2301" t="s">
        <v>1059</v>
      </c>
      <c r="F2301" s="11" t="s">
        <v>14</v>
      </c>
      <c r="G2301" s="8">
        <v>0</v>
      </c>
      <c r="H2301" s="8">
        <v>157.74</v>
      </c>
      <c r="I2301" s="8">
        <f t="shared" ref="I2301:I2314" si="91">G2301-H2301+I2300</f>
        <v>0</v>
      </c>
      <c r="J2301" s="12">
        <v>572000005</v>
      </c>
    </row>
    <row r="2302" spans="1:10" x14ac:dyDescent="0.3">
      <c r="C2302" s="9" t="s">
        <v>12</v>
      </c>
      <c r="D2302" s="10">
        <v>45712</v>
      </c>
      <c r="E2302" t="s">
        <v>2100</v>
      </c>
      <c r="F2302" s="11" t="s">
        <v>2101</v>
      </c>
      <c r="G2302" s="8">
        <v>133.1</v>
      </c>
      <c r="H2302" s="8">
        <v>0</v>
      </c>
      <c r="I2302" s="8">
        <f t="shared" si="91"/>
        <v>133.1</v>
      </c>
      <c r="J2302" s="12"/>
    </row>
    <row r="2303" spans="1:10" x14ac:dyDescent="0.3">
      <c r="C2303" s="9" t="s">
        <v>12</v>
      </c>
      <c r="D2303" s="10">
        <v>45713</v>
      </c>
      <c r="E2303" t="s">
        <v>1059</v>
      </c>
      <c r="F2303" s="11" t="s">
        <v>14</v>
      </c>
      <c r="G2303" s="8">
        <v>0</v>
      </c>
      <c r="H2303" s="8">
        <v>133.1</v>
      </c>
      <c r="I2303" s="8">
        <f t="shared" si="91"/>
        <v>0</v>
      </c>
      <c r="J2303" s="12"/>
    </row>
    <row r="2304" spans="1:10" x14ac:dyDescent="0.3">
      <c r="C2304" s="9" t="s">
        <v>12</v>
      </c>
      <c r="D2304" s="10">
        <v>45769</v>
      </c>
      <c r="E2304" t="s">
        <v>2102</v>
      </c>
      <c r="F2304" s="11" t="s">
        <v>2103</v>
      </c>
      <c r="G2304" s="8">
        <v>175.91</v>
      </c>
      <c r="H2304" s="8">
        <v>0</v>
      </c>
      <c r="I2304" s="8">
        <f t="shared" si="91"/>
        <v>175.91</v>
      </c>
      <c r="J2304" s="12"/>
    </row>
    <row r="2305" spans="1:10" x14ac:dyDescent="0.3">
      <c r="C2305" s="9" t="s">
        <v>12</v>
      </c>
      <c r="D2305" s="10">
        <v>45791</v>
      </c>
      <c r="E2305" t="s">
        <v>2104</v>
      </c>
      <c r="F2305" s="11" t="s">
        <v>2105</v>
      </c>
      <c r="G2305" s="8">
        <v>1476.25</v>
      </c>
      <c r="H2305" s="8">
        <v>0</v>
      </c>
      <c r="I2305" s="8">
        <f t="shared" si="91"/>
        <v>1652.16</v>
      </c>
      <c r="J2305" s="12"/>
    </row>
    <row r="2306" spans="1:10" x14ac:dyDescent="0.3">
      <c r="C2306" s="9" t="s">
        <v>12</v>
      </c>
      <c r="D2306" s="10">
        <v>45805</v>
      </c>
      <c r="E2306" t="s">
        <v>1059</v>
      </c>
      <c r="F2306" s="11" t="s">
        <v>14</v>
      </c>
      <c r="G2306" s="8">
        <v>0</v>
      </c>
      <c r="H2306" s="8">
        <v>1476.25</v>
      </c>
      <c r="I2306" s="8">
        <f t="shared" si="91"/>
        <v>175.91000000000008</v>
      </c>
      <c r="J2306" s="12"/>
    </row>
    <row r="2307" spans="1:10" x14ac:dyDescent="0.3">
      <c r="C2307" s="9"/>
      <c r="D2307" s="10">
        <v>45807</v>
      </c>
      <c r="E2307" t="s">
        <v>2106</v>
      </c>
      <c r="F2307" s="11" t="s">
        <v>2107</v>
      </c>
      <c r="G2307" s="8">
        <v>365.18</v>
      </c>
      <c r="H2307" s="8">
        <v>0</v>
      </c>
      <c r="I2307" s="8">
        <f t="shared" si="91"/>
        <v>541.09000000000015</v>
      </c>
      <c r="J2307" s="12"/>
    </row>
    <row r="2308" spans="1:10" x14ac:dyDescent="0.3">
      <c r="C2308" s="9" t="s">
        <v>12</v>
      </c>
      <c r="D2308" s="10">
        <v>45828</v>
      </c>
      <c r="E2308" t="s">
        <v>1059</v>
      </c>
      <c r="F2308" s="11" t="s">
        <v>14</v>
      </c>
      <c r="G2308" s="8">
        <v>0</v>
      </c>
      <c r="H2308" s="8">
        <v>175.91</v>
      </c>
      <c r="I2308" s="8">
        <f t="shared" si="91"/>
        <v>365.18000000000018</v>
      </c>
      <c r="J2308" s="12"/>
    </row>
    <row r="2309" spans="1:10" x14ac:dyDescent="0.3">
      <c r="C2309" s="9"/>
      <c r="D2309" s="10">
        <v>45859</v>
      </c>
      <c r="E2309" t="s">
        <v>1059</v>
      </c>
      <c r="F2309" s="11" t="s">
        <v>14</v>
      </c>
      <c r="G2309" s="8">
        <v>0</v>
      </c>
      <c r="H2309" s="8">
        <v>365.18</v>
      </c>
      <c r="I2309" s="8">
        <f t="shared" si="91"/>
        <v>0</v>
      </c>
      <c r="J2309" s="12"/>
    </row>
    <row r="2310" spans="1:10" x14ac:dyDescent="0.3">
      <c r="C2310" s="9"/>
      <c r="D2310" s="10">
        <v>45869</v>
      </c>
      <c r="E2310" t="s">
        <v>2108</v>
      </c>
      <c r="F2310" s="11" t="s">
        <v>2109</v>
      </c>
      <c r="G2310" s="8">
        <v>443.76</v>
      </c>
      <c r="H2310" s="8">
        <v>0</v>
      </c>
      <c r="I2310" s="8">
        <f t="shared" si="91"/>
        <v>443.76</v>
      </c>
      <c r="J2310" s="12"/>
    </row>
    <row r="2311" spans="1:10" x14ac:dyDescent="0.3">
      <c r="C2311" s="9"/>
      <c r="D2311" s="10">
        <v>45875</v>
      </c>
      <c r="E2311" t="s">
        <v>2110</v>
      </c>
      <c r="F2311" s="11" t="s">
        <v>2111</v>
      </c>
      <c r="G2311" s="8">
        <v>2298.11</v>
      </c>
      <c r="H2311" s="8">
        <v>0</v>
      </c>
      <c r="I2311" s="8">
        <f t="shared" si="91"/>
        <v>2741.87</v>
      </c>
      <c r="J2311" s="12"/>
    </row>
    <row r="2312" spans="1:10" x14ac:dyDescent="0.3">
      <c r="C2312" s="9"/>
      <c r="D2312" s="10">
        <v>45882</v>
      </c>
      <c r="E2312" t="s">
        <v>305</v>
      </c>
      <c r="F2312" s="11" t="s">
        <v>14</v>
      </c>
      <c r="G2312" s="8">
        <v>0</v>
      </c>
      <c r="H2312" s="8">
        <v>2298.11</v>
      </c>
      <c r="I2312" s="8">
        <f t="shared" si="91"/>
        <v>443.75999999999976</v>
      </c>
      <c r="J2312" s="12">
        <v>572000007</v>
      </c>
    </row>
    <row r="2313" spans="1:10" x14ac:dyDescent="0.3">
      <c r="C2313" s="9"/>
      <c r="D2313" s="10">
        <v>45900</v>
      </c>
      <c r="E2313" t="s">
        <v>2112</v>
      </c>
      <c r="F2313" s="11" t="s">
        <v>2113</v>
      </c>
      <c r="G2313" s="8">
        <v>222.77</v>
      </c>
      <c r="H2313" s="8">
        <v>0</v>
      </c>
      <c r="I2313" s="8">
        <f t="shared" si="91"/>
        <v>666.52999999999975</v>
      </c>
      <c r="J2313" s="12"/>
    </row>
    <row r="2314" spans="1:10" x14ac:dyDescent="0.3">
      <c r="C2314" s="9"/>
      <c r="D2314" s="10">
        <v>45912</v>
      </c>
      <c r="E2314" t="s">
        <v>2114</v>
      </c>
      <c r="F2314" s="11" t="s">
        <v>2115</v>
      </c>
      <c r="G2314" s="8">
        <v>386.4</v>
      </c>
      <c r="H2314" s="8">
        <v>0</v>
      </c>
      <c r="I2314" s="8">
        <f t="shared" si="91"/>
        <v>1052.9299999999998</v>
      </c>
      <c r="J2314" s="12"/>
    </row>
    <row r="2315" spans="1:10" x14ac:dyDescent="0.3">
      <c r="E2315" s="4" t="s">
        <v>116</v>
      </c>
      <c r="G2315" s="8">
        <f>SUM(G2300:G2314)</f>
        <v>5659.2199999999993</v>
      </c>
      <c r="H2315" s="8">
        <f>SUM(H2300:H2314)</f>
        <v>4606.2900000000009</v>
      </c>
      <c r="I2315" s="8">
        <f>G2315-H2315</f>
        <v>1052.9299999999985</v>
      </c>
    </row>
    <row r="2317" spans="1:10" x14ac:dyDescent="0.3">
      <c r="A2317" s="5">
        <v>430040507</v>
      </c>
      <c r="B2317" s="6" t="s">
        <v>2116</v>
      </c>
      <c r="C2317" s="7"/>
      <c r="D2317" s="7"/>
      <c r="E2317" s="7"/>
      <c r="F2317" s="7"/>
      <c r="G2317" s="7"/>
      <c r="H2317" s="7"/>
      <c r="I2317" s="7"/>
      <c r="J2317" s="7"/>
    </row>
    <row r="2318" spans="1:10" x14ac:dyDescent="0.3">
      <c r="C2318" s="9"/>
      <c r="D2318" s="10">
        <v>45861</v>
      </c>
      <c r="E2318" t="s">
        <v>2117</v>
      </c>
      <c r="F2318" s="11" t="s">
        <v>2118</v>
      </c>
      <c r="G2318" s="8">
        <v>163.35</v>
      </c>
      <c r="H2318" s="8">
        <v>0</v>
      </c>
      <c r="I2318" s="8">
        <f>G2318-H2318</f>
        <v>163.35</v>
      </c>
      <c r="J2318" s="12"/>
    </row>
    <row r="2319" spans="1:10" x14ac:dyDescent="0.3">
      <c r="E2319" s="4" t="s">
        <v>116</v>
      </c>
      <c r="G2319" s="8">
        <f>G2318</f>
        <v>163.35</v>
      </c>
      <c r="H2319" s="8">
        <f>H2318</f>
        <v>0</v>
      </c>
      <c r="I2319" s="8">
        <f>G2319-H2319</f>
        <v>163.35</v>
      </c>
    </row>
    <row r="2321" spans="1:10" x14ac:dyDescent="0.3">
      <c r="A2321" s="5">
        <v>430040562</v>
      </c>
      <c r="B2321" s="6" t="s">
        <v>2119</v>
      </c>
      <c r="C2321" s="7"/>
      <c r="D2321" s="7"/>
      <c r="E2321" s="7"/>
      <c r="F2321" s="7"/>
      <c r="G2321" s="7"/>
      <c r="H2321" s="7"/>
      <c r="I2321" s="7"/>
      <c r="J2321" s="7"/>
    </row>
    <row r="2322" spans="1:10" x14ac:dyDescent="0.3">
      <c r="E2322" s="4" t="s">
        <v>11</v>
      </c>
      <c r="G2322" s="8">
        <v>133.1</v>
      </c>
      <c r="H2322" s="8">
        <v>0</v>
      </c>
      <c r="I2322" s="8">
        <f>G2322-H2322</f>
        <v>133.1</v>
      </c>
    </row>
    <row r="2323" spans="1:10" x14ac:dyDescent="0.3">
      <c r="C2323" s="9" t="s">
        <v>12</v>
      </c>
      <c r="D2323" s="10">
        <v>45684</v>
      </c>
      <c r="E2323" t="s">
        <v>108</v>
      </c>
      <c r="F2323" s="11" t="s">
        <v>14</v>
      </c>
      <c r="G2323" s="8">
        <v>0</v>
      </c>
      <c r="H2323" s="8">
        <v>133.1</v>
      </c>
      <c r="I2323" s="8">
        <f>G2323-H2323+I2322</f>
        <v>0</v>
      </c>
      <c r="J2323" s="12">
        <v>572000007</v>
      </c>
    </row>
    <row r="2324" spans="1:10" x14ac:dyDescent="0.3">
      <c r="C2324" s="9" t="s">
        <v>12</v>
      </c>
      <c r="D2324" s="10">
        <v>45723</v>
      </c>
      <c r="E2324" t="s">
        <v>2120</v>
      </c>
      <c r="F2324" s="11" t="s">
        <v>2121</v>
      </c>
      <c r="G2324" s="8">
        <v>140.6</v>
      </c>
      <c r="H2324" s="8">
        <v>0</v>
      </c>
      <c r="I2324" s="8">
        <f>G2324-H2324+I2323</f>
        <v>140.6</v>
      </c>
      <c r="J2324" s="12"/>
    </row>
    <row r="2325" spans="1:10" x14ac:dyDescent="0.3">
      <c r="C2325" s="9" t="s">
        <v>12</v>
      </c>
      <c r="D2325" s="10">
        <v>45834</v>
      </c>
      <c r="E2325" t="s">
        <v>886</v>
      </c>
      <c r="F2325" s="11" t="s">
        <v>14</v>
      </c>
      <c r="G2325" s="8">
        <v>0</v>
      </c>
      <c r="H2325" s="8">
        <v>140.6</v>
      </c>
      <c r="I2325" s="8">
        <f>G2325-H2325+I2324</f>
        <v>0</v>
      </c>
      <c r="J2325" s="12">
        <v>572000007</v>
      </c>
    </row>
    <row r="2326" spans="1:10" x14ac:dyDescent="0.3">
      <c r="C2326" s="9"/>
      <c r="D2326" s="10">
        <v>45901</v>
      </c>
      <c r="E2326" t="s">
        <v>2122</v>
      </c>
      <c r="F2326" s="11" t="s">
        <v>2123</v>
      </c>
      <c r="G2326" s="8">
        <v>133.1</v>
      </c>
      <c r="H2326" s="8">
        <v>0</v>
      </c>
      <c r="I2326" s="8">
        <f>G2326-H2326+I2325</f>
        <v>133.1</v>
      </c>
      <c r="J2326" s="12"/>
    </row>
    <row r="2327" spans="1:10" x14ac:dyDescent="0.3">
      <c r="E2327" s="4" t="s">
        <v>116</v>
      </c>
      <c r="G2327" s="8">
        <f>SUM(G2322:G2326)</f>
        <v>406.79999999999995</v>
      </c>
      <c r="H2327" s="8">
        <f>SUM(H2322:H2326)</f>
        <v>273.7</v>
      </c>
      <c r="I2327" s="8">
        <f>G2327-H2327</f>
        <v>133.09999999999997</v>
      </c>
    </row>
    <row r="2329" spans="1:10" x14ac:dyDescent="0.3">
      <c r="A2329" s="5">
        <v>430040592</v>
      </c>
      <c r="B2329" s="6" t="s">
        <v>2124</v>
      </c>
      <c r="C2329" s="7"/>
      <c r="D2329" s="7"/>
      <c r="E2329" s="7"/>
      <c r="F2329" s="7"/>
      <c r="G2329" s="7"/>
      <c r="H2329" s="7"/>
      <c r="I2329" s="7"/>
      <c r="J2329" s="7"/>
    </row>
    <row r="2330" spans="1:10" x14ac:dyDescent="0.3">
      <c r="C2330" s="9" t="s">
        <v>12</v>
      </c>
      <c r="D2330" s="10">
        <v>45667</v>
      </c>
      <c r="E2330" t="s">
        <v>2125</v>
      </c>
      <c r="F2330" s="11" t="s">
        <v>2126</v>
      </c>
      <c r="G2330" s="8">
        <v>3571.5</v>
      </c>
      <c r="H2330" s="8">
        <v>0</v>
      </c>
      <c r="I2330" s="8">
        <f>G2330-H2330</f>
        <v>3571.5</v>
      </c>
      <c r="J2330" s="12"/>
    </row>
    <row r="2331" spans="1:10" x14ac:dyDescent="0.3">
      <c r="C2331" s="9" t="s">
        <v>12</v>
      </c>
      <c r="D2331" s="10">
        <v>45667</v>
      </c>
      <c r="E2331" t="s">
        <v>1059</v>
      </c>
      <c r="F2331" s="11" t="s">
        <v>14</v>
      </c>
      <c r="G2331" s="8">
        <v>0</v>
      </c>
      <c r="H2331" s="8">
        <v>3571.5</v>
      </c>
      <c r="I2331" s="8">
        <f t="shared" ref="I2331:I2339" si="92">G2331-H2331+I2330</f>
        <v>0</v>
      </c>
      <c r="J2331" s="12"/>
    </row>
    <row r="2332" spans="1:10" x14ac:dyDescent="0.3">
      <c r="C2332" s="9" t="s">
        <v>12</v>
      </c>
      <c r="D2332" s="10">
        <v>45730</v>
      </c>
      <c r="E2332" t="s">
        <v>2127</v>
      </c>
      <c r="F2332" s="11" t="s">
        <v>2128</v>
      </c>
      <c r="G2332" s="8">
        <v>186.56</v>
      </c>
      <c r="H2332" s="8">
        <v>0</v>
      </c>
      <c r="I2332" s="8">
        <f t="shared" si="92"/>
        <v>186.56</v>
      </c>
      <c r="J2332" s="12"/>
    </row>
    <row r="2333" spans="1:10" x14ac:dyDescent="0.3">
      <c r="C2333" s="9" t="s">
        <v>12</v>
      </c>
      <c r="D2333" s="10">
        <v>45733</v>
      </c>
      <c r="E2333" t="s">
        <v>1059</v>
      </c>
      <c r="F2333" s="11" t="s">
        <v>14</v>
      </c>
      <c r="G2333" s="8">
        <v>0</v>
      </c>
      <c r="H2333" s="8">
        <v>186.56</v>
      </c>
      <c r="I2333" s="8">
        <f t="shared" si="92"/>
        <v>0</v>
      </c>
      <c r="J2333" s="12"/>
    </row>
    <row r="2334" spans="1:10" x14ac:dyDescent="0.3">
      <c r="C2334" s="9" t="s">
        <v>12</v>
      </c>
      <c r="D2334" s="10">
        <v>45734</v>
      </c>
      <c r="E2334" t="s">
        <v>2129</v>
      </c>
      <c r="F2334" s="11" t="s">
        <v>2130</v>
      </c>
      <c r="G2334" s="8">
        <v>7142.99</v>
      </c>
      <c r="H2334" s="8">
        <v>0</v>
      </c>
      <c r="I2334" s="8">
        <f t="shared" si="92"/>
        <v>7142.99</v>
      </c>
      <c r="J2334" s="12"/>
    </row>
    <row r="2335" spans="1:10" x14ac:dyDescent="0.3">
      <c r="C2335" s="9" t="s">
        <v>12</v>
      </c>
      <c r="D2335" s="10">
        <v>45734</v>
      </c>
      <c r="E2335" t="s">
        <v>2131</v>
      </c>
      <c r="F2335" s="11" t="s">
        <v>388</v>
      </c>
      <c r="G2335" s="8">
        <v>-3571.5</v>
      </c>
      <c r="H2335" s="8">
        <v>0</v>
      </c>
      <c r="I2335" s="8">
        <f t="shared" si="92"/>
        <v>3571.49</v>
      </c>
      <c r="J2335" s="12"/>
    </row>
    <row r="2336" spans="1:10" x14ac:dyDescent="0.3">
      <c r="C2336" s="9" t="s">
        <v>12</v>
      </c>
      <c r="D2336" s="10">
        <v>45792</v>
      </c>
      <c r="E2336" t="s">
        <v>2132</v>
      </c>
      <c r="F2336" s="11" t="s">
        <v>2133</v>
      </c>
      <c r="G2336" s="8">
        <v>281.22000000000003</v>
      </c>
      <c r="H2336" s="8">
        <v>0</v>
      </c>
      <c r="I2336" s="8">
        <f t="shared" si="92"/>
        <v>3852.71</v>
      </c>
      <c r="J2336" s="12"/>
    </row>
    <row r="2337" spans="1:10" x14ac:dyDescent="0.3">
      <c r="C2337" s="9" t="s">
        <v>12</v>
      </c>
      <c r="D2337" s="10">
        <v>45848</v>
      </c>
      <c r="E2337" t="s">
        <v>1059</v>
      </c>
      <c r="F2337" s="11" t="s">
        <v>14</v>
      </c>
      <c r="G2337" s="8">
        <v>0</v>
      </c>
      <c r="H2337" s="8">
        <v>3571.49</v>
      </c>
      <c r="I2337" s="8">
        <f t="shared" si="92"/>
        <v>281.22000000000025</v>
      </c>
      <c r="J2337" s="12"/>
    </row>
    <row r="2338" spans="1:10" x14ac:dyDescent="0.3">
      <c r="C2338" s="9" t="s">
        <v>12</v>
      </c>
      <c r="D2338" s="10">
        <v>45848</v>
      </c>
      <c r="E2338" t="s">
        <v>1059</v>
      </c>
      <c r="F2338" s="11" t="s">
        <v>14</v>
      </c>
      <c r="G2338" s="8">
        <v>0</v>
      </c>
      <c r="H2338" s="8">
        <v>281.22000000000003</v>
      </c>
      <c r="I2338" s="8">
        <f t="shared" si="92"/>
        <v>0</v>
      </c>
      <c r="J2338" s="12"/>
    </row>
    <row r="2339" spans="1:10" x14ac:dyDescent="0.3">
      <c r="C2339" s="9"/>
      <c r="D2339" s="10">
        <v>45883</v>
      </c>
      <c r="E2339" t="s">
        <v>2134</v>
      </c>
      <c r="F2339" s="11" t="s">
        <v>2135</v>
      </c>
      <c r="G2339" s="8">
        <v>202.42</v>
      </c>
      <c r="H2339" s="8">
        <v>0</v>
      </c>
      <c r="I2339" s="8">
        <f t="shared" si="92"/>
        <v>202.42</v>
      </c>
      <c r="J2339" s="12"/>
    </row>
    <row r="2340" spans="1:10" x14ac:dyDescent="0.3">
      <c r="E2340" s="4" t="s">
        <v>116</v>
      </c>
      <c r="G2340" s="8">
        <f>SUM(G2330:G2339)</f>
        <v>7813.19</v>
      </c>
      <c r="H2340" s="8">
        <f>SUM(H2330:H2339)</f>
        <v>7610.7699999999995</v>
      </c>
      <c r="I2340" s="8">
        <f>G2340-H2340</f>
        <v>202.42000000000007</v>
      </c>
    </row>
    <row r="2342" spans="1:10" x14ac:dyDescent="0.3">
      <c r="A2342" s="5">
        <v>430040631</v>
      </c>
      <c r="B2342" s="6" t="s">
        <v>2136</v>
      </c>
      <c r="C2342" s="7"/>
      <c r="D2342" s="7"/>
      <c r="E2342" s="7"/>
      <c r="F2342" s="7"/>
      <c r="G2342" s="7"/>
      <c r="H2342" s="7"/>
      <c r="I2342" s="7"/>
      <c r="J2342" s="7"/>
    </row>
    <row r="2343" spans="1:10" x14ac:dyDescent="0.3">
      <c r="C2343" s="9" t="s">
        <v>12</v>
      </c>
      <c r="D2343" s="10">
        <v>45685</v>
      </c>
      <c r="E2343" t="s">
        <v>2137</v>
      </c>
      <c r="F2343" s="11" t="s">
        <v>2138</v>
      </c>
      <c r="G2343" s="8">
        <v>1727.91</v>
      </c>
      <c r="H2343" s="8">
        <v>0</v>
      </c>
      <c r="I2343" s="8">
        <f>G2343-H2343</f>
        <v>1727.91</v>
      </c>
      <c r="J2343" s="12"/>
    </row>
    <row r="2344" spans="1:10" x14ac:dyDescent="0.3">
      <c r="C2344" s="9" t="s">
        <v>12</v>
      </c>
      <c r="D2344" s="10">
        <v>45687</v>
      </c>
      <c r="E2344" t="s">
        <v>1126</v>
      </c>
      <c r="F2344" s="11" t="s">
        <v>14</v>
      </c>
      <c r="G2344" s="8">
        <v>0</v>
      </c>
      <c r="H2344" s="8">
        <v>1727.91</v>
      </c>
      <c r="I2344" s="8">
        <f>G2344-H2344+I2343</f>
        <v>0</v>
      </c>
      <c r="J2344" s="12"/>
    </row>
    <row r="2345" spans="1:10" x14ac:dyDescent="0.3">
      <c r="C2345" s="9" t="s">
        <v>12</v>
      </c>
      <c r="D2345" s="10">
        <v>45754</v>
      </c>
      <c r="E2345" t="s">
        <v>2139</v>
      </c>
      <c r="F2345" s="11" t="s">
        <v>2140</v>
      </c>
      <c r="G2345" s="8">
        <v>194.56</v>
      </c>
      <c r="H2345" s="8">
        <v>0</v>
      </c>
      <c r="I2345" s="8">
        <f>G2345-H2345+I2344</f>
        <v>194.56</v>
      </c>
      <c r="J2345" s="12"/>
    </row>
    <row r="2346" spans="1:10" x14ac:dyDescent="0.3">
      <c r="C2346" s="9"/>
      <c r="D2346" s="10">
        <v>45793</v>
      </c>
      <c r="E2346" t="s">
        <v>2141</v>
      </c>
      <c r="F2346" s="11" t="s">
        <v>2142</v>
      </c>
      <c r="G2346" s="8">
        <v>138.96</v>
      </c>
      <c r="H2346" s="8">
        <v>0</v>
      </c>
      <c r="I2346" s="8">
        <f>G2346-H2346+I2345</f>
        <v>333.52</v>
      </c>
      <c r="J2346" s="12"/>
    </row>
    <row r="2347" spans="1:10" x14ac:dyDescent="0.3">
      <c r="C2347" s="9" t="s">
        <v>12</v>
      </c>
      <c r="D2347" s="10">
        <v>45831</v>
      </c>
      <c r="E2347" t="s">
        <v>1059</v>
      </c>
      <c r="F2347" s="11" t="s">
        <v>14</v>
      </c>
      <c r="G2347" s="8">
        <v>0</v>
      </c>
      <c r="H2347" s="8">
        <v>194.56</v>
      </c>
      <c r="I2347" s="8">
        <f>G2347-H2347+I2346</f>
        <v>138.95999999999998</v>
      </c>
      <c r="J2347" s="12"/>
    </row>
    <row r="2348" spans="1:10" x14ac:dyDescent="0.3">
      <c r="E2348" s="4" t="s">
        <v>116</v>
      </c>
      <c r="G2348" s="8">
        <f>SUM(G2343:G2347)</f>
        <v>2061.4299999999998</v>
      </c>
      <c r="H2348" s="8">
        <f>SUM(H2343:H2347)</f>
        <v>1922.47</v>
      </c>
      <c r="I2348" s="8">
        <f>G2348-H2348</f>
        <v>138.95999999999981</v>
      </c>
    </row>
    <row r="2350" spans="1:10" x14ac:dyDescent="0.3">
      <c r="A2350" s="5">
        <v>430040656</v>
      </c>
      <c r="B2350" s="6" t="s">
        <v>2143</v>
      </c>
      <c r="C2350" s="7"/>
      <c r="D2350" s="7"/>
      <c r="E2350" s="7"/>
      <c r="F2350" s="7"/>
      <c r="G2350" s="7"/>
      <c r="H2350" s="7"/>
      <c r="I2350" s="7"/>
      <c r="J2350" s="7"/>
    </row>
    <row r="2351" spans="1:10" x14ac:dyDescent="0.3">
      <c r="E2351" s="4" t="s">
        <v>11</v>
      </c>
      <c r="G2351" s="8">
        <v>1877.69</v>
      </c>
      <c r="H2351" s="8">
        <v>0</v>
      </c>
      <c r="I2351" s="8">
        <f>G2351-H2351</f>
        <v>1877.69</v>
      </c>
    </row>
    <row r="2352" spans="1:10" x14ac:dyDescent="0.3">
      <c r="C2352" s="9" t="s">
        <v>12</v>
      </c>
      <c r="D2352" s="10">
        <v>45659</v>
      </c>
      <c r="E2352" t="s">
        <v>108</v>
      </c>
      <c r="F2352" s="11" t="s">
        <v>14</v>
      </c>
      <c r="G2352" s="8">
        <v>0</v>
      </c>
      <c r="H2352" s="8">
        <v>1877.69</v>
      </c>
      <c r="I2352" s="8">
        <f t="shared" ref="I2352:I2357" si="93">G2352-H2352+I2351</f>
        <v>0</v>
      </c>
      <c r="J2352" s="12">
        <v>572000009</v>
      </c>
    </row>
    <row r="2353" spans="1:10" x14ac:dyDescent="0.3">
      <c r="C2353" s="9"/>
      <c r="D2353" s="10">
        <v>45664</v>
      </c>
      <c r="E2353" t="s">
        <v>2144</v>
      </c>
      <c r="F2353" s="11" t="s">
        <v>369</v>
      </c>
      <c r="G2353" s="8">
        <v>139.15</v>
      </c>
      <c r="H2353" s="8">
        <v>0</v>
      </c>
      <c r="I2353" s="8">
        <f t="shared" si="93"/>
        <v>139.15</v>
      </c>
      <c r="J2353" s="12"/>
    </row>
    <row r="2354" spans="1:10" x14ac:dyDescent="0.3">
      <c r="C2354" s="9"/>
      <c r="D2354" s="10">
        <v>45667</v>
      </c>
      <c r="E2354" t="s">
        <v>2145</v>
      </c>
      <c r="F2354" s="11" t="s">
        <v>2146</v>
      </c>
      <c r="G2354" s="8">
        <v>159.12</v>
      </c>
      <c r="H2354" s="8">
        <v>0</v>
      </c>
      <c r="I2354" s="8">
        <f t="shared" si="93"/>
        <v>298.27</v>
      </c>
      <c r="J2354" s="12"/>
    </row>
    <row r="2355" spans="1:10" x14ac:dyDescent="0.3">
      <c r="C2355" s="9"/>
      <c r="D2355" s="10">
        <v>45726</v>
      </c>
      <c r="E2355" t="s">
        <v>2147</v>
      </c>
      <c r="F2355" s="11" t="s">
        <v>2148</v>
      </c>
      <c r="G2355" s="8">
        <v>-139.15</v>
      </c>
      <c r="H2355" s="8">
        <v>0</v>
      </c>
      <c r="I2355" s="8">
        <f t="shared" si="93"/>
        <v>159.11999999999998</v>
      </c>
      <c r="J2355" s="12"/>
    </row>
    <row r="2356" spans="1:10" x14ac:dyDescent="0.3">
      <c r="C2356" s="9"/>
      <c r="D2356" s="10">
        <v>45726</v>
      </c>
      <c r="E2356" t="s">
        <v>2149</v>
      </c>
      <c r="F2356" s="11" t="s">
        <v>2150</v>
      </c>
      <c r="G2356" s="8">
        <v>-159.11000000000001</v>
      </c>
      <c r="H2356" s="8">
        <v>0</v>
      </c>
      <c r="I2356" s="8">
        <f t="shared" si="93"/>
        <v>9.9999999999624833E-3</v>
      </c>
      <c r="J2356" s="12"/>
    </row>
    <row r="2357" spans="1:10" x14ac:dyDescent="0.3">
      <c r="C2357" s="9"/>
      <c r="D2357" s="10">
        <v>45727</v>
      </c>
      <c r="E2357" t="s">
        <v>2151</v>
      </c>
      <c r="F2357" s="11" t="s">
        <v>2152</v>
      </c>
      <c r="G2357" s="8">
        <v>-139.15</v>
      </c>
      <c r="H2357" s="8">
        <v>0</v>
      </c>
      <c r="I2357" s="8">
        <f t="shared" si="93"/>
        <v>-139.14000000000004</v>
      </c>
      <c r="J2357" s="12"/>
    </row>
    <row r="2358" spans="1:10" x14ac:dyDescent="0.3">
      <c r="E2358" s="4" t="s">
        <v>116</v>
      </c>
      <c r="G2358" s="8">
        <f>SUM(G2351:G2357)</f>
        <v>1738.5499999999997</v>
      </c>
      <c r="H2358" s="8">
        <f>SUM(H2351:H2357)</f>
        <v>1877.69</v>
      </c>
      <c r="I2358" s="8">
        <f>G2358-H2358</f>
        <v>-139.14000000000033</v>
      </c>
    </row>
    <row r="2360" spans="1:10" x14ac:dyDescent="0.3">
      <c r="A2360" s="5">
        <v>430040684</v>
      </c>
      <c r="B2360" s="6" t="s">
        <v>2153</v>
      </c>
      <c r="C2360" s="7"/>
      <c r="D2360" s="7"/>
      <c r="E2360" s="7"/>
      <c r="F2360" s="7"/>
      <c r="G2360" s="7"/>
      <c r="H2360" s="7"/>
      <c r="I2360" s="7"/>
      <c r="J2360" s="7"/>
    </row>
    <row r="2361" spans="1:10" x14ac:dyDescent="0.3">
      <c r="C2361" s="9" t="s">
        <v>12</v>
      </c>
      <c r="D2361" s="10">
        <v>45847</v>
      </c>
      <c r="E2361" t="s">
        <v>2154</v>
      </c>
      <c r="F2361" s="11" t="s">
        <v>2155</v>
      </c>
      <c r="G2361" s="8">
        <v>423.9</v>
      </c>
      <c r="H2361" s="8">
        <v>0</v>
      </c>
      <c r="I2361" s="8">
        <f>G2361-H2361</f>
        <v>423.9</v>
      </c>
      <c r="J2361" s="12"/>
    </row>
    <row r="2362" spans="1:10" x14ac:dyDescent="0.3">
      <c r="C2362" s="9" t="s">
        <v>12</v>
      </c>
      <c r="D2362" s="10">
        <v>45849</v>
      </c>
      <c r="E2362" t="s">
        <v>108</v>
      </c>
      <c r="F2362" s="11" t="s">
        <v>14</v>
      </c>
      <c r="G2362" s="8">
        <v>0</v>
      </c>
      <c r="H2362" s="8">
        <v>423.9</v>
      </c>
      <c r="I2362" s="8">
        <f>G2362-H2362+I2361</f>
        <v>0</v>
      </c>
      <c r="J2362" s="12">
        <v>572000007</v>
      </c>
    </row>
    <row r="2363" spans="1:10" x14ac:dyDescent="0.3">
      <c r="C2363" s="9"/>
      <c r="D2363" s="10">
        <v>45849</v>
      </c>
      <c r="E2363" t="s">
        <v>108</v>
      </c>
      <c r="F2363" s="11" t="s">
        <v>14</v>
      </c>
      <c r="G2363" s="8">
        <v>0</v>
      </c>
      <c r="H2363" s="8">
        <v>610.88</v>
      </c>
      <c r="I2363" s="8">
        <f>G2363-H2363+I2362</f>
        <v>-610.88</v>
      </c>
      <c r="J2363" s="12">
        <v>572000007</v>
      </c>
    </row>
    <row r="2364" spans="1:10" x14ac:dyDescent="0.3">
      <c r="C2364" s="9"/>
      <c r="D2364" s="10">
        <v>45849</v>
      </c>
      <c r="E2364" t="s">
        <v>886</v>
      </c>
      <c r="F2364" s="11" t="s">
        <v>14</v>
      </c>
      <c r="G2364" s="8">
        <v>0</v>
      </c>
      <c r="H2364" s="8">
        <v>466.25</v>
      </c>
      <c r="I2364" s="8">
        <f>G2364-H2364+I2363</f>
        <v>-1077.1300000000001</v>
      </c>
      <c r="J2364" s="12">
        <v>572000007</v>
      </c>
    </row>
    <row r="2365" spans="1:10" x14ac:dyDescent="0.3">
      <c r="E2365" s="4" t="s">
        <v>116</v>
      </c>
      <c r="G2365" s="8">
        <f>SUM(G2361:G2364)</f>
        <v>423.9</v>
      </c>
      <c r="H2365" s="8">
        <f>SUM(H2361:H2364)</f>
        <v>1501.03</v>
      </c>
      <c r="I2365" s="8">
        <f>G2365-H2365</f>
        <v>-1077.1300000000001</v>
      </c>
    </row>
    <row r="2367" spans="1:10" x14ac:dyDescent="0.3">
      <c r="A2367" s="5">
        <v>430040730</v>
      </c>
      <c r="B2367" s="6" t="s">
        <v>2156</v>
      </c>
      <c r="C2367" s="7"/>
      <c r="D2367" s="7"/>
      <c r="E2367" s="7"/>
      <c r="F2367" s="7"/>
      <c r="G2367" s="7"/>
      <c r="H2367" s="7"/>
      <c r="I2367" s="7"/>
      <c r="J2367" s="7"/>
    </row>
    <row r="2368" spans="1:10" x14ac:dyDescent="0.3">
      <c r="C2368" s="9"/>
      <c r="D2368" s="10">
        <v>45897</v>
      </c>
      <c r="E2368" t="s">
        <v>2157</v>
      </c>
      <c r="F2368" s="11" t="s">
        <v>2158</v>
      </c>
      <c r="G2368" s="8">
        <v>133.1</v>
      </c>
      <c r="H2368" s="8">
        <v>0</v>
      </c>
      <c r="I2368" s="8">
        <f>G2368-H2368</f>
        <v>133.1</v>
      </c>
      <c r="J2368" s="12"/>
    </row>
    <row r="2369" spans="1:10" x14ac:dyDescent="0.3">
      <c r="E2369" s="4" t="s">
        <v>116</v>
      </c>
      <c r="G2369" s="8">
        <f>G2368</f>
        <v>133.1</v>
      </c>
      <c r="H2369" s="8">
        <f>H2368</f>
        <v>0</v>
      </c>
      <c r="I2369" s="8">
        <f>G2369-H2369</f>
        <v>133.1</v>
      </c>
    </row>
    <row r="2371" spans="1:10" x14ac:dyDescent="0.3">
      <c r="A2371" s="5">
        <v>430040740</v>
      </c>
      <c r="B2371" s="6" t="s">
        <v>2159</v>
      </c>
      <c r="C2371" s="7"/>
      <c r="D2371" s="7"/>
      <c r="E2371" s="7"/>
      <c r="F2371" s="7"/>
      <c r="G2371" s="7"/>
      <c r="H2371" s="7"/>
      <c r="I2371" s="7"/>
      <c r="J2371" s="7"/>
    </row>
    <row r="2372" spans="1:10" x14ac:dyDescent="0.3">
      <c r="E2372" s="4" t="s">
        <v>11</v>
      </c>
      <c r="G2372" s="8">
        <v>76.13</v>
      </c>
      <c r="H2372" s="8">
        <v>0</v>
      </c>
      <c r="I2372" s="8">
        <f>G2372-H2372</f>
        <v>76.13</v>
      </c>
    </row>
    <row r="2373" spans="1:10" x14ac:dyDescent="0.3">
      <c r="C2373" s="9"/>
      <c r="D2373" s="10">
        <v>45737</v>
      </c>
      <c r="E2373" t="s">
        <v>2160</v>
      </c>
      <c r="F2373" s="11" t="s">
        <v>2161</v>
      </c>
      <c r="G2373" s="8">
        <v>269.12</v>
      </c>
      <c r="H2373" s="8">
        <v>0</v>
      </c>
      <c r="I2373" s="8">
        <f>G2373-H2373+I2372</f>
        <v>345.25</v>
      </c>
      <c r="J2373" s="12"/>
    </row>
    <row r="2374" spans="1:10" x14ac:dyDescent="0.3">
      <c r="C2374" s="9"/>
      <c r="D2374" s="10">
        <v>45827</v>
      </c>
      <c r="E2374" t="s">
        <v>2162</v>
      </c>
      <c r="F2374" s="11" t="s">
        <v>2163</v>
      </c>
      <c r="G2374" s="8">
        <v>337.41</v>
      </c>
      <c r="H2374" s="8">
        <v>0</v>
      </c>
      <c r="I2374" s="8">
        <f>G2374-H2374+I2373</f>
        <v>682.66000000000008</v>
      </c>
      <c r="J2374" s="12"/>
    </row>
    <row r="2375" spans="1:10" x14ac:dyDescent="0.3">
      <c r="C2375" s="9"/>
      <c r="D2375" s="10">
        <v>45912</v>
      </c>
      <c r="E2375" t="s">
        <v>2164</v>
      </c>
      <c r="F2375" s="11" t="s">
        <v>2165</v>
      </c>
      <c r="G2375" s="8">
        <v>593.03</v>
      </c>
      <c r="H2375" s="8">
        <v>0</v>
      </c>
      <c r="I2375" s="8">
        <f>G2375-H2375+I2374</f>
        <v>1275.69</v>
      </c>
      <c r="J2375" s="12"/>
    </row>
    <row r="2376" spans="1:10" x14ac:dyDescent="0.3">
      <c r="E2376" s="4" t="s">
        <v>116</v>
      </c>
      <c r="G2376" s="8">
        <f>SUM(G2372:G2375)</f>
        <v>1275.69</v>
      </c>
      <c r="H2376" s="8">
        <f>SUM(H2372:H2375)</f>
        <v>0</v>
      </c>
      <c r="I2376" s="8">
        <f>G2376-H2376</f>
        <v>1275.69</v>
      </c>
    </row>
    <row r="2378" spans="1:10" x14ac:dyDescent="0.3">
      <c r="A2378" s="5">
        <v>430050450</v>
      </c>
      <c r="B2378" s="6" t="s">
        <v>2166</v>
      </c>
      <c r="C2378" s="7"/>
      <c r="D2378" s="7"/>
      <c r="E2378" s="7"/>
      <c r="F2378" s="7"/>
      <c r="G2378" s="7"/>
      <c r="H2378" s="7"/>
      <c r="I2378" s="7"/>
      <c r="J2378" s="7"/>
    </row>
    <row r="2379" spans="1:10" x14ac:dyDescent="0.3">
      <c r="C2379" s="9"/>
      <c r="D2379" s="10">
        <v>45847</v>
      </c>
      <c r="E2379" t="s">
        <v>2167</v>
      </c>
      <c r="F2379" s="11" t="s">
        <v>2168</v>
      </c>
      <c r="G2379" s="8">
        <v>96.8</v>
      </c>
      <c r="H2379" s="8">
        <v>0</v>
      </c>
      <c r="I2379" s="8">
        <f>G2379-H2379</f>
        <v>96.8</v>
      </c>
      <c r="J2379" s="12"/>
    </row>
    <row r="2380" spans="1:10" x14ac:dyDescent="0.3">
      <c r="E2380" s="4" t="s">
        <v>116</v>
      </c>
      <c r="G2380" s="8">
        <f>G2379</f>
        <v>96.8</v>
      </c>
      <c r="H2380" s="8">
        <f>H2379</f>
        <v>0</v>
      </c>
      <c r="I2380" s="8">
        <f>G2380-H2380</f>
        <v>96.8</v>
      </c>
    </row>
    <row r="2382" spans="1:10" x14ac:dyDescent="0.3">
      <c r="A2382" s="5">
        <v>430050496</v>
      </c>
      <c r="B2382" s="6" t="s">
        <v>2169</v>
      </c>
      <c r="C2382" s="7"/>
      <c r="D2382" s="7"/>
      <c r="E2382" s="7"/>
      <c r="F2382" s="7"/>
      <c r="G2382" s="7"/>
      <c r="H2382" s="7"/>
      <c r="I2382" s="7"/>
      <c r="J2382" s="7"/>
    </row>
    <row r="2383" spans="1:10" x14ac:dyDescent="0.3">
      <c r="C2383" s="9" t="s">
        <v>12</v>
      </c>
      <c r="D2383" s="10">
        <v>45664</v>
      </c>
      <c r="E2383" t="s">
        <v>2170</v>
      </c>
      <c r="F2383" s="11" t="s">
        <v>2171</v>
      </c>
      <c r="G2383" s="8">
        <v>423.9</v>
      </c>
      <c r="H2383" s="8">
        <v>0</v>
      </c>
      <c r="I2383" s="8">
        <f>G2383-H2383</f>
        <v>423.9</v>
      </c>
      <c r="J2383" s="12"/>
    </row>
    <row r="2384" spans="1:10" x14ac:dyDescent="0.3">
      <c r="C2384" s="9" t="s">
        <v>12</v>
      </c>
      <c r="D2384" s="10">
        <v>45665</v>
      </c>
      <c r="E2384" t="s">
        <v>2172</v>
      </c>
      <c r="F2384" s="11" t="s">
        <v>14</v>
      </c>
      <c r="G2384" s="8">
        <v>0</v>
      </c>
      <c r="H2384" s="8">
        <v>423.9</v>
      </c>
      <c r="I2384" s="8">
        <f>G2384-H2384+I2383</f>
        <v>0</v>
      </c>
      <c r="J2384" s="12"/>
    </row>
    <row r="2385" spans="1:10" x14ac:dyDescent="0.3">
      <c r="C2385" s="9"/>
      <c r="D2385" s="10">
        <v>45882</v>
      </c>
      <c r="E2385" t="s">
        <v>2173</v>
      </c>
      <c r="F2385" s="11" t="s">
        <v>2174</v>
      </c>
      <c r="G2385" s="8">
        <v>190.88</v>
      </c>
      <c r="H2385" s="8">
        <v>0</v>
      </c>
      <c r="I2385" s="8">
        <f>G2385-H2385+I2384</f>
        <v>190.88</v>
      </c>
      <c r="J2385" s="12"/>
    </row>
    <row r="2386" spans="1:10" x14ac:dyDescent="0.3">
      <c r="E2386" s="4" t="s">
        <v>116</v>
      </c>
      <c r="G2386" s="8">
        <f>SUM(G2383:G2385)</f>
        <v>614.78</v>
      </c>
      <c r="H2386" s="8">
        <f>SUM(H2383:H2385)</f>
        <v>423.9</v>
      </c>
      <c r="I2386" s="8">
        <f>G2386-H2386</f>
        <v>190.88</v>
      </c>
    </row>
    <row r="2388" spans="1:10" x14ac:dyDescent="0.3">
      <c r="A2388" s="5">
        <v>430051079</v>
      </c>
      <c r="B2388" s="6" t="s">
        <v>2175</v>
      </c>
      <c r="C2388" s="7"/>
      <c r="D2388" s="7"/>
      <c r="E2388" s="7"/>
      <c r="F2388" s="7"/>
      <c r="G2388" s="7"/>
      <c r="H2388" s="7"/>
      <c r="I2388" s="7"/>
      <c r="J2388" s="7"/>
    </row>
    <row r="2389" spans="1:10" x14ac:dyDescent="0.3">
      <c r="C2389" s="9"/>
      <c r="D2389" s="10">
        <v>45910</v>
      </c>
      <c r="E2389" t="s">
        <v>2176</v>
      </c>
      <c r="F2389" s="11" t="s">
        <v>2177</v>
      </c>
      <c r="G2389" s="8">
        <v>133.1</v>
      </c>
      <c r="H2389" s="8">
        <v>0</v>
      </c>
      <c r="I2389" s="8">
        <f>G2389-H2389</f>
        <v>133.1</v>
      </c>
      <c r="J2389" s="12"/>
    </row>
    <row r="2390" spans="1:10" x14ac:dyDescent="0.3">
      <c r="E2390" s="4" t="s">
        <v>116</v>
      </c>
      <c r="G2390" s="8">
        <f>G2389</f>
        <v>133.1</v>
      </c>
      <c r="H2390" s="8">
        <f>H2389</f>
        <v>0</v>
      </c>
      <c r="I2390" s="8">
        <f>G2390-H2390</f>
        <v>133.1</v>
      </c>
    </row>
    <row r="2392" spans="1:10" x14ac:dyDescent="0.3">
      <c r="A2392" s="5">
        <v>430070168</v>
      </c>
      <c r="B2392" s="6" t="s">
        <v>2178</v>
      </c>
      <c r="C2392" s="7"/>
      <c r="D2392" s="7"/>
      <c r="E2392" s="7"/>
      <c r="F2392" s="7"/>
      <c r="G2392" s="7"/>
      <c r="H2392" s="7"/>
      <c r="I2392" s="7"/>
      <c r="J2392" s="7"/>
    </row>
    <row r="2393" spans="1:10" x14ac:dyDescent="0.3">
      <c r="C2393" s="9"/>
      <c r="D2393" s="10">
        <v>45838</v>
      </c>
      <c r="E2393" t="s">
        <v>2179</v>
      </c>
      <c r="F2393" s="11" t="s">
        <v>2180</v>
      </c>
      <c r="G2393" s="8">
        <v>102.85</v>
      </c>
      <c r="H2393" s="8">
        <v>0</v>
      </c>
      <c r="I2393" s="8">
        <f>G2393-H2393</f>
        <v>102.85</v>
      </c>
      <c r="J2393" s="12"/>
    </row>
    <row r="2394" spans="1:10" x14ac:dyDescent="0.3">
      <c r="C2394" s="9"/>
      <c r="D2394" s="10">
        <v>45868</v>
      </c>
      <c r="E2394" t="s">
        <v>2181</v>
      </c>
      <c r="F2394" s="11" t="s">
        <v>2182</v>
      </c>
      <c r="G2394" s="8">
        <v>102.85</v>
      </c>
      <c r="H2394" s="8">
        <v>0</v>
      </c>
      <c r="I2394" s="8">
        <f>G2394-H2394+I2393</f>
        <v>205.7</v>
      </c>
      <c r="J2394" s="12"/>
    </row>
    <row r="2395" spans="1:10" x14ac:dyDescent="0.3">
      <c r="C2395" s="9"/>
      <c r="D2395" s="10">
        <v>45874</v>
      </c>
      <c r="E2395" t="s">
        <v>2183</v>
      </c>
      <c r="F2395" s="11" t="s">
        <v>2184</v>
      </c>
      <c r="G2395" s="8">
        <v>133.1</v>
      </c>
      <c r="H2395" s="8">
        <v>0</v>
      </c>
      <c r="I2395" s="8">
        <f>G2395-H2395+I2394</f>
        <v>338.79999999999995</v>
      </c>
      <c r="J2395" s="12"/>
    </row>
    <row r="2396" spans="1:10" x14ac:dyDescent="0.3">
      <c r="C2396" s="9"/>
      <c r="D2396" s="10">
        <v>45887</v>
      </c>
      <c r="E2396" t="s">
        <v>1059</v>
      </c>
      <c r="F2396" s="11" t="s">
        <v>14</v>
      </c>
      <c r="G2396" s="8">
        <v>0</v>
      </c>
      <c r="H2396" s="8">
        <v>102.85</v>
      </c>
      <c r="I2396" s="8">
        <f>G2396-H2396+I2395</f>
        <v>235.94999999999996</v>
      </c>
      <c r="J2396" s="12"/>
    </row>
    <row r="2397" spans="1:10" x14ac:dyDescent="0.3">
      <c r="C2397" s="9"/>
      <c r="D2397" s="10">
        <v>45888</v>
      </c>
      <c r="E2397" t="s">
        <v>2185</v>
      </c>
      <c r="F2397" s="11" t="s">
        <v>2186</v>
      </c>
      <c r="G2397" s="8">
        <v>133.1</v>
      </c>
      <c r="H2397" s="8">
        <v>0</v>
      </c>
      <c r="I2397" s="8">
        <f>G2397-H2397+I2396</f>
        <v>369.04999999999995</v>
      </c>
      <c r="J2397" s="12"/>
    </row>
    <row r="2398" spans="1:10" x14ac:dyDescent="0.3">
      <c r="E2398" s="4" t="s">
        <v>116</v>
      </c>
      <c r="G2398" s="8">
        <f>SUM(G2393:G2397)</f>
        <v>471.9</v>
      </c>
      <c r="H2398" s="8">
        <f>SUM(H2393:H2397)</f>
        <v>102.85</v>
      </c>
      <c r="I2398" s="8">
        <f>G2398-H2398</f>
        <v>369.04999999999995</v>
      </c>
    </row>
    <row r="2400" spans="1:10" x14ac:dyDescent="0.3">
      <c r="A2400" s="5">
        <v>430080125</v>
      </c>
      <c r="B2400" s="6" t="s">
        <v>2187</v>
      </c>
      <c r="C2400" s="7"/>
      <c r="D2400" s="7"/>
      <c r="E2400" s="7"/>
      <c r="F2400" s="7"/>
      <c r="G2400" s="7"/>
      <c r="H2400" s="7"/>
      <c r="I2400" s="7"/>
      <c r="J2400" s="7"/>
    </row>
    <row r="2401" spans="1:10" x14ac:dyDescent="0.3">
      <c r="C2401" s="9" t="s">
        <v>12</v>
      </c>
      <c r="D2401" s="10">
        <v>45800</v>
      </c>
      <c r="E2401" t="s">
        <v>2188</v>
      </c>
      <c r="F2401" s="11" t="s">
        <v>2189</v>
      </c>
      <c r="G2401" s="8">
        <v>157.30000000000001</v>
      </c>
      <c r="H2401" s="8">
        <v>0</v>
      </c>
      <c r="I2401" s="8">
        <f>G2401-H2401</f>
        <v>157.30000000000001</v>
      </c>
      <c r="J2401" s="12"/>
    </row>
    <row r="2402" spans="1:10" x14ac:dyDescent="0.3">
      <c r="C2402" s="9" t="s">
        <v>12</v>
      </c>
      <c r="D2402" s="10">
        <v>45806</v>
      </c>
      <c r="F2402" s="11" t="s">
        <v>14</v>
      </c>
      <c r="G2402" s="8">
        <v>0</v>
      </c>
      <c r="H2402" s="8">
        <v>157.30000000000001</v>
      </c>
      <c r="I2402" s="8">
        <f>G2402-H2402+I2401</f>
        <v>0</v>
      </c>
      <c r="J2402" s="12">
        <v>572000005</v>
      </c>
    </row>
    <row r="2403" spans="1:10" x14ac:dyDescent="0.3">
      <c r="C2403" s="9"/>
      <c r="D2403" s="10">
        <v>45839</v>
      </c>
      <c r="E2403" t="s">
        <v>2190</v>
      </c>
      <c r="F2403" s="11" t="s">
        <v>2191</v>
      </c>
      <c r="G2403" s="8">
        <v>2480.5</v>
      </c>
      <c r="H2403" s="8">
        <v>0</v>
      </c>
      <c r="I2403" s="8">
        <f>G2403-H2403+I2402</f>
        <v>2480.5</v>
      </c>
      <c r="J2403" s="12"/>
    </row>
    <row r="2404" spans="1:10" x14ac:dyDescent="0.3">
      <c r="C2404" s="9"/>
      <c r="D2404" s="10">
        <v>45841</v>
      </c>
      <c r="E2404" t="s">
        <v>108</v>
      </c>
      <c r="F2404" s="11" t="s">
        <v>14</v>
      </c>
      <c r="G2404" s="8">
        <v>0</v>
      </c>
      <c r="H2404" s="8">
        <v>1240.25</v>
      </c>
      <c r="I2404" s="8">
        <f>G2404-H2404+I2403</f>
        <v>1240.25</v>
      </c>
      <c r="J2404" s="12">
        <v>572000007</v>
      </c>
    </row>
    <row r="2405" spans="1:10" x14ac:dyDescent="0.3">
      <c r="C2405" s="9"/>
      <c r="D2405" s="10">
        <v>45887</v>
      </c>
      <c r="E2405" t="s">
        <v>2192</v>
      </c>
      <c r="F2405" s="11" t="s">
        <v>14</v>
      </c>
      <c r="G2405" s="8">
        <v>0</v>
      </c>
      <c r="H2405" s="8">
        <v>1240.25</v>
      </c>
      <c r="I2405" s="8">
        <f>G2405-H2405+I2404</f>
        <v>0</v>
      </c>
      <c r="J2405" s="12">
        <v>572000007</v>
      </c>
    </row>
    <row r="2406" spans="1:10" x14ac:dyDescent="0.3">
      <c r="C2406" s="9"/>
      <c r="D2406" s="10">
        <v>45912</v>
      </c>
      <c r="E2406" t="s">
        <v>2193</v>
      </c>
      <c r="F2406" s="11" t="s">
        <v>2194</v>
      </c>
      <c r="G2406" s="8">
        <v>0.01</v>
      </c>
      <c r="H2406" s="8">
        <v>0</v>
      </c>
      <c r="I2406" s="8">
        <f>G2406-H2406+I2405</f>
        <v>0.01</v>
      </c>
      <c r="J2406" s="12">
        <v>705000000</v>
      </c>
    </row>
    <row r="2407" spans="1:10" x14ac:dyDescent="0.3">
      <c r="E2407" s="4" t="s">
        <v>116</v>
      </c>
      <c r="G2407" s="8">
        <f>SUM(G2401:G2406)</f>
        <v>2637.8100000000004</v>
      </c>
      <c r="H2407" s="8">
        <f>SUM(H2401:H2406)</f>
        <v>2637.8</v>
      </c>
      <c r="I2407" s="8">
        <f>G2407-H2407</f>
        <v>1.0000000000218279E-2</v>
      </c>
    </row>
    <row r="2409" spans="1:10" x14ac:dyDescent="0.3">
      <c r="A2409" s="5">
        <v>430110058</v>
      </c>
      <c r="B2409" s="6" t="s">
        <v>2195</v>
      </c>
      <c r="C2409" s="7"/>
      <c r="D2409" s="7"/>
      <c r="E2409" s="7"/>
      <c r="F2409" s="7"/>
      <c r="G2409" s="7"/>
      <c r="H2409" s="7"/>
      <c r="I2409" s="7"/>
      <c r="J2409" s="7"/>
    </row>
    <row r="2410" spans="1:10" x14ac:dyDescent="0.3">
      <c r="E2410" s="4" t="s">
        <v>11</v>
      </c>
      <c r="G2410" s="8">
        <v>223.38</v>
      </c>
      <c r="H2410" s="8">
        <v>0</v>
      </c>
      <c r="I2410" s="8">
        <f>G2410-H2410</f>
        <v>223.38</v>
      </c>
    </row>
    <row r="2411" spans="1:10" x14ac:dyDescent="0.3">
      <c r="C2411" s="9" t="s">
        <v>12</v>
      </c>
      <c r="D2411" s="10">
        <v>45722</v>
      </c>
      <c r="E2411" t="s">
        <v>108</v>
      </c>
      <c r="F2411" s="11" t="s">
        <v>14</v>
      </c>
      <c r="G2411" s="8">
        <v>0</v>
      </c>
      <c r="H2411" s="8">
        <v>223.38</v>
      </c>
      <c r="I2411" s="8">
        <f>G2411-H2411+I2410</f>
        <v>0</v>
      </c>
      <c r="J2411" s="12">
        <v>572000007</v>
      </c>
    </row>
    <row r="2412" spans="1:10" x14ac:dyDescent="0.3">
      <c r="C2412" s="9"/>
      <c r="D2412" s="10">
        <v>45805</v>
      </c>
      <c r="E2412" t="s">
        <v>2196</v>
      </c>
      <c r="F2412" s="11" t="s">
        <v>2197</v>
      </c>
      <c r="G2412" s="8">
        <v>39.01</v>
      </c>
      <c r="H2412" s="8">
        <v>0</v>
      </c>
      <c r="I2412" s="8">
        <f>G2412-H2412+I2411</f>
        <v>39.01</v>
      </c>
      <c r="J2412" s="12"/>
    </row>
    <row r="2413" spans="1:10" x14ac:dyDescent="0.3">
      <c r="E2413" s="4" t="s">
        <v>116</v>
      </c>
      <c r="G2413" s="8">
        <f>SUM(G2410:G2412)</f>
        <v>262.39</v>
      </c>
      <c r="H2413" s="8">
        <f>SUM(H2410:H2412)</f>
        <v>223.38</v>
      </c>
      <c r="I2413" s="8">
        <f>G2413-H2413</f>
        <v>39.009999999999991</v>
      </c>
    </row>
    <row r="2415" spans="1:10" x14ac:dyDescent="0.3">
      <c r="A2415" s="5">
        <v>430110563</v>
      </c>
      <c r="B2415" s="6" t="s">
        <v>2198</v>
      </c>
      <c r="C2415" s="7"/>
      <c r="D2415" s="7"/>
      <c r="E2415" s="7"/>
      <c r="F2415" s="7"/>
      <c r="G2415" s="7"/>
      <c r="H2415" s="7"/>
      <c r="I2415" s="7"/>
      <c r="J2415" s="7"/>
    </row>
    <row r="2416" spans="1:10" x14ac:dyDescent="0.3">
      <c r="C2416" s="9" t="s">
        <v>12</v>
      </c>
      <c r="D2416" s="10">
        <v>45785</v>
      </c>
      <c r="E2416" t="s">
        <v>2199</v>
      </c>
      <c r="F2416" s="11" t="s">
        <v>2200</v>
      </c>
      <c r="G2416" s="8">
        <v>4887.1899999999996</v>
      </c>
      <c r="H2416" s="8">
        <v>0</v>
      </c>
      <c r="I2416" s="8">
        <f>G2416-H2416</f>
        <v>4887.1899999999996</v>
      </c>
      <c r="J2416" s="12"/>
    </row>
    <row r="2417" spans="1:10" x14ac:dyDescent="0.3">
      <c r="C2417" s="9" t="s">
        <v>12</v>
      </c>
      <c r="D2417" s="10">
        <v>45785</v>
      </c>
      <c r="E2417" t="s">
        <v>2201</v>
      </c>
      <c r="F2417" s="11" t="s">
        <v>14</v>
      </c>
      <c r="G2417" s="8">
        <v>0</v>
      </c>
      <c r="H2417" s="8">
        <v>1000</v>
      </c>
      <c r="I2417" s="8">
        <f t="shared" ref="I2417:I2423" si="94">G2417-H2417+I2416</f>
        <v>3887.1899999999996</v>
      </c>
      <c r="J2417" s="12">
        <v>572000007</v>
      </c>
    </row>
    <row r="2418" spans="1:10" x14ac:dyDescent="0.3">
      <c r="C2418" s="9" t="s">
        <v>12</v>
      </c>
      <c r="D2418" s="10">
        <v>45785</v>
      </c>
      <c r="E2418" t="s">
        <v>305</v>
      </c>
      <c r="F2418" s="11" t="s">
        <v>14</v>
      </c>
      <c r="G2418" s="8">
        <v>0</v>
      </c>
      <c r="H2418" s="8">
        <v>1000</v>
      </c>
      <c r="I2418" s="8">
        <f t="shared" si="94"/>
        <v>2887.1899999999996</v>
      </c>
      <c r="J2418" s="12">
        <v>572000007</v>
      </c>
    </row>
    <row r="2419" spans="1:10" x14ac:dyDescent="0.3">
      <c r="C2419" s="9" t="s">
        <v>12</v>
      </c>
      <c r="D2419" s="10">
        <v>45785</v>
      </c>
      <c r="E2419" t="s">
        <v>305</v>
      </c>
      <c r="F2419" s="11" t="s">
        <v>14</v>
      </c>
      <c r="G2419" s="8">
        <v>0</v>
      </c>
      <c r="H2419" s="8">
        <v>443.6</v>
      </c>
      <c r="I2419" s="8">
        <f t="shared" si="94"/>
        <v>2443.5899999999997</v>
      </c>
      <c r="J2419" s="12">
        <v>572000007</v>
      </c>
    </row>
    <row r="2420" spans="1:10" x14ac:dyDescent="0.3">
      <c r="C2420" s="9" t="s">
        <v>12</v>
      </c>
      <c r="D2420" s="10">
        <v>45827</v>
      </c>
      <c r="E2420" t="s">
        <v>108</v>
      </c>
      <c r="F2420" s="11" t="s">
        <v>14</v>
      </c>
      <c r="G2420" s="8">
        <v>0</v>
      </c>
      <c r="H2420" s="8">
        <v>2443.59</v>
      </c>
      <c r="I2420" s="8">
        <f t="shared" si="94"/>
        <v>0</v>
      </c>
      <c r="J2420" s="12">
        <v>572000007</v>
      </c>
    </row>
    <row r="2421" spans="1:10" x14ac:dyDescent="0.3">
      <c r="C2421" s="9"/>
      <c r="D2421" s="10">
        <v>45845</v>
      </c>
      <c r="E2421" t="s">
        <v>2202</v>
      </c>
      <c r="F2421" s="11" t="s">
        <v>2203</v>
      </c>
      <c r="G2421" s="8">
        <v>520.70000000000005</v>
      </c>
      <c r="H2421" s="8">
        <v>0</v>
      </c>
      <c r="I2421" s="8">
        <f t="shared" si="94"/>
        <v>520.70000000000005</v>
      </c>
      <c r="J2421" s="12"/>
    </row>
    <row r="2422" spans="1:10" x14ac:dyDescent="0.3">
      <c r="C2422" s="9"/>
      <c r="D2422" s="10">
        <v>45875</v>
      </c>
      <c r="E2422" t="s">
        <v>1059</v>
      </c>
      <c r="F2422" s="11" t="s">
        <v>14</v>
      </c>
      <c r="G2422" s="8">
        <v>0</v>
      </c>
      <c r="H2422" s="8">
        <v>520.70000000000005</v>
      </c>
      <c r="I2422" s="8">
        <f t="shared" si="94"/>
        <v>0</v>
      </c>
      <c r="J2422" s="12"/>
    </row>
    <row r="2423" spans="1:10" x14ac:dyDescent="0.3">
      <c r="C2423" s="9"/>
      <c r="D2423" s="10">
        <v>45889</v>
      </c>
      <c r="E2423" t="s">
        <v>2204</v>
      </c>
      <c r="F2423" s="11" t="s">
        <v>2205</v>
      </c>
      <c r="G2423" s="8">
        <v>2442.62</v>
      </c>
      <c r="H2423" s="8">
        <v>0</v>
      </c>
      <c r="I2423" s="8">
        <f t="shared" si="94"/>
        <v>2442.62</v>
      </c>
      <c r="J2423" s="12"/>
    </row>
    <row r="2424" spans="1:10" x14ac:dyDescent="0.3">
      <c r="E2424" s="4" t="s">
        <v>116</v>
      </c>
      <c r="G2424" s="8">
        <f>SUM(G2416:G2423)</f>
        <v>7850.5099999999993</v>
      </c>
      <c r="H2424" s="8">
        <f>SUM(H2416:H2423)</f>
        <v>5407.89</v>
      </c>
      <c r="I2424" s="8">
        <f>G2424-H2424</f>
        <v>2442.619999999999</v>
      </c>
    </row>
    <row r="2426" spans="1:10" x14ac:dyDescent="0.3">
      <c r="A2426" s="5">
        <v>430136429</v>
      </c>
      <c r="B2426" s="6" t="s">
        <v>2206</v>
      </c>
      <c r="C2426" s="7"/>
      <c r="D2426" s="7"/>
      <c r="E2426" s="7"/>
      <c r="F2426" s="7"/>
      <c r="G2426" s="7"/>
      <c r="H2426" s="7"/>
      <c r="I2426" s="7"/>
      <c r="J2426" s="7"/>
    </row>
    <row r="2427" spans="1:10" x14ac:dyDescent="0.3">
      <c r="C2427" s="9" t="s">
        <v>12</v>
      </c>
      <c r="D2427" s="10">
        <v>45666</v>
      </c>
      <c r="E2427" t="s">
        <v>2207</v>
      </c>
      <c r="F2427" s="11" t="s">
        <v>404</v>
      </c>
      <c r="G2427" s="8">
        <v>155.99</v>
      </c>
      <c r="H2427" s="8">
        <v>0</v>
      </c>
      <c r="I2427" s="8">
        <f>G2427-H2427</f>
        <v>155.99</v>
      </c>
      <c r="J2427" s="12"/>
    </row>
    <row r="2428" spans="1:10" x14ac:dyDescent="0.3">
      <c r="C2428" s="9" t="s">
        <v>12</v>
      </c>
      <c r="D2428" s="10">
        <v>45712</v>
      </c>
      <c r="E2428" t="s">
        <v>108</v>
      </c>
      <c r="F2428" s="11" t="s">
        <v>14</v>
      </c>
      <c r="G2428" s="8">
        <v>0</v>
      </c>
      <c r="H2428" s="8">
        <v>155.99</v>
      </c>
      <c r="I2428" s="8">
        <f>G2428-H2428+I2427</f>
        <v>0</v>
      </c>
      <c r="J2428" s="12">
        <v>572000007</v>
      </c>
    </row>
    <row r="2429" spans="1:10" x14ac:dyDescent="0.3">
      <c r="C2429" s="9"/>
      <c r="D2429" s="10">
        <v>45754</v>
      </c>
      <c r="E2429" t="s">
        <v>2208</v>
      </c>
      <c r="F2429" s="11" t="s">
        <v>2209</v>
      </c>
      <c r="G2429" s="8">
        <v>423.9</v>
      </c>
      <c r="H2429" s="8">
        <v>0</v>
      </c>
      <c r="I2429" s="8">
        <f>G2429-H2429+I2428</f>
        <v>423.9</v>
      </c>
      <c r="J2429" s="12"/>
    </row>
    <row r="2430" spans="1:10" x14ac:dyDescent="0.3">
      <c r="C2430" s="9" t="s">
        <v>12</v>
      </c>
      <c r="D2430" s="10">
        <v>45804</v>
      </c>
      <c r="E2430" t="s">
        <v>2210</v>
      </c>
      <c r="F2430" s="11" t="s">
        <v>2211</v>
      </c>
      <c r="G2430" s="8">
        <v>217.8</v>
      </c>
      <c r="H2430" s="8">
        <v>0</v>
      </c>
      <c r="I2430" s="8">
        <f>G2430-H2430+I2429</f>
        <v>641.70000000000005</v>
      </c>
      <c r="J2430" s="12"/>
    </row>
    <row r="2431" spans="1:10" x14ac:dyDescent="0.3">
      <c r="C2431" s="9" t="s">
        <v>12</v>
      </c>
      <c r="D2431" s="10">
        <v>45838</v>
      </c>
      <c r="E2431" t="s">
        <v>2212</v>
      </c>
      <c r="F2431" s="11" t="s">
        <v>14</v>
      </c>
      <c r="G2431" s="8">
        <v>0</v>
      </c>
      <c r="H2431" s="8">
        <v>217.8</v>
      </c>
      <c r="I2431" s="8">
        <f>G2431-H2431+I2430</f>
        <v>423.90000000000003</v>
      </c>
      <c r="J2431" s="12">
        <v>572000007</v>
      </c>
    </row>
    <row r="2432" spans="1:10" x14ac:dyDescent="0.3">
      <c r="C2432" s="9"/>
      <c r="D2432" s="10">
        <v>45895</v>
      </c>
      <c r="E2432" t="s">
        <v>2213</v>
      </c>
      <c r="F2432" s="11" t="s">
        <v>2214</v>
      </c>
      <c r="G2432" s="8">
        <v>249.41</v>
      </c>
      <c r="H2432" s="8">
        <v>0</v>
      </c>
      <c r="I2432" s="8">
        <f>G2432-H2432+I2431</f>
        <v>673.31000000000006</v>
      </c>
      <c r="J2432" s="12"/>
    </row>
    <row r="2433" spans="1:10" x14ac:dyDescent="0.3">
      <c r="E2433" s="4" t="s">
        <v>116</v>
      </c>
      <c r="G2433" s="8">
        <f>SUM(G2427:G2432)</f>
        <v>1047.1000000000001</v>
      </c>
      <c r="H2433" s="8">
        <f>SUM(H2427:H2432)</f>
        <v>373.79</v>
      </c>
      <c r="I2433" s="8">
        <f>G2433-H2433</f>
        <v>673.31000000000017</v>
      </c>
    </row>
    <row r="2435" spans="1:10" x14ac:dyDescent="0.3">
      <c r="A2435" s="5">
        <v>430140189</v>
      </c>
      <c r="B2435" s="6" t="s">
        <v>2215</v>
      </c>
      <c r="C2435" s="7"/>
      <c r="D2435" s="7"/>
      <c r="E2435" s="7"/>
      <c r="F2435" s="7"/>
      <c r="G2435" s="7"/>
      <c r="H2435" s="7"/>
      <c r="I2435" s="7"/>
      <c r="J2435" s="7"/>
    </row>
    <row r="2436" spans="1:10" x14ac:dyDescent="0.3">
      <c r="C2436" s="9" t="s">
        <v>12</v>
      </c>
      <c r="D2436" s="10">
        <v>45687</v>
      </c>
      <c r="E2436" t="s">
        <v>2216</v>
      </c>
      <c r="F2436" s="11" t="s">
        <v>2217</v>
      </c>
      <c r="G2436" s="8">
        <v>199.65</v>
      </c>
      <c r="H2436" s="8">
        <v>0</v>
      </c>
      <c r="I2436" s="8">
        <f>G2436-H2436</f>
        <v>199.65</v>
      </c>
      <c r="J2436" s="12"/>
    </row>
    <row r="2437" spans="1:10" x14ac:dyDescent="0.3">
      <c r="C2437" s="9" t="s">
        <v>12</v>
      </c>
      <c r="D2437" s="10">
        <v>45688</v>
      </c>
      <c r="E2437" t="s">
        <v>1126</v>
      </c>
      <c r="F2437" s="11" t="s">
        <v>14</v>
      </c>
      <c r="G2437" s="8">
        <v>0</v>
      </c>
      <c r="H2437" s="8">
        <v>199.65</v>
      </c>
      <c r="I2437" s="8">
        <f t="shared" ref="I2437:I2447" si="95">G2437-H2437+I2436</f>
        <v>0</v>
      </c>
      <c r="J2437" s="12"/>
    </row>
    <row r="2438" spans="1:10" x14ac:dyDescent="0.3">
      <c r="C2438" s="9" t="s">
        <v>12</v>
      </c>
      <c r="D2438" s="10">
        <v>45755</v>
      </c>
      <c r="E2438" t="s">
        <v>2218</v>
      </c>
      <c r="F2438" s="11" t="s">
        <v>2219</v>
      </c>
      <c r="G2438" s="8">
        <v>175.45</v>
      </c>
      <c r="H2438" s="8">
        <v>0</v>
      </c>
      <c r="I2438" s="8">
        <f t="shared" si="95"/>
        <v>175.45</v>
      </c>
      <c r="J2438" s="12"/>
    </row>
    <row r="2439" spans="1:10" x14ac:dyDescent="0.3">
      <c r="C2439" s="9" t="s">
        <v>12</v>
      </c>
      <c r="D2439" s="10">
        <v>45792</v>
      </c>
      <c r="E2439" t="s">
        <v>1059</v>
      </c>
      <c r="F2439" s="11" t="s">
        <v>14</v>
      </c>
      <c r="G2439" s="8">
        <v>0</v>
      </c>
      <c r="H2439" s="8">
        <v>175.45</v>
      </c>
      <c r="I2439" s="8">
        <f t="shared" si="95"/>
        <v>0</v>
      </c>
      <c r="J2439" s="12"/>
    </row>
    <row r="2440" spans="1:10" x14ac:dyDescent="0.3">
      <c r="C2440" s="9"/>
      <c r="D2440" s="10">
        <v>45831</v>
      </c>
      <c r="E2440" t="s">
        <v>2220</v>
      </c>
      <c r="F2440" s="11" t="s">
        <v>2221</v>
      </c>
      <c r="G2440" s="8">
        <v>320.93</v>
      </c>
      <c r="H2440" s="8">
        <v>0</v>
      </c>
      <c r="I2440" s="8">
        <f t="shared" si="95"/>
        <v>320.93</v>
      </c>
      <c r="J2440" s="12"/>
    </row>
    <row r="2441" spans="1:10" x14ac:dyDescent="0.3">
      <c r="C2441" s="9"/>
      <c r="D2441" s="10">
        <v>45849</v>
      </c>
      <c r="E2441" t="s">
        <v>2222</v>
      </c>
      <c r="F2441" s="11" t="s">
        <v>2223</v>
      </c>
      <c r="G2441" s="8">
        <v>272.62</v>
      </c>
      <c r="H2441" s="8">
        <v>0</v>
      </c>
      <c r="I2441" s="8">
        <f t="shared" si="95"/>
        <v>593.54999999999995</v>
      </c>
      <c r="J2441" s="12"/>
    </row>
    <row r="2442" spans="1:10" x14ac:dyDescent="0.3">
      <c r="C2442" s="9"/>
      <c r="D2442" s="10">
        <v>45862</v>
      </c>
      <c r="E2442" t="s">
        <v>2224</v>
      </c>
      <c r="F2442" s="11" t="s">
        <v>2225</v>
      </c>
      <c r="G2442" s="8">
        <v>304.27</v>
      </c>
      <c r="H2442" s="8">
        <v>0</v>
      </c>
      <c r="I2442" s="8">
        <f t="shared" si="95"/>
        <v>897.81999999999994</v>
      </c>
      <c r="J2442" s="12"/>
    </row>
    <row r="2443" spans="1:10" x14ac:dyDescent="0.3">
      <c r="C2443" s="9"/>
      <c r="D2443" s="10">
        <v>45887</v>
      </c>
      <c r="E2443" t="s">
        <v>1059</v>
      </c>
      <c r="F2443" s="11" t="s">
        <v>14</v>
      </c>
      <c r="G2443" s="8">
        <v>0</v>
      </c>
      <c r="H2443" s="8">
        <v>272.62</v>
      </c>
      <c r="I2443" s="8">
        <f t="shared" si="95"/>
        <v>625.19999999999993</v>
      </c>
      <c r="J2443" s="12"/>
    </row>
    <row r="2444" spans="1:10" x14ac:dyDescent="0.3">
      <c r="C2444" s="9"/>
      <c r="D2444" s="10">
        <v>45887</v>
      </c>
      <c r="E2444" t="s">
        <v>1059</v>
      </c>
      <c r="F2444" s="11" t="s">
        <v>14</v>
      </c>
      <c r="G2444" s="8">
        <v>0</v>
      </c>
      <c r="H2444" s="8">
        <v>320.93</v>
      </c>
      <c r="I2444" s="8">
        <f t="shared" si="95"/>
        <v>304.26999999999992</v>
      </c>
      <c r="J2444" s="12"/>
    </row>
    <row r="2445" spans="1:10" x14ac:dyDescent="0.3">
      <c r="C2445" s="9"/>
      <c r="D2445" s="10">
        <v>45900</v>
      </c>
      <c r="E2445" t="s">
        <v>2226</v>
      </c>
      <c r="F2445" s="11" t="s">
        <v>2227</v>
      </c>
      <c r="G2445" s="8">
        <v>199.65</v>
      </c>
      <c r="H2445" s="8">
        <v>0</v>
      </c>
      <c r="I2445" s="8">
        <f t="shared" si="95"/>
        <v>503.91999999999996</v>
      </c>
      <c r="J2445" s="12"/>
    </row>
    <row r="2446" spans="1:10" x14ac:dyDescent="0.3">
      <c r="C2446" s="9"/>
      <c r="D2446" s="10">
        <v>45915</v>
      </c>
      <c r="E2446" t="s">
        <v>1059</v>
      </c>
      <c r="F2446" s="11" t="s">
        <v>14</v>
      </c>
      <c r="G2446" s="8">
        <v>0</v>
      </c>
      <c r="H2446" s="8">
        <v>304.27</v>
      </c>
      <c r="I2446" s="8">
        <f t="shared" si="95"/>
        <v>199.64999999999998</v>
      </c>
      <c r="J2446" s="12"/>
    </row>
    <row r="2447" spans="1:10" x14ac:dyDescent="0.3">
      <c r="C2447" s="9"/>
      <c r="D2447" s="10">
        <v>45917</v>
      </c>
      <c r="E2447" t="s">
        <v>2228</v>
      </c>
      <c r="F2447" s="11" t="s">
        <v>2229</v>
      </c>
      <c r="G2447" s="8">
        <v>199.65</v>
      </c>
      <c r="H2447" s="8">
        <v>0</v>
      </c>
      <c r="I2447" s="8">
        <f t="shared" si="95"/>
        <v>399.29999999999995</v>
      </c>
      <c r="J2447" s="12"/>
    </row>
    <row r="2448" spans="1:10" x14ac:dyDescent="0.3">
      <c r="E2448" s="4" t="s">
        <v>116</v>
      </c>
      <c r="G2448" s="8">
        <f>SUM(G2436:G2447)</f>
        <v>1672.2200000000003</v>
      </c>
      <c r="H2448" s="8">
        <f>SUM(H2436:H2447)</f>
        <v>1272.92</v>
      </c>
      <c r="I2448" s="8">
        <f>G2448-H2448</f>
        <v>399.30000000000018</v>
      </c>
    </row>
    <row r="2450" spans="1:10" x14ac:dyDescent="0.3">
      <c r="A2450" s="5">
        <v>430150312</v>
      </c>
      <c r="B2450" s="6" t="s">
        <v>2230</v>
      </c>
      <c r="C2450" s="7"/>
      <c r="D2450" s="7"/>
      <c r="E2450" s="7"/>
      <c r="F2450" s="7"/>
      <c r="G2450" s="7"/>
      <c r="H2450" s="7"/>
      <c r="I2450" s="7"/>
      <c r="J2450" s="7"/>
    </row>
    <row r="2451" spans="1:10" x14ac:dyDescent="0.3">
      <c r="E2451" s="4" t="s">
        <v>11</v>
      </c>
      <c r="G2451" s="8">
        <v>133.1</v>
      </c>
      <c r="H2451" s="8">
        <v>0</v>
      </c>
      <c r="I2451" s="8">
        <f>G2451-H2451</f>
        <v>133.1</v>
      </c>
    </row>
    <row r="2452" spans="1:10" x14ac:dyDescent="0.3">
      <c r="E2452" s="4" t="s">
        <v>116</v>
      </c>
      <c r="G2452" s="8">
        <f>G2451</f>
        <v>133.1</v>
      </c>
      <c r="H2452" s="8">
        <f>H2451</f>
        <v>0</v>
      </c>
      <c r="I2452" s="8">
        <f>G2452-H2452</f>
        <v>133.1</v>
      </c>
    </row>
    <row r="2454" spans="1:10" x14ac:dyDescent="0.3">
      <c r="A2454" s="5">
        <v>430160065</v>
      </c>
      <c r="B2454" s="6" t="s">
        <v>2231</v>
      </c>
      <c r="C2454" s="7"/>
      <c r="D2454" s="7"/>
      <c r="E2454" s="7"/>
      <c r="F2454" s="7"/>
      <c r="G2454" s="7"/>
      <c r="H2454" s="7"/>
      <c r="I2454" s="7"/>
      <c r="J2454" s="7"/>
    </row>
    <row r="2455" spans="1:10" x14ac:dyDescent="0.3">
      <c r="E2455" s="4" t="s">
        <v>11</v>
      </c>
      <c r="G2455" s="8">
        <v>1138.2</v>
      </c>
      <c r="H2455" s="8">
        <v>0</v>
      </c>
      <c r="I2455" s="8">
        <f>G2455-H2455</f>
        <v>1138.2</v>
      </c>
    </row>
    <row r="2456" spans="1:10" x14ac:dyDescent="0.3">
      <c r="C2456" s="9" t="s">
        <v>12</v>
      </c>
      <c r="D2456" s="10">
        <v>45685</v>
      </c>
      <c r="E2456" t="s">
        <v>108</v>
      </c>
      <c r="F2456" s="11" t="s">
        <v>14</v>
      </c>
      <c r="G2456" s="8">
        <v>0</v>
      </c>
      <c r="H2456" s="8">
        <v>278.77999999999997</v>
      </c>
      <c r="I2456" s="8">
        <f t="shared" ref="I2456:I2466" si="96">G2456-H2456+I2455</f>
        <v>859.42000000000007</v>
      </c>
      <c r="J2456" s="12">
        <v>572000007</v>
      </c>
    </row>
    <row r="2457" spans="1:10" x14ac:dyDescent="0.3">
      <c r="C2457" s="9" t="s">
        <v>12</v>
      </c>
      <c r="D2457" s="10">
        <v>45706</v>
      </c>
      <c r="E2457" t="s">
        <v>108</v>
      </c>
      <c r="F2457" s="11" t="s">
        <v>14</v>
      </c>
      <c r="G2457" s="8">
        <v>0</v>
      </c>
      <c r="H2457" s="8">
        <v>431.59</v>
      </c>
      <c r="I2457" s="8">
        <f t="shared" si="96"/>
        <v>427.8300000000001</v>
      </c>
      <c r="J2457" s="12">
        <v>572000007</v>
      </c>
    </row>
    <row r="2458" spans="1:10" x14ac:dyDescent="0.3">
      <c r="C2458" s="9" t="s">
        <v>12</v>
      </c>
      <c r="D2458" s="10">
        <v>45723</v>
      </c>
      <c r="E2458" t="s">
        <v>2232</v>
      </c>
      <c r="F2458" s="11" t="s">
        <v>2233</v>
      </c>
      <c r="G2458" s="8">
        <v>133.1</v>
      </c>
      <c r="H2458" s="8">
        <v>0</v>
      </c>
      <c r="I2458" s="8">
        <f t="shared" si="96"/>
        <v>560.93000000000006</v>
      </c>
      <c r="J2458" s="12"/>
    </row>
    <row r="2459" spans="1:10" x14ac:dyDescent="0.3">
      <c r="C2459" s="9" t="s">
        <v>12</v>
      </c>
      <c r="D2459" s="10">
        <v>45728</v>
      </c>
      <c r="E2459" t="s">
        <v>2234</v>
      </c>
      <c r="F2459" s="11" t="s">
        <v>2235</v>
      </c>
      <c r="G2459" s="8">
        <v>32.79</v>
      </c>
      <c r="H2459" s="8">
        <v>0</v>
      </c>
      <c r="I2459" s="8">
        <f t="shared" si="96"/>
        <v>593.72</v>
      </c>
      <c r="J2459" s="12"/>
    </row>
    <row r="2460" spans="1:10" x14ac:dyDescent="0.3">
      <c r="C2460" s="9" t="s">
        <v>12</v>
      </c>
      <c r="D2460" s="10">
        <v>45744</v>
      </c>
      <c r="E2460" t="s">
        <v>108</v>
      </c>
      <c r="F2460" s="11" t="s">
        <v>14</v>
      </c>
      <c r="G2460" s="8">
        <v>0</v>
      </c>
      <c r="H2460" s="8">
        <v>427.83</v>
      </c>
      <c r="I2460" s="8">
        <f t="shared" si="96"/>
        <v>165.89000000000004</v>
      </c>
      <c r="J2460" s="12">
        <v>572000007</v>
      </c>
    </row>
    <row r="2461" spans="1:10" x14ac:dyDescent="0.3">
      <c r="C2461" s="9"/>
      <c r="D2461" s="10">
        <v>45776</v>
      </c>
      <c r="E2461" t="s">
        <v>2236</v>
      </c>
      <c r="F2461" s="11" t="s">
        <v>2237</v>
      </c>
      <c r="G2461" s="8">
        <v>181.34</v>
      </c>
      <c r="H2461" s="8">
        <v>0</v>
      </c>
      <c r="I2461" s="8">
        <f t="shared" si="96"/>
        <v>347.23</v>
      </c>
      <c r="J2461" s="12"/>
    </row>
    <row r="2462" spans="1:10" x14ac:dyDescent="0.3">
      <c r="C2462" s="9" t="s">
        <v>12</v>
      </c>
      <c r="D2462" s="10">
        <v>45819</v>
      </c>
      <c r="E2462" t="s">
        <v>1715</v>
      </c>
      <c r="F2462" s="11" t="s">
        <v>14</v>
      </c>
      <c r="G2462" s="8">
        <v>0</v>
      </c>
      <c r="H2462" s="8">
        <v>133.1</v>
      </c>
      <c r="I2462" s="8">
        <f t="shared" si="96"/>
        <v>214.13000000000002</v>
      </c>
      <c r="J2462" s="12">
        <v>572000007</v>
      </c>
    </row>
    <row r="2463" spans="1:10" x14ac:dyDescent="0.3">
      <c r="C2463" s="9" t="s">
        <v>12</v>
      </c>
      <c r="D2463" s="10">
        <v>45832</v>
      </c>
      <c r="E2463" t="s">
        <v>108</v>
      </c>
      <c r="F2463" s="11" t="s">
        <v>14</v>
      </c>
      <c r="G2463" s="8">
        <v>0</v>
      </c>
      <c r="H2463" s="8">
        <v>32.79</v>
      </c>
      <c r="I2463" s="8">
        <f t="shared" si="96"/>
        <v>181.34000000000003</v>
      </c>
      <c r="J2463" s="12">
        <v>572000007</v>
      </c>
    </row>
    <row r="2464" spans="1:10" x14ac:dyDescent="0.3">
      <c r="C2464" s="9"/>
      <c r="D2464" s="10">
        <v>45862</v>
      </c>
      <c r="E2464" t="s">
        <v>2238</v>
      </c>
      <c r="F2464" s="11" t="s">
        <v>2239</v>
      </c>
      <c r="G2464" s="8">
        <v>396.34</v>
      </c>
      <c r="H2464" s="8">
        <v>0</v>
      </c>
      <c r="I2464" s="8">
        <f t="shared" si="96"/>
        <v>577.68000000000006</v>
      </c>
      <c r="J2464" s="12"/>
    </row>
    <row r="2465" spans="1:10" x14ac:dyDescent="0.3">
      <c r="C2465" s="9"/>
      <c r="D2465" s="10">
        <v>45862</v>
      </c>
      <c r="E2465" t="s">
        <v>2240</v>
      </c>
      <c r="F2465" s="11" t="s">
        <v>2241</v>
      </c>
      <c r="G2465" s="8">
        <v>574.75</v>
      </c>
      <c r="H2465" s="8">
        <v>0</v>
      </c>
      <c r="I2465" s="8">
        <f t="shared" si="96"/>
        <v>1152.43</v>
      </c>
      <c r="J2465" s="12"/>
    </row>
    <row r="2466" spans="1:10" x14ac:dyDescent="0.3">
      <c r="C2466" s="9"/>
      <c r="D2466" s="10">
        <v>45880</v>
      </c>
      <c r="E2466" t="s">
        <v>2242</v>
      </c>
      <c r="F2466" s="11" t="s">
        <v>2243</v>
      </c>
      <c r="G2466" s="8">
        <v>2149.67</v>
      </c>
      <c r="H2466" s="8">
        <v>0</v>
      </c>
      <c r="I2466" s="8">
        <f t="shared" si="96"/>
        <v>3302.1000000000004</v>
      </c>
      <c r="J2466" s="12"/>
    </row>
    <row r="2467" spans="1:10" x14ac:dyDescent="0.3">
      <c r="E2467" s="4" t="s">
        <v>116</v>
      </c>
      <c r="G2467" s="8">
        <f>SUM(G2455:G2466)</f>
        <v>4606.1899999999996</v>
      </c>
      <c r="H2467" s="8">
        <f>SUM(H2455:H2466)</f>
        <v>1304.0899999999997</v>
      </c>
      <c r="I2467" s="8">
        <f>G2467-H2467</f>
        <v>3302.1</v>
      </c>
    </row>
    <row r="2469" spans="1:10" x14ac:dyDescent="0.3">
      <c r="A2469" s="5">
        <v>430160419</v>
      </c>
      <c r="B2469" s="6" t="s">
        <v>2244</v>
      </c>
      <c r="C2469" s="7"/>
      <c r="D2469" s="7"/>
      <c r="E2469" s="7"/>
      <c r="F2469" s="7"/>
      <c r="G2469" s="7"/>
      <c r="H2469" s="7"/>
      <c r="I2469" s="7"/>
      <c r="J2469" s="7"/>
    </row>
    <row r="2470" spans="1:10" x14ac:dyDescent="0.3">
      <c r="C2470" s="9"/>
      <c r="D2470" s="10">
        <v>45912</v>
      </c>
      <c r="E2470" t="s">
        <v>2245</v>
      </c>
      <c r="F2470" s="11" t="s">
        <v>2246</v>
      </c>
      <c r="G2470" s="8">
        <v>157.30000000000001</v>
      </c>
      <c r="H2470" s="8">
        <v>0</v>
      </c>
      <c r="I2470" s="8">
        <f>G2470-H2470</f>
        <v>157.30000000000001</v>
      </c>
      <c r="J2470" s="12"/>
    </row>
    <row r="2471" spans="1:10" x14ac:dyDescent="0.3">
      <c r="E2471" s="4" t="s">
        <v>116</v>
      </c>
      <c r="G2471" s="8">
        <f>G2470</f>
        <v>157.30000000000001</v>
      </c>
      <c r="H2471" s="8">
        <f>H2470</f>
        <v>0</v>
      </c>
      <c r="I2471" s="8">
        <f>G2471-H2471</f>
        <v>157.30000000000001</v>
      </c>
    </row>
    <row r="2473" spans="1:10" x14ac:dyDescent="0.3">
      <c r="A2473" s="5">
        <v>430160754</v>
      </c>
      <c r="B2473" s="6" t="s">
        <v>2247</v>
      </c>
      <c r="C2473" s="7"/>
      <c r="D2473" s="7"/>
      <c r="E2473" s="7"/>
      <c r="F2473" s="7"/>
      <c r="G2473" s="7"/>
      <c r="H2473" s="7"/>
      <c r="I2473" s="7"/>
      <c r="J2473" s="7"/>
    </row>
    <row r="2474" spans="1:10" x14ac:dyDescent="0.3">
      <c r="C2474" s="9"/>
      <c r="D2474" s="10">
        <v>45912</v>
      </c>
      <c r="E2474" t="s">
        <v>2248</v>
      </c>
      <c r="F2474" s="11" t="s">
        <v>2249</v>
      </c>
      <c r="G2474" s="8">
        <v>351.32</v>
      </c>
      <c r="H2474" s="8">
        <v>0</v>
      </c>
      <c r="I2474" s="8">
        <f>G2474-H2474</f>
        <v>351.32</v>
      </c>
      <c r="J2474" s="12"/>
    </row>
    <row r="2475" spans="1:10" x14ac:dyDescent="0.3">
      <c r="E2475" s="4" t="s">
        <v>116</v>
      </c>
      <c r="G2475" s="8">
        <f>G2474</f>
        <v>351.32</v>
      </c>
      <c r="H2475" s="8">
        <f>H2474</f>
        <v>0</v>
      </c>
      <c r="I2475" s="8">
        <f>G2475-H2475</f>
        <v>351.32</v>
      </c>
    </row>
    <row r="2477" spans="1:10" x14ac:dyDescent="0.3">
      <c r="A2477" s="5">
        <v>430210435</v>
      </c>
      <c r="B2477" s="6" t="s">
        <v>2250</v>
      </c>
      <c r="C2477" s="7"/>
      <c r="D2477" s="7"/>
      <c r="E2477" s="7"/>
      <c r="F2477" s="7"/>
      <c r="G2477" s="7"/>
      <c r="H2477" s="7"/>
      <c r="I2477" s="7"/>
      <c r="J2477" s="7"/>
    </row>
    <row r="2478" spans="1:10" x14ac:dyDescent="0.3">
      <c r="C2478" s="9"/>
      <c r="D2478" s="10">
        <v>45827</v>
      </c>
      <c r="E2478" t="s">
        <v>2251</v>
      </c>
      <c r="F2478" s="11" t="s">
        <v>2252</v>
      </c>
      <c r="G2478" s="8">
        <v>278.7</v>
      </c>
      <c r="H2478" s="8">
        <v>0</v>
      </c>
      <c r="I2478" s="8">
        <f>G2478-H2478</f>
        <v>278.7</v>
      </c>
      <c r="J2478" s="12"/>
    </row>
    <row r="2479" spans="1:10" x14ac:dyDescent="0.3">
      <c r="C2479" s="9"/>
      <c r="D2479" s="10">
        <v>45866</v>
      </c>
      <c r="E2479" t="s">
        <v>2253</v>
      </c>
      <c r="F2479" s="11" t="s">
        <v>2254</v>
      </c>
      <c r="G2479" s="8">
        <v>819.13</v>
      </c>
      <c r="H2479" s="8">
        <v>0</v>
      </c>
      <c r="I2479" s="8">
        <f>G2479-H2479+I2478</f>
        <v>1097.83</v>
      </c>
      <c r="J2479" s="12"/>
    </row>
    <row r="2480" spans="1:10" x14ac:dyDescent="0.3">
      <c r="C2480" s="9"/>
      <c r="D2480" s="10">
        <v>45873</v>
      </c>
      <c r="E2480" t="s">
        <v>305</v>
      </c>
      <c r="F2480" s="11" t="s">
        <v>14</v>
      </c>
      <c r="G2480" s="8">
        <v>0</v>
      </c>
      <c r="H2480" s="8">
        <v>278.7</v>
      </c>
      <c r="I2480" s="8">
        <f>G2480-H2480+I2479</f>
        <v>819.12999999999988</v>
      </c>
      <c r="J2480" s="12">
        <v>572000001</v>
      </c>
    </row>
    <row r="2481" spans="1:10" x14ac:dyDescent="0.3">
      <c r="E2481" s="4" t="s">
        <v>116</v>
      </c>
      <c r="G2481" s="8">
        <f>SUM(G2478:G2480)</f>
        <v>1097.83</v>
      </c>
      <c r="H2481" s="8">
        <f>SUM(H2478:H2480)</f>
        <v>278.7</v>
      </c>
      <c r="I2481" s="8">
        <f>G2481-H2481</f>
        <v>819.12999999999988</v>
      </c>
    </row>
    <row r="2483" spans="1:10" x14ac:dyDescent="0.3">
      <c r="A2483" s="5">
        <v>430210601</v>
      </c>
      <c r="B2483" s="6" t="s">
        <v>2255</v>
      </c>
      <c r="C2483" s="7"/>
      <c r="D2483" s="7"/>
      <c r="E2483" s="7"/>
      <c r="F2483" s="7"/>
      <c r="G2483" s="7"/>
      <c r="H2483" s="7"/>
      <c r="I2483" s="7"/>
      <c r="J2483" s="7"/>
    </row>
    <row r="2484" spans="1:10" x14ac:dyDescent="0.3">
      <c r="C2484" s="9" t="s">
        <v>12</v>
      </c>
      <c r="D2484" s="10">
        <v>45684</v>
      </c>
      <c r="E2484" t="s">
        <v>2256</v>
      </c>
      <c r="F2484" s="11" t="s">
        <v>2257</v>
      </c>
      <c r="G2484" s="8">
        <v>485.53</v>
      </c>
      <c r="H2484" s="8">
        <v>0</v>
      </c>
      <c r="I2484" s="8">
        <f>G2484-H2484</f>
        <v>485.53</v>
      </c>
      <c r="J2484" s="12"/>
    </row>
    <row r="2485" spans="1:10" x14ac:dyDescent="0.3">
      <c r="C2485" s="9" t="s">
        <v>12</v>
      </c>
      <c r="D2485" s="10">
        <v>45684</v>
      </c>
      <c r="E2485" t="s">
        <v>1126</v>
      </c>
      <c r="F2485" s="11" t="s">
        <v>14</v>
      </c>
      <c r="G2485" s="8">
        <v>0</v>
      </c>
      <c r="H2485" s="8">
        <v>485.53</v>
      </c>
      <c r="I2485" s="8">
        <f>G2485-H2485+I2484</f>
        <v>0</v>
      </c>
      <c r="J2485" s="12"/>
    </row>
    <row r="2486" spans="1:10" x14ac:dyDescent="0.3">
      <c r="C2486" s="9" t="s">
        <v>12</v>
      </c>
      <c r="D2486" s="10">
        <v>45693</v>
      </c>
      <c r="E2486" t="s">
        <v>2258</v>
      </c>
      <c r="F2486" s="11" t="s">
        <v>2259</v>
      </c>
      <c r="G2486" s="8">
        <v>465.44</v>
      </c>
      <c r="H2486" s="8">
        <v>0</v>
      </c>
      <c r="I2486" s="8">
        <f>G2486-H2486+I2485</f>
        <v>465.44</v>
      </c>
      <c r="J2486" s="12"/>
    </row>
    <row r="2487" spans="1:10" x14ac:dyDescent="0.3">
      <c r="C2487" s="9" t="s">
        <v>12</v>
      </c>
      <c r="D2487" s="10">
        <v>45695</v>
      </c>
      <c r="E2487" t="s">
        <v>1059</v>
      </c>
      <c r="F2487" s="11" t="s">
        <v>14</v>
      </c>
      <c r="G2487" s="8">
        <v>0</v>
      </c>
      <c r="H2487" s="8">
        <v>465.44</v>
      </c>
      <c r="I2487" s="8">
        <f>G2487-H2487+I2486</f>
        <v>0</v>
      </c>
      <c r="J2487" s="12"/>
    </row>
    <row r="2488" spans="1:10" x14ac:dyDescent="0.3">
      <c r="C2488" s="9"/>
      <c r="D2488" s="10">
        <v>45900</v>
      </c>
      <c r="E2488" t="s">
        <v>2260</v>
      </c>
      <c r="F2488" s="11" t="s">
        <v>2261</v>
      </c>
      <c r="G2488" s="8">
        <v>127.05</v>
      </c>
      <c r="H2488" s="8">
        <v>0</v>
      </c>
      <c r="I2488" s="8">
        <f>G2488-H2488+I2487</f>
        <v>127.05</v>
      </c>
      <c r="J2488" s="12"/>
    </row>
    <row r="2489" spans="1:10" x14ac:dyDescent="0.3">
      <c r="E2489" s="4" t="s">
        <v>116</v>
      </c>
      <c r="G2489" s="8">
        <f>SUM(G2484:G2488)</f>
        <v>1078.02</v>
      </c>
      <c r="H2489" s="8">
        <f>SUM(H2484:H2488)</f>
        <v>950.97</v>
      </c>
      <c r="I2489" s="8">
        <f>G2489-H2489</f>
        <v>127.04999999999995</v>
      </c>
    </row>
    <row r="2491" spans="1:10" x14ac:dyDescent="0.3">
      <c r="A2491" s="5">
        <v>430210649</v>
      </c>
      <c r="B2491" s="6" t="s">
        <v>2262</v>
      </c>
      <c r="C2491" s="7"/>
      <c r="D2491" s="7"/>
      <c r="E2491" s="7"/>
      <c r="F2491" s="7"/>
      <c r="G2491" s="7"/>
      <c r="H2491" s="7"/>
      <c r="I2491" s="7"/>
      <c r="J2491" s="7"/>
    </row>
    <row r="2492" spans="1:10" x14ac:dyDescent="0.3">
      <c r="C2492" s="9"/>
      <c r="D2492" s="10">
        <v>45747</v>
      </c>
      <c r="E2492" t="s">
        <v>2263</v>
      </c>
      <c r="F2492" s="11" t="s">
        <v>2264</v>
      </c>
      <c r="G2492" s="8">
        <v>230.08</v>
      </c>
      <c r="H2492" s="8">
        <v>0</v>
      </c>
      <c r="I2492" s="8">
        <f>G2492-H2492</f>
        <v>230.08</v>
      </c>
      <c r="J2492" s="12"/>
    </row>
    <row r="2493" spans="1:10" x14ac:dyDescent="0.3">
      <c r="E2493" s="4" t="s">
        <v>116</v>
      </c>
      <c r="G2493" s="8">
        <f>G2492</f>
        <v>230.08</v>
      </c>
      <c r="H2493" s="8">
        <f>H2492</f>
        <v>0</v>
      </c>
      <c r="I2493" s="8">
        <f>G2493-H2493</f>
        <v>230.08</v>
      </c>
    </row>
    <row r="2495" spans="1:10" x14ac:dyDescent="0.3">
      <c r="A2495" s="5">
        <v>430220642</v>
      </c>
      <c r="B2495" s="6" t="s">
        <v>2265</v>
      </c>
      <c r="C2495" s="7"/>
      <c r="D2495" s="7"/>
      <c r="E2495" s="7"/>
      <c r="F2495" s="7"/>
      <c r="G2495" s="7"/>
      <c r="H2495" s="7"/>
      <c r="I2495" s="7"/>
      <c r="J2495" s="7"/>
    </row>
    <row r="2496" spans="1:10" x14ac:dyDescent="0.3">
      <c r="E2496" s="4" t="s">
        <v>11</v>
      </c>
      <c r="G2496" s="8">
        <v>127.05</v>
      </c>
      <c r="H2496" s="8">
        <v>0</v>
      </c>
      <c r="I2496" s="8">
        <f>G2496-H2496</f>
        <v>127.05</v>
      </c>
    </row>
    <row r="2497" spans="1:10" x14ac:dyDescent="0.3">
      <c r="E2497" s="4" t="s">
        <v>116</v>
      </c>
      <c r="G2497" s="8">
        <f>G2496</f>
        <v>127.05</v>
      </c>
      <c r="H2497" s="8">
        <f>H2496</f>
        <v>0</v>
      </c>
      <c r="I2497" s="8">
        <f>G2497-H2497</f>
        <v>127.05</v>
      </c>
    </row>
    <row r="2499" spans="1:10" x14ac:dyDescent="0.3">
      <c r="A2499" s="5">
        <v>430225730</v>
      </c>
      <c r="B2499" s="6" t="s">
        <v>2266</v>
      </c>
      <c r="C2499" s="7"/>
      <c r="D2499" s="7"/>
      <c r="E2499" s="7"/>
      <c r="F2499" s="7"/>
      <c r="G2499" s="7"/>
      <c r="H2499" s="7"/>
      <c r="I2499" s="7"/>
      <c r="J2499" s="7"/>
    </row>
    <row r="2500" spans="1:10" x14ac:dyDescent="0.3">
      <c r="C2500" s="9" t="s">
        <v>12</v>
      </c>
      <c r="D2500" s="10">
        <v>45810</v>
      </c>
      <c r="E2500" t="s">
        <v>2267</v>
      </c>
      <c r="F2500" s="11" t="s">
        <v>2268</v>
      </c>
      <c r="G2500" s="8">
        <v>466.25</v>
      </c>
      <c r="H2500" s="8">
        <v>0</v>
      </c>
      <c r="I2500" s="8">
        <f>G2500-H2500</f>
        <v>466.25</v>
      </c>
      <c r="J2500" s="12"/>
    </row>
    <row r="2501" spans="1:10" x14ac:dyDescent="0.3">
      <c r="C2501" s="9" t="s">
        <v>12</v>
      </c>
      <c r="D2501" s="10">
        <v>45847</v>
      </c>
      <c r="E2501" t="s">
        <v>886</v>
      </c>
      <c r="F2501" s="11" t="s">
        <v>14</v>
      </c>
      <c r="G2501" s="8">
        <v>0</v>
      </c>
      <c r="H2501" s="8">
        <v>466.25</v>
      </c>
      <c r="I2501" s="8">
        <f t="shared" ref="I2501:I2507" si="97">G2501-H2501+I2500</f>
        <v>0</v>
      </c>
      <c r="J2501" s="12">
        <v>572000007</v>
      </c>
    </row>
    <row r="2502" spans="1:10" x14ac:dyDescent="0.3">
      <c r="C2502" s="9"/>
      <c r="D2502" s="10">
        <v>45869</v>
      </c>
      <c r="E2502" t="s">
        <v>2269</v>
      </c>
      <c r="F2502" s="11" t="s">
        <v>2270</v>
      </c>
      <c r="G2502" s="8">
        <v>523.1</v>
      </c>
      <c r="H2502" s="8">
        <v>0</v>
      </c>
      <c r="I2502" s="8">
        <f t="shared" si="97"/>
        <v>523.1</v>
      </c>
      <c r="J2502" s="12"/>
    </row>
    <row r="2503" spans="1:10" x14ac:dyDescent="0.3">
      <c r="C2503" s="9"/>
      <c r="D2503" s="10">
        <v>45875</v>
      </c>
      <c r="E2503" t="s">
        <v>2271</v>
      </c>
      <c r="F2503" s="11" t="s">
        <v>2272</v>
      </c>
      <c r="G2503" s="8">
        <v>1206.5999999999999</v>
      </c>
      <c r="H2503" s="8">
        <v>0</v>
      </c>
      <c r="I2503" s="8">
        <f t="shared" si="97"/>
        <v>1729.6999999999998</v>
      </c>
      <c r="J2503" s="12"/>
    </row>
    <row r="2504" spans="1:10" x14ac:dyDescent="0.3">
      <c r="C2504" s="9"/>
      <c r="D2504" s="10">
        <v>45900</v>
      </c>
      <c r="E2504" t="s">
        <v>2273</v>
      </c>
      <c r="F2504" s="11" t="s">
        <v>2274</v>
      </c>
      <c r="G2504" s="8">
        <v>1334.03</v>
      </c>
      <c r="H2504" s="8">
        <v>0</v>
      </c>
      <c r="I2504" s="8">
        <f t="shared" si="97"/>
        <v>3063.7299999999996</v>
      </c>
      <c r="J2504" s="12"/>
    </row>
    <row r="2505" spans="1:10" x14ac:dyDescent="0.3">
      <c r="C2505" s="9"/>
      <c r="D2505" s="10">
        <v>45912</v>
      </c>
      <c r="E2505" t="s">
        <v>2275</v>
      </c>
      <c r="F2505" s="11" t="s">
        <v>2276</v>
      </c>
      <c r="G2505" s="8">
        <v>2421.6999999999998</v>
      </c>
      <c r="H2505" s="8">
        <v>0</v>
      </c>
      <c r="I2505" s="8">
        <f t="shared" si="97"/>
        <v>5485.4299999999994</v>
      </c>
      <c r="J2505" s="12"/>
    </row>
    <row r="2506" spans="1:10" x14ac:dyDescent="0.3">
      <c r="C2506" s="9"/>
      <c r="D2506" s="10">
        <v>45918</v>
      </c>
      <c r="E2506" t="s">
        <v>886</v>
      </c>
      <c r="F2506" s="11" t="s">
        <v>14</v>
      </c>
      <c r="G2506" s="8">
        <v>0</v>
      </c>
      <c r="H2506" s="8">
        <v>1206.5999999999999</v>
      </c>
      <c r="I2506" s="8">
        <f t="shared" si="97"/>
        <v>4278.83</v>
      </c>
      <c r="J2506" s="12">
        <v>572000007</v>
      </c>
    </row>
    <row r="2507" spans="1:10" x14ac:dyDescent="0.3">
      <c r="C2507" s="9"/>
      <c r="D2507" s="10">
        <v>45918</v>
      </c>
      <c r="E2507" t="s">
        <v>886</v>
      </c>
      <c r="F2507" s="11" t="s">
        <v>14</v>
      </c>
      <c r="G2507" s="8">
        <v>0</v>
      </c>
      <c r="H2507" s="8">
        <v>523.1</v>
      </c>
      <c r="I2507" s="8">
        <f t="shared" si="97"/>
        <v>3755.73</v>
      </c>
      <c r="J2507" s="12">
        <v>572000007</v>
      </c>
    </row>
    <row r="2508" spans="1:10" x14ac:dyDescent="0.3">
      <c r="E2508" s="4" t="s">
        <v>116</v>
      </c>
      <c r="G2508" s="8">
        <f>SUM(G2500:G2507)</f>
        <v>5951.6799999999994</v>
      </c>
      <c r="H2508" s="8">
        <f>SUM(H2500:H2507)</f>
        <v>2195.9499999999998</v>
      </c>
      <c r="I2508" s="8">
        <f>G2508-H2508</f>
        <v>3755.7299999999996</v>
      </c>
    </row>
    <row r="2510" spans="1:10" x14ac:dyDescent="0.3">
      <c r="A2510" s="5">
        <v>430360452</v>
      </c>
      <c r="B2510" s="6" t="s">
        <v>2277</v>
      </c>
      <c r="C2510" s="7"/>
      <c r="D2510" s="7"/>
      <c r="E2510" s="7"/>
      <c r="F2510" s="7"/>
      <c r="G2510" s="7"/>
      <c r="H2510" s="7"/>
      <c r="I2510" s="7"/>
      <c r="J2510" s="7"/>
    </row>
    <row r="2511" spans="1:10" x14ac:dyDescent="0.3">
      <c r="E2511" s="4" t="s">
        <v>11</v>
      </c>
      <c r="G2511" s="8">
        <v>1009.49</v>
      </c>
      <c r="H2511" s="8">
        <v>0</v>
      </c>
      <c r="I2511" s="8">
        <f>G2511-H2511</f>
        <v>1009.49</v>
      </c>
    </row>
    <row r="2512" spans="1:10" x14ac:dyDescent="0.3">
      <c r="C2512" s="9" t="s">
        <v>12</v>
      </c>
      <c r="D2512" s="10">
        <v>45694</v>
      </c>
      <c r="E2512" t="s">
        <v>2278</v>
      </c>
      <c r="F2512" s="11" t="s">
        <v>2279</v>
      </c>
      <c r="G2512" s="8">
        <v>102.85</v>
      </c>
      <c r="H2512" s="8">
        <v>0</v>
      </c>
      <c r="I2512" s="8">
        <f t="shared" ref="I2512:I2537" si="98">G2512-H2512+I2511</f>
        <v>1112.3399999999999</v>
      </c>
      <c r="J2512" s="12"/>
    </row>
    <row r="2513" spans="3:10" x14ac:dyDescent="0.3">
      <c r="C2513" s="9" t="s">
        <v>12</v>
      </c>
      <c r="D2513" s="10">
        <v>45708</v>
      </c>
      <c r="E2513" t="s">
        <v>108</v>
      </c>
      <c r="F2513" s="11" t="s">
        <v>14</v>
      </c>
      <c r="G2513" s="8">
        <v>0</v>
      </c>
      <c r="H2513" s="8">
        <v>1009.49</v>
      </c>
      <c r="I2513" s="8">
        <f t="shared" si="98"/>
        <v>102.84999999999991</v>
      </c>
      <c r="J2513" s="12">
        <v>572000007</v>
      </c>
    </row>
    <row r="2514" spans="3:10" x14ac:dyDescent="0.3">
      <c r="C2514" s="9" t="s">
        <v>12</v>
      </c>
      <c r="D2514" s="10">
        <v>45709</v>
      </c>
      <c r="E2514" t="s">
        <v>2280</v>
      </c>
      <c r="F2514" s="11" t="s">
        <v>2281</v>
      </c>
      <c r="G2514" s="8">
        <v>133.1</v>
      </c>
      <c r="H2514" s="8">
        <v>0</v>
      </c>
      <c r="I2514" s="8">
        <f t="shared" si="98"/>
        <v>235.9499999999999</v>
      </c>
      <c r="J2514" s="12"/>
    </row>
    <row r="2515" spans="3:10" x14ac:dyDescent="0.3">
      <c r="C2515" s="9" t="s">
        <v>12</v>
      </c>
      <c r="D2515" s="10">
        <v>45715</v>
      </c>
      <c r="E2515" t="s">
        <v>2282</v>
      </c>
      <c r="F2515" s="11" t="s">
        <v>2283</v>
      </c>
      <c r="G2515" s="8">
        <v>369.23</v>
      </c>
      <c r="H2515" s="8">
        <v>0</v>
      </c>
      <c r="I2515" s="8">
        <f t="shared" si="98"/>
        <v>605.17999999999995</v>
      </c>
      <c r="J2515" s="12"/>
    </row>
    <row r="2516" spans="3:10" x14ac:dyDescent="0.3">
      <c r="C2516" s="9" t="s">
        <v>12</v>
      </c>
      <c r="D2516" s="10">
        <v>45721</v>
      </c>
      <c r="E2516" t="s">
        <v>2284</v>
      </c>
      <c r="F2516" s="11" t="s">
        <v>2285</v>
      </c>
      <c r="G2516" s="8">
        <v>62.32</v>
      </c>
      <c r="H2516" s="8">
        <v>0</v>
      </c>
      <c r="I2516" s="8">
        <f t="shared" si="98"/>
        <v>667.5</v>
      </c>
      <c r="J2516" s="12"/>
    </row>
    <row r="2517" spans="3:10" x14ac:dyDescent="0.3">
      <c r="C2517" s="9" t="s">
        <v>12</v>
      </c>
      <c r="D2517" s="10">
        <v>45747</v>
      </c>
      <c r="E2517" t="s">
        <v>2286</v>
      </c>
      <c r="F2517" s="11" t="s">
        <v>2287</v>
      </c>
      <c r="G2517" s="8">
        <v>133.1</v>
      </c>
      <c r="H2517" s="8">
        <v>0</v>
      </c>
      <c r="I2517" s="8">
        <f t="shared" si="98"/>
        <v>800.6</v>
      </c>
      <c r="J2517" s="12"/>
    </row>
    <row r="2518" spans="3:10" x14ac:dyDescent="0.3">
      <c r="C2518" s="9" t="s">
        <v>12</v>
      </c>
      <c r="D2518" s="10">
        <v>45756</v>
      </c>
      <c r="E2518" t="s">
        <v>2288</v>
      </c>
      <c r="F2518" s="11" t="s">
        <v>2289</v>
      </c>
      <c r="G2518" s="8">
        <v>133.1</v>
      </c>
      <c r="H2518" s="8">
        <v>0</v>
      </c>
      <c r="I2518" s="8">
        <f t="shared" si="98"/>
        <v>933.7</v>
      </c>
      <c r="J2518" s="12"/>
    </row>
    <row r="2519" spans="3:10" x14ac:dyDescent="0.3">
      <c r="C2519" s="9" t="s">
        <v>12</v>
      </c>
      <c r="D2519" s="10">
        <v>45756</v>
      </c>
      <c r="E2519" t="s">
        <v>2290</v>
      </c>
      <c r="F2519" s="11" t="s">
        <v>2291</v>
      </c>
      <c r="G2519" s="8">
        <v>133.1</v>
      </c>
      <c r="H2519" s="8">
        <v>0</v>
      </c>
      <c r="I2519" s="8">
        <f t="shared" si="98"/>
        <v>1066.8</v>
      </c>
      <c r="J2519" s="12"/>
    </row>
    <row r="2520" spans="3:10" x14ac:dyDescent="0.3">
      <c r="C2520" s="9" t="s">
        <v>12</v>
      </c>
      <c r="D2520" s="10">
        <v>45764</v>
      </c>
      <c r="E2520" t="s">
        <v>305</v>
      </c>
      <c r="F2520" s="11" t="s">
        <v>14</v>
      </c>
      <c r="G2520" s="8">
        <v>0</v>
      </c>
      <c r="H2520" s="8">
        <v>102.85</v>
      </c>
      <c r="I2520" s="8">
        <f t="shared" si="98"/>
        <v>963.94999999999993</v>
      </c>
      <c r="J2520" s="12">
        <v>572000007</v>
      </c>
    </row>
    <row r="2521" spans="3:10" x14ac:dyDescent="0.3">
      <c r="C2521" s="9"/>
      <c r="D2521" s="10">
        <v>45770</v>
      </c>
      <c r="E2521" t="s">
        <v>2292</v>
      </c>
      <c r="F2521" s="11" t="s">
        <v>2293</v>
      </c>
      <c r="G2521" s="8">
        <v>236.58</v>
      </c>
      <c r="H2521" s="8">
        <v>0</v>
      </c>
      <c r="I2521" s="8">
        <f t="shared" si="98"/>
        <v>1200.53</v>
      </c>
      <c r="J2521" s="12"/>
    </row>
    <row r="2522" spans="3:10" x14ac:dyDescent="0.3">
      <c r="C2522" s="9"/>
      <c r="D2522" s="10">
        <v>45776</v>
      </c>
      <c r="E2522" t="s">
        <v>2294</v>
      </c>
      <c r="F2522" s="11" t="s">
        <v>2295</v>
      </c>
      <c r="G2522" s="8">
        <v>569.23</v>
      </c>
      <c r="H2522" s="8">
        <v>0</v>
      </c>
      <c r="I2522" s="8">
        <f t="shared" si="98"/>
        <v>1769.76</v>
      </c>
      <c r="J2522" s="12"/>
    </row>
    <row r="2523" spans="3:10" x14ac:dyDescent="0.3">
      <c r="C2523" s="9" t="s">
        <v>12</v>
      </c>
      <c r="D2523" s="10">
        <v>45797</v>
      </c>
      <c r="E2523" t="s">
        <v>305</v>
      </c>
      <c r="F2523" s="11" t="s">
        <v>14</v>
      </c>
      <c r="G2523" s="8">
        <v>0</v>
      </c>
      <c r="H2523" s="8">
        <v>564.65</v>
      </c>
      <c r="I2523" s="8">
        <f t="shared" si="98"/>
        <v>1205.1100000000001</v>
      </c>
      <c r="J2523" s="12">
        <v>572000007</v>
      </c>
    </row>
    <row r="2524" spans="3:10" x14ac:dyDescent="0.3">
      <c r="C2524" s="9"/>
      <c r="D2524" s="10">
        <v>45806</v>
      </c>
      <c r="E2524" t="s">
        <v>2296</v>
      </c>
      <c r="F2524" s="11" t="s">
        <v>2297</v>
      </c>
      <c r="G2524" s="8">
        <v>1213.5999999999999</v>
      </c>
      <c r="H2524" s="8">
        <v>0</v>
      </c>
      <c r="I2524" s="8">
        <f t="shared" si="98"/>
        <v>2418.71</v>
      </c>
      <c r="J2524" s="12"/>
    </row>
    <row r="2525" spans="3:10" x14ac:dyDescent="0.3">
      <c r="C2525" s="9"/>
      <c r="D2525" s="10">
        <v>45827</v>
      </c>
      <c r="E2525" t="s">
        <v>2298</v>
      </c>
      <c r="F2525" s="11" t="s">
        <v>2299</v>
      </c>
      <c r="G2525" s="8">
        <v>1936.08</v>
      </c>
      <c r="H2525" s="8">
        <v>0</v>
      </c>
      <c r="I2525" s="8">
        <f t="shared" si="98"/>
        <v>4354.79</v>
      </c>
      <c r="J2525" s="12"/>
    </row>
    <row r="2526" spans="3:10" x14ac:dyDescent="0.3">
      <c r="C2526" s="9" t="s">
        <v>12</v>
      </c>
      <c r="D2526" s="10">
        <v>45827</v>
      </c>
      <c r="E2526" t="s">
        <v>108</v>
      </c>
      <c r="F2526" s="11" t="s">
        <v>14</v>
      </c>
      <c r="G2526" s="8">
        <v>0</v>
      </c>
      <c r="H2526" s="8">
        <v>399.3</v>
      </c>
      <c r="I2526" s="8">
        <f t="shared" si="98"/>
        <v>3955.49</v>
      </c>
      <c r="J2526" s="12">
        <v>572000007</v>
      </c>
    </row>
    <row r="2527" spans="3:10" x14ac:dyDescent="0.3">
      <c r="C2527" s="9"/>
      <c r="D2527" s="10">
        <v>45828</v>
      </c>
      <c r="E2527" t="s">
        <v>2300</v>
      </c>
      <c r="F2527" s="11" t="s">
        <v>2301</v>
      </c>
      <c r="G2527" s="8">
        <v>1121.3499999999999</v>
      </c>
      <c r="H2527" s="8">
        <v>0</v>
      </c>
      <c r="I2527" s="8">
        <f t="shared" si="98"/>
        <v>5076.84</v>
      </c>
      <c r="J2527" s="12"/>
    </row>
    <row r="2528" spans="3:10" x14ac:dyDescent="0.3">
      <c r="C2528" s="9"/>
      <c r="D2528" s="10">
        <v>45833</v>
      </c>
      <c r="E2528" t="s">
        <v>2302</v>
      </c>
      <c r="F2528" s="11" t="s">
        <v>2303</v>
      </c>
      <c r="G2528" s="8">
        <v>133.1</v>
      </c>
      <c r="H2528" s="8">
        <v>0</v>
      </c>
      <c r="I2528" s="8">
        <f t="shared" si="98"/>
        <v>5209.9400000000005</v>
      </c>
      <c r="J2528" s="12"/>
    </row>
    <row r="2529" spans="1:10" x14ac:dyDescent="0.3">
      <c r="C2529" s="9"/>
      <c r="D2529" s="10">
        <v>45845</v>
      </c>
      <c r="E2529" t="s">
        <v>2304</v>
      </c>
      <c r="F2529" s="11" t="s">
        <v>2305</v>
      </c>
      <c r="G2529" s="8">
        <v>242.68</v>
      </c>
      <c r="H2529" s="8">
        <v>0</v>
      </c>
      <c r="I2529" s="8">
        <f t="shared" si="98"/>
        <v>5452.6200000000008</v>
      </c>
      <c r="J2529" s="12"/>
    </row>
    <row r="2530" spans="1:10" x14ac:dyDescent="0.3">
      <c r="C2530" s="9"/>
      <c r="D2530" s="10">
        <v>45859</v>
      </c>
      <c r="E2530" t="s">
        <v>2306</v>
      </c>
      <c r="F2530" s="11" t="s">
        <v>2307</v>
      </c>
      <c r="G2530" s="8">
        <v>1112.1600000000001</v>
      </c>
      <c r="H2530" s="8">
        <v>0</v>
      </c>
      <c r="I2530" s="8">
        <f t="shared" si="98"/>
        <v>6564.7800000000007</v>
      </c>
      <c r="J2530" s="12"/>
    </row>
    <row r="2531" spans="1:10" x14ac:dyDescent="0.3">
      <c r="C2531" s="9"/>
      <c r="D2531" s="10">
        <v>45859</v>
      </c>
      <c r="E2531" t="s">
        <v>2308</v>
      </c>
      <c r="F2531" s="11" t="s">
        <v>14</v>
      </c>
      <c r="G2531" s="8">
        <v>0</v>
      </c>
      <c r="H2531" s="8">
        <v>805.81</v>
      </c>
      <c r="I2531" s="8">
        <f t="shared" si="98"/>
        <v>5758.9700000000012</v>
      </c>
      <c r="J2531" s="12">
        <v>572000007</v>
      </c>
    </row>
    <row r="2532" spans="1:10" x14ac:dyDescent="0.3">
      <c r="C2532" s="9"/>
      <c r="D2532" s="10">
        <v>45870</v>
      </c>
      <c r="E2532" t="s">
        <v>305</v>
      </c>
      <c r="F2532" s="11" t="s">
        <v>14</v>
      </c>
      <c r="G2532" s="8">
        <v>0</v>
      </c>
      <c r="H2532" s="8">
        <v>1213.5999999999999</v>
      </c>
      <c r="I2532" s="8">
        <f t="shared" si="98"/>
        <v>4545.3700000000008</v>
      </c>
      <c r="J2532" s="12">
        <v>572000007</v>
      </c>
    </row>
    <row r="2533" spans="1:10" x14ac:dyDescent="0.3">
      <c r="C2533" s="9"/>
      <c r="D2533" s="10">
        <v>45873</v>
      </c>
      <c r="E2533" t="s">
        <v>2309</v>
      </c>
      <c r="F2533" s="11" t="s">
        <v>2310</v>
      </c>
      <c r="G2533" s="8">
        <v>229.9</v>
      </c>
      <c r="H2533" s="8">
        <v>0</v>
      </c>
      <c r="I2533" s="8">
        <f t="shared" si="98"/>
        <v>4775.2700000000004</v>
      </c>
      <c r="J2533" s="12"/>
    </row>
    <row r="2534" spans="1:10" x14ac:dyDescent="0.3">
      <c r="C2534" s="9"/>
      <c r="D2534" s="10">
        <v>45894</v>
      </c>
      <c r="E2534" t="s">
        <v>305</v>
      </c>
      <c r="F2534" s="11" t="s">
        <v>14</v>
      </c>
      <c r="G2534" s="8">
        <v>0</v>
      </c>
      <c r="H2534" s="8">
        <v>1936.08</v>
      </c>
      <c r="I2534" s="8">
        <f t="shared" si="98"/>
        <v>2839.1900000000005</v>
      </c>
      <c r="J2534" s="12">
        <v>572000007</v>
      </c>
    </row>
    <row r="2535" spans="1:10" x14ac:dyDescent="0.3">
      <c r="C2535" s="9"/>
      <c r="D2535" s="10">
        <v>45896</v>
      </c>
      <c r="E2535" t="s">
        <v>2311</v>
      </c>
      <c r="F2535" s="11" t="s">
        <v>2312</v>
      </c>
      <c r="G2535" s="8">
        <v>2466.29</v>
      </c>
      <c r="H2535" s="8">
        <v>0</v>
      </c>
      <c r="I2535" s="8">
        <f t="shared" si="98"/>
        <v>5305.4800000000005</v>
      </c>
      <c r="J2535" s="12"/>
    </row>
    <row r="2536" spans="1:10" x14ac:dyDescent="0.3">
      <c r="C2536" s="9"/>
      <c r="D2536" s="10">
        <v>45909</v>
      </c>
      <c r="E2536" t="s">
        <v>2313</v>
      </c>
      <c r="F2536" s="11" t="s">
        <v>2314</v>
      </c>
      <c r="G2536" s="8">
        <v>177.39</v>
      </c>
      <c r="H2536" s="8">
        <v>0</v>
      </c>
      <c r="I2536" s="8">
        <f t="shared" si="98"/>
        <v>5482.8700000000008</v>
      </c>
      <c r="J2536" s="12"/>
    </row>
    <row r="2537" spans="1:10" x14ac:dyDescent="0.3">
      <c r="C2537" s="9"/>
      <c r="D2537" s="10">
        <v>45919</v>
      </c>
      <c r="E2537" t="s">
        <v>2315</v>
      </c>
      <c r="F2537" s="11" t="s">
        <v>14</v>
      </c>
      <c r="G2537" s="8">
        <v>0</v>
      </c>
      <c r="H2537" s="8">
        <v>1497.13</v>
      </c>
      <c r="I2537" s="8">
        <f t="shared" si="98"/>
        <v>3985.7400000000007</v>
      </c>
      <c r="J2537" s="12">
        <v>572000007</v>
      </c>
    </row>
    <row r="2538" spans="1:10" x14ac:dyDescent="0.3">
      <c r="E2538" s="4" t="s">
        <v>116</v>
      </c>
      <c r="G2538" s="8">
        <f>SUM(G2511:G2537)</f>
        <v>11514.649999999998</v>
      </c>
      <c r="H2538" s="8">
        <f>SUM(H2511:H2537)</f>
        <v>7528.91</v>
      </c>
      <c r="I2538" s="8">
        <f>G2538-H2538</f>
        <v>3985.739999999998</v>
      </c>
    </row>
    <row r="2540" spans="1:10" x14ac:dyDescent="0.3">
      <c r="A2540" s="5">
        <v>430380426</v>
      </c>
      <c r="B2540" s="6" t="s">
        <v>2316</v>
      </c>
      <c r="C2540" s="7"/>
      <c r="D2540" s="7"/>
      <c r="E2540" s="7"/>
      <c r="F2540" s="7"/>
      <c r="G2540" s="7"/>
      <c r="H2540" s="7"/>
      <c r="I2540" s="7"/>
      <c r="J2540" s="7"/>
    </row>
    <row r="2541" spans="1:10" x14ac:dyDescent="0.3">
      <c r="C2541" s="9"/>
      <c r="D2541" s="10">
        <v>45771</v>
      </c>
      <c r="E2541" t="s">
        <v>2317</v>
      </c>
      <c r="F2541" s="11" t="s">
        <v>2318</v>
      </c>
      <c r="G2541" s="8">
        <v>338.71</v>
      </c>
      <c r="H2541" s="8">
        <v>0</v>
      </c>
      <c r="I2541" s="8">
        <f>G2541-H2541</f>
        <v>338.71</v>
      </c>
      <c r="J2541" s="12"/>
    </row>
    <row r="2542" spans="1:10" x14ac:dyDescent="0.3">
      <c r="C2542" s="9"/>
      <c r="D2542" s="10">
        <v>45798</v>
      </c>
      <c r="E2542" t="s">
        <v>1715</v>
      </c>
      <c r="F2542" s="11" t="s">
        <v>14</v>
      </c>
      <c r="G2542" s="8">
        <v>0</v>
      </c>
      <c r="H2542" s="8">
        <v>337.75</v>
      </c>
      <c r="I2542" s="8">
        <f>G2542-H2542+I2541</f>
        <v>0.95999999999997954</v>
      </c>
      <c r="J2542" s="12">
        <v>572000002</v>
      </c>
    </row>
    <row r="2543" spans="1:10" x14ac:dyDescent="0.3">
      <c r="C2543" s="9"/>
      <c r="D2543" s="10">
        <v>45868</v>
      </c>
      <c r="E2543" t="s">
        <v>2319</v>
      </c>
      <c r="F2543" s="11" t="s">
        <v>2320</v>
      </c>
      <c r="G2543" s="8">
        <v>435.14</v>
      </c>
      <c r="H2543" s="8">
        <v>0</v>
      </c>
      <c r="I2543" s="8">
        <f>G2543-H2543+I2542</f>
        <v>436.09999999999997</v>
      </c>
      <c r="J2543" s="12"/>
    </row>
    <row r="2544" spans="1:10" x14ac:dyDescent="0.3">
      <c r="C2544" s="9"/>
      <c r="D2544" s="10">
        <v>45919</v>
      </c>
      <c r="E2544" t="s">
        <v>2321</v>
      </c>
      <c r="F2544" s="11" t="s">
        <v>2322</v>
      </c>
      <c r="G2544" s="8">
        <v>336.9</v>
      </c>
      <c r="H2544" s="8">
        <v>0</v>
      </c>
      <c r="I2544" s="8">
        <f>G2544-H2544+I2543</f>
        <v>773</v>
      </c>
      <c r="J2544" s="12"/>
    </row>
    <row r="2545" spans="1:10" x14ac:dyDescent="0.3">
      <c r="E2545" s="4" t="s">
        <v>116</v>
      </c>
      <c r="G2545" s="8">
        <f>SUM(G2541:G2544)</f>
        <v>1110.75</v>
      </c>
      <c r="H2545" s="8">
        <f>SUM(H2541:H2544)</f>
        <v>337.75</v>
      </c>
      <c r="I2545" s="8">
        <f>G2545-H2545</f>
        <v>773</v>
      </c>
    </row>
    <row r="2547" spans="1:10" x14ac:dyDescent="0.3">
      <c r="A2547" s="5">
        <v>430510060</v>
      </c>
      <c r="B2547" s="6" t="s">
        <v>2323</v>
      </c>
      <c r="C2547" s="7"/>
      <c r="D2547" s="7"/>
      <c r="E2547" s="7"/>
      <c r="F2547" s="7"/>
      <c r="G2547" s="7"/>
      <c r="H2547" s="7"/>
      <c r="I2547" s="7"/>
      <c r="J2547" s="7"/>
    </row>
    <row r="2548" spans="1:10" x14ac:dyDescent="0.3">
      <c r="E2548" s="4" t="s">
        <v>11</v>
      </c>
      <c r="G2548" s="8">
        <v>0</v>
      </c>
      <c r="H2548" s="8">
        <v>124.93</v>
      </c>
      <c r="I2548" s="8">
        <f>G2548-H2548</f>
        <v>-124.93</v>
      </c>
    </row>
    <row r="2549" spans="1:10" x14ac:dyDescent="0.3">
      <c r="C2549" s="9" t="s">
        <v>12</v>
      </c>
      <c r="D2549" s="10">
        <v>45678</v>
      </c>
      <c r="E2549" t="s">
        <v>2324</v>
      </c>
      <c r="F2549" s="11" t="s">
        <v>2325</v>
      </c>
      <c r="G2549" s="8">
        <v>341.68</v>
      </c>
      <c r="H2549" s="8">
        <v>0</v>
      </c>
      <c r="I2549" s="8">
        <f t="shared" ref="I2549:I2561" si="99">G2549-H2549+I2548</f>
        <v>216.75</v>
      </c>
      <c r="J2549" s="12"/>
    </row>
    <row r="2550" spans="1:10" x14ac:dyDescent="0.3">
      <c r="C2550" s="9" t="s">
        <v>12</v>
      </c>
      <c r="D2550" s="10">
        <v>45680</v>
      </c>
      <c r="E2550" t="s">
        <v>1126</v>
      </c>
      <c r="F2550" s="11" t="s">
        <v>14</v>
      </c>
      <c r="G2550" s="8">
        <v>0</v>
      </c>
      <c r="H2550" s="8">
        <v>341.68</v>
      </c>
      <c r="I2550" s="8">
        <f t="shared" si="99"/>
        <v>-124.93</v>
      </c>
      <c r="J2550" s="12"/>
    </row>
    <row r="2551" spans="1:10" x14ac:dyDescent="0.3">
      <c r="C2551" s="9" t="s">
        <v>12</v>
      </c>
      <c r="D2551" s="10">
        <v>45684</v>
      </c>
      <c r="E2551" t="s">
        <v>2326</v>
      </c>
      <c r="F2551" s="11" t="s">
        <v>2327</v>
      </c>
      <c r="G2551" s="8">
        <v>107.09</v>
      </c>
      <c r="H2551" s="8">
        <v>0</v>
      </c>
      <c r="I2551" s="8">
        <f t="shared" si="99"/>
        <v>-17.840000000000003</v>
      </c>
      <c r="J2551" s="12"/>
    </row>
    <row r="2552" spans="1:10" x14ac:dyDescent="0.3">
      <c r="C2552" s="9" t="s">
        <v>12</v>
      </c>
      <c r="D2552" s="10">
        <v>45684</v>
      </c>
      <c r="E2552" t="s">
        <v>1126</v>
      </c>
      <c r="F2552" s="11" t="s">
        <v>14</v>
      </c>
      <c r="G2552" s="8">
        <v>0</v>
      </c>
      <c r="H2552" s="8">
        <v>107.09</v>
      </c>
      <c r="I2552" s="8">
        <f t="shared" si="99"/>
        <v>-124.93</v>
      </c>
      <c r="J2552" s="12"/>
    </row>
    <row r="2553" spans="1:10" x14ac:dyDescent="0.3">
      <c r="C2553" s="9" t="s">
        <v>12</v>
      </c>
      <c r="D2553" s="10">
        <v>45698</v>
      </c>
      <c r="E2553" t="s">
        <v>2328</v>
      </c>
      <c r="F2553" s="11" t="s">
        <v>2329</v>
      </c>
      <c r="G2553" s="8">
        <v>107.09</v>
      </c>
      <c r="H2553" s="8">
        <v>0</v>
      </c>
      <c r="I2553" s="8">
        <f t="shared" si="99"/>
        <v>-17.840000000000003</v>
      </c>
      <c r="J2553" s="12"/>
    </row>
    <row r="2554" spans="1:10" x14ac:dyDescent="0.3">
      <c r="C2554" s="9" t="s">
        <v>12</v>
      </c>
      <c r="D2554" s="10">
        <v>45698</v>
      </c>
      <c r="E2554" t="s">
        <v>1059</v>
      </c>
      <c r="F2554" s="11" t="s">
        <v>14</v>
      </c>
      <c r="G2554" s="8">
        <v>0</v>
      </c>
      <c r="H2554" s="8">
        <v>107.09</v>
      </c>
      <c r="I2554" s="8">
        <f t="shared" si="99"/>
        <v>-124.93</v>
      </c>
      <c r="J2554" s="12"/>
    </row>
    <row r="2555" spans="1:10" x14ac:dyDescent="0.3">
      <c r="C2555" s="9" t="s">
        <v>12</v>
      </c>
      <c r="D2555" s="10">
        <v>45819</v>
      </c>
      <c r="E2555" t="s">
        <v>2330</v>
      </c>
      <c r="F2555" s="11" t="s">
        <v>2331</v>
      </c>
      <c r="G2555" s="8">
        <v>343.44</v>
      </c>
      <c r="H2555" s="8">
        <v>0</v>
      </c>
      <c r="I2555" s="8">
        <f t="shared" si="99"/>
        <v>218.51</v>
      </c>
      <c r="J2555" s="12"/>
    </row>
    <row r="2556" spans="1:10" x14ac:dyDescent="0.3">
      <c r="C2556" s="9" t="s">
        <v>12</v>
      </c>
      <c r="D2556" s="10">
        <v>45849</v>
      </c>
      <c r="E2556" t="s">
        <v>1059</v>
      </c>
      <c r="F2556" s="11" t="s">
        <v>14</v>
      </c>
      <c r="G2556" s="8">
        <v>0</v>
      </c>
      <c r="H2556" s="8">
        <v>343.44</v>
      </c>
      <c r="I2556" s="8">
        <f t="shared" si="99"/>
        <v>-124.93</v>
      </c>
      <c r="J2556" s="12">
        <v>572000005</v>
      </c>
    </row>
    <row r="2557" spans="1:10" x14ac:dyDescent="0.3">
      <c r="C2557" s="9"/>
      <c r="D2557" s="10">
        <v>45860</v>
      </c>
      <c r="E2557" t="s">
        <v>2332</v>
      </c>
      <c r="F2557" s="11" t="s">
        <v>2333</v>
      </c>
      <c r="G2557" s="8">
        <v>470.55</v>
      </c>
      <c r="H2557" s="8">
        <v>0</v>
      </c>
      <c r="I2557" s="8">
        <f t="shared" si="99"/>
        <v>345.62</v>
      </c>
      <c r="J2557" s="12"/>
    </row>
    <row r="2558" spans="1:10" x14ac:dyDescent="0.3">
      <c r="C2558" s="9"/>
      <c r="D2558" s="10">
        <v>45880</v>
      </c>
      <c r="E2558" t="s">
        <v>2334</v>
      </c>
      <c r="F2558" s="11" t="s">
        <v>2335</v>
      </c>
      <c r="G2558" s="8">
        <v>35.909999999999997</v>
      </c>
      <c r="H2558" s="8">
        <v>0</v>
      </c>
      <c r="I2558" s="8">
        <f t="shared" si="99"/>
        <v>381.53</v>
      </c>
      <c r="J2558" s="12"/>
    </row>
    <row r="2559" spans="1:10" x14ac:dyDescent="0.3">
      <c r="C2559" s="9"/>
      <c r="D2559" s="10">
        <v>45890</v>
      </c>
      <c r="E2559" t="s">
        <v>1059</v>
      </c>
      <c r="F2559" s="11" t="s">
        <v>14</v>
      </c>
      <c r="G2559" s="8">
        <v>0</v>
      </c>
      <c r="H2559" s="8">
        <v>470.55</v>
      </c>
      <c r="I2559" s="8">
        <f t="shared" si="99"/>
        <v>-89.020000000000039</v>
      </c>
      <c r="J2559" s="12"/>
    </row>
    <row r="2560" spans="1:10" x14ac:dyDescent="0.3">
      <c r="C2560" s="9"/>
      <c r="D2560" s="10">
        <v>45900</v>
      </c>
      <c r="E2560" t="s">
        <v>2336</v>
      </c>
      <c r="F2560" s="11" t="s">
        <v>2337</v>
      </c>
      <c r="G2560" s="8">
        <v>329.82</v>
      </c>
      <c r="H2560" s="8">
        <v>0</v>
      </c>
      <c r="I2560" s="8">
        <f t="shared" si="99"/>
        <v>240.79999999999995</v>
      </c>
      <c r="J2560" s="12"/>
    </row>
    <row r="2561" spans="1:10" x14ac:dyDescent="0.3">
      <c r="C2561" s="9"/>
      <c r="D2561" s="10">
        <v>45910</v>
      </c>
      <c r="E2561" t="s">
        <v>1059</v>
      </c>
      <c r="F2561" s="11" t="s">
        <v>14</v>
      </c>
      <c r="G2561" s="8">
        <v>0</v>
      </c>
      <c r="H2561" s="8">
        <v>35.909999999999997</v>
      </c>
      <c r="I2561" s="8">
        <f t="shared" si="99"/>
        <v>204.88999999999996</v>
      </c>
      <c r="J2561" s="12"/>
    </row>
    <row r="2562" spans="1:10" x14ac:dyDescent="0.3">
      <c r="E2562" s="4" t="s">
        <v>116</v>
      </c>
      <c r="G2562" s="8">
        <f>SUM(G2548:G2561)</f>
        <v>1735.58</v>
      </c>
      <c r="H2562" s="8">
        <f>SUM(H2548:H2561)</f>
        <v>1530.69</v>
      </c>
      <c r="I2562" s="8">
        <f>G2562-H2562</f>
        <v>204.88999999999987</v>
      </c>
    </row>
    <row r="2564" spans="1:10" x14ac:dyDescent="0.3">
      <c r="A2564" s="5">
        <v>430510067</v>
      </c>
      <c r="B2564" s="6" t="s">
        <v>2338</v>
      </c>
      <c r="C2564" s="7"/>
      <c r="D2564" s="7"/>
      <c r="E2564" s="7"/>
      <c r="F2564" s="7"/>
      <c r="G2564" s="7"/>
      <c r="H2564" s="7"/>
      <c r="I2564" s="7"/>
      <c r="J2564" s="7"/>
    </row>
    <row r="2565" spans="1:10" x14ac:dyDescent="0.3">
      <c r="C2565" s="9" t="s">
        <v>12</v>
      </c>
      <c r="D2565" s="10">
        <v>45698</v>
      </c>
      <c r="E2565" t="s">
        <v>2339</v>
      </c>
      <c r="F2565" s="11" t="s">
        <v>2340</v>
      </c>
      <c r="G2565" s="8">
        <v>240.68</v>
      </c>
      <c r="H2565" s="8">
        <v>0</v>
      </c>
      <c r="I2565" s="8">
        <f>G2565-H2565</f>
        <v>240.68</v>
      </c>
      <c r="J2565" s="12"/>
    </row>
    <row r="2566" spans="1:10" x14ac:dyDescent="0.3">
      <c r="C2566" s="9" t="s">
        <v>12</v>
      </c>
      <c r="D2566" s="10">
        <v>45700</v>
      </c>
      <c r="E2566" t="s">
        <v>886</v>
      </c>
      <c r="F2566" s="11" t="s">
        <v>14</v>
      </c>
      <c r="G2566" s="8">
        <v>0</v>
      </c>
      <c r="H2566" s="8">
        <v>240.68</v>
      </c>
      <c r="I2566" s="8">
        <f>G2566-H2566+I2565</f>
        <v>0</v>
      </c>
      <c r="J2566" s="12">
        <v>572000002</v>
      </c>
    </row>
    <row r="2567" spans="1:10" x14ac:dyDescent="0.3">
      <c r="C2567" s="9" t="s">
        <v>12</v>
      </c>
      <c r="D2567" s="10">
        <v>45737</v>
      </c>
      <c r="E2567" t="s">
        <v>2341</v>
      </c>
      <c r="F2567" s="11" t="s">
        <v>2342</v>
      </c>
      <c r="G2567" s="8">
        <v>428.31</v>
      </c>
      <c r="H2567" s="8">
        <v>0</v>
      </c>
      <c r="I2567" s="8">
        <f>G2567-H2567+I2566</f>
        <v>428.31</v>
      </c>
      <c r="J2567" s="12"/>
    </row>
    <row r="2568" spans="1:10" x14ac:dyDescent="0.3">
      <c r="C2568" s="9" t="s">
        <v>12</v>
      </c>
      <c r="D2568" s="10">
        <v>45741</v>
      </c>
      <c r="E2568" t="s">
        <v>886</v>
      </c>
      <c r="F2568" s="11" t="s">
        <v>14</v>
      </c>
      <c r="G2568" s="8">
        <v>0</v>
      </c>
      <c r="H2568" s="8">
        <v>428.31</v>
      </c>
      <c r="I2568" s="8">
        <f>G2568-H2568+I2567</f>
        <v>0</v>
      </c>
      <c r="J2568" s="12">
        <v>572000007</v>
      </c>
    </row>
    <row r="2569" spans="1:10" x14ac:dyDescent="0.3">
      <c r="C2569" s="9"/>
      <c r="D2569" s="10">
        <v>45917</v>
      </c>
      <c r="E2569" t="s">
        <v>2343</v>
      </c>
      <c r="F2569" s="11" t="s">
        <v>2344</v>
      </c>
      <c r="G2569" s="8">
        <v>133.1</v>
      </c>
      <c r="H2569" s="8">
        <v>0</v>
      </c>
      <c r="I2569" s="8">
        <f>G2569-H2569+I2568</f>
        <v>133.1</v>
      </c>
      <c r="J2569" s="12"/>
    </row>
    <row r="2570" spans="1:10" x14ac:dyDescent="0.3">
      <c r="E2570" s="4" t="s">
        <v>116</v>
      </c>
      <c r="G2570" s="8">
        <f>SUM(G2565:G2569)</f>
        <v>802.09</v>
      </c>
      <c r="H2570" s="8">
        <f>SUM(H2565:H2569)</f>
        <v>668.99</v>
      </c>
      <c r="I2570" s="8">
        <f>G2570-H2570</f>
        <v>133.10000000000002</v>
      </c>
    </row>
    <row r="2572" spans="1:10" x14ac:dyDescent="0.3">
      <c r="A2572" s="5">
        <v>430510072</v>
      </c>
      <c r="B2572" s="6" t="s">
        <v>2345</v>
      </c>
      <c r="C2572" s="7"/>
      <c r="D2572" s="7"/>
      <c r="E2572" s="7"/>
      <c r="F2572" s="7"/>
      <c r="G2572" s="7"/>
      <c r="H2572" s="7"/>
      <c r="I2572" s="7"/>
      <c r="J2572" s="7"/>
    </row>
    <row r="2573" spans="1:10" x14ac:dyDescent="0.3">
      <c r="C2573" s="9"/>
      <c r="D2573" s="10">
        <v>45859</v>
      </c>
      <c r="E2573" t="s">
        <v>2346</v>
      </c>
      <c r="F2573" s="11" t="s">
        <v>2347</v>
      </c>
      <c r="G2573" s="8">
        <v>199.65</v>
      </c>
      <c r="H2573" s="8">
        <v>0</v>
      </c>
      <c r="I2573" s="8">
        <f>G2573-H2573</f>
        <v>199.65</v>
      </c>
      <c r="J2573" s="12"/>
    </row>
    <row r="2574" spans="1:10" x14ac:dyDescent="0.3">
      <c r="E2574" s="4" t="s">
        <v>116</v>
      </c>
      <c r="G2574" s="8">
        <f>G2573</f>
        <v>199.65</v>
      </c>
      <c r="H2574" s="8">
        <f>H2573</f>
        <v>0</v>
      </c>
      <c r="I2574" s="8">
        <f>G2574-H2574</f>
        <v>199.65</v>
      </c>
    </row>
    <row r="2576" spans="1:10" x14ac:dyDescent="0.3">
      <c r="A2576" s="5">
        <v>430510104</v>
      </c>
      <c r="B2576" s="6" t="s">
        <v>2348</v>
      </c>
      <c r="C2576" s="7"/>
      <c r="D2576" s="7"/>
      <c r="E2576" s="7"/>
      <c r="F2576" s="7"/>
      <c r="G2576" s="7"/>
      <c r="H2576" s="7"/>
      <c r="I2576" s="7"/>
      <c r="J2576" s="7"/>
    </row>
    <row r="2577" spans="3:10" x14ac:dyDescent="0.3">
      <c r="C2577" s="9" t="s">
        <v>12</v>
      </c>
      <c r="D2577" s="10">
        <v>45671</v>
      </c>
      <c r="E2577" t="s">
        <v>2349</v>
      </c>
      <c r="F2577" s="11" t="s">
        <v>2350</v>
      </c>
      <c r="G2577" s="8">
        <v>94.88</v>
      </c>
      <c r="H2577" s="8">
        <v>0</v>
      </c>
      <c r="I2577" s="8">
        <f>G2577-H2577</f>
        <v>94.88</v>
      </c>
      <c r="J2577" s="12"/>
    </row>
    <row r="2578" spans="3:10" x14ac:dyDescent="0.3">
      <c r="C2578" s="9" t="s">
        <v>12</v>
      </c>
      <c r="D2578" s="10">
        <v>45685</v>
      </c>
      <c r="E2578" t="s">
        <v>2351</v>
      </c>
      <c r="F2578" s="11" t="s">
        <v>2352</v>
      </c>
      <c r="G2578" s="8">
        <v>128.26</v>
      </c>
      <c r="H2578" s="8">
        <v>0</v>
      </c>
      <c r="I2578" s="8">
        <f t="shared" ref="I2578:I2593" si="100">G2578-H2578+I2577</f>
        <v>223.14</v>
      </c>
      <c r="J2578" s="12"/>
    </row>
    <row r="2579" spans="3:10" x14ac:dyDescent="0.3">
      <c r="C2579" s="9" t="s">
        <v>12</v>
      </c>
      <c r="D2579" s="10">
        <v>45705</v>
      </c>
      <c r="E2579" t="s">
        <v>2353</v>
      </c>
      <c r="F2579" s="11" t="s">
        <v>2354</v>
      </c>
      <c r="G2579" s="8">
        <v>156.09</v>
      </c>
      <c r="H2579" s="8">
        <v>0</v>
      </c>
      <c r="I2579" s="8">
        <f t="shared" si="100"/>
        <v>379.23</v>
      </c>
      <c r="J2579" s="12"/>
    </row>
    <row r="2580" spans="3:10" x14ac:dyDescent="0.3">
      <c r="C2580" s="9" t="s">
        <v>12</v>
      </c>
      <c r="D2580" s="10">
        <v>45706</v>
      </c>
      <c r="E2580" t="s">
        <v>886</v>
      </c>
      <c r="F2580" s="11" t="s">
        <v>14</v>
      </c>
      <c r="G2580" s="8">
        <v>0</v>
      </c>
      <c r="H2580" s="8">
        <v>94.88</v>
      </c>
      <c r="I2580" s="8">
        <f t="shared" si="100"/>
        <v>284.35000000000002</v>
      </c>
      <c r="J2580" s="12">
        <v>572000007</v>
      </c>
    </row>
    <row r="2581" spans="3:10" x14ac:dyDescent="0.3">
      <c r="C2581" s="9" t="s">
        <v>12</v>
      </c>
      <c r="D2581" s="10">
        <v>45721</v>
      </c>
      <c r="E2581" t="s">
        <v>886</v>
      </c>
      <c r="F2581" s="11" t="s">
        <v>14</v>
      </c>
      <c r="G2581" s="8">
        <v>0</v>
      </c>
      <c r="H2581" s="8">
        <v>128.26</v>
      </c>
      <c r="I2581" s="8">
        <f t="shared" si="100"/>
        <v>156.09000000000003</v>
      </c>
      <c r="J2581" s="12">
        <v>572000007</v>
      </c>
    </row>
    <row r="2582" spans="3:10" x14ac:dyDescent="0.3">
      <c r="C2582" s="9" t="s">
        <v>12</v>
      </c>
      <c r="D2582" s="10">
        <v>45730</v>
      </c>
      <c r="E2582" t="s">
        <v>2355</v>
      </c>
      <c r="F2582" s="11" t="s">
        <v>2356</v>
      </c>
      <c r="G2582" s="8">
        <v>183.92</v>
      </c>
      <c r="H2582" s="8">
        <v>0</v>
      </c>
      <c r="I2582" s="8">
        <f t="shared" si="100"/>
        <v>340.01</v>
      </c>
      <c r="J2582" s="12"/>
    </row>
    <row r="2583" spans="3:10" x14ac:dyDescent="0.3">
      <c r="C2583" s="9" t="s">
        <v>12</v>
      </c>
      <c r="D2583" s="10">
        <v>45737</v>
      </c>
      <c r="E2583" t="s">
        <v>886</v>
      </c>
      <c r="F2583" s="11" t="s">
        <v>14</v>
      </c>
      <c r="G2583" s="8">
        <v>0</v>
      </c>
      <c r="H2583" s="8">
        <v>156.09</v>
      </c>
      <c r="I2583" s="8">
        <f t="shared" si="100"/>
        <v>183.92</v>
      </c>
      <c r="J2583" s="12">
        <v>572000007</v>
      </c>
    </row>
    <row r="2584" spans="3:10" x14ac:dyDescent="0.3">
      <c r="C2584" s="9" t="s">
        <v>12</v>
      </c>
      <c r="D2584" s="10">
        <v>45740</v>
      </c>
      <c r="E2584" t="s">
        <v>2357</v>
      </c>
      <c r="F2584" s="11" t="s">
        <v>2358</v>
      </c>
      <c r="G2584" s="8">
        <v>196.19</v>
      </c>
      <c r="H2584" s="8">
        <v>0</v>
      </c>
      <c r="I2584" s="8">
        <f t="shared" si="100"/>
        <v>380.11</v>
      </c>
      <c r="J2584" s="12"/>
    </row>
    <row r="2585" spans="3:10" x14ac:dyDescent="0.3">
      <c r="C2585" s="9" t="s">
        <v>12</v>
      </c>
      <c r="D2585" s="10">
        <v>45740</v>
      </c>
      <c r="E2585" t="s">
        <v>2359</v>
      </c>
      <c r="F2585" s="11" t="s">
        <v>2360</v>
      </c>
      <c r="G2585" s="8">
        <v>16.510000000000002</v>
      </c>
      <c r="H2585" s="8">
        <v>0</v>
      </c>
      <c r="I2585" s="8">
        <f t="shared" si="100"/>
        <v>396.62</v>
      </c>
      <c r="J2585" s="12"/>
    </row>
    <row r="2586" spans="3:10" x14ac:dyDescent="0.3">
      <c r="C2586" s="9" t="s">
        <v>12</v>
      </c>
      <c r="D2586" s="10">
        <v>45747</v>
      </c>
      <c r="E2586" t="s">
        <v>2361</v>
      </c>
      <c r="F2586" s="11" t="s">
        <v>2362</v>
      </c>
      <c r="G2586" s="8">
        <v>134.01</v>
      </c>
      <c r="H2586" s="8">
        <v>0</v>
      </c>
      <c r="I2586" s="8">
        <f t="shared" si="100"/>
        <v>530.63</v>
      </c>
      <c r="J2586" s="12"/>
    </row>
    <row r="2587" spans="3:10" x14ac:dyDescent="0.3">
      <c r="C2587" s="9" t="s">
        <v>12</v>
      </c>
      <c r="D2587" s="10">
        <v>45761</v>
      </c>
      <c r="E2587" t="s">
        <v>2363</v>
      </c>
      <c r="F2587" s="11" t="s">
        <v>2364</v>
      </c>
      <c r="G2587" s="8">
        <v>252.91</v>
      </c>
      <c r="H2587" s="8">
        <v>0</v>
      </c>
      <c r="I2587" s="8">
        <f t="shared" si="100"/>
        <v>783.54</v>
      </c>
      <c r="J2587" s="12"/>
    </row>
    <row r="2588" spans="3:10" x14ac:dyDescent="0.3">
      <c r="C2588" s="9" t="s">
        <v>12</v>
      </c>
      <c r="D2588" s="10">
        <v>45769</v>
      </c>
      <c r="E2588" t="s">
        <v>305</v>
      </c>
      <c r="F2588" s="11" t="s">
        <v>14</v>
      </c>
      <c r="G2588" s="8">
        <v>0</v>
      </c>
      <c r="H2588" s="8">
        <v>183.92</v>
      </c>
      <c r="I2588" s="8">
        <f t="shared" si="100"/>
        <v>599.62</v>
      </c>
      <c r="J2588" s="12">
        <v>572000007</v>
      </c>
    </row>
    <row r="2589" spans="3:10" x14ac:dyDescent="0.3">
      <c r="C2589" s="9" t="s">
        <v>12</v>
      </c>
      <c r="D2589" s="10">
        <v>45770</v>
      </c>
      <c r="E2589" t="s">
        <v>2365</v>
      </c>
      <c r="F2589" s="11" t="s">
        <v>14</v>
      </c>
      <c r="G2589" s="8">
        <v>0</v>
      </c>
      <c r="H2589" s="8">
        <v>346.71</v>
      </c>
      <c r="I2589" s="8">
        <f t="shared" si="100"/>
        <v>252.91000000000003</v>
      </c>
      <c r="J2589" s="12">
        <v>572000007</v>
      </c>
    </row>
    <row r="2590" spans="3:10" x14ac:dyDescent="0.3">
      <c r="C2590" s="9" t="s">
        <v>12</v>
      </c>
      <c r="D2590" s="10">
        <v>45777</v>
      </c>
      <c r="E2590" t="s">
        <v>2366</v>
      </c>
      <c r="F2590" s="11" t="s">
        <v>2367</v>
      </c>
      <c r="G2590" s="8">
        <v>128.26</v>
      </c>
      <c r="H2590" s="8">
        <v>0</v>
      </c>
      <c r="I2590" s="8">
        <f t="shared" si="100"/>
        <v>381.17</v>
      </c>
      <c r="J2590" s="12"/>
    </row>
    <row r="2591" spans="3:10" x14ac:dyDescent="0.3">
      <c r="C2591" s="9" t="s">
        <v>12</v>
      </c>
      <c r="D2591" s="10">
        <v>45810</v>
      </c>
      <c r="E2591" t="s">
        <v>108</v>
      </c>
      <c r="F2591" s="11" t="s">
        <v>14</v>
      </c>
      <c r="G2591" s="8">
        <v>0</v>
      </c>
      <c r="H2591" s="8">
        <v>381.17</v>
      </c>
      <c r="I2591" s="8">
        <f t="shared" si="100"/>
        <v>0</v>
      </c>
      <c r="J2591" s="12">
        <v>572000007</v>
      </c>
    </row>
    <row r="2592" spans="3:10" x14ac:dyDescent="0.3">
      <c r="C2592" s="9"/>
      <c r="D2592" s="10">
        <v>45838</v>
      </c>
      <c r="E2592" t="s">
        <v>2368</v>
      </c>
      <c r="F2592" s="11" t="s">
        <v>2369</v>
      </c>
      <c r="G2592" s="8">
        <v>489.73</v>
      </c>
      <c r="H2592" s="8">
        <v>0</v>
      </c>
      <c r="I2592" s="8">
        <f t="shared" si="100"/>
        <v>489.73</v>
      </c>
      <c r="J2592" s="12"/>
    </row>
    <row r="2593" spans="1:10" x14ac:dyDescent="0.3">
      <c r="C2593" s="9"/>
      <c r="D2593" s="10">
        <v>45912</v>
      </c>
      <c r="E2593" t="s">
        <v>2370</v>
      </c>
      <c r="F2593" s="11" t="s">
        <v>2371</v>
      </c>
      <c r="G2593" s="8">
        <v>133.1</v>
      </c>
      <c r="H2593" s="8">
        <v>0</v>
      </c>
      <c r="I2593" s="8">
        <f t="shared" si="100"/>
        <v>622.83000000000004</v>
      </c>
      <c r="J2593" s="12"/>
    </row>
    <row r="2594" spans="1:10" x14ac:dyDescent="0.3">
      <c r="E2594" s="4" t="s">
        <v>116</v>
      </c>
      <c r="G2594" s="8">
        <f>SUM(G2577:G2593)</f>
        <v>1913.86</v>
      </c>
      <c r="H2594" s="8">
        <f>SUM(H2577:H2593)</f>
        <v>1291.03</v>
      </c>
      <c r="I2594" s="8">
        <f>G2594-H2594</f>
        <v>622.82999999999993</v>
      </c>
    </row>
    <row r="2596" spans="1:10" x14ac:dyDescent="0.3">
      <c r="A2596" s="5">
        <v>430510105</v>
      </c>
      <c r="B2596" s="6" t="s">
        <v>2372</v>
      </c>
      <c r="C2596" s="7"/>
      <c r="D2596" s="7"/>
      <c r="E2596" s="7"/>
      <c r="F2596" s="7"/>
      <c r="G2596" s="7"/>
      <c r="H2596" s="7"/>
      <c r="I2596" s="7"/>
      <c r="J2596" s="7"/>
    </row>
    <row r="2597" spans="1:10" x14ac:dyDescent="0.3">
      <c r="C2597" s="9" t="s">
        <v>12</v>
      </c>
      <c r="D2597" s="10">
        <v>45672</v>
      </c>
      <c r="E2597" t="s">
        <v>2373</v>
      </c>
      <c r="F2597" s="11" t="s">
        <v>2374</v>
      </c>
      <c r="G2597" s="8">
        <v>133.1</v>
      </c>
      <c r="H2597" s="8">
        <v>0</v>
      </c>
      <c r="I2597" s="8">
        <f>G2597-H2597</f>
        <v>133.1</v>
      </c>
      <c r="J2597" s="12"/>
    </row>
    <row r="2598" spans="1:10" x14ac:dyDescent="0.3">
      <c r="C2598" s="9" t="s">
        <v>12</v>
      </c>
      <c r="D2598" s="10">
        <v>45677</v>
      </c>
      <c r="E2598" t="s">
        <v>2375</v>
      </c>
      <c r="F2598" s="11" t="s">
        <v>2376</v>
      </c>
      <c r="G2598" s="8">
        <v>399.7</v>
      </c>
      <c r="H2598" s="8">
        <v>0</v>
      </c>
      <c r="I2598" s="8">
        <f t="shared" ref="I2598:I2613" si="101">G2598-H2598+I2597</f>
        <v>532.79999999999995</v>
      </c>
      <c r="J2598" s="12"/>
    </row>
    <row r="2599" spans="1:10" x14ac:dyDescent="0.3">
      <c r="C2599" s="9" t="s">
        <v>12</v>
      </c>
      <c r="D2599" s="10">
        <v>45677</v>
      </c>
      <c r="E2599" t="s">
        <v>1059</v>
      </c>
      <c r="F2599" s="11" t="s">
        <v>14</v>
      </c>
      <c r="G2599" s="8">
        <v>0</v>
      </c>
      <c r="H2599" s="8">
        <v>133.1</v>
      </c>
      <c r="I2599" s="8">
        <f t="shared" si="101"/>
        <v>399.69999999999993</v>
      </c>
      <c r="J2599" s="12"/>
    </row>
    <row r="2600" spans="1:10" x14ac:dyDescent="0.3">
      <c r="C2600" s="9" t="s">
        <v>12</v>
      </c>
      <c r="D2600" s="10">
        <v>45677</v>
      </c>
      <c r="E2600" t="s">
        <v>1059</v>
      </c>
      <c r="F2600" s="11" t="s">
        <v>14</v>
      </c>
      <c r="G2600" s="8">
        <v>0</v>
      </c>
      <c r="H2600" s="8">
        <v>399.7</v>
      </c>
      <c r="I2600" s="8">
        <f t="shared" si="101"/>
        <v>0</v>
      </c>
      <c r="J2600" s="12"/>
    </row>
    <row r="2601" spans="1:10" x14ac:dyDescent="0.3">
      <c r="C2601" s="9" t="s">
        <v>12</v>
      </c>
      <c r="D2601" s="10">
        <v>45684</v>
      </c>
      <c r="E2601" t="s">
        <v>2377</v>
      </c>
      <c r="F2601" s="11" t="s">
        <v>2378</v>
      </c>
      <c r="G2601" s="8">
        <v>133.1</v>
      </c>
      <c r="H2601" s="8">
        <v>0</v>
      </c>
      <c r="I2601" s="8">
        <f t="shared" si="101"/>
        <v>133.1</v>
      </c>
      <c r="J2601" s="12"/>
    </row>
    <row r="2602" spans="1:10" x14ac:dyDescent="0.3">
      <c r="C2602" s="9" t="s">
        <v>12</v>
      </c>
      <c r="D2602" s="10">
        <v>45684</v>
      </c>
      <c r="E2602" t="s">
        <v>1126</v>
      </c>
      <c r="F2602" s="11" t="s">
        <v>14</v>
      </c>
      <c r="G2602" s="8">
        <v>0</v>
      </c>
      <c r="H2602" s="8">
        <v>133.1</v>
      </c>
      <c r="I2602" s="8">
        <f t="shared" si="101"/>
        <v>0</v>
      </c>
      <c r="J2602" s="12"/>
    </row>
    <row r="2603" spans="1:10" x14ac:dyDescent="0.3">
      <c r="C2603" s="9" t="s">
        <v>12</v>
      </c>
      <c r="D2603" s="10">
        <v>45692</v>
      </c>
      <c r="E2603" t="s">
        <v>2379</v>
      </c>
      <c r="F2603" s="11" t="s">
        <v>2380</v>
      </c>
      <c r="G2603" s="8">
        <v>837.07</v>
      </c>
      <c r="H2603" s="8">
        <v>0</v>
      </c>
      <c r="I2603" s="8">
        <f t="shared" si="101"/>
        <v>837.07</v>
      </c>
      <c r="J2603" s="12"/>
    </row>
    <row r="2604" spans="1:10" x14ac:dyDescent="0.3">
      <c r="C2604" s="9" t="s">
        <v>12</v>
      </c>
      <c r="D2604" s="10">
        <v>45695</v>
      </c>
      <c r="E2604" t="s">
        <v>1059</v>
      </c>
      <c r="F2604" s="11" t="s">
        <v>14</v>
      </c>
      <c r="G2604" s="8">
        <v>0</v>
      </c>
      <c r="H2604" s="8">
        <v>837.07</v>
      </c>
      <c r="I2604" s="8">
        <f t="shared" si="101"/>
        <v>0</v>
      </c>
      <c r="J2604" s="12"/>
    </row>
    <row r="2605" spans="1:10" x14ac:dyDescent="0.3">
      <c r="C2605" s="9" t="s">
        <v>12</v>
      </c>
      <c r="D2605" s="10">
        <v>45755</v>
      </c>
      <c r="E2605" t="s">
        <v>2381</v>
      </c>
      <c r="F2605" s="11" t="s">
        <v>2382</v>
      </c>
      <c r="G2605" s="8">
        <v>2979.47</v>
      </c>
      <c r="H2605" s="8">
        <v>0</v>
      </c>
      <c r="I2605" s="8">
        <f t="shared" si="101"/>
        <v>2979.47</v>
      </c>
      <c r="J2605" s="12"/>
    </row>
    <row r="2606" spans="1:10" x14ac:dyDescent="0.3">
      <c r="C2606" s="9" t="s">
        <v>12</v>
      </c>
      <c r="D2606" s="10">
        <v>45761</v>
      </c>
      <c r="E2606" t="s">
        <v>2383</v>
      </c>
      <c r="F2606" s="11" t="s">
        <v>2384</v>
      </c>
      <c r="G2606" s="8">
        <v>136.44</v>
      </c>
      <c r="H2606" s="8">
        <v>0</v>
      </c>
      <c r="I2606" s="8">
        <f t="shared" si="101"/>
        <v>3115.91</v>
      </c>
      <c r="J2606" s="12"/>
    </row>
    <row r="2607" spans="1:10" x14ac:dyDescent="0.3">
      <c r="C2607" s="9" t="s">
        <v>12</v>
      </c>
      <c r="D2607" s="10">
        <v>45790</v>
      </c>
      <c r="E2607" t="s">
        <v>2385</v>
      </c>
      <c r="F2607" s="11" t="s">
        <v>2386</v>
      </c>
      <c r="G2607" s="8">
        <v>133.1</v>
      </c>
      <c r="H2607" s="8">
        <v>0</v>
      </c>
      <c r="I2607" s="8">
        <f t="shared" si="101"/>
        <v>3249.0099999999998</v>
      </c>
      <c r="J2607" s="12"/>
    </row>
    <row r="2608" spans="1:10" x14ac:dyDescent="0.3">
      <c r="C2608" s="9" t="s">
        <v>12</v>
      </c>
      <c r="D2608" s="10">
        <v>45803</v>
      </c>
      <c r="E2608" t="s">
        <v>1059</v>
      </c>
      <c r="F2608" s="11" t="s">
        <v>14</v>
      </c>
      <c r="G2608" s="8">
        <v>0</v>
      </c>
      <c r="H2608" s="8">
        <v>2979.47</v>
      </c>
      <c r="I2608" s="8">
        <f t="shared" si="101"/>
        <v>269.53999999999996</v>
      </c>
      <c r="J2608" s="12"/>
    </row>
    <row r="2609" spans="1:10" x14ac:dyDescent="0.3">
      <c r="C2609" s="9" t="s">
        <v>12</v>
      </c>
      <c r="D2609" s="10">
        <v>45803</v>
      </c>
      <c r="E2609" t="s">
        <v>1059</v>
      </c>
      <c r="F2609" s="11" t="s">
        <v>14</v>
      </c>
      <c r="G2609" s="8">
        <v>0</v>
      </c>
      <c r="H2609" s="8">
        <v>136.44</v>
      </c>
      <c r="I2609" s="8">
        <f t="shared" si="101"/>
        <v>133.09999999999997</v>
      </c>
      <c r="J2609" s="12"/>
    </row>
    <row r="2610" spans="1:10" x14ac:dyDescent="0.3">
      <c r="C2610" s="9" t="s">
        <v>12</v>
      </c>
      <c r="D2610" s="10">
        <v>45833</v>
      </c>
      <c r="E2610" t="s">
        <v>1059</v>
      </c>
      <c r="F2610" s="11" t="s">
        <v>14</v>
      </c>
      <c r="G2610" s="8">
        <v>0</v>
      </c>
      <c r="H2610" s="8">
        <v>133.1</v>
      </c>
      <c r="I2610" s="8">
        <f t="shared" si="101"/>
        <v>0</v>
      </c>
      <c r="J2610" s="12"/>
    </row>
    <row r="2611" spans="1:10" x14ac:dyDescent="0.3">
      <c r="C2611" s="9"/>
      <c r="D2611" s="10">
        <v>45852</v>
      </c>
      <c r="E2611" t="s">
        <v>2387</v>
      </c>
      <c r="F2611" s="11" t="s">
        <v>2388</v>
      </c>
      <c r="G2611" s="8">
        <v>234.72</v>
      </c>
      <c r="H2611" s="8">
        <v>0</v>
      </c>
      <c r="I2611" s="8">
        <f t="shared" si="101"/>
        <v>234.72</v>
      </c>
      <c r="J2611" s="12"/>
    </row>
    <row r="2612" spans="1:10" x14ac:dyDescent="0.3">
      <c r="C2612" s="9"/>
      <c r="D2612" s="10">
        <v>45894</v>
      </c>
      <c r="E2612" t="s">
        <v>1059</v>
      </c>
      <c r="F2612" s="11" t="s">
        <v>14</v>
      </c>
      <c r="G2612" s="8">
        <v>0</v>
      </c>
      <c r="H2612" s="8">
        <v>234.72</v>
      </c>
      <c r="I2612" s="8">
        <f t="shared" si="101"/>
        <v>0</v>
      </c>
      <c r="J2612" s="12"/>
    </row>
    <row r="2613" spans="1:10" x14ac:dyDescent="0.3">
      <c r="C2613" s="9"/>
      <c r="D2613" s="10">
        <v>45912</v>
      </c>
      <c r="E2613" t="s">
        <v>2389</v>
      </c>
      <c r="F2613" s="11" t="s">
        <v>2390</v>
      </c>
      <c r="G2613" s="8">
        <v>136.51</v>
      </c>
      <c r="H2613" s="8">
        <v>0</v>
      </c>
      <c r="I2613" s="8">
        <f t="shared" si="101"/>
        <v>136.51</v>
      </c>
      <c r="J2613" s="12"/>
    </row>
    <row r="2614" spans="1:10" x14ac:dyDescent="0.3">
      <c r="E2614" s="4" t="s">
        <v>116</v>
      </c>
      <c r="G2614" s="8">
        <f>SUM(G2597:G2613)</f>
        <v>5123.21</v>
      </c>
      <c r="H2614" s="8">
        <f>SUM(H2597:H2613)</f>
        <v>4986.7</v>
      </c>
      <c r="I2614" s="8">
        <f>G2614-H2614</f>
        <v>136.51000000000022</v>
      </c>
    </row>
    <row r="2616" spans="1:10" x14ac:dyDescent="0.3">
      <c r="A2616" s="5">
        <v>430510108</v>
      </c>
      <c r="B2616" s="6" t="s">
        <v>2391</v>
      </c>
      <c r="C2616" s="7"/>
      <c r="D2616" s="7"/>
      <c r="E2616" s="7"/>
      <c r="F2616" s="7"/>
      <c r="G2616" s="7"/>
      <c r="H2616" s="7"/>
      <c r="I2616" s="7"/>
      <c r="J2616" s="7"/>
    </row>
    <row r="2617" spans="1:10" x14ac:dyDescent="0.3">
      <c r="E2617" s="4" t="s">
        <v>11</v>
      </c>
      <c r="G2617" s="8">
        <v>0</v>
      </c>
      <c r="H2617" s="8">
        <v>665.5</v>
      </c>
      <c r="I2617" s="8">
        <f>G2617-H2617</f>
        <v>-665.5</v>
      </c>
    </row>
    <row r="2618" spans="1:10" x14ac:dyDescent="0.3">
      <c r="C2618" s="9"/>
      <c r="D2618" s="10">
        <v>45659</v>
      </c>
      <c r="E2618" t="s">
        <v>1126</v>
      </c>
      <c r="F2618" s="11" t="s">
        <v>2392</v>
      </c>
      <c r="G2618" s="8">
        <v>0</v>
      </c>
      <c r="H2618" s="8">
        <v>193.6</v>
      </c>
      <c r="I2618" s="8">
        <f t="shared" ref="I2618:I2626" si="102">G2618-H2618+I2617</f>
        <v>-859.1</v>
      </c>
      <c r="J2618" s="12"/>
    </row>
    <row r="2619" spans="1:10" x14ac:dyDescent="0.3">
      <c r="C2619" s="9" t="s">
        <v>12</v>
      </c>
      <c r="D2619" s="10">
        <v>45702</v>
      </c>
      <c r="E2619" t="s">
        <v>2393</v>
      </c>
      <c r="F2619" s="11" t="s">
        <v>2394</v>
      </c>
      <c r="G2619" s="8">
        <v>450.84</v>
      </c>
      <c r="H2619" s="8">
        <v>0</v>
      </c>
      <c r="I2619" s="8">
        <f t="shared" si="102"/>
        <v>-408.26000000000005</v>
      </c>
      <c r="J2619" s="12"/>
    </row>
    <row r="2620" spans="1:10" x14ac:dyDescent="0.3">
      <c r="C2620" s="9" t="s">
        <v>12</v>
      </c>
      <c r="D2620" s="10">
        <v>45705</v>
      </c>
      <c r="E2620" t="s">
        <v>1059</v>
      </c>
      <c r="F2620" s="11" t="s">
        <v>14</v>
      </c>
      <c r="G2620" s="8">
        <v>0</v>
      </c>
      <c r="H2620" s="8">
        <v>450.84</v>
      </c>
      <c r="I2620" s="8">
        <f t="shared" si="102"/>
        <v>-859.1</v>
      </c>
      <c r="J2620" s="12"/>
    </row>
    <row r="2621" spans="1:10" x14ac:dyDescent="0.3">
      <c r="C2621" s="9" t="s">
        <v>12</v>
      </c>
      <c r="D2621" s="10">
        <v>45709</v>
      </c>
      <c r="E2621" t="s">
        <v>2395</v>
      </c>
      <c r="F2621" s="11" t="s">
        <v>2396</v>
      </c>
      <c r="G2621" s="8">
        <v>370.28</v>
      </c>
      <c r="H2621" s="8">
        <v>0</v>
      </c>
      <c r="I2621" s="8">
        <f t="shared" si="102"/>
        <v>-488.82000000000005</v>
      </c>
      <c r="J2621" s="12"/>
    </row>
    <row r="2622" spans="1:10" x14ac:dyDescent="0.3">
      <c r="C2622" s="9" t="s">
        <v>12</v>
      </c>
      <c r="D2622" s="10">
        <v>45713</v>
      </c>
      <c r="E2622" t="s">
        <v>1059</v>
      </c>
      <c r="F2622" s="11" t="s">
        <v>14</v>
      </c>
      <c r="G2622" s="8">
        <v>0</v>
      </c>
      <c r="H2622" s="8">
        <v>370.28</v>
      </c>
      <c r="I2622" s="8">
        <f t="shared" si="102"/>
        <v>-859.1</v>
      </c>
      <c r="J2622" s="12"/>
    </row>
    <row r="2623" spans="1:10" x14ac:dyDescent="0.3">
      <c r="C2623" s="9" t="s">
        <v>12</v>
      </c>
      <c r="D2623" s="10">
        <v>45743</v>
      </c>
      <c r="E2623" t="s">
        <v>2397</v>
      </c>
      <c r="F2623" s="11" t="s">
        <v>2398</v>
      </c>
      <c r="G2623" s="8">
        <v>-451.84</v>
      </c>
      <c r="H2623" s="8">
        <v>0</v>
      </c>
      <c r="I2623" s="8">
        <f t="shared" si="102"/>
        <v>-1310.94</v>
      </c>
      <c r="J2623" s="12"/>
    </row>
    <row r="2624" spans="1:10" x14ac:dyDescent="0.3">
      <c r="C2624" s="9"/>
      <c r="D2624" s="10">
        <v>45743</v>
      </c>
      <c r="E2624" t="s">
        <v>2399</v>
      </c>
      <c r="F2624" s="11" t="s">
        <v>2400</v>
      </c>
      <c r="G2624" s="8">
        <v>451.01</v>
      </c>
      <c r="H2624" s="8">
        <v>0</v>
      </c>
      <c r="I2624" s="8">
        <f t="shared" si="102"/>
        <v>-859.93000000000006</v>
      </c>
      <c r="J2624" s="12"/>
    </row>
    <row r="2625" spans="1:10" x14ac:dyDescent="0.3">
      <c r="C2625" s="9" t="s">
        <v>12</v>
      </c>
      <c r="D2625" s="10">
        <v>45748</v>
      </c>
      <c r="E2625" t="s">
        <v>1302</v>
      </c>
      <c r="F2625" s="11" t="s">
        <v>2401</v>
      </c>
      <c r="G2625" s="8">
        <v>451.84</v>
      </c>
      <c r="H2625" s="8">
        <v>0</v>
      </c>
      <c r="I2625" s="8">
        <f t="shared" si="102"/>
        <v>-408.09000000000009</v>
      </c>
      <c r="J2625" s="12"/>
    </row>
    <row r="2626" spans="1:10" x14ac:dyDescent="0.3">
      <c r="C2626" s="9"/>
      <c r="D2626" s="10">
        <v>45748</v>
      </c>
      <c r="E2626" t="s">
        <v>1302</v>
      </c>
      <c r="F2626" s="11" t="s">
        <v>2402</v>
      </c>
      <c r="G2626" s="8">
        <v>-450.84</v>
      </c>
      <c r="H2626" s="8">
        <v>0</v>
      </c>
      <c r="I2626" s="8">
        <f t="shared" si="102"/>
        <v>-858.93000000000006</v>
      </c>
      <c r="J2626" s="12"/>
    </row>
    <row r="2627" spans="1:10" x14ac:dyDescent="0.3">
      <c r="E2627" s="4" t="s">
        <v>116</v>
      </c>
      <c r="G2627" s="8">
        <f>SUM(G2617:G2626)</f>
        <v>821.29</v>
      </c>
      <c r="H2627" s="8">
        <f>SUM(H2617:H2626)</f>
        <v>1680.22</v>
      </c>
      <c r="I2627" s="8">
        <f>G2627-H2627</f>
        <v>-858.93000000000006</v>
      </c>
    </row>
    <row r="2629" spans="1:10" x14ac:dyDescent="0.3">
      <c r="A2629" s="5">
        <v>430510122</v>
      </c>
      <c r="B2629" s="6" t="s">
        <v>2403</v>
      </c>
      <c r="C2629" s="7"/>
      <c r="D2629" s="7"/>
      <c r="E2629" s="7"/>
      <c r="F2629" s="7"/>
      <c r="G2629" s="7"/>
      <c r="H2629" s="7"/>
      <c r="I2629" s="7"/>
      <c r="J2629" s="7"/>
    </row>
    <row r="2630" spans="1:10" x14ac:dyDescent="0.3">
      <c r="E2630" s="4" t="s">
        <v>11</v>
      </c>
      <c r="G2630" s="8">
        <v>170.66</v>
      </c>
      <c r="H2630" s="8">
        <v>0</v>
      </c>
      <c r="I2630" s="8">
        <f>G2630-H2630</f>
        <v>170.66</v>
      </c>
    </row>
    <row r="2631" spans="1:10" x14ac:dyDescent="0.3">
      <c r="C2631" s="9"/>
      <c r="D2631" s="10">
        <v>45670</v>
      </c>
      <c r="E2631" t="s">
        <v>886</v>
      </c>
      <c r="F2631" s="11" t="s">
        <v>14</v>
      </c>
      <c r="G2631" s="8">
        <v>0</v>
      </c>
      <c r="H2631" s="8">
        <v>170.66</v>
      </c>
      <c r="I2631" s="8">
        <f t="shared" ref="I2631:I2636" si="103">G2631-H2631+I2630</f>
        <v>0</v>
      </c>
      <c r="J2631" s="12">
        <v>572000007</v>
      </c>
    </row>
    <row r="2632" spans="1:10" x14ac:dyDescent="0.3">
      <c r="C2632" s="9"/>
      <c r="D2632" s="10">
        <v>45671</v>
      </c>
      <c r="E2632" t="s">
        <v>886</v>
      </c>
      <c r="F2632" s="11" t="s">
        <v>14</v>
      </c>
      <c r="G2632" s="8">
        <v>0</v>
      </c>
      <c r="H2632" s="8">
        <v>170.66</v>
      </c>
      <c r="I2632" s="8">
        <f t="shared" si="103"/>
        <v>-170.66</v>
      </c>
      <c r="J2632" s="12">
        <v>572000009</v>
      </c>
    </row>
    <row r="2633" spans="1:10" x14ac:dyDescent="0.3">
      <c r="C2633" s="9" t="s">
        <v>12</v>
      </c>
      <c r="D2633" s="10">
        <v>45702</v>
      </c>
      <c r="E2633" t="s">
        <v>2404</v>
      </c>
      <c r="F2633" s="11" t="s">
        <v>2405</v>
      </c>
      <c r="G2633" s="8">
        <v>286.3</v>
      </c>
      <c r="H2633" s="8">
        <v>0</v>
      </c>
      <c r="I2633" s="8">
        <f t="shared" si="103"/>
        <v>115.64000000000001</v>
      </c>
      <c r="J2633" s="12"/>
    </row>
    <row r="2634" spans="1:10" x14ac:dyDescent="0.3">
      <c r="C2634" s="9" t="s">
        <v>12</v>
      </c>
      <c r="D2634" s="10">
        <v>45706</v>
      </c>
      <c r="E2634" t="s">
        <v>886</v>
      </c>
      <c r="F2634" s="11" t="s">
        <v>14</v>
      </c>
      <c r="G2634" s="8">
        <v>0</v>
      </c>
      <c r="H2634" s="8">
        <v>286.3</v>
      </c>
      <c r="I2634" s="8">
        <f t="shared" si="103"/>
        <v>-170.66</v>
      </c>
      <c r="J2634" s="12">
        <v>572000007</v>
      </c>
    </row>
    <row r="2635" spans="1:10" x14ac:dyDescent="0.3">
      <c r="C2635" s="9"/>
      <c r="D2635" s="10">
        <v>45896</v>
      </c>
      <c r="E2635" t="s">
        <v>2406</v>
      </c>
      <c r="F2635" s="11" t="s">
        <v>2407</v>
      </c>
      <c r="G2635" s="8">
        <v>141.44</v>
      </c>
      <c r="H2635" s="8">
        <v>0</v>
      </c>
      <c r="I2635" s="8">
        <f t="shared" si="103"/>
        <v>-29.22</v>
      </c>
      <c r="J2635" s="12"/>
    </row>
    <row r="2636" spans="1:10" x14ac:dyDescent="0.3">
      <c r="C2636" s="9"/>
      <c r="D2636" s="10">
        <v>45902</v>
      </c>
      <c r="E2636" t="s">
        <v>305</v>
      </c>
      <c r="F2636" s="11" t="s">
        <v>14</v>
      </c>
      <c r="G2636" s="8">
        <v>0</v>
      </c>
      <c r="H2636" s="8">
        <v>141.44</v>
      </c>
      <c r="I2636" s="8">
        <f t="shared" si="103"/>
        <v>-170.66</v>
      </c>
      <c r="J2636" s="12">
        <v>572000007</v>
      </c>
    </row>
    <row r="2637" spans="1:10" x14ac:dyDescent="0.3">
      <c r="E2637" s="4" t="s">
        <v>116</v>
      </c>
      <c r="G2637" s="8">
        <f>SUM(G2630:G2636)</f>
        <v>598.40000000000009</v>
      </c>
      <c r="H2637" s="8">
        <f>SUM(H2630:H2636)</f>
        <v>769.06</v>
      </c>
      <c r="I2637" s="8">
        <f>G2637-H2637</f>
        <v>-170.65999999999985</v>
      </c>
    </row>
    <row r="2639" spans="1:10" x14ac:dyDescent="0.3">
      <c r="A2639" s="5">
        <v>430510135</v>
      </c>
      <c r="B2639" s="6" t="s">
        <v>2408</v>
      </c>
      <c r="C2639" s="7"/>
      <c r="D2639" s="7"/>
      <c r="E2639" s="7"/>
      <c r="F2639" s="7"/>
      <c r="G2639" s="7"/>
      <c r="H2639" s="7"/>
      <c r="I2639" s="7"/>
      <c r="J2639" s="7"/>
    </row>
    <row r="2640" spans="1:10" x14ac:dyDescent="0.3">
      <c r="E2640" s="4" t="s">
        <v>11</v>
      </c>
      <c r="G2640" s="8">
        <v>449.76</v>
      </c>
      <c r="H2640" s="8">
        <v>0</v>
      </c>
      <c r="I2640" s="8">
        <f>G2640-H2640</f>
        <v>449.76</v>
      </c>
    </row>
    <row r="2641" spans="1:10" x14ac:dyDescent="0.3">
      <c r="C2641" s="9" t="s">
        <v>12</v>
      </c>
      <c r="D2641" s="10">
        <v>45747</v>
      </c>
      <c r="E2641" t="s">
        <v>886</v>
      </c>
      <c r="F2641" s="11" t="s">
        <v>14</v>
      </c>
      <c r="G2641" s="8">
        <v>0</v>
      </c>
      <c r="H2641" s="8">
        <v>449.76</v>
      </c>
      <c r="I2641" s="8">
        <f>G2641-H2641+I2640</f>
        <v>0</v>
      </c>
      <c r="J2641" s="12">
        <v>572000007</v>
      </c>
    </row>
    <row r="2642" spans="1:10" x14ac:dyDescent="0.3">
      <c r="C2642" s="9"/>
      <c r="D2642" s="10">
        <v>45905</v>
      </c>
      <c r="E2642" t="s">
        <v>2409</v>
      </c>
      <c r="F2642" s="11" t="s">
        <v>2410</v>
      </c>
      <c r="G2642" s="8">
        <v>342.32</v>
      </c>
      <c r="H2642" s="8">
        <v>0</v>
      </c>
      <c r="I2642" s="8">
        <f>G2642-H2642+I2641</f>
        <v>342.32</v>
      </c>
      <c r="J2642" s="12"/>
    </row>
    <row r="2643" spans="1:10" x14ac:dyDescent="0.3">
      <c r="E2643" s="4" t="s">
        <v>116</v>
      </c>
      <c r="G2643" s="8">
        <f>SUM(G2640:G2642)</f>
        <v>792.07999999999993</v>
      </c>
      <c r="H2643" s="8">
        <f>SUM(H2640:H2642)</f>
        <v>449.76</v>
      </c>
      <c r="I2643" s="8">
        <f>G2643-H2643</f>
        <v>342.31999999999994</v>
      </c>
    </row>
    <row r="2645" spans="1:10" x14ac:dyDescent="0.3">
      <c r="A2645" s="5">
        <v>430510163</v>
      </c>
      <c r="B2645" s="6" t="s">
        <v>2411</v>
      </c>
      <c r="C2645" s="7"/>
      <c r="D2645" s="7"/>
      <c r="E2645" s="7"/>
      <c r="F2645" s="7"/>
      <c r="G2645" s="7"/>
      <c r="H2645" s="7"/>
      <c r="I2645" s="7"/>
      <c r="J2645" s="7"/>
    </row>
    <row r="2646" spans="1:10" x14ac:dyDescent="0.3">
      <c r="E2646" s="4" t="s">
        <v>11</v>
      </c>
      <c r="G2646" s="8">
        <v>8527.3799999999992</v>
      </c>
      <c r="H2646" s="8">
        <v>0</v>
      </c>
      <c r="I2646" s="8">
        <f>G2646-H2646</f>
        <v>8527.3799999999992</v>
      </c>
    </row>
    <row r="2647" spans="1:10" x14ac:dyDescent="0.3">
      <c r="E2647" s="4" t="s">
        <v>116</v>
      </c>
      <c r="G2647" s="8">
        <f>G2646</f>
        <v>8527.3799999999992</v>
      </c>
      <c r="H2647" s="8">
        <f>H2646</f>
        <v>0</v>
      </c>
      <c r="I2647" s="8">
        <f>G2647-H2647</f>
        <v>8527.3799999999992</v>
      </c>
    </row>
    <row r="2649" spans="1:10" x14ac:dyDescent="0.3">
      <c r="A2649" s="5">
        <v>431160065</v>
      </c>
      <c r="B2649" s="6" t="s">
        <v>2412</v>
      </c>
      <c r="C2649" s="7"/>
      <c r="D2649" s="7"/>
      <c r="E2649" s="7"/>
      <c r="F2649" s="7"/>
      <c r="G2649" s="7"/>
      <c r="H2649" s="7"/>
      <c r="I2649" s="7"/>
      <c r="J2649" s="7"/>
    </row>
    <row r="2650" spans="1:10" x14ac:dyDescent="0.3">
      <c r="C2650" s="9"/>
      <c r="D2650" s="10">
        <v>45874</v>
      </c>
      <c r="E2650" t="s">
        <v>305</v>
      </c>
      <c r="F2650" s="11" t="s">
        <v>14</v>
      </c>
      <c r="G2650" s="8">
        <v>0</v>
      </c>
      <c r="H2650" s="8">
        <v>181.34</v>
      </c>
      <c r="I2650" s="8">
        <f>G2650-H2650</f>
        <v>-181.34</v>
      </c>
      <c r="J2650" s="12">
        <v>572000007</v>
      </c>
    </row>
    <row r="2651" spans="1:10" x14ac:dyDescent="0.3">
      <c r="E2651" s="4" t="s">
        <v>116</v>
      </c>
      <c r="G2651" s="8">
        <f>G2650</f>
        <v>0</v>
      </c>
      <c r="H2651" s="8">
        <f>H2650</f>
        <v>181.34</v>
      </c>
      <c r="I2651" s="8">
        <f>G2651-H2651</f>
        <v>-181.34</v>
      </c>
    </row>
    <row r="2653" spans="1:10" x14ac:dyDescent="0.3">
      <c r="A2653" s="5">
        <v>465000000</v>
      </c>
      <c r="B2653" s="6" t="s">
        <v>2413</v>
      </c>
      <c r="C2653" s="7"/>
      <c r="D2653" s="7"/>
      <c r="E2653" s="7"/>
      <c r="F2653" s="7"/>
      <c r="G2653" s="7"/>
      <c r="H2653" s="7"/>
      <c r="I2653" s="7"/>
      <c r="J2653" s="7"/>
    </row>
    <row r="2654" spans="1:10" x14ac:dyDescent="0.3">
      <c r="E2654" s="4" t="s">
        <v>11</v>
      </c>
      <c r="G2654" s="8">
        <v>0</v>
      </c>
      <c r="H2654" s="8">
        <v>6408.09</v>
      </c>
      <c r="I2654" s="8">
        <f>G2654-H2654</f>
        <v>-6408.09</v>
      </c>
    </row>
    <row r="2655" spans="1:10" x14ac:dyDescent="0.3">
      <c r="C2655" s="9" t="s">
        <v>12</v>
      </c>
      <c r="D2655" s="10">
        <v>45667</v>
      </c>
      <c r="E2655" t="s">
        <v>2414</v>
      </c>
      <c r="F2655" s="11" t="s">
        <v>14</v>
      </c>
      <c r="G2655" s="8">
        <v>1500</v>
      </c>
      <c r="H2655" s="8">
        <v>0</v>
      </c>
      <c r="I2655" s="8">
        <f t="shared" ref="I2655:I2701" si="104">G2655-H2655+I2654</f>
        <v>-4908.09</v>
      </c>
      <c r="J2655" s="12">
        <v>572000005</v>
      </c>
    </row>
    <row r="2656" spans="1:10" x14ac:dyDescent="0.3">
      <c r="C2656" s="9" t="s">
        <v>12</v>
      </c>
      <c r="D2656" s="10">
        <v>45667</v>
      </c>
      <c r="E2656" t="s">
        <v>108</v>
      </c>
      <c r="F2656" s="11" t="s">
        <v>14</v>
      </c>
      <c r="G2656" s="8">
        <v>250</v>
      </c>
      <c r="H2656" s="8">
        <v>0</v>
      </c>
      <c r="I2656" s="8">
        <f t="shared" si="104"/>
        <v>-4658.09</v>
      </c>
      <c r="J2656" s="12">
        <v>572000007</v>
      </c>
    </row>
    <row r="2657" spans="3:10" x14ac:dyDescent="0.3">
      <c r="C2657" s="9" t="s">
        <v>12</v>
      </c>
      <c r="D2657" s="10">
        <v>45667</v>
      </c>
      <c r="E2657" t="s">
        <v>108</v>
      </c>
      <c r="F2657" s="11" t="s">
        <v>14</v>
      </c>
      <c r="G2657" s="8">
        <v>1500</v>
      </c>
      <c r="H2657" s="8">
        <v>0</v>
      </c>
      <c r="I2657" s="8">
        <f t="shared" si="104"/>
        <v>-3158.09</v>
      </c>
      <c r="J2657" s="12">
        <v>572000007</v>
      </c>
    </row>
    <row r="2658" spans="3:10" x14ac:dyDescent="0.3">
      <c r="C2658" s="9" t="s">
        <v>12</v>
      </c>
      <c r="D2658" s="10">
        <v>45668</v>
      </c>
      <c r="E2658" t="s">
        <v>2415</v>
      </c>
      <c r="F2658" s="11" t="s">
        <v>14</v>
      </c>
      <c r="G2658" s="8">
        <v>408.09</v>
      </c>
      <c r="H2658" s="8">
        <v>0</v>
      </c>
      <c r="I2658" s="8">
        <f t="shared" si="104"/>
        <v>-2750</v>
      </c>
      <c r="J2658" s="12">
        <v>572000002</v>
      </c>
    </row>
    <row r="2659" spans="3:10" x14ac:dyDescent="0.3">
      <c r="C2659" s="9" t="s">
        <v>12</v>
      </c>
      <c r="D2659" s="10">
        <v>45678</v>
      </c>
      <c r="E2659" t="s">
        <v>108</v>
      </c>
      <c r="F2659" s="11" t="s">
        <v>14</v>
      </c>
      <c r="G2659" s="8">
        <v>1250</v>
      </c>
      <c r="H2659" s="8">
        <v>0</v>
      </c>
      <c r="I2659" s="8">
        <f t="shared" si="104"/>
        <v>-1500</v>
      </c>
      <c r="J2659" s="12">
        <v>572000007</v>
      </c>
    </row>
    <row r="2660" spans="3:10" x14ac:dyDescent="0.3">
      <c r="C2660" s="9" t="s">
        <v>12</v>
      </c>
      <c r="D2660" s="10">
        <v>45681</v>
      </c>
      <c r="E2660" t="s">
        <v>108</v>
      </c>
      <c r="F2660" s="11" t="s">
        <v>14</v>
      </c>
      <c r="G2660" s="8">
        <v>1500</v>
      </c>
      <c r="H2660" s="8">
        <v>0</v>
      </c>
      <c r="I2660" s="8">
        <f t="shared" si="104"/>
        <v>0</v>
      </c>
      <c r="J2660" s="12">
        <v>572000007</v>
      </c>
    </row>
    <row r="2661" spans="3:10" x14ac:dyDescent="0.3">
      <c r="C2661" s="9" t="s">
        <v>12</v>
      </c>
      <c r="D2661" s="10">
        <v>45687</v>
      </c>
      <c r="E2661" t="s">
        <v>2416</v>
      </c>
      <c r="F2661" s="11" t="s">
        <v>14</v>
      </c>
      <c r="G2661" s="8">
        <v>6761.78</v>
      </c>
      <c r="H2661" s="8">
        <v>0</v>
      </c>
      <c r="I2661" s="8">
        <f t="shared" si="104"/>
        <v>6761.78</v>
      </c>
      <c r="J2661" s="12">
        <v>572000007</v>
      </c>
    </row>
    <row r="2662" spans="3:10" x14ac:dyDescent="0.3">
      <c r="C2662" s="9" t="s">
        <v>12</v>
      </c>
      <c r="D2662" s="10">
        <v>45688</v>
      </c>
      <c r="E2662" t="s">
        <v>2417</v>
      </c>
      <c r="F2662" s="11" t="s">
        <v>14</v>
      </c>
      <c r="G2662" s="8">
        <v>0</v>
      </c>
      <c r="H2662" s="8">
        <v>12761.78</v>
      </c>
      <c r="I2662" s="8">
        <f t="shared" si="104"/>
        <v>-6000.0000000000009</v>
      </c>
      <c r="J2662" s="12"/>
    </row>
    <row r="2663" spans="3:10" x14ac:dyDescent="0.3">
      <c r="C2663" s="9" t="s">
        <v>12</v>
      </c>
      <c r="D2663" s="10">
        <v>45695</v>
      </c>
      <c r="E2663" t="s">
        <v>2414</v>
      </c>
      <c r="F2663" s="11" t="s">
        <v>14</v>
      </c>
      <c r="G2663" s="8">
        <v>1500</v>
      </c>
      <c r="H2663" s="8">
        <v>0</v>
      </c>
      <c r="I2663" s="8">
        <f t="shared" si="104"/>
        <v>-4500.0000000000009</v>
      </c>
      <c r="J2663" s="12">
        <v>572000005</v>
      </c>
    </row>
    <row r="2664" spans="3:10" x14ac:dyDescent="0.3">
      <c r="C2664" s="9" t="s">
        <v>12</v>
      </c>
      <c r="D2664" s="10">
        <v>45700</v>
      </c>
      <c r="E2664" t="s">
        <v>2418</v>
      </c>
      <c r="F2664" s="11" t="s">
        <v>14</v>
      </c>
      <c r="G2664" s="8">
        <v>1500</v>
      </c>
      <c r="H2664" s="8">
        <v>0</v>
      </c>
      <c r="I2664" s="8">
        <f t="shared" si="104"/>
        <v>-3000.0000000000009</v>
      </c>
      <c r="J2664" s="12">
        <v>572000005</v>
      </c>
    </row>
    <row r="2665" spans="3:10" x14ac:dyDescent="0.3">
      <c r="C2665" s="9" t="s">
        <v>12</v>
      </c>
      <c r="D2665" s="10">
        <v>45701</v>
      </c>
      <c r="E2665" t="s">
        <v>2419</v>
      </c>
      <c r="F2665" s="11" t="s">
        <v>14</v>
      </c>
      <c r="G2665" s="8">
        <v>1500</v>
      </c>
      <c r="H2665" s="8">
        <v>0</v>
      </c>
      <c r="I2665" s="8">
        <f t="shared" si="104"/>
        <v>-1500.0000000000009</v>
      </c>
      <c r="J2665" s="12">
        <v>572000002</v>
      </c>
    </row>
    <row r="2666" spans="3:10" x14ac:dyDescent="0.3">
      <c r="C2666" s="9" t="s">
        <v>12</v>
      </c>
      <c r="D2666" s="10">
        <v>45715</v>
      </c>
      <c r="E2666" t="s">
        <v>2416</v>
      </c>
      <c r="F2666" s="11" t="s">
        <v>14</v>
      </c>
      <c r="G2666" s="8">
        <v>8146.37</v>
      </c>
      <c r="H2666" s="8">
        <v>0</v>
      </c>
      <c r="I2666" s="8">
        <f t="shared" si="104"/>
        <v>6646.369999999999</v>
      </c>
      <c r="J2666" s="12"/>
    </row>
    <row r="2667" spans="3:10" x14ac:dyDescent="0.3">
      <c r="C2667" s="9" t="s">
        <v>12</v>
      </c>
      <c r="D2667" s="10">
        <v>45716</v>
      </c>
      <c r="E2667" t="s">
        <v>2417</v>
      </c>
      <c r="F2667" s="11" t="s">
        <v>14</v>
      </c>
      <c r="G2667" s="8">
        <v>0</v>
      </c>
      <c r="H2667" s="8">
        <v>12646.37</v>
      </c>
      <c r="I2667" s="8">
        <f t="shared" si="104"/>
        <v>-6000.0000000000018</v>
      </c>
      <c r="J2667" s="12"/>
    </row>
    <row r="2668" spans="3:10" x14ac:dyDescent="0.3">
      <c r="C2668" s="9" t="s">
        <v>12</v>
      </c>
      <c r="D2668" s="10">
        <v>45722</v>
      </c>
      <c r="E2668" t="s">
        <v>2418</v>
      </c>
      <c r="F2668" s="11" t="s">
        <v>14</v>
      </c>
      <c r="G2668" s="8">
        <v>300</v>
      </c>
      <c r="H2668" s="8">
        <v>0</v>
      </c>
      <c r="I2668" s="8">
        <f t="shared" si="104"/>
        <v>-5700.0000000000018</v>
      </c>
      <c r="J2668" s="12">
        <v>572000005</v>
      </c>
    </row>
    <row r="2669" spans="3:10" x14ac:dyDescent="0.3">
      <c r="C2669" s="9" t="s">
        <v>12</v>
      </c>
      <c r="D2669" s="10">
        <v>45726</v>
      </c>
      <c r="E2669" t="s">
        <v>2418</v>
      </c>
      <c r="F2669" s="11" t="s">
        <v>14</v>
      </c>
      <c r="G2669" s="8">
        <v>700</v>
      </c>
      <c r="H2669" s="8">
        <v>0</v>
      </c>
      <c r="I2669" s="8">
        <f t="shared" si="104"/>
        <v>-5000.0000000000018</v>
      </c>
      <c r="J2669" s="12">
        <v>572000005</v>
      </c>
    </row>
    <row r="2670" spans="3:10" x14ac:dyDescent="0.3">
      <c r="C2670" s="9" t="s">
        <v>12</v>
      </c>
      <c r="D2670" s="10">
        <v>45726</v>
      </c>
      <c r="E2670" t="s">
        <v>2420</v>
      </c>
      <c r="F2670" s="11" t="s">
        <v>14</v>
      </c>
      <c r="G2670" s="8">
        <v>3000</v>
      </c>
      <c r="H2670" s="8">
        <v>0</v>
      </c>
      <c r="I2670" s="8">
        <f t="shared" si="104"/>
        <v>-2000.0000000000018</v>
      </c>
      <c r="J2670" s="12">
        <v>572000002</v>
      </c>
    </row>
    <row r="2671" spans="3:10" x14ac:dyDescent="0.3">
      <c r="C2671" s="9" t="s">
        <v>12</v>
      </c>
      <c r="D2671" s="10">
        <v>45728</v>
      </c>
      <c r="E2671" t="s">
        <v>2421</v>
      </c>
      <c r="F2671" s="11" t="s">
        <v>14</v>
      </c>
      <c r="G2671" s="8">
        <v>2000</v>
      </c>
      <c r="H2671" s="8">
        <v>0</v>
      </c>
      <c r="I2671" s="8">
        <f t="shared" si="104"/>
        <v>-1.8189894035458565E-12</v>
      </c>
      <c r="J2671" s="12">
        <v>572000002</v>
      </c>
    </row>
    <row r="2672" spans="3:10" x14ac:dyDescent="0.3">
      <c r="C2672" s="9" t="s">
        <v>12</v>
      </c>
      <c r="D2672" s="10">
        <v>45743</v>
      </c>
      <c r="E2672" t="s">
        <v>108</v>
      </c>
      <c r="F2672" s="11" t="s">
        <v>14</v>
      </c>
      <c r="G2672" s="8">
        <v>2500</v>
      </c>
      <c r="H2672" s="8">
        <v>0</v>
      </c>
      <c r="I2672" s="8">
        <f t="shared" si="104"/>
        <v>2499.9999999999982</v>
      </c>
      <c r="J2672" s="12">
        <v>572000007</v>
      </c>
    </row>
    <row r="2673" spans="3:10" x14ac:dyDescent="0.3">
      <c r="C2673" s="9" t="s">
        <v>12</v>
      </c>
      <c r="D2673" s="10">
        <v>45747</v>
      </c>
      <c r="E2673" t="s">
        <v>108</v>
      </c>
      <c r="F2673" s="11" t="s">
        <v>14</v>
      </c>
      <c r="G2673" s="8">
        <v>2190.65</v>
      </c>
      <c r="H2673" s="8">
        <v>0</v>
      </c>
      <c r="I2673" s="8">
        <f t="shared" si="104"/>
        <v>4690.6499999999978</v>
      </c>
      <c r="J2673" s="12">
        <v>572000007</v>
      </c>
    </row>
    <row r="2674" spans="3:10" x14ac:dyDescent="0.3">
      <c r="C2674" s="9" t="s">
        <v>12</v>
      </c>
      <c r="D2674" s="10">
        <v>45747</v>
      </c>
      <c r="E2674" t="s">
        <v>108</v>
      </c>
      <c r="F2674" s="11" t="s">
        <v>14</v>
      </c>
      <c r="G2674" s="8">
        <v>2030.47</v>
      </c>
      <c r="H2674" s="8">
        <v>0</v>
      </c>
      <c r="I2674" s="8">
        <f t="shared" si="104"/>
        <v>6721.1199999999981</v>
      </c>
      <c r="J2674" s="12">
        <v>572000007</v>
      </c>
    </row>
    <row r="2675" spans="3:10" x14ac:dyDescent="0.3">
      <c r="C2675" s="9" t="s">
        <v>12</v>
      </c>
      <c r="D2675" s="10">
        <v>45747</v>
      </c>
      <c r="E2675" t="s">
        <v>108</v>
      </c>
      <c r="F2675" s="11" t="s">
        <v>14</v>
      </c>
      <c r="G2675" s="8">
        <v>2002</v>
      </c>
      <c r="H2675" s="8">
        <v>0</v>
      </c>
      <c r="I2675" s="8">
        <f t="shared" si="104"/>
        <v>8723.119999999999</v>
      </c>
      <c r="J2675" s="12">
        <v>572000007</v>
      </c>
    </row>
    <row r="2676" spans="3:10" x14ac:dyDescent="0.3">
      <c r="C2676" s="9" t="s">
        <v>12</v>
      </c>
      <c r="D2676" s="10">
        <v>45747</v>
      </c>
      <c r="E2676" t="s">
        <v>108</v>
      </c>
      <c r="F2676" s="11" t="s">
        <v>14</v>
      </c>
      <c r="G2676" s="8">
        <v>594.46</v>
      </c>
      <c r="H2676" s="8">
        <v>0</v>
      </c>
      <c r="I2676" s="8">
        <f t="shared" si="104"/>
        <v>9317.5799999999981</v>
      </c>
      <c r="J2676" s="12">
        <v>572000007</v>
      </c>
    </row>
    <row r="2677" spans="3:10" x14ac:dyDescent="0.3">
      <c r="C2677" s="9" t="s">
        <v>12</v>
      </c>
      <c r="D2677" s="10">
        <v>45747</v>
      </c>
      <c r="E2677" t="s">
        <v>2417</v>
      </c>
      <c r="F2677" s="11" t="s">
        <v>14</v>
      </c>
      <c r="G2677" s="8">
        <v>0</v>
      </c>
      <c r="H2677" s="8">
        <v>12817.58</v>
      </c>
      <c r="I2677" s="8">
        <f t="shared" si="104"/>
        <v>-3500.0000000000018</v>
      </c>
      <c r="J2677" s="12"/>
    </row>
    <row r="2678" spans="3:10" x14ac:dyDescent="0.3">
      <c r="C2678" s="9" t="s">
        <v>12</v>
      </c>
      <c r="D2678" s="10">
        <v>45750</v>
      </c>
      <c r="E2678" t="s">
        <v>305</v>
      </c>
      <c r="F2678" s="11" t="s">
        <v>14</v>
      </c>
      <c r="G2678" s="8">
        <v>500</v>
      </c>
      <c r="H2678" s="8">
        <v>0</v>
      </c>
      <c r="I2678" s="8">
        <f t="shared" si="104"/>
        <v>-3000.0000000000018</v>
      </c>
      <c r="J2678" s="12">
        <v>572000007</v>
      </c>
    </row>
    <row r="2679" spans="3:10" x14ac:dyDescent="0.3">
      <c r="C2679" s="9" t="s">
        <v>12</v>
      </c>
      <c r="D2679" s="10">
        <v>45750</v>
      </c>
      <c r="E2679" t="s">
        <v>305</v>
      </c>
      <c r="F2679" s="11" t="s">
        <v>14</v>
      </c>
      <c r="G2679" s="8">
        <v>3000</v>
      </c>
      <c r="H2679" s="8">
        <v>0</v>
      </c>
      <c r="I2679" s="8">
        <f t="shared" si="104"/>
        <v>0</v>
      </c>
      <c r="J2679" s="12">
        <v>572000007</v>
      </c>
    </row>
    <row r="2680" spans="3:10" x14ac:dyDescent="0.3">
      <c r="C2680" s="9" t="s">
        <v>12</v>
      </c>
      <c r="D2680" s="10">
        <v>45763</v>
      </c>
      <c r="E2680" t="s">
        <v>2422</v>
      </c>
      <c r="F2680" s="11" t="s">
        <v>14</v>
      </c>
      <c r="G2680" s="8">
        <v>935.6</v>
      </c>
      <c r="H2680" s="8">
        <v>0</v>
      </c>
      <c r="I2680" s="8">
        <f t="shared" si="104"/>
        <v>935.6</v>
      </c>
      <c r="J2680" s="12">
        <v>572000002</v>
      </c>
    </row>
    <row r="2681" spans="3:10" x14ac:dyDescent="0.3">
      <c r="C2681" s="9" t="s">
        <v>12</v>
      </c>
      <c r="D2681" s="10">
        <v>45763</v>
      </c>
      <c r="E2681" t="s">
        <v>2422</v>
      </c>
      <c r="F2681" s="11" t="s">
        <v>14</v>
      </c>
      <c r="G2681" s="8">
        <v>1416.98</v>
      </c>
      <c r="H2681" s="8">
        <v>0</v>
      </c>
      <c r="I2681" s="8">
        <f t="shared" si="104"/>
        <v>2352.58</v>
      </c>
      <c r="J2681" s="12">
        <v>572000002</v>
      </c>
    </row>
    <row r="2682" spans="3:10" x14ac:dyDescent="0.3">
      <c r="C2682" s="9" t="s">
        <v>12</v>
      </c>
      <c r="D2682" s="10">
        <v>45763</v>
      </c>
      <c r="E2682" t="s">
        <v>2417</v>
      </c>
      <c r="F2682" s="11" t="s">
        <v>14</v>
      </c>
      <c r="G2682" s="8">
        <v>0</v>
      </c>
      <c r="H2682" s="8">
        <v>2728.33</v>
      </c>
      <c r="I2682" s="8">
        <f t="shared" si="104"/>
        <v>-375.75</v>
      </c>
      <c r="J2682" s="12"/>
    </row>
    <row r="2683" spans="3:10" x14ac:dyDescent="0.3">
      <c r="C2683" s="9" t="s">
        <v>12</v>
      </c>
      <c r="D2683" s="10">
        <v>45763</v>
      </c>
      <c r="E2683" t="s">
        <v>2417</v>
      </c>
      <c r="F2683" s="11" t="s">
        <v>14</v>
      </c>
      <c r="G2683" s="8">
        <v>0</v>
      </c>
      <c r="H2683" s="8">
        <v>-375.75</v>
      </c>
      <c r="I2683" s="8">
        <f t="shared" si="104"/>
        <v>0</v>
      </c>
      <c r="J2683" s="12"/>
    </row>
    <row r="2684" spans="3:10" x14ac:dyDescent="0.3">
      <c r="C2684" s="9" t="s">
        <v>12</v>
      </c>
      <c r="D2684" s="10">
        <v>45776</v>
      </c>
      <c r="E2684" t="s">
        <v>2423</v>
      </c>
      <c r="F2684" s="11" t="s">
        <v>14</v>
      </c>
      <c r="G2684" s="8">
        <v>13476.73</v>
      </c>
      <c r="H2684" s="8">
        <v>0</v>
      </c>
      <c r="I2684" s="8">
        <f t="shared" si="104"/>
        <v>13476.73</v>
      </c>
      <c r="J2684" s="12">
        <v>572000007</v>
      </c>
    </row>
    <row r="2685" spans="3:10" x14ac:dyDescent="0.3">
      <c r="C2685" s="9" t="s">
        <v>12</v>
      </c>
      <c r="D2685" s="10">
        <v>45777</v>
      </c>
      <c r="E2685" t="s">
        <v>2417</v>
      </c>
      <c r="F2685" s="11" t="s">
        <v>14</v>
      </c>
      <c r="G2685" s="8">
        <v>0</v>
      </c>
      <c r="H2685" s="8">
        <v>13476.73</v>
      </c>
      <c r="I2685" s="8">
        <f t="shared" si="104"/>
        <v>0</v>
      </c>
      <c r="J2685" s="12"/>
    </row>
    <row r="2686" spans="3:10" x14ac:dyDescent="0.3">
      <c r="C2686" s="9" t="s">
        <v>12</v>
      </c>
      <c r="D2686" s="10">
        <v>45806</v>
      </c>
      <c r="E2686" t="s">
        <v>2416</v>
      </c>
      <c r="F2686" s="11" t="s">
        <v>14</v>
      </c>
      <c r="G2686" s="8">
        <v>15624.14</v>
      </c>
      <c r="H2686" s="8">
        <v>0</v>
      </c>
      <c r="I2686" s="8">
        <f t="shared" si="104"/>
        <v>15624.14</v>
      </c>
      <c r="J2686" s="12">
        <v>572000007</v>
      </c>
    </row>
    <row r="2687" spans="3:10" x14ac:dyDescent="0.3">
      <c r="C2687" s="9" t="s">
        <v>12</v>
      </c>
      <c r="D2687" s="10">
        <v>45808</v>
      </c>
      <c r="E2687" t="s">
        <v>2417</v>
      </c>
      <c r="F2687" s="11" t="s">
        <v>14</v>
      </c>
      <c r="G2687" s="8">
        <v>0</v>
      </c>
      <c r="H2687" s="8">
        <v>15624.14</v>
      </c>
      <c r="I2687" s="8">
        <f t="shared" si="104"/>
        <v>0</v>
      </c>
      <c r="J2687" s="12"/>
    </row>
    <row r="2688" spans="3:10" x14ac:dyDescent="0.3">
      <c r="C2688" s="9" t="s">
        <v>12</v>
      </c>
      <c r="D2688" s="10">
        <v>45828</v>
      </c>
      <c r="E2688" t="s">
        <v>2417</v>
      </c>
      <c r="F2688" s="11" t="s">
        <v>14</v>
      </c>
      <c r="G2688" s="8">
        <v>0</v>
      </c>
      <c r="H2688" s="8">
        <v>1434.27</v>
      </c>
      <c r="I2688" s="8">
        <f t="shared" si="104"/>
        <v>-1434.27</v>
      </c>
      <c r="J2688" s="12"/>
    </row>
    <row r="2689" spans="1:10" x14ac:dyDescent="0.3">
      <c r="C2689" s="9" t="s">
        <v>12</v>
      </c>
      <c r="D2689" s="10">
        <v>45828</v>
      </c>
      <c r="E2689" t="s">
        <v>2416</v>
      </c>
      <c r="F2689" s="11" t="s">
        <v>14</v>
      </c>
      <c r="G2689" s="8">
        <v>1434.27</v>
      </c>
      <c r="H2689" s="8">
        <v>0</v>
      </c>
      <c r="I2689" s="8">
        <f t="shared" si="104"/>
        <v>0</v>
      </c>
      <c r="J2689" s="12">
        <v>572000007</v>
      </c>
    </row>
    <row r="2690" spans="1:10" x14ac:dyDescent="0.3">
      <c r="C2690" s="9" t="s">
        <v>12</v>
      </c>
      <c r="D2690" s="10">
        <v>45835</v>
      </c>
      <c r="E2690" t="s">
        <v>108</v>
      </c>
      <c r="F2690" s="11" t="s">
        <v>14</v>
      </c>
      <c r="G2690" s="8">
        <v>2324.88</v>
      </c>
      <c r="H2690" s="8">
        <v>0</v>
      </c>
      <c r="I2690" s="8">
        <f t="shared" si="104"/>
        <v>2324.88</v>
      </c>
      <c r="J2690" s="12">
        <v>572000007</v>
      </c>
    </row>
    <row r="2691" spans="1:10" x14ac:dyDescent="0.3">
      <c r="C2691" s="9" t="s">
        <v>12</v>
      </c>
      <c r="D2691" s="10">
        <v>45835</v>
      </c>
      <c r="E2691" t="s">
        <v>108</v>
      </c>
      <c r="F2691" s="11" t="s">
        <v>14</v>
      </c>
      <c r="G2691" s="8">
        <v>1664.85</v>
      </c>
      <c r="H2691" s="8">
        <v>0</v>
      </c>
      <c r="I2691" s="8">
        <f t="shared" si="104"/>
        <v>3989.73</v>
      </c>
      <c r="J2691" s="12">
        <v>572000007</v>
      </c>
    </row>
    <row r="2692" spans="1:10" x14ac:dyDescent="0.3">
      <c r="C2692" s="9" t="s">
        <v>12</v>
      </c>
      <c r="D2692" s="10">
        <v>45835</v>
      </c>
      <c r="E2692" t="s">
        <v>108</v>
      </c>
      <c r="F2692" s="11" t="s">
        <v>14</v>
      </c>
      <c r="G2692" s="8">
        <v>4562.95</v>
      </c>
      <c r="H2692" s="8">
        <v>0</v>
      </c>
      <c r="I2692" s="8">
        <f t="shared" si="104"/>
        <v>8552.68</v>
      </c>
      <c r="J2692" s="12">
        <v>572000007</v>
      </c>
    </row>
    <row r="2693" spans="1:10" x14ac:dyDescent="0.3">
      <c r="C2693" s="9" t="s">
        <v>12</v>
      </c>
      <c r="D2693" s="10">
        <v>45835</v>
      </c>
      <c r="E2693" t="s">
        <v>108</v>
      </c>
      <c r="F2693" s="11" t="s">
        <v>14</v>
      </c>
      <c r="G2693" s="8">
        <v>2048.25</v>
      </c>
      <c r="H2693" s="8">
        <v>0</v>
      </c>
      <c r="I2693" s="8">
        <f t="shared" si="104"/>
        <v>10600.93</v>
      </c>
      <c r="J2693" s="12">
        <v>572000007</v>
      </c>
    </row>
    <row r="2694" spans="1:10" x14ac:dyDescent="0.3">
      <c r="C2694" s="9" t="s">
        <v>12</v>
      </c>
      <c r="D2694" s="10">
        <v>45835</v>
      </c>
      <c r="E2694" t="s">
        <v>2416</v>
      </c>
      <c r="F2694" s="11" t="s">
        <v>14</v>
      </c>
      <c r="G2694" s="8">
        <v>6390.39</v>
      </c>
      <c r="H2694" s="8">
        <v>0</v>
      </c>
      <c r="I2694" s="8">
        <f t="shared" si="104"/>
        <v>16991.32</v>
      </c>
      <c r="J2694" s="12">
        <v>572000007</v>
      </c>
    </row>
    <row r="2695" spans="1:10" x14ac:dyDescent="0.3">
      <c r="C2695" s="9" t="s">
        <v>12</v>
      </c>
      <c r="D2695" s="10">
        <v>45838</v>
      </c>
      <c r="E2695" t="s">
        <v>2417</v>
      </c>
      <c r="F2695" s="11" t="s">
        <v>14</v>
      </c>
      <c r="G2695" s="8">
        <v>0</v>
      </c>
      <c r="H2695" s="8">
        <v>16991.32</v>
      </c>
      <c r="I2695" s="8">
        <f t="shared" si="104"/>
        <v>0</v>
      </c>
      <c r="J2695" s="12"/>
    </row>
    <row r="2696" spans="1:10" x14ac:dyDescent="0.3">
      <c r="C2696" s="9"/>
      <c r="D2696" s="10">
        <v>45856</v>
      </c>
      <c r="E2696" t="s">
        <v>2424</v>
      </c>
      <c r="F2696" s="11" t="s">
        <v>14</v>
      </c>
      <c r="G2696" s="8">
        <v>400</v>
      </c>
      <c r="H2696" s="8">
        <v>0</v>
      </c>
      <c r="I2696" s="8">
        <f t="shared" si="104"/>
        <v>400</v>
      </c>
      <c r="J2696" s="12">
        <v>572000007</v>
      </c>
    </row>
    <row r="2697" spans="1:10" x14ac:dyDescent="0.3">
      <c r="C2697" s="9"/>
      <c r="D2697" s="10">
        <v>45867</v>
      </c>
      <c r="E2697" t="s">
        <v>2423</v>
      </c>
      <c r="F2697" s="11" t="s">
        <v>14</v>
      </c>
      <c r="G2697" s="8">
        <v>18305.61</v>
      </c>
      <c r="H2697" s="8">
        <v>0</v>
      </c>
      <c r="I2697" s="8">
        <f t="shared" si="104"/>
        <v>18705.61</v>
      </c>
      <c r="J2697" s="12">
        <v>572000007</v>
      </c>
    </row>
    <row r="2698" spans="1:10" x14ac:dyDescent="0.3">
      <c r="C2698" s="9"/>
      <c r="D2698" s="10">
        <v>45869</v>
      </c>
      <c r="E2698" t="s">
        <v>2417</v>
      </c>
      <c r="F2698" s="11" t="s">
        <v>14</v>
      </c>
      <c r="G2698" s="8">
        <v>0</v>
      </c>
      <c r="H2698" s="8">
        <v>18305.61</v>
      </c>
      <c r="I2698" s="8">
        <f t="shared" si="104"/>
        <v>400</v>
      </c>
      <c r="J2698" s="12"/>
    </row>
    <row r="2699" spans="1:10" x14ac:dyDescent="0.3">
      <c r="C2699" s="9"/>
      <c r="D2699" s="10">
        <v>45897</v>
      </c>
      <c r="E2699" t="s">
        <v>2423</v>
      </c>
      <c r="F2699" s="11" t="s">
        <v>14</v>
      </c>
      <c r="G2699" s="8">
        <v>19764.22</v>
      </c>
      <c r="H2699" s="8">
        <v>0</v>
      </c>
      <c r="I2699" s="8">
        <f t="shared" si="104"/>
        <v>20164.22</v>
      </c>
      <c r="J2699" s="12">
        <v>572000007</v>
      </c>
    </row>
    <row r="2700" spans="1:10" x14ac:dyDescent="0.3">
      <c r="C2700" s="9"/>
      <c r="D2700" s="10">
        <v>45900</v>
      </c>
      <c r="E2700" t="s">
        <v>2417</v>
      </c>
      <c r="F2700" s="11" t="s">
        <v>14</v>
      </c>
      <c r="G2700" s="8">
        <v>0</v>
      </c>
      <c r="H2700" s="8">
        <v>19764.22</v>
      </c>
      <c r="I2700" s="8">
        <f t="shared" si="104"/>
        <v>400</v>
      </c>
      <c r="J2700" s="12"/>
    </row>
    <row r="2701" spans="1:10" x14ac:dyDescent="0.3">
      <c r="C2701" s="9"/>
      <c r="D2701" s="10">
        <v>45930</v>
      </c>
      <c r="E2701" t="s">
        <v>2417</v>
      </c>
      <c r="F2701" s="11" t="s">
        <v>14</v>
      </c>
      <c r="G2701" s="8">
        <v>0</v>
      </c>
      <c r="H2701" s="8">
        <v>19073.849999999999</v>
      </c>
      <c r="I2701" s="8">
        <f t="shared" si="104"/>
        <v>-18673.849999999999</v>
      </c>
      <c r="J2701" s="12"/>
    </row>
    <row r="2702" spans="1:10" x14ac:dyDescent="0.3">
      <c r="E2702" s="4" t="s">
        <v>116</v>
      </c>
      <c r="G2702" s="8">
        <f>SUM(G2654:G2701)</f>
        <v>132982.69</v>
      </c>
      <c r="H2702" s="8">
        <f>SUM(H2654:H2701)</f>
        <v>151656.54</v>
      </c>
      <c r="I2702" s="8">
        <f>G2702-H2702</f>
        <v>-18673.850000000006</v>
      </c>
    </row>
    <row r="2704" spans="1:10" x14ac:dyDescent="0.3">
      <c r="A2704" s="5">
        <v>472000000</v>
      </c>
      <c r="B2704" s="6" t="s">
        <v>2425</v>
      </c>
      <c r="C2704" s="7"/>
      <c r="D2704" s="7"/>
      <c r="E2704" s="7"/>
      <c r="F2704" s="7"/>
      <c r="G2704" s="7"/>
      <c r="H2704" s="7"/>
      <c r="I2704" s="7"/>
      <c r="J2704" s="7"/>
    </row>
    <row r="2705" spans="3:10" x14ac:dyDescent="0.3">
      <c r="C2705" s="9" t="s">
        <v>12</v>
      </c>
      <c r="D2705" s="10">
        <v>45658</v>
      </c>
      <c r="E2705" t="s">
        <v>2426</v>
      </c>
      <c r="F2705" s="11" t="s">
        <v>2427</v>
      </c>
      <c r="G2705" s="8">
        <v>8.6199999999999992</v>
      </c>
      <c r="H2705" s="8">
        <v>0</v>
      </c>
      <c r="I2705" s="8">
        <f>G2705-H2705</f>
        <v>8.6199999999999992</v>
      </c>
      <c r="J2705" s="12"/>
    </row>
    <row r="2706" spans="3:10" x14ac:dyDescent="0.3">
      <c r="C2706" s="9" t="s">
        <v>12</v>
      </c>
      <c r="D2706" s="10">
        <v>45658</v>
      </c>
      <c r="E2706" t="s">
        <v>2428</v>
      </c>
      <c r="F2706" s="11" t="s">
        <v>842</v>
      </c>
      <c r="G2706" s="8">
        <v>17.100000000000001</v>
      </c>
      <c r="H2706" s="8">
        <v>0</v>
      </c>
      <c r="I2706" s="8">
        <f t="shared" ref="I2706:I2769" si="105">G2706-H2706+I2705</f>
        <v>25.72</v>
      </c>
      <c r="J2706" s="12"/>
    </row>
    <row r="2707" spans="3:10" x14ac:dyDescent="0.3">
      <c r="C2707" s="9" t="s">
        <v>12</v>
      </c>
      <c r="D2707" s="10">
        <v>45658</v>
      </c>
      <c r="E2707" t="s">
        <v>2429</v>
      </c>
      <c r="F2707" s="11" t="s">
        <v>2430</v>
      </c>
      <c r="G2707" s="8">
        <v>61.15</v>
      </c>
      <c r="H2707" s="8">
        <v>0</v>
      </c>
      <c r="I2707" s="8">
        <f t="shared" si="105"/>
        <v>86.87</v>
      </c>
      <c r="J2707" s="12"/>
    </row>
    <row r="2708" spans="3:10" x14ac:dyDescent="0.3">
      <c r="C2708" s="9" t="s">
        <v>12</v>
      </c>
      <c r="D2708" s="10">
        <v>45658</v>
      </c>
      <c r="E2708" t="s">
        <v>2431</v>
      </c>
      <c r="F2708" s="11" t="s">
        <v>792</v>
      </c>
      <c r="G2708" s="8">
        <v>71.290000000000006</v>
      </c>
      <c r="H2708" s="8">
        <v>0</v>
      </c>
      <c r="I2708" s="8">
        <f t="shared" si="105"/>
        <v>158.16000000000003</v>
      </c>
      <c r="J2708" s="12"/>
    </row>
    <row r="2709" spans="3:10" x14ac:dyDescent="0.3">
      <c r="C2709" s="9" t="s">
        <v>12</v>
      </c>
      <c r="D2709" s="10">
        <v>45659</v>
      </c>
      <c r="E2709" t="s">
        <v>2432</v>
      </c>
      <c r="F2709" s="11" t="s">
        <v>2433</v>
      </c>
      <c r="G2709" s="8">
        <v>48.13</v>
      </c>
      <c r="H2709" s="8">
        <v>0</v>
      </c>
      <c r="I2709" s="8">
        <f t="shared" si="105"/>
        <v>206.29000000000002</v>
      </c>
      <c r="J2709" s="12"/>
    </row>
    <row r="2710" spans="3:10" x14ac:dyDescent="0.3">
      <c r="C2710" s="9" t="s">
        <v>12</v>
      </c>
      <c r="D2710" s="10">
        <v>45659</v>
      </c>
      <c r="E2710" t="s">
        <v>2434</v>
      </c>
      <c r="F2710" s="11" t="s">
        <v>581</v>
      </c>
      <c r="G2710" s="8">
        <v>42</v>
      </c>
      <c r="H2710" s="8">
        <v>0</v>
      </c>
      <c r="I2710" s="8">
        <f t="shared" si="105"/>
        <v>248.29000000000002</v>
      </c>
      <c r="J2710" s="12"/>
    </row>
    <row r="2711" spans="3:10" x14ac:dyDescent="0.3">
      <c r="C2711" s="9" t="s">
        <v>12</v>
      </c>
      <c r="D2711" s="10">
        <v>45659</v>
      </c>
      <c r="E2711" t="s">
        <v>2434</v>
      </c>
      <c r="F2711" s="11" t="s">
        <v>583</v>
      </c>
      <c r="G2711" s="8">
        <v>22.91</v>
      </c>
      <c r="H2711" s="8">
        <v>0</v>
      </c>
      <c r="I2711" s="8">
        <f t="shared" si="105"/>
        <v>271.20000000000005</v>
      </c>
      <c r="J2711" s="12"/>
    </row>
    <row r="2712" spans="3:10" x14ac:dyDescent="0.3">
      <c r="C2712" s="9" t="s">
        <v>12</v>
      </c>
      <c r="D2712" s="10">
        <v>45659</v>
      </c>
      <c r="E2712" t="s">
        <v>2434</v>
      </c>
      <c r="F2712" s="11" t="s">
        <v>585</v>
      </c>
      <c r="G2712" s="8">
        <v>36.67</v>
      </c>
      <c r="H2712" s="8">
        <v>0</v>
      </c>
      <c r="I2712" s="8">
        <f t="shared" si="105"/>
        <v>307.87000000000006</v>
      </c>
      <c r="J2712" s="12"/>
    </row>
    <row r="2713" spans="3:10" x14ac:dyDescent="0.3">
      <c r="C2713" s="9" t="s">
        <v>12</v>
      </c>
      <c r="D2713" s="10">
        <v>45659</v>
      </c>
      <c r="E2713" t="s">
        <v>2434</v>
      </c>
      <c r="F2713" s="11" t="s">
        <v>587</v>
      </c>
      <c r="G2713" s="8">
        <v>4.12</v>
      </c>
      <c r="H2713" s="8">
        <v>0</v>
      </c>
      <c r="I2713" s="8">
        <f t="shared" si="105"/>
        <v>311.99000000000007</v>
      </c>
      <c r="J2713" s="12"/>
    </row>
    <row r="2714" spans="3:10" x14ac:dyDescent="0.3">
      <c r="C2714" s="9" t="s">
        <v>12</v>
      </c>
      <c r="D2714" s="10">
        <v>45659</v>
      </c>
      <c r="E2714" t="s">
        <v>2435</v>
      </c>
      <c r="F2714" s="11" t="s">
        <v>514</v>
      </c>
      <c r="G2714" s="8">
        <v>144.91999999999999</v>
      </c>
      <c r="H2714" s="8">
        <v>0</v>
      </c>
      <c r="I2714" s="8">
        <f t="shared" si="105"/>
        <v>456.91000000000008</v>
      </c>
      <c r="J2714" s="12"/>
    </row>
    <row r="2715" spans="3:10" x14ac:dyDescent="0.3">
      <c r="C2715" s="9" t="s">
        <v>12</v>
      </c>
      <c r="D2715" s="10">
        <v>45659</v>
      </c>
      <c r="E2715" t="s">
        <v>2435</v>
      </c>
      <c r="F2715" s="11" t="s">
        <v>516</v>
      </c>
      <c r="G2715" s="8">
        <v>127.85</v>
      </c>
      <c r="H2715" s="8">
        <v>0</v>
      </c>
      <c r="I2715" s="8">
        <f t="shared" si="105"/>
        <v>584.7600000000001</v>
      </c>
      <c r="J2715" s="12"/>
    </row>
    <row r="2716" spans="3:10" x14ac:dyDescent="0.3">
      <c r="C2716" s="9" t="s">
        <v>12</v>
      </c>
      <c r="D2716" s="10">
        <v>45659</v>
      </c>
      <c r="E2716" t="s">
        <v>2436</v>
      </c>
      <c r="F2716" s="11" t="s">
        <v>2437</v>
      </c>
      <c r="G2716" s="8">
        <v>44.44</v>
      </c>
      <c r="H2716" s="8">
        <v>0</v>
      </c>
      <c r="I2716" s="8">
        <f t="shared" si="105"/>
        <v>629.20000000000005</v>
      </c>
      <c r="J2716" s="12"/>
    </row>
    <row r="2717" spans="3:10" x14ac:dyDescent="0.3">
      <c r="C2717" s="9" t="s">
        <v>12</v>
      </c>
      <c r="D2717" s="10">
        <v>45659</v>
      </c>
      <c r="E2717" t="s">
        <v>2436</v>
      </c>
      <c r="F2717" s="11" t="s">
        <v>2438</v>
      </c>
      <c r="G2717" s="8">
        <v>46.62</v>
      </c>
      <c r="H2717" s="8">
        <v>0</v>
      </c>
      <c r="I2717" s="8">
        <f t="shared" si="105"/>
        <v>675.82</v>
      </c>
      <c r="J2717" s="12"/>
    </row>
    <row r="2718" spans="3:10" x14ac:dyDescent="0.3">
      <c r="C2718" s="9" t="s">
        <v>12</v>
      </c>
      <c r="D2718" s="10">
        <v>45659</v>
      </c>
      <c r="E2718" t="s">
        <v>2439</v>
      </c>
      <c r="F2718" s="11" t="s">
        <v>804</v>
      </c>
      <c r="G2718" s="8">
        <v>18.600000000000001</v>
      </c>
      <c r="H2718" s="8">
        <v>0</v>
      </c>
      <c r="I2718" s="8">
        <f t="shared" si="105"/>
        <v>694.42000000000007</v>
      </c>
      <c r="J2718" s="12"/>
    </row>
    <row r="2719" spans="3:10" x14ac:dyDescent="0.3">
      <c r="C2719" s="9" t="s">
        <v>12</v>
      </c>
      <c r="D2719" s="10">
        <v>45659</v>
      </c>
      <c r="E2719" t="s">
        <v>2440</v>
      </c>
      <c r="F2719" s="11" t="s">
        <v>854</v>
      </c>
      <c r="G2719" s="8">
        <v>4.87</v>
      </c>
      <c r="H2719" s="8">
        <v>0</v>
      </c>
      <c r="I2719" s="8">
        <f t="shared" si="105"/>
        <v>699.29000000000008</v>
      </c>
      <c r="J2719" s="12"/>
    </row>
    <row r="2720" spans="3:10" x14ac:dyDescent="0.3">
      <c r="C2720" s="9" t="s">
        <v>12</v>
      </c>
      <c r="D2720" s="10">
        <v>45659</v>
      </c>
      <c r="E2720" t="s">
        <v>2440</v>
      </c>
      <c r="F2720" s="11" t="s">
        <v>856</v>
      </c>
      <c r="G2720" s="8">
        <v>3.05</v>
      </c>
      <c r="H2720" s="8">
        <v>0</v>
      </c>
      <c r="I2720" s="8">
        <f t="shared" si="105"/>
        <v>702.34</v>
      </c>
      <c r="J2720" s="12"/>
    </row>
    <row r="2721" spans="3:10" x14ac:dyDescent="0.3">
      <c r="C2721" s="9" t="s">
        <v>12</v>
      </c>
      <c r="D2721" s="10">
        <v>45659</v>
      </c>
      <c r="E2721" t="s">
        <v>2440</v>
      </c>
      <c r="F2721" s="11" t="s">
        <v>858</v>
      </c>
      <c r="G2721" s="8">
        <v>10.4</v>
      </c>
      <c r="H2721" s="8">
        <v>0</v>
      </c>
      <c r="I2721" s="8">
        <f t="shared" si="105"/>
        <v>712.74</v>
      </c>
      <c r="J2721" s="12"/>
    </row>
    <row r="2722" spans="3:10" x14ac:dyDescent="0.3">
      <c r="C2722" s="9" t="s">
        <v>12</v>
      </c>
      <c r="D2722" s="10">
        <v>45659</v>
      </c>
      <c r="E2722" t="s">
        <v>2441</v>
      </c>
      <c r="F2722" s="11" t="s">
        <v>14</v>
      </c>
      <c r="G2722" s="8">
        <v>-102.9</v>
      </c>
      <c r="H2722" s="8">
        <v>0</v>
      </c>
      <c r="I2722" s="8">
        <f t="shared" si="105"/>
        <v>609.84</v>
      </c>
      <c r="J2722" s="12"/>
    </row>
    <row r="2723" spans="3:10" x14ac:dyDescent="0.3">
      <c r="C2723" s="9" t="s">
        <v>12</v>
      </c>
      <c r="D2723" s="10">
        <v>45659</v>
      </c>
      <c r="E2723" t="s">
        <v>2442</v>
      </c>
      <c r="F2723" s="11" t="s">
        <v>566</v>
      </c>
      <c r="G2723" s="8">
        <v>124.98</v>
      </c>
      <c r="H2723" s="8">
        <v>0</v>
      </c>
      <c r="I2723" s="8">
        <f t="shared" si="105"/>
        <v>734.82</v>
      </c>
      <c r="J2723" s="12"/>
    </row>
    <row r="2724" spans="3:10" x14ac:dyDescent="0.3">
      <c r="C2724" s="9" t="s">
        <v>12</v>
      </c>
      <c r="D2724" s="10">
        <v>45660</v>
      </c>
      <c r="E2724" t="s">
        <v>2443</v>
      </c>
      <c r="F2724" s="11" t="s">
        <v>2444</v>
      </c>
      <c r="G2724" s="8">
        <v>1.26</v>
      </c>
      <c r="H2724" s="8">
        <v>0</v>
      </c>
      <c r="I2724" s="8">
        <f t="shared" si="105"/>
        <v>736.08</v>
      </c>
      <c r="J2724" s="12"/>
    </row>
    <row r="2725" spans="3:10" x14ac:dyDescent="0.3">
      <c r="C2725" s="9" t="s">
        <v>12</v>
      </c>
      <c r="D2725" s="10">
        <v>45660</v>
      </c>
      <c r="E2725" t="s">
        <v>2441</v>
      </c>
      <c r="F2725" s="11" t="s">
        <v>25</v>
      </c>
      <c r="G2725" s="8">
        <v>21.07</v>
      </c>
      <c r="H2725" s="8">
        <v>0</v>
      </c>
      <c r="I2725" s="8">
        <f t="shared" si="105"/>
        <v>757.15000000000009</v>
      </c>
      <c r="J2725" s="12"/>
    </row>
    <row r="2726" spans="3:10" x14ac:dyDescent="0.3">
      <c r="C2726" s="9" t="s">
        <v>12</v>
      </c>
      <c r="D2726" s="10">
        <v>45664</v>
      </c>
      <c r="E2726" t="s">
        <v>2445</v>
      </c>
      <c r="F2726" s="11" t="s">
        <v>2446</v>
      </c>
      <c r="G2726" s="8">
        <v>34.65</v>
      </c>
      <c r="H2726" s="8">
        <v>0</v>
      </c>
      <c r="I2726" s="8">
        <f t="shared" si="105"/>
        <v>791.80000000000007</v>
      </c>
      <c r="J2726" s="12"/>
    </row>
    <row r="2727" spans="3:10" x14ac:dyDescent="0.3">
      <c r="C2727" s="9" t="s">
        <v>12</v>
      </c>
      <c r="D2727" s="10">
        <v>45664</v>
      </c>
      <c r="E2727" t="s">
        <v>2441</v>
      </c>
      <c r="F2727" s="11" t="s">
        <v>27</v>
      </c>
      <c r="G2727" s="8">
        <v>49.65</v>
      </c>
      <c r="H2727" s="8">
        <v>0</v>
      </c>
      <c r="I2727" s="8">
        <f t="shared" si="105"/>
        <v>841.45</v>
      </c>
      <c r="J2727" s="12"/>
    </row>
    <row r="2728" spans="3:10" x14ac:dyDescent="0.3">
      <c r="C2728" s="9" t="s">
        <v>12</v>
      </c>
      <c r="D2728" s="10">
        <v>45665</v>
      </c>
      <c r="E2728" t="s">
        <v>2447</v>
      </c>
      <c r="F2728" s="11" t="s">
        <v>147</v>
      </c>
      <c r="G2728" s="8">
        <v>58.16</v>
      </c>
      <c r="H2728" s="8">
        <v>0</v>
      </c>
      <c r="I2728" s="8">
        <f t="shared" si="105"/>
        <v>899.61</v>
      </c>
      <c r="J2728" s="12"/>
    </row>
    <row r="2729" spans="3:10" x14ac:dyDescent="0.3">
      <c r="C2729" s="9" t="s">
        <v>12</v>
      </c>
      <c r="D2729" s="10">
        <v>45665</v>
      </c>
      <c r="E2729" t="s">
        <v>2441</v>
      </c>
      <c r="F2729" s="11" t="s">
        <v>29</v>
      </c>
      <c r="G2729" s="8">
        <v>873.83</v>
      </c>
      <c r="H2729" s="8">
        <v>0</v>
      </c>
      <c r="I2729" s="8">
        <f t="shared" si="105"/>
        <v>1773.44</v>
      </c>
      <c r="J2729" s="12"/>
    </row>
    <row r="2730" spans="3:10" x14ac:dyDescent="0.3">
      <c r="C2730" s="9" t="s">
        <v>12</v>
      </c>
      <c r="D2730" s="10">
        <v>45666</v>
      </c>
      <c r="E2730" t="s">
        <v>2441</v>
      </c>
      <c r="F2730" s="11" t="s">
        <v>31</v>
      </c>
      <c r="G2730" s="8">
        <v>922.86</v>
      </c>
      <c r="H2730" s="8">
        <v>0</v>
      </c>
      <c r="I2730" s="8">
        <f t="shared" si="105"/>
        <v>2696.3</v>
      </c>
      <c r="J2730" s="12"/>
    </row>
    <row r="2731" spans="3:10" x14ac:dyDescent="0.3">
      <c r="C2731" s="9" t="s">
        <v>12</v>
      </c>
      <c r="D2731" s="10">
        <v>45666</v>
      </c>
      <c r="E2731" t="s">
        <v>2434</v>
      </c>
      <c r="F2731" s="11" t="s">
        <v>589</v>
      </c>
      <c r="G2731" s="8">
        <v>2.88</v>
      </c>
      <c r="H2731" s="8">
        <v>0</v>
      </c>
      <c r="I2731" s="8">
        <f t="shared" si="105"/>
        <v>2699.1800000000003</v>
      </c>
      <c r="J2731" s="12"/>
    </row>
    <row r="2732" spans="3:10" x14ac:dyDescent="0.3">
      <c r="C2732" s="9" t="s">
        <v>12</v>
      </c>
      <c r="D2732" s="10">
        <v>45667</v>
      </c>
      <c r="E2732" t="s">
        <v>2448</v>
      </c>
      <c r="F2732" s="11" t="s">
        <v>218</v>
      </c>
      <c r="G2732" s="8">
        <v>41.71</v>
      </c>
      <c r="H2732" s="8">
        <v>0</v>
      </c>
      <c r="I2732" s="8">
        <f t="shared" si="105"/>
        <v>2740.8900000000003</v>
      </c>
      <c r="J2732" s="12"/>
    </row>
    <row r="2733" spans="3:10" x14ac:dyDescent="0.3">
      <c r="C2733" s="9" t="s">
        <v>12</v>
      </c>
      <c r="D2733" s="10">
        <v>45670</v>
      </c>
      <c r="E2733" t="s">
        <v>2441</v>
      </c>
      <c r="F2733" s="11" t="s">
        <v>33</v>
      </c>
      <c r="G2733" s="8">
        <v>476.83</v>
      </c>
      <c r="H2733" s="8">
        <v>0</v>
      </c>
      <c r="I2733" s="8">
        <f t="shared" si="105"/>
        <v>3217.7200000000003</v>
      </c>
      <c r="J2733" s="12"/>
    </row>
    <row r="2734" spans="3:10" x14ac:dyDescent="0.3">
      <c r="C2734" s="9" t="s">
        <v>12</v>
      </c>
      <c r="D2734" s="10">
        <v>45670</v>
      </c>
      <c r="E2734" t="s">
        <v>2449</v>
      </c>
      <c r="F2734" s="11" t="s">
        <v>770</v>
      </c>
      <c r="G2734" s="8">
        <v>5.7</v>
      </c>
      <c r="H2734" s="8">
        <v>0</v>
      </c>
      <c r="I2734" s="8">
        <f t="shared" si="105"/>
        <v>3223.42</v>
      </c>
      <c r="J2734" s="12"/>
    </row>
    <row r="2735" spans="3:10" x14ac:dyDescent="0.3">
      <c r="C2735" s="9" t="s">
        <v>12</v>
      </c>
      <c r="D2735" s="10">
        <v>45670</v>
      </c>
      <c r="E2735" t="s">
        <v>2450</v>
      </c>
      <c r="F2735" s="11" t="s">
        <v>2451</v>
      </c>
      <c r="G2735" s="8">
        <v>78.13</v>
      </c>
      <c r="H2735" s="8">
        <v>0</v>
      </c>
      <c r="I2735" s="8">
        <f t="shared" si="105"/>
        <v>3301.55</v>
      </c>
      <c r="J2735" s="12"/>
    </row>
    <row r="2736" spans="3:10" x14ac:dyDescent="0.3">
      <c r="C2736" s="9" t="s">
        <v>12</v>
      </c>
      <c r="D2736" s="10">
        <v>45670</v>
      </c>
      <c r="E2736" t="s">
        <v>2429</v>
      </c>
      <c r="F2736" s="11" t="s">
        <v>2452</v>
      </c>
      <c r="G2736" s="8">
        <v>6.83</v>
      </c>
      <c r="H2736" s="8">
        <v>0</v>
      </c>
      <c r="I2736" s="8">
        <f t="shared" si="105"/>
        <v>3308.38</v>
      </c>
      <c r="J2736" s="12"/>
    </row>
    <row r="2737" spans="3:10" x14ac:dyDescent="0.3">
      <c r="C2737" s="9" t="s">
        <v>12</v>
      </c>
      <c r="D2737" s="10">
        <v>45670</v>
      </c>
      <c r="E2737" t="s">
        <v>2434</v>
      </c>
      <c r="F2737" s="11" t="s">
        <v>590</v>
      </c>
      <c r="G2737" s="8">
        <v>4.76</v>
      </c>
      <c r="H2737" s="8">
        <v>0</v>
      </c>
      <c r="I2737" s="8">
        <f t="shared" si="105"/>
        <v>3313.1400000000003</v>
      </c>
      <c r="J2737" s="12"/>
    </row>
    <row r="2738" spans="3:10" x14ac:dyDescent="0.3">
      <c r="C2738" s="9" t="s">
        <v>12</v>
      </c>
      <c r="D2738" s="10">
        <v>45671</v>
      </c>
      <c r="E2738" t="s">
        <v>2441</v>
      </c>
      <c r="F2738" s="11" t="s">
        <v>36</v>
      </c>
      <c r="G2738" s="8">
        <v>13.52</v>
      </c>
      <c r="H2738" s="8">
        <v>0</v>
      </c>
      <c r="I2738" s="8">
        <f t="shared" si="105"/>
        <v>3326.6600000000003</v>
      </c>
      <c r="J2738" s="12"/>
    </row>
    <row r="2739" spans="3:10" x14ac:dyDescent="0.3">
      <c r="C2739" s="9" t="s">
        <v>12</v>
      </c>
      <c r="D2739" s="10">
        <v>45671</v>
      </c>
      <c r="E2739" t="s">
        <v>2434</v>
      </c>
      <c r="F2739" s="11" t="s">
        <v>591</v>
      </c>
      <c r="G2739" s="8">
        <v>2.15</v>
      </c>
      <c r="H2739" s="8">
        <v>0</v>
      </c>
      <c r="I2739" s="8">
        <f t="shared" si="105"/>
        <v>3328.8100000000004</v>
      </c>
      <c r="J2739" s="12"/>
    </row>
    <row r="2740" spans="3:10" x14ac:dyDescent="0.3">
      <c r="C2740" s="9" t="s">
        <v>12</v>
      </c>
      <c r="D2740" s="10">
        <v>45672</v>
      </c>
      <c r="E2740" t="s">
        <v>2453</v>
      </c>
      <c r="F2740" s="11" t="s">
        <v>183</v>
      </c>
      <c r="G2740" s="8">
        <v>34.479999999999997</v>
      </c>
      <c r="H2740" s="8">
        <v>0</v>
      </c>
      <c r="I2740" s="8">
        <f t="shared" si="105"/>
        <v>3363.2900000000004</v>
      </c>
      <c r="J2740" s="12"/>
    </row>
    <row r="2741" spans="3:10" x14ac:dyDescent="0.3">
      <c r="C2741" s="9" t="s">
        <v>12</v>
      </c>
      <c r="D2741" s="10">
        <v>45672</v>
      </c>
      <c r="E2741" t="s">
        <v>2441</v>
      </c>
      <c r="F2741" s="11" t="s">
        <v>38</v>
      </c>
      <c r="G2741" s="8">
        <v>126.47</v>
      </c>
      <c r="H2741" s="8">
        <v>0</v>
      </c>
      <c r="I2741" s="8">
        <f t="shared" si="105"/>
        <v>3489.76</v>
      </c>
      <c r="J2741" s="12"/>
    </row>
    <row r="2742" spans="3:10" x14ac:dyDescent="0.3">
      <c r="C2742" s="9" t="s">
        <v>12</v>
      </c>
      <c r="D2742" s="10">
        <v>45672</v>
      </c>
      <c r="E2742" t="s">
        <v>2454</v>
      </c>
      <c r="F2742" s="11" t="s">
        <v>2455</v>
      </c>
      <c r="G2742" s="8">
        <v>139.65</v>
      </c>
      <c r="H2742" s="8">
        <v>0</v>
      </c>
      <c r="I2742" s="8">
        <f t="shared" si="105"/>
        <v>3629.4100000000003</v>
      </c>
      <c r="J2742" s="12"/>
    </row>
    <row r="2743" spans="3:10" x14ac:dyDescent="0.3">
      <c r="C2743" s="9" t="s">
        <v>12</v>
      </c>
      <c r="D2743" s="10">
        <v>45673</v>
      </c>
      <c r="E2743" t="s">
        <v>2447</v>
      </c>
      <c r="F2743" s="11" t="s">
        <v>149</v>
      </c>
      <c r="G2743" s="8">
        <v>11.23</v>
      </c>
      <c r="H2743" s="8">
        <v>0</v>
      </c>
      <c r="I2743" s="8">
        <f t="shared" si="105"/>
        <v>3640.6400000000003</v>
      </c>
      <c r="J2743" s="12"/>
    </row>
    <row r="2744" spans="3:10" x14ac:dyDescent="0.3">
      <c r="C2744" s="9" t="s">
        <v>12</v>
      </c>
      <c r="D2744" s="10">
        <v>45673</v>
      </c>
      <c r="E2744" t="s">
        <v>2441</v>
      </c>
      <c r="F2744" s="11" t="s">
        <v>40</v>
      </c>
      <c r="G2744" s="8">
        <v>242.48</v>
      </c>
      <c r="H2744" s="8">
        <v>0</v>
      </c>
      <c r="I2744" s="8">
        <f t="shared" si="105"/>
        <v>3883.1200000000003</v>
      </c>
      <c r="J2744" s="12"/>
    </row>
    <row r="2745" spans="3:10" x14ac:dyDescent="0.3">
      <c r="C2745" s="9" t="s">
        <v>12</v>
      </c>
      <c r="D2745" s="10">
        <v>45674</v>
      </c>
      <c r="E2745" t="s">
        <v>2441</v>
      </c>
      <c r="F2745" s="11" t="s">
        <v>42</v>
      </c>
      <c r="G2745" s="8">
        <v>53.39</v>
      </c>
      <c r="H2745" s="8">
        <v>0</v>
      </c>
      <c r="I2745" s="8">
        <f t="shared" si="105"/>
        <v>3936.51</v>
      </c>
      <c r="J2745" s="12"/>
    </row>
    <row r="2746" spans="3:10" x14ac:dyDescent="0.3">
      <c r="C2746" s="9" t="s">
        <v>12</v>
      </c>
      <c r="D2746" s="10">
        <v>45674</v>
      </c>
      <c r="E2746" t="s">
        <v>2456</v>
      </c>
      <c r="F2746" s="11" t="s">
        <v>232</v>
      </c>
      <c r="G2746" s="8">
        <v>25.52</v>
      </c>
      <c r="H2746" s="8">
        <v>0</v>
      </c>
      <c r="I2746" s="8">
        <f t="shared" si="105"/>
        <v>3962.03</v>
      </c>
      <c r="J2746" s="12"/>
    </row>
    <row r="2747" spans="3:10" x14ac:dyDescent="0.3">
      <c r="C2747" s="9" t="s">
        <v>12</v>
      </c>
      <c r="D2747" s="10">
        <v>45674</v>
      </c>
      <c r="E2747" t="s">
        <v>2434</v>
      </c>
      <c r="F2747" s="11" t="s">
        <v>592</v>
      </c>
      <c r="G2747" s="8">
        <v>3.34</v>
      </c>
      <c r="H2747" s="8">
        <v>0</v>
      </c>
      <c r="I2747" s="8">
        <f t="shared" si="105"/>
        <v>3965.3700000000003</v>
      </c>
      <c r="J2747" s="12"/>
    </row>
    <row r="2748" spans="3:10" x14ac:dyDescent="0.3">
      <c r="C2748" s="9" t="s">
        <v>12</v>
      </c>
      <c r="D2748" s="10">
        <v>45676</v>
      </c>
      <c r="E2748" t="s">
        <v>2457</v>
      </c>
      <c r="F2748" s="11" t="s">
        <v>462</v>
      </c>
      <c r="G2748" s="8">
        <v>1.1200000000000001</v>
      </c>
      <c r="H2748" s="8">
        <v>0</v>
      </c>
      <c r="I2748" s="8">
        <f t="shared" si="105"/>
        <v>3966.4900000000002</v>
      </c>
      <c r="J2748" s="12"/>
    </row>
    <row r="2749" spans="3:10" x14ac:dyDescent="0.3">
      <c r="C2749" s="9" t="s">
        <v>12</v>
      </c>
      <c r="D2749" s="10">
        <v>45677</v>
      </c>
      <c r="E2749" t="s">
        <v>2457</v>
      </c>
      <c r="F2749" s="11" t="s">
        <v>464</v>
      </c>
      <c r="G2749" s="8">
        <v>7.1</v>
      </c>
      <c r="H2749" s="8">
        <v>0</v>
      </c>
      <c r="I2749" s="8">
        <f t="shared" si="105"/>
        <v>3973.59</v>
      </c>
      <c r="J2749" s="12"/>
    </row>
    <row r="2750" spans="3:10" x14ac:dyDescent="0.3">
      <c r="C2750" s="9" t="s">
        <v>12</v>
      </c>
      <c r="D2750" s="10">
        <v>45677</v>
      </c>
      <c r="E2750" t="s">
        <v>2457</v>
      </c>
      <c r="F2750" s="11" t="s">
        <v>464</v>
      </c>
      <c r="G2750" s="8">
        <v>0.85</v>
      </c>
      <c r="H2750" s="8">
        <v>0</v>
      </c>
      <c r="I2750" s="8">
        <f t="shared" si="105"/>
        <v>3974.44</v>
      </c>
      <c r="J2750" s="12"/>
    </row>
    <row r="2751" spans="3:10" x14ac:dyDescent="0.3">
      <c r="C2751" s="9" t="s">
        <v>12</v>
      </c>
      <c r="D2751" s="10">
        <v>45677</v>
      </c>
      <c r="E2751" t="s">
        <v>2434</v>
      </c>
      <c r="F2751" s="11" t="s">
        <v>593</v>
      </c>
      <c r="G2751" s="8">
        <v>2.06</v>
      </c>
      <c r="H2751" s="8">
        <v>0</v>
      </c>
      <c r="I2751" s="8">
        <f t="shared" si="105"/>
        <v>3976.5</v>
      </c>
      <c r="J2751" s="12"/>
    </row>
    <row r="2752" spans="3:10" x14ac:dyDescent="0.3">
      <c r="C2752" s="9" t="s">
        <v>12</v>
      </c>
      <c r="D2752" s="10">
        <v>45677</v>
      </c>
      <c r="E2752" t="s">
        <v>2458</v>
      </c>
      <c r="F2752" s="11" t="s">
        <v>299</v>
      </c>
      <c r="G2752" s="8">
        <v>12.52</v>
      </c>
      <c r="H2752" s="8">
        <v>0</v>
      </c>
      <c r="I2752" s="8">
        <f t="shared" si="105"/>
        <v>3989.02</v>
      </c>
      <c r="J2752" s="12"/>
    </row>
    <row r="2753" spans="3:10" x14ac:dyDescent="0.3">
      <c r="C2753" s="9" t="s">
        <v>12</v>
      </c>
      <c r="D2753" s="10">
        <v>45678</v>
      </c>
      <c r="E2753" t="s">
        <v>2441</v>
      </c>
      <c r="F2753" s="11" t="s">
        <v>44</v>
      </c>
      <c r="G2753" s="8">
        <v>6.54</v>
      </c>
      <c r="H2753" s="8">
        <v>0</v>
      </c>
      <c r="I2753" s="8">
        <f t="shared" si="105"/>
        <v>3995.56</v>
      </c>
      <c r="J2753" s="12"/>
    </row>
    <row r="2754" spans="3:10" x14ac:dyDescent="0.3">
      <c r="C2754" s="9" t="s">
        <v>12</v>
      </c>
      <c r="D2754" s="10">
        <v>45678</v>
      </c>
      <c r="E2754" t="s">
        <v>2441</v>
      </c>
      <c r="F2754" s="11" t="s">
        <v>46</v>
      </c>
      <c r="G2754" s="8">
        <v>288.64</v>
      </c>
      <c r="H2754" s="8">
        <v>0</v>
      </c>
      <c r="I2754" s="8">
        <f t="shared" si="105"/>
        <v>4284.2</v>
      </c>
      <c r="J2754" s="12"/>
    </row>
    <row r="2755" spans="3:10" x14ac:dyDescent="0.3">
      <c r="C2755" s="9" t="s">
        <v>12</v>
      </c>
      <c r="D2755" s="10">
        <v>45678</v>
      </c>
      <c r="E2755" t="s">
        <v>2434</v>
      </c>
      <c r="F2755" s="11" t="s">
        <v>594</v>
      </c>
      <c r="G2755" s="8">
        <v>0.41</v>
      </c>
      <c r="H2755" s="8">
        <v>0</v>
      </c>
      <c r="I2755" s="8">
        <f t="shared" si="105"/>
        <v>4284.6099999999997</v>
      </c>
      <c r="J2755" s="12"/>
    </row>
    <row r="2756" spans="3:10" x14ac:dyDescent="0.3">
      <c r="C2756" s="9" t="s">
        <v>12</v>
      </c>
      <c r="D2756" s="10">
        <v>45678</v>
      </c>
      <c r="E2756" t="s">
        <v>2434</v>
      </c>
      <c r="F2756" s="11" t="s">
        <v>595</v>
      </c>
      <c r="G2756" s="8">
        <v>0.82</v>
      </c>
      <c r="H2756" s="8">
        <v>0</v>
      </c>
      <c r="I2756" s="8">
        <f t="shared" si="105"/>
        <v>4285.4299999999994</v>
      </c>
      <c r="J2756" s="12"/>
    </row>
    <row r="2757" spans="3:10" x14ac:dyDescent="0.3">
      <c r="C2757" s="9" t="s">
        <v>12</v>
      </c>
      <c r="D2757" s="10">
        <v>45679</v>
      </c>
      <c r="E2757" t="s">
        <v>2441</v>
      </c>
      <c r="F2757" s="11" t="s">
        <v>48</v>
      </c>
      <c r="G2757" s="8">
        <v>68.88</v>
      </c>
      <c r="H2757" s="8">
        <v>0</v>
      </c>
      <c r="I2757" s="8">
        <f t="shared" si="105"/>
        <v>4354.3099999999995</v>
      </c>
      <c r="J2757" s="12"/>
    </row>
    <row r="2758" spans="3:10" x14ac:dyDescent="0.3">
      <c r="C2758" s="9" t="s">
        <v>12</v>
      </c>
      <c r="D2758" s="10">
        <v>45679</v>
      </c>
      <c r="E2758" t="s">
        <v>2459</v>
      </c>
      <c r="F2758" s="11" t="s">
        <v>2460</v>
      </c>
      <c r="G2758" s="8">
        <v>23.43</v>
      </c>
      <c r="H2758" s="8">
        <v>0</v>
      </c>
      <c r="I2758" s="8">
        <f t="shared" si="105"/>
        <v>4377.74</v>
      </c>
      <c r="J2758" s="12"/>
    </row>
    <row r="2759" spans="3:10" x14ac:dyDescent="0.3">
      <c r="C2759" s="9" t="s">
        <v>12</v>
      </c>
      <c r="D2759" s="10">
        <v>45679</v>
      </c>
      <c r="E2759" t="s">
        <v>2434</v>
      </c>
      <c r="F2759" s="11" t="s">
        <v>597</v>
      </c>
      <c r="G2759" s="8">
        <v>38.11</v>
      </c>
      <c r="H2759" s="8">
        <v>0</v>
      </c>
      <c r="I2759" s="8">
        <f t="shared" si="105"/>
        <v>4415.8499999999995</v>
      </c>
      <c r="J2759" s="12"/>
    </row>
    <row r="2760" spans="3:10" x14ac:dyDescent="0.3">
      <c r="C2760" s="9" t="s">
        <v>12</v>
      </c>
      <c r="D2760" s="10">
        <v>45679</v>
      </c>
      <c r="E2760" t="s">
        <v>2434</v>
      </c>
      <c r="F2760" s="11" t="s">
        <v>598</v>
      </c>
      <c r="G2760" s="8">
        <v>9.3800000000000008</v>
      </c>
      <c r="H2760" s="8">
        <v>0</v>
      </c>
      <c r="I2760" s="8">
        <f t="shared" si="105"/>
        <v>4425.2299999999996</v>
      </c>
      <c r="J2760" s="12"/>
    </row>
    <row r="2761" spans="3:10" x14ac:dyDescent="0.3">
      <c r="C2761" s="9" t="s">
        <v>12</v>
      </c>
      <c r="D2761" s="10">
        <v>45679</v>
      </c>
      <c r="E2761" t="s">
        <v>2440</v>
      </c>
      <c r="F2761" s="11" t="s">
        <v>861</v>
      </c>
      <c r="G2761" s="8">
        <v>10.4</v>
      </c>
      <c r="H2761" s="8">
        <v>0</v>
      </c>
      <c r="I2761" s="8">
        <f t="shared" si="105"/>
        <v>4435.6299999999992</v>
      </c>
      <c r="J2761" s="12"/>
    </row>
    <row r="2762" spans="3:10" x14ac:dyDescent="0.3">
      <c r="C2762" s="9" t="s">
        <v>12</v>
      </c>
      <c r="D2762" s="10">
        <v>45680</v>
      </c>
      <c r="E2762" t="s">
        <v>2441</v>
      </c>
      <c r="F2762" s="11" t="s">
        <v>50</v>
      </c>
      <c r="G2762" s="8">
        <v>244.5</v>
      </c>
      <c r="H2762" s="8">
        <v>0</v>
      </c>
      <c r="I2762" s="8">
        <f t="shared" si="105"/>
        <v>4680.1299999999992</v>
      </c>
      <c r="J2762" s="12"/>
    </row>
    <row r="2763" spans="3:10" x14ac:dyDescent="0.3">
      <c r="C2763" s="9" t="s">
        <v>12</v>
      </c>
      <c r="D2763" s="10">
        <v>45681</v>
      </c>
      <c r="E2763" t="s">
        <v>2441</v>
      </c>
      <c r="F2763" s="11" t="s">
        <v>52</v>
      </c>
      <c r="G2763" s="8">
        <v>117.63</v>
      </c>
      <c r="H2763" s="8">
        <v>0</v>
      </c>
      <c r="I2763" s="8">
        <f t="shared" si="105"/>
        <v>4797.7599999999993</v>
      </c>
      <c r="J2763" s="12"/>
    </row>
    <row r="2764" spans="3:10" x14ac:dyDescent="0.3">
      <c r="C2764" s="9" t="s">
        <v>12</v>
      </c>
      <c r="D2764" s="10">
        <v>45681</v>
      </c>
      <c r="E2764" t="s">
        <v>2441</v>
      </c>
      <c r="F2764" s="11" t="s">
        <v>54</v>
      </c>
      <c r="G2764" s="8">
        <v>106.77</v>
      </c>
      <c r="H2764" s="8">
        <v>0</v>
      </c>
      <c r="I2764" s="8">
        <f t="shared" si="105"/>
        <v>4904.53</v>
      </c>
      <c r="J2764" s="12"/>
    </row>
    <row r="2765" spans="3:10" x14ac:dyDescent="0.3">
      <c r="C2765" s="9" t="s">
        <v>12</v>
      </c>
      <c r="D2765" s="10">
        <v>45681</v>
      </c>
      <c r="E2765" t="s">
        <v>2461</v>
      </c>
      <c r="F2765" s="11" t="s">
        <v>282</v>
      </c>
      <c r="G2765" s="8">
        <v>153.05000000000001</v>
      </c>
      <c r="H2765" s="8">
        <v>0</v>
      </c>
      <c r="I2765" s="8">
        <f t="shared" si="105"/>
        <v>5057.58</v>
      </c>
      <c r="J2765" s="12"/>
    </row>
    <row r="2766" spans="3:10" x14ac:dyDescent="0.3">
      <c r="C2766" s="9" t="s">
        <v>12</v>
      </c>
      <c r="D2766" s="10">
        <v>45682</v>
      </c>
      <c r="E2766" t="s">
        <v>2434</v>
      </c>
      <c r="F2766" s="11" t="s">
        <v>599</v>
      </c>
      <c r="G2766" s="8">
        <v>4.53</v>
      </c>
      <c r="H2766" s="8">
        <v>0</v>
      </c>
      <c r="I2766" s="8">
        <f t="shared" si="105"/>
        <v>5062.1099999999997</v>
      </c>
      <c r="J2766" s="12"/>
    </row>
    <row r="2767" spans="3:10" x14ac:dyDescent="0.3">
      <c r="C2767" s="9" t="s">
        <v>12</v>
      </c>
      <c r="D2767" s="10">
        <v>45684</v>
      </c>
      <c r="E2767" t="s">
        <v>2441</v>
      </c>
      <c r="F2767" s="11" t="s">
        <v>56</v>
      </c>
      <c r="G2767" s="8">
        <v>11.86</v>
      </c>
      <c r="H2767" s="8">
        <v>0</v>
      </c>
      <c r="I2767" s="8">
        <f t="shared" si="105"/>
        <v>5073.9699999999993</v>
      </c>
      <c r="J2767" s="12"/>
    </row>
    <row r="2768" spans="3:10" x14ac:dyDescent="0.3">
      <c r="C2768" s="9" t="s">
        <v>12</v>
      </c>
      <c r="D2768" s="10">
        <v>45684</v>
      </c>
      <c r="E2768" t="s">
        <v>2449</v>
      </c>
      <c r="F2768" s="11" t="s">
        <v>772</v>
      </c>
      <c r="G2768" s="8">
        <v>0.95</v>
      </c>
      <c r="H2768" s="8">
        <v>0</v>
      </c>
      <c r="I2768" s="8">
        <f t="shared" si="105"/>
        <v>5074.9199999999992</v>
      </c>
      <c r="J2768" s="12"/>
    </row>
    <row r="2769" spans="3:10" x14ac:dyDescent="0.3">
      <c r="C2769" s="9" t="s">
        <v>12</v>
      </c>
      <c r="D2769" s="10">
        <v>45684</v>
      </c>
      <c r="E2769" t="s">
        <v>2434</v>
      </c>
      <c r="F2769" s="11" t="s">
        <v>600</v>
      </c>
      <c r="G2769" s="8">
        <v>2.29</v>
      </c>
      <c r="H2769" s="8">
        <v>0</v>
      </c>
      <c r="I2769" s="8">
        <f t="shared" si="105"/>
        <v>5077.2099999999991</v>
      </c>
      <c r="J2769" s="12"/>
    </row>
    <row r="2770" spans="3:10" x14ac:dyDescent="0.3">
      <c r="C2770" s="9" t="s">
        <v>12</v>
      </c>
      <c r="D2770" s="10">
        <v>45685</v>
      </c>
      <c r="E2770" t="s">
        <v>2441</v>
      </c>
      <c r="F2770" s="11" t="s">
        <v>58</v>
      </c>
      <c r="G2770" s="8">
        <v>172.43</v>
      </c>
      <c r="H2770" s="8">
        <v>0</v>
      </c>
      <c r="I2770" s="8">
        <f t="shared" ref="I2770:I2833" si="106">G2770-H2770+I2769</f>
        <v>5249.6399999999994</v>
      </c>
      <c r="J2770" s="12"/>
    </row>
    <row r="2771" spans="3:10" x14ac:dyDescent="0.3">
      <c r="C2771" s="9" t="s">
        <v>12</v>
      </c>
      <c r="D2771" s="10">
        <v>45686</v>
      </c>
      <c r="E2771" t="s">
        <v>2441</v>
      </c>
      <c r="F2771" s="11" t="s">
        <v>60</v>
      </c>
      <c r="G2771" s="8">
        <v>-267.08</v>
      </c>
      <c r="H2771" s="8">
        <v>0</v>
      </c>
      <c r="I2771" s="8">
        <f t="shared" si="106"/>
        <v>4982.5599999999995</v>
      </c>
      <c r="J2771" s="12"/>
    </row>
    <row r="2772" spans="3:10" x14ac:dyDescent="0.3">
      <c r="C2772" s="9" t="s">
        <v>12</v>
      </c>
      <c r="D2772" s="10">
        <v>45686</v>
      </c>
      <c r="E2772" t="s">
        <v>2441</v>
      </c>
      <c r="F2772" s="11" t="s">
        <v>62</v>
      </c>
      <c r="G2772" s="8">
        <v>124.63</v>
      </c>
      <c r="H2772" s="8">
        <v>0</v>
      </c>
      <c r="I2772" s="8">
        <f t="shared" si="106"/>
        <v>5107.1899999999996</v>
      </c>
      <c r="J2772" s="12"/>
    </row>
    <row r="2773" spans="3:10" x14ac:dyDescent="0.3">
      <c r="C2773" s="9" t="s">
        <v>12</v>
      </c>
      <c r="D2773" s="10">
        <v>45687</v>
      </c>
      <c r="E2773" t="s">
        <v>2432</v>
      </c>
      <c r="F2773" s="11" t="s">
        <v>2462</v>
      </c>
      <c r="G2773" s="8">
        <v>48.13</v>
      </c>
      <c r="H2773" s="8">
        <v>0</v>
      </c>
      <c r="I2773" s="8">
        <f t="shared" si="106"/>
        <v>5155.32</v>
      </c>
      <c r="J2773" s="12"/>
    </row>
    <row r="2774" spans="3:10" x14ac:dyDescent="0.3">
      <c r="C2774" s="9" t="s">
        <v>12</v>
      </c>
      <c r="D2774" s="10">
        <v>45687</v>
      </c>
      <c r="E2774" t="s">
        <v>2441</v>
      </c>
      <c r="F2774" s="11" t="s">
        <v>64</v>
      </c>
      <c r="G2774" s="8">
        <v>122.82</v>
      </c>
      <c r="H2774" s="8">
        <v>0</v>
      </c>
      <c r="I2774" s="8">
        <f t="shared" si="106"/>
        <v>5278.1399999999994</v>
      </c>
      <c r="J2774" s="12"/>
    </row>
    <row r="2775" spans="3:10" x14ac:dyDescent="0.3">
      <c r="C2775" s="9" t="s">
        <v>12</v>
      </c>
      <c r="D2775" s="10">
        <v>45688</v>
      </c>
      <c r="E2775" t="s">
        <v>2463</v>
      </c>
      <c r="F2775" s="11" t="s">
        <v>534</v>
      </c>
      <c r="G2775" s="8">
        <v>11.97</v>
      </c>
      <c r="H2775" s="8">
        <v>0</v>
      </c>
      <c r="I2775" s="8">
        <f t="shared" si="106"/>
        <v>5290.11</v>
      </c>
      <c r="J2775" s="12"/>
    </row>
    <row r="2776" spans="3:10" x14ac:dyDescent="0.3">
      <c r="C2776" s="9" t="s">
        <v>12</v>
      </c>
      <c r="D2776" s="10">
        <v>45688</v>
      </c>
      <c r="E2776" t="s">
        <v>2456</v>
      </c>
      <c r="F2776" s="11" t="s">
        <v>234</v>
      </c>
      <c r="G2776" s="8">
        <v>11.19</v>
      </c>
      <c r="H2776" s="8">
        <v>0</v>
      </c>
      <c r="I2776" s="8">
        <f t="shared" si="106"/>
        <v>5301.2999999999993</v>
      </c>
      <c r="J2776" s="12"/>
    </row>
    <row r="2777" spans="3:10" x14ac:dyDescent="0.3">
      <c r="C2777" s="9" t="s">
        <v>12</v>
      </c>
      <c r="D2777" s="10">
        <v>45688</v>
      </c>
      <c r="E2777" t="s">
        <v>2436</v>
      </c>
      <c r="F2777" s="11" t="s">
        <v>2464</v>
      </c>
      <c r="G2777" s="8">
        <v>73.22</v>
      </c>
      <c r="H2777" s="8">
        <v>0</v>
      </c>
      <c r="I2777" s="8">
        <f t="shared" si="106"/>
        <v>5374.5199999999995</v>
      </c>
      <c r="J2777" s="12"/>
    </row>
    <row r="2778" spans="3:10" x14ac:dyDescent="0.3">
      <c r="C2778" s="9" t="s">
        <v>12</v>
      </c>
      <c r="D2778" s="10">
        <v>45688</v>
      </c>
      <c r="E2778" t="s">
        <v>2465</v>
      </c>
      <c r="F2778" s="11" t="s">
        <v>809</v>
      </c>
      <c r="G2778" s="8">
        <v>35.83</v>
      </c>
      <c r="H2778" s="8">
        <v>0</v>
      </c>
      <c r="I2778" s="8">
        <f t="shared" si="106"/>
        <v>5410.3499999999995</v>
      </c>
      <c r="J2778" s="12"/>
    </row>
    <row r="2779" spans="3:10" x14ac:dyDescent="0.3">
      <c r="C2779" s="9" t="s">
        <v>12</v>
      </c>
      <c r="D2779" s="10">
        <v>45688</v>
      </c>
      <c r="E2779" t="s">
        <v>2465</v>
      </c>
      <c r="F2779" s="11" t="s">
        <v>811</v>
      </c>
      <c r="G2779" s="8">
        <v>12.78</v>
      </c>
      <c r="H2779" s="8">
        <v>0</v>
      </c>
      <c r="I2779" s="8">
        <f t="shared" si="106"/>
        <v>5423.1299999999992</v>
      </c>
      <c r="J2779" s="12"/>
    </row>
    <row r="2780" spans="3:10" x14ac:dyDescent="0.3">
      <c r="C2780" s="9" t="s">
        <v>12</v>
      </c>
      <c r="D2780" s="10">
        <v>45688</v>
      </c>
      <c r="E2780" t="s">
        <v>2466</v>
      </c>
      <c r="F2780" s="11" t="s">
        <v>2467</v>
      </c>
      <c r="G2780" s="8">
        <v>6.7</v>
      </c>
      <c r="H2780" s="8">
        <v>0</v>
      </c>
      <c r="I2780" s="8">
        <f t="shared" si="106"/>
        <v>5429.829999999999</v>
      </c>
      <c r="J2780" s="12"/>
    </row>
    <row r="2781" spans="3:10" x14ac:dyDescent="0.3">
      <c r="C2781" s="9" t="s">
        <v>12</v>
      </c>
      <c r="D2781" s="10">
        <v>45688</v>
      </c>
      <c r="E2781" t="s">
        <v>2468</v>
      </c>
      <c r="F2781" s="11" t="s">
        <v>2469</v>
      </c>
      <c r="G2781" s="8">
        <v>32.82</v>
      </c>
      <c r="H2781" s="8">
        <v>0</v>
      </c>
      <c r="I2781" s="8">
        <f t="shared" si="106"/>
        <v>5462.6499999999987</v>
      </c>
      <c r="J2781" s="12"/>
    </row>
    <row r="2782" spans="3:10" x14ac:dyDescent="0.3">
      <c r="C2782" s="9" t="s">
        <v>12</v>
      </c>
      <c r="D2782" s="10">
        <v>45689</v>
      </c>
      <c r="E2782" t="s">
        <v>2426</v>
      </c>
      <c r="F2782" s="11" t="s">
        <v>2470</v>
      </c>
      <c r="G2782" s="8">
        <v>8.9</v>
      </c>
      <c r="H2782" s="8">
        <v>0</v>
      </c>
      <c r="I2782" s="8">
        <f t="shared" si="106"/>
        <v>5471.5499999999984</v>
      </c>
      <c r="J2782" s="12"/>
    </row>
    <row r="2783" spans="3:10" x14ac:dyDescent="0.3">
      <c r="C2783" s="9" t="s">
        <v>12</v>
      </c>
      <c r="D2783" s="10">
        <v>45689</v>
      </c>
      <c r="E2783" t="s">
        <v>2428</v>
      </c>
      <c r="F2783" s="11" t="s">
        <v>844</v>
      </c>
      <c r="G2783" s="8">
        <v>17.100000000000001</v>
      </c>
      <c r="H2783" s="8">
        <v>0</v>
      </c>
      <c r="I2783" s="8">
        <f t="shared" si="106"/>
        <v>5488.6499999999987</v>
      </c>
      <c r="J2783" s="12"/>
    </row>
    <row r="2784" spans="3:10" x14ac:dyDescent="0.3">
      <c r="C2784" s="9" t="s">
        <v>12</v>
      </c>
      <c r="D2784" s="10">
        <v>45689</v>
      </c>
      <c r="E2784" t="s">
        <v>2443</v>
      </c>
      <c r="F2784" s="11" t="s">
        <v>2471</v>
      </c>
      <c r="G2784" s="8">
        <v>1.26</v>
      </c>
      <c r="H2784" s="8">
        <v>0</v>
      </c>
      <c r="I2784" s="8">
        <f t="shared" si="106"/>
        <v>5489.9099999999989</v>
      </c>
      <c r="J2784" s="12"/>
    </row>
    <row r="2785" spans="3:10" x14ac:dyDescent="0.3">
      <c r="C2785" s="9" t="s">
        <v>12</v>
      </c>
      <c r="D2785" s="10">
        <v>45689</v>
      </c>
      <c r="E2785" t="s">
        <v>2429</v>
      </c>
      <c r="F2785" s="11" t="s">
        <v>2472</v>
      </c>
      <c r="G2785" s="8">
        <v>62.53</v>
      </c>
      <c r="H2785" s="8">
        <v>0</v>
      </c>
      <c r="I2785" s="8">
        <f t="shared" si="106"/>
        <v>5552.4399999999987</v>
      </c>
      <c r="J2785" s="12"/>
    </row>
    <row r="2786" spans="3:10" x14ac:dyDescent="0.3">
      <c r="C2786" s="9" t="s">
        <v>12</v>
      </c>
      <c r="D2786" s="10">
        <v>45689</v>
      </c>
      <c r="E2786" t="s">
        <v>2473</v>
      </c>
      <c r="F2786" s="11" t="s">
        <v>2474</v>
      </c>
      <c r="G2786" s="8">
        <v>0.27</v>
      </c>
      <c r="H2786" s="8">
        <v>0</v>
      </c>
      <c r="I2786" s="8">
        <f t="shared" si="106"/>
        <v>5552.7099999999991</v>
      </c>
      <c r="J2786" s="12"/>
    </row>
    <row r="2787" spans="3:10" x14ac:dyDescent="0.3">
      <c r="C2787" s="9" t="s">
        <v>12</v>
      </c>
      <c r="D2787" s="10">
        <v>45689</v>
      </c>
      <c r="E2787" t="s">
        <v>2442</v>
      </c>
      <c r="F2787" s="11" t="s">
        <v>568</v>
      </c>
      <c r="G2787" s="8">
        <v>124.98</v>
      </c>
      <c r="H2787" s="8">
        <v>0</v>
      </c>
      <c r="I2787" s="8">
        <f t="shared" si="106"/>
        <v>5677.6899999999987</v>
      </c>
      <c r="J2787" s="12"/>
    </row>
    <row r="2788" spans="3:10" x14ac:dyDescent="0.3">
      <c r="C2788" s="9" t="s">
        <v>12</v>
      </c>
      <c r="D2788" s="10">
        <v>45690</v>
      </c>
      <c r="E2788" t="s">
        <v>2475</v>
      </c>
      <c r="F2788" s="11" t="s">
        <v>2476</v>
      </c>
      <c r="G2788" s="8">
        <v>3.1</v>
      </c>
      <c r="H2788" s="8">
        <v>0</v>
      </c>
      <c r="I2788" s="8">
        <f t="shared" si="106"/>
        <v>5680.7899999999991</v>
      </c>
      <c r="J2788" s="12"/>
    </row>
    <row r="2789" spans="3:10" x14ac:dyDescent="0.3">
      <c r="C2789" s="9" t="s">
        <v>12</v>
      </c>
      <c r="D2789" s="10">
        <v>45691</v>
      </c>
      <c r="E2789" t="s">
        <v>2477</v>
      </c>
      <c r="F2789" s="11" t="s">
        <v>2478</v>
      </c>
      <c r="G2789" s="8">
        <v>2.95</v>
      </c>
      <c r="H2789" s="8">
        <v>0</v>
      </c>
      <c r="I2789" s="8">
        <f t="shared" si="106"/>
        <v>5683.7399999999989</v>
      </c>
      <c r="J2789" s="12"/>
    </row>
    <row r="2790" spans="3:10" x14ac:dyDescent="0.3">
      <c r="C2790" s="9" t="s">
        <v>12</v>
      </c>
      <c r="D2790" s="10">
        <v>45692</v>
      </c>
      <c r="E2790" t="s">
        <v>2434</v>
      </c>
      <c r="F2790" s="11" t="s">
        <v>601</v>
      </c>
      <c r="G2790" s="8">
        <v>1.1499999999999999</v>
      </c>
      <c r="H2790" s="8">
        <v>0</v>
      </c>
      <c r="I2790" s="8">
        <f t="shared" si="106"/>
        <v>5684.8899999999985</v>
      </c>
      <c r="J2790" s="12"/>
    </row>
    <row r="2791" spans="3:10" x14ac:dyDescent="0.3">
      <c r="C2791" s="9" t="s">
        <v>12</v>
      </c>
      <c r="D2791" s="10">
        <v>45692</v>
      </c>
      <c r="E2791" t="s">
        <v>2479</v>
      </c>
      <c r="F2791" s="11" t="s">
        <v>880</v>
      </c>
      <c r="G2791" s="8">
        <v>178.71</v>
      </c>
      <c r="H2791" s="8">
        <v>0</v>
      </c>
      <c r="I2791" s="8">
        <f t="shared" si="106"/>
        <v>5863.5999999999985</v>
      </c>
      <c r="J2791" s="12"/>
    </row>
    <row r="2792" spans="3:10" x14ac:dyDescent="0.3">
      <c r="C2792" s="9" t="s">
        <v>12</v>
      </c>
      <c r="D2792" s="10">
        <v>45692</v>
      </c>
      <c r="E2792" t="s">
        <v>2479</v>
      </c>
      <c r="F2792" s="11" t="s">
        <v>882</v>
      </c>
      <c r="G2792" s="8">
        <v>135.44999999999999</v>
      </c>
      <c r="H2792" s="8">
        <v>0</v>
      </c>
      <c r="I2792" s="8">
        <f t="shared" si="106"/>
        <v>5999.0499999999984</v>
      </c>
      <c r="J2792" s="12"/>
    </row>
    <row r="2793" spans="3:10" x14ac:dyDescent="0.3">
      <c r="C2793" s="9" t="s">
        <v>12</v>
      </c>
      <c r="D2793" s="10">
        <v>45694</v>
      </c>
      <c r="E2793" t="s">
        <v>2480</v>
      </c>
      <c r="F2793" s="11" t="s">
        <v>2481</v>
      </c>
      <c r="G2793" s="8">
        <v>1314.84</v>
      </c>
      <c r="H2793" s="8">
        <v>0</v>
      </c>
      <c r="I2793" s="8">
        <f t="shared" si="106"/>
        <v>7313.8899999999985</v>
      </c>
      <c r="J2793" s="12"/>
    </row>
    <row r="2794" spans="3:10" x14ac:dyDescent="0.3">
      <c r="C2794" s="9" t="s">
        <v>12</v>
      </c>
      <c r="D2794" s="10">
        <v>45694</v>
      </c>
      <c r="E2794" t="s">
        <v>2480</v>
      </c>
      <c r="F2794" s="11" t="s">
        <v>2481</v>
      </c>
      <c r="G2794" s="8">
        <v>24.15</v>
      </c>
      <c r="H2794" s="8">
        <v>0</v>
      </c>
      <c r="I2794" s="8">
        <f t="shared" si="106"/>
        <v>7338.0399999999981</v>
      </c>
      <c r="J2794" s="12"/>
    </row>
    <row r="2795" spans="3:10" x14ac:dyDescent="0.3">
      <c r="C2795" s="9" t="s">
        <v>12</v>
      </c>
      <c r="D2795" s="10">
        <v>45695</v>
      </c>
      <c r="E2795" t="s">
        <v>2445</v>
      </c>
      <c r="F2795" s="11" t="s">
        <v>2482</v>
      </c>
      <c r="G2795" s="8">
        <v>34.65</v>
      </c>
      <c r="H2795" s="8">
        <v>0</v>
      </c>
      <c r="I2795" s="8">
        <f t="shared" si="106"/>
        <v>7372.6899999999978</v>
      </c>
      <c r="J2795" s="12"/>
    </row>
    <row r="2796" spans="3:10" x14ac:dyDescent="0.3">
      <c r="C2796" s="9" t="s">
        <v>12</v>
      </c>
      <c r="D2796" s="10">
        <v>45695</v>
      </c>
      <c r="E2796" t="s">
        <v>2441</v>
      </c>
      <c r="F2796" s="11" t="s">
        <v>66</v>
      </c>
      <c r="G2796" s="8">
        <v>104.71</v>
      </c>
      <c r="H2796" s="8">
        <v>0</v>
      </c>
      <c r="I2796" s="8">
        <f t="shared" si="106"/>
        <v>7477.3999999999978</v>
      </c>
      <c r="J2796" s="12"/>
    </row>
    <row r="2797" spans="3:10" x14ac:dyDescent="0.3">
      <c r="C2797" s="9" t="s">
        <v>12</v>
      </c>
      <c r="D2797" s="10">
        <v>45696</v>
      </c>
      <c r="E2797" t="s">
        <v>2483</v>
      </c>
      <c r="F2797" s="11" t="s">
        <v>2484</v>
      </c>
      <c r="G2797" s="8">
        <v>7.66</v>
      </c>
      <c r="H2797" s="8">
        <v>0</v>
      </c>
      <c r="I2797" s="8">
        <f t="shared" si="106"/>
        <v>7485.0599999999977</v>
      </c>
      <c r="J2797" s="12"/>
    </row>
    <row r="2798" spans="3:10" x14ac:dyDescent="0.3">
      <c r="C2798" s="9" t="s">
        <v>12</v>
      </c>
      <c r="D2798" s="10">
        <v>45697</v>
      </c>
      <c r="E2798" t="s">
        <v>2485</v>
      </c>
      <c r="F2798" s="11" t="s">
        <v>2486</v>
      </c>
      <c r="G2798" s="8">
        <v>4.34</v>
      </c>
      <c r="H2798" s="8">
        <v>0</v>
      </c>
      <c r="I2798" s="8">
        <f t="shared" si="106"/>
        <v>7489.3999999999978</v>
      </c>
      <c r="J2798" s="12"/>
    </row>
    <row r="2799" spans="3:10" x14ac:dyDescent="0.3">
      <c r="C2799" s="9" t="s">
        <v>12</v>
      </c>
      <c r="D2799" s="10">
        <v>45698</v>
      </c>
      <c r="E2799" t="s">
        <v>2461</v>
      </c>
      <c r="F2799" s="11" t="s">
        <v>284</v>
      </c>
      <c r="G2799" s="8">
        <v>23.43</v>
      </c>
      <c r="H2799" s="8">
        <v>0</v>
      </c>
      <c r="I2799" s="8">
        <f t="shared" si="106"/>
        <v>7512.8299999999981</v>
      </c>
      <c r="J2799" s="12"/>
    </row>
    <row r="2800" spans="3:10" x14ac:dyDescent="0.3">
      <c r="C2800" s="9" t="s">
        <v>12</v>
      </c>
      <c r="D2800" s="10">
        <v>45698</v>
      </c>
      <c r="E2800" t="s">
        <v>2441</v>
      </c>
      <c r="F2800" s="11" t="s">
        <v>68</v>
      </c>
      <c r="G2800" s="8">
        <v>201.74</v>
      </c>
      <c r="H2800" s="8">
        <v>0</v>
      </c>
      <c r="I2800" s="8">
        <f t="shared" si="106"/>
        <v>7714.5699999999979</v>
      </c>
      <c r="J2800" s="12"/>
    </row>
    <row r="2801" spans="3:10" x14ac:dyDescent="0.3">
      <c r="C2801" s="9" t="s">
        <v>12</v>
      </c>
      <c r="D2801" s="10">
        <v>45701</v>
      </c>
      <c r="E2801" t="s">
        <v>2429</v>
      </c>
      <c r="F2801" s="11" t="s">
        <v>2487</v>
      </c>
      <c r="G2801" s="8">
        <v>6.83</v>
      </c>
      <c r="H2801" s="8">
        <v>0</v>
      </c>
      <c r="I2801" s="8">
        <f t="shared" si="106"/>
        <v>7721.3999999999978</v>
      </c>
      <c r="J2801" s="12"/>
    </row>
    <row r="2802" spans="3:10" x14ac:dyDescent="0.3">
      <c r="C2802" s="9" t="s">
        <v>12</v>
      </c>
      <c r="D2802" s="10">
        <v>45703</v>
      </c>
      <c r="E2802" t="s">
        <v>2454</v>
      </c>
      <c r="F2802" s="11" t="s">
        <v>2488</v>
      </c>
      <c r="G2802" s="8">
        <v>141.75</v>
      </c>
      <c r="H2802" s="8">
        <v>0</v>
      </c>
      <c r="I2802" s="8">
        <f t="shared" si="106"/>
        <v>7863.1499999999978</v>
      </c>
      <c r="J2802" s="12"/>
    </row>
    <row r="2803" spans="3:10" x14ac:dyDescent="0.3">
      <c r="C2803" s="9" t="s">
        <v>12</v>
      </c>
      <c r="D2803" s="10">
        <v>45707</v>
      </c>
      <c r="E2803" t="s">
        <v>2489</v>
      </c>
      <c r="F2803" s="11" t="s">
        <v>2490</v>
      </c>
      <c r="G2803" s="8">
        <v>5.24</v>
      </c>
      <c r="H2803" s="8">
        <v>0</v>
      </c>
      <c r="I2803" s="8">
        <f t="shared" si="106"/>
        <v>7868.3899999999976</v>
      </c>
      <c r="J2803" s="12"/>
    </row>
    <row r="2804" spans="3:10" x14ac:dyDescent="0.3">
      <c r="C2804" s="9" t="s">
        <v>12</v>
      </c>
      <c r="D2804" s="10">
        <v>45708</v>
      </c>
      <c r="E2804" t="s">
        <v>2431</v>
      </c>
      <c r="F2804" s="11" t="s">
        <v>794</v>
      </c>
      <c r="G2804" s="8">
        <v>75.28</v>
      </c>
      <c r="H2804" s="8">
        <v>0</v>
      </c>
      <c r="I2804" s="8">
        <f t="shared" si="106"/>
        <v>7943.6699999999973</v>
      </c>
      <c r="J2804" s="12"/>
    </row>
    <row r="2805" spans="3:10" x14ac:dyDescent="0.3">
      <c r="C2805" s="9" t="s">
        <v>12</v>
      </c>
      <c r="D2805" s="10">
        <v>45708</v>
      </c>
      <c r="E2805" t="s">
        <v>2491</v>
      </c>
      <c r="F2805" s="11" t="s">
        <v>119</v>
      </c>
      <c r="G2805" s="8">
        <v>32.86</v>
      </c>
      <c r="H2805" s="8">
        <v>0</v>
      </c>
      <c r="I2805" s="8">
        <f t="shared" si="106"/>
        <v>7976.529999999997</v>
      </c>
      <c r="J2805" s="12"/>
    </row>
    <row r="2806" spans="3:10" x14ac:dyDescent="0.3">
      <c r="C2806" s="9" t="s">
        <v>12</v>
      </c>
      <c r="D2806" s="10">
        <v>45708</v>
      </c>
      <c r="E2806" t="s">
        <v>2441</v>
      </c>
      <c r="F2806" s="11" t="s">
        <v>71</v>
      </c>
      <c r="G2806" s="8">
        <v>227.2</v>
      </c>
      <c r="H2806" s="8">
        <v>0</v>
      </c>
      <c r="I2806" s="8">
        <f t="shared" si="106"/>
        <v>8203.7299999999977</v>
      </c>
      <c r="J2806" s="12"/>
    </row>
    <row r="2807" spans="3:10" x14ac:dyDescent="0.3">
      <c r="C2807" s="9" t="s">
        <v>12</v>
      </c>
      <c r="D2807" s="10">
        <v>45708</v>
      </c>
      <c r="E2807" t="s">
        <v>2431</v>
      </c>
      <c r="F2807" s="11" t="s">
        <v>662</v>
      </c>
      <c r="G2807" s="8">
        <v>104.13</v>
      </c>
      <c r="H2807" s="8">
        <v>0</v>
      </c>
      <c r="I2807" s="8">
        <f t="shared" si="106"/>
        <v>8307.8599999999969</v>
      </c>
      <c r="J2807" s="12"/>
    </row>
    <row r="2808" spans="3:10" x14ac:dyDescent="0.3">
      <c r="C2808" s="9" t="s">
        <v>12</v>
      </c>
      <c r="D2808" s="10">
        <v>45709</v>
      </c>
      <c r="E2808" t="s">
        <v>2456</v>
      </c>
      <c r="F2808" s="11" t="s">
        <v>236</v>
      </c>
      <c r="G2808" s="8">
        <v>181.11</v>
      </c>
      <c r="H2808" s="8">
        <v>0</v>
      </c>
      <c r="I2808" s="8">
        <f t="shared" si="106"/>
        <v>8488.9699999999975</v>
      </c>
      <c r="J2808" s="12"/>
    </row>
    <row r="2809" spans="3:10" x14ac:dyDescent="0.3">
      <c r="C2809" s="9" t="s">
        <v>12</v>
      </c>
      <c r="D2809" s="10">
        <v>45709</v>
      </c>
      <c r="E2809" t="s">
        <v>2441</v>
      </c>
      <c r="F2809" s="11" t="s">
        <v>73</v>
      </c>
      <c r="G2809" s="8">
        <v>78.11</v>
      </c>
      <c r="H2809" s="8">
        <v>0</v>
      </c>
      <c r="I2809" s="8">
        <f t="shared" si="106"/>
        <v>8567.0799999999981</v>
      </c>
      <c r="J2809" s="12"/>
    </row>
    <row r="2810" spans="3:10" x14ac:dyDescent="0.3">
      <c r="C2810" s="9" t="s">
        <v>12</v>
      </c>
      <c r="D2810" s="10">
        <v>45712</v>
      </c>
      <c r="E2810" t="s">
        <v>2441</v>
      </c>
      <c r="F2810" s="11" t="s">
        <v>75</v>
      </c>
      <c r="G2810" s="8">
        <v>44.12</v>
      </c>
      <c r="H2810" s="8">
        <v>0</v>
      </c>
      <c r="I2810" s="8">
        <f t="shared" si="106"/>
        <v>8611.1999999999989</v>
      </c>
      <c r="J2810" s="12"/>
    </row>
    <row r="2811" spans="3:10" x14ac:dyDescent="0.3">
      <c r="C2811" s="9" t="s">
        <v>12</v>
      </c>
      <c r="D2811" s="10">
        <v>45713</v>
      </c>
      <c r="E2811" t="s">
        <v>2447</v>
      </c>
      <c r="F2811" s="11" t="s">
        <v>151</v>
      </c>
      <c r="G2811" s="8">
        <v>65.98</v>
      </c>
      <c r="H2811" s="8">
        <v>0</v>
      </c>
      <c r="I2811" s="8">
        <f t="shared" si="106"/>
        <v>8677.1799999999985</v>
      </c>
      <c r="J2811" s="12"/>
    </row>
    <row r="2812" spans="3:10" x14ac:dyDescent="0.3">
      <c r="C2812" s="9" t="s">
        <v>12</v>
      </c>
      <c r="D2812" s="10">
        <v>45713</v>
      </c>
      <c r="E2812" t="s">
        <v>2441</v>
      </c>
      <c r="F2812" s="11" t="s">
        <v>77</v>
      </c>
      <c r="G2812" s="8">
        <v>491.24</v>
      </c>
      <c r="H2812" s="8">
        <v>0</v>
      </c>
      <c r="I2812" s="8">
        <f t="shared" si="106"/>
        <v>9168.4199999999983</v>
      </c>
      <c r="J2812" s="12"/>
    </row>
    <row r="2813" spans="3:10" x14ac:dyDescent="0.3">
      <c r="C2813" s="9" t="s">
        <v>12</v>
      </c>
      <c r="D2813" s="10">
        <v>45715</v>
      </c>
      <c r="E2813" t="s">
        <v>2441</v>
      </c>
      <c r="F2813" s="11" t="s">
        <v>80</v>
      </c>
      <c r="G2813" s="8">
        <v>190.59</v>
      </c>
      <c r="H2813" s="8">
        <v>0</v>
      </c>
      <c r="I2813" s="8">
        <f t="shared" si="106"/>
        <v>9359.0099999999984</v>
      </c>
      <c r="J2813" s="12"/>
    </row>
    <row r="2814" spans="3:10" x14ac:dyDescent="0.3">
      <c r="C2814" s="9" t="s">
        <v>12</v>
      </c>
      <c r="D2814" s="10">
        <v>45716</v>
      </c>
      <c r="E2814" t="s">
        <v>2463</v>
      </c>
      <c r="F2814" s="11" t="s">
        <v>536</v>
      </c>
      <c r="G2814" s="8">
        <v>11.97</v>
      </c>
      <c r="H2814" s="8">
        <v>0</v>
      </c>
      <c r="I2814" s="8">
        <f t="shared" si="106"/>
        <v>9370.9799999999977</v>
      </c>
      <c r="J2814" s="12"/>
    </row>
    <row r="2815" spans="3:10" x14ac:dyDescent="0.3">
      <c r="C2815" s="9" t="s">
        <v>12</v>
      </c>
      <c r="D2815" s="10">
        <v>45716</v>
      </c>
      <c r="E2815" t="s">
        <v>2436</v>
      </c>
      <c r="F2815" s="11" t="s">
        <v>2492</v>
      </c>
      <c r="G2815" s="8">
        <v>47.35</v>
      </c>
      <c r="H2815" s="8">
        <v>0</v>
      </c>
      <c r="I2815" s="8">
        <f t="shared" si="106"/>
        <v>9418.3299999999981</v>
      </c>
      <c r="J2815" s="12"/>
    </row>
    <row r="2816" spans="3:10" x14ac:dyDescent="0.3">
      <c r="C2816" s="9" t="s">
        <v>12</v>
      </c>
      <c r="D2816" s="10">
        <v>45716</v>
      </c>
      <c r="E2816" t="s">
        <v>2450</v>
      </c>
      <c r="F2816" s="11" t="s">
        <v>2493</v>
      </c>
      <c r="G2816" s="8">
        <v>51.3</v>
      </c>
      <c r="H2816" s="8">
        <v>0</v>
      </c>
      <c r="I2816" s="8">
        <f t="shared" si="106"/>
        <v>9469.6299999999974</v>
      </c>
      <c r="J2816" s="12"/>
    </row>
    <row r="2817" spans="3:10" x14ac:dyDescent="0.3">
      <c r="C2817" s="9" t="s">
        <v>12</v>
      </c>
      <c r="D2817" s="10">
        <v>45716</v>
      </c>
      <c r="E2817" t="s">
        <v>2432</v>
      </c>
      <c r="F2817" s="11" t="s">
        <v>2494</v>
      </c>
      <c r="G2817" s="8">
        <v>48.14</v>
      </c>
      <c r="H2817" s="8">
        <v>0</v>
      </c>
      <c r="I2817" s="8">
        <f t="shared" si="106"/>
        <v>9517.7699999999968</v>
      </c>
      <c r="J2817" s="12"/>
    </row>
    <row r="2818" spans="3:10" x14ac:dyDescent="0.3">
      <c r="C2818" s="9" t="s">
        <v>12</v>
      </c>
      <c r="D2818" s="10">
        <v>45716</v>
      </c>
      <c r="E2818" t="s">
        <v>2465</v>
      </c>
      <c r="F2818" s="11" t="s">
        <v>813</v>
      </c>
      <c r="G2818" s="8">
        <v>25.6</v>
      </c>
      <c r="H2818" s="8">
        <v>0</v>
      </c>
      <c r="I2818" s="8">
        <f t="shared" si="106"/>
        <v>9543.3699999999972</v>
      </c>
      <c r="J2818" s="12"/>
    </row>
    <row r="2819" spans="3:10" x14ac:dyDescent="0.3">
      <c r="C2819" s="9" t="s">
        <v>12</v>
      </c>
      <c r="D2819" s="10">
        <v>45716</v>
      </c>
      <c r="E2819" t="s">
        <v>2465</v>
      </c>
      <c r="F2819" s="11" t="s">
        <v>815</v>
      </c>
      <c r="G2819" s="8">
        <v>13.25</v>
      </c>
      <c r="H2819" s="8">
        <v>0</v>
      </c>
      <c r="I2819" s="8">
        <f t="shared" si="106"/>
        <v>9556.6199999999972</v>
      </c>
      <c r="J2819" s="12"/>
    </row>
    <row r="2820" spans="3:10" x14ac:dyDescent="0.3">
      <c r="C2820" s="9" t="s">
        <v>12</v>
      </c>
      <c r="D2820" s="10">
        <v>45716</v>
      </c>
      <c r="E2820" t="s">
        <v>2465</v>
      </c>
      <c r="F2820" s="11" t="s">
        <v>817</v>
      </c>
      <c r="G2820" s="8">
        <v>11.02</v>
      </c>
      <c r="H2820" s="8">
        <v>0</v>
      </c>
      <c r="I2820" s="8">
        <f t="shared" si="106"/>
        <v>9567.6399999999976</v>
      </c>
      <c r="J2820" s="12"/>
    </row>
    <row r="2821" spans="3:10" x14ac:dyDescent="0.3">
      <c r="C2821" s="9" t="s">
        <v>12</v>
      </c>
      <c r="D2821" s="10">
        <v>45716</v>
      </c>
      <c r="E2821" t="s">
        <v>2480</v>
      </c>
      <c r="F2821" s="11" t="s">
        <v>2495</v>
      </c>
      <c r="G2821" s="8">
        <v>4713.17</v>
      </c>
      <c r="H2821" s="8">
        <v>0</v>
      </c>
      <c r="I2821" s="8">
        <f t="shared" si="106"/>
        <v>14280.809999999998</v>
      </c>
      <c r="J2821" s="12"/>
    </row>
    <row r="2822" spans="3:10" x14ac:dyDescent="0.3">
      <c r="C2822" s="9" t="s">
        <v>12</v>
      </c>
      <c r="D2822" s="10">
        <v>45716</v>
      </c>
      <c r="E2822" t="s">
        <v>2480</v>
      </c>
      <c r="F2822" s="11" t="s">
        <v>2495</v>
      </c>
      <c r="G2822" s="8">
        <v>17.850000000000001</v>
      </c>
      <c r="H2822" s="8">
        <v>0</v>
      </c>
      <c r="I2822" s="8">
        <f t="shared" si="106"/>
        <v>14298.659999999998</v>
      </c>
      <c r="J2822" s="12"/>
    </row>
    <row r="2823" spans="3:10" x14ac:dyDescent="0.3">
      <c r="C2823" s="9" t="s">
        <v>12</v>
      </c>
      <c r="D2823" s="10">
        <v>45716</v>
      </c>
      <c r="E2823" t="s">
        <v>2434</v>
      </c>
      <c r="F2823" s="11" t="s">
        <v>602</v>
      </c>
      <c r="G2823" s="8">
        <v>3.16</v>
      </c>
      <c r="H2823" s="8">
        <v>0</v>
      </c>
      <c r="I2823" s="8">
        <f t="shared" si="106"/>
        <v>14301.819999999998</v>
      </c>
      <c r="J2823" s="12"/>
    </row>
    <row r="2824" spans="3:10" x14ac:dyDescent="0.3">
      <c r="C2824" s="9" t="s">
        <v>12</v>
      </c>
      <c r="D2824" s="10">
        <v>45717</v>
      </c>
      <c r="E2824" t="s">
        <v>2443</v>
      </c>
      <c r="F2824" s="11" t="s">
        <v>2496</v>
      </c>
      <c r="G2824" s="8">
        <v>1.26</v>
      </c>
      <c r="H2824" s="8">
        <v>0</v>
      </c>
      <c r="I2824" s="8">
        <f t="shared" si="106"/>
        <v>14303.079999999998</v>
      </c>
      <c r="J2824" s="12"/>
    </row>
    <row r="2825" spans="3:10" x14ac:dyDescent="0.3">
      <c r="C2825" s="9" t="s">
        <v>12</v>
      </c>
      <c r="D2825" s="10">
        <v>45717</v>
      </c>
      <c r="E2825" t="s">
        <v>2428</v>
      </c>
      <c r="F2825" s="11" t="s">
        <v>847</v>
      </c>
      <c r="G2825" s="8">
        <v>17.100000000000001</v>
      </c>
      <c r="H2825" s="8">
        <v>0</v>
      </c>
      <c r="I2825" s="8">
        <f t="shared" si="106"/>
        <v>14320.179999999998</v>
      </c>
      <c r="J2825" s="12"/>
    </row>
    <row r="2826" spans="3:10" x14ac:dyDescent="0.3">
      <c r="C2826" s="9" t="s">
        <v>12</v>
      </c>
      <c r="D2826" s="10">
        <v>45717</v>
      </c>
      <c r="E2826" t="s">
        <v>2426</v>
      </c>
      <c r="F2826" s="11" t="s">
        <v>2497</v>
      </c>
      <c r="G2826" s="8">
        <v>8.9</v>
      </c>
      <c r="H2826" s="8">
        <v>0</v>
      </c>
      <c r="I2826" s="8">
        <f t="shared" si="106"/>
        <v>14329.079999999998</v>
      </c>
      <c r="J2826" s="12"/>
    </row>
    <row r="2827" spans="3:10" x14ac:dyDescent="0.3">
      <c r="C2827" s="9" t="s">
        <v>12</v>
      </c>
      <c r="D2827" s="10">
        <v>45717</v>
      </c>
      <c r="E2827" t="s">
        <v>2473</v>
      </c>
      <c r="F2827" s="11" t="s">
        <v>2498</v>
      </c>
      <c r="G2827" s="8">
        <v>0.23</v>
      </c>
      <c r="H2827" s="8">
        <v>0</v>
      </c>
      <c r="I2827" s="8">
        <f t="shared" si="106"/>
        <v>14329.309999999998</v>
      </c>
      <c r="J2827" s="12"/>
    </row>
    <row r="2828" spans="3:10" x14ac:dyDescent="0.3">
      <c r="C2828" s="9" t="s">
        <v>12</v>
      </c>
      <c r="D2828" s="10">
        <v>45717</v>
      </c>
      <c r="E2828" t="s">
        <v>2429</v>
      </c>
      <c r="F2828" s="11" t="s">
        <v>2499</v>
      </c>
      <c r="G2828" s="8">
        <v>63.67</v>
      </c>
      <c r="H2828" s="8">
        <v>0</v>
      </c>
      <c r="I2828" s="8">
        <f t="shared" si="106"/>
        <v>14392.979999999998</v>
      </c>
      <c r="J2828" s="12"/>
    </row>
    <row r="2829" spans="3:10" x14ac:dyDescent="0.3">
      <c r="C2829" s="9" t="s">
        <v>12</v>
      </c>
      <c r="D2829" s="10">
        <v>45717</v>
      </c>
      <c r="E2829" t="s">
        <v>2442</v>
      </c>
      <c r="F2829" s="11" t="s">
        <v>569</v>
      </c>
      <c r="G2829" s="8">
        <v>124.98</v>
      </c>
      <c r="H2829" s="8">
        <v>0</v>
      </c>
      <c r="I2829" s="8">
        <f t="shared" si="106"/>
        <v>14517.959999999997</v>
      </c>
      <c r="J2829" s="12"/>
    </row>
    <row r="2830" spans="3:10" x14ac:dyDescent="0.3">
      <c r="C2830" s="9" t="s">
        <v>12</v>
      </c>
      <c r="D2830" s="10">
        <v>45719</v>
      </c>
      <c r="E2830" t="s">
        <v>2500</v>
      </c>
      <c r="F2830" s="11" t="s">
        <v>188</v>
      </c>
      <c r="G2830" s="8">
        <v>0.78</v>
      </c>
      <c r="H2830" s="8">
        <v>0</v>
      </c>
      <c r="I2830" s="8">
        <f t="shared" si="106"/>
        <v>14518.739999999998</v>
      </c>
      <c r="J2830" s="12"/>
    </row>
    <row r="2831" spans="3:10" x14ac:dyDescent="0.3">
      <c r="C2831" s="9" t="s">
        <v>12</v>
      </c>
      <c r="D2831" s="10">
        <v>45719</v>
      </c>
      <c r="E2831" t="s">
        <v>2441</v>
      </c>
      <c r="F2831" s="11" t="s">
        <v>82</v>
      </c>
      <c r="G2831" s="8">
        <v>100.52</v>
      </c>
      <c r="H2831" s="8">
        <v>0</v>
      </c>
      <c r="I2831" s="8">
        <f t="shared" si="106"/>
        <v>14619.259999999998</v>
      </c>
      <c r="J2831" s="12"/>
    </row>
    <row r="2832" spans="3:10" x14ac:dyDescent="0.3">
      <c r="C2832" s="9" t="s">
        <v>12</v>
      </c>
      <c r="D2832" s="10">
        <v>45720</v>
      </c>
      <c r="E2832" t="s">
        <v>2434</v>
      </c>
      <c r="F2832" s="11" t="s">
        <v>603</v>
      </c>
      <c r="G2832" s="8">
        <v>2.1800000000000002</v>
      </c>
      <c r="H2832" s="8">
        <v>0</v>
      </c>
      <c r="I2832" s="8">
        <f t="shared" si="106"/>
        <v>14621.439999999999</v>
      </c>
      <c r="J2832" s="12"/>
    </row>
    <row r="2833" spans="3:10" x14ac:dyDescent="0.3">
      <c r="C2833" s="9" t="s">
        <v>12</v>
      </c>
      <c r="D2833" s="10">
        <v>45721</v>
      </c>
      <c r="E2833" t="s">
        <v>2501</v>
      </c>
      <c r="F2833" s="11" t="s">
        <v>2502</v>
      </c>
      <c r="G2833" s="8">
        <v>17.350000000000001</v>
      </c>
      <c r="H2833" s="8">
        <v>0</v>
      </c>
      <c r="I2833" s="8">
        <f t="shared" si="106"/>
        <v>14638.789999999999</v>
      </c>
      <c r="J2833" s="12"/>
    </row>
    <row r="2834" spans="3:10" x14ac:dyDescent="0.3">
      <c r="C2834" s="9" t="s">
        <v>12</v>
      </c>
      <c r="D2834" s="10">
        <v>45721</v>
      </c>
      <c r="E2834" t="s">
        <v>2441</v>
      </c>
      <c r="F2834" s="11" t="s">
        <v>84</v>
      </c>
      <c r="G2834" s="8">
        <v>219.55</v>
      </c>
      <c r="H2834" s="8">
        <v>0</v>
      </c>
      <c r="I2834" s="8">
        <f t="shared" ref="I2834:I2897" si="107">G2834-H2834+I2833</f>
        <v>14858.339999999998</v>
      </c>
      <c r="J2834" s="12"/>
    </row>
    <row r="2835" spans="3:10" x14ac:dyDescent="0.3">
      <c r="C2835" s="9" t="s">
        <v>12</v>
      </c>
      <c r="D2835" s="10">
        <v>45722</v>
      </c>
      <c r="E2835" t="s">
        <v>2479</v>
      </c>
      <c r="F2835" s="11" t="s">
        <v>884</v>
      </c>
      <c r="G2835" s="8">
        <v>21.95</v>
      </c>
      <c r="H2835" s="8">
        <v>0</v>
      </c>
      <c r="I2835" s="8">
        <f t="shared" si="107"/>
        <v>14880.289999999999</v>
      </c>
      <c r="J2835" s="12"/>
    </row>
    <row r="2836" spans="3:10" x14ac:dyDescent="0.3">
      <c r="C2836" s="9" t="s">
        <v>12</v>
      </c>
      <c r="D2836" s="10">
        <v>45722</v>
      </c>
      <c r="E2836" t="s">
        <v>2434</v>
      </c>
      <c r="F2836" s="11" t="s">
        <v>604</v>
      </c>
      <c r="G2836" s="8">
        <v>2.4700000000000002</v>
      </c>
      <c r="H2836" s="8">
        <v>0</v>
      </c>
      <c r="I2836" s="8">
        <f t="shared" si="107"/>
        <v>14882.759999999998</v>
      </c>
      <c r="J2836" s="12"/>
    </row>
    <row r="2837" spans="3:10" x14ac:dyDescent="0.3">
      <c r="C2837" s="9" t="s">
        <v>12</v>
      </c>
      <c r="D2837" s="10">
        <v>45722</v>
      </c>
      <c r="E2837" t="s">
        <v>2434</v>
      </c>
      <c r="F2837" s="11" t="s">
        <v>605</v>
      </c>
      <c r="G2837" s="8">
        <v>1.03</v>
      </c>
      <c r="H2837" s="8">
        <v>0</v>
      </c>
      <c r="I2837" s="8">
        <f t="shared" si="107"/>
        <v>14883.789999999999</v>
      </c>
      <c r="J2837" s="12"/>
    </row>
    <row r="2838" spans="3:10" x14ac:dyDescent="0.3">
      <c r="C2838" s="9" t="s">
        <v>12</v>
      </c>
      <c r="D2838" s="10">
        <v>45723</v>
      </c>
      <c r="E2838" t="s">
        <v>2441</v>
      </c>
      <c r="F2838" s="11" t="s">
        <v>86</v>
      </c>
      <c r="G2838" s="8">
        <v>115.05</v>
      </c>
      <c r="H2838" s="8">
        <v>0</v>
      </c>
      <c r="I2838" s="8">
        <f t="shared" si="107"/>
        <v>14998.839999999998</v>
      </c>
      <c r="J2838" s="12"/>
    </row>
    <row r="2839" spans="3:10" x14ac:dyDescent="0.3">
      <c r="C2839" s="9" t="s">
        <v>12</v>
      </c>
      <c r="D2839" s="10">
        <v>45723</v>
      </c>
      <c r="E2839" t="s">
        <v>2456</v>
      </c>
      <c r="F2839" s="11" t="s">
        <v>238</v>
      </c>
      <c r="G2839" s="8">
        <v>450.75</v>
      </c>
      <c r="H2839" s="8">
        <v>0</v>
      </c>
      <c r="I2839" s="8">
        <f t="shared" si="107"/>
        <v>15449.589999999998</v>
      </c>
      <c r="J2839" s="12"/>
    </row>
    <row r="2840" spans="3:10" x14ac:dyDescent="0.3">
      <c r="C2840" s="9" t="s">
        <v>12</v>
      </c>
      <c r="D2840" s="10">
        <v>45723</v>
      </c>
      <c r="E2840" t="s">
        <v>2445</v>
      </c>
      <c r="F2840" s="11" t="s">
        <v>2503</v>
      </c>
      <c r="G2840" s="8">
        <v>34.65</v>
      </c>
      <c r="H2840" s="8">
        <v>0</v>
      </c>
      <c r="I2840" s="8">
        <f t="shared" si="107"/>
        <v>15484.239999999998</v>
      </c>
      <c r="J2840" s="12"/>
    </row>
    <row r="2841" spans="3:10" x14ac:dyDescent="0.3">
      <c r="C2841" s="9" t="s">
        <v>12</v>
      </c>
      <c r="D2841" s="10">
        <v>45723</v>
      </c>
      <c r="E2841" t="s">
        <v>2504</v>
      </c>
      <c r="F2841" s="11" t="s">
        <v>2505</v>
      </c>
      <c r="G2841" s="8">
        <v>19.57</v>
      </c>
      <c r="H2841" s="8">
        <v>0</v>
      </c>
      <c r="I2841" s="8">
        <f t="shared" si="107"/>
        <v>15503.809999999998</v>
      </c>
      <c r="J2841" s="12"/>
    </row>
    <row r="2842" spans="3:10" x14ac:dyDescent="0.3">
      <c r="C2842" s="9" t="s">
        <v>12</v>
      </c>
      <c r="D2842" s="10">
        <v>45723</v>
      </c>
      <c r="E2842" t="s">
        <v>2506</v>
      </c>
      <c r="F2842" s="11" t="s">
        <v>2507</v>
      </c>
      <c r="G2842" s="8">
        <v>6</v>
      </c>
      <c r="H2842" s="8">
        <v>0</v>
      </c>
      <c r="I2842" s="8">
        <f t="shared" si="107"/>
        <v>15509.809999999998</v>
      </c>
      <c r="J2842" s="12"/>
    </row>
    <row r="2843" spans="3:10" x14ac:dyDescent="0.3">
      <c r="C2843" s="9" t="s">
        <v>12</v>
      </c>
      <c r="D2843" s="10">
        <v>45726</v>
      </c>
      <c r="E2843" t="s">
        <v>2491</v>
      </c>
      <c r="F2843" s="11" t="s">
        <v>122</v>
      </c>
      <c r="G2843" s="8">
        <v>30.21</v>
      </c>
      <c r="H2843" s="8">
        <v>0</v>
      </c>
      <c r="I2843" s="8">
        <f t="shared" si="107"/>
        <v>15540.019999999997</v>
      </c>
      <c r="J2843" s="12"/>
    </row>
    <row r="2844" spans="3:10" x14ac:dyDescent="0.3">
      <c r="C2844" s="9" t="s">
        <v>12</v>
      </c>
      <c r="D2844" s="10">
        <v>45726</v>
      </c>
      <c r="E2844" t="s">
        <v>2508</v>
      </c>
      <c r="F2844" s="11" t="s">
        <v>2509</v>
      </c>
      <c r="G2844" s="8">
        <v>2.0499999999999998</v>
      </c>
      <c r="H2844" s="8">
        <v>0</v>
      </c>
      <c r="I2844" s="8">
        <f t="shared" si="107"/>
        <v>15542.069999999996</v>
      </c>
      <c r="J2844" s="12"/>
    </row>
    <row r="2845" spans="3:10" x14ac:dyDescent="0.3">
      <c r="C2845" s="9" t="s">
        <v>12</v>
      </c>
      <c r="D2845" s="10">
        <v>45727</v>
      </c>
      <c r="E2845" t="s">
        <v>2434</v>
      </c>
      <c r="F2845" s="11" t="s">
        <v>606</v>
      </c>
      <c r="G2845" s="8">
        <v>2.06</v>
      </c>
      <c r="H2845" s="8">
        <v>0</v>
      </c>
      <c r="I2845" s="8">
        <f t="shared" si="107"/>
        <v>15544.129999999996</v>
      </c>
      <c r="J2845" s="12"/>
    </row>
    <row r="2846" spans="3:10" x14ac:dyDescent="0.3">
      <c r="C2846" s="9" t="s">
        <v>12</v>
      </c>
      <c r="D2846" s="10">
        <v>45728</v>
      </c>
      <c r="E2846" t="s">
        <v>2454</v>
      </c>
      <c r="F2846" s="11" t="s">
        <v>2510</v>
      </c>
      <c r="G2846" s="8">
        <v>6.3</v>
      </c>
      <c r="H2846" s="8">
        <v>0</v>
      </c>
      <c r="I2846" s="8">
        <f t="shared" si="107"/>
        <v>15550.429999999995</v>
      </c>
      <c r="J2846" s="12"/>
    </row>
    <row r="2847" spans="3:10" x14ac:dyDescent="0.3">
      <c r="C2847" s="9" t="s">
        <v>12</v>
      </c>
      <c r="D2847" s="10">
        <v>45728</v>
      </c>
      <c r="E2847" t="s">
        <v>2454</v>
      </c>
      <c r="F2847" s="11" t="s">
        <v>2511</v>
      </c>
      <c r="G2847" s="8">
        <v>42</v>
      </c>
      <c r="H2847" s="8">
        <v>0</v>
      </c>
      <c r="I2847" s="8">
        <f t="shared" si="107"/>
        <v>15592.429999999995</v>
      </c>
      <c r="J2847" s="12"/>
    </row>
    <row r="2848" spans="3:10" x14ac:dyDescent="0.3">
      <c r="C2848" s="9" t="s">
        <v>12</v>
      </c>
      <c r="D2848" s="10">
        <v>45729</v>
      </c>
      <c r="E2848" t="s">
        <v>2429</v>
      </c>
      <c r="F2848" s="11" t="s">
        <v>2512</v>
      </c>
      <c r="G2848" s="8">
        <v>6.83</v>
      </c>
      <c r="H2848" s="8">
        <v>0</v>
      </c>
      <c r="I2848" s="8">
        <f t="shared" si="107"/>
        <v>15599.259999999995</v>
      </c>
      <c r="J2848" s="12"/>
    </row>
    <row r="2849" spans="3:10" x14ac:dyDescent="0.3">
      <c r="C2849" s="9" t="s">
        <v>12</v>
      </c>
      <c r="D2849" s="10">
        <v>45729</v>
      </c>
      <c r="E2849" t="s">
        <v>2434</v>
      </c>
      <c r="F2849" s="11" t="s">
        <v>607</v>
      </c>
      <c r="G2849" s="8">
        <v>1.65</v>
      </c>
      <c r="H2849" s="8">
        <v>0</v>
      </c>
      <c r="I2849" s="8">
        <f t="shared" si="107"/>
        <v>15600.909999999994</v>
      </c>
      <c r="J2849" s="12"/>
    </row>
    <row r="2850" spans="3:10" x14ac:dyDescent="0.3">
      <c r="C2850" s="9" t="s">
        <v>12</v>
      </c>
      <c r="D2850" s="10">
        <v>45730</v>
      </c>
      <c r="E2850" t="s">
        <v>2513</v>
      </c>
      <c r="F2850" s="11" t="s">
        <v>2514</v>
      </c>
      <c r="G2850" s="8">
        <v>15.38</v>
      </c>
      <c r="H2850" s="8">
        <v>0</v>
      </c>
      <c r="I2850" s="8">
        <f t="shared" si="107"/>
        <v>15616.289999999994</v>
      </c>
      <c r="J2850" s="12"/>
    </row>
    <row r="2851" spans="3:10" x14ac:dyDescent="0.3">
      <c r="C2851" s="9" t="s">
        <v>12</v>
      </c>
      <c r="D2851" s="10">
        <v>45731</v>
      </c>
      <c r="E2851" t="s">
        <v>2454</v>
      </c>
      <c r="F2851" s="11" t="s">
        <v>2515</v>
      </c>
      <c r="G2851" s="8">
        <v>139.65</v>
      </c>
      <c r="H2851" s="8">
        <v>0</v>
      </c>
      <c r="I2851" s="8">
        <f t="shared" si="107"/>
        <v>15755.939999999993</v>
      </c>
      <c r="J2851" s="12"/>
    </row>
    <row r="2852" spans="3:10" x14ac:dyDescent="0.3">
      <c r="C2852" s="9" t="s">
        <v>12</v>
      </c>
      <c r="D2852" s="10">
        <v>45733</v>
      </c>
      <c r="E2852" t="s">
        <v>2500</v>
      </c>
      <c r="F2852" s="11" t="s">
        <v>190</v>
      </c>
      <c r="G2852" s="8">
        <v>6.23</v>
      </c>
      <c r="H2852" s="8">
        <v>0</v>
      </c>
      <c r="I2852" s="8">
        <f t="shared" si="107"/>
        <v>15762.169999999993</v>
      </c>
      <c r="J2852" s="12"/>
    </row>
    <row r="2853" spans="3:10" x14ac:dyDescent="0.3">
      <c r="C2853" s="9" t="s">
        <v>12</v>
      </c>
      <c r="D2853" s="10">
        <v>45733</v>
      </c>
      <c r="E2853" t="s">
        <v>2441</v>
      </c>
      <c r="F2853" s="11" t="s">
        <v>88</v>
      </c>
      <c r="G2853" s="8">
        <v>68.88</v>
      </c>
      <c r="H2853" s="8">
        <v>0</v>
      </c>
      <c r="I2853" s="8">
        <f t="shared" si="107"/>
        <v>15831.049999999992</v>
      </c>
      <c r="J2853" s="12"/>
    </row>
    <row r="2854" spans="3:10" x14ac:dyDescent="0.3">
      <c r="C2854" s="9" t="s">
        <v>12</v>
      </c>
      <c r="D2854" s="10">
        <v>45733</v>
      </c>
      <c r="E2854" t="s">
        <v>2434</v>
      </c>
      <c r="F2854" s="11" t="s">
        <v>608</v>
      </c>
      <c r="G2854" s="8">
        <v>2.88</v>
      </c>
      <c r="H2854" s="8">
        <v>0</v>
      </c>
      <c r="I2854" s="8">
        <f t="shared" si="107"/>
        <v>15833.929999999991</v>
      </c>
      <c r="J2854" s="12"/>
    </row>
    <row r="2855" spans="3:10" x14ac:dyDescent="0.3">
      <c r="C2855" s="9" t="s">
        <v>12</v>
      </c>
      <c r="D2855" s="10">
        <v>45734</v>
      </c>
      <c r="E2855" t="s">
        <v>2516</v>
      </c>
      <c r="F2855" s="11" t="s">
        <v>357</v>
      </c>
      <c r="G2855" s="8">
        <v>224.68</v>
      </c>
      <c r="H2855" s="8">
        <v>0</v>
      </c>
      <c r="I2855" s="8">
        <f t="shared" si="107"/>
        <v>16058.609999999991</v>
      </c>
      <c r="J2855" s="12"/>
    </row>
    <row r="2856" spans="3:10" x14ac:dyDescent="0.3">
      <c r="C2856" s="9" t="s">
        <v>12</v>
      </c>
      <c r="D2856" s="10">
        <v>45734</v>
      </c>
      <c r="E2856" t="s">
        <v>2441</v>
      </c>
      <c r="F2856" s="11" t="s">
        <v>90</v>
      </c>
      <c r="G2856" s="8">
        <v>366.78</v>
      </c>
      <c r="H2856" s="8">
        <v>0</v>
      </c>
      <c r="I2856" s="8">
        <f t="shared" si="107"/>
        <v>16425.389999999992</v>
      </c>
      <c r="J2856" s="12"/>
    </row>
    <row r="2857" spans="3:10" x14ac:dyDescent="0.3">
      <c r="C2857" s="9" t="s">
        <v>12</v>
      </c>
      <c r="D2857" s="10">
        <v>45735</v>
      </c>
      <c r="E2857" t="s">
        <v>2517</v>
      </c>
      <c r="F2857" s="11" t="s">
        <v>2518</v>
      </c>
      <c r="G2857" s="8">
        <v>23.83</v>
      </c>
      <c r="H2857" s="8">
        <v>0</v>
      </c>
      <c r="I2857" s="8">
        <f t="shared" si="107"/>
        <v>16449.219999999994</v>
      </c>
      <c r="J2857" s="12"/>
    </row>
    <row r="2858" spans="3:10" x14ac:dyDescent="0.3">
      <c r="C2858" s="9" t="s">
        <v>12</v>
      </c>
      <c r="D2858" s="10">
        <v>45735</v>
      </c>
      <c r="E2858" t="s">
        <v>2441</v>
      </c>
      <c r="F2858" s="11" t="s">
        <v>92</v>
      </c>
      <c r="G2858" s="8">
        <v>91.22</v>
      </c>
      <c r="H2858" s="8">
        <v>0</v>
      </c>
      <c r="I2858" s="8">
        <f t="shared" si="107"/>
        <v>16540.439999999995</v>
      </c>
      <c r="J2858" s="12"/>
    </row>
    <row r="2859" spans="3:10" x14ac:dyDescent="0.3">
      <c r="C2859" s="9" t="s">
        <v>12</v>
      </c>
      <c r="D2859" s="10">
        <v>45736</v>
      </c>
      <c r="E2859" t="s">
        <v>2447</v>
      </c>
      <c r="F2859" s="11" t="s">
        <v>153</v>
      </c>
      <c r="G2859" s="8">
        <v>0.79</v>
      </c>
      <c r="H2859" s="8">
        <v>0</v>
      </c>
      <c r="I2859" s="8">
        <f t="shared" si="107"/>
        <v>16541.229999999996</v>
      </c>
      <c r="J2859" s="12"/>
    </row>
    <row r="2860" spans="3:10" x14ac:dyDescent="0.3">
      <c r="C2860" s="9" t="s">
        <v>12</v>
      </c>
      <c r="D2860" s="10">
        <v>45737</v>
      </c>
      <c r="E2860" t="s">
        <v>2519</v>
      </c>
      <c r="F2860" s="11" t="s">
        <v>2520</v>
      </c>
      <c r="G2860" s="8">
        <v>2.08</v>
      </c>
      <c r="H2860" s="8">
        <v>0</v>
      </c>
      <c r="I2860" s="8">
        <f t="shared" si="107"/>
        <v>16543.309999999998</v>
      </c>
      <c r="J2860" s="12"/>
    </row>
    <row r="2861" spans="3:10" x14ac:dyDescent="0.3">
      <c r="C2861" s="9" t="s">
        <v>12</v>
      </c>
      <c r="D2861" s="10">
        <v>45737</v>
      </c>
      <c r="E2861" t="s">
        <v>2519</v>
      </c>
      <c r="F2861" s="11" t="s">
        <v>2520</v>
      </c>
      <c r="G2861" s="8">
        <v>17.260000000000002</v>
      </c>
      <c r="H2861" s="8">
        <v>0</v>
      </c>
      <c r="I2861" s="8">
        <f t="shared" si="107"/>
        <v>16560.569999999996</v>
      </c>
      <c r="J2861" s="12"/>
    </row>
    <row r="2862" spans="3:10" x14ac:dyDescent="0.3">
      <c r="C2862" s="9" t="s">
        <v>12</v>
      </c>
      <c r="D2862" s="10">
        <v>45737</v>
      </c>
      <c r="E2862" t="s">
        <v>2441</v>
      </c>
      <c r="F2862" s="11" t="s">
        <v>94</v>
      </c>
      <c r="G2862" s="8">
        <v>451.88</v>
      </c>
      <c r="H2862" s="8">
        <v>0</v>
      </c>
      <c r="I2862" s="8">
        <f t="shared" si="107"/>
        <v>17012.449999999997</v>
      </c>
      <c r="J2862" s="12"/>
    </row>
    <row r="2863" spans="3:10" x14ac:dyDescent="0.3">
      <c r="C2863" s="9" t="s">
        <v>12</v>
      </c>
      <c r="D2863" s="10">
        <v>45737</v>
      </c>
      <c r="E2863" t="s">
        <v>2447</v>
      </c>
      <c r="F2863" s="11" t="s">
        <v>155</v>
      </c>
      <c r="G2863" s="8">
        <v>6.15</v>
      </c>
      <c r="H2863" s="8">
        <v>0</v>
      </c>
      <c r="I2863" s="8">
        <f t="shared" si="107"/>
        <v>17018.599999999999</v>
      </c>
      <c r="J2863" s="12"/>
    </row>
    <row r="2864" spans="3:10" x14ac:dyDescent="0.3">
      <c r="C2864" s="9" t="s">
        <v>12</v>
      </c>
      <c r="D2864" s="10">
        <v>45737</v>
      </c>
      <c r="E2864" t="s">
        <v>2521</v>
      </c>
      <c r="F2864" s="11" t="s">
        <v>2522</v>
      </c>
      <c r="G2864" s="8">
        <v>24.15</v>
      </c>
      <c r="H2864" s="8">
        <v>0</v>
      </c>
      <c r="I2864" s="8">
        <f t="shared" si="107"/>
        <v>17042.75</v>
      </c>
      <c r="J2864" s="12"/>
    </row>
    <row r="2865" spans="3:10" x14ac:dyDescent="0.3">
      <c r="C2865" s="9" t="s">
        <v>12</v>
      </c>
      <c r="D2865" s="10">
        <v>45737</v>
      </c>
      <c r="E2865" t="s">
        <v>2456</v>
      </c>
      <c r="F2865" s="11" t="s">
        <v>241</v>
      </c>
      <c r="G2865" s="8">
        <v>892.13</v>
      </c>
      <c r="H2865" s="8">
        <v>0</v>
      </c>
      <c r="I2865" s="8">
        <f t="shared" si="107"/>
        <v>17934.88</v>
      </c>
      <c r="J2865" s="12"/>
    </row>
    <row r="2866" spans="3:10" x14ac:dyDescent="0.3">
      <c r="C2866" s="9" t="s">
        <v>12</v>
      </c>
      <c r="D2866" s="10">
        <v>45737</v>
      </c>
      <c r="E2866" t="s">
        <v>2434</v>
      </c>
      <c r="F2866" s="11" t="s">
        <v>609</v>
      </c>
      <c r="G2866" s="8">
        <v>2.9</v>
      </c>
      <c r="H2866" s="8">
        <v>0</v>
      </c>
      <c r="I2866" s="8">
        <f t="shared" si="107"/>
        <v>17937.780000000002</v>
      </c>
      <c r="J2866" s="12"/>
    </row>
    <row r="2867" spans="3:10" x14ac:dyDescent="0.3">
      <c r="C2867" s="9" t="s">
        <v>12</v>
      </c>
      <c r="D2867" s="10">
        <v>45740</v>
      </c>
      <c r="E2867" t="s">
        <v>2523</v>
      </c>
      <c r="F2867" s="11" t="s">
        <v>2524</v>
      </c>
      <c r="G2867" s="8">
        <v>47.91</v>
      </c>
      <c r="H2867" s="8">
        <v>0</v>
      </c>
      <c r="I2867" s="8">
        <f t="shared" si="107"/>
        <v>17985.690000000002</v>
      </c>
      <c r="J2867" s="12"/>
    </row>
    <row r="2868" spans="3:10" x14ac:dyDescent="0.3">
      <c r="C2868" s="9" t="s">
        <v>12</v>
      </c>
      <c r="D2868" s="10">
        <v>45741</v>
      </c>
      <c r="E2868" t="s">
        <v>2461</v>
      </c>
      <c r="F2868" s="11" t="s">
        <v>286</v>
      </c>
      <c r="G2868" s="8">
        <v>73.91</v>
      </c>
      <c r="H2868" s="8">
        <v>0</v>
      </c>
      <c r="I2868" s="8">
        <f t="shared" si="107"/>
        <v>18059.600000000002</v>
      </c>
      <c r="J2868" s="12"/>
    </row>
    <row r="2869" spans="3:10" x14ac:dyDescent="0.3">
      <c r="C2869" s="9" t="s">
        <v>12</v>
      </c>
      <c r="D2869" s="10">
        <v>45741</v>
      </c>
      <c r="E2869" t="s">
        <v>2447</v>
      </c>
      <c r="F2869" s="11" t="s">
        <v>157</v>
      </c>
      <c r="G2869" s="8">
        <v>4.01</v>
      </c>
      <c r="H2869" s="8">
        <v>0</v>
      </c>
      <c r="I2869" s="8">
        <f t="shared" si="107"/>
        <v>18063.61</v>
      </c>
      <c r="J2869" s="12"/>
    </row>
    <row r="2870" spans="3:10" x14ac:dyDescent="0.3">
      <c r="C2870" s="9" t="s">
        <v>12</v>
      </c>
      <c r="D2870" s="10">
        <v>45741</v>
      </c>
      <c r="E2870" t="s">
        <v>2441</v>
      </c>
      <c r="F2870" s="11" t="s">
        <v>96</v>
      </c>
      <c r="G2870" s="8">
        <v>1018.24</v>
      </c>
      <c r="H2870" s="8">
        <v>0</v>
      </c>
      <c r="I2870" s="8">
        <f t="shared" si="107"/>
        <v>19081.850000000002</v>
      </c>
      <c r="J2870" s="12"/>
    </row>
    <row r="2871" spans="3:10" x14ac:dyDescent="0.3">
      <c r="C2871" s="9" t="s">
        <v>12</v>
      </c>
      <c r="D2871" s="10">
        <v>45741</v>
      </c>
      <c r="E2871" t="s">
        <v>2434</v>
      </c>
      <c r="F2871" s="11" t="s">
        <v>610</v>
      </c>
      <c r="G2871" s="8">
        <v>1.19</v>
      </c>
      <c r="H2871" s="8">
        <v>0</v>
      </c>
      <c r="I2871" s="8">
        <f t="shared" si="107"/>
        <v>19083.04</v>
      </c>
      <c r="J2871" s="12"/>
    </row>
    <row r="2872" spans="3:10" x14ac:dyDescent="0.3">
      <c r="C2872" s="9" t="s">
        <v>12</v>
      </c>
      <c r="D2872" s="10">
        <v>45742</v>
      </c>
      <c r="E2872" t="s">
        <v>2457</v>
      </c>
      <c r="F2872" s="11" t="s">
        <v>468</v>
      </c>
      <c r="G2872" s="8">
        <v>4.26</v>
      </c>
      <c r="H2872" s="8">
        <v>0</v>
      </c>
      <c r="I2872" s="8">
        <f t="shared" si="107"/>
        <v>19087.3</v>
      </c>
      <c r="J2872" s="12"/>
    </row>
    <row r="2873" spans="3:10" x14ac:dyDescent="0.3">
      <c r="C2873" s="9" t="s">
        <v>12</v>
      </c>
      <c r="D2873" s="10">
        <v>45742</v>
      </c>
      <c r="E2873" t="s">
        <v>2525</v>
      </c>
      <c r="F2873" s="11" t="s">
        <v>2526</v>
      </c>
      <c r="G2873" s="8">
        <v>5.59</v>
      </c>
      <c r="H2873" s="8">
        <v>0</v>
      </c>
      <c r="I2873" s="8">
        <f t="shared" si="107"/>
        <v>19092.89</v>
      </c>
      <c r="J2873" s="12"/>
    </row>
    <row r="2874" spans="3:10" x14ac:dyDescent="0.3">
      <c r="C2874" s="9" t="s">
        <v>12</v>
      </c>
      <c r="D2874" s="10">
        <v>45742</v>
      </c>
      <c r="E2874" t="s">
        <v>2527</v>
      </c>
      <c r="F2874" s="11" t="s">
        <v>2528</v>
      </c>
      <c r="G2874" s="8">
        <v>8.81</v>
      </c>
      <c r="H2874" s="8">
        <v>0</v>
      </c>
      <c r="I2874" s="8">
        <f t="shared" si="107"/>
        <v>19101.7</v>
      </c>
      <c r="J2874" s="12"/>
    </row>
    <row r="2875" spans="3:10" x14ac:dyDescent="0.3">
      <c r="C2875" s="9" t="s">
        <v>12</v>
      </c>
      <c r="D2875" s="10">
        <v>45743</v>
      </c>
      <c r="E2875" t="s">
        <v>2529</v>
      </c>
      <c r="F2875" s="11" t="s">
        <v>2530</v>
      </c>
      <c r="G2875" s="8">
        <v>11.81</v>
      </c>
      <c r="H2875" s="8">
        <v>0</v>
      </c>
      <c r="I2875" s="8">
        <f t="shared" si="107"/>
        <v>19113.510000000002</v>
      </c>
      <c r="J2875" s="12"/>
    </row>
    <row r="2876" spans="3:10" x14ac:dyDescent="0.3">
      <c r="C2876" s="9" t="s">
        <v>12</v>
      </c>
      <c r="D2876" s="10">
        <v>45743</v>
      </c>
      <c r="E2876" t="s">
        <v>2531</v>
      </c>
      <c r="F2876" s="11" t="s">
        <v>2532</v>
      </c>
      <c r="G2876" s="8">
        <v>23.92</v>
      </c>
      <c r="H2876" s="8">
        <v>0</v>
      </c>
      <c r="I2876" s="8">
        <f t="shared" si="107"/>
        <v>19137.43</v>
      </c>
      <c r="J2876" s="12"/>
    </row>
    <row r="2877" spans="3:10" x14ac:dyDescent="0.3">
      <c r="C2877" s="9" t="s">
        <v>12</v>
      </c>
      <c r="D2877" s="10">
        <v>45743</v>
      </c>
      <c r="E2877" t="s">
        <v>2533</v>
      </c>
      <c r="F2877" s="11" t="s">
        <v>2534</v>
      </c>
      <c r="G2877" s="8">
        <v>13.64</v>
      </c>
      <c r="H2877" s="8">
        <v>0</v>
      </c>
      <c r="I2877" s="8">
        <f t="shared" si="107"/>
        <v>19151.07</v>
      </c>
      <c r="J2877" s="12"/>
    </row>
    <row r="2878" spans="3:10" x14ac:dyDescent="0.3">
      <c r="C2878" s="9" t="s">
        <v>12</v>
      </c>
      <c r="D2878" s="10">
        <v>45743</v>
      </c>
      <c r="E2878" t="s">
        <v>2535</v>
      </c>
      <c r="F2878" s="11" t="s">
        <v>889</v>
      </c>
      <c r="G2878" s="8">
        <v>124.07</v>
      </c>
      <c r="H2878" s="8">
        <v>0</v>
      </c>
      <c r="I2878" s="8">
        <f t="shared" si="107"/>
        <v>19275.14</v>
      </c>
      <c r="J2878" s="12"/>
    </row>
    <row r="2879" spans="3:10" x14ac:dyDescent="0.3">
      <c r="C2879" s="9" t="s">
        <v>12</v>
      </c>
      <c r="D2879" s="10">
        <v>45743</v>
      </c>
      <c r="E2879" t="s">
        <v>2434</v>
      </c>
      <c r="F2879" s="11" t="s">
        <v>611</v>
      </c>
      <c r="G2879" s="8">
        <v>2.08</v>
      </c>
      <c r="H2879" s="8">
        <v>0</v>
      </c>
      <c r="I2879" s="8">
        <f t="shared" si="107"/>
        <v>19277.22</v>
      </c>
      <c r="J2879" s="12"/>
    </row>
    <row r="2880" spans="3:10" x14ac:dyDescent="0.3">
      <c r="C2880" s="9" t="s">
        <v>12</v>
      </c>
      <c r="D2880" s="10">
        <v>45743</v>
      </c>
      <c r="E2880" t="s">
        <v>2434</v>
      </c>
      <c r="F2880" s="11" t="s">
        <v>612</v>
      </c>
      <c r="G2880" s="8">
        <v>0.82</v>
      </c>
      <c r="H2880" s="8">
        <v>0</v>
      </c>
      <c r="I2880" s="8">
        <f t="shared" si="107"/>
        <v>19278.04</v>
      </c>
      <c r="J2880" s="12"/>
    </row>
    <row r="2881" spans="3:10" x14ac:dyDescent="0.3">
      <c r="C2881" s="9" t="s">
        <v>12</v>
      </c>
      <c r="D2881" s="10">
        <v>45744</v>
      </c>
      <c r="E2881" t="s">
        <v>2504</v>
      </c>
      <c r="F2881" s="11" t="s">
        <v>2536</v>
      </c>
      <c r="G2881" s="8">
        <v>5.27</v>
      </c>
      <c r="H2881" s="8">
        <v>0</v>
      </c>
      <c r="I2881" s="8">
        <f t="shared" si="107"/>
        <v>19283.310000000001</v>
      </c>
      <c r="J2881" s="12"/>
    </row>
    <row r="2882" spans="3:10" x14ac:dyDescent="0.3">
      <c r="C2882" s="9" t="s">
        <v>12</v>
      </c>
      <c r="D2882" s="10">
        <v>45746</v>
      </c>
      <c r="E2882" t="s">
        <v>2448</v>
      </c>
      <c r="F2882" s="11" t="s">
        <v>220</v>
      </c>
      <c r="G2882" s="8">
        <v>10.050000000000001</v>
      </c>
      <c r="H2882" s="8">
        <v>0</v>
      </c>
      <c r="I2882" s="8">
        <f t="shared" si="107"/>
        <v>19293.36</v>
      </c>
      <c r="J2882" s="12"/>
    </row>
    <row r="2883" spans="3:10" x14ac:dyDescent="0.3">
      <c r="C2883" s="9" t="s">
        <v>12</v>
      </c>
      <c r="D2883" s="10">
        <v>45746</v>
      </c>
      <c r="E2883" t="s">
        <v>2537</v>
      </c>
      <c r="F2883" s="11" t="s">
        <v>498</v>
      </c>
      <c r="G2883" s="8">
        <v>84</v>
      </c>
      <c r="H2883" s="8">
        <v>0</v>
      </c>
      <c r="I2883" s="8">
        <f t="shared" si="107"/>
        <v>19377.36</v>
      </c>
      <c r="J2883" s="12"/>
    </row>
    <row r="2884" spans="3:10" x14ac:dyDescent="0.3">
      <c r="C2884" s="9" t="s">
        <v>12</v>
      </c>
      <c r="D2884" s="10">
        <v>45747</v>
      </c>
      <c r="E2884" t="s">
        <v>2463</v>
      </c>
      <c r="F2884" s="11" t="s">
        <v>538</v>
      </c>
      <c r="G2884" s="8">
        <v>11.97</v>
      </c>
      <c r="H2884" s="8">
        <v>0</v>
      </c>
      <c r="I2884" s="8">
        <f t="shared" si="107"/>
        <v>19389.330000000002</v>
      </c>
      <c r="J2884" s="12"/>
    </row>
    <row r="2885" spans="3:10" x14ac:dyDescent="0.3">
      <c r="C2885" s="9" t="s">
        <v>12</v>
      </c>
      <c r="D2885" s="10">
        <v>45747</v>
      </c>
      <c r="E2885" t="s">
        <v>2456</v>
      </c>
      <c r="F2885" s="11" t="s">
        <v>243</v>
      </c>
      <c r="G2885" s="8">
        <v>74.5</v>
      </c>
      <c r="H2885" s="8">
        <v>0</v>
      </c>
      <c r="I2885" s="8">
        <f t="shared" si="107"/>
        <v>19463.830000000002</v>
      </c>
      <c r="J2885" s="12"/>
    </row>
    <row r="2886" spans="3:10" x14ac:dyDescent="0.3">
      <c r="C2886" s="9" t="s">
        <v>12</v>
      </c>
      <c r="D2886" s="10">
        <v>45747</v>
      </c>
      <c r="E2886" t="s">
        <v>2447</v>
      </c>
      <c r="F2886" s="11" t="s">
        <v>159</v>
      </c>
      <c r="G2886" s="8">
        <v>15.44</v>
      </c>
      <c r="H2886" s="8">
        <v>0</v>
      </c>
      <c r="I2886" s="8">
        <f t="shared" si="107"/>
        <v>19479.27</v>
      </c>
      <c r="J2886" s="12"/>
    </row>
    <row r="2887" spans="3:10" x14ac:dyDescent="0.3">
      <c r="C2887" s="9" t="s">
        <v>12</v>
      </c>
      <c r="D2887" s="10">
        <v>45747</v>
      </c>
      <c r="E2887" t="s">
        <v>2465</v>
      </c>
      <c r="F2887" s="11" t="s">
        <v>819</v>
      </c>
      <c r="G2887" s="8">
        <v>36.89</v>
      </c>
      <c r="H2887" s="8">
        <v>0</v>
      </c>
      <c r="I2887" s="8">
        <f t="shared" si="107"/>
        <v>19516.16</v>
      </c>
      <c r="J2887" s="12"/>
    </row>
    <row r="2888" spans="3:10" x14ac:dyDescent="0.3">
      <c r="C2888" s="9" t="s">
        <v>12</v>
      </c>
      <c r="D2888" s="10">
        <v>45747</v>
      </c>
      <c r="E2888" t="s">
        <v>2465</v>
      </c>
      <c r="F2888" s="11" t="s">
        <v>821</v>
      </c>
      <c r="G2888" s="8">
        <v>25.52</v>
      </c>
      <c r="H2888" s="8">
        <v>0</v>
      </c>
      <c r="I2888" s="8">
        <f t="shared" si="107"/>
        <v>19541.68</v>
      </c>
      <c r="J2888" s="12"/>
    </row>
    <row r="2889" spans="3:10" x14ac:dyDescent="0.3">
      <c r="C2889" s="9" t="s">
        <v>12</v>
      </c>
      <c r="D2889" s="10">
        <v>45747</v>
      </c>
      <c r="E2889" t="s">
        <v>2538</v>
      </c>
      <c r="F2889" s="11" t="s">
        <v>566</v>
      </c>
      <c r="G2889" s="8">
        <v>0</v>
      </c>
      <c r="H2889" s="8">
        <v>19541.68</v>
      </c>
      <c r="I2889" s="8">
        <f t="shared" si="107"/>
        <v>0</v>
      </c>
      <c r="J2889" s="12"/>
    </row>
    <row r="2890" spans="3:10" x14ac:dyDescent="0.3">
      <c r="C2890" s="9" t="s">
        <v>12</v>
      </c>
      <c r="D2890" s="10">
        <v>45748</v>
      </c>
      <c r="E2890" t="s">
        <v>2434</v>
      </c>
      <c r="F2890" s="11" t="s">
        <v>614</v>
      </c>
      <c r="G2890" s="8">
        <v>1.26</v>
      </c>
      <c r="H2890" s="8">
        <v>0</v>
      </c>
      <c r="I2890" s="8">
        <f t="shared" si="107"/>
        <v>1.26</v>
      </c>
      <c r="J2890" s="12"/>
    </row>
    <row r="2891" spans="3:10" x14ac:dyDescent="0.3">
      <c r="C2891" s="9" t="s">
        <v>12</v>
      </c>
      <c r="D2891" s="10">
        <v>45748</v>
      </c>
      <c r="E2891" t="s">
        <v>2434</v>
      </c>
      <c r="F2891" s="11" t="s">
        <v>615</v>
      </c>
      <c r="G2891" s="8">
        <v>2.06</v>
      </c>
      <c r="H2891" s="8">
        <v>0</v>
      </c>
      <c r="I2891" s="8">
        <f t="shared" si="107"/>
        <v>3.3200000000000003</v>
      </c>
      <c r="J2891" s="12"/>
    </row>
    <row r="2892" spans="3:10" x14ac:dyDescent="0.3">
      <c r="C2892" s="9" t="s">
        <v>12</v>
      </c>
      <c r="D2892" s="10">
        <v>45748</v>
      </c>
      <c r="E2892" t="s">
        <v>2434</v>
      </c>
      <c r="F2892" s="11" t="s">
        <v>616</v>
      </c>
      <c r="G2892" s="8">
        <v>3.34</v>
      </c>
      <c r="H2892" s="8">
        <v>0</v>
      </c>
      <c r="I2892" s="8">
        <f t="shared" si="107"/>
        <v>6.66</v>
      </c>
      <c r="J2892" s="12"/>
    </row>
    <row r="2893" spans="3:10" x14ac:dyDescent="0.3">
      <c r="C2893" s="9" t="s">
        <v>12</v>
      </c>
      <c r="D2893" s="10">
        <v>45748</v>
      </c>
      <c r="E2893" t="s">
        <v>2434</v>
      </c>
      <c r="F2893" s="11" t="s">
        <v>618</v>
      </c>
      <c r="G2893" s="8">
        <v>2.11</v>
      </c>
      <c r="H2893" s="8">
        <v>0</v>
      </c>
      <c r="I2893" s="8">
        <f t="shared" si="107"/>
        <v>8.77</v>
      </c>
      <c r="J2893" s="12"/>
    </row>
    <row r="2894" spans="3:10" x14ac:dyDescent="0.3">
      <c r="C2894" s="9" t="s">
        <v>12</v>
      </c>
      <c r="D2894" s="10">
        <v>45748</v>
      </c>
      <c r="E2894" t="s">
        <v>2434</v>
      </c>
      <c r="F2894" s="11" t="s">
        <v>619</v>
      </c>
      <c r="G2894" s="8">
        <v>4.4400000000000004</v>
      </c>
      <c r="H2894" s="8">
        <v>0</v>
      </c>
      <c r="I2894" s="8">
        <f t="shared" si="107"/>
        <v>13.21</v>
      </c>
      <c r="J2894" s="12"/>
    </row>
    <row r="2895" spans="3:10" x14ac:dyDescent="0.3">
      <c r="C2895" s="9" t="s">
        <v>12</v>
      </c>
      <c r="D2895" s="10">
        <v>45748</v>
      </c>
      <c r="E2895" t="s">
        <v>2434</v>
      </c>
      <c r="F2895" s="11" t="s">
        <v>621</v>
      </c>
      <c r="G2895" s="8">
        <v>2.88</v>
      </c>
      <c r="H2895" s="8">
        <v>0</v>
      </c>
      <c r="I2895" s="8">
        <f t="shared" si="107"/>
        <v>16.09</v>
      </c>
      <c r="J2895" s="12"/>
    </row>
    <row r="2896" spans="3:10" x14ac:dyDescent="0.3">
      <c r="C2896" s="9" t="s">
        <v>12</v>
      </c>
      <c r="D2896" s="10">
        <v>45748</v>
      </c>
      <c r="E2896" t="s">
        <v>2434</v>
      </c>
      <c r="F2896" s="11" t="s">
        <v>623</v>
      </c>
      <c r="G2896" s="8">
        <v>3.54</v>
      </c>
      <c r="H2896" s="8">
        <v>0</v>
      </c>
      <c r="I2896" s="8">
        <f t="shared" si="107"/>
        <v>19.63</v>
      </c>
      <c r="J2896" s="12"/>
    </row>
    <row r="2897" spans="3:10" x14ac:dyDescent="0.3">
      <c r="C2897" s="9" t="s">
        <v>12</v>
      </c>
      <c r="D2897" s="10">
        <v>45748</v>
      </c>
      <c r="E2897" t="s">
        <v>2434</v>
      </c>
      <c r="F2897" s="11" t="s">
        <v>625</v>
      </c>
      <c r="G2897" s="8">
        <v>23.14</v>
      </c>
      <c r="H2897" s="8">
        <v>0</v>
      </c>
      <c r="I2897" s="8">
        <f t="shared" si="107"/>
        <v>42.769999999999996</v>
      </c>
      <c r="J2897" s="12"/>
    </row>
    <row r="2898" spans="3:10" x14ac:dyDescent="0.3">
      <c r="C2898" s="9" t="s">
        <v>12</v>
      </c>
      <c r="D2898" s="10">
        <v>45748</v>
      </c>
      <c r="E2898" t="s">
        <v>2434</v>
      </c>
      <c r="F2898" s="11" t="s">
        <v>627</v>
      </c>
      <c r="G2898" s="8">
        <v>10</v>
      </c>
      <c r="H2898" s="8">
        <v>0</v>
      </c>
      <c r="I2898" s="8">
        <f t="shared" ref="I2898:I2961" si="108">G2898-H2898+I2897</f>
        <v>52.769999999999996</v>
      </c>
      <c r="J2898" s="12"/>
    </row>
    <row r="2899" spans="3:10" x14ac:dyDescent="0.3">
      <c r="C2899" s="9" t="s">
        <v>12</v>
      </c>
      <c r="D2899" s="10">
        <v>45748</v>
      </c>
      <c r="E2899" t="s">
        <v>2539</v>
      </c>
      <c r="F2899" s="11" t="s">
        <v>14</v>
      </c>
      <c r="G2899" s="8">
        <v>1.41</v>
      </c>
      <c r="H2899" s="8">
        <v>0</v>
      </c>
      <c r="I2899" s="8">
        <f t="shared" si="108"/>
        <v>54.179999999999993</v>
      </c>
      <c r="J2899" s="12"/>
    </row>
    <row r="2900" spans="3:10" x14ac:dyDescent="0.3">
      <c r="C2900" s="9" t="s">
        <v>12</v>
      </c>
      <c r="D2900" s="10">
        <v>45748</v>
      </c>
      <c r="E2900" t="s">
        <v>2435</v>
      </c>
      <c r="F2900" s="11" t="s">
        <v>518</v>
      </c>
      <c r="G2900" s="8">
        <v>179.76</v>
      </c>
      <c r="H2900" s="8">
        <v>0</v>
      </c>
      <c r="I2900" s="8">
        <f t="shared" si="108"/>
        <v>233.94</v>
      </c>
      <c r="J2900" s="12"/>
    </row>
    <row r="2901" spans="3:10" x14ac:dyDescent="0.3">
      <c r="C2901" s="9" t="s">
        <v>12</v>
      </c>
      <c r="D2901" s="10">
        <v>45748</v>
      </c>
      <c r="E2901" t="s">
        <v>2435</v>
      </c>
      <c r="F2901" s="11" t="s">
        <v>520</v>
      </c>
      <c r="G2901" s="8">
        <v>187.53</v>
      </c>
      <c r="H2901" s="8">
        <v>0</v>
      </c>
      <c r="I2901" s="8">
        <f t="shared" si="108"/>
        <v>421.47</v>
      </c>
      <c r="J2901" s="12"/>
    </row>
    <row r="2902" spans="3:10" x14ac:dyDescent="0.3">
      <c r="C2902" s="9" t="s">
        <v>12</v>
      </c>
      <c r="D2902" s="10">
        <v>45748</v>
      </c>
      <c r="E2902" t="s">
        <v>2435</v>
      </c>
      <c r="F2902" s="11" t="s">
        <v>522</v>
      </c>
      <c r="G2902" s="8">
        <v>106.45</v>
      </c>
      <c r="H2902" s="8">
        <v>0</v>
      </c>
      <c r="I2902" s="8">
        <f t="shared" si="108"/>
        <v>527.92000000000007</v>
      </c>
      <c r="J2902" s="12"/>
    </row>
    <row r="2903" spans="3:10" x14ac:dyDescent="0.3">
      <c r="C2903" s="9" t="s">
        <v>12</v>
      </c>
      <c r="D2903" s="10">
        <v>45748</v>
      </c>
      <c r="E2903" t="s">
        <v>2434</v>
      </c>
      <c r="F2903" s="11" t="s">
        <v>628</v>
      </c>
      <c r="G2903" s="8">
        <v>2.86</v>
      </c>
      <c r="H2903" s="8">
        <v>0</v>
      </c>
      <c r="I2903" s="8">
        <f t="shared" si="108"/>
        <v>530.78000000000009</v>
      </c>
      <c r="J2903" s="12"/>
    </row>
    <row r="2904" spans="3:10" x14ac:dyDescent="0.3">
      <c r="C2904" s="9" t="s">
        <v>12</v>
      </c>
      <c r="D2904" s="10">
        <v>45748</v>
      </c>
      <c r="E2904" t="s">
        <v>2443</v>
      </c>
      <c r="F2904" s="11" t="s">
        <v>2540</v>
      </c>
      <c r="G2904" s="8">
        <v>1.26</v>
      </c>
      <c r="H2904" s="8">
        <v>0</v>
      </c>
      <c r="I2904" s="8">
        <f t="shared" si="108"/>
        <v>532.04000000000008</v>
      </c>
      <c r="J2904" s="12"/>
    </row>
    <row r="2905" spans="3:10" x14ac:dyDescent="0.3">
      <c r="C2905" s="9" t="s">
        <v>12</v>
      </c>
      <c r="D2905" s="10">
        <v>45748</v>
      </c>
      <c r="E2905" t="s">
        <v>2516</v>
      </c>
      <c r="F2905" s="11" t="s">
        <v>359</v>
      </c>
      <c r="G2905" s="8">
        <v>55.76</v>
      </c>
      <c r="H2905" s="8">
        <v>0</v>
      </c>
      <c r="I2905" s="8">
        <f t="shared" si="108"/>
        <v>587.80000000000007</v>
      </c>
      <c r="J2905" s="12"/>
    </row>
    <row r="2906" spans="3:10" x14ac:dyDescent="0.3">
      <c r="C2906" s="9" t="s">
        <v>12</v>
      </c>
      <c r="D2906" s="10">
        <v>45748</v>
      </c>
      <c r="E2906" t="s">
        <v>2516</v>
      </c>
      <c r="F2906" s="11" t="s">
        <v>361</v>
      </c>
      <c r="G2906" s="8">
        <v>63.06</v>
      </c>
      <c r="H2906" s="8">
        <v>0</v>
      </c>
      <c r="I2906" s="8">
        <f t="shared" si="108"/>
        <v>650.86000000000013</v>
      </c>
      <c r="J2906" s="12"/>
    </row>
    <row r="2907" spans="3:10" x14ac:dyDescent="0.3">
      <c r="C2907" s="9" t="s">
        <v>12</v>
      </c>
      <c r="D2907" s="10">
        <v>45748</v>
      </c>
      <c r="E2907" t="s">
        <v>2516</v>
      </c>
      <c r="F2907" s="11" t="s">
        <v>363</v>
      </c>
      <c r="G2907" s="8">
        <v>59.98</v>
      </c>
      <c r="H2907" s="8">
        <v>0</v>
      </c>
      <c r="I2907" s="8">
        <f t="shared" si="108"/>
        <v>710.84000000000015</v>
      </c>
      <c r="J2907" s="12"/>
    </row>
    <row r="2908" spans="3:10" x14ac:dyDescent="0.3">
      <c r="C2908" s="9" t="s">
        <v>12</v>
      </c>
      <c r="D2908" s="10">
        <v>45748</v>
      </c>
      <c r="E2908" t="s">
        <v>2516</v>
      </c>
      <c r="F2908" s="11" t="s">
        <v>365</v>
      </c>
      <c r="G2908" s="8">
        <v>204.12</v>
      </c>
      <c r="H2908" s="8">
        <v>0</v>
      </c>
      <c r="I2908" s="8">
        <f t="shared" si="108"/>
        <v>914.96000000000015</v>
      </c>
      <c r="J2908" s="12"/>
    </row>
    <row r="2909" spans="3:10" x14ac:dyDescent="0.3">
      <c r="C2909" s="9" t="s">
        <v>12</v>
      </c>
      <c r="D2909" s="10">
        <v>45748</v>
      </c>
      <c r="E2909" t="s">
        <v>2516</v>
      </c>
      <c r="F2909" s="11" t="s">
        <v>367</v>
      </c>
      <c r="G2909" s="8">
        <v>157.25</v>
      </c>
      <c r="H2909" s="8">
        <v>0</v>
      </c>
      <c r="I2909" s="8">
        <f t="shared" si="108"/>
        <v>1072.21</v>
      </c>
      <c r="J2909" s="12"/>
    </row>
    <row r="2910" spans="3:10" x14ac:dyDescent="0.3">
      <c r="C2910" s="9" t="s">
        <v>12</v>
      </c>
      <c r="D2910" s="10">
        <v>45748</v>
      </c>
      <c r="E2910" t="s">
        <v>2516</v>
      </c>
      <c r="F2910" s="11" t="s">
        <v>369</v>
      </c>
      <c r="G2910" s="8">
        <v>98.71</v>
      </c>
      <c r="H2910" s="8">
        <v>0</v>
      </c>
      <c r="I2910" s="8">
        <f t="shared" si="108"/>
        <v>1170.92</v>
      </c>
      <c r="J2910" s="12"/>
    </row>
    <row r="2911" spans="3:10" x14ac:dyDescent="0.3">
      <c r="C2911" s="9" t="s">
        <v>12</v>
      </c>
      <c r="D2911" s="10">
        <v>45748</v>
      </c>
      <c r="E2911" t="s">
        <v>2516</v>
      </c>
      <c r="F2911" s="11" t="s">
        <v>371</v>
      </c>
      <c r="G2911" s="8">
        <v>101.49</v>
      </c>
      <c r="H2911" s="8">
        <v>0</v>
      </c>
      <c r="I2911" s="8">
        <f t="shared" si="108"/>
        <v>1272.4100000000001</v>
      </c>
      <c r="J2911" s="12"/>
    </row>
    <row r="2912" spans="3:10" x14ac:dyDescent="0.3">
      <c r="C2912" s="9" t="s">
        <v>12</v>
      </c>
      <c r="D2912" s="10">
        <v>45748</v>
      </c>
      <c r="E2912" t="s">
        <v>2516</v>
      </c>
      <c r="F2912" s="11" t="s">
        <v>373</v>
      </c>
      <c r="G2912" s="8">
        <v>94.92</v>
      </c>
      <c r="H2912" s="8">
        <v>0</v>
      </c>
      <c r="I2912" s="8">
        <f t="shared" si="108"/>
        <v>1367.3300000000002</v>
      </c>
      <c r="J2912" s="12"/>
    </row>
    <row r="2913" spans="3:10" x14ac:dyDescent="0.3">
      <c r="C2913" s="9" t="s">
        <v>12</v>
      </c>
      <c r="D2913" s="10">
        <v>45748</v>
      </c>
      <c r="E2913" t="s">
        <v>2473</v>
      </c>
      <c r="F2913" s="11" t="s">
        <v>2541</v>
      </c>
      <c r="G2913" s="8">
        <v>10.59</v>
      </c>
      <c r="H2913" s="8">
        <v>0</v>
      </c>
      <c r="I2913" s="8">
        <f t="shared" si="108"/>
        <v>1377.92</v>
      </c>
      <c r="J2913" s="12"/>
    </row>
    <row r="2914" spans="3:10" x14ac:dyDescent="0.3">
      <c r="C2914" s="9" t="s">
        <v>12</v>
      </c>
      <c r="D2914" s="10">
        <v>45748</v>
      </c>
      <c r="E2914" t="s">
        <v>2429</v>
      </c>
      <c r="F2914" s="11" t="s">
        <v>2542</v>
      </c>
      <c r="G2914" s="8">
        <v>60.79</v>
      </c>
      <c r="H2914" s="8">
        <v>0</v>
      </c>
      <c r="I2914" s="8">
        <f t="shared" si="108"/>
        <v>1438.71</v>
      </c>
      <c r="J2914" s="12"/>
    </row>
    <row r="2915" spans="3:10" x14ac:dyDescent="0.3">
      <c r="C2915" s="9" t="s">
        <v>12</v>
      </c>
      <c r="D2915" s="10">
        <v>45748</v>
      </c>
      <c r="E2915" t="s">
        <v>2441</v>
      </c>
      <c r="F2915" s="11" t="s">
        <v>98</v>
      </c>
      <c r="G2915" s="8">
        <v>18.170000000000002</v>
      </c>
      <c r="H2915" s="8">
        <v>0</v>
      </c>
      <c r="I2915" s="8">
        <f t="shared" si="108"/>
        <v>1456.88</v>
      </c>
      <c r="J2915" s="12"/>
    </row>
    <row r="2916" spans="3:10" x14ac:dyDescent="0.3">
      <c r="C2916" s="9" t="s">
        <v>12</v>
      </c>
      <c r="D2916" s="10">
        <v>45748</v>
      </c>
      <c r="E2916" t="s">
        <v>2442</v>
      </c>
      <c r="F2916" s="11" t="s">
        <v>570</v>
      </c>
      <c r="G2916" s="8">
        <v>124.98</v>
      </c>
      <c r="H2916" s="8">
        <v>0</v>
      </c>
      <c r="I2916" s="8">
        <f t="shared" si="108"/>
        <v>1581.8600000000001</v>
      </c>
      <c r="J2916" s="12"/>
    </row>
    <row r="2917" spans="3:10" x14ac:dyDescent="0.3">
      <c r="C2917" s="9" t="s">
        <v>12</v>
      </c>
      <c r="D2917" s="10">
        <v>45748</v>
      </c>
      <c r="E2917" t="s">
        <v>2431</v>
      </c>
      <c r="F2917" s="11" t="s">
        <v>797</v>
      </c>
      <c r="G2917" s="8">
        <v>-71.290000000000006</v>
      </c>
      <c r="H2917" s="8">
        <v>0</v>
      </c>
      <c r="I2917" s="8">
        <f t="shared" si="108"/>
        <v>1510.5700000000002</v>
      </c>
      <c r="J2917" s="12"/>
    </row>
    <row r="2918" spans="3:10" x14ac:dyDescent="0.3">
      <c r="C2918" s="9" t="s">
        <v>12</v>
      </c>
      <c r="D2918" s="10">
        <v>45748</v>
      </c>
      <c r="E2918" t="s">
        <v>2441</v>
      </c>
      <c r="F2918" s="11" t="s">
        <v>100</v>
      </c>
      <c r="G2918" s="8">
        <v>402.28</v>
      </c>
      <c r="H2918" s="8">
        <v>0</v>
      </c>
      <c r="I2918" s="8">
        <f t="shared" si="108"/>
        <v>1912.8500000000001</v>
      </c>
      <c r="J2918" s="12"/>
    </row>
    <row r="2919" spans="3:10" x14ac:dyDescent="0.3">
      <c r="C2919" s="9" t="s">
        <v>12</v>
      </c>
      <c r="D2919" s="10">
        <v>45748</v>
      </c>
      <c r="E2919" t="s">
        <v>2441</v>
      </c>
      <c r="F2919" s="11" t="s">
        <v>102</v>
      </c>
      <c r="G2919" s="8">
        <v>167.7</v>
      </c>
      <c r="H2919" s="8">
        <v>0</v>
      </c>
      <c r="I2919" s="8">
        <f t="shared" si="108"/>
        <v>2080.5500000000002</v>
      </c>
      <c r="J2919" s="12"/>
    </row>
    <row r="2920" spans="3:10" x14ac:dyDescent="0.3">
      <c r="C2920" s="9" t="s">
        <v>12</v>
      </c>
      <c r="D2920" s="10">
        <v>45748</v>
      </c>
      <c r="E2920" t="s">
        <v>2441</v>
      </c>
      <c r="F2920" s="11" t="s">
        <v>104</v>
      </c>
      <c r="G2920" s="8">
        <v>130.24</v>
      </c>
      <c r="H2920" s="8">
        <v>0</v>
      </c>
      <c r="I2920" s="8">
        <f t="shared" si="108"/>
        <v>2210.79</v>
      </c>
      <c r="J2920" s="12"/>
    </row>
    <row r="2921" spans="3:10" x14ac:dyDescent="0.3">
      <c r="C2921" s="9" t="s">
        <v>12</v>
      </c>
      <c r="D2921" s="10">
        <v>45748</v>
      </c>
      <c r="E2921" t="s">
        <v>2441</v>
      </c>
      <c r="F2921" s="11" t="s">
        <v>106</v>
      </c>
      <c r="G2921" s="8">
        <v>781.41</v>
      </c>
      <c r="H2921" s="8">
        <v>0</v>
      </c>
      <c r="I2921" s="8">
        <f t="shared" si="108"/>
        <v>2992.2</v>
      </c>
      <c r="J2921" s="12"/>
    </row>
    <row r="2922" spans="3:10" x14ac:dyDescent="0.3">
      <c r="C2922" s="9" t="s">
        <v>12</v>
      </c>
      <c r="D2922" s="10">
        <v>45748</v>
      </c>
      <c r="E2922" t="s">
        <v>2543</v>
      </c>
      <c r="F2922" s="11" t="s">
        <v>203</v>
      </c>
      <c r="G2922" s="8">
        <v>2.09</v>
      </c>
      <c r="H2922" s="8">
        <v>0</v>
      </c>
      <c r="I2922" s="8">
        <f t="shared" si="108"/>
        <v>2994.29</v>
      </c>
      <c r="J2922" s="12"/>
    </row>
    <row r="2923" spans="3:10" x14ac:dyDescent="0.3">
      <c r="C2923" s="9" t="s">
        <v>12</v>
      </c>
      <c r="D2923" s="10">
        <v>45748</v>
      </c>
      <c r="E2923" t="s">
        <v>2480</v>
      </c>
      <c r="F2923" s="11" t="s">
        <v>2544</v>
      </c>
      <c r="G2923" s="8">
        <v>2555.73</v>
      </c>
      <c r="H2923" s="8">
        <v>0</v>
      </c>
      <c r="I2923" s="8">
        <f t="shared" si="108"/>
        <v>5550.02</v>
      </c>
      <c r="J2923" s="12"/>
    </row>
    <row r="2924" spans="3:10" x14ac:dyDescent="0.3">
      <c r="C2924" s="9" t="s">
        <v>12</v>
      </c>
      <c r="D2924" s="10">
        <v>45748</v>
      </c>
      <c r="E2924" t="s">
        <v>2480</v>
      </c>
      <c r="F2924" s="11" t="s">
        <v>2544</v>
      </c>
      <c r="G2924" s="8">
        <v>31.5</v>
      </c>
      <c r="H2924" s="8">
        <v>0</v>
      </c>
      <c r="I2924" s="8">
        <f t="shared" si="108"/>
        <v>5581.52</v>
      </c>
      <c r="J2924" s="12"/>
    </row>
    <row r="2925" spans="3:10" x14ac:dyDescent="0.3">
      <c r="C2925" s="9" t="s">
        <v>12</v>
      </c>
      <c r="D2925" s="10">
        <v>45748</v>
      </c>
      <c r="E2925" t="s">
        <v>2545</v>
      </c>
      <c r="F2925" s="11" t="s">
        <v>2546</v>
      </c>
      <c r="G2925" s="8">
        <v>18.329999999999998</v>
      </c>
      <c r="H2925" s="8">
        <v>0</v>
      </c>
      <c r="I2925" s="8">
        <f t="shared" si="108"/>
        <v>5599.85</v>
      </c>
      <c r="J2925" s="12"/>
    </row>
    <row r="2926" spans="3:10" x14ac:dyDescent="0.3">
      <c r="C2926" s="9" t="s">
        <v>12</v>
      </c>
      <c r="D2926" s="10">
        <v>45748</v>
      </c>
      <c r="E2926" t="s">
        <v>2428</v>
      </c>
      <c r="F2926" s="11" t="s">
        <v>850</v>
      </c>
      <c r="G2926" s="8">
        <v>17.100000000000001</v>
      </c>
      <c r="H2926" s="8">
        <v>0</v>
      </c>
      <c r="I2926" s="8">
        <f t="shared" si="108"/>
        <v>5616.9500000000007</v>
      </c>
      <c r="J2926" s="12"/>
    </row>
    <row r="2927" spans="3:10" x14ac:dyDescent="0.3">
      <c r="C2927" s="9" t="s">
        <v>12</v>
      </c>
      <c r="D2927" s="10">
        <v>45748</v>
      </c>
      <c r="E2927" t="s">
        <v>2426</v>
      </c>
      <c r="F2927" s="11" t="s">
        <v>2547</v>
      </c>
      <c r="G2927" s="8">
        <v>8.9</v>
      </c>
      <c r="H2927" s="8">
        <v>0</v>
      </c>
      <c r="I2927" s="8">
        <f t="shared" si="108"/>
        <v>5625.85</v>
      </c>
      <c r="J2927" s="12"/>
    </row>
    <row r="2928" spans="3:10" x14ac:dyDescent="0.3">
      <c r="C2928" s="9" t="s">
        <v>12</v>
      </c>
      <c r="D2928" s="10">
        <v>45748</v>
      </c>
      <c r="E2928" t="s">
        <v>2440</v>
      </c>
      <c r="F2928" s="11" t="s">
        <v>863</v>
      </c>
      <c r="G2928" s="8">
        <v>20.79</v>
      </c>
      <c r="H2928" s="8">
        <v>0</v>
      </c>
      <c r="I2928" s="8">
        <f t="shared" si="108"/>
        <v>5646.64</v>
      </c>
      <c r="J2928" s="12"/>
    </row>
    <row r="2929" spans="3:10" x14ac:dyDescent="0.3">
      <c r="C2929" s="9" t="s">
        <v>12</v>
      </c>
      <c r="D2929" s="10">
        <v>45748</v>
      </c>
      <c r="E2929" t="s">
        <v>2513</v>
      </c>
      <c r="F2929" s="11" t="s">
        <v>2548</v>
      </c>
      <c r="G2929" s="8">
        <v>17.920000000000002</v>
      </c>
      <c r="H2929" s="8">
        <v>0</v>
      </c>
      <c r="I2929" s="8">
        <f t="shared" si="108"/>
        <v>5664.56</v>
      </c>
      <c r="J2929" s="12"/>
    </row>
    <row r="2930" spans="3:10" x14ac:dyDescent="0.3">
      <c r="C2930" s="9" t="s">
        <v>12</v>
      </c>
      <c r="D2930" s="10">
        <v>45748</v>
      </c>
      <c r="E2930" t="s">
        <v>2513</v>
      </c>
      <c r="F2930" s="11" t="s">
        <v>2549</v>
      </c>
      <c r="G2930" s="8">
        <v>18.22</v>
      </c>
      <c r="H2930" s="8">
        <v>0</v>
      </c>
      <c r="I2930" s="8">
        <f t="shared" si="108"/>
        <v>5682.7800000000007</v>
      </c>
      <c r="J2930" s="12"/>
    </row>
    <row r="2931" spans="3:10" x14ac:dyDescent="0.3">
      <c r="C2931" s="9" t="s">
        <v>12</v>
      </c>
      <c r="D2931" s="10">
        <v>45748</v>
      </c>
      <c r="E2931" t="s">
        <v>2429</v>
      </c>
      <c r="F2931" s="11" t="s">
        <v>2550</v>
      </c>
      <c r="G2931" s="8">
        <v>266.87</v>
      </c>
      <c r="H2931" s="8">
        <v>0</v>
      </c>
      <c r="I2931" s="8">
        <f t="shared" si="108"/>
        <v>5949.6500000000005</v>
      </c>
      <c r="J2931" s="12"/>
    </row>
    <row r="2932" spans="3:10" x14ac:dyDescent="0.3">
      <c r="C2932" s="9" t="s">
        <v>12</v>
      </c>
      <c r="D2932" s="10">
        <v>45748</v>
      </c>
      <c r="E2932" t="s">
        <v>2440</v>
      </c>
      <c r="F2932" s="11" t="s">
        <v>865</v>
      </c>
      <c r="G2932" s="8">
        <v>20.79</v>
      </c>
      <c r="H2932" s="8">
        <v>0</v>
      </c>
      <c r="I2932" s="8">
        <f t="shared" si="108"/>
        <v>5970.4400000000005</v>
      </c>
      <c r="J2932" s="12"/>
    </row>
    <row r="2933" spans="3:10" x14ac:dyDescent="0.3">
      <c r="C2933" s="9" t="s">
        <v>12</v>
      </c>
      <c r="D2933" s="10">
        <v>45748</v>
      </c>
      <c r="E2933" t="s">
        <v>2468</v>
      </c>
      <c r="F2933" s="11" t="s">
        <v>2551</v>
      </c>
      <c r="G2933" s="8">
        <v>25.61</v>
      </c>
      <c r="H2933" s="8">
        <v>0</v>
      </c>
      <c r="I2933" s="8">
        <f t="shared" si="108"/>
        <v>5996.05</v>
      </c>
      <c r="J2933" s="12"/>
    </row>
    <row r="2934" spans="3:10" x14ac:dyDescent="0.3">
      <c r="C2934" s="9" t="s">
        <v>12</v>
      </c>
      <c r="D2934" s="10">
        <v>45749</v>
      </c>
      <c r="E2934" t="s">
        <v>2434</v>
      </c>
      <c r="F2934" s="11" t="s">
        <v>629</v>
      </c>
      <c r="G2934" s="8">
        <v>20.83</v>
      </c>
      <c r="H2934" s="8">
        <v>0</v>
      </c>
      <c r="I2934" s="8">
        <f t="shared" si="108"/>
        <v>6016.88</v>
      </c>
      <c r="J2934" s="12"/>
    </row>
    <row r="2935" spans="3:10" x14ac:dyDescent="0.3">
      <c r="C2935" s="9" t="s">
        <v>12</v>
      </c>
      <c r="D2935" s="10">
        <v>45750</v>
      </c>
      <c r="E2935" t="s">
        <v>2535</v>
      </c>
      <c r="F2935" s="11" t="s">
        <v>891</v>
      </c>
      <c r="G2935" s="8">
        <v>103.39</v>
      </c>
      <c r="H2935" s="8">
        <v>0</v>
      </c>
      <c r="I2935" s="8">
        <f t="shared" si="108"/>
        <v>6120.27</v>
      </c>
      <c r="J2935" s="12"/>
    </row>
    <row r="2936" spans="3:10" x14ac:dyDescent="0.3">
      <c r="C2936" s="9" t="s">
        <v>12</v>
      </c>
      <c r="D2936" s="10">
        <v>45754</v>
      </c>
      <c r="E2936" t="s">
        <v>2447</v>
      </c>
      <c r="F2936" s="11" t="s">
        <v>161</v>
      </c>
      <c r="G2936" s="8">
        <v>96.69</v>
      </c>
      <c r="H2936" s="8">
        <v>0</v>
      </c>
      <c r="I2936" s="8">
        <f t="shared" si="108"/>
        <v>6216.96</v>
      </c>
      <c r="J2936" s="12"/>
    </row>
    <row r="2937" spans="3:10" x14ac:dyDescent="0.3">
      <c r="C2937" s="9" t="s">
        <v>12</v>
      </c>
      <c r="D2937" s="10">
        <v>45754</v>
      </c>
      <c r="E2937" t="s">
        <v>2445</v>
      </c>
      <c r="F2937" s="11" t="s">
        <v>797</v>
      </c>
      <c r="G2937" s="8">
        <v>34.65</v>
      </c>
      <c r="H2937" s="8">
        <v>0</v>
      </c>
      <c r="I2937" s="8">
        <f t="shared" si="108"/>
        <v>6251.61</v>
      </c>
      <c r="J2937" s="12"/>
    </row>
    <row r="2938" spans="3:10" x14ac:dyDescent="0.3">
      <c r="C2938" s="9" t="s">
        <v>12</v>
      </c>
      <c r="D2938" s="10">
        <v>45756</v>
      </c>
      <c r="E2938" t="s">
        <v>2447</v>
      </c>
      <c r="F2938" s="11" t="s">
        <v>163</v>
      </c>
      <c r="G2938" s="8">
        <v>9.19</v>
      </c>
      <c r="H2938" s="8">
        <v>0</v>
      </c>
      <c r="I2938" s="8">
        <f t="shared" si="108"/>
        <v>6260.7999999999993</v>
      </c>
      <c r="J2938" s="12"/>
    </row>
    <row r="2939" spans="3:10" x14ac:dyDescent="0.3">
      <c r="C2939" s="9" t="s">
        <v>12</v>
      </c>
      <c r="D2939" s="10">
        <v>45756</v>
      </c>
      <c r="E2939" t="s">
        <v>2552</v>
      </c>
      <c r="F2939" s="11" t="s">
        <v>2553</v>
      </c>
      <c r="G2939" s="8">
        <v>130.74</v>
      </c>
      <c r="H2939" s="8">
        <v>0</v>
      </c>
      <c r="I2939" s="8">
        <f t="shared" si="108"/>
        <v>6391.5399999999991</v>
      </c>
      <c r="J2939" s="12"/>
    </row>
    <row r="2940" spans="3:10" x14ac:dyDescent="0.3">
      <c r="C2940" s="9" t="s">
        <v>12</v>
      </c>
      <c r="D2940" s="10">
        <v>45756</v>
      </c>
      <c r="E2940" t="s">
        <v>2450</v>
      </c>
      <c r="F2940" s="11" t="s">
        <v>2554</v>
      </c>
      <c r="G2940" s="8">
        <v>101.75</v>
      </c>
      <c r="H2940" s="8">
        <v>0</v>
      </c>
      <c r="I2940" s="8">
        <f t="shared" si="108"/>
        <v>6493.2899999999991</v>
      </c>
      <c r="J2940" s="12"/>
    </row>
    <row r="2941" spans="3:10" x14ac:dyDescent="0.3">
      <c r="C2941" s="9" t="s">
        <v>12</v>
      </c>
      <c r="D2941" s="10">
        <v>45757</v>
      </c>
      <c r="E2941" t="s">
        <v>2491</v>
      </c>
      <c r="F2941" s="11" t="s">
        <v>124</v>
      </c>
      <c r="G2941" s="8">
        <v>30.21</v>
      </c>
      <c r="H2941" s="8">
        <v>0</v>
      </c>
      <c r="I2941" s="8">
        <f t="shared" si="108"/>
        <v>6523.4999999999991</v>
      </c>
      <c r="J2941" s="12"/>
    </row>
    <row r="2942" spans="3:10" x14ac:dyDescent="0.3">
      <c r="C2942" s="9" t="s">
        <v>12</v>
      </c>
      <c r="D2942" s="10">
        <v>45757</v>
      </c>
      <c r="E2942" t="s">
        <v>2555</v>
      </c>
      <c r="F2942" s="11" t="s">
        <v>407</v>
      </c>
      <c r="G2942" s="8">
        <v>4.4000000000000004</v>
      </c>
      <c r="H2942" s="8">
        <v>0</v>
      </c>
      <c r="I2942" s="8">
        <f t="shared" si="108"/>
        <v>6527.8999999999987</v>
      </c>
      <c r="J2942" s="12"/>
    </row>
    <row r="2943" spans="3:10" x14ac:dyDescent="0.3">
      <c r="C2943" s="9" t="s">
        <v>12</v>
      </c>
      <c r="D2943" s="10">
        <v>45758</v>
      </c>
      <c r="E2943" t="s">
        <v>2456</v>
      </c>
      <c r="F2943" s="11" t="s">
        <v>245</v>
      </c>
      <c r="G2943" s="8">
        <v>58.09</v>
      </c>
      <c r="H2943" s="8">
        <v>0</v>
      </c>
      <c r="I2943" s="8">
        <f t="shared" si="108"/>
        <v>6585.9899999999989</v>
      </c>
      <c r="J2943" s="12"/>
    </row>
    <row r="2944" spans="3:10" x14ac:dyDescent="0.3">
      <c r="C2944" s="9" t="s">
        <v>12</v>
      </c>
      <c r="D2944" s="10">
        <v>45760</v>
      </c>
      <c r="E2944" t="s">
        <v>2429</v>
      </c>
      <c r="F2944" s="11" t="s">
        <v>2556</v>
      </c>
      <c r="G2944" s="8">
        <v>6.83</v>
      </c>
      <c r="H2944" s="8">
        <v>0</v>
      </c>
      <c r="I2944" s="8">
        <f t="shared" si="108"/>
        <v>6592.8199999999988</v>
      </c>
      <c r="J2944" s="12"/>
    </row>
    <row r="2945" spans="3:10" x14ac:dyDescent="0.3">
      <c r="C2945" s="9" t="s">
        <v>12</v>
      </c>
      <c r="D2945" s="10">
        <v>45761</v>
      </c>
      <c r="E2945" t="s">
        <v>2447</v>
      </c>
      <c r="F2945" s="11" t="s">
        <v>165</v>
      </c>
      <c r="G2945" s="8">
        <v>28.99</v>
      </c>
      <c r="H2945" s="8">
        <v>0</v>
      </c>
      <c r="I2945" s="8">
        <f t="shared" si="108"/>
        <v>6621.8099999999986</v>
      </c>
      <c r="J2945" s="12"/>
    </row>
    <row r="2946" spans="3:10" x14ac:dyDescent="0.3">
      <c r="C2946" s="9" t="s">
        <v>12</v>
      </c>
      <c r="D2946" s="10">
        <v>45761</v>
      </c>
      <c r="E2946" t="s">
        <v>2517</v>
      </c>
      <c r="F2946" s="11" t="s">
        <v>2557</v>
      </c>
      <c r="G2946" s="8">
        <v>53.69</v>
      </c>
      <c r="H2946" s="8">
        <v>0</v>
      </c>
      <c r="I2946" s="8">
        <f t="shared" si="108"/>
        <v>6675.4999999999982</v>
      </c>
      <c r="J2946" s="12"/>
    </row>
    <row r="2947" spans="3:10" x14ac:dyDescent="0.3">
      <c r="C2947" s="9" t="s">
        <v>12</v>
      </c>
      <c r="D2947" s="10">
        <v>45761</v>
      </c>
      <c r="E2947" t="s">
        <v>2513</v>
      </c>
      <c r="F2947" s="11" t="s">
        <v>2558</v>
      </c>
      <c r="G2947" s="8">
        <v>12.14</v>
      </c>
      <c r="H2947" s="8">
        <v>0</v>
      </c>
      <c r="I2947" s="8">
        <f t="shared" si="108"/>
        <v>6687.6399999999985</v>
      </c>
      <c r="J2947" s="12"/>
    </row>
    <row r="2948" spans="3:10" x14ac:dyDescent="0.3">
      <c r="C2948" s="9" t="s">
        <v>12</v>
      </c>
      <c r="D2948" s="10">
        <v>45761</v>
      </c>
      <c r="E2948" t="s">
        <v>2457</v>
      </c>
      <c r="F2948" s="11" t="s">
        <v>472</v>
      </c>
      <c r="G2948" s="8">
        <v>10.29</v>
      </c>
      <c r="H2948" s="8">
        <v>0</v>
      </c>
      <c r="I2948" s="8">
        <f t="shared" si="108"/>
        <v>6697.9299999999985</v>
      </c>
      <c r="J2948" s="12"/>
    </row>
    <row r="2949" spans="3:10" x14ac:dyDescent="0.3">
      <c r="C2949" s="9" t="s">
        <v>12</v>
      </c>
      <c r="D2949" s="10">
        <v>45762</v>
      </c>
      <c r="E2949" t="s">
        <v>2516</v>
      </c>
      <c r="F2949" s="11" t="s">
        <v>375</v>
      </c>
      <c r="G2949" s="8">
        <v>123.97</v>
      </c>
      <c r="H2949" s="8">
        <v>0</v>
      </c>
      <c r="I2949" s="8">
        <f t="shared" si="108"/>
        <v>6821.8999999999987</v>
      </c>
      <c r="J2949" s="12"/>
    </row>
    <row r="2950" spans="3:10" x14ac:dyDescent="0.3">
      <c r="C2950" s="9" t="s">
        <v>12</v>
      </c>
      <c r="D2950" s="10">
        <v>45762</v>
      </c>
      <c r="E2950" t="s">
        <v>2516</v>
      </c>
      <c r="F2950" s="11" t="s">
        <v>377</v>
      </c>
      <c r="G2950" s="8">
        <v>90.3</v>
      </c>
      <c r="H2950" s="8">
        <v>0</v>
      </c>
      <c r="I2950" s="8">
        <f t="shared" si="108"/>
        <v>6912.1999999999989</v>
      </c>
      <c r="J2950" s="12"/>
    </row>
    <row r="2951" spans="3:10" x14ac:dyDescent="0.3">
      <c r="C2951" s="9" t="s">
        <v>12</v>
      </c>
      <c r="D2951" s="10">
        <v>45762</v>
      </c>
      <c r="E2951" t="s">
        <v>2516</v>
      </c>
      <c r="F2951" s="11" t="s">
        <v>379</v>
      </c>
      <c r="G2951" s="8">
        <v>89.04</v>
      </c>
      <c r="H2951" s="8">
        <v>0</v>
      </c>
      <c r="I2951" s="8">
        <f t="shared" si="108"/>
        <v>7001.2399999999989</v>
      </c>
      <c r="J2951" s="12"/>
    </row>
    <row r="2952" spans="3:10" x14ac:dyDescent="0.3">
      <c r="C2952" s="9" t="s">
        <v>12</v>
      </c>
      <c r="D2952" s="10">
        <v>45762</v>
      </c>
      <c r="E2952" t="s">
        <v>2504</v>
      </c>
      <c r="F2952" s="11" t="s">
        <v>2559</v>
      </c>
      <c r="G2952" s="8">
        <v>7.22</v>
      </c>
      <c r="H2952" s="8">
        <v>0</v>
      </c>
      <c r="I2952" s="8">
        <f t="shared" si="108"/>
        <v>7008.4599999999991</v>
      </c>
      <c r="J2952" s="12"/>
    </row>
    <row r="2953" spans="3:10" x14ac:dyDescent="0.3">
      <c r="C2953" s="9" t="s">
        <v>12</v>
      </c>
      <c r="D2953" s="10">
        <v>45762</v>
      </c>
      <c r="E2953" t="s">
        <v>2454</v>
      </c>
      <c r="F2953" s="11" t="s">
        <v>2560</v>
      </c>
      <c r="G2953" s="8">
        <v>139.65</v>
      </c>
      <c r="H2953" s="8">
        <v>0</v>
      </c>
      <c r="I2953" s="8">
        <f t="shared" si="108"/>
        <v>7148.1099999999988</v>
      </c>
      <c r="J2953" s="12"/>
    </row>
    <row r="2954" spans="3:10" x14ac:dyDescent="0.3">
      <c r="C2954" s="9" t="s">
        <v>12</v>
      </c>
      <c r="D2954" s="10">
        <v>45763</v>
      </c>
      <c r="E2954" t="s">
        <v>2434</v>
      </c>
      <c r="F2954" s="11" t="s">
        <v>14</v>
      </c>
      <c r="G2954" s="8">
        <v>0.82</v>
      </c>
      <c r="H2954" s="8">
        <v>0</v>
      </c>
      <c r="I2954" s="8">
        <f t="shared" si="108"/>
        <v>7148.9299999999985</v>
      </c>
      <c r="J2954" s="12"/>
    </row>
    <row r="2955" spans="3:10" x14ac:dyDescent="0.3">
      <c r="C2955" s="9" t="s">
        <v>12</v>
      </c>
      <c r="D2955" s="10">
        <v>45763</v>
      </c>
      <c r="E2955" t="s">
        <v>2500</v>
      </c>
      <c r="F2955" s="11" t="s">
        <v>192</v>
      </c>
      <c r="G2955" s="8">
        <v>32.69</v>
      </c>
      <c r="H2955" s="8">
        <v>0</v>
      </c>
      <c r="I2955" s="8">
        <f t="shared" si="108"/>
        <v>7181.6199999999981</v>
      </c>
      <c r="J2955" s="12"/>
    </row>
    <row r="2956" spans="3:10" x14ac:dyDescent="0.3">
      <c r="C2956" s="9" t="s">
        <v>12</v>
      </c>
      <c r="D2956" s="10">
        <v>45763</v>
      </c>
      <c r="E2956" t="s">
        <v>2552</v>
      </c>
      <c r="F2956" s="11" t="s">
        <v>2561</v>
      </c>
      <c r="G2956" s="8">
        <v>277.2</v>
      </c>
      <c r="H2956" s="8">
        <v>0</v>
      </c>
      <c r="I2956" s="8">
        <f t="shared" si="108"/>
        <v>7458.8199999999979</v>
      </c>
      <c r="J2956" s="12"/>
    </row>
    <row r="2957" spans="3:10" x14ac:dyDescent="0.3">
      <c r="C2957" s="9" t="s">
        <v>12</v>
      </c>
      <c r="D2957" s="10">
        <v>45763</v>
      </c>
      <c r="E2957" t="s">
        <v>2447</v>
      </c>
      <c r="F2957" s="11" t="s">
        <v>167</v>
      </c>
      <c r="G2957" s="8">
        <v>9.19</v>
      </c>
      <c r="H2957" s="8">
        <v>0</v>
      </c>
      <c r="I2957" s="8">
        <f t="shared" si="108"/>
        <v>7468.0099999999975</v>
      </c>
      <c r="J2957" s="12"/>
    </row>
    <row r="2958" spans="3:10" x14ac:dyDescent="0.3">
      <c r="C2958" s="9" t="s">
        <v>12</v>
      </c>
      <c r="D2958" s="10">
        <v>45764</v>
      </c>
      <c r="E2958" t="s">
        <v>2434</v>
      </c>
      <c r="F2958" s="11" t="s">
        <v>630</v>
      </c>
      <c r="G2958" s="8">
        <v>9.15</v>
      </c>
      <c r="H2958" s="8">
        <v>0</v>
      </c>
      <c r="I2958" s="8">
        <f t="shared" si="108"/>
        <v>7477.1599999999971</v>
      </c>
      <c r="J2958" s="12"/>
    </row>
    <row r="2959" spans="3:10" x14ac:dyDescent="0.3">
      <c r="C2959" s="9" t="s">
        <v>12</v>
      </c>
      <c r="D2959" s="10">
        <v>45769</v>
      </c>
      <c r="E2959" t="s">
        <v>2480</v>
      </c>
      <c r="F2959" s="11" t="s">
        <v>2562</v>
      </c>
      <c r="G2959" s="8">
        <v>1390.03</v>
      </c>
      <c r="H2959" s="8">
        <v>0</v>
      </c>
      <c r="I2959" s="8">
        <f t="shared" si="108"/>
        <v>8867.1899999999969</v>
      </c>
      <c r="J2959" s="12"/>
    </row>
    <row r="2960" spans="3:10" x14ac:dyDescent="0.3">
      <c r="C2960" s="9" t="s">
        <v>12</v>
      </c>
      <c r="D2960" s="10">
        <v>45769</v>
      </c>
      <c r="E2960" t="s">
        <v>2480</v>
      </c>
      <c r="F2960" s="11" t="s">
        <v>2562</v>
      </c>
      <c r="G2960" s="8">
        <v>37.799999999999997</v>
      </c>
      <c r="H2960" s="8">
        <v>0</v>
      </c>
      <c r="I2960" s="8">
        <f t="shared" si="108"/>
        <v>8904.9899999999961</v>
      </c>
      <c r="J2960" s="12"/>
    </row>
    <row r="2961" spans="3:10" x14ac:dyDescent="0.3">
      <c r="C2961" s="9" t="s">
        <v>12</v>
      </c>
      <c r="D2961" s="10">
        <v>45769</v>
      </c>
      <c r="E2961" t="s">
        <v>2480</v>
      </c>
      <c r="F2961" s="11" t="s">
        <v>2563</v>
      </c>
      <c r="G2961" s="8">
        <v>687.37</v>
      </c>
      <c r="H2961" s="8">
        <v>0</v>
      </c>
      <c r="I2961" s="8">
        <f t="shared" si="108"/>
        <v>9592.3599999999969</v>
      </c>
      <c r="J2961" s="12"/>
    </row>
    <row r="2962" spans="3:10" x14ac:dyDescent="0.3">
      <c r="C2962" s="9" t="s">
        <v>12</v>
      </c>
      <c r="D2962" s="10">
        <v>45769</v>
      </c>
      <c r="E2962" t="s">
        <v>2440</v>
      </c>
      <c r="F2962" s="11" t="s">
        <v>867</v>
      </c>
      <c r="G2962" s="8">
        <v>20.79</v>
      </c>
      <c r="H2962" s="8">
        <v>0</v>
      </c>
      <c r="I2962" s="8">
        <f t="shared" ref="I2962:I3025" si="109">G2962-H2962+I2961</f>
        <v>9613.1499999999978</v>
      </c>
      <c r="J2962" s="12"/>
    </row>
    <row r="2963" spans="3:10" x14ac:dyDescent="0.3">
      <c r="C2963" s="9" t="s">
        <v>12</v>
      </c>
      <c r="D2963" s="10">
        <v>45770</v>
      </c>
      <c r="E2963" t="s">
        <v>2543</v>
      </c>
      <c r="F2963" s="11" t="s">
        <v>205</v>
      </c>
      <c r="G2963" s="8">
        <v>0.74</v>
      </c>
      <c r="H2963" s="8">
        <v>0</v>
      </c>
      <c r="I2963" s="8">
        <f t="shared" si="109"/>
        <v>9613.8899999999976</v>
      </c>
      <c r="J2963" s="12"/>
    </row>
    <row r="2964" spans="3:10" x14ac:dyDescent="0.3">
      <c r="C2964" s="9" t="s">
        <v>12</v>
      </c>
      <c r="D2964" s="10">
        <v>45770</v>
      </c>
      <c r="E2964" t="s">
        <v>2480</v>
      </c>
      <c r="F2964" s="11" t="s">
        <v>2564</v>
      </c>
      <c r="G2964" s="8">
        <v>15.12</v>
      </c>
      <c r="H2964" s="8">
        <v>0</v>
      </c>
      <c r="I2964" s="8">
        <f t="shared" si="109"/>
        <v>9629.0099999999984</v>
      </c>
      <c r="J2964" s="12"/>
    </row>
    <row r="2965" spans="3:10" x14ac:dyDescent="0.3">
      <c r="C2965" s="9" t="s">
        <v>12</v>
      </c>
      <c r="D2965" s="10">
        <v>45771</v>
      </c>
      <c r="E2965" t="s">
        <v>2434</v>
      </c>
      <c r="F2965" s="11" t="s">
        <v>631</v>
      </c>
      <c r="G2965" s="8">
        <v>1.23</v>
      </c>
      <c r="H2965" s="8">
        <v>0</v>
      </c>
      <c r="I2965" s="8">
        <f t="shared" si="109"/>
        <v>9630.239999999998</v>
      </c>
      <c r="J2965" s="12"/>
    </row>
    <row r="2966" spans="3:10" x14ac:dyDescent="0.3">
      <c r="C2966" s="9" t="s">
        <v>12</v>
      </c>
      <c r="D2966" s="10">
        <v>45771</v>
      </c>
      <c r="E2966" t="s">
        <v>2434</v>
      </c>
      <c r="F2966" s="11" t="s">
        <v>632</v>
      </c>
      <c r="G2966" s="8">
        <v>0.41</v>
      </c>
      <c r="H2966" s="8">
        <v>0</v>
      </c>
      <c r="I2966" s="8">
        <f t="shared" si="109"/>
        <v>9630.6499999999978</v>
      </c>
      <c r="J2966" s="12"/>
    </row>
    <row r="2967" spans="3:10" x14ac:dyDescent="0.3">
      <c r="C2967" s="9" t="s">
        <v>12</v>
      </c>
      <c r="D2967" s="10">
        <v>45772</v>
      </c>
      <c r="E2967" t="s">
        <v>2434</v>
      </c>
      <c r="F2967" s="11" t="s">
        <v>633</v>
      </c>
      <c r="G2967" s="8">
        <v>0.41</v>
      </c>
      <c r="H2967" s="8">
        <v>0</v>
      </c>
      <c r="I2967" s="8">
        <f t="shared" si="109"/>
        <v>9631.0599999999977</v>
      </c>
      <c r="J2967" s="12"/>
    </row>
    <row r="2968" spans="3:10" x14ac:dyDescent="0.3">
      <c r="C2968" s="9" t="s">
        <v>12</v>
      </c>
      <c r="D2968" s="10">
        <v>45772</v>
      </c>
      <c r="E2968" t="s">
        <v>2565</v>
      </c>
      <c r="F2968" s="11" t="s">
        <v>550</v>
      </c>
      <c r="G2968" s="8">
        <v>8.67</v>
      </c>
      <c r="H2968" s="8">
        <v>0</v>
      </c>
      <c r="I2968" s="8">
        <f t="shared" si="109"/>
        <v>9639.7299999999977</v>
      </c>
      <c r="J2968" s="12"/>
    </row>
    <row r="2969" spans="3:10" x14ac:dyDescent="0.3">
      <c r="C2969" s="9" t="s">
        <v>12</v>
      </c>
      <c r="D2969" s="10">
        <v>45772</v>
      </c>
      <c r="E2969" t="s">
        <v>2456</v>
      </c>
      <c r="F2969" s="11" t="s">
        <v>247</v>
      </c>
      <c r="G2969" s="8">
        <v>672.8</v>
      </c>
      <c r="H2969" s="8">
        <v>0</v>
      </c>
      <c r="I2969" s="8">
        <f t="shared" si="109"/>
        <v>10312.529999999997</v>
      </c>
      <c r="J2969" s="12"/>
    </row>
    <row r="2970" spans="3:10" x14ac:dyDescent="0.3">
      <c r="C2970" s="9" t="s">
        <v>12</v>
      </c>
      <c r="D2970" s="10">
        <v>45777</v>
      </c>
      <c r="E2970" t="s">
        <v>2463</v>
      </c>
      <c r="F2970" s="11" t="s">
        <v>540</v>
      </c>
      <c r="G2970" s="8">
        <v>11.97</v>
      </c>
      <c r="H2970" s="8">
        <v>0</v>
      </c>
      <c r="I2970" s="8">
        <f t="shared" si="109"/>
        <v>10324.499999999996</v>
      </c>
      <c r="J2970" s="12"/>
    </row>
    <row r="2971" spans="3:10" x14ac:dyDescent="0.3">
      <c r="C2971" s="9" t="s">
        <v>12</v>
      </c>
      <c r="D2971" s="10">
        <v>45777</v>
      </c>
      <c r="E2971" t="s">
        <v>2435</v>
      </c>
      <c r="F2971" s="11" t="s">
        <v>523</v>
      </c>
      <c r="G2971" s="8">
        <v>102.81</v>
      </c>
      <c r="H2971" s="8">
        <v>0</v>
      </c>
      <c r="I2971" s="8">
        <f t="shared" si="109"/>
        <v>10427.309999999996</v>
      </c>
      <c r="J2971" s="12"/>
    </row>
    <row r="2972" spans="3:10" x14ac:dyDescent="0.3">
      <c r="C2972" s="9" t="s">
        <v>12</v>
      </c>
      <c r="D2972" s="10">
        <v>45777</v>
      </c>
      <c r="E2972" t="s">
        <v>2480</v>
      </c>
      <c r="F2972" s="11" t="s">
        <v>2566</v>
      </c>
      <c r="G2972" s="8">
        <v>312.62</v>
      </c>
      <c r="H2972" s="8">
        <v>0</v>
      </c>
      <c r="I2972" s="8">
        <f t="shared" si="109"/>
        <v>10739.929999999997</v>
      </c>
      <c r="J2972" s="12"/>
    </row>
    <row r="2973" spans="3:10" x14ac:dyDescent="0.3">
      <c r="C2973" s="9" t="s">
        <v>12</v>
      </c>
      <c r="D2973" s="10">
        <v>45777</v>
      </c>
      <c r="E2973" t="s">
        <v>2480</v>
      </c>
      <c r="F2973" s="11" t="s">
        <v>2566</v>
      </c>
      <c r="G2973" s="8">
        <v>29.4</v>
      </c>
      <c r="H2973" s="8">
        <v>0</v>
      </c>
      <c r="I2973" s="8">
        <f t="shared" si="109"/>
        <v>10769.329999999996</v>
      </c>
      <c r="J2973" s="12"/>
    </row>
    <row r="2974" spans="3:10" x14ac:dyDescent="0.3">
      <c r="C2974" s="9" t="s">
        <v>12</v>
      </c>
      <c r="D2974" s="10">
        <v>45777</v>
      </c>
      <c r="E2974" t="s">
        <v>2567</v>
      </c>
      <c r="F2974" s="11" t="s">
        <v>913</v>
      </c>
      <c r="G2974" s="8">
        <v>840.84</v>
      </c>
      <c r="H2974" s="8">
        <v>0</v>
      </c>
      <c r="I2974" s="8">
        <f t="shared" si="109"/>
        <v>11610.169999999996</v>
      </c>
      <c r="J2974" s="12"/>
    </row>
    <row r="2975" spans="3:10" x14ac:dyDescent="0.3">
      <c r="C2975" s="9" t="s">
        <v>12</v>
      </c>
      <c r="D2975" s="10">
        <v>45777</v>
      </c>
      <c r="E2975" t="s">
        <v>2568</v>
      </c>
      <c r="F2975" s="11" t="s">
        <v>2569</v>
      </c>
      <c r="G2975" s="8">
        <v>25.2</v>
      </c>
      <c r="H2975" s="8">
        <v>0</v>
      </c>
      <c r="I2975" s="8">
        <f t="shared" si="109"/>
        <v>11635.369999999997</v>
      </c>
      <c r="J2975" s="12"/>
    </row>
    <row r="2976" spans="3:10" x14ac:dyDescent="0.3">
      <c r="C2976" s="9" t="s">
        <v>12</v>
      </c>
      <c r="D2976" s="10">
        <v>45777</v>
      </c>
      <c r="E2976" t="s">
        <v>2570</v>
      </c>
      <c r="F2976" s="11" t="s">
        <v>2571</v>
      </c>
      <c r="G2976" s="8">
        <v>81.900000000000006</v>
      </c>
      <c r="H2976" s="8">
        <v>0</v>
      </c>
      <c r="I2976" s="8">
        <f t="shared" si="109"/>
        <v>11717.269999999997</v>
      </c>
      <c r="J2976" s="12"/>
    </row>
    <row r="2977" spans="3:10" x14ac:dyDescent="0.3">
      <c r="C2977" s="9" t="s">
        <v>12</v>
      </c>
      <c r="D2977" s="10">
        <v>45777</v>
      </c>
      <c r="E2977" t="s">
        <v>2456</v>
      </c>
      <c r="F2977" s="11" t="s">
        <v>249</v>
      </c>
      <c r="G2977" s="8">
        <v>111.2</v>
      </c>
      <c r="H2977" s="8">
        <v>0</v>
      </c>
      <c r="I2977" s="8">
        <f t="shared" si="109"/>
        <v>11828.469999999998</v>
      </c>
      <c r="J2977" s="12"/>
    </row>
    <row r="2978" spans="3:10" x14ac:dyDescent="0.3">
      <c r="C2978" s="9" t="s">
        <v>12</v>
      </c>
      <c r="D2978" s="10">
        <v>45777</v>
      </c>
      <c r="E2978" t="s">
        <v>2456</v>
      </c>
      <c r="F2978" s="11" t="s">
        <v>251</v>
      </c>
      <c r="G2978" s="8">
        <v>179.91</v>
      </c>
      <c r="H2978" s="8">
        <v>0</v>
      </c>
      <c r="I2978" s="8">
        <f t="shared" si="109"/>
        <v>12008.379999999997</v>
      </c>
      <c r="J2978" s="12"/>
    </row>
    <row r="2979" spans="3:10" x14ac:dyDescent="0.3">
      <c r="C2979" s="9" t="s">
        <v>12</v>
      </c>
      <c r="D2979" s="10">
        <v>45777</v>
      </c>
      <c r="E2979" t="s">
        <v>2465</v>
      </c>
      <c r="F2979" s="11" t="s">
        <v>823</v>
      </c>
      <c r="G2979" s="8">
        <v>35.1</v>
      </c>
      <c r="H2979" s="8">
        <v>0</v>
      </c>
      <c r="I2979" s="8">
        <f t="shared" si="109"/>
        <v>12043.479999999998</v>
      </c>
      <c r="J2979" s="12"/>
    </row>
    <row r="2980" spans="3:10" x14ac:dyDescent="0.3">
      <c r="C2980" s="9" t="s">
        <v>12</v>
      </c>
      <c r="D2980" s="10">
        <v>45777</v>
      </c>
      <c r="E2980" t="s">
        <v>2448</v>
      </c>
      <c r="F2980" s="11" t="s">
        <v>222</v>
      </c>
      <c r="G2980" s="8">
        <v>11.25</v>
      </c>
      <c r="H2980" s="8">
        <v>0</v>
      </c>
      <c r="I2980" s="8">
        <f t="shared" si="109"/>
        <v>12054.729999999998</v>
      </c>
      <c r="J2980" s="12"/>
    </row>
    <row r="2981" spans="3:10" x14ac:dyDescent="0.3">
      <c r="C2981" s="9" t="s">
        <v>12</v>
      </c>
      <c r="D2981" s="10">
        <v>45777</v>
      </c>
      <c r="E2981" t="s">
        <v>2480</v>
      </c>
      <c r="F2981" s="11" t="s">
        <v>2572</v>
      </c>
      <c r="G2981" s="8">
        <v>18.899999999999999</v>
      </c>
      <c r="H2981" s="8">
        <v>0</v>
      </c>
      <c r="I2981" s="8">
        <f t="shared" si="109"/>
        <v>12073.629999999997</v>
      </c>
      <c r="J2981" s="12"/>
    </row>
    <row r="2982" spans="3:10" x14ac:dyDescent="0.3">
      <c r="C2982" s="9" t="s">
        <v>12</v>
      </c>
      <c r="D2982" s="10">
        <v>45778</v>
      </c>
      <c r="E2982" t="s">
        <v>2473</v>
      </c>
      <c r="F2982" s="11" t="s">
        <v>2573</v>
      </c>
      <c r="G2982" s="8">
        <v>0.57999999999999996</v>
      </c>
      <c r="H2982" s="8">
        <v>0</v>
      </c>
      <c r="I2982" s="8">
        <f t="shared" si="109"/>
        <v>12074.209999999997</v>
      </c>
      <c r="J2982" s="12"/>
    </row>
    <row r="2983" spans="3:10" x14ac:dyDescent="0.3">
      <c r="C2983" s="9" t="s">
        <v>12</v>
      </c>
      <c r="D2983" s="10">
        <v>45778</v>
      </c>
      <c r="E2983" t="s">
        <v>2429</v>
      </c>
      <c r="F2983" s="11" t="s">
        <v>2574</v>
      </c>
      <c r="G2983" s="8">
        <v>66.91</v>
      </c>
      <c r="H2983" s="8">
        <v>0</v>
      </c>
      <c r="I2983" s="8">
        <f t="shared" si="109"/>
        <v>12141.119999999997</v>
      </c>
      <c r="J2983" s="12"/>
    </row>
    <row r="2984" spans="3:10" x14ac:dyDescent="0.3">
      <c r="C2984" s="9" t="s">
        <v>12</v>
      </c>
      <c r="D2984" s="10">
        <v>45778</v>
      </c>
      <c r="E2984" t="s">
        <v>2567</v>
      </c>
      <c r="F2984" s="11" t="s">
        <v>915</v>
      </c>
      <c r="G2984" s="8">
        <v>124.07</v>
      </c>
      <c r="H2984" s="8">
        <v>0</v>
      </c>
      <c r="I2984" s="8">
        <f t="shared" si="109"/>
        <v>12265.189999999997</v>
      </c>
      <c r="J2984" s="12"/>
    </row>
    <row r="2985" spans="3:10" x14ac:dyDescent="0.3">
      <c r="C2985" s="9" t="s">
        <v>12</v>
      </c>
      <c r="D2985" s="10">
        <v>45778</v>
      </c>
      <c r="E2985" t="s">
        <v>2426</v>
      </c>
      <c r="F2985" s="11" t="s">
        <v>2575</v>
      </c>
      <c r="G2985" s="8">
        <v>8.9</v>
      </c>
      <c r="H2985" s="8">
        <v>0</v>
      </c>
      <c r="I2985" s="8">
        <f t="shared" si="109"/>
        <v>12274.089999999997</v>
      </c>
      <c r="J2985" s="12"/>
    </row>
    <row r="2986" spans="3:10" x14ac:dyDescent="0.3">
      <c r="C2986" s="9" t="s">
        <v>12</v>
      </c>
      <c r="D2986" s="10">
        <v>45778</v>
      </c>
      <c r="E2986" t="s">
        <v>2442</v>
      </c>
      <c r="F2986" s="11" t="s">
        <v>571</v>
      </c>
      <c r="G2986" s="8">
        <v>124.98</v>
      </c>
      <c r="H2986" s="8">
        <v>0</v>
      </c>
      <c r="I2986" s="8">
        <f t="shared" si="109"/>
        <v>12399.069999999996</v>
      </c>
      <c r="J2986" s="12"/>
    </row>
    <row r="2987" spans="3:10" x14ac:dyDescent="0.3">
      <c r="C2987" s="9" t="s">
        <v>12</v>
      </c>
      <c r="D2987" s="10">
        <v>45779</v>
      </c>
      <c r="E2987" t="s">
        <v>2434</v>
      </c>
      <c r="F2987" s="11" t="s">
        <v>634</v>
      </c>
      <c r="G2987" s="8">
        <v>0.41</v>
      </c>
      <c r="H2987" s="8">
        <v>0</v>
      </c>
      <c r="I2987" s="8">
        <f t="shared" si="109"/>
        <v>12399.479999999996</v>
      </c>
      <c r="J2987" s="12"/>
    </row>
    <row r="2988" spans="3:10" x14ac:dyDescent="0.3">
      <c r="C2988" s="9" t="s">
        <v>12</v>
      </c>
      <c r="D2988" s="10">
        <v>45779</v>
      </c>
      <c r="E2988" t="s">
        <v>2434</v>
      </c>
      <c r="F2988" s="11" t="s">
        <v>635</v>
      </c>
      <c r="G2988" s="8">
        <v>2.67</v>
      </c>
      <c r="H2988" s="8">
        <v>0</v>
      </c>
      <c r="I2988" s="8">
        <f t="shared" si="109"/>
        <v>12402.149999999996</v>
      </c>
      <c r="J2988" s="12"/>
    </row>
    <row r="2989" spans="3:10" x14ac:dyDescent="0.3">
      <c r="C2989" s="9" t="s">
        <v>12</v>
      </c>
      <c r="D2989" s="10">
        <v>45782</v>
      </c>
      <c r="E2989" t="s">
        <v>2434</v>
      </c>
      <c r="F2989" s="11" t="s">
        <v>636</v>
      </c>
      <c r="G2989" s="8">
        <v>0.82</v>
      </c>
      <c r="H2989" s="8">
        <v>0</v>
      </c>
      <c r="I2989" s="8">
        <f t="shared" si="109"/>
        <v>12402.969999999996</v>
      </c>
      <c r="J2989" s="12"/>
    </row>
    <row r="2990" spans="3:10" x14ac:dyDescent="0.3">
      <c r="C2990" s="9" t="s">
        <v>12</v>
      </c>
      <c r="D2990" s="10">
        <v>45782</v>
      </c>
      <c r="E2990" t="s">
        <v>2434</v>
      </c>
      <c r="F2990" s="11" t="s">
        <v>637</v>
      </c>
      <c r="G2990" s="8">
        <v>2.2999999999999998</v>
      </c>
      <c r="H2990" s="8">
        <v>0</v>
      </c>
      <c r="I2990" s="8">
        <f t="shared" si="109"/>
        <v>12405.269999999995</v>
      </c>
      <c r="J2990" s="12"/>
    </row>
    <row r="2991" spans="3:10" x14ac:dyDescent="0.3">
      <c r="C2991" s="9" t="s">
        <v>12</v>
      </c>
      <c r="D2991" s="10">
        <v>45782</v>
      </c>
      <c r="E2991" t="s">
        <v>2576</v>
      </c>
      <c r="F2991" s="11" t="s">
        <v>904</v>
      </c>
      <c r="G2991" s="8">
        <v>9.67</v>
      </c>
      <c r="H2991" s="8">
        <v>0</v>
      </c>
      <c r="I2991" s="8">
        <f t="shared" si="109"/>
        <v>12414.939999999995</v>
      </c>
      <c r="J2991" s="12"/>
    </row>
    <row r="2992" spans="3:10" x14ac:dyDescent="0.3">
      <c r="C2992" s="9" t="s">
        <v>12</v>
      </c>
      <c r="D2992" s="10">
        <v>45782</v>
      </c>
      <c r="E2992" t="s">
        <v>2443</v>
      </c>
      <c r="F2992" s="11" t="s">
        <v>2577</v>
      </c>
      <c r="G2992" s="8">
        <v>1.26</v>
      </c>
      <c r="H2992" s="8">
        <v>0</v>
      </c>
      <c r="I2992" s="8">
        <f t="shared" si="109"/>
        <v>12416.199999999995</v>
      </c>
      <c r="J2992" s="12"/>
    </row>
    <row r="2993" spans="3:10" x14ac:dyDescent="0.3">
      <c r="C2993" s="9" t="s">
        <v>12</v>
      </c>
      <c r="D2993" s="10">
        <v>45782</v>
      </c>
      <c r="E2993" t="s">
        <v>2535</v>
      </c>
      <c r="F2993" s="11" t="s">
        <v>893</v>
      </c>
      <c r="G2993" s="8">
        <v>103.39</v>
      </c>
      <c r="H2993" s="8">
        <v>0</v>
      </c>
      <c r="I2993" s="8">
        <f t="shared" si="109"/>
        <v>12519.589999999995</v>
      </c>
      <c r="J2993" s="12"/>
    </row>
    <row r="2994" spans="3:10" x14ac:dyDescent="0.3">
      <c r="C2994" s="9" t="s">
        <v>12</v>
      </c>
      <c r="D2994" s="10">
        <v>45784</v>
      </c>
      <c r="E2994" t="s">
        <v>2445</v>
      </c>
      <c r="F2994" s="11" t="s">
        <v>2578</v>
      </c>
      <c r="G2994" s="8">
        <v>34.65</v>
      </c>
      <c r="H2994" s="8">
        <v>0</v>
      </c>
      <c r="I2994" s="8">
        <f t="shared" si="109"/>
        <v>12554.239999999994</v>
      </c>
      <c r="J2994" s="12"/>
    </row>
    <row r="2995" spans="3:10" x14ac:dyDescent="0.3">
      <c r="C2995" s="9" t="s">
        <v>12</v>
      </c>
      <c r="D2995" s="10">
        <v>45784</v>
      </c>
      <c r="E2995" t="s">
        <v>2434</v>
      </c>
      <c r="F2995" s="11" t="s">
        <v>638</v>
      </c>
      <c r="G2995" s="8">
        <v>1.23</v>
      </c>
      <c r="H2995" s="8">
        <v>0</v>
      </c>
      <c r="I2995" s="8">
        <f t="shared" si="109"/>
        <v>12555.469999999994</v>
      </c>
      <c r="J2995" s="12"/>
    </row>
    <row r="2996" spans="3:10" x14ac:dyDescent="0.3">
      <c r="C2996" s="9" t="s">
        <v>12</v>
      </c>
      <c r="D2996" s="10">
        <v>45784</v>
      </c>
      <c r="E2996" t="s">
        <v>2480</v>
      </c>
      <c r="F2996" s="11" t="s">
        <v>2579</v>
      </c>
      <c r="G2996" s="8">
        <v>1426.94</v>
      </c>
      <c r="H2996" s="8">
        <v>0</v>
      </c>
      <c r="I2996" s="8">
        <f t="shared" si="109"/>
        <v>13982.409999999994</v>
      </c>
      <c r="J2996" s="12"/>
    </row>
    <row r="2997" spans="3:10" x14ac:dyDescent="0.3">
      <c r="C2997" s="9" t="s">
        <v>12</v>
      </c>
      <c r="D2997" s="10">
        <v>45785</v>
      </c>
      <c r="E2997" t="s">
        <v>2580</v>
      </c>
      <c r="F2997" s="11" t="s">
        <v>2581</v>
      </c>
      <c r="G2997" s="8">
        <v>5.62</v>
      </c>
      <c r="H2997" s="8">
        <v>0</v>
      </c>
      <c r="I2997" s="8">
        <f t="shared" si="109"/>
        <v>13988.029999999995</v>
      </c>
      <c r="J2997" s="12"/>
    </row>
    <row r="2998" spans="3:10" x14ac:dyDescent="0.3">
      <c r="C2998" s="9" t="s">
        <v>12</v>
      </c>
      <c r="D2998" s="10">
        <v>45785</v>
      </c>
      <c r="E2998" t="s">
        <v>2434</v>
      </c>
      <c r="F2998" s="11" t="s">
        <v>639</v>
      </c>
      <c r="G2998" s="8">
        <v>0.41</v>
      </c>
      <c r="H2998" s="8">
        <v>0</v>
      </c>
      <c r="I2998" s="8">
        <f t="shared" si="109"/>
        <v>13988.439999999995</v>
      </c>
      <c r="J2998" s="12"/>
    </row>
    <row r="2999" spans="3:10" x14ac:dyDescent="0.3">
      <c r="C2999" s="9" t="s">
        <v>12</v>
      </c>
      <c r="D2999" s="10">
        <v>45786</v>
      </c>
      <c r="E2999" t="s">
        <v>2456</v>
      </c>
      <c r="F2999" s="11" t="s">
        <v>253</v>
      </c>
      <c r="G2999" s="8">
        <v>29.07</v>
      </c>
      <c r="H2999" s="8">
        <v>0</v>
      </c>
      <c r="I2999" s="8">
        <f t="shared" si="109"/>
        <v>14017.509999999995</v>
      </c>
      <c r="J2999" s="12"/>
    </row>
    <row r="3000" spans="3:10" x14ac:dyDescent="0.3">
      <c r="C3000" s="9" t="s">
        <v>12</v>
      </c>
      <c r="D3000" s="10">
        <v>45786</v>
      </c>
      <c r="E3000" t="s">
        <v>2504</v>
      </c>
      <c r="F3000" s="11" t="s">
        <v>2582</v>
      </c>
      <c r="G3000" s="8">
        <v>2.09</v>
      </c>
      <c r="H3000" s="8">
        <v>0</v>
      </c>
      <c r="I3000" s="8">
        <f t="shared" si="109"/>
        <v>14019.599999999995</v>
      </c>
      <c r="J3000" s="12"/>
    </row>
    <row r="3001" spans="3:10" x14ac:dyDescent="0.3">
      <c r="C3001" s="9" t="s">
        <v>12</v>
      </c>
      <c r="D3001" s="10">
        <v>45786</v>
      </c>
      <c r="E3001" t="s">
        <v>2434</v>
      </c>
      <c r="F3001" s="11" t="s">
        <v>640</v>
      </c>
      <c r="G3001" s="8">
        <v>0.82</v>
      </c>
      <c r="H3001" s="8">
        <v>0</v>
      </c>
      <c r="I3001" s="8">
        <f t="shared" si="109"/>
        <v>14020.419999999995</v>
      </c>
      <c r="J3001" s="12"/>
    </row>
    <row r="3002" spans="3:10" x14ac:dyDescent="0.3">
      <c r="C3002" s="9" t="s">
        <v>12</v>
      </c>
      <c r="D3002" s="10">
        <v>45789</v>
      </c>
      <c r="E3002" t="s">
        <v>2583</v>
      </c>
      <c r="F3002" s="11" t="s">
        <v>2584</v>
      </c>
      <c r="G3002" s="8">
        <v>19.48</v>
      </c>
      <c r="H3002" s="8">
        <v>0</v>
      </c>
      <c r="I3002" s="8">
        <f t="shared" si="109"/>
        <v>14039.899999999994</v>
      </c>
      <c r="J3002" s="12"/>
    </row>
    <row r="3003" spans="3:10" x14ac:dyDescent="0.3">
      <c r="C3003" s="9" t="s">
        <v>12</v>
      </c>
      <c r="D3003" s="10">
        <v>45789</v>
      </c>
      <c r="E3003" t="s">
        <v>2585</v>
      </c>
      <c r="F3003" s="11" t="s">
        <v>2586</v>
      </c>
      <c r="G3003" s="8">
        <v>3.78</v>
      </c>
      <c r="H3003" s="8">
        <v>0</v>
      </c>
      <c r="I3003" s="8">
        <f t="shared" si="109"/>
        <v>14043.679999999995</v>
      </c>
      <c r="J3003" s="12"/>
    </row>
    <row r="3004" spans="3:10" x14ac:dyDescent="0.3">
      <c r="C3004" s="9" t="s">
        <v>12</v>
      </c>
      <c r="D3004" s="10">
        <v>45789</v>
      </c>
      <c r="E3004" t="s">
        <v>2504</v>
      </c>
      <c r="F3004" s="11" t="s">
        <v>2587</v>
      </c>
      <c r="G3004" s="8">
        <v>23.44</v>
      </c>
      <c r="H3004" s="8">
        <v>0</v>
      </c>
      <c r="I3004" s="8">
        <f t="shared" si="109"/>
        <v>14067.119999999995</v>
      </c>
      <c r="J3004" s="12"/>
    </row>
    <row r="3005" spans="3:10" x14ac:dyDescent="0.3">
      <c r="C3005" s="9" t="s">
        <v>12</v>
      </c>
      <c r="D3005" s="10">
        <v>45789</v>
      </c>
      <c r="E3005" t="s">
        <v>2434</v>
      </c>
      <c r="F3005" s="11" t="s">
        <v>641</v>
      </c>
      <c r="G3005" s="8">
        <v>1.23</v>
      </c>
      <c r="H3005" s="8">
        <v>0</v>
      </c>
      <c r="I3005" s="8">
        <f t="shared" si="109"/>
        <v>14068.349999999995</v>
      </c>
      <c r="J3005" s="12"/>
    </row>
    <row r="3006" spans="3:10" x14ac:dyDescent="0.3">
      <c r="C3006" s="9" t="s">
        <v>12</v>
      </c>
      <c r="D3006" s="10">
        <v>45789</v>
      </c>
      <c r="E3006" t="s">
        <v>2588</v>
      </c>
      <c r="F3006" s="11" t="s">
        <v>924</v>
      </c>
      <c r="G3006" s="8">
        <v>1002.75</v>
      </c>
      <c r="H3006" s="8">
        <v>0</v>
      </c>
      <c r="I3006" s="8">
        <f t="shared" si="109"/>
        <v>15071.099999999995</v>
      </c>
      <c r="J3006" s="12"/>
    </row>
    <row r="3007" spans="3:10" x14ac:dyDescent="0.3">
      <c r="C3007" s="9" t="s">
        <v>12</v>
      </c>
      <c r="D3007" s="10">
        <v>45790</v>
      </c>
      <c r="E3007" t="s">
        <v>2589</v>
      </c>
      <c r="F3007" s="11" t="s">
        <v>304</v>
      </c>
      <c r="G3007" s="8">
        <v>46.2</v>
      </c>
      <c r="H3007" s="8">
        <v>0</v>
      </c>
      <c r="I3007" s="8">
        <f t="shared" si="109"/>
        <v>15117.299999999996</v>
      </c>
      <c r="J3007" s="12"/>
    </row>
    <row r="3008" spans="3:10" x14ac:dyDescent="0.3">
      <c r="C3008" s="9" t="s">
        <v>12</v>
      </c>
      <c r="D3008" s="10">
        <v>45790</v>
      </c>
      <c r="E3008" t="s">
        <v>2429</v>
      </c>
      <c r="F3008" s="11" t="s">
        <v>2590</v>
      </c>
      <c r="G3008" s="8">
        <v>6.83</v>
      </c>
      <c r="H3008" s="8">
        <v>0</v>
      </c>
      <c r="I3008" s="8">
        <f t="shared" si="109"/>
        <v>15124.129999999996</v>
      </c>
      <c r="J3008" s="12"/>
    </row>
    <row r="3009" spans="3:10" x14ac:dyDescent="0.3">
      <c r="C3009" s="9" t="s">
        <v>12</v>
      </c>
      <c r="D3009" s="10">
        <v>45791</v>
      </c>
      <c r="E3009" t="s">
        <v>2457</v>
      </c>
      <c r="F3009" s="11" t="s">
        <v>475</v>
      </c>
      <c r="G3009" s="8">
        <v>6.29</v>
      </c>
      <c r="H3009" s="8">
        <v>0</v>
      </c>
      <c r="I3009" s="8">
        <f t="shared" si="109"/>
        <v>15130.419999999996</v>
      </c>
      <c r="J3009" s="12"/>
    </row>
    <row r="3010" spans="3:10" x14ac:dyDescent="0.3">
      <c r="C3010" s="9" t="s">
        <v>12</v>
      </c>
      <c r="D3010" s="10">
        <v>45791</v>
      </c>
      <c r="E3010" t="s">
        <v>2513</v>
      </c>
      <c r="F3010" s="11" t="s">
        <v>2591</v>
      </c>
      <c r="G3010" s="8">
        <v>9.17</v>
      </c>
      <c r="H3010" s="8">
        <v>0</v>
      </c>
      <c r="I3010" s="8">
        <f t="shared" si="109"/>
        <v>15139.589999999997</v>
      </c>
      <c r="J3010" s="12"/>
    </row>
    <row r="3011" spans="3:10" x14ac:dyDescent="0.3">
      <c r="C3011" s="9" t="s">
        <v>12</v>
      </c>
      <c r="D3011" s="10">
        <v>45791</v>
      </c>
      <c r="E3011" t="s">
        <v>2434</v>
      </c>
      <c r="F3011" s="11" t="s">
        <v>642</v>
      </c>
      <c r="G3011" s="8">
        <v>0.41</v>
      </c>
      <c r="H3011" s="8">
        <v>0</v>
      </c>
      <c r="I3011" s="8">
        <f t="shared" si="109"/>
        <v>15139.999999999996</v>
      </c>
      <c r="J3011" s="12"/>
    </row>
    <row r="3012" spans="3:10" x14ac:dyDescent="0.3">
      <c r="C3012" s="9" t="s">
        <v>12</v>
      </c>
      <c r="D3012" s="10">
        <v>45791</v>
      </c>
      <c r="E3012" t="s">
        <v>2434</v>
      </c>
      <c r="F3012" s="11" t="s">
        <v>643</v>
      </c>
      <c r="G3012" s="8">
        <v>6.95</v>
      </c>
      <c r="H3012" s="8">
        <v>0</v>
      </c>
      <c r="I3012" s="8">
        <f t="shared" si="109"/>
        <v>15146.949999999997</v>
      </c>
      <c r="J3012" s="12"/>
    </row>
    <row r="3013" spans="3:10" x14ac:dyDescent="0.3">
      <c r="C3013" s="9" t="s">
        <v>12</v>
      </c>
      <c r="D3013" s="10">
        <v>45792</v>
      </c>
      <c r="E3013" t="s">
        <v>2491</v>
      </c>
      <c r="F3013" s="11" t="s">
        <v>127</v>
      </c>
      <c r="G3013" s="8">
        <v>30.21</v>
      </c>
      <c r="H3013" s="8">
        <v>0</v>
      </c>
      <c r="I3013" s="8">
        <f t="shared" si="109"/>
        <v>15177.159999999996</v>
      </c>
      <c r="J3013" s="12"/>
    </row>
    <row r="3014" spans="3:10" x14ac:dyDescent="0.3">
      <c r="C3014" s="9" t="s">
        <v>12</v>
      </c>
      <c r="D3014" s="10">
        <v>45792</v>
      </c>
      <c r="E3014" t="s">
        <v>2461</v>
      </c>
      <c r="F3014" s="11" t="s">
        <v>288</v>
      </c>
      <c r="G3014" s="8">
        <v>54.53</v>
      </c>
      <c r="H3014" s="8">
        <v>0</v>
      </c>
      <c r="I3014" s="8">
        <f t="shared" si="109"/>
        <v>15231.689999999997</v>
      </c>
      <c r="J3014" s="12"/>
    </row>
    <row r="3015" spans="3:10" x14ac:dyDescent="0.3">
      <c r="C3015" s="9" t="s">
        <v>12</v>
      </c>
      <c r="D3015" s="10">
        <v>45792</v>
      </c>
      <c r="E3015" t="s">
        <v>2592</v>
      </c>
      <c r="F3015" s="11" t="s">
        <v>2593</v>
      </c>
      <c r="G3015" s="8">
        <v>80.64</v>
      </c>
      <c r="H3015" s="8">
        <v>0</v>
      </c>
      <c r="I3015" s="8">
        <f t="shared" si="109"/>
        <v>15312.329999999996</v>
      </c>
      <c r="J3015" s="12"/>
    </row>
    <row r="3016" spans="3:10" x14ac:dyDescent="0.3">
      <c r="C3016" s="9" t="s">
        <v>12</v>
      </c>
      <c r="D3016" s="10">
        <v>45792</v>
      </c>
      <c r="E3016" t="s">
        <v>2594</v>
      </c>
      <c r="F3016" s="11" t="s">
        <v>2595</v>
      </c>
      <c r="G3016" s="8">
        <v>1.76</v>
      </c>
      <c r="H3016" s="8">
        <v>0</v>
      </c>
      <c r="I3016" s="8">
        <f t="shared" si="109"/>
        <v>15314.089999999997</v>
      </c>
      <c r="J3016" s="12"/>
    </row>
    <row r="3017" spans="3:10" x14ac:dyDescent="0.3">
      <c r="C3017" s="9" t="s">
        <v>12</v>
      </c>
      <c r="D3017" s="10">
        <v>45792</v>
      </c>
      <c r="E3017" t="s">
        <v>2589</v>
      </c>
      <c r="F3017" s="11" t="s">
        <v>307</v>
      </c>
      <c r="G3017" s="8">
        <v>50.4</v>
      </c>
      <c r="H3017" s="8">
        <v>0</v>
      </c>
      <c r="I3017" s="8">
        <f t="shared" si="109"/>
        <v>15364.489999999996</v>
      </c>
      <c r="J3017" s="12"/>
    </row>
    <row r="3018" spans="3:10" x14ac:dyDescent="0.3">
      <c r="C3018" s="9" t="s">
        <v>12</v>
      </c>
      <c r="D3018" s="10">
        <v>45792</v>
      </c>
      <c r="E3018" t="s">
        <v>2596</v>
      </c>
      <c r="F3018" s="11" t="s">
        <v>507</v>
      </c>
      <c r="G3018" s="8">
        <v>1.6</v>
      </c>
      <c r="H3018" s="8">
        <v>0</v>
      </c>
      <c r="I3018" s="8">
        <f t="shared" si="109"/>
        <v>15366.089999999997</v>
      </c>
      <c r="J3018" s="12"/>
    </row>
    <row r="3019" spans="3:10" x14ac:dyDescent="0.3">
      <c r="C3019" s="9" t="s">
        <v>12</v>
      </c>
      <c r="D3019" s="10">
        <v>45792</v>
      </c>
      <c r="E3019" t="s">
        <v>2434</v>
      </c>
      <c r="F3019" s="11" t="s">
        <v>644</v>
      </c>
      <c r="G3019" s="8">
        <v>1.65</v>
      </c>
      <c r="H3019" s="8">
        <v>0</v>
      </c>
      <c r="I3019" s="8">
        <f t="shared" si="109"/>
        <v>15367.739999999996</v>
      </c>
      <c r="J3019" s="12"/>
    </row>
    <row r="3020" spans="3:10" x14ac:dyDescent="0.3">
      <c r="C3020" s="9" t="s">
        <v>12</v>
      </c>
      <c r="D3020" s="10">
        <v>45792</v>
      </c>
      <c r="E3020" t="s">
        <v>2597</v>
      </c>
      <c r="F3020" s="11" t="s">
        <v>2598</v>
      </c>
      <c r="G3020" s="8">
        <v>117.97</v>
      </c>
      <c r="H3020" s="8">
        <v>0</v>
      </c>
      <c r="I3020" s="8">
        <f t="shared" si="109"/>
        <v>15485.709999999995</v>
      </c>
      <c r="J3020" s="12"/>
    </row>
    <row r="3021" spans="3:10" x14ac:dyDescent="0.3">
      <c r="C3021" s="9" t="s">
        <v>12</v>
      </c>
      <c r="D3021" s="10">
        <v>45792</v>
      </c>
      <c r="E3021" t="s">
        <v>2454</v>
      </c>
      <c r="F3021" s="11" t="s">
        <v>2599</v>
      </c>
      <c r="G3021" s="8">
        <v>139.65</v>
      </c>
      <c r="H3021" s="8">
        <v>0</v>
      </c>
      <c r="I3021" s="8">
        <f t="shared" si="109"/>
        <v>15625.359999999995</v>
      </c>
      <c r="J3021" s="12"/>
    </row>
    <row r="3022" spans="3:10" x14ac:dyDescent="0.3">
      <c r="C3022" s="9" t="s">
        <v>12</v>
      </c>
      <c r="D3022" s="10">
        <v>45793</v>
      </c>
      <c r="E3022" t="s">
        <v>2434</v>
      </c>
      <c r="F3022" s="11" t="s">
        <v>645</v>
      </c>
      <c r="G3022" s="8">
        <v>0.41</v>
      </c>
      <c r="H3022" s="8">
        <v>0</v>
      </c>
      <c r="I3022" s="8">
        <f t="shared" si="109"/>
        <v>15625.769999999995</v>
      </c>
      <c r="J3022" s="12"/>
    </row>
    <row r="3023" spans="3:10" x14ac:dyDescent="0.3">
      <c r="C3023" s="9" t="s">
        <v>12</v>
      </c>
      <c r="D3023" s="10">
        <v>45796</v>
      </c>
      <c r="E3023" t="s">
        <v>2543</v>
      </c>
      <c r="F3023" s="11" t="s">
        <v>207</v>
      </c>
      <c r="G3023" s="8">
        <v>0.85</v>
      </c>
      <c r="H3023" s="8">
        <v>0</v>
      </c>
      <c r="I3023" s="8">
        <f t="shared" si="109"/>
        <v>15626.619999999995</v>
      </c>
      <c r="J3023" s="12"/>
    </row>
    <row r="3024" spans="3:10" x14ac:dyDescent="0.3">
      <c r="C3024" s="9" t="s">
        <v>12</v>
      </c>
      <c r="D3024" s="10">
        <v>45796</v>
      </c>
      <c r="E3024" t="s">
        <v>2600</v>
      </c>
      <c r="F3024" s="11" t="s">
        <v>2601</v>
      </c>
      <c r="G3024" s="8">
        <v>1.65</v>
      </c>
      <c r="H3024" s="8">
        <v>0</v>
      </c>
      <c r="I3024" s="8">
        <f t="shared" si="109"/>
        <v>15628.269999999995</v>
      </c>
      <c r="J3024" s="12"/>
    </row>
    <row r="3025" spans="3:10" x14ac:dyDescent="0.3">
      <c r="C3025" s="9" t="s">
        <v>12</v>
      </c>
      <c r="D3025" s="10">
        <v>45797</v>
      </c>
      <c r="E3025" t="s">
        <v>2447</v>
      </c>
      <c r="F3025" s="11" t="s">
        <v>170</v>
      </c>
      <c r="G3025" s="8">
        <v>7.62</v>
      </c>
      <c r="H3025" s="8">
        <v>0</v>
      </c>
      <c r="I3025" s="8">
        <f t="shared" si="109"/>
        <v>15635.889999999996</v>
      </c>
      <c r="J3025" s="12"/>
    </row>
    <row r="3026" spans="3:10" x14ac:dyDescent="0.3">
      <c r="C3026" s="9" t="s">
        <v>12</v>
      </c>
      <c r="D3026" s="10">
        <v>45797</v>
      </c>
      <c r="E3026" t="s">
        <v>2602</v>
      </c>
      <c r="F3026" s="11" t="s">
        <v>2603</v>
      </c>
      <c r="G3026" s="8">
        <v>0.18</v>
      </c>
      <c r="H3026" s="8">
        <v>0</v>
      </c>
      <c r="I3026" s="8">
        <f t="shared" ref="I3026:I3089" si="110">G3026-H3026+I3025</f>
        <v>15636.069999999996</v>
      </c>
      <c r="J3026" s="12"/>
    </row>
    <row r="3027" spans="3:10" x14ac:dyDescent="0.3">
      <c r="C3027" s="9" t="s">
        <v>12</v>
      </c>
      <c r="D3027" s="10">
        <v>45797</v>
      </c>
      <c r="E3027" t="s">
        <v>2461</v>
      </c>
      <c r="F3027" s="11" t="s">
        <v>290</v>
      </c>
      <c r="G3027" s="8">
        <v>50.47</v>
      </c>
      <c r="H3027" s="8">
        <v>0</v>
      </c>
      <c r="I3027" s="8">
        <f t="shared" si="110"/>
        <v>15686.539999999995</v>
      </c>
      <c r="J3027" s="12"/>
    </row>
    <row r="3028" spans="3:10" x14ac:dyDescent="0.3">
      <c r="C3028" s="9" t="s">
        <v>12</v>
      </c>
      <c r="D3028" s="10">
        <v>45797</v>
      </c>
      <c r="E3028" t="s">
        <v>2434</v>
      </c>
      <c r="F3028" s="11" t="s">
        <v>646</v>
      </c>
      <c r="G3028" s="8">
        <v>0.41</v>
      </c>
      <c r="H3028" s="8">
        <v>0</v>
      </c>
      <c r="I3028" s="8">
        <f t="shared" si="110"/>
        <v>15686.949999999995</v>
      </c>
      <c r="J3028" s="12"/>
    </row>
    <row r="3029" spans="3:10" x14ac:dyDescent="0.3">
      <c r="C3029" s="9" t="s">
        <v>12</v>
      </c>
      <c r="D3029" s="10">
        <v>45798</v>
      </c>
      <c r="E3029" t="s">
        <v>2604</v>
      </c>
      <c r="F3029" s="11" t="s">
        <v>2605</v>
      </c>
      <c r="G3029" s="8">
        <v>0.89</v>
      </c>
      <c r="H3029" s="8">
        <v>0</v>
      </c>
      <c r="I3029" s="8">
        <f t="shared" si="110"/>
        <v>15687.839999999995</v>
      </c>
      <c r="J3029" s="12"/>
    </row>
    <row r="3030" spans="3:10" x14ac:dyDescent="0.3">
      <c r="C3030" s="9" t="s">
        <v>12</v>
      </c>
      <c r="D3030" s="10">
        <v>45798</v>
      </c>
      <c r="E3030" t="s">
        <v>2596</v>
      </c>
      <c r="F3030" s="11" t="s">
        <v>509</v>
      </c>
      <c r="G3030" s="8">
        <v>6.23</v>
      </c>
      <c r="H3030" s="8">
        <v>0</v>
      </c>
      <c r="I3030" s="8">
        <f t="shared" si="110"/>
        <v>15694.069999999994</v>
      </c>
      <c r="J3030" s="12"/>
    </row>
    <row r="3031" spans="3:10" x14ac:dyDescent="0.3">
      <c r="C3031" s="9" t="s">
        <v>12</v>
      </c>
      <c r="D3031" s="10">
        <v>45799</v>
      </c>
      <c r="E3031" t="s">
        <v>2434</v>
      </c>
      <c r="F3031" s="11" t="s">
        <v>647</v>
      </c>
      <c r="G3031" s="8">
        <v>0.41</v>
      </c>
      <c r="H3031" s="8">
        <v>0</v>
      </c>
      <c r="I3031" s="8">
        <f t="shared" si="110"/>
        <v>15694.479999999994</v>
      </c>
      <c r="J3031" s="12"/>
    </row>
    <row r="3032" spans="3:10" x14ac:dyDescent="0.3">
      <c r="C3032" s="9" t="s">
        <v>12</v>
      </c>
      <c r="D3032" s="10">
        <v>45799</v>
      </c>
      <c r="E3032" t="s">
        <v>2440</v>
      </c>
      <c r="F3032" s="11" t="s">
        <v>869</v>
      </c>
      <c r="G3032" s="8">
        <v>20.79</v>
      </c>
      <c r="H3032" s="8">
        <v>0</v>
      </c>
      <c r="I3032" s="8">
        <f t="shared" si="110"/>
        <v>15715.269999999995</v>
      </c>
      <c r="J3032" s="12"/>
    </row>
    <row r="3033" spans="3:10" x14ac:dyDescent="0.3">
      <c r="C3033" s="9" t="s">
        <v>12</v>
      </c>
      <c r="D3033" s="10">
        <v>45800</v>
      </c>
      <c r="E3033" t="s">
        <v>2434</v>
      </c>
      <c r="F3033" s="11" t="s">
        <v>648</v>
      </c>
      <c r="G3033" s="8">
        <v>0.82</v>
      </c>
      <c r="H3033" s="8">
        <v>0</v>
      </c>
      <c r="I3033" s="8">
        <f t="shared" si="110"/>
        <v>15716.089999999995</v>
      </c>
      <c r="J3033" s="12"/>
    </row>
    <row r="3034" spans="3:10" x14ac:dyDescent="0.3">
      <c r="C3034" s="9" t="s">
        <v>12</v>
      </c>
      <c r="D3034" s="10">
        <v>45800</v>
      </c>
      <c r="E3034" t="s">
        <v>2576</v>
      </c>
      <c r="F3034" s="11" t="s">
        <v>906</v>
      </c>
      <c r="G3034" s="8">
        <v>4.07</v>
      </c>
      <c r="H3034" s="8">
        <v>0</v>
      </c>
      <c r="I3034" s="8">
        <f t="shared" si="110"/>
        <v>15720.159999999994</v>
      </c>
      <c r="J3034" s="12"/>
    </row>
    <row r="3035" spans="3:10" x14ac:dyDescent="0.3">
      <c r="C3035" s="9" t="s">
        <v>12</v>
      </c>
      <c r="D3035" s="10">
        <v>45803</v>
      </c>
      <c r="E3035" t="s">
        <v>2434</v>
      </c>
      <c r="F3035" s="11" t="s">
        <v>649</v>
      </c>
      <c r="G3035" s="8">
        <v>0.82</v>
      </c>
      <c r="H3035" s="8">
        <v>0</v>
      </c>
      <c r="I3035" s="8">
        <f t="shared" si="110"/>
        <v>15720.979999999994</v>
      </c>
      <c r="J3035" s="12"/>
    </row>
    <row r="3036" spans="3:10" x14ac:dyDescent="0.3">
      <c r="C3036" s="9" t="s">
        <v>12</v>
      </c>
      <c r="D3036" s="10">
        <v>45803</v>
      </c>
      <c r="E3036" t="s">
        <v>2602</v>
      </c>
      <c r="F3036" s="11" t="s">
        <v>2606</v>
      </c>
      <c r="G3036" s="8">
        <v>0.99</v>
      </c>
      <c r="H3036" s="8">
        <v>0</v>
      </c>
      <c r="I3036" s="8">
        <f t="shared" si="110"/>
        <v>15721.969999999994</v>
      </c>
      <c r="J3036" s="12"/>
    </row>
    <row r="3037" spans="3:10" x14ac:dyDescent="0.3">
      <c r="C3037" s="9" t="s">
        <v>12</v>
      </c>
      <c r="D3037" s="10">
        <v>45803</v>
      </c>
      <c r="E3037" t="s">
        <v>2450</v>
      </c>
      <c r="F3037" s="11" t="s">
        <v>2607</v>
      </c>
      <c r="G3037" s="8">
        <v>9.4600000000000009</v>
      </c>
      <c r="H3037" s="8">
        <v>0</v>
      </c>
      <c r="I3037" s="8">
        <f t="shared" si="110"/>
        <v>15731.429999999993</v>
      </c>
      <c r="J3037" s="12"/>
    </row>
    <row r="3038" spans="3:10" x14ac:dyDescent="0.3">
      <c r="C3038" s="9" t="s">
        <v>12</v>
      </c>
      <c r="D3038" s="10">
        <v>45805</v>
      </c>
      <c r="E3038" t="s">
        <v>2434</v>
      </c>
      <c r="F3038" s="11" t="s">
        <v>650</v>
      </c>
      <c r="G3038" s="8">
        <v>6.08</v>
      </c>
      <c r="H3038" s="8">
        <v>0</v>
      </c>
      <c r="I3038" s="8">
        <f t="shared" si="110"/>
        <v>15737.509999999993</v>
      </c>
      <c r="J3038" s="12"/>
    </row>
    <row r="3039" spans="3:10" x14ac:dyDescent="0.3">
      <c r="C3039" s="9" t="s">
        <v>12</v>
      </c>
      <c r="D3039" s="10">
        <v>45805</v>
      </c>
      <c r="E3039" t="s">
        <v>2440</v>
      </c>
      <c r="F3039" s="11" t="s">
        <v>871</v>
      </c>
      <c r="G3039" s="8">
        <v>4.2</v>
      </c>
      <c r="H3039" s="8">
        <v>0</v>
      </c>
      <c r="I3039" s="8">
        <f t="shared" si="110"/>
        <v>15741.709999999994</v>
      </c>
      <c r="J3039" s="12"/>
    </row>
    <row r="3040" spans="3:10" x14ac:dyDescent="0.3">
      <c r="C3040" s="9" t="s">
        <v>12</v>
      </c>
      <c r="D3040" s="10">
        <v>45806</v>
      </c>
      <c r="E3040" t="s">
        <v>2447</v>
      </c>
      <c r="F3040" s="11" t="s">
        <v>172</v>
      </c>
      <c r="G3040" s="8">
        <v>709.07</v>
      </c>
      <c r="H3040" s="8">
        <v>0</v>
      </c>
      <c r="I3040" s="8">
        <f t="shared" si="110"/>
        <v>16450.779999999995</v>
      </c>
      <c r="J3040" s="12"/>
    </row>
    <row r="3041" spans="3:10" x14ac:dyDescent="0.3">
      <c r="C3041" s="9" t="s">
        <v>12</v>
      </c>
      <c r="D3041" s="10">
        <v>45806</v>
      </c>
      <c r="E3041" t="s">
        <v>2447</v>
      </c>
      <c r="F3041" s="11" t="s">
        <v>174</v>
      </c>
      <c r="G3041" s="8">
        <v>5.92</v>
      </c>
      <c r="H3041" s="8">
        <v>0</v>
      </c>
      <c r="I3041" s="8">
        <f t="shared" si="110"/>
        <v>16456.699999999993</v>
      </c>
      <c r="J3041" s="12"/>
    </row>
    <row r="3042" spans="3:10" x14ac:dyDescent="0.3">
      <c r="C3042" s="9" t="s">
        <v>12</v>
      </c>
      <c r="D3042" s="10">
        <v>45806</v>
      </c>
      <c r="E3042" t="s">
        <v>2608</v>
      </c>
      <c r="F3042" s="11" t="s">
        <v>2609</v>
      </c>
      <c r="G3042" s="8">
        <v>1786.05</v>
      </c>
      <c r="H3042" s="8">
        <v>0</v>
      </c>
      <c r="I3042" s="8">
        <f t="shared" si="110"/>
        <v>18242.749999999993</v>
      </c>
      <c r="J3042" s="12"/>
    </row>
    <row r="3043" spans="3:10" x14ac:dyDescent="0.3">
      <c r="C3043" s="9" t="s">
        <v>12</v>
      </c>
      <c r="D3043" s="10">
        <v>45806</v>
      </c>
      <c r="E3043" t="s">
        <v>2434</v>
      </c>
      <c r="F3043" s="11" t="s">
        <v>651</v>
      </c>
      <c r="G3043" s="8">
        <v>1.65</v>
      </c>
      <c r="H3043" s="8">
        <v>0</v>
      </c>
      <c r="I3043" s="8">
        <f t="shared" si="110"/>
        <v>18244.399999999994</v>
      </c>
      <c r="J3043" s="12"/>
    </row>
    <row r="3044" spans="3:10" x14ac:dyDescent="0.3">
      <c r="C3044" s="9" t="s">
        <v>12</v>
      </c>
      <c r="D3044" s="10">
        <v>45806</v>
      </c>
      <c r="E3044" t="s">
        <v>2610</v>
      </c>
      <c r="F3044" s="11" t="s">
        <v>412</v>
      </c>
      <c r="G3044" s="8">
        <v>1.92</v>
      </c>
      <c r="H3044" s="8">
        <v>0</v>
      </c>
      <c r="I3044" s="8">
        <f t="shared" si="110"/>
        <v>18246.319999999992</v>
      </c>
      <c r="J3044" s="12"/>
    </row>
    <row r="3045" spans="3:10" x14ac:dyDescent="0.3">
      <c r="C3045" s="9" t="s">
        <v>12</v>
      </c>
      <c r="D3045" s="10">
        <v>45806</v>
      </c>
      <c r="E3045" t="s">
        <v>2457</v>
      </c>
      <c r="F3045" s="11" t="s">
        <v>477</v>
      </c>
      <c r="G3045" s="8">
        <v>2.15</v>
      </c>
      <c r="H3045" s="8">
        <v>0</v>
      </c>
      <c r="I3045" s="8">
        <f t="shared" si="110"/>
        <v>18248.469999999994</v>
      </c>
      <c r="J3045" s="12"/>
    </row>
    <row r="3046" spans="3:10" x14ac:dyDescent="0.3">
      <c r="C3046" s="9" t="s">
        <v>12</v>
      </c>
      <c r="D3046" s="10">
        <v>45806</v>
      </c>
      <c r="E3046" t="s">
        <v>2457</v>
      </c>
      <c r="F3046" s="11" t="s">
        <v>479</v>
      </c>
      <c r="G3046" s="8">
        <v>1.97</v>
      </c>
      <c r="H3046" s="8">
        <v>0</v>
      </c>
      <c r="I3046" s="8">
        <f t="shared" si="110"/>
        <v>18250.439999999995</v>
      </c>
      <c r="J3046" s="12"/>
    </row>
    <row r="3047" spans="3:10" x14ac:dyDescent="0.3">
      <c r="C3047" s="9" t="s">
        <v>12</v>
      </c>
      <c r="D3047" s="10">
        <v>45807</v>
      </c>
      <c r="E3047" t="s">
        <v>2456</v>
      </c>
      <c r="F3047" s="11" t="s">
        <v>255</v>
      </c>
      <c r="G3047" s="8">
        <v>164.24</v>
      </c>
      <c r="H3047" s="8">
        <v>0</v>
      </c>
      <c r="I3047" s="8">
        <f t="shared" si="110"/>
        <v>18414.679999999997</v>
      </c>
      <c r="J3047" s="12"/>
    </row>
    <row r="3048" spans="3:10" x14ac:dyDescent="0.3">
      <c r="C3048" s="9" t="s">
        <v>12</v>
      </c>
      <c r="D3048" s="10">
        <v>45807</v>
      </c>
      <c r="E3048" t="s">
        <v>2491</v>
      </c>
      <c r="F3048" s="11" t="s">
        <v>129</v>
      </c>
      <c r="G3048" s="8">
        <v>30.21</v>
      </c>
      <c r="H3048" s="8">
        <v>0</v>
      </c>
      <c r="I3048" s="8">
        <f t="shared" si="110"/>
        <v>18444.889999999996</v>
      </c>
      <c r="J3048" s="12"/>
    </row>
    <row r="3049" spans="3:10" x14ac:dyDescent="0.3">
      <c r="C3049" s="9" t="s">
        <v>12</v>
      </c>
      <c r="D3049" s="10">
        <v>45807</v>
      </c>
      <c r="E3049" t="s">
        <v>2434</v>
      </c>
      <c r="F3049" s="11" t="s">
        <v>652</v>
      </c>
      <c r="G3049" s="8">
        <v>0.41</v>
      </c>
      <c r="H3049" s="8">
        <v>0</v>
      </c>
      <c r="I3049" s="8">
        <f t="shared" si="110"/>
        <v>18445.299999999996</v>
      </c>
      <c r="J3049" s="12"/>
    </row>
    <row r="3050" spans="3:10" x14ac:dyDescent="0.3">
      <c r="C3050" s="9" t="s">
        <v>12</v>
      </c>
      <c r="D3050" s="10">
        <v>45807</v>
      </c>
      <c r="E3050" t="s">
        <v>2611</v>
      </c>
      <c r="F3050" s="11" t="s">
        <v>2612</v>
      </c>
      <c r="G3050" s="8">
        <v>10.45</v>
      </c>
      <c r="H3050" s="8">
        <v>0</v>
      </c>
      <c r="I3050" s="8">
        <f t="shared" si="110"/>
        <v>18455.749999999996</v>
      </c>
      <c r="J3050" s="12"/>
    </row>
    <row r="3051" spans="3:10" x14ac:dyDescent="0.3">
      <c r="C3051" s="9" t="s">
        <v>12</v>
      </c>
      <c r="D3051" s="10">
        <v>45808</v>
      </c>
      <c r="E3051" t="s">
        <v>2463</v>
      </c>
      <c r="F3051" s="11" t="s">
        <v>542</v>
      </c>
      <c r="G3051" s="8">
        <v>11.97</v>
      </c>
      <c r="H3051" s="8">
        <v>0</v>
      </c>
      <c r="I3051" s="8">
        <f t="shared" si="110"/>
        <v>18467.719999999998</v>
      </c>
      <c r="J3051" s="12"/>
    </row>
    <row r="3052" spans="3:10" x14ac:dyDescent="0.3">
      <c r="C3052" s="9" t="s">
        <v>12</v>
      </c>
      <c r="D3052" s="10">
        <v>45808</v>
      </c>
      <c r="E3052" t="s">
        <v>2465</v>
      </c>
      <c r="F3052" s="11" t="s">
        <v>825</v>
      </c>
      <c r="G3052" s="8">
        <v>11.54</v>
      </c>
      <c r="H3052" s="8">
        <v>0</v>
      </c>
      <c r="I3052" s="8">
        <f t="shared" si="110"/>
        <v>18479.259999999998</v>
      </c>
      <c r="J3052" s="12"/>
    </row>
    <row r="3053" spans="3:10" x14ac:dyDescent="0.3">
      <c r="C3053" s="9" t="s">
        <v>12</v>
      </c>
      <c r="D3053" s="10">
        <v>45808</v>
      </c>
      <c r="E3053" t="s">
        <v>2465</v>
      </c>
      <c r="F3053" s="11" t="s">
        <v>827</v>
      </c>
      <c r="G3053" s="8">
        <v>12.4</v>
      </c>
      <c r="H3053" s="8">
        <v>0</v>
      </c>
      <c r="I3053" s="8">
        <f t="shared" si="110"/>
        <v>18491.66</v>
      </c>
      <c r="J3053" s="12"/>
    </row>
    <row r="3054" spans="3:10" x14ac:dyDescent="0.3">
      <c r="C3054" s="9" t="s">
        <v>12</v>
      </c>
      <c r="D3054" s="10">
        <v>45808</v>
      </c>
      <c r="E3054" t="s">
        <v>2436</v>
      </c>
      <c r="F3054" s="11" t="s">
        <v>2613</v>
      </c>
      <c r="G3054" s="8">
        <v>5.23</v>
      </c>
      <c r="H3054" s="8">
        <v>0</v>
      </c>
      <c r="I3054" s="8">
        <f t="shared" si="110"/>
        <v>18496.89</v>
      </c>
      <c r="J3054" s="12"/>
    </row>
    <row r="3055" spans="3:10" x14ac:dyDescent="0.3">
      <c r="C3055" s="9" t="s">
        <v>12</v>
      </c>
      <c r="D3055" s="10">
        <v>45808</v>
      </c>
      <c r="E3055" t="s">
        <v>2435</v>
      </c>
      <c r="F3055" s="11" t="s">
        <v>525</v>
      </c>
      <c r="G3055" s="8">
        <v>122.24</v>
      </c>
      <c r="H3055" s="8">
        <v>0</v>
      </c>
      <c r="I3055" s="8">
        <f t="shared" si="110"/>
        <v>18619.13</v>
      </c>
      <c r="J3055" s="12"/>
    </row>
    <row r="3056" spans="3:10" x14ac:dyDescent="0.3">
      <c r="C3056" s="9" t="s">
        <v>12</v>
      </c>
      <c r="D3056" s="10">
        <v>45809</v>
      </c>
      <c r="E3056" t="s">
        <v>2442</v>
      </c>
      <c r="F3056" s="11" t="s">
        <v>572</v>
      </c>
      <c r="G3056" s="8">
        <v>124.98</v>
      </c>
      <c r="H3056" s="8">
        <v>0</v>
      </c>
      <c r="I3056" s="8">
        <f t="shared" si="110"/>
        <v>18744.11</v>
      </c>
      <c r="J3056" s="12"/>
    </row>
    <row r="3057" spans="3:10" x14ac:dyDescent="0.3">
      <c r="C3057" s="9" t="s">
        <v>12</v>
      </c>
      <c r="D3057" s="10">
        <v>45809</v>
      </c>
      <c r="E3057" t="s">
        <v>2443</v>
      </c>
      <c r="F3057" s="11" t="s">
        <v>2614</v>
      </c>
      <c r="G3057" s="8">
        <v>1.26</v>
      </c>
      <c r="H3057" s="8">
        <v>0</v>
      </c>
      <c r="I3057" s="8">
        <f t="shared" si="110"/>
        <v>18745.37</v>
      </c>
      <c r="J3057" s="12"/>
    </row>
    <row r="3058" spans="3:10" x14ac:dyDescent="0.3">
      <c r="C3058" s="9" t="s">
        <v>12</v>
      </c>
      <c r="D3058" s="10">
        <v>45809</v>
      </c>
      <c r="E3058" t="s">
        <v>2429</v>
      </c>
      <c r="F3058" s="11" t="s">
        <v>2615</v>
      </c>
      <c r="G3058" s="8">
        <v>63.67</v>
      </c>
      <c r="H3058" s="8">
        <v>0</v>
      </c>
      <c r="I3058" s="8">
        <f t="shared" si="110"/>
        <v>18809.039999999997</v>
      </c>
      <c r="J3058" s="12"/>
    </row>
    <row r="3059" spans="3:10" x14ac:dyDescent="0.3">
      <c r="C3059" s="9" t="s">
        <v>12</v>
      </c>
      <c r="D3059" s="10">
        <v>45809</v>
      </c>
      <c r="E3059" t="s">
        <v>2567</v>
      </c>
      <c r="F3059" s="11" t="s">
        <v>917</v>
      </c>
      <c r="G3059" s="8">
        <v>124.07</v>
      </c>
      <c r="H3059" s="8">
        <v>0</v>
      </c>
      <c r="I3059" s="8">
        <f t="shared" si="110"/>
        <v>18933.109999999997</v>
      </c>
      <c r="J3059" s="12"/>
    </row>
    <row r="3060" spans="3:10" x14ac:dyDescent="0.3">
      <c r="C3060" s="9" t="s">
        <v>12</v>
      </c>
      <c r="D3060" s="10">
        <v>45810</v>
      </c>
      <c r="E3060" t="s">
        <v>2434</v>
      </c>
      <c r="F3060" s="11" t="s">
        <v>653</v>
      </c>
      <c r="G3060" s="8">
        <v>0.82</v>
      </c>
      <c r="H3060" s="8">
        <v>0</v>
      </c>
      <c r="I3060" s="8">
        <f t="shared" si="110"/>
        <v>18933.929999999997</v>
      </c>
      <c r="J3060" s="12"/>
    </row>
    <row r="3061" spans="3:10" x14ac:dyDescent="0.3">
      <c r="C3061" s="9" t="s">
        <v>12</v>
      </c>
      <c r="D3061" s="10">
        <v>45810</v>
      </c>
      <c r="E3061" t="s">
        <v>2434</v>
      </c>
      <c r="F3061" s="11" t="s">
        <v>654</v>
      </c>
      <c r="G3061" s="8">
        <v>2.76</v>
      </c>
      <c r="H3061" s="8">
        <v>0</v>
      </c>
      <c r="I3061" s="8">
        <f t="shared" si="110"/>
        <v>18936.689999999995</v>
      </c>
      <c r="J3061" s="12"/>
    </row>
    <row r="3062" spans="3:10" x14ac:dyDescent="0.3">
      <c r="C3062" s="9" t="s">
        <v>12</v>
      </c>
      <c r="D3062" s="10">
        <v>45810</v>
      </c>
      <c r="E3062" t="s">
        <v>2426</v>
      </c>
      <c r="F3062" s="11" t="s">
        <v>2616</v>
      </c>
      <c r="G3062" s="8">
        <v>8.9</v>
      </c>
      <c r="H3062" s="8">
        <v>0</v>
      </c>
      <c r="I3062" s="8">
        <f t="shared" si="110"/>
        <v>18945.589999999997</v>
      </c>
      <c r="J3062" s="12"/>
    </row>
    <row r="3063" spans="3:10" x14ac:dyDescent="0.3">
      <c r="C3063" s="9" t="s">
        <v>12</v>
      </c>
      <c r="D3063" s="10">
        <v>45811</v>
      </c>
      <c r="E3063" t="s">
        <v>2617</v>
      </c>
      <c r="F3063" s="11" t="s">
        <v>2618</v>
      </c>
      <c r="G3063" s="8">
        <v>11.36</v>
      </c>
      <c r="H3063" s="8">
        <v>0</v>
      </c>
      <c r="I3063" s="8">
        <f t="shared" si="110"/>
        <v>18956.949999999997</v>
      </c>
      <c r="J3063" s="12"/>
    </row>
    <row r="3064" spans="3:10" x14ac:dyDescent="0.3">
      <c r="C3064" s="9" t="s">
        <v>12</v>
      </c>
      <c r="D3064" s="10">
        <v>45811</v>
      </c>
      <c r="E3064" t="s">
        <v>2610</v>
      </c>
      <c r="F3064" s="11" t="s">
        <v>414</v>
      </c>
      <c r="G3064" s="8">
        <v>2.46</v>
      </c>
      <c r="H3064" s="8">
        <v>0</v>
      </c>
      <c r="I3064" s="8">
        <f t="shared" si="110"/>
        <v>18959.409999999996</v>
      </c>
      <c r="J3064" s="12"/>
    </row>
    <row r="3065" spans="3:10" x14ac:dyDescent="0.3">
      <c r="C3065" s="9" t="s">
        <v>12</v>
      </c>
      <c r="D3065" s="10">
        <v>45811</v>
      </c>
      <c r="E3065" t="s">
        <v>2535</v>
      </c>
      <c r="F3065" s="11" t="s">
        <v>895</v>
      </c>
      <c r="G3065" s="8">
        <v>103.39</v>
      </c>
      <c r="H3065" s="8">
        <v>0</v>
      </c>
      <c r="I3065" s="8">
        <f t="shared" si="110"/>
        <v>19062.799999999996</v>
      </c>
      <c r="J3065" s="12"/>
    </row>
    <row r="3066" spans="3:10" x14ac:dyDescent="0.3">
      <c r="C3066" s="9" t="s">
        <v>12</v>
      </c>
      <c r="D3066" s="10">
        <v>45811</v>
      </c>
      <c r="E3066" t="s">
        <v>2457</v>
      </c>
      <c r="F3066" s="11" t="s">
        <v>481</v>
      </c>
      <c r="G3066" s="8">
        <v>6.19</v>
      </c>
      <c r="H3066" s="8">
        <v>0</v>
      </c>
      <c r="I3066" s="8">
        <f t="shared" si="110"/>
        <v>19068.989999999994</v>
      </c>
      <c r="J3066" s="12"/>
    </row>
    <row r="3067" spans="3:10" x14ac:dyDescent="0.3">
      <c r="C3067" s="9" t="s">
        <v>12</v>
      </c>
      <c r="D3067" s="10">
        <v>45811</v>
      </c>
      <c r="E3067" t="s">
        <v>2457</v>
      </c>
      <c r="F3067" s="11" t="s">
        <v>481</v>
      </c>
      <c r="G3067" s="8">
        <v>1.1599999999999999</v>
      </c>
      <c r="H3067" s="8">
        <v>0</v>
      </c>
      <c r="I3067" s="8">
        <f t="shared" si="110"/>
        <v>19070.149999999994</v>
      </c>
      <c r="J3067" s="12"/>
    </row>
    <row r="3068" spans="3:10" x14ac:dyDescent="0.3">
      <c r="C3068" s="9" t="s">
        <v>12</v>
      </c>
      <c r="D3068" s="10">
        <v>45811</v>
      </c>
      <c r="E3068" t="s">
        <v>2457</v>
      </c>
      <c r="F3068" s="11" t="s">
        <v>483</v>
      </c>
      <c r="G3068" s="8">
        <v>11.98</v>
      </c>
      <c r="H3068" s="8">
        <v>0</v>
      </c>
      <c r="I3068" s="8">
        <f t="shared" si="110"/>
        <v>19082.129999999994</v>
      </c>
      <c r="J3068" s="12"/>
    </row>
    <row r="3069" spans="3:10" x14ac:dyDescent="0.3">
      <c r="C3069" s="9" t="s">
        <v>12</v>
      </c>
      <c r="D3069" s="10">
        <v>45811</v>
      </c>
      <c r="E3069" t="s">
        <v>2619</v>
      </c>
      <c r="F3069" s="11" t="s">
        <v>423</v>
      </c>
      <c r="G3069" s="8">
        <v>14.91</v>
      </c>
      <c r="H3069" s="8">
        <v>0</v>
      </c>
      <c r="I3069" s="8">
        <f t="shared" si="110"/>
        <v>19097.039999999994</v>
      </c>
      <c r="J3069" s="12"/>
    </row>
    <row r="3070" spans="3:10" x14ac:dyDescent="0.3">
      <c r="C3070" s="9" t="s">
        <v>12</v>
      </c>
      <c r="D3070" s="10">
        <v>45812</v>
      </c>
      <c r="E3070" t="s">
        <v>2620</v>
      </c>
      <c r="F3070" s="11" t="s">
        <v>2621</v>
      </c>
      <c r="G3070" s="8">
        <v>15.67</v>
      </c>
      <c r="H3070" s="8">
        <v>0</v>
      </c>
      <c r="I3070" s="8">
        <f t="shared" si="110"/>
        <v>19112.709999999992</v>
      </c>
      <c r="J3070" s="12"/>
    </row>
    <row r="3071" spans="3:10" x14ac:dyDescent="0.3">
      <c r="C3071" s="9" t="s">
        <v>12</v>
      </c>
      <c r="D3071" s="10">
        <v>45812</v>
      </c>
      <c r="E3071" t="s">
        <v>2620</v>
      </c>
      <c r="F3071" s="11" t="s">
        <v>2621</v>
      </c>
      <c r="G3071" s="8">
        <v>252.81</v>
      </c>
      <c r="H3071" s="8">
        <v>0</v>
      </c>
      <c r="I3071" s="8">
        <f t="shared" si="110"/>
        <v>19365.519999999993</v>
      </c>
      <c r="J3071" s="12"/>
    </row>
    <row r="3072" spans="3:10" x14ac:dyDescent="0.3">
      <c r="C3072" s="9" t="s">
        <v>12</v>
      </c>
      <c r="D3072" s="10">
        <v>45812</v>
      </c>
      <c r="E3072" t="s">
        <v>2480</v>
      </c>
      <c r="F3072" s="11" t="s">
        <v>2622</v>
      </c>
      <c r="G3072" s="8">
        <v>723.49</v>
      </c>
      <c r="H3072" s="8">
        <v>0</v>
      </c>
      <c r="I3072" s="8">
        <f t="shared" si="110"/>
        <v>20089.009999999995</v>
      </c>
      <c r="J3072" s="12"/>
    </row>
    <row r="3073" spans="3:10" x14ac:dyDescent="0.3">
      <c r="C3073" s="9" t="s">
        <v>12</v>
      </c>
      <c r="D3073" s="10">
        <v>45813</v>
      </c>
      <c r="E3073" t="s">
        <v>2619</v>
      </c>
      <c r="F3073" s="11" t="s">
        <v>425</v>
      </c>
      <c r="G3073" s="8">
        <v>3.72</v>
      </c>
      <c r="H3073" s="8">
        <v>0</v>
      </c>
      <c r="I3073" s="8">
        <f t="shared" si="110"/>
        <v>20092.729999999996</v>
      </c>
      <c r="J3073" s="12"/>
    </row>
    <row r="3074" spans="3:10" x14ac:dyDescent="0.3">
      <c r="C3074" s="9" t="s">
        <v>12</v>
      </c>
      <c r="D3074" s="10">
        <v>45813</v>
      </c>
      <c r="E3074" t="s">
        <v>2434</v>
      </c>
      <c r="F3074" s="11" t="s">
        <v>655</v>
      </c>
      <c r="G3074" s="8">
        <v>1.23</v>
      </c>
      <c r="H3074" s="8">
        <v>0</v>
      </c>
      <c r="I3074" s="8">
        <f t="shared" si="110"/>
        <v>20093.959999999995</v>
      </c>
      <c r="J3074" s="12"/>
    </row>
    <row r="3075" spans="3:10" x14ac:dyDescent="0.3">
      <c r="C3075" s="9" t="s">
        <v>12</v>
      </c>
      <c r="D3075" s="10">
        <v>45814</v>
      </c>
      <c r="E3075" t="s">
        <v>2623</v>
      </c>
      <c r="F3075" s="11" t="s">
        <v>142</v>
      </c>
      <c r="G3075" s="8">
        <v>6.97</v>
      </c>
      <c r="H3075" s="8">
        <v>0</v>
      </c>
      <c r="I3075" s="8">
        <f t="shared" si="110"/>
        <v>20100.929999999997</v>
      </c>
      <c r="J3075" s="12"/>
    </row>
    <row r="3076" spans="3:10" x14ac:dyDescent="0.3">
      <c r="C3076" s="9" t="s">
        <v>12</v>
      </c>
      <c r="D3076" s="10">
        <v>45814</v>
      </c>
      <c r="E3076" t="s">
        <v>2623</v>
      </c>
      <c r="F3076" s="11" t="s">
        <v>142</v>
      </c>
      <c r="G3076" s="8">
        <v>0.04</v>
      </c>
      <c r="H3076" s="8">
        <v>0</v>
      </c>
      <c r="I3076" s="8">
        <f t="shared" si="110"/>
        <v>20100.969999999998</v>
      </c>
      <c r="J3076" s="12"/>
    </row>
    <row r="3077" spans="3:10" x14ac:dyDescent="0.3">
      <c r="C3077" s="9" t="s">
        <v>12</v>
      </c>
      <c r="D3077" s="10">
        <v>45814</v>
      </c>
      <c r="E3077" t="s">
        <v>2623</v>
      </c>
      <c r="F3077" s="11" t="s">
        <v>142</v>
      </c>
      <c r="G3077" s="8">
        <v>0.71</v>
      </c>
      <c r="H3077" s="8">
        <v>0</v>
      </c>
      <c r="I3077" s="8">
        <f t="shared" si="110"/>
        <v>20101.679999999997</v>
      </c>
      <c r="J3077" s="12"/>
    </row>
    <row r="3078" spans="3:10" x14ac:dyDescent="0.3">
      <c r="C3078" s="9" t="s">
        <v>12</v>
      </c>
      <c r="D3078" s="10">
        <v>45814</v>
      </c>
      <c r="E3078" t="s">
        <v>2456</v>
      </c>
      <c r="F3078" s="11" t="s">
        <v>257</v>
      </c>
      <c r="G3078" s="8">
        <v>83.41</v>
      </c>
      <c r="H3078" s="8">
        <v>0</v>
      </c>
      <c r="I3078" s="8">
        <f t="shared" si="110"/>
        <v>20185.089999999997</v>
      </c>
      <c r="J3078" s="12"/>
    </row>
    <row r="3079" spans="3:10" x14ac:dyDescent="0.3">
      <c r="C3079" s="9" t="s">
        <v>12</v>
      </c>
      <c r="D3079" s="10">
        <v>45814</v>
      </c>
      <c r="E3079" t="s">
        <v>2434</v>
      </c>
      <c r="F3079" s="11" t="s">
        <v>656</v>
      </c>
      <c r="G3079" s="8">
        <v>0.41</v>
      </c>
      <c r="H3079" s="8">
        <v>0</v>
      </c>
      <c r="I3079" s="8">
        <f t="shared" si="110"/>
        <v>20185.499999999996</v>
      </c>
      <c r="J3079" s="12"/>
    </row>
    <row r="3080" spans="3:10" x14ac:dyDescent="0.3">
      <c r="C3080" s="9" t="s">
        <v>12</v>
      </c>
      <c r="D3080" s="10">
        <v>45816</v>
      </c>
      <c r="E3080" t="s">
        <v>2445</v>
      </c>
      <c r="F3080" s="11" t="s">
        <v>2624</v>
      </c>
      <c r="G3080" s="8">
        <v>34.65</v>
      </c>
      <c r="H3080" s="8">
        <v>0</v>
      </c>
      <c r="I3080" s="8">
        <f t="shared" si="110"/>
        <v>20220.149999999998</v>
      </c>
      <c r="J3080" s="12"/>
    </row>
    <row r="3081" spans="3:10" x14ac:dyDescent="0.3">
      <c r="C3081" s="9" t="s">
        <v>12</v>
      </c>
      <c r="D3081" s="10">
        <v>45817</v>
      </c>
      <c r="E3081" t="s">
        <v>2434</v>
      </c>
      <c r="F3081" s="11" t="s">
        <v>657</v>
      </c>
      <c r="G3081" s="8">
        <v>0.82</v>
      </c>
      <c r="H3081" s="8">
        <v>0</v>
      </c>
      <c r="I3081" s="8">
        <f t="shared" si="110"/>
        <v>20220.969999999998</v>
      </c>
      <c r="J3081" s="12"/>
    </row>
    <row r="3082" spans="3:10" x14ac:dyDescent="0.3">
      <c r="C3082" s="9" t="s">
        <v>12</v>
      </c>
      <c r="D3082" s="10">
        <v>45818</v>
      </c>
      <c r="E3082" t="s">
        <v>2552</v>
      </c>
      <c r="F3082" s="11" t="s">
        <v>2625</v>
      </c>
      <c r="G3082" s="8">
        <v>4.4800000000000004</v>
      </c>
      <c r="H3082" s="8">
        <v>0</v>
      </c>
      <c r="I3082" s="8">
        <f t="shared" si="110"/>
        <v>20225.449999999997</v>
      </c>
      <c r="J3082" s="12"/>
    </row>
    <row r="3083" spans="3:10" x14ac:dyDescent="0.3">
      <c r="C3083" s="9" t="s">
        <v>12</v>
      </c>
      <c r="D3083" s="10">
        <v>45818</v>
      </c>
      <c r="E3083" t="s">
        <v>2434</v>
      </c>
      <c r="F3083" s="11" t="s">
        <v>658</v>
      </c>
      <c r="G3083" s="8">
        <v>0.82</v>
      </c>
      <c r="H3083" s="8">
        <v>0</v>
      </c>
      <c r="I3083" s="8">
        <f t="shared" si="110"/>
        <v>20226.269999999997</v>
      </c>
      <c r="J3083" s="12"/>
    </row>
    <row r="3084" spans="3:10" x14ac:dyDescent="0.3">
      <c r="C3084" s="9" t="s">
        <v>12</v>
      </c>
      <c r="D3084" s="10">
        <v>45819</v>
      </c>
      <c r="E3084" t="s">
        <v>2457</v>
      </c>
      <c r="F3084" s="11" t="s">
        <v>485</v>
      </c>
      <c r="G3084" s="8">
        <v>1.88</v>
      </c>
      <c r="H3084" s="8">
        <v>0</v>
      </c>
      <c r="I3084" s="8">
        <f t="shared" si="110"/>
        <v>20228.149999999998</v>
      </c>
      <c r="J3084" s="12"/>
    </row>
    <row r="3085" spans="3:10" x14ac:dyDescent="0.3">
      <c r="C3085" s="9" t="s">
        <v>12</v>
      </c>
      <c r="D3085" s="10">
        <v>45819</v>
      </c>
      <c r="E3085" t="s">
        <v>2454</v>
      </c>
      <c r="F3085" s="11" t="s">
        <v>2626</v>
      </c>
      <c r="G3085" s="8">
        <v>4.2</v>
      </c>
      <c r="H3085" s="8">
        <v>0</v>
      </c>
      <c r="I3085" s="8">
        <f t="shared" si="110"/>
        <v>20232.349999999999</v>
      </c>
      <c r="J3085" s="12"/>
    </row>
    <row r="3086" spans="3:10" x14ac:dyDescent="0.3">
      <c r="C3086" s="9" t="s">
        <v>12</v>
      </c>
      <c r="D3086" s="10">
        <v>45819</v>
      </c>
      <c r="E3086" t="s">
        <v>2454</v>
      </c>
      <c r="F3086" s="11" t="s">
        <v>2627</v>
      </c>
      <c r="G3086" s="8">
        <v>37.799999999999997</v>
      </c>
      <c r="H3086" s="8">
        <v>0</v>
      </c>
      <c r="I3086" s="8">
        <f t="shared" si="110"/>
        <v>20270.149999999998</v>
      </c>
      <c r="J3086" s="12"/>
    </row>
    <row r="3087" spans="3:10" x14ac:dyDescent="0.3">
      <c r="C3087" s="9" t="s">
        <v>12</v>
      </c>
      <c r="D3087" s="10">
        <v>45819</v>
      </c>
      <c r="E3087" t="s">
        <v>2610</v>
      </c>
      <c r="F3087" s="11" t="s">
        <v>417</v>
      </c>
      <c r="G3087" s="8">
        <v>22.61</v>
      </c>
      <c r="H3087" s="8">
        <v>0</v>
      </c>
      <c r="I3087" s="8">
        <f t="shared" si="110"/>
        <v>20292.759999999998</v>
      </c>
      <c r="J3087" s="12"/>
    </row>
    <row r="3088" spans="3:10" x14ac:dyDescent="0.3">
      <c r="C3088" s="9" t="s">
        <v>12</v>
      </c>
      <c r="D3088" s="10">
        <v>45819</v>
      </c>
      <c r="E3088" t="s">
        <v>2589</v>
      </c>
      <c r="F3088" s="11" t="s">
        <v>309</v>
      </c>
      <c r="G3088" s="8">
        <v>95.55</v>
      </c>
      <c r="H3088" s="8">
        <v>0</v>
      </c>
      <c r="I3088" s="8">
        <f t="shared" si="110"/>
        <v>20388.309999999998</v>
      </c>
      <c r="J3088" s="12"/>
    </row>
    <row r="3089" spans="3:10" x14ac:dyDescent="0.3">
      <c r="C3089" s="9" t="s">
        <v>12</v>
      </c>
      <c r="D3089" s="10">
        <v>45820</v>
      </c>
      <c r="E3089" t="s">
        <v>2585</v>
      </c>
      <c r="F3089" s="11" t="s">
        <v>2628</v>
      </c>
      <c r="G3089" s="8">
        <v>3.78</v>
      </c>
      <c r="H3089" s="8">
        <v>0</v>
      </c>
      <c r="I3089" s="8">
        <f t="shared" si="110"/>
        <v>20392.089999999997</v>
      </c>
      <c r="J3089" s="12"/>
    </row>
    <row r="3090" spans="3:10" x14ac:dyDescent="0.3">
      <c r="C3090" s="9" t="s">
        <v>12</v>
      </c>
      <c r="D3090" s="10">
        <v>45820</v>
      </c>
      <c r="E3090" t="s">
        <v>2434</v>
      </c>
      <c r="F3090" s="11" t="s">
        <v>659</v>
      </c>
      <c r="G3090" s="8">
        <v>0.82</v>
      </c>
      <c r="H3090" s="8">
        <v>0</v>
      </c>
      <c r="I3090" s="8">
        <f t="shared" ref="I3090:I3153" si="111">G3090-H3090+I3089</f>
        <v>20392.909999999996</v>
      </c>
      <c r="J3090" s="12"/>
    </row>
    <row r="3091" spans="3:10" x14ac:dyDescent="0.3">
      <c r="C3091" s="9" t="s">
        <v>12</v>
      </c>
      <c r="D3091" s="10">
        <v>45821</v>
      </c>
      <c r="E3091" t="s">
        <v>2429</v>
      </c>
      <c r="F3091" s="11" t="s">
        <v>2629</v>
      </c>
      <c r="G3091" s="8">
        <v>6.83</v>
      </c>
      <c r="H3091" s="8">
        <v>0</v>
      </c>
      <c r="I3091" s="8">
        <f t="shared" si="111"/>
        <v>20399.739999999998</v>
      </c>
      <c r="J3091" s="12"/>
    </row>
    <row r="3092" spans="3:10" x14ac:dyDescent="0.3">
      <c r="C3092" s="9" t="s">
        <v>12</v>
      </c>
      <c r="D3092" s="10">
        <v>45821</v>
      </c>
      <c r="E3092" t="s">
        <v>2454</v>
      </c>
      <c r="F3092" s="11" t="s">
        <v>2630</v>
      </c>
      <c r="G3092" s="8">
        <v>12.6</v>
      </c>
      <c r="H3092" s="8">
        <v>0</v>
      </c>
      <c r="I3092" s="8">
        <f t="shared" si="111"/>
        <v>20412.339999999997</v>
      </c>
      <c r="J3092" s="12"/>
    </row>
    <row r="3093" spans="3:10" x14ac:dyDescent="0.3">
      <c r="C3093" s="9" t="s">
        <v>12</v>
      </c>
      <c r="D3093" s="10">
        <v>45821</v>
      </c>
      <c r="E3093" t="s">
        <v>2491</v>
      </c>
      <c r="F3093" s="11" t="s">
        <v>132</v>
      </c>
      <c r="G3093" s="8">
        <v>30.21</v>
      </c>
      <c r="H3093" s="8">
        <v>0</v>
      </c>
      <c r="I3093" s="8">
        <f t="shared" si="111"/>
        <v>20442.549999999996</v>
      </c>
      <c r="J3093" s="12"/>
    </row>
    <row r="3094" spans="3:10" x14ac:dyDescent="0.3">
      <c r="C3094" s="9" t="s">
        <v>12</v>
      </c>
      <c r="D3094" s="10">
        <v>45821</v>
      </c>
      <c r="E3094" t="s">
        <v>2543</v>
      </c>
      <c r="F3094" s="11" t="s">
        <v>209</v>
      </c>
      <c r="G3094" s="8">
        <v>6.12</v>
      </c>
      <c r="H3094" s="8">
        <v>0</v>
      </c>
      <c r="I3094" s="8">
        <f t="shared" si="111"/>
        <v>20448.669999999995</v>
      </c>
      <c r="J3094" s="12"/>
    </row>
    <row r="3095" spans="3:10" x14ac:dyDescent="0.3">
      <c r="C3095" s="9" t="s">
        <v>12</v>
      </c>
      <c r="D3095" s="10">
        <v>45821</v>
      </c>
      <c r="E3095" t="s">
        <v>2620</v>
      </c>
      <c r="F3095" s="11" t="s">
        <v>2631</v>
      </c>
      <c r="G3095" s="8">
        <v>44.66</v>
      </c>
      <c r="H3095" s="8">
        <v>0</v>
      </c>
      <c r="I3095" s="8">
        <f t="shared" si="111"/>
        <v>20493.329999999994</v>
      </c>
      <c r="J3095" s="12"/>
    </row>
    <row r="3096" spans="3:10" x14ac:dyDescent="0.3">
      <c r="C3096" s="9" t="s">
        <v>12</v>
      </c>
      <c r="D3096" s="10">
        <v>45821</v>
      </c>
      <c r="E3096" t="s">
        <v>2620</v>
      </c>
      <c r="F3096" s="11" t="s">
        <v>2631</v>
      </c>
      <c r="G3096" s="8">
        <v>8.25</v>
      </c>
      <c r="H3096" s="8">
        <v>0</v>
      </c>
      <c r="I3096" s="8">
        <f t="shared" si="111"/>
        <v>20501.579999999994</v>
      </c>
      <c r="J3096" s="12"/>
    </row>
    <row r="3097" spans="3:10" x14ac:dyDescent="0.3">
      <c r="C3097" s="9" t="s">
        <v>12</v>
      </c>
      <c r="D3097" s="10">
        <v>45821</v>
      </c>
      <c r="E3097" t="s">
        <v>2434</v>
      </c>
      <c r="F3097" s="11" t="s">
        <v>660</v>
      </c>
      <c r="G3097" s="8">
        <v>1.23</v>
      </c>
      <c r="H3097" s="8">
        <v>0</v>
      </c>
      <c r="I3097" s="8">
        <f t="shared" si="111"/>
        <v>20502.809999999994</v>
      </c>
      <c r="J3097" s="12"/>
    </row>
    <row r="3098" spans="3:10" x14ac:dyDescent="0.3">
      <c r="C3098" s="9" t="s">
        <v>12</v>
      </c>
      <c r="D3098" s="10">
        <v>45821</v>
      </c>
      <c r="E3098" t="s">
        <v>2434</v>
      </c>
      <c r="F3098" s="11" t="s">
        <v>661</v>
      </c>
      <c r="G3098" s="8">
        <v>6</v>
      </c>
      <c r="H3098" s="8">
        <v>0</v>
      </c>
      <c r="I3098" s="8">
        <f t="shared" si="111"/>
        <v>20508.809999999994</v>
      </c>
      <c r="J3098" s="12"/>
    </row>
    <row r="3099" spans="3:10" x14ac:dyDescent="0.3">
      <c r="C3099" s="9" t="s">
        <v>12</v>
      </c>
      <c r="D3099" s="10">
        <v>45822</v>
      </c>
      <c r="E3099" t="s">
        <v>2513</v>
      </c>
      <c r="F3099" s="11" t="s">
        <v>2632</v>
      </c>
      <c r="G3099" s="8">
        <v>11.12</v>
      </c>
      <c r="H3099" s="8">
        <v>0</v>
      </c>
      <c r="I3099" s="8">
        <f t="shared" si="111"/>
        <v>20519.929999999993</v>
      </c>
      <c r="J3099" s="12"/>
    </row>
    <row r="3100" spans="3:10" x14ac:dyDescent="0.3">
      <c r="C3100" s="9" t="s">
        <v>12</v>
      </c>
      <c r="D3100" s="10">
        <v>45823</v>
      </c>
      <c r="E3100" t="s">
        <v>2454</v>
      </c>
      <c r="F3100" s="11" t="s">
        <v>2633</v>
      </c>
      <c r="G3100" s="8">
        <v>139.65</v>
      </c>
      <c r="H3100" s="8">
        <v>0</v>
      </c>
      <c r="I3100" s="8">
        <f t="shared" si="111"/>
        <v>20659.579999999994</v>
      </c>
      <c r="J3100" s="12"/>
    </row>
    <row r="3101" spans="3:10" x14ac:dyDescent="0.3">
      <c r="C3101" s="9" t="s">
        <v>12</v>
      </c>
      <c r="D3101" s="10">
        <v>45823</v>
      </c>
      <c r="E3101" t="s">
        <v>2634</v>
      </c>
      <c r="F3101" s="11" t="s">
        <v>2635</v>
      </c>
      <c r="G3101" s="8">
        <v>26.85</v>
      </c>
      <c r="H3101" s="8">
        <v>0</v>
      </c>
      <c r="I3101" s="8">
        <f t="shared" si="111"/>
        <v>20686.429999999993</v>
      </c>
      <c r="J3101" s="12"/>
    </row>
    <row r="3102" spans="3:10" x14ac:dyDescent="0.3">
      <c r="C3102" s="9" t="s">
        <v>12</v>
      </c>
      <c r="D3102" s="10">
        <v>45823</v>
      </c>
      <c r="E3102" t="s">
        <v>2636</v>
      </c>
      <c r="F3102" s="11" t="s">
        <v>954</v>
      </c>
      <c r="G3102" s="8">
        <v>7.53</v>
      </c>
      <c r="H3102" s="8">
        <v>0</v>
      </c>
      <c r="I3102" s="8">
        <f t="shared" si="111"/>
        <v>20693.959999999992</v>
      </c>
      <c r="J3102" s="12"/>
    </row>
    <row r="3103" spans="3:10" x14ac:dyDescent="0.3">
      <c r="C3103" s="9" t="s">
        <v>12</v>
      </c>
      <c r="D3103" s="10">
        <v>45824</v>
      </c>
      <c r="E3103" t="s">
        <v>2500</v>
      </c>
      <c r="F3103" s="11" t="s">
        <v>194</v>
      </c>
      <c r="G3103" s="8">
        <v>13.49</v>
      </c>
      <c r="H3103" s="8">
        <v>0</v>
      </c>
      <c r="I3103" s="8">
        <f t="shared" si="111"/>
        <v>20707.449999999993</v>
      </c>
      <c r="J3103" s="12"/>
    </row>
    <row r="3104" spans="3:10" x14ac:dyDescent="0.3">
      <c r="C3104" s="9" t="s">
        <v>12</v>
      </c>
      <c r="D3104" s="10">
        <v>45824</v>
      </c>
      <c r="E3104" t="s">
        <v>2597</v>
      </c>
      <c r="F3104" s="11" t="s">
        <v>2637</v>
      </c>
      <c r="G3104" s="8">
        <v>221.29</v>
      </c>
      <c r="H3104" s="8">
        <v>0</v>
      </c>
      <c r="I3104" s="8">
        <f t="shared" si="111"/>
        <v>20928.739999999994</v>
      </c>
      <c r="J3104" s="12"/>
    </row>
    <row r="3105" spans="3:10" x14ac:dyDescent="0.3">
      <c r="C3105" s="9" t="s">
        <v>12</v>
      </c>
      <c r="D3105" s="10">
        <v>45824</v>
      </c>
      <c r="E3105" t="s">
        <v>2432</v>
      </c>
      <c r="F3105" s="11" t="s">
        <v>2638</v>
      </c>
      <c r="G3105" s="8">
        <v>2312.1999999999998</v>
      </c>
      <c r="H3105" s="8">
        <v>0</v>
      </c>
      <c r="I3105" s="8">
        <f t="shared" si="111"/>
        <v>23240.939999999995</v>
      </c>
      <c r="J3105" s="12"/>
    </row>
    <row r="3106" spans="3:10" x14ac:dyDescent="0.3">
      <c r="C3106" s="9" t="s">
        <v>12</v>
      </c>
      <c r="D3106" s="10">
        <v>45824</v>
      </c>
      <c r="E3106" t="s">
        <v>2636</v>
      </c>
      <c r="F3106" s="11" t="s">
        <v>956</v>
      </c>
      <c r="G3106" s="8">
        <v>1.47</v>
      </c>
      <c r="H3106" s="8">
        <v>0</v>
      </c>
      <c r="I3106" s="8">
        <f t="shared" si="111"/>
        <v>23242.409999999996</v>
      </c>
      <c r="J3106" s="12"/>
    </row>
    <row r="3107" spans="3:10" x14ac:dyDescent="0.3">
      <c r="C3107" s="9" t="s">
        <v>12</v>
      </c>
      <c r="D3107" s="10">
        <v>45824</v>
      </c>
      <c r="E3107" t="s">
        <v>2636</v>
      </c>
      <c r="F3107" s="11" t="s">
        <v>958</v>
      </c>
      <c r="G3107" s="8">
        <v>1.47</v>
      </c>
      <c r="H3107" s="8">
        <v>0</v>
      </c>
      <c r="I3107" s="8">
        <f t="shared" si="111"/>
        <v>23243.879999999997</v>
      </c>
      <c r="J3107" s="12"/>
    </row>
    <row r="3108" spans="3:10" x14ac:dyDescent="0.3">
      <c r="C3108" s="9" t="s">
        <v>12</v>
      </c>
      <c r="D3108" s="10">
        <v>45824</v>
      </c>
      <c r="E3108" t="s">
        <v>2434</v>
      </c>
      <c r="F3108" s="11" t="s">
        <v>662</v>
      </c>
      <c r="G3108" s="8">
        <v>1.23</v>
      </c>
      <c r="H3108" s="8">
        <v>0</v>
      </c>
      <c r="I3108" s="8">
        <f t="shared" si="111"/>
        <v>23245.109999999997</v>
      </c>
      <c r="J3108" s="12"/>
    </row>
    <row r="3109" spans="3:10" x14ac:dyDescent="0.3">
      <c r="C3109" s="9" t="s">
        <v>12</v>
      </c>
      <c r="D3109" s="10">
        <v>45825</v>
      </c>
      <c r="E3109" t="s">
        <v>2639</v>
      </c>
      <c r="F3109" s="11" t="s">
        <v>2640</v>
      </c>
      <c r="G3109" s="8">
        <v>10.26</v>
      </c>
      <c r="H3109" s="8">
        <v>0</v>
      </c>
      <c r="I3109" s="8">
        <f t="shared" si="111"/>
        <v>23255.369999999995</v>
      </c>
      <c r="J3109" s="12"/>
    </row>
    <row r="3110" spans="3:10" x14ac:dyDescent="0.3">
      <c r="C3110" s="9" t="s">
        <v>12</v>
      </c>
      <c r="D3110" s="10">
        <v>45825</v>
      </c>
      <c r="E3110" t="s">
        <v>2457</v>
      </c>
      <c r="F3110" s="11" t="s">
        <v>487</v>
      </c>
      <c r="G3110" s="8">
        <v>0.8</v>
      </c>
      <c r="H3110" s="8">
        <v>0</v>
      </c>
      <c r="I3110" s="8">
        <f t="shared" si="111"/>
        <v>23256.169999999995</v>
      </c>
      <c r="J3110" s="12"/>
    </row>
    <row r="3111" spans="3:10" x14ac:dyDescent="0.3">
      <c r="C3111" s="9" t="s">
        <v>12</v>
      </c>
      <c r="D3111" s="10">
        <v>45825</v>
      </c>
      <c r="E3111" t="s">
        <v>2641</v>
      </c>
      <c r="F3111" s="11" t="s">
        <v>2642</v>
      </c>
      <c r="G3111" s="8">
        <v>4.84</v>
      </c>
      <c r="H3111" s="8">
        <v>0</v>
      </c>
      <c r="I3111" s="8">
        <f t="shared" si="111"/>
        <v>23261.009999999995</v>
      </c>
      <c r="J3111" s="12"/>
    </row>
    <row r="3112" spans="3:10" x14ac:dyDescent="0.3">
      <c r="C3112" s="9" t="s">
        <v>12</v>
      </c>
      <c r="D3112" s="10">
        <v>45828</v>
      </c>
      <c r="E3112" t="s">
        <v>2456</v>
      </c>
      <c r="F3112" s="11" t="s">
        <v>259</v>
      </c>
      <c r="G3112" s="8">
        <v>40.590000000000003</v>
      </c>
      <c r="H3112" s="8">
        <v>0</v>
      </c>
      <c r="I3112" s="8">
        <f t="shared" si="111"/>
        <v>23301.599999999995</v>
      </c>
      <c r="J3112" s="12"/>
    </row>
    <row r="3113" spans="3:10" x14ac:dyDescent="0.3">
      <c r="C3113" s="9" t="s">
        <v>12</v>
      </c>
      <c r="D3113" s="10">
        <v>45828</v>
      </c>
      <c r="E3113" t="s">
        <v>2448</v>
      </c>
      <c r="F3113" s="11" t="s">
        <v>225</v>
      </c>
      <c r="G3113" s="8">
        <v>4.34</v>
      </c>
      <c r="H3113" s="8">
        <v>0</v>
      </c>
      <c r="I3113" s="8">
        <f t="shared" si="111"/>
        <v>23305.939999999995</v>
      </c>
      <c r="J3113" s="12"/>
    </row>
    <row r="3114" spans="3:10" x14ac:dyDescent="0.3">
      <c r="C3114" s="9" t="s">
        <v>12</v>
      </c>
      <c r="D3114" s="10">
        <v>45828</v>
      </c>
      <c r="E3114" t="s">
        <v>2491</v>
      </c>
      <c r="F3114" s="11" t="s">
        <v>134</v>
      </c>
      <c r="G3114" s="8">
        <v>30.21</v>
      </c>
      <c r="H3114" s="8">
        <v>0</v>
      </c>
      <c r="I3114" s="8">
        <f t="shared" si="111"/>
        <v>23336.149999999994</v>
      </c>
      <c r="J3114" s="12"/>
    </row>
    <row r="3115" spans="3:10" x14ac:dyDescent="0.3">
      <c r="C3115" s="9" t="s">
        <v>12</v>
      </c>
      <c r="D3115" s="10">
        <v>45828</v>
      </c>
      <c r="E3115" t="s">
        <v>2434</v>
      </c>
      <c r="F3115" s="11" t="s">
        <v>663</v>
      </c>
      <c r="G3115" s="8">
        <v>1.23</v>
      </c>
      <c r="H3115" s="8">
        <v>0</v>
      </c>
      <c r="I3115" s="8">
        <f t="shared" si="111"/>
        <v>23337.379999999994</v>
      </c>
      <c r="J3115" s="12"/>
    </row>
    <row r="3116" spans="3:10" x14ac:dyDescent="0.3">
      <c r="C3116" s="9" t="s">
        <v>12</v>
      </c>
      <c r="D3116" s="10">
        <v>45830</v>
      </c>
      <c r="E3116" t="s">
        <v>2440</v>
      </c>
      <c r="F3116" s="11" t="s">
        <v>873</v>
      </c>
      <c r="G3116" s="8">
        <v>26.04</v>
      </c>
      <c r="H3116" s="8">
        <v>0</v>
      </c>
      <c r="I3116" s="8">
        <f t="shared" si="111"/>
        <v>23363.419999999995</v>
      </c>
      <c r="J3116" s="12"/>
    </row>
    <row r="3117" spans="3:10" x14ac:dyDescent="0.3">
      <c r="C3117" s="9" t="s">
        <v>12</v>
      </c>
      <c r="D3117" s="10">
        <v>45831</v>
      </c>
      <c r="E3117" t="s">
        <v>2434</v>
      </c>
      <c r="F3117" s="11" t="s">
        <v>664</v>
      </c>
      <c r="G3117" s="8">
        <v>0.82</v>
      </c>
      <c r="H3117" s="8">
        <v>0</v>
      </c>
      <c r="I3117" s="8">
        <f t="shared" si="111"/>
        <v>23364.239999999994</v>
      </c>
      <c r="J3117" s="12"/>
    </row>
    <row r="3118" spans="3:10" x14ac:dyDescent="0.3">
      <c r="C3118" s="9" t="s">
        <v>12</v>
      </c>
      <c r="D3118" s="10">
        <v>45832</v>
      </c>
      <c r="E3118" t="s">
        <v>2434</v>
      </c>
      <c r="F3118" s="11" t="s">
        <v>665</v>
      </c>
      <c r="G3118" s="8">
        <v>0.82</v>
      </c>
      <c r="H3118" s="8">
        <v>0</v>
      </c>
      <c r="I3118" s="8">
        <f t="shared" si="111"/>
        <v>23365.059999999994</v>
      </c>
      <c r="J3118" s="12"/>
    </row>
    <row r="3119" spans="3:10" x14ac:dyDescent="0.3">
      <c r="C3119" s="9" t="s">
        <v>12</v>
      </c>
      <c r="D3119" s="10">
        <v>45833</v>
      </c>
      <c r="E3119" t="s">
        <v>2643</v>
      </c>
      <c r="F3119" s="11" t="s">
        <v>2644</v>
      </c>
      <c r="G3119" s="8">
        <v>62.58</v>
      </c>
      <c r="H3119" s="8">
        <v>0</v>
      </c>
      <c r="I3119" s="8">
        <f t="shared" si="111"/>
        <v>23427.639999999996</v>
      </c>
      <c r="J3119" s="12"/>
    </row>
    <row r="3120" spans="3:10" x14ac:dyDescent="0.3">
      <c r="C3120" s="9" t="s">
        <v>12</v>
      </c>
      <c r="D3120" s="10">
        <v>45833</v>
      </c>
      <c r="E3120" t="s">
        <v>2576</v>
      </c>
      <c r="F3120" s="11" t="s">
        <v>908</v>
      </c>
      <c r="G3120" s="8">
        <v>26.4</v>
      </c>
      <c r="H3120" s="8">
        <v>0</v>
      </c>
      <c r="I3120" s="8">
        <f t="shared" si="111"/>
        <v>23454.039999999997</v>
      </c>
      <c r="J3120" s="12"/>
    </row>
    <row r="3121" spans="3:10" x14ac:dyDescent="0.3">
      <c r="C3121" s="9" t="s">
        <v>12</v>
      </c>
      <c r="D3121" s="10">
        <v>45833</v>
      </c>
      <c r="E3121" t="s">
        <v>2516</v>
      </c>
      <c r="F3121" s="11" t="s">
        <v>382</v>
      </c>
      <c r="G3121" s="8">
        <v>-204.12</v>
      </c>
      <c r="H3121" s="8">
        <v>0</v>
      </c>
      <c r="I3121" s="8">
        <f t="shared" si="111"/>
        <v>23249.919999999998</v>
      </c>
      <c r="J3121" s="12"/>
    </row>
    <row r="3122" spans="3:10" x14ac:dyDescent="0.3">
      <c r="C3122" s="9" t="s">
        <v>12</v>
      </c>
      <c r="D3122" s="10">
        <v>45833</v>
      </c>
      <c r="E3122" t="s">
        <v>2516</v>
      </c>
      <c r="F3122" s="11" t="s">
        <v>384</v>
      </c>
      <c r="G3122" s="8">
        <v>-157.25</v>
      </c>
      <c r="H3122" s="8">
        <v>0</v>
      </c>
      <c r="I3122" s="8">
        <f t="shared" si="111"/>
        <v>23092.67</v>
      </c>
      <c r="J3122" s="12"/>
    </row>
    <row r="3123" spans="3:10" x14ac:dyDescent="0.3">
      <c r="C3123" s="9" t="s">
        <v>12</v>
      </c>
      <c r="D3123" s="10">
        <v>45833</v>
      </c>
      <c r="E3123" t="s">
        <v>2516</v>
      </c>
      <c r="F3123" s="11" t="s">
        <v>386</v>
      </c>
      <c r="G3123" s="8">
        <v>-123.97</v>
      </c>
      <c r="H3123" s="8">
        <v>0</v>
      </c>
      <c r="I3123" s="8">
        <f t="shared" si="111"/>
        <v>22968.699999999997</v>
      </c>
      <c r="J3123" s="12"/>
    </row>
    <row r="3124" spans="3:10" x14ac:dyDescent="0.3">
      <c r="C3124" s="9" t="s">
        <v>12</v>
      </c>
      <c r="D3124" s="10">
        <v>45833</v>
      </c>
      <c r="E3124" t="s">
        <v>2516</v>
      </c>
      <c r="F3124" s="11" t="s">
        <v>388</v>
      </c>
      <c r="G3124" s="8">
        <v>-89.04</v>
      </c>
      <c r="H3124" s="8">
        <v>0</v>
      </c>
      <c r="I3124" s="8">
        <f t="shared" si="111"/>
        <v>22879.659999999996</v>
      </c>
      <c r="J3124" s="12"/>
    </row>
    <row r="3125" spans="3:10" x14ac:dyDescent="0.3">
      <c r="C3125" s="9" t="s">
        <v>12</v>
      </c>
      <c r="D3125" s="10">
        <v>45833</v>
      </c>
      <c r="E3125" t="s">
        <v>2516</v>
      </c>
      <c r="F3125" s="11" t="s">
        <v>390</v>
      </c>
      <c r="G3125" s="8">
        <v>-90.3</v>
      </c>
      <c r="H3125" s="8">
        <v>0</v>
      </c>
      <c r="I3125" s="8">
        <f t="shared" si="111"/>
        <v>22789.359999999997</v>
      </c>
      <c r="J3125" s="12"/>
    </row>
    <row r="3126" spans="3:10" x14ac:dyDescent="0.3">
      <c r="C3126" s="9" t="s">
        <v>12</v>
      </c>
      <c r="D3126" s="10">
        <v>45833</v>
      </c>
      <c r="E3126" t="s">
        <v>2516</v>
      </c>
      <c r="F3126" s="11" t="s">
        <v>392</v>
      </c>
      <c r="G3126" s="8">
        <v>-98.71</v>
      </c>
      <c r="H3126" s="8">
        <v>0</v>
      </c>
      <c r="I3126" s="8">
        <f t="shared" si="111"/>
        <v>22690.649999999998</v>
      </c>
      <c r="J3126" s="12"/>
    </row>
    <row r="3127" spans="3:10" x14ac:dyDescent="0.3">
      <c r="C3127" s="9" t="s">
        <v>12</v>
      </c>
      <c r="D3127" s="10">
        <v>45833</v>
      </c>
      <c r="E3127" t="s">
        <v>2516</v>
      </c>
      <c r="F3127" s="11" t="s">
        <v>394</v>
      </c>
      <c r="G3127" s="8">
        <v>-55.75</v>
      </c>
      <c r="H3127" s="8">
        <v>0</v>
      </c>
      <c r="I3127" s="8">
        <f t="shared" si="111"/>
        <v>22634.899999999998</v>
      </c>
      <c r="J3127" s="12"/>
    </row>
    <row r="3128" spans="3:10" x14ac:dyDescent="0.3">
      <c r="C3128" s="9" t="s">
        <v>12</v>
      </c>
      <c r="D3128" s="10">
        <v>45833</v>
      </c>
      <c r="E3128" t="s">
        <v>2516</v>
      </c>
      <c r="F3128" s="11" t="s">
        <v>396</v>
      </c>
      <c r="G3128" s="8">
        <v>-101.49</v>
      </c>
      <c r="H3128" s="8">
        <v>0</v>
      </c>
      <c r="I3128" s="8">
        <f t="shared" si="111"/>
        <v>22533.409999999996</v>
      </c>
      <c r="J3128" s="12"/>
    </row>
    <row r="3129" spans="3:10" x14ac:dyDescent="0.3">
      <c r="C3129" s="9" t="s">
        <v>12</v>
      </c>
      <c r="D3129" s="10">
        <v>45833</v>
      </c>
      <c r="E3129" t="s">
        <v>2516</v>
      </c>
      <c r="F3129" s="11" t="s">
        <v>398</v>
      </c>
      <c r="G3129" s="8">
        <v>-94.92</v>
      </c>
      <c r="H3129" s="8">
        <v>0</v>
      </c>
      <c r="I3129" s="8">
        <f t="shared" si="111"/>
        <v>22438.489999999998</v>
      </c>
      <c r="J3129" s="12"/>
    </row>
    <row r="3130" spans="3:10" x14ac:dyDescent="0.3">
      <c r="C3130" s="9" t="s">
        <v>12</v>
      </c>
      <c r="D3130" s="10">
        <v>45833</v>
      </c>
      <c r="E3130" t="s">
        <v>2516</v>
      </c>
      <c r="F3130" s="11" t="s">
        <v>400</v>
      </c>
      <c r="G3130" s="8">
        <v>-63.06</v>
      </c>
      <c r="H3130" s="8">
        <v>0</v>
      </c>
      <c r="I3130" s="8">
        <f t="shared" si="111"/>
        <v>22375.429999999997</v>
      </c>
      <c r="J3130" s="12"/>
    </row>
    <row r="3131" spans="3:10" x14ac:dyDescent="0.3">
      <c r="C3131" s="9" t="s">
        <v>12</v>
      </c>
      <c r="D3131" s="10">
        <v>45833</v>
      </c>
      <c r="E3131" t="s">
        <v>2516</v>
      </c>
      <c r="F3131" s="11" t="s">
        <v>402</v>
      </c>
      <c r="G3131" s="8">
        <v>-59.98</v>
      </c>
      <c r="H3131" s="8">
        <v>0</v>
      </c>
      <c r="I3131" s="8">
        <f t="shared" si="111"/>
        <v>22315.449999999997</v>
      </c>
      <c r="J3131" s="12"/>
    </row>
    <row r="3132" spans="3:10" x14ac:dyDescent="0.3">
      <c r="C3132" s="9" t="s">
        <v>12</v>
      </c>
      <c r="D3132" s="10">
        <v>45833</v>
      </c>
      <c r="E3132" t="s">
        <v>2434</v>
      </c>
      <c r="F3132" s="11" t="s">
        <v>666</v>
      </c>
      <c r="G3132" s="8">
        <v>1.65</v>
      </c>
      <c r="H3132" s="8">
        <v>0</v>
      </c>
      <c r="I3132" s="8">
        <f t="shared" si="111"/>
        <v>22317.1</v>
      </c>
      <c r="J3132" s="12"/>
    </row>
    <row r="3133" spans="3:10" x14ac:dyDescent="0.3">
      <c r="C3133" s="9" t="s">
        <v>12</v>
      </c>
      <c r="D3133" s="10">
        <v>45834</v>
      </c>
      <c r="E3133" t="s">
        <v>2434</v>
      </c>
      <c r="F3133" s="11" t="s">
        <v>667</v>
      </c>
      <c r="G3133" s="8">
        <v>0.41</v>
      </c>
      <c r="H3133" s="8">
        <v>0</v>
      </c>
      <c r="I3133" s="8">
        <f t="shared" si="111"/>
        <v>22317.51</v>
      </c>
      <c r="J3133" s="12"/>
    </row>
    <row r="3134" spans="3:10" x14ac:dyDescent="0.3">
      <c r="C3134" s="9" t="s">
        <v>12</v>
      </c>
      <c r="D3134" s="10">
        <v>45835</v>
      </c>
      <c r="E3134" t="s">
        <v>2645</v>
      </c>
      <c r="F3134" s="11" t="s">
        <v>950</v>
      </c>
      <c r="G3134" s="8">
        <v>4.83</v>
      </c>
      <c r="H3134" s="8">
        <v>0</v>
      </c>
      <c r="I3134" s="8">
        <f t="shared" si="111"/>
        <v>22322.34</v>
      </c>
      <c r="J3134" s="12"/>
    </row>
    <row r="3135" spans="3:10" x14ac:dyDescent="0.3">
      <c r="C3135" s="9" t="s">
        <v>12</v>
      </c>
      <c r="D3135" s="10">
        <v>45835</v>
      </c>
      <c r="E3135" t="s">
        <v>2434</v>
      </c>
      <c r="F3135" s="11" t="s">
        <v>668</v>
      </c>
      <c r="G3135" s="8">
        <v>1.54</v>
      </c>
      <c r="H3135" s="8">
        <v>0</v>
      </c>
      <c r="I3135" s="8">
        <f t="shared" si="111"/>
        <v>22323.88</v>
      </c>
      <c r="J3135" s="12"/>
    </row>
    <row r="3136" spans="3:10" x14ac:dyDescent="0.3">
      <c r="C3136" s="9" t="s">
        <v>12</v>
      </c>
      <c r="D3136" s="10">
        <v>45835</v>
      </c>
      <c r="E3136" t="s">
        <v>2434</v>
      </c>
      <c r="F3136" s="11" t="s">
        <v>669</v>
      </c>
      <c r="G3136" s="8">
        <v>0.41</v>
      </c>
      <c r="H3136" s="8">
        <v>0</v>
      </c>
      <c r="I3136" s="8">
        <f t="shared" si="111"/>
        <v>22324.29</v>
      </c>
      <c r="J3136" s="12"/>
    </row>
    <row r="3137" spans="3:10" x14ac:dyDescent="0.3">
      <c r="C3137" s="9" t="s">
        <v>12</v>
      </c>
      <c r="D3137" s="10">
        <v>45838</v>
      </c>
      <c r="E3137" t="s">
        <v>2646</v>
      </c>
      <c r="F3137" s="11" t="s">
        <v>435</v>
      </c>
      <c r="G3137" s="8">
        <v>228.47</v>
      </c>
      <c r="H3137" s="8">
        <v>0</v>
      </c>
      <c r="I3137" s="8">
        <f t="shared" si="111"/>
        <v>22552.760000000002</v>
      </c>
      <c r="J3137" s="12"/>
    </row>
    <row r="3138" spans="3:10" x14ac:dyDescent="0.3">
      <c r="C3138" s="9" t="s">
        <v>12</v>
      </c>
      <c r="D3138" s="10">
        <v>45838</v>
      </c>
      <c r="E3138" t="s">
        <v>2589</v>
      </c>
      <c r="F3138" s="11" t="s">
        <v>311</v>
      </c>
      <c r="G3138" s="8">
        <v>187.95</v>
      </c>
      <c r="H3138" s="8">
        <v>0</v>
      </c>
      <c r="I3138" s="8">
        <f t="shared" si="111"/>
        <v>22740.710000000003</v>
      </c>
      <c r="J3138" s="12"/>
    </row>
    <row r="3139" spans="3:10" x14ac:dyDescent="0.3">
      <c r="C3139" s="9" t="s">
        <v>12</v>
      </c>
      <c r="D3139" s="10">
        <v>45838</v>
      </c>
      <c r="E3139" t="s">
        <v>2456</v>
      </c>
      <c r="F3139" s="11" t="s">
        <v>261</v>
      </c>
      <c r="G3139" s="8">
        <v>129.32</v>
      </c>
      <c r="H3139" s="8">
        <v>0</v>
      </c>
      <c r="I3139" s="8">
        <f t="shared" si="111"/>
        <v>22870.030000000002</v>
      </c>
      <c r="J3139" s="12"/>
    </row>
    <row r="3140" spans="3:10" x14ac:dyDescent="0.3">
      <c r="C3140" s="9" t="s">
        <v>12</v>
      </c>
      <c r="D3140" s="10">
        <v>45838</v>
      </c>
      <c r="E3140" t="s">
        <v>2647</v>
      </c>
      <c r="F3140" s="11" t="s">
        <v>2648</v>
      </c>
      <c r="G3140" s="8">
        <v>49.06</v>
      </c>
      <c r="H3140" s="8">
        <v>0</v>
      </c>
      <c r="I3140" s="8">
        <f t="shared" si="111"/>
        <v>22919.090000000004</v>
      </c>
      <c r="J3140" s="12"/>
    </row>
    <row r="3141" spans="3:10" x14ac:dyDescent="0.3">
      <c r="C3141" s="9" t="s">
        <v>12</v>
      </c>
      <c r="D3141" s="10">
        <v>45838</v>
      </c>
      <c r="E3141" t="s">
        <v>2543</v>
      </c>
      <c r="F3141" s="11" t="s">
        <v>211</v>
      </c>
      <c r="G3141" s="8">
        <v>31.02</v>
      </c>
      <c r="H3141" s="8">
        <v>0</v>
      </c>
      <c r="I3141" s="8">
        <f t="shared" si="111"/>
        <v>22950.110000000004</v>
      </c>
      <c r="J3141" s="12"/>
    </row>
    <row r="3142" spans="3:10" x14ac:dyDescent="0.3">
      <c r="C3142" s="9" t="s">
        <v>12</v>
      </c>
      <c r="D3142" s="10">
        <v>45838</v>
      </c>
      <c r="E3142" t="s">
        <v>2453</v>
      </c>
      <c r="F3142" s="11" t="s">
        <v>185</v>
      </c>
      <c r="G3142" s="8">
        <v>0.64</v>
      </c>
      <c r="H3142" s="8">
        <v>0</v>
      </c>
      <c r="I3142" s="8">
        <f t="shared" si="111"/>
        <v>22950.750000000004</v>
      </c>
      <c r="J3142" s="12"/>
    </row>
    <row r="3143" spans="3:10" x14ac:dyDescent="0.3">
      <c r="C3143" s="9" t="s">
        <v>12</v>
      </c>
      <c r="D3143" s="10">
        <v>45838</v>
      </c>
      <c r="E3143" t="s">
        <v>2436</v>
      </c>
      <c r="F3143" s="11" t="s">
        <v>2649</v>
      </c>
      <c r="G3143" s="8">
        <v>3.32</v>
      </c>
      <c r="H3143" s="8">
        <v>0</v>
      </c>
      <c r="I3143" s="8">
        <f t="shared" si="111"/>
        <v>22954.070000000003</v>
      </c>
      <c r="J3143" s="12"/>
    </row>
    <row r="3144" spans="3:10" x14ac:dyDescent="0.3">
      <c r="C3144" s="9" t="s">
        <v>12</v>
      </c>
      <c r="D3144" s="10">
        <v>45838</v>
      </c>
      <c r="E3144" t="s">
        <v>2589</v>
      </c>
      <c r="F3144" s="11" t="s">
        <v>313</v>
      </c>
      <c r="G3144" s="8">
        <v>79.8</v>
      </c>
      <c r="H3144" s="8">
        <v>0</v>
      </c>
      <c r="I3144" s="8">
        <f t="shared" si="111"/>
        <v>23033.870000000003</v>
      </c>
      <c r="J3144" s="12"/>
    </row>
    <row r="3145" spans="3:10" x14ac:dyDescent="0.3">
      <c r="C3145" s="9" t="s">
        <v>12</v>
      </c>
      <c r="D3145" s="10">
        <v>45838</v>
      </c>
      <c r="E3145" t="s">
        <v>2537</v>
      </c>
      <c r="F3145" s="11" t="s">
        <v>500</v>
      </c>
      <c r="G3145" s="8">
        <v>94.5</v>
      </c>
      <c r="H3145" s="8">
        <v>0</v>
      </c>
      <c r="I3145" s="8">
        <f t="shared" si="111"/>
        <v>23128.370000000003</v>
      </c>
      <c r="J3145" s="12"/>
    </row>
    <row r="3146" spans="3:10" x14ac:dyDescent="0.3">
      <c r="C3146" s="9" t="s">
        <v>12</v>
      </c>
      <c r="D3146" s="10">
        <v>45838</v>
      </c>
      <c r="E3146" t="s">
        <v>2500</v>
      </c>
      <c r="F3146" s="11" t="s">
        <v>196</v>
      </c>
      <c r="G3146" s="8">
        <v>39.01</v>
      </c>
      <c r="H3146" s="8">
        <v>0</v>
      </c>
      <c r="I3146" s="8">
        <f t="shared" si="111"/>
        <v>23167.38</v>
      </c>
      <c r="J3146" s="12"/>
    </row>
    <row r="3147" spans="3:10" x14ac:dyDescent="0.3">
      <c r="C3147" s="9" t="s">
        <v>12</v>
      </c>
      <c r="D3147" s="10">
        <v>45838</v>
      </c>
      <c r="E3147" t="s">
        <v>2465</v>
      </c>
      <c r="F3147" s="11" t="s">
        <v>829</v>
      </c>
      <c r="G3147" s="8">
        <v>27.67</v>
      </c>
      <c r="H3147" s="8">
        <v>0</v>
      </c>
      <c r="I3147" s="8">
        <f t="shared" si="111"/>
        <v>23195.05</v>
      </c>
      <c r="J3147" s="12"/>
    </row>
    <row r="3148" spans="3:10" x14ac:dyDescent="0.3">
      <c r="C3148" s="9" t="s">
        <v>12</v>
      </c>
      <c r="D3148" s="10">
        <v>45838</v>
      </c>
      <c r="E3148" t="s">
        <v>2465</v>
      </c>
      <c r="F3148" s="11" t="s">
        <v>831</v>
      </c>
      <c r="G3148" s="8">
        <v>29.04</v>
      </c>
      <c r="H3148" s="8">
        <v>0</v>
      </c>
      <c r="I3148" s="8">
        <f t="shared" si="111"/>
        <v>23224.09</v>
      </c>
      <c r="J3148" s="12"/>
    </row>
    <row r="3149" spans="3:10" x14ac:dyDescent="0.3">
      <c r="C3149" s="9" t="s">
        <v>12</v>
      </c>
      <c r="D3149" s="10">
        <v>45838</v>
      </c>
      <c r="E3149" t="s">
        <v>2463</v>
      </c>
      <c r="F3149" s="11" t="s">
        <v>544</v>
      </c>
      <c r="G3149" s="8">
        <v>11.97</v>
      </c>
      <c r="H3149" s="8">
        <v>0</v>
      </c>
      <c r="I3149" s="8">
        <f t="shared" si="111"/>
        <v>23236.06</v>
      </c>
      <c r="J3149" s="12"/>
    </row>
    <row r="3150" spans="3:10" x14ac:dyDescent="0.3">
      <c r="C3150" s="9" t="s">
        <v>12</v>
      </c>
      <c r="D3150" s="10">
        <v>45838</v>
      </c>
      <c r="E3150" t="s">
        <v>2456</v>
      </c>
      <c r="F3150" s="11" t="s">
        <v>263</v>
      </c>
      <c r="G3150" s="8">
        <v>343.02</v>
      </c>
      <c r="H3150" s="8">
        <v>0</v>
      </c>
      <c r="I3150" s="8">
        <f t="shared" si="111"/>
        <v>23579.08</v>
      </c>
      <c r="J3150" s="12"/>
    </row>
    <row r="3151" spans="3:10" x14ac:dyDescent="0.3">
      <c r="C3151" s="9" t="s">
        <v>12</v>
      </c>
      <c r="D3151" s="10">
        <v>45838</v>
      </c>
      <c r="E3151" t="s">
        <v>2435</v>
      </c>
      <c r="F3151" s="11" t="s">
        <v>527</v>
      </c>
      <c r="G3151" s="8">
        <v>101.56</v>
      </c>
      <c r="H3151" s="8">
        <v>0</v>
      </c>
      <c r="I3151" s="8">
        <f t="shared" si="111"/>
        <v>23680.640000000003</v>
      </c>
      <c r="J3151" s="12"/>
    </row>
    <row r="3152" spans="3:10" x14ac:dyDescent="0.3">
      <c r="C3152" s="9" t="s">
        <v>12</v>
      </c>
      <c r="D3152" s="10">
        <v>45838</v>
      </c>
      <c r="E3152" t="s">
        <v>2650</v>
      </c>
      <c r="F3152" s="11" t="s">
        <v>943</v>
      </c>
      <c r="G3152" s="8">
        <v>187.9</v>
      </c>
      <c r="H3152" s="8">
        <v>0</v>
      </c>
      <c r="I3152" s="8">
        <f t="shared" si="111"/>
        <v>23868.540000000005</v>
      </c>
      <c r="J3152" s="12"/>
    </row>
    <row r="3153" spans="3:10" x14ac:dyDescent="0.3">
      <c r="C3153" s="9" t="s">
        <v>12</v>
      </c>
      <c r="D3153" s="10">
        <v>45838</v>
      </c>
      <c r="E3153" t="s">
        <v>2434</v>
      </c>
      <c r="F3153" s="11" t="s">
        <v>670</v>
      </c>
      <c r="G3153" s="8">
        <v>0.41</v>
      </c>
      <c r="H3153" s="8">
        <v>0</v>
      </c>
      <c r="I3153" s="8">
        <f t="shared" si="111"/>
        <v>23868.950000000004</v>
      </c>
      <c r="J3153" s="12"/>
    </row>
    <row r="3154" spans="3:10" x14ac:dyDescent="0.3">
      <c r="C3154" s="9" t="s">
        <v>12</v>
      </c>
      <c r="D3154" s="10">
        <v>45838</v>
      </c>
      <c r="E3154" t="s">
        <v>2651</v>
      </c>
      <c r="F3154" s="11" t="s">
        <v>2652</v>
      </c>
      <c r="G3154" s="8">
        <v>97.65</v>
      </c>
      <c r="H3154" s="8">
        <v>0</v>
      </c>
      <c r="I3154" s="8">
        <f t="shared" ref="I3154:I3217" si="112">G3154-H3154+I3153</f>
        <v>23966.600000000006</v>
      </c>
      <c r="J3154" s="12"/>
    </row>
    <row r="3155" spans="3:10" x14ac:dyDescent="0.3">
      <c r="C3155" s="9" t="s">
        <v>12</v>
      </c>
      <c r="D3155" s="10">
        <v>45838</v>
      </c>
      <c r="E3155" t="s">
        <v>2653</v>
      </c>
      <c r="F3155" s="11" t="s">
        <v>568</v>
      </c>
      <c r="G3155" s="8">
        <v>0</v>
      </c>
      <c r="H3155" s="8">
        <v>23966.6</v>
      </c>
      <c r="I3155" s="8">
        <f t="shared" si="112"/>
        <v>0</v>
      </c>
      <c r="J3155" s="12"/>
    </row>
    <row r="3156" spans="3:10" x14ac:dyDescent="0.3">
      <c r="C3156" s="9"/>
      <c r="D3156" s="10">
        <v>45839</v>
      </c>
      <c r="E3156" t="s">
        <v>2442</v>
      </c>
      <c r="F3156" s="11" t="s">
        <v>574</v>
      </c>
      <c r="G3156" s="8">
        <v>124.98</v>
      </c>
      <c r="H3156" s="8">
        <v>0</v>
      </c>
      <c r="I3156" s="8">
        <f t="shared" si="112"/>
        <v>124.98</v>
      </c>
      <c r="J3156" s="12"/>
    </row>
    <row r="3157" spans="3:10" x14ac:dyDescent="0.3">
      <c r="C3157" s="9"/>
      <c r="D3157" s="10">
        <v>45839</v>
      </c>
      <c r="E3157" t="s">
        <v>2426</v>
      </c>
      <c r="F3157" s="11" t="s">
        <v>2654</v>
      </c>
      <c r="G3157" s="8">
        <v>8.9</v>
      </c>
      <c r="H3157" s="8">
        <v>0</v>
      </c>
      <c r="I3157" s="8">
        <f t="shared" si="112"/>
        <v>133.88</v>
      </c>
      <c r="J3157" s="12"/>
    </row>
    <row r="3158" spans="3:10" x14ac:dyDescent="0.3">
      <c r="C3158" s="9"/>
      <c r="D3158" s="10">
        <v>45839</v>
      </c>
      <c r="E3158" t="s">
        <v>2655</v>
      </c>
      <c r="F3158" s="11" t="s">
        <v>962</v>
      </c>
      <c r="G3158" s="8">
        <v>46.57</v>
      </c>
      <c r="H3158" s="8">
        <v>0</v>
      </c>
      <c r="I3158" s="8">
        <f t="shared" si="112"/>
        <v>180.45</v>
      </c>
      <c r="J3158" s="12"/>
    </row>
    <row r="3159" spans="3:10" x14ac:dyDescent="0.3">
      <c r="C3159" s="9"/>
      <c r="D3159" s="10">
        <v>45839</v>
      </c>
      <c r="E3159" t="s">
        <v>2655</v>
      </c>
      <c r="F3159" s="11" t="s">
        <v>964</v>
      </c>
      <c r="G3159" s="8">
        <v>8.4</v>
      </c>
      <c r="H3159" s="8">
        <v>0</v>
      </c>
      <c r="I3159" s="8">
        <f t="shared" si="112"/>
        <v>188.85</v>
      </c>
      <c r="J3159" s="12"/>
    </row>
    <row r="3160" spans="3:10" x14ac:dyDescent="0.3">
      <c r="C3160" s="9"/>
      <c r="D3160" s="10">
        <v>45839</v>
      </c>
      <c r="E3160" t="s">
        <v>2443</v>
      </c>
      <c r="F3160" s="11" t="s">
        <v>2656</v>
      </c>
      <c r="G3160" s="8">
        <v>1.26</v>
      </c>
      <c r="H3160" s="8">
        <v>0</v>
      </c>
      <c r="I3160" s="8">
        <f t="shared" si="112"/>
        <v>190.10999999999999</v>
      </c>
      <c r="J3160" s="12"/>
    </row>
    <row r="3161" spans="3:10" x14ac:dyDescent="0.3">
      <c r="C3161" s="9"/>
      <c r="D3161" s="10">
        <v>45839</v>
      </c>
      <c r="E3161" t="s">
        <v>2429</v>
      </c>
      <c r="F3161" s="11" t="s">
        <v>2657</v>
      </c>
      <c r="G3161" s="8">
        <v>45.13</v>
      </c>
      <c r="H3161" s="8">
        <v>0</v>
      </c>
      <c r="I3161" s="8">
        <f t="shared" si="112"/>
        <v>235.23999999999998</v>
      </c>
      <c r="J3161" s="12"/>
    </row>
    <row r="3162" spans="3:10" x14ac:dyDescent="0.3">
      <c r="C3162" s="9"/>
      <c r="D3162" s="10">
        <v>45839</v>
      </c>
      <c r="E3162" t="s">
        <v>2473</v>
      </c>
      <c r="F3162" s="11" t="s">
        <v>2658</v>
      </c>
      <c r="G3162" s="8">
        <v>0.75</v>
      </c>
      <c r="H3162" s="8">
        <v>0</v>
      </c>
      <c r="I3162" s="8">
        <f t="shared" si="112"/>
        <v>235.98999999999998</v>
      </c>
      <c r="J3162" s="12"/>
    </row>
    <row r="3163" spans="3:10" x14ac:dyDescent="0.3">
      <c r="C3163" s="9"/>
      <c r="D3163" s="10">
        <v>45839</v>
      </c>
      <c r="E3163" t="s">
        <v>2608</v>
      </c>
      <c r="F3163" s="11" t="s">
        <v>2659</v>
      </c>
      <c r="G3163" s="8">
        <v>57.82</v>
      </c>
      <c r="H3163" s="8">
        <v>0</v>
      </c>
      <c r="I3163" s="8">
        <f t="shared" si="112"/>
        <v>293.81</v>
      </c>
      <c r="J3163" s="12"/>
    </row>
    <row r="3164" spans="3:10" x14ac:dyDescent="0.3">
      <c r="C3164" s="9"/>
      <c r="D3164" s="10">
        <v>45839</v>
      </c>
      <c r="E3164" t="s">
        <v>2660</v>
      </c>
      <c r="F3164" s="11" t="s">
        <v>981</v>
      </c>
      <c r="G3164" s="8">
        <v>3.15</v>
      </c>
      <c r="H3164" s="8">
        <v>0</v>
      </c>
      <c r="I3164" s="8">
        <f t="shared" si="112"/>
        <v>296.95999999999998</v>
      </c>
      <c r="J3164" s="12"/>
    </row>
    <row r="3165" spans="3:10" x14ac:dyDescent="0.3">
      <c r="C3165" s="9"/>
      <c r="D3165" s="10">
        <v>45839</v>
      </c>
      <c r="E3165" t="s">
        <v>2660</v>
      </c>
      <c r="F3165" s="11" t="s">
        <v>983</v>
      </c>
      <c r="G3165" s="8">
        <v>3.15</v>
      </c>
      <c r="H3165" s="8">
        <v>0</v>
      </c>
      <c r="I3165" s="8">
        <f t="shared" si="112"/>
        <v>300.10999999999996</v>
      </c>
      <c r="J3165" s="12"/>
    </row>
    <row r="3166" spans="3:10" x14ac:dyDescent="0.3">
      <c r="C3166" s="9"/>
      <c r="D3166" s="10">
        <v>45839</v>
      </c>
      <c r="E3166" t="s">
        <v>2567</v>
      </c>
      <c r="F3166" s="11" t="s">
        <v>919</v>
      </c>
      <c r="G3166" s="8">
        <v>124.07</v>
      </c>
      <c r="H3166" s="8">
        <v>0</v>
      </c>
      <c r="I3166" s="8">
        <f t="shared" si="112"/>
        <v>424.17999999999995</v>
      </c>
      <c r="J3166" s="12"/>
    </row>
    <row r="3167" spans="3:10" x14ac:dyDescent="0.3">
      <c r="C3167" s="9"/>
      <c r="D3167" s="10">
        <v>45839</v>
      </c>
      <c r="E3167" t="s">
        <v>2434</v>
      </c>
      <c r="F3167" s="11" t="s">
        <v>14</v>
      </c>
      <c r="G3167" s="8">
        <v>0.41</v>
      </c>
      <c r="H3167" s="8">
        <v>0</v>
      </c>
      <c r="I3167" s="8">
        <f t="shared" si="112"/>
        <v>424.59</v>
      </c>
      <c r="J3167" s="12"/>
    </row>
    <row r="3168" spans="3:10" x14ac:dyDescent="0.3">
      <c r="C3168" s="9"/>
      <c r="D3168" s="10">
        <v>45839</v>
      </c>
      <c r="E3168" t="s">
        <v>2655</v>
      </c>
      <c r="F3168" s="11" t="s">
        <v>965</v>
      </c>
      <c r="G3168" s="8">
        <v>9596.83</v>
      </c>
      <c r="H3168" s="8">
        <v>0</v>
      </c>
      <c r="I3168" s="8">
        <f t="shared" si="112"/>
        <v>10021.42</v>
      </c>
      <c r="J3168" s="12">
        <v>410000248</v>
      </c>
    </row>
    <row r="3169" spans="3:10" x14ac:dyDescent="0.3">
      <c r="C3169" s="9"/>
      <c r="D3169" s="10">
        <v>45839</v>
      </c>
      <c r="E3169" t="s">
        <v>2661</v>
      </c>
      <c r="F3169" s="11" t="s">
        <v>779</v>
      </c>
      <c r="G3169" s="8">
        <v>0.09</v>
      </c>
      <c r="H3169" s="8">
        <v>0</v>
      </c>
      <c r="I3169" s="8">
        <f t="shared" si="112"/>
        <v>10021.51</v>
      </c>
      <c r="J3169" s="12"/>
    </row>
    <row r="3170" spans="3:10" x14ac:dyDescent="0.3">
      <c r="C3170" s="9"/>
      <c r="D3170" s="10">
        <v>45839</v>
      </c>
      <c r="E3170" t="s">
        <v>2662</v>
      </c>
      <c r="F3170" s="11" t="s">
        <v>995</v>
      </c>
      <c r="G3170" s="8">
        <v>18.399999999999999</v>
      </c>
      <c r="H3170" s="8">
        <v>0</v>
      </c>
      <c r="I3170" s="8">
        <f t="shared" si="112"/>
        <v>10039.91</v>
      </c>
      <c r="J3170" s="12"/>
    </row>
    <row r="3171" spans="3:10" x14ac:dyDescent="0.3">
      <c r="C3171" s="9"/>
      <c r="D3171" s="10">
        <v>45839</v>
      </c>
      <c r="E3171" t="s">
        <v>2662</v>
      </c>
      <c r="F3171" s="11" t="s">
        <v>996</v>
      </c>
      <c r="G3171" s="8">
        <v>53.14</v>
      </c>
      <c r="H3171" s="8">
        <v>0</v>
      </c>
      <c r="I3171" s="8">
        <f t="shared" si="112"/>
        <v>10093.049999999999</v>
      </c>
      <c r="J3171" s="12"/>
    </row>
    <row r="3172" spans="3:10" x14ac:dyDescent="0.3">
      <c r="C3172" s="9"/>
      <c r="D3172" s="10">
        <v>45839</v>
      </c>
      <c r="E3172" t="s">
        <v>2565</v>
      </c>
      <c r="F3172" s="11" t="s">
        <v>552</v>
      </c>
      <c r="G3172" s="8">
        <v>84.75</v>
      </c>
      <c r="H3172" s="8">
        <v>0</v>
      </c>
      <c r="I3172" s="8">
        <f t="shared" si="112"/>
        <v>10177.799999999999</v>
      </c>
      <c r="J3172" s="12"/>
    </row>
    <row r="3173" spans="3:10" x14ac:dyDescent="0.3">
      <c r="C3173" s="9"/>
      <c r="D3173" s="10">
        <v>45839</v>
      </c>
      <c r="E3173" t="s">
        <v>2565</v>
      </c>
      <c r="F3173" s="11" t="s">
        <v>554</v>
      </c>
      <c r="G3173" s="8">
        <v>1.26</v>
      </c>
      <c r="H3173" s="8">
        <v>0</v>
      </c>
      <c r="I3173" s="8">
        <f t="shared" si="112"/>
        <v>10179.06</v>
      </c>
      <c r="J3173" s="12"/>
    </row>
    <row r="3174" spans="3:10" x14ac:dyDescent="0.3">
      <c r="C3174" s="9"/>
      <c r="D3174" s="10">
        <v>45839</v>
      </c>
      <c r="E3174" t="s">
        <v>2565</v>
      </c>
      <c r="F3174" s="11" t="s">
        <v>556</v>
      </c>
      <c r="G3174" s="8">
        <v>24.71</v>
      </c>
      <c r="H3174" s="8">
        <v>0</v>
      </c>
      <c r="I3174" s="8">
        <f t="shared" si="112"/>
        <v>10203.769999999999</v>
      </c>
      <c r="J3174" s="12"/>
    </row>
    <row r="3175" spans="3:10" x14ac:dyDescent="0.3">
      <c r="C3175" s="9"/>
      <c r="D3175" s="10">
        <v>45839</v>
      </c>
      <c r="E3175" t="s">
        <v>2662</v>
      </c>
      <c r="F3175" s="11" t="s">
        <v>998</v>
      </c>
      <c r="G3175" s="8">
        <v>23.1</v>
      </c>
      <c r="H3175" s="8">
        <v>0</v>
      </c>
      <c r="I3175" s="8">
        <f t="shared" si="112"/>
        <v>10226.869999999999</v>
      </c>
      <c r="J3175" s="12"/>
    </row>
    <row r="3176" spans="3:10" x14ac:dyDescent="0.3">
      <c r="C3176" s="9"/>
      <c r="D3176" s="10">
        <v>45839</v>
      </c>
      <c r="E3176" t="s">
        <v>2662</v>
      </c>
      <c r="F3176" s="11" t="s">
        <v>1000</v>
      </c>
      <c r="G3176" s="8">
        <v>23.1</v>
      </c>
      <c r="H3176" s="8">
        <v>0</v>
      </c>
      <c r="I3176" s="8">
        <f t="shared" si="112"/>
        <v>10249.969999999999</v>
      </c>
      <c r="J3176" s="12"/>
    </row>
    <row r="3177" spans="3:10" x14ac:dyDescent="0.3">
      <c r="C3177" s="9"/>
      <c r="D3177" s="10">
        <v>45839</v>
      </c>
      <c r="E3177" t="s">
        <v>2662</v>
      </c>
      <c r="F3177" s="11" t="s">
        <v>1002</v>
      </c>
      <c r="G3177" s="8">
        <v>102.02</v>
      </c>
      <c r="H3177" s="8">
        <v>0</v>
      </c>
      <c r="I3177" s="8">
        <f t="shared" si="112"/>
        <v>10351.99</v>
      </c>
      <c r="J3177" s="12"/>
    </row>
    <row r="3178" spans="3:10" x14ac:dyDescent="0.3">
      <c r="C3178" s="9"/>
      <c r="D3178" s="10">
        <v>45839</v>
      </c>
      <c r="E3178" t="s">
        <v>2662</v>
      </c>
      <c r="F3178" s="11" t="s">
        <v>1003</v>
      </c>
      <c r="G3178" s="8">
        <v>20.36</v>
      </c>
      <c r="H3178" s="8">
        <v>0</v>
      </c>
      <c r="I3178" s="8">
        <f t="shared" si="112"/>
        <v>10372.35</v>
      </c>
      <c r="J3178" s="12"/>
    </row>
    <row r="3179" spans="3:10" x14ac:dyDescent="0.3">
      <c r="C3179" s="9"/>
      <c r="D3179" s="10">
        <v>45839</v>
      </c>
      <c r="E3179" t="s">
        <v>2662</v>
      </c>
      <c r="F3179" s="11" t="s">
        <v>1005</v>
      </c>
      <c r="G3179" s="8">
        <v>40.14</v>
      </c>
      <c r="H3179" s="8">
        <v>0</v>
      </c>
      <c r="I3179" s="8">
        <f t="shared" si="112"/>
        <v>10412.49</v>
      </c>
      <c r="J3179" s="12"/>
    </row>
    <row r="3180" spans="3:10" x14ac:dyDescent="0.3">
      <c r="C3180" s="9"/>
      <c r="D3180" s="10">
        <v>45839</v>
      </c>
      <c r="E3180" t="s">
        <v>2588</v>
      </c>
      <c r="F3180" s="11" t="s">
        <v>926</v>
      </c>
      <c r="G3180" s="8">
        <v>336</v>
      </c>
      <c r="H3180" s="8">
        <v>0</v>
      </c>
      <c r="I3180" s="8">
        <f t="shared" si="112"/>
        <v>10748.49</v>
      </c>
      <c r="J3180" s="12"/>
    </row>
    <row r="3181" spans="3:10" x14ac:dyDescent="0.3">
      <c r="C3181" s="9"/>
      <c r="D3181" s="10">
        <v>45839</v>
      </c>
      <c r="E3181" t="s">
        <v>2588</v>
      </c>
      <c r="F3181" s="11" t="s">
        <v>927</v>
      </c>
      <c r="G3181" s="8">
        <v>336</v>
      </c>
      <c r="H3181" s="8">
        <v>0</v>
      </c>
      <c r="I3181" s="8">
        <f t="shared" si="112"/>
        <v>11084.49</v>
      </c>
      <c r="J3181" s="12"/>
    </row>
    <row r="3182" spans="3:10" x14ac:dyDescent="0.3">
      <c r="C3182" s="9"/>
      <c r="D3182" s="10">
        <v>45839</v>
      </c>
      <c r="E3182" t="s">
        <v>2588</v>
      </c>
      <c r="F3182" s="11" t="s">
        <v>929</v>
      </c>
      <c r="G3182" s="8">
        <v>861</v>
      </c>
      <c r="H3182" s="8">
        <v>0</v>
      </c>
      <c r="I3182" s="8">
        <f t="shared" si="112"/>
        <v>11945.49</v>
      </c>
      <c r="J3182" s="12"/>
    </row>
    <row r="3183" spans="3:10" x14ac:dyDescent="0.3">
      <c r="C3183" s="9"/>
      <c r="D3183" s="10">
        <v>45839</v>
      </c>
      <c r="E3183" t="s">
        <v>2660</v>
      </c>
      <c r="F3183" s="11" t="s">
        <v>985</v>
      </c>
      <c r="G3183" s="8">
        <v>2.62</v>
      </c>
      <c r="H3183" s="8">
        <v>0</v>
      </c>
      <c r="I3183" s="8">
        <f t="shared" si="112"/>
        <v>11948.11</v>
      </c>
      <c r="J3183" s="12"/>
    </row>
    <row r="3184" spans="3:10" x14ac:dyDescent="0.3">
      <c r="C3184" s="9"/>
      <c r="D3184" s="10">
        <v>45839</v>
      </c>
      <c r="E3184" t="s">
        <v>2660</v>
      </c>
      <c r="F3184" s="11" t="s">
        <v>987</v>
      </c>
      <c r="G3184" s="8">
        <v>3.15</v>
      </c>
      <c r="H3184" s="8">
        <v>0</v>
      </c>
      <c r="I3184" s="8">
        <f t="shared" si="112"/>
        <v>11951.26</v>
      </c>
      <c r="J3184" s="12"/>
    </row>
    <row r="3185" spans="3:10" x14ac:dyDescent="0.3">
      <c r="C3185" s="9"/>
      <c r="D3185" s="10">
        <v>45839</v>
      </c>
      <c r="E3185" t="s">
        <v>2660</v>
      </c>
      <c r="F3185" s="11" t="s">
        <v>981</v>
      </c>
      <c r="G3185" s="8">
        <v>3.15</v>
      </c>
      <c r="H3185" s="8">
        <v>0</v>
      </c>
      <c r="I3185" s="8">
        <f t="shared" si="112"/>
        <v>11954.41</v>
      </c>
      <c r="J3185" s="12"/>
    </row>
    <row r="3186" spans="3:10" x14ac:dyDescent="0.3">
      <c r="C3186" s="9"/>
      <c r="D3186" s="10">
        <v>45840</v>
      </c>
      <c r="E3186" t="s">
        <v>2434</v>
      </c>
      <c r="F3186" s="11" t="s">
        <v>671</v>
      </c>
      <c r="G3186" s="8">
        <v>0.82</v>
      </c>
      <c r="H3186" s="8">
        <v>0</v>
      </c>
      <c r="I3186" s="8">
        <f t="shared" si="112"/>
        <v>11955.23</v>
      </c>
      <c r="J3186" s="12"/>
    </row>
    <row r="3187" spans="3:10" x14ac:dyDescent="0.3">
      <c r="C3187" s="9"/>
      <c r="D3187" s="10">
        <v>45840</v>
      </c>
      <c r="E3187" t="s">
        <v>2646</v>
      </c>
      <c r="F3187" s="11" t="s">
        <v>437</v>
      </c>
      <c r="G3187" s="8">
        <v>139.13</v>
      </c>
      <c r="H3187" s="8">
        <v>0</v>
      </c>
      <c r="I3187" s="8">
        <f t="shared" si="112"/>
        <v>12094.359999999999</v>
      </c>
      <c r="J3187" s="12"/>
    </row>
    <row r="3188" spans="3:10" x14ac:dyDescent="0.3">
      <c r="C3188" s="9"/>
      <c r="D3188" s="10">
        <v>45840</v>
      </c>
      <c r="E3188" t="s">
        <v>2663</v>
      </c>
      <c r="F3188" s="11" t="s">
        <v>453</v>
      </c>
      <c r="G3188" s="8">
        <v>15.43</v>
      </c>
      <c r="H3188" s="8">
        <v>0</v>
      </c>
      <c r="I3188" s="8">
        <f t="shared" si="112"/>
        <v>12109.789999999999</v>
      </c>
      <c r="J3188" s="12"/>
    </row>
    <row r="3189" spans="3:10" x14ac:dyDescent="0.3">
      <c r="C3189" s="9"/>
      <c r="D3189" s="10">
        <v>45840</v>
      </c>
      <c r="E3189" t="s">
        <v>2588</v>
      </c>
      <c r="F3189" s="11" t="s">
        <v>931</v>
      </c>
      <c r="G3189" s="8">
        <v>766.5</v>
      </c>
      <c r="H3189" s="8">
        <v>0</v>
      </c>
      <c r="I3189" s="8">
        <f t="shared" si="112"/>
        <v>12876.289999999999</v>
      </c>
      <c r="J3189" s="12"/>
    </row>
    <row r="3190" spans="3:10" x14ac:dyDescent="0.3">
      <c r="C3190" s="9"/>
      <c r="D3190" s="10">
        <v>45841</v>
      </c>
      <c r="E3190" t="s">
        <v>2434</v>
      </c>
      <c r="F3190" s="11" t="s">
        <v>672</v>
      </c>
      <c r="G3190" s="8">
        <v>0.41</v>
      </c>
      <c r="H3190" s="8">
        <v>0</v>
      </c>
      <c r="I3190" s="8">
        <f t="shared" si="112"/>
        <v>12876.699999999999</v>
      </c>
      <c r="J3190" s="12"/>
    </row>
    <row r="3191" spans="3:10" x14ac:dyDescent="0.3">
      <c r="C3191" s="9"/>
      <c r="D3191" s="10">
        <v>45841</v>
      </c>
      <c r="E3191" t="s">
        <v>2535</v>
      </c>
      <c r="F3191" s="11" t="s">
        <v>897</v>
      </c>
      <c r="G3191" s="8">
        <v>103.39</v>
      </c>
      <c r="H3191" s="8">
        <v>0</v>
      </c>
      <c r="I3191" s="8">
        <f t="shared" si="112"/>
        <v>12980.089999999998</v>
      </c>
      <c r="J3191" s="12"/>
    </row>
    <row r="3192" spans="3:10" x14ac:dyDescent="0.3">
      <c r="C3192" s="9"/>
      <c r="D3192" s="10">
        <v>45842</v>
      </c>
      <c r="E3192" t="s">
        <v>2434</v>
      </c>
      <c r="F3192" s="11" t="s">
        <v>673</v>
      </c>
      <c r="G3192" s="8">
        <v>1.23</v>
      </c>
      <c r="H3192" s="8">
        <v>0</v>
      </c>
      <c r="I3192" s="8">
        <f t="shared" si="112"/>
        <v>12981.319999999998</v>
      </c>
      <c r="J3192" s="12"/>
    </row>
    <row r="3193" spans="3:10" x14ac:dyDescent="0.3">
      <c r="C3193" s="9"/>
      <c r="D3193" s="10">
        <v>45843</v>
      </c>
      <c r="E3193" t="s">
        <v>2619</v>
      </c>
      <c r="F3193" s="11" t="s">
        <v>428</v>
      </c>
      <c r="G3193" s="8">
        <v>17.64</v>
      </c>
      <c r="H3193" s="8">
        <v>0</v>
      </c>
      <c r="I3193" s="8">
        <f t="shared" si="112"/>
        <v>12998.959999999997</v>
      </c>
      <c r="J3193" s="12"/>
    </row>
    <row r="3194" spans="3:10" x14ac:dyDescent="0.3">
      <c r="C3194" s="9"/>
      <c r="D3194" s="10">
        <v>45845</v>
      </c>
      <c r="E3194" t="s">
        <v>2434</v>
      </c>
      <c r="F3194" s="11" t="s">
        <v>674</v>
      </c>
      <c r="G3194" s="8">
        <v>21.62</v>
      </c>
      <c r="H3194" s="8">
        <v>0</v>
      </c>
      <c r="I3194" s="8">
        <f t="shared" si="112"/>
        <v>13020.579999999998</v>
      </c>
      <c r="J3194" s="12"/>
    </row>
    <row r="3195" spans="3:10" x14ac:dyDescent="0.3">
      <c r="C3195" s="9"/>
      <c r="D3195" s="10">
        <v>45845</v>
      </c>
      <c r="E3195" t="s">
        <v>2434</v>
      </c>
      <c r="F3195" s="11" t="s">
        <v>675</v>
      </c>
      <c r="G3195" s="8">
        <v>0.82</v>
      </c>
      <c r="H3195" s="8">
        <v>0</v>
      </c>
      <c r="I3195" s="8">
        <f t="shared" si="112"/>
        <v>13021.399999999998</v>
      </c>
      <c r="J3195" s="12"/>
    </row>
    <row r="3196" spans="3:10" x14ac:dyDescent="0.3">
      <c r="C3196" s="9"/>
      <c r="D3196" s="10">
        <v>45845</v>
      </c>
      <c r="E3196" t="s">
        <v>2660</v>
      </c>
      <c r="F3196" s="11" t="s">
        <v>990</v>
      </c>
      <c r="G3196" s="8">
        <v>3.15</v>
      </c>
      <c r="H3196" s="8">
        <v>0</v>
      </c>
      <c r="I3196" s="8">
        <f t="shared" si="112"/>
        <v>13024.549999999997</v>
      </c>
      <c r="J3196" s="12"/>
    </row>
    <row r="3197" spans="3:10" x14ac:dyDescent="0.3">
      <c r="C3197" s="9"/>
      <c r="D3197" s="10">
        <v>45846</v>
      </c>
      <c r="E3197" t="s">
        <v>2555</v>
      </c>
      <c r="F3197" s="11" t="s">
        <v>409</v>
      </c>
      <c r="G3197" s="8">
        <v>1.92</v>
      </c>
      <c r="H3197" s="8">
        <v>0</v>
      </c>
      <c r="I3197" s="8">
        <f t="shared" si="112"/>
        <v>13026.469999999998</v>
      </c>
      <c r="J3197" s="12"/>
    </row>
    <row r="3198" spans="3:10" x14ac:dyDescent="0.3">
      <c r="C3198" s="9"/>
      <c r="D3198" s="10">
        <v>45846</v>
      </c>
      <c r="E3198" t="s">
        <v>2445</v>
      </c>
      <c r="F3198" s="11" t="s">
        <v>2664</v>
      </c>
      <c r="G3198" s="8">
        <v>34.65</v>
      </c>
      <c r="H3198" s="8">
        <v>0</v>
      </c>
      <c r="I3198" s="8">
        <f t="shared" si="112"/>
        <v>13061.119999999997</v>
      </c>
      <c r="J3198" s="12"/>
    </row>
    <row r="3199" spans="3:10" x14ac:dyDescent="0.3">
      <c r="C3199" s="9"/>
      <c r="D3199" s="10">
        <v>45846</v>
      </c>
      <c r="E3199" t="s">
        <v>2431</v>
      </c>
      <c r="F3199" s="11" t="s">
        <v>799</v>
      </c>
      <c r="G3199" s="8">
        <v>18.77</v>
      </c>
      <c r="H3199" s="8">
        <v>0</v>
      </c>
      <c r="I3199" s="8">
        <f t="shared" si="112"/>
        <v>13079.889999999998</v>
      </c>
      <c r="J3199" s="12"/>
    </row>
    <row r="3200" spans="3:10" x14ac:dyDescent="0.3">
      <c r="C3200" s="9"/>
      <c r="D3200" s="10">
        <v>45846</v>
      </c>
      <c r="E3200" t="s">
        <v>2504</v>
      </c>
      <c r="F3200" s="11" t="s">
        <v>2665</v>
      </c>
      <c r="G3200" s="8">
        <v>8</v>
      </c>
      <c r="H3200" s="8">
        <v>0</v>
      </c>
      <c r="I3200" s="8">
        <f t="shared" si="112"/>
        <v>13087.889999999998</v>
      </c>
      <c r="J3200" s="12"/>
    </row>
    <row r="3201" spans="3:10" x14ac:dyDescent="0.3">
      <c r="C3201" s="9"/>
      <c r="D3201" s="10">
        <v>45847</v>
      </c>
      <c r="E3201" t="s">
        <v>2434</v>
      </c>
      <c r="F3201" s="11" t="s">
        <v>676</v>
      </c>
      <c r="G3201" s="8">
        <v>0.41</v>
      </c>
      <c r="H3201" s="8">
        <v>0</v>
      </c>
      <c r="I3201" s="8">
        <f t="shared" si="112"/>
        <v>13088.299999999997</v>
      </c>
      <c r="J3201" s="12"/>
    </row>
    <row r="3202" spans="3:10" x14ac:dyDescent="0.3">
      <c r="C3202" s="9"/>
      <c r="D3202" s="10">
        <v>45847</v>
      </c>
      <c r="E3202" t="s">
        <v>2666</v>
      </c>
      <c r="F3202" s="11" t="s">
        <v>767</v>
      </c>
      <c r="G3202" s="8">
        <v>8.82</v>
      </c>
      <c r="H3202" s="8">
        <v>0</v>
      </c>
      <c r="I3202" s="8">
        <f t="shared" si="112"/>
        <v>13097.119999999997</v>
      </c>
      <c r="J3202" s="12"/>
    </row>
    <row r="3203" spans="3:10" x14ac:dyDescent="0.3">
      <c r="C3203" s="9"/>
      <c r="D3203" s="10">
        <v>45848</v>
      </c>
      <c r="E3203" t="s">
        <v>2434</v>
      </c>
      <c r="F3203" s="11" t="s">
        <v>677</v>
      </c>
      <c r="G3203" s="8">
        <v>4.53</v>
      </c>
      <c r="H3203" s="8">
        <v>0</v>
      </c>
      <c r="I3203" s="8">
        <f t="shared" si="112"/>
        <v>13101.649999999998</v>
      </c>
      <c r="J3203" s="12"/>
    </row>
    <row r="3204" spans="3:10" x14ac:dyDescent="0.3">
      <c r="C3204" s="9"/>
      <c r="D3204" s="10">
        <v>45849</v>
      </c>
      <c r="E3204" t="s">
        <v>2434</v>
      </c>
      <c r="F3204" s="11" t="s">
        <v>678</v>
      </c>
      <c r="G3204" s="8">
        <v>0.41</v>
      </c>
      <c r="H3204" s="8">
        <v>0</v>
      </c>
      <c r="I3204" s="8">
        <f t="shared" si="112"/>
        <v>13102.059999999998</v>
      </c>
      <c r="J3204" s="12"/>
    </row>
    <row r="3205" spans="3:10" x14ac:dyDescent="0.3">
      <c r="C3205" s="9"/>
      <c r="D3205" s="10">
        <v>45849</v>
      </c>
      <c r="E3205" t="s">
        <v>2623</v>
      </c>
      <c r="F3205" s="11" t="s">
        <v>144</v>
      </c>
      <c r="G3205" s="8">
        <v>9.35</v>
      </c>
      <c r="H3205" s="8">
        <v>0</v>
      </c>
      <c r="I3205" s="8">
        <f t="shared" si="112"/>
        <v>13111.409999999998</v>
      </c>
      <c r="J3205" s="12"/>
    </row>
    <row r="3206" spans="3:10" x14ac:dyDescent="0.3">
      <c r="C3206" s="9"/>
      <c r="D3206" s="10">
        <v>45849</v>
      </c>
      <c r="E3206" t="s">
        <v>2623</v>
      </c>
      <c r="F3206" s="11" t="s">
        <v>144</v>
      </c>
      <c r="G3206" s="8">
        <v>10.8</v>
      </c>
      <c r="H3206" s="8">
        <v>0</v>
      </c>
      <c r="I3206" s="8">
        <f t="shared" si="112"/>
        <v>13122.209999999997</v>
      </c>
      <c r="J3206" s="12"/>
    </row>
    <row r="3207" spans="3:10" x14ac:dyDescent="0.3">
      <c r="C3207" s="9"/>
      <c r="D3207" s="10">
        <v>45849</v>
      </c>
      <c r="E3207" t="s">
        <v>2623</v>
      </c>
      <c r="F3207" s="11" t="s">
        <v>144</v>
      </c>
      <c r="G3207" s="8">
        <v>0.68</v>
      </c>
      <c r="H3207" s="8">
        <v>0</v>
      </c>
      <c r="I3207" s="8">
        <f t="shared" si="112"/>
        <v>13122.889999999998</v>
      </c>
      <c r="J3207" s="12"/>
    </row>
    <row r="3208" spans="3:10" x14ac:dyDescent="0.3">
      <c r="C3208" s="9"/>
      <c r="D3208" s="10">
        <v>45849</v>
      </c>
      <c r="E3208" t="s">
        <v>2667</v>
      </c>
      <c r="F3208" s="11" t="s">
        <v>2668</v>
      </c>
      <c r="G3208" s="8">
        <v>10.87</v>
      </c>
      <c r="H3208" s="8">
        <v>0</v>
      </c>
      <c r="I3208" s="8">
        <f t="shared" si="112"/>
        <v>13133.759999999998</v>
      </c>
      <c r="J3208" s="12"/>
    </row>
    <row r="3209" spans="3:10" x14ac:dyDescent="0.3">
      <c r="C3209" s="9"/>
      <c r="D3209" s="10">
        <v>45849</v>
      </c>
      <c r="E3209" t="s">
        <v>2513</v>
      </c>
      <c r="F3209" s="11" t="s">
        <v>2669</v>
      </c>
      <c r="G3209" s="8">
        <v>10.79</v>
      </c>
      <c r="H3209" s="8">
        <v>0</v>
      </c>
      <c r="I3209" s="8">
        <f t="shared" si="112"/>
        <v>13144.55</v>
      </c>
      <c r="J3209" s="12"/>
    </row>
    <row r="3210" spans="3:10" x14ac:dyDescent="0.3">
      <c r="C3210" s="9"/>
      <c r="D3210" s="10">
        <v>45849</v>
      </c>
      <c r="E3210" t="s">
        <v>2660</v>
      </c>
      <c r="F3210" s="11" t="s">
        <v>992</v>
      </c>
      <c r="G3210" s="8">
        <v>2.82</v>
      </c>
      <c r="H3210" s="8">
        <v>0</v>
      </c>
      <c r="I3210" s="8">
        <f t="shared" si="112"/>
        <v>13147.369999999999</v>
      </c>
      <c r="J3210" s="12"/>
    </row>
    <row r="3211" spans="3:10" x14ac:dyDescent="0.3">
      <c r="C3211" s="9"/>
      <c r="D3211" s="10">
        <v>45851</v>
      </c>
      <c r="E3211" t="s">
        <v>2429</v>
      </c>
      <c r="F3211" s="11" t="s">
        <v>2670</v>
      </c>
      <c r="G3211" s="8">
        <v>32.03</v>
      </c>
      <c r="H3211" s="8">
        <v>0</v>
      </c>
      <c r="I3211" s="8">
        <f t="shared" si="112"/>
        <v>13179.4</v>
      </c>
      <c r="J3211" s="12"/>
    </row>
    <row r="3212" spans="3:10" x14ac:dyDescent="0.3">
      <c r="C3212" s="9"/>
      <c r="D3212" s="10">
        <v>45851</v>
      </c>
      <c r="E3212" t="s">
        <v>2457</v>
      </c>
      <c r="F3212" s="11" t="s">
        <v>491</v>
      </c>
      <c r="G3212" s="8">
        <v>8.8000000000000007</v>
      </c>
      <c r="H3212" s="8">
        <v>0</v>
      </c>
      <c r="I3212" s="8">
        <f t="shared" si="112"/>
        <v>13188.199999999999</v>
      </c>
      <c r="J3212" s="12"/>
    </row>
    <row r="3213" spans="3:10" x14ac:dyDescent="0.3">
      <c r="C3213" s="9"/>
      <c r="D3213" s="10">
        <v>45851</v>
      </c>
      <c r="E3213" t="s">
        <v>2457</v>
      </c>
      <c r="F3213" s="11" t="s">
        <v>493</v>
      </c>
      <c r="G3213" s="8">
        <v>8.8000000000000007</v>
      </c>
      <c r="H3213" s="8">
        <v>0</v>
      </c>
      <c r="I3213" s="8">
        <f t="shared" si="112"/>
        <v>13196.999999999998</v>
      </c>
      <c r="J3213" s="12"/>
    </row>
    <row r="3214" spans="3:10" x14ac:dyDescent="0.3">
      <c r="C3214" s="9"/>
      <c r="D3214" s="10">
        <v>45852</v>
      </c>
      <c r="E3214" t="s">
        <v>2434</v>
      </c>
      <c r="F3214" s="11" t="s">
        <v>679</v>
      </c>
      <c r="G3214" s="8">
        <v>0.82</v>
      </c>
      <c r="H3214" s="8">
        <v>0</v>
      </c>
      <c r="I3214" s="8">
        <f t="shared" si="112"/>
        <v>13197.819999999998</v>
      </c>
      <c r="J3214" s="12"/>
    </row>
    <row r="3215" spans="3:10" x14ac:dyDescent="0.3">
      <c r="C3215" s="9"/>
      <c r="D3215" s="10">
        <v>45852</v>
      </c>
      <c r="E3215" t="s">
        <v>2667</v>
      </c>
      <c r="F3215" s="11" t="s">
        <v>2671</v>
      </c>
      <c r="G3215" s="8">
        <v>30.86</v>
      </c>
      <c r="H3215" s="8">
        <v>0</v>
      </c>
      <c r="I3215" s="8">
        <f t="shared" si="112"/>
        <v>13228.679999999998</v>
      </c>
      <c r="J3215" s="12"/>
    </row>
    <row r="3216" spans="3:10" x14ac:dyDescent="0.3">
      <c r="C3216" s="9"/>
      <c r="D3216" s="10">
        <v>45853</v>
      </c>
      <c r="E3216" t="s">
        <v>2570</v>
      </c>
      <c r="F3216" s="11" t="s">
        <v>2672</v>
      </c>
      <c r="G3216" s="8">
        <v>109.2</v>
      </c>
      <c r="H3216" s="8">
        <v>0</v>
      </c>
      <c r="I3216" s="8">
        <f t="shared" si="112"/>
        <v>13337.88</v>
      </c>
      <c r="J3216" s="12"/>
    </row>
    <row r="3217" spans="3:10" x14ac:dyDescent="0.3">
      <c r="C3217" s="9"/>
      <c r="D3217" s="10">
        <v>45853</v>
      </c>
      <c r="E3217" t="s">
        <v>2448</v>
      </c>
      <c r="F3217" s="11" t="s">
        <v>227</v>
      </c>
      <c r="G3217" s="8">
        <v>23.55</v>
      </c>
      <c r="H3217" s="8">
        <v>0</v>
      </c>
      <c r="I3217" s="8">
        <f t="shared" si="112"/>
        <v>13361.429999999998</v>
      </c>
      <c r="J3217" s="12"/>
    </row>
    <row r="3218" spans="3:10" x14ac:dyDescent="0.3">
      <c r="C3218" s="9"/>
      <c r="D3218" s="10">
        <v>45853</v>
      </c>
      <c r="E3218" t="s">
        <v>2589</v>
      </c>
      <c r="F3218" s="11" t="s">
        <v>315</v>
      </c>
      <c r="G3218" s="8">
        <v>109.2</v>
      </c>
      <c r="H3218" s="8">
        <v>0</v>
      </c>
      <c r="I3218" s="8">
        <f t="shared" ref="I3218:I3281" si="113">G3218-H3218+I3217</f>
        <v>13470.63</v>
      </c>
      <c r="J3218" s="12"/>
    </row>
    <row r="3219" spans="3:10" x14ac:dyDescent="0.3">
      <c r="C3219" s="9"/>
      <c r="D3219" s="10">
        <v>45853</v>
      </c>
      <c r="E3219" t="s">
        <v>2434</v>
      </c>
      <c r="F3219" s="11" t="s">
        <v>681</v>
      </c>
      <c r="G3219" s="8">
        <v>1.23</v>
      </c>
      <c r="H3219" s="8">
        <v>0</v>
      </c>
      <c r="I3219" s="8">
        <f t="shared" si="113"/>
        <v>13471.859999999999</v>
      </c>
      <c r="J3219" s="12"/>
    </row>
    <row r="3220" spans="3:10" x14ac:dyDescent="0.3">
      <c r="C3220" s="9"/>
      <c r="D3220" s="10">
        <v>45853</v>
      </c>
      <c r="E3220" t="s">
        <v>2673</v>
      </c>
      <c r="F3220" s="11" t="s">
        <v>1008</v>
      </c>
      <c r="G3220" s="8">
        <v>2.79</v>
      </c>
      <c r="H3220" s="8">
        <v>0</v>
      </c>
      <c r="I3220" s="8">
        <f t="shared" si="113"/>
        <v>13474.65</v>
      </c>
      <c r="J3220" s="12"/>
    </row>
    <row r="3221" spans="3:10" x14ac:dyDescent="0.3">
      <c r="C3221" s="9"/>
      <c r="D3221" s="10">
        <v>45853</v>
      </c>
      <c r="E3221" t="s">
        <v>2457</v>
      </c>
      <c r="F3221" s="11" t="s">
        <v>495</v>
      </c>
      <c r="G3221" s="8">
        <v>0.39</v>
      </c>
      <c r="H3221" s="8">
        <v>0</v>
      </c>
      <c r="I3221" s="8">
        <f t="shared" si="113"/>
        <v>13475.039999999999</v>
      </c>
      <c r="J3221" s="12"/>
    </row>
    <row r="3222" spans="3:10" x14ac:dyDescent="0.3">
      <c r="C3222" s="9"/>
      <c r="D3222" s="10">
        <v>45853</v>
      </c>
      <c r="E3222" t="s">
        <v>2457</v>
      </c>
      <c r="F3222" s="11" t="s">
        <v>495</v>
      </c>
      <c r="G3222" s="8">
        <v>2.44</v>
      </c>
      <c r="H3222" s="8">
        <v>0</v>
      </c>
      <c r="I3222" s="8">
        <f t="shared" si="113"/>
        <v>13477.48</v>
      </c>
      <c r="J3222" s="12"/>
    </row>
    <row r="3223" spans="3:10" x14ac:dyDescent="0.3">
      <c r="C3223" s="9"/>
      <c r="D3223" s="10">
        <v>45853</v>
      </c>
      <c r="E3223" t="s">
        <v>2454</v>
      </c>
      <c r="F3223" s="11" t="s">
        <v>2674</v>
      </c>
      <c r="G3223" s="8">
        <v>139.65</v>
      </c>
      <c r="H3223" s="8">
        <v>0</v>
      </c>
      <c r="I3223" s="8">
        <f t="shared" si="113"/>
        <v>13617.13</v>
      </c>
      <c r="J3223" s="12"/>
    </row>
    <row r="3224" spans="3:10" x14ac:dyDescent="0.3">
      <c r="C3224" s="9"/>
      <c r="D3224" s="10">
        <v>45854</v>
      </c>
      <c r="E3224" t="s">
        <v>2610</v>
      </c>
      <c r="F3224" s="11" t="s">
        <v>420</v>
      </c>
      <c r="G3224" s="8">
        <v>3.31</v>
      </c>
      <c r="H3224" s="8">
        <v>0</v>
      </c>
      <c r="I3224" s="8">
        <f t="shared" si="113"/>
        <v>13620.439999999999</v>
      </c>
      <c r="J3224" s="12"/>
    </row>
    <row r="3225" spans="3:10" x14ac:dyDescent="0.3">
      <c r="C3225" s="9"/>
      <c r="D3225" s="10">
        <v>45855</v>
      </c>
      <c r="E3225" t="s">
        <v>2646</v>
      </c>
      <c r="F3225" s="11" t="s">
        <v>439</v>
      </c>
      <c r="G3225" s="8">
        <v>170.79</v>
      </c>
      <c r="H3225" s="8">
        <v>0</v>
      </c>
      <c r="I3225" s="8">
        <f t="shared" si="113"/>
        <v>13791.23</v>
      </c>
      <c r="J3225" s="12"/>
    </row>
    <row r="3226" spans="3:10" x14ac:dyDescent="0.3">
      <c r="C3226" s="9"/>
      <c r="D3226" s="10">
        <v>45856</v>
      </c>
      <c r="E3226" t="s">
        <v>2441</v>
      </c>
      <c r="F3226" s="11" t="s">
        <v>110</v>
      </c>
      <c r="G3226" s="8">
        <v>68.75</v>
      </c>
      <c r="H3226" s="8">
        <v>0</v>
      </c>
      <c r="I3226" s="8">
        <f t="shared" si="113"/>
        <v>13859.98</v>
      </c>
      <c r="J3226" s="12"/>
    </row>
    <row r="3227" spans="3:10" x14ac:dyDescent="0.3">
      <c r="C3227" s="9"/>
      <c r="D3227" s="10">
        <v>45856</v>
      </c>
      <c r="E3227" t="s">
        <v>2441</v>
      </c>
      <c r="F3227" s="11" t="s">
        <v>110</v>
      </c>
      <c r="G3227" s="8">
        <v>68.75</v>
      </c>
      <c r="H3227" s="8">
        <v>0</v>
      </c>
      <c r="I3227" s="8">
        <f t="shared" si="113"/>
        <v>13928.73</v>
      </c>
      <c r="J3227" s="12"/>
    </row>
    <row r="3228" spans="3:10" x14ac:dyDescent="0.3">
      <c r="C3228" s="9"/>
      <c r="D3228" s="10">
        <v>45856</v>
      </c>
      <c r="E3228" t="s">
        <v>2461</v>
      </c>
      <c r="F3228" s="11" t="s">
        <v>292</v>
      </c>
      <c r="G3228" s="8">
        <v>77.739999999999995</v>
      </c>
      <c r="H3228" s="8">
        <v>0</v>
      </c>
      <c r="I3228" s="8">
        <f t="shared" si="113"/>
        <v>14006.47</v>
      </c>
      <c r="J3228" s="12"/>
    </row>
    <row r="3229" spans="3:10" x14ac:dyDescent="0.3">
      <c r="C3229" s="9"/>
      <c r="D3229" s="10">
        <v>45856</v>
      </c>
      <c r="E3229" t="s">
        <v>2434</v>
      </c>
      <c r="F3229" s="11" t="s">
        <v>683</v>
      </c>
      <c r="G3229" s="8">
        <v>0.41</v>
      </c>
      <c r="H3229" s="8">
        <v>0</v>
      </c>
      <c r="I3229" s="8">
        <f t="shared" si="113"/>
        <v>14006.88</v>
      </c>
      <c r="J3229" s="12"/>
    </row>
    <row r="3230" spans="3:10" x14ac:dyDescent="0.3">
      <c r="C3230" s="9"/>
      <c r="D3230" s="10">
        <v>45859</v>
      </c>
      <c r="E3230" t="s">
        <v>2434</v>
      </c>
      <c r="F3230" s="11" t="s">
        <v>685</v>
      </c>
      <c r="G3230" s="8">
        <v>3.7</v>
      </c>
      <c r="H3230" s="8">
        <v>0</v>
      </c>
      <c r="I3230" s="8">
        <f t="shared" si="113"/>
        <v>14010.58</v>
      </c>
      <c r="J3230" s="12"/>
    </row>
    <row r="3231" spans="3:10" x14ac:dyDescent="0.3">
      <c r="C3231" s="9"/>
      <c r="D3231" s="10">
        <v>45859</v>
      </c>
      <c r="E3231" t="s">
        <v>2434</v>
      </c>
      <c r="F3231" s="11" t="s">
        <v>687</v>
      </c>
      <c r="G3231" s="8">
        <v>4.43</v>
      </c>
      <c r="H3231" s="8">
        <v>0</v>
      </c>
      <c r="I3231" s="8">
        <f t="shared" si="113"/>
        <v>14015.01</v>
      </c>
      <c r="J3231" s="12"/>
    </row>
    <row r="3232" spans="3:10" x14ac:dyDescent="0.3">
      <c r="C3232" s="9"/>
      <c r="D3232" s="10">
        <v>45860</v>
      </c>
      <c r="E3232" t="s">
        <v>2434</v>
      </c>
      <c r="F3232" s="11" t="s">
        <v>689</v>
      </c>
      <c r="G3232" s="8">
        <v>4.43</v>
      </c>
      <c r="H3232" s="8">
        <v>0</v>
      </c>
      <c r="I3232" s="8">
        <f t="shared" si="113"/>
        <v>14019.44</v>
      </c>
      <c r="J3232" s="12"/>
    </row>
    <row r="3233" spans="3:10" x14ac:dyDescent="0.3">
      <c r="C3233" s="9"/>
      <c r="D3233" s="10">
        <v>45861</v>
      </c>
      <c r="E3233" t="s">
        <v>2434</v>
      </c>
      <c r="F3233" s="11" t="s">
        <v>691</v>
      </c>
      <c r="G3233" s="8">
        <v>0.82</v>
      </c>
      <c r="H3233" s="8">
        <v>0</v>
      </c>
      <c r="I3233" s="8">
        <f t="shared" si="113"/>
        <v>14020.26</v>
      </c>
      <c r="J3233" s="12"/>
    </row>
    <row r="3234" spans="3:10" x14ac:dyDescent="0.3">
      <c r="C3234" s="9"/>
      <c r="D3234" s="10">
        <v>45861</v>
      </c>
      <c r="E3234" t="s">
        <v>2456</v>
      </c>
      <c r="F3234" s="11" t="s">
        <v>265</v>
      </c>
      <c r="G3234" s="8">
        <v>796.27</v>
      </c>
      <c r="H3234" s="8">
        <v>0</v>
      </c>
      <c r="I3234" s="8">
        <f t="shared" si="113"/>
        <v>14816.53</v>
      </c>
      <c r="J3234" s="12"/>
    </row>
    <row r="3235" spans="3:10" x14ac:dyDescent="0.3">
      <c r="C3235" s="9"/>
      <c r="D3235" s="10">
        <v>45862</v>
      </c>
      <c r="E3235" t="s">
        <v>2675</v>
      </c>
      <c r="F3235" s="11" t="s">
        <v>2676</v>
      </c>
      <c r="G3235" s="8">
        <v>193.21</v>
      </c>
      <c r="H3235" s="8">
        <v>0</v>
      </c>
      <c r="I3235" s="8">
        <f t="shared" si="113"/>
        <v>15009.74</v>
      </c>
      <c r="J3235" s="12"/>
    </row>
    <row r="3236" spans="3:10" x14ac:dyDescent="0.3">
      <c r="C3236" s="9"/>
      <c r="D3236" s="10">
        <v>45863</v>
      </c>
      <c r="E3236" t="s">
        <v>2447</v>
      </c>
      <c r="F3236" s="11" t="s">
        <v>176</v>
      </c>
      <c r="G3236" s="8">
        <v>709.07</v>
      </c>
      <c r="H3236" s="8">
        <v>0</v>
      </c>
      <c r="I3236" s="8">
        <f t="shared" si="113"/>
        <v>15718.81</v>
      </c>
      <c r="J3236" s="12"/>
    </row>
    <row r="3237" spans="3:10" x14ac:dyDescent="0.3">
      <c r="C3237" s="9"/>
      <c r="D3237" s="10">
        <v>45863</v>
      </c>
      <c r="E3237" t="s">
        <v>2434</v>
      </c>
      <c r="F3237" s="11" t="s">
        <v>693</v>
      </c>
      <c r="G3237" s="8">
        <v>2.4700000000000002</v>
      </c>
      <c r="H3237" s="8">
        <v>0</v>
      </c>
      <c r="I3237" s="8">
        <f t="shared" si="113"/>
        <v>15721.279999999999</v>
      </c>
      <c r="J3237" s="12"/>
    </row>
    <row r="3238" spans="3:10" x14ac:dyDescent="0.3">
      <c r="C3238" s="9"/>
      <c r="D3238" s="10">
        <v>45863</v>
      </c>
      <c r="E3238" t="s">
        <v>2456</v>
      </c>
      <c r="F3238" s="11" t="s">
        <v>267</v>
      </c>
      <c r="G3238" s="8">
        <v>292.16000000000003</v>
      </c>
      <c r="H3238" s="8">
        <v>0</v>
      </c>
      <c r="I3238" s="8">
        <f t="shared" si="113"/>
        <v>16013.439999999999</v>
      </c>
      <c r="J3238" s="12"/>
    </row>
    <row r="3239" spans="3:10" x14ac:dyDescent="0.3">
      <c r="C3239" s="9"/>
      <c r="D3239" s="10">
        <v>45866</v>
      </c>
      <c r="E3239" t="s">
        <v>2661</v>
      </c>
      <c r="F3239" s="11" t="s">
        <v>781</v>
      </c>
      <c r="G3239" s="8">
        <v>2.63</v>
      </c>
      <c r="H3239" s="8">
        <v>0</v>
      </c>
      <c r="I3239" s="8">
        <f t="shared" si="113"/>
        <v>16016.069999999998</v>
      </c>
      <c r="J3239" s="12"/>
    </row>
    <row r="3240" spans="3:10" x14ac:dyDescent="0.3">
      <c r="C3240" s="9"/>
      <c r="D3240" s="10">
        <v>45866</v>
      </c>
      <c r="E3240" t="s">
        <v>2675</v>
      </c>
      <c r="F3240" s="11" t="s">
        <v>2677</v>
      </c>
      <c r="G3240" s="8">
        <v>-33.82</v>
      </c>
      <c r="H3240" s="8">
        <v>0</v>
      </c>
      <c r="I3240" s="8">
        <f t="shared" si="113"/>
        <v>15982.249999999998</v>
      </c>
      <c r="J3240" s="12"/>
    </row>
    <row r="3241" spans="3:10" x14ac:dyDescent="0.3">
      <c r="C3241" s="9"/>
      <c r="D3241" s="10">
        <v>45866</v>
      </c>
      <c r="E3241" t="s">
        <v>2646</v>
      </c>
      <c r="F3241" s="11" t="s">
        <v>441</v>
      </c>
      <c r="G3241" s="8">
        <v>109.1</v>
      </c>
      <c r="H3241" s="8">
        <v>0</v>
      </c>
      <c r="I3241" s="8">
        <f t="shared" si="113"/>
        <v>16091.349999999999</v>
      </c>
      <c r="J3241" s="12"/>
    </row>
    <row r="3242" spans="3:10" x14ac:dyDescent="0.3">
      <c r="C3242" s="9"/>
      <c r="D3242" s="10">
        <v>45866</v>
      </c>
      <c r="E3242" t="s">
        <v>2655</v>
      </c>
      <c r="F3242" s="11" t="s">
        <v>968</v>
      </c>
      <c r="G3242" s="8">
        <v>52.38</v>
      </c>
      <c r="H3242" s="8">
        <v>0</v>
      </c>
      <c r="I3242" s="8">
        <f t="shared" si="113"/>
        <v>16143.729999999998</v>
      </c>
      <c r="J3242" s="12"/>
    </row>
    <row r="3243" spans="3:10" x14ac:dyDescent="0.3">
      <c r="C3243" s="9"/>
      <c r="D3243" s="10">
        <v>45866</v>
      </c>
      <c r="E3243" t="s">
        <v>2434</v>
      </c>
      <c r="F3243" s="11" t="s">
        <v>695</v>
      </c>
      <c r="G3243" s="8">
        <v>0.41</v>
      </c>
      <c r="H3243" s="8">
        <v>0</v>
      </c>
      <c r="I3243" s="8">
        <f t="shared" si="113"/>
        <v>16144.139999999998</v>
      </c>
      <c r="J3243" s="12"/>
    </row>
    <row r="3244" spans="3:10" x14ac:dyDescent="0.3">
      <c r="C3244" s="9"/>
      <c r="D3244" s="10">
        <v>45866</v>
      </c>
      <c r="E3244" t="s">
        <v>2655</v>
      </c>
      <c r="F3244" s="11" t="s">
        <v>969</v>
      </c>
      <c r="G3244" s="8">
        <v>8053.08</v>
      </c>
      <c r="H3244" s="8">
        <v>0</v>
      </c>
      <c r="I3244" s="8">
        <f t="shared" si="113"/>
        <v>24197.219999999998</v>
      </c>
      <c r="J3244" s="12">
        <v>410000248</v>
      </c>
    </row>
    <row r="3245" spans="3:10" x14ac:dyDescent="0.3">
      <c r="C3245" s="9"/>
      <c r="D3245" s="10">
        <v>45867</v>
      </c>
      <c r="E3245" t="s">
        <v>2646</v>
      </c>
      <c r="F3245" s="11" t="s">
        <v>443</v>
      </c>
      <c r="G3245" s="8">
        <v>218.91</v>
      </c>
      <c r="H3245" s="8">
        <v>0</v>
      </c>
      <c r="I3245" s="8">
        <f t="shared" si="113"/>
        <v>24416.129999999997</v>
      </c>
      <c r="J3245" s="12"/>
    </row>
    <row r="3246" spans="3:10" x14ac:dyDescent="0.3">
      <c r="C3246" s="9"/>
      <c r="D3246" s="10">
        <v>45867</v>
      </c>
      <c r="E3246" t="s">
        <v>2646</v>
      </c>
      <c r="F3246" s="11" t="s">
        <v>321</v>
      </c>
      <c r="G3246" s="8">
        <v>139.13</v>
      </c>
      <c r="H3246" s="8">
        <v>0</v>
      </c>
      <c r="I3246" s="8">
        <f t="shared" si="113"/>
        <v>24555.26</v>
      </c>
      <c r="J3246" s="12"/>
    </row>
    <row r="3247" spans="3:10" x14ac:dyDescent="0.3">
      <c r="C3247" s="9"/>
      <c r="D3247" s="10">
        <v>45867</v>
      </c>
      <c r="E3247" t="s">
        <v>2434</v>
      </c>
      <c r="F3247" s="11" t="s">
        <v>697</v>
      </c>
      <c r="G3247" s="8">
        <v>0.41</v>
      </c>
      <c r="H3247" s="8">
        <v>0</v>
      </c>
      <c r="I3247" s="8">
        <f t="shared" si="113"/>
        <v>24555.67</v>
      </c>
      <c r="J3247" s="12"/>
    </row>
    <row r="3248" spans="3:10" x14ac:dyDescent="0.3">
      <c r="C3248" s="9"/>
      <c r="D3248" s="10">
        <v>45867</v>
      </c>
      <c r="E3248" t="s">
        <v>2667</v>
      </c>
      <c r="F3248" s="11" t="s">
        <v>2678</v>
      </c>
      <c r="G3248" s="8">
        <v>39.24</v>
      </c>
      <c r="H3248" s="8">
        <v>0</v>
      </c>
      <c r="I3248" s="8">
        <f t="shared" si="113"/>
        <v>24594.91</v>
      </c>
      <c r="J3248" s="12"/>
    </row>
    <row r="3249" spans="3:10" x14ac:dyDescent="0.3">
      <c r="C3249" s="9"/>
      <c r="D3249" s="10">
        <v>45867</v>
      </c>
      <c r="E3249" t="s">
        <v>2667</v>
      </c>
      <c r="F3249" s="11" t="s">
        <v>2679</v>
      </c>
      <c r="G3249" s="8">
        <v>48.28</v>
      </c>
      <c r="H3249" s="8">
        <v>0</v>
      </c>
      <c r="I3249" s="8">
        <f t="shared" si="113"/>
        <v>24643.19</v>
      </c>
      <c r="J3249" s="12"/>
    </row>
    <row r="3250" spans="3:10" x14ac:dyDescent="0.3">
      <c r="C3250" s="9"/>
      <c r="D3250" s="10">
        <v>45868</v>
      </c>
      <c r="E3250" t="s">
        <v>2589</v>
      </c>
      <c r="F3250" s="11" t="s">
        <v>317</v>
      </c>
      <c r="G3250" s="8">
        <v>129.15</v>
      </c>
      <c r="H3250" s="8">
        <v>0</v>
      </c>
      <c r="I3250" s="8">
        <f t="shared" si="113"/>
        <v>24772.34</v>
      </c>
      <c r="J3250" s="12"/>
    </row>
    <row r="3251" spans="3:10" x14ac:dyDescent="0.3">
      <c r="C3251" s="9"/>
      <c r="D3251" s="10">
        <v>45868</v>
      </c>
      <c r="E3251" t="s">
        <v>2491</v>
      </c>
      <c r="F3251" s="11" t="s">
        <v>137</v>
      </c>
      <c r="G3251" s="8">
        <v>31.52</v>
      </c>
      <c r="H3251" s="8">
        <v>0</v>
      </c>
      <c r="I3251" s="8">
        <f t="shared" si="113"/>
        <v>24803.86</v>
      </c>
      <c r="J3251" s="12"/>
    </row>
    <row r="3252" spans="3:10" x14ac:dyDescent="0.3">
      <c r="C3252" s="9"/>
      <c r="D3252" s="10">
        <v>45868</v>
      </c>
      <c r="E3252" t="s">
        <v>2504</v>
      </c>
      <c r="F3252" s="11" t="s">
        <v>2680</v>
      </c>
      <c r="G3252" s="8">
        <v>0.23</v>
      </c>
      <c r="H3252" s="8">
        <v>0</v>
      </c>
      <c r="I3252" s="8">
        <f t="shared" si="113"/>
        <v>24804.09</v>
      </c>
      <c r="J3252" s="12"/>
    </row>
    <row r="3253" spans="3:10" x14ac:dyDescent="0.3">
      <c r="C3253" s="9"/>
      <c r="D3253" s="10">
        <v>45868</v>
      </c>
      <c r="E3253" t="s">
        <v>2537</v>
      </c>
      <c r="F3253" s="11" t="s">
        <v>502</v>
      </c>
      <c r="G3253" s="8">
        <v>73.5</v>
      </c>
      <c r="H3253" s="8">
        <v>0</v>
      </c>
      <c r="I3253" s="8">
        <f t="shared" si="113"/>
        <v>24877.59</v>
      </c>
      <c r="J3253" s="12"/>
    </row>
    <row r="3254" spans="3:10" x14ac:dyDescent="0.3">
      <c r="C3254" s="9"/>
      <c r="D3254" s="10">
        <v>45868</v>
      </c>
      <c r="E3254" t="s">
        <v>2434</v>
      </c>
      <c r="F3254" s="11" t="s">
        <v>699</v>
      </c>
      <c r="G3254" s="8">
        <v>1.65</v>
      </c>
      <c r="H3254" s="8">
        <v>0</v>
      </c>
      <c r="I3254" s="8">
        <f t="shared" si="113"/>
        <v>24879.24</v>
      </c>
      <c r="J3254" s="12"/>
    </row>
    <row r="3255" spans="3:10" x14ac:dyDescent="0.3">
      <c r="C3255" s="9"/>
      <c r="D3255" s="10">
        <v>45868</v>
      </c>
      <c r="E3255" t="s">
        <v>2537</v>
      </c>
      <c r="F3255" s="11" t="s">
        <v>504</v>
      </c>
      <c r="G3255" s="8">
        <v>73.5</v>
      </c>
      <c r="H3255" s="8">
        <v>0</v>
      </c>
      <c r="I3255" s="8">
        <f t="shared" si="113"/>
        <v>24952.74</v>
      </c>
      <c r="J3255" s="12"/>
    </row>
    <row r="3256" spans="3:10" x14ac:dyDescent="0.3">
      <c r="C3256" s="9"/>
      <c r="D3256" s="10">
        <v>45869</v>
      </c>
      <c r="E3256" t="s">
        <v>2463</v>
      </c>
      <c r="F3256" s="11" t="s">
        <v>546</v>
      </c>
      <c r="G3256" s="8">
        <v>11.97</v>
      </c>
      <c r="H3256" s="8">
        <v>0</v>
      </c>
      <c r="I3256" s="8">
        <f t="shared" si="113"/>
        <v>24964.710000000003</v>
      </c>
      <c r="J3256" s="12"/>
    </row>
    <row r="3257" spans="3:10" x14ac:dyDescent="0.3">
      <c r="C3257" s="9"/>
      <c r="D3257" s="10">
        <v>45869</v>
      </c>
      <c r="E3257" t="s">
        <v>2576</v>
      </c>
      <c r="F3257" s="11" t="s">
        <v>910</v>
      </c>
      <c r="G3257" s="8">
        <v>9.81</v>
      </c>
      <c r="H3257" s="8">
        <v>0</v>
      </c>
      <c r="I3257" s="8">
        <f t="shared" si="113"/>
        <v>24974.520000000004</v>
      </c>
      <c r="J3257" s="12"/>
    </row>
    <row r="3258" spans="3:10" x14ac:dyDescent="0.3">
      <c r="C3258" s="9"/>
      <c r="D3258" s="10">
        <v>45869</v>
      </c>
      <c r="E3258" t="s">
        <v>2570</v>
      </c>
      <c r="F3258" s="11" t="s">
        <v>2681</v>
      </c>
      <c r="G3258" s="8">
        <v>48.3</v>
      </c>
      <c r="H3258" s="8">
        <v>0</v>
      </c>
      <c r="I3258" s="8">
        <f t="shared" si="113"/>
        <v>25022.820000000003</v>
      </c>
      <c r="J3258" s="12"/>
    </row>
    <row r="3259" spans="3:10" x14ac:dyDescent="0.3">
      <c r="C3259" s="9"/>
      <c r="D3259" s="10">
        <v>45869</v>
      </c>
      <c r="E3259" t="s">
        <v>2450</v>
      </c>
      <c r="F3259" s="11" t="s">
        <v>2682</v>
      </c>
      <c r="G3259" s="8">
        <v>71.61</v>
      </c>
      <c r="H3259" s="8">
        <v>0</v>
      </c>
      <c r="I3259" s="8">
        <f t="shared" si="113"/>
        <v>25094.430000000004</v>
      </c>
      <c r="J3259" s="12"/>
    </row>
    <row r="3260" spans="3:10" x14ac:dyDescent="0.3">
      <c r="C3260" s="9"/>
      <c r="D3260" s="10">
        <v>45869</v>
      </c>
      <c r="E3260" t="s">
        <v>2436</v>
      </c>
      <c r="F3260" s="11" t="s">
        <v>2683</v>
      </c>
      <c r="G3260" s="8">
        <v>14.18</v>
      </c>
      <c r="H3260" s="8">
        <v>0</v>
      </c>
      <c r="I3260" s="8">
        <f t="shared" si="113"/>
        <v>25108.610000000004</v>
      </c>
      <c r="J3260" s="12"/>
    </row>
    <row r="3261" spans="3:10" x14ac:dyDescent="0.3">
      <c r="C3261" s="9"/>
      <c r="D3261" s="10">
        <v>45869</v>
      </c>
      <c r="E3261" t="s">
        <v>2500</v>
      </c>
      <c r="F3261" s="11" t="s">
        <v>198</v>
      </c>
      <c r="G3261" s="8">
        <v>17.78</v>
      </c>
      <c r="H3261" s="8">
        <v>0</v>
      </c>
      <c r="I3261" s="8">
        <f t="shared" si="113"/>
        <v>25126.390000000003</v>
      </c>
      <c r="J3261" s="12"/>
    </row>
    <row r="3262" spans="3:10" x14ac:dyDescent="0.3">
      <c r="C3262" s="9"/>
      <c r="D3262" s="10">
        <v>45869</v>
      </c>
      <c r="E3262" t="s">
        <v>2465</v>
      </c>
      <c r="F3262" s="11" t="s">
        <v>833</v>
      </c>
      <c r="G3262" s="8">
        <v>44.49</v>
      </c>
      <c r="H3262" s="8">
        <v>0</v>
      </c>
      <c r="I3262" s="8">
        <f t="shared" si="113"/>
        <v>25170.880000000005</v>
      </c>
      <c r="J3262" s="12"/>
    </row>
    <row r="3263" spans="3:10" x14ac:dyDescent="0.3">
      <c r="C3263" s="9"/>
      <c r="D3263" s="10">
        <v>45869</v>
      </c>
      <c r="E3263" t="s">
        <v>2465</v>
      </c>
      <c r="F3263" s="11" t="s">
        <v>835</v>
      </c>
      <c r="G3263" s="8">
        <v>11.67</v>
      </c>
      <c r="H3263" s="8">
        <v>0</v>
      </c>
      <c r="I3263" s="8">
        <f t="shared" si="113"/>
        <v>25182.550000000003</v>
      </c>
      <c r="J3263" s="12"/>
    </row>
    <row r="3264" spans="3:10" x14ac:dyDescent="0.3">
      <c r="C3264" s="9"/>
      <c r="D3264" s="10">
        <v>45869</v>
      </c>
      <c r="E3264" t="s">
        <v>2434</v>
      </c>
      <c r="F3264" s="11" t="s">
        <v>701</v>
      </c>
      <c r="G3264" s="8">
        <v>0.41</v>
      </c>
      <c r="H3264" s="8">
        <v>0</v>
      </c>
      <c r="I3264" s="8">
        <f t="shared" si="113"/>
        <v>25182.960000000003</v>
      </c>
      <c r="J3264" s="12"/>
    </row>
    <row r="3265" spans="3:10" x14ac:dyDescent="0.3">
      <c r="C3265" s="9"/>
      <c r="D3265" s="10">
        <v>45869</v>
      </c>
      <c r="E3265" t="s">
        <v>2435</v>
      </c>
      <c r="F3265" s="11" t="s">
        <v>529</v>
      </c>
      <c r="G3265" s="8">
        <v>202</v>
      </c>
      <c r="H3265" s="8">
        <v>0</v>
      </c>
      <c r="I3265" s="8">
        <f t="shared" si="113"/>
        <v>25384.960000000003</v>
      </c>
      <c r="J3265" s="12"/>
    </row>
    <row r="3266" spans="3:10" x14ac:dyDescent="0.3">
      <c r="C3266" s="9"/>
      <c r="D3266" s="10">
        <v>45869</v>
      </c>
      <c r="E3266" t="s">
        <v>2650</v>
      </c>
      <c r="F3266" s="11" t="s">
        <v>945</v>
      </c>
      <c r="G3266" s="8">
        <v>24.14</v>
      </c>
      <c r="H3266" s="8">
        <v>0</v>
      </c>
      <c r="I3266" s="8">
        <f t="shared" si="113"/>
        <v>25409.100000000002</v>
      </c>
      <c r="J3266" s="12"/>
    </row>
    <row r="3267" spans="3:10" x14ac:dyDescent="0.3">
      <c r="C3267" s="9"/>
      <c r="D3267" s="10">
        <v>45870</v>
      </c>
      <c r="E3267" t="s">
        <v>2426</v>
      </c>
      <c r="F3267" s="11" t="s">
        <v>2684</v>
      </c>
      <c r="G3267" s="8">
        <v>8.9</v>
      </c>
      <c r="H3267" s="8">
        <v>0</v>
      </c>
      <c r="I3267" s="8">
        <f t="shared" si="113"/>
        <v>25418.000000000004</v>
      </c>
      <c r="J3267" s="12"/>
    </row>
    <row r="3268" spans="3:10" x14ac:dyDescent="0.3">
      <c r="C3268" s="9"/>
      <c r="D3268" s="10">
        <v>45870</v>
      </c>
      <c r="E3268" t="s">
        <v>2429</v>
      </c>
      <c r="F3268" s="11" t="s">
        <v>2685</v>
      </c>
      <c r="G3268" s="8">
        <v>51.35</v>
      </c>
      <c r="H3268" s="8">
        <v>0</v>
      </c>
      <c r="I3268" s="8">
        <f t="shared" si="113"/>
        <v>25469.350000000002</v>
      </c>
      <c r="J3268" s="12"/>
    </row>
    <row r="3269" spans="3:10" x14ac:dyDescent="0.3">
      <c r="C3269" s="9"/>
      <c r="D3269" s="10">
        <v>45870</v>
      </c>
      <c r="E3269" t="s">
        <v>2473</v>
      </c>
      <c r="F3269" s="11" t="s">
        <v>2686</v>
      </c>
      <c r="G3269" s="8">
        <v>0.65</v>
      </c>
      <c r="H3269" s="8">
        <v>0</v>
      </c>
      <c r="I3269" s="8">
        <f t="shared" si="113"/>
        <v>25470.000000000004</v>
      </c>
      <c r="J3269" s="12"/>
    </row>
    <row r="3270" spans="3:10" x14ac:dyDescent="0.3">
      <c r="C3270" s="9"/>
      <c r="D3270" s="10">
        <v>45870</v>
      </c>
      <c r="E3270" t="s">
        <v>2442</v>
      </c>
      <c r="F3270" s="11" t="s">
        <v>576</v>
      </c>
      <c r="G3270" s="8">
        <v>124.98</v>
      </c>
      <c r="H3270" s="8">
        <v>0</v>
      </c>
      <c r="I3270" s="8">
        <f t="shared" si="113"/>
        <v>25594.980000000003</v>
      </c>
      <c r="J3270" s="12"/>
    </row>
    <row r="3271" spans="3:10" x14ac:dyDescent="0.3">
      <c r="C3271" s="9"/>
      <c r="D3271" s="10">
        <v>45870</v>
      </c>
      <c r="E3271" t="s">
        <v>2596</v>
      </c>
      <c r="F3271" s="11" t="s">
        <v>511</v>
      </c>
      <c r="G3271" s="8">
        <v>6.97</v>
      </c>
      <c r="H3271" s="8">
        <v>0</v>
      </c>
      <c r="I3271" s="8">
        <f t="shared" si="113"/>
        <v>25601.950000000004</v>
      </c>
      <c r="J3271" s="12"/>
    </row>
    <row r="3272" spans="3:10" x14ac:dyDescent="0.3">
      <c r="C3272" s="9"/>
      <c r="D3272" s="10">
        <v>45870</v>
      </c>
      <c r="E3272" t="s">
        <v>2443</v>
      </c>
      <c r="F3272" s="11" t="s">
        <v>2687</v>
      </c>
      <c r="G3272" s="8">
        <v>1.26</v>
      </c>
      <c r="H3272" s="8">
        <v>0</v>
      </c>
      <c r="I3272" s="8">
        <f t="shared" si="113"/>
        <v>25603.210000000003</v>
      </c>
      <c r="J3272" s="12"/>
    </row>
    <row r="3273" spans="3:10" x14ac:dyDescent="0.3">
      <c r="C3273" s="9"/>
      <c r="D3273" s="10">
        <v>45870</v>
      </c>
      <c r="E3273" t="s">
        <v>2655</v>
      </c>
      <c r="F3273" s="11" t="s">
        <v>971</v>
      </c>
      <c r="G3273" s="8">
        <v>43.54</v>
      </c>
      <c r="H3273" s="8">
        <v>0</v>
      </c>
      <c r="I3273" s="8">
        <f t="shared" si="113"/>
        <v>25646.750000000004</v>
      </c>
      <c r="J3273" s="12"/>
    </row>
    <row r="3274" spans="3:10" x14ac:dyDescent="0.3">
      <c r="C3274" s="9"/>
      <c r="D3274" s="10">
        <v>45870</v>
      </c>
      <c r="E3274" t="s">
        <v>2565</v>
      </c>
      <c r="F3274" s="11" t="s">
        <v>558</v>
      </c>
      <c r="G3274" s="8">
        <v>11.43</v>
      </c>
      <c r="H3274" s="8">
        <v>0</v>
      </c>
      <c r="I3274" s="8">
        <f t="shared" si="113"/>
        <v>25658.180000000004</v>
      </c>
      <c r="J3274" s="12"/>
    </row>
    <row r="3275" spans="3:10" x14ac:dyDescent="0.3">
      <c r="C3275" s="9"/>
      <c r="D3275" s="10">
        <v>45870</v>
      </c>
      <c r="E3275" t="s">
        <v>2435</v>
      </c>
      <c r="F3275" s="11" t="s">
        <v>531</v>
      </c>
      <c r="G3275" s="8">
        <v>204.91</v>
      </c>
      <c r="H3275" s="8">
        <v>0</v>
      </c>
      <c r="I3275" s="8">
        <f t="shared" si="113"/>
        <v>25863.090000000004</v>
      </c>
      <c r="J3275" s="12"/>
    </row>
    <row r="3276" spans="3:10" x14ac:dyDescent="0.3">
      <c r="C3276" s="9"/>
      <c r="D3276" s="10">
        <v>45870</v>
      </c>
      <c r="E3276" t="s">
        <v>2434</v>
      </c>
      <c r="F3276" s="11" t="s">
        <v>703</v>
      </c>
      <c r="G3276" s="8">
        <v>8.4</v>
      </c>
      <c r="H3276" s="8">
        <v>0</v>
      </c>
      <c r="I3276" s="8">
        <f t="shared" si="113"/>
        <v>25871.490000000005</v>
      </c>
      <c r="J3276" s="12"/>
    </row>
    <row r="3277" spans="3:10" x14ac:dyDescent="0.3">
      <c r="C3277" s="9"/>
      <c r="D3277" s="10">
        <v>45870</v>
      </c>
      <c r="E3277" t="s">
        <v>2655</v>
      </c>
      <c r="F3277" s="11" t="s">
        <v>972</v>
      </c>
      <c r="G3277" s="8">
        <v>2794.09</v>
      </c>
      <c r="H3277" s="8">
        <v>0</v>
      </c>
      <c r="I3277" s="8">
        <f t="shared" si="113"/>
        <v>28665.580000000005</v>
      </c>
      <c r="J3277" s="12">
        <v>410000248</v>
      </c>
    </row>
    <row r="3278" spans="3:10" x14ac:dyDescent="0.3">
      <c r="C3278" s="9"/>
      <c r="D3278" s="10">
        <v>45870</v>
      </c>
      <c r="E3278" t="s">
        <v>2565</v>
      </c>
      <c r="F3278" s="11" t="s">
        <v>559</v>
      </c>
      <c r="G3278" s="8">
        <v>11.43</v>
      </c>
      <c r="H3278" s="8">
        <v>0</v>
      </c>
      <c r="I3278" s="8">
        <f t="shared" si="113"/>
        <v>28677.010000000006</v>
      </c>
      <c r="J3278" s="12"/>
    </row>
    <row r="3279" spans="3:10" x14ac:dyDescent="0.3">
      <c r="C3279" s="9"/>
      <c r="D3279" s="10">
        <v>45871</v>
      </c>
      <c r="E3279" t="s">
        <v>2449</v>
      </c>
      <c r="F3279" s="11" t="s">
        <v>774</v>
      </c>
      <c r="G3279" s="8">
        <v>4.6900000000000004</v>
      </c>
      <c r="H3279" s="8">
        <v>0</v>
      </c>
      <c r="I3279" s="8">
        <f t="shared" si="113"/>
        <v>28681.700000000004</v>
      </c>
      <c r="J3279" s="12"/>
    </row>
    <row r="3280" spans="3:10" x14ac:dyDescent="0.3">
      <c r="C3280" s="9"/>
      <c r="D3280" s="10">
        <v>45872</v>
      </c>
      <c r="E3280" t="s">
        <v>2440</v>
      </c>
      <c r="F3280" s="11" t="s">
        <v>875</v>
      </c>
      <c r="G3280" s="8">
        <v>12.75</v>
      </c>
      <c r="H3280" s="8">
        <v>0</v>
      </c>
      <c r="I3280" s="8">
        <f t="shared" si="113"/>
        <v>28694.450000000004</v>
      </c>
      <c r="J3280" s="12"/>
    </row>
    <row r="3281" spans="3:10" x14ac:dyDescent="0.3">
      <c r="C3281" s="9"/>
      <c r="D3281" s="10">
        <v>45873</v>
      </c>
      <c r="E3281" t="s">
        <v>2434</v>
      </c>
      <c r="F3281" s="11" t="s">
        <v>706</v>
      </c>
      <c r="G3281" s="8">
        <v>2.4700000000000002</v>
      </c>
      <c r="H3281" s="8">
        <v>0</v>
      </c>
      <c r="I3281" s="8">
        <f t="shared" si="113"/>
        <v>28696.920000000006</v>
      </c>
      <c r="J3281" s="12"/>
    </row>
    <row r="3282" spans="3:10" x14ac:dyDescent="0.3">
      <c r="C3282" s="9"/>
      <c r="D3282" s="10">
        <v>45874</v>
      </c>
      <c r="E3282" t="s">
        <v>2646</v>
      </c>
      <c r="F3282" s="11" t="s">
        <v>446</v>
      </c>
      <c r="G3282" s="8">
        <v>218.91</v>
      </c>
      <c r="H3282" s="8">
        <v>0</v>
      </c>
      <c r="I3282" s="8">
        <f t="shared" ref="I3282:I3345" si="114">G3282-H3282+I3281</f>
        <v>28915.830000000005</v>
      </c>
      <c r="J3282" s="12"/>
    </row>
    <row r="3283" spans="3:10" x14ac:dyDescent="0.3">
      <c r="C3283" s="9"/>
      <c r="D3283" s="10">
        <v>45874</v>
      </c>
      <c r="E3283" t="s">
        <v>2535</v>
      </c>
      <c r="F3283" s="11" t="s">
        <v>899</v>
      </c>
      <c r="G3283" s="8">
        <v>103.39</v>
      </c>
      <c r="H3283" s="8">
        <v>0</v>
      </c>
      <c r="I3283" s="8">
        <f t="shared" si="114"/>
        <v>29019.220000000005</v>
      </c>
      <c r="J3283" s="12"/>
    </row>
    <row r="3284" spans="3:10" x14ac:dyDescent="0.3">
      <c r="C3284" s="9"/>
      <c r="D3284" s="10">
        <v>45874</v>
      </c>
      <c r="E3284" t="s">
        <v>2619</v>
      </c>
      <c r="F3284" s="11" t="s">
        <v>430</v>
      </c>
      <c r="G3284" s="8">
        <v>20.46</v>
      </c>
      <c r="H3284" s="8">
        <v>0</v>
      </c>
      <c r="I3284" s="8">
        <f t="shared" si="114"/>
        <v>29039.680000000004</v>
      </c>
      <c r="J3284" s="12"/>
    </row>
    <row r="3285" spans="3:10" x14ac:dyDescent="0.3">
      <c r="C3285" s="9"/>
      <c r="D3285" s="10">
        <v>45875</v>
      </c>
      <c r="E3285" t="s">
        <v>2434</v>
      </c>
      <c r="F3285" s="11" t="s">
        <v>708</v>
      </c>
      <c r="G3285" s="8">
        <v>1.23</v>
      </c>
      <c r="H3285" s="8">
        <v>0</v>
      </c>
      <c r="I3285" s="8">
        <f t="shared" si="114"/>
        <v>29040.910000000003</v>
      </c>
      <c r="J3285" s="12"/>
    </row>
    <row r="3286" spans="3:10" x14ac:dyDescent="0.3">
      <c r="C3286" s="9"/>
      <c r="D3286" s="10">
        <v>45876</v>
      </c>
      <c r="E3286" t="s">
        <v>2516</v>
      </c>
      <c r="F3286" s="11" t="s">
        <v>404</v>
      </c>
      <c r="G3286" s="8">
        <v>608.38</v>
      </c>
      <c r="H3286" s="8">
        <v>0</v>
      </c>
      <c r="I3286" s="8">
        <f t="shared" si="114"/>
        <v>29649.290000000005</v>
      </c>
      <c r="J3286" s="12"/>
    </row>
    <row r="3287" spans="3:10" x14ac:dyDescent="0.3">
      <c r="C3287" s="9"/>
      <c r="D3287" s="10">
        <v>45876</v>
      </c>
      <c r="E3287" t="s">
        <v>2456</v>
      </c>
      <c r="F3287" s="11" t="s">
        <v>269</v>
      </c>
      <c r="G3287" s="8">
        <v>103.43</v>
      </c>
      <c r="H3287" s="8">
        <v>0</v>
      </c>
      <c r="I3287" s="8">
        <f t="shared" si="114"/>
        <v>29752.720000000005</v>
      </c>
      <c r="J3287" s="12"/>
    </row>
    <row r="3288" spans="3:10" x14ac:dyDescent="0.3">
      <c r="C3288" s="9"/>
      <c r="D3288" s="10">
        <v>45876</v>
      </c>
      <c r="E3288" t="s">
        <v>2688</v>
      </c>
      <c r="F3288" s="11" t="s">
        <v>456</v>
      </c>
      <c r="G3288" s="8">
        <v>13.94</v>
      </c>
      <c r="H3288" s="8">
        <v>0</v>
      </c>
      <c r="I3288" s="8">
        <f t="shared" si="114"/>
        <v>29766.660000000003</v>
      </c>
      <c r="J3288" s="12"/>
    </row>
    <row r="3289" spans="3:10" x14ac:dyDescent="0.3">
      <c r="C3289" s="9"/>
      <c r="D3289" s="10">
        <v>45877</v>
      </c>
      <c r="E3289" t="s">
        <v>2445</v>
      </c>
      <c r="F3289" s="11" t="s">
        <v>2689</v>
      </c>
      <c r="G3289" s="8">
        <v>34.65</v>
      </c>
      <c r="H3289" s="8">
        <v>0</v>
      </c>
      <c r="I3289" s="8">
        <f t="shared" si="114"/>
        <v>29801.310000000005</v>
      </c>
      <c r="J3289" s="12"/>
    </row>
    <row r="3290" spans="3:10" x14ac:dyDescent="0.3">
      <c r="C3290" s="9"/>
      <c r="D3290" s="10">
        <v>45877</v>
      </c>
      <c r="E3290" t="s">
        <v>2434</v>
      </c>
      <c r="F3290" s="11" t="s">
        <v>710</v>
      </c>
      <c r="G3290" s="8">
        <v>1.23</v>
      </c>
      <c r="H3290" s="8">
        <v>0</v>
      </c>
      <c r="I3290" s="8">
        <f t="shared" si="114"/>
        <v>29802.540000000005</v>
      </c>
      <c r="J3290" s="12"/>
    </row>
    <row r="3291" spans="3:10" x14ac:dyDescent="0.3">
      <c r="C3291" s="9"/>
      <c r="D3291" s="10">
        <v>45877</v>
      </c>
      <c r="E3291" t="s">
        <v>2439</v>
      </c>
      <c r="F3291" s="11" t="s">
        <v>806</v>
      </c>
      <c r="G3291" s="8">
        <v>19.5</v>
      </c>
      <c r="H3291" s="8">
        <v>0</v>
      </c>
      <c r="I3291" s="8">
        <f t="shared" si="114"/>
        <v>29822.040000000005</v>
      </c>
      <c r="J3291" s="12"/>
    </row>
    <row r="3292" spans="3:10" x14ac:dyDescent="0.3">
      <c r="C3292" s="9"/>
      <c r="D3292" s="10">
        <v>45880</v>
      </c>
      <c r="E3292" t="s">
        <v>2434</v>
      </c>
      <c r="F3292" s="11" t="s">
        <v>712</v>
      </c>
      <c r="G3292" s="8">
        <v>0.82</v>
      </c>
      <c r="H3292" s="8">
        <v>0</v>
      </c>
      <c r="I3292" s="8">
        <f t="shared" si="114"/>
        <v>29822.860000000004</v>
      </c>
      <c r="J3292" s="12"/>
    </row>
    <row r="3293" spans="3:10" x14ac:dyDescent="0.3">
      <c r="C3293" s="9"/>
      <c r="D3293" s="10">
        <v>45880</v>
      </c>
      <c r="E3293" t="s">
        <v>2434</v>
      </c>
      <c r="F3293" s="11" t="s">
        <v>714</v>
      </c>
      <c r="G3293" s="8">
        <v>4.43</v>
      </c>
      <c r="H3293" s="8">
        <v>0</v>
      </c>
      <c r="I3293" s="8">
        <f t="shared" si="114"/>
        <v>29827.290000000005</v>
      </c>
      <c r="J3293" s="12"/>
    </row>
    <row r="3294" spans="3:10" x14ac:dyDescent="0.3">
      <c r="C3294" s="9"/>
      <c r="D3294" s="10">
        <v>45881</v>
      </c>
      <c r="E3294" t="s">
        <v>2690</v>
      </c>
      <c r="F3294" s="11" t="s">
        <v>1011</v>
      </c>
      <c r="G3294" s="8">
        <v>12.71</v>
      </c>
      <c r="H3294" s="8">
        <v>0</v>
      </c>
      <c r="I3294" s="8">
        <f t="shared" si="114"/>
        <v>29840.000000000004</v>
      </c>
      <c r="J3294" s="12"/>
    </row>
    <row r="3295" spans="3:10" x14ac:dyDescent="0.3">
      <c r="C3295" s="9"/>
      <c r="D3295" s="10">
        <v>45881</v>
      </c>
      <c r="E3295" t="s">
        <v>2690</v>
      </c>
      <c r="F3295" s="11" t="s">
        <v>1013</v>
      </c>
      <c r="G3295" s="8">
        <v>6.1</v>
      </c>
      <c r="H3295" s="8">
        <v>0</v>
      </c>
      <c r="I3295" s="8">
        <f t="shared" si="114"/>
        <v>29846.100000000002</v>
      </c>
      <c r="J3295" s="12"/>
    </row>
    <row r="3296" spans="3:10" x14ac:dyDescent="0.3">
      <c r="C3296" s="9"/>
      <c r="D3296" s="10">
        <v>45881</v>
      </c>
      <c r="E3296" t="s">
        <v>2434</v>
      </c>
      <c r="F3296" s="11" t="s">
        <v>716</v>
      </c>
      <c r="G3296" s="8">
        <v>5.69</v>
      </c>
      <c r="H3296" s="8">
        <v>0</v>
      </c>
      <c r="I3296" s="8">
        <f t="shared" si="114"/>
        <v>29851.79</v>
      </c>
      <c r="J3296" s="12"/>
    </row>
    <row r="3297" spans="3:10" x14ac:dyDescent="0.3">
      <c r="C3297" s="9"/>
      <c r="D3297" s="10">
        <v>45882</v>
      </c>
      <c r="E3297" t="s">
        <v>2513</v>
      </c>
      <c r="F3297" s="11" t="s">
        <v>2691</v>
      </c>
      <c r="G3297" s="8">
        <v>12.39</v>
      </c>
      <c r="H3297" s="8">
        <v>0</v>
      </c>
      <c r="I3297" s="8">
        <f t="shared" si="114"/>
        <v>29864.18</v>
      </c>
      <c r="J3297" s="12"/>
    </row>
    <row r="3298" spans="3:10" x14ac:dyDescent="0.3">
      <c r="C3298" s="9"/>
      <c r="D3298" s="10">
        <v>45882</v>
      </c>
      <c r="E3298" t="s">
        <v>2429</v>
      </c>
      <c r="F3298" s="11" t="s">
        <v>2692</v>
      </c>
      <c r="G3298" s="8">
        <v>35.58</v>
      </c>
      <c r="H3298" s="8">
        <v>0</v>
      </c>
      <c r="I3298" s="8">
        <f t="shared" si="114"/>
        <v>29899.760000000002</v>
      </c>
      <c r="J3298" s="12"/>
    </row>
    <row r="3299" spans="3:10" x14ac:dyDescent="0.3">
      <c r="C3299" s="9"/>
      <c r="D3299" s="10">
        <v>45882</v>
      </c>
      <c r="E3299" t="s">
        <v>2458</v>
      </c>
      <c r="F3299" s="11" t="s">
        <v>301</v>
      </c>
      <c r="G3299" s="8">
        <v>131.72999999999999</v>
      </c>
      <c r="H3299" s="8">
        <v>0</v>
      </c>
      <c r="I3299" s="8">
        <f t="shared" si="114"/>
        <v>30031.49</v>
      </c>
      <c r="J3299" s="12"/>
    </row>
    <row r="3300" spans="3:10" x14ac:dyDescent="0.3">
      <c r="C3300" s="9"/>
      <c r="D3300" s="10">
        <v>45883</v>
      </c>
      <c r="E3300" t="s">
        <v>2434</v>
      </c>
      <c r="F3300" s="11" t="s">
        <v>718</v>
      </c>
      <c r="G3300" s="8">
        <v>0.41</v>
      </c>
      <c r="H3300" s="8">
        <v>0</v>
      </c>
      <c r="I3300" s="8">
        <f t="shared" si="114"/>
        <v>30031.9</v>
      </c>
      <c r="J3300" s="12"/>
    </row>
    <row r="3301" spans="3:10" x14ac:dyDescent="0.3">
      <c r="C3301" s="9"/>
      <c r="D3301" s="10">
        <v>45884</v>
      </c>
      <c r="E3301" t="s">
        <v>2693</v>
      </c>
      <c r="F3301" s="11" t="s">
        <v>1023</v>
      </c>
      <c r="G3301" s="8">
        <v>1102.5</v>
      </c>
      <c r="H3301" s="8">
        <v>0</v>
      </c>
      <c r="I3301" s="8">
        <f t="shared" si="114"/>
        <v>31134.400000000001</v>
      </c>
      <c r="J3301" s="12"/>
    </row>
    <row r="3302" spans="3:10" x14ac:dyDescent="0.3">
      <c r="C3302" s="9"/>
      <c r="D3302" s="10">
        <v>45884</v>
      </c>
      <c r="E3302" t="s">
        <v>2454</v>
      </c>
      <c r="F3302" s="11" t="s">
        <v>2694</v>
      </c>
      <c r="G3302" s="8">
        <v>139.65</v>
      </c>
      <c r="H3302" s="8">
        <v>0</v>
      </c>
      <c r="I3302" s="8">
        <f t="shared" si="114"/>
        <v>31274.050000000003</v>
      </c>
      <c r="J3302" s="12"/>
    </row>
    <row r="3303" spans="3:10" x14ac:dyDescent="0.3">
      <c r="C3303" s="9"/>
      <c r="D3303" s="10">
        <v>45887</v>
      </c>
      <c r="E3303" t="s">
        <v>2434</v>
      </c>
      <c r="F3303" s="11" t="s">
        <v>720</v>
      </c>
      <c r="G3303" s="8">
        <v>4.9400000000000004</v>
      </c>
      <c r="H3303" s="8">
        <v>0</v>
      </c>
      <c r="I3303" s="8">
        <f t="shared" si="114"/>
        <v>31278.99</v>
      </c>
      <c r="J3303" s="12"/>
    </row>
    <row r="3304" spans="3:10" x14ac:dyDescent="0.3">
      <c r="C3304" s="9"/>
      <c r="D3304" s="10">
        <v>45888</v>
      </c>
      <c r="E3304" t="s">
        <v>2429</v>
      </c>
      <c r="F3304" s="11" t="s">
        <v>2695</v>
      </c>
      <c r="G3304" s="8">
        <v>22.58</v>
      </c>
      <c r="H3304" s="8">
        <v>0</v>
      </c>
      <c r="I3304" s="8">
        <f t="shared" si="114"/>
        <v>31301.570000000003</v>
      </c>
      <c r="J3304" s="12"/>
    </row>
    <row r="3305" spans="3:10" x14ac:dyDescent="0.3">
      <c r="C3305" s="9"/>
      <c r="D3305" s="10">
        <v>45888</v>
      </c>
      <c r="E3305" t="s">
        <v>2690</v>
      </c>
      <c r="F3305" s="11" t="s">
        <v>1015</v>
      </c>
      <c r="G3305" s="8">
        <v>1.89</v>
      </c>
      <c r="H3305" s="8">
        <v>0</v>
      </c>
      <c r="I3305" s="8">
        <f t="shared" si="114"/>
        <v>31303.460000000003</v>
      </c>
      <c r="J3305" s="12"/>
    </row>
    <row r="3306" spans="3:10" x14ac:dyDescent="0.3">
      <c r="C3306" s="9"/>
      <c r="D3306" s="10">
        <v>45888</v>
      </c>
      <c r="E3306" t="s">
        <v>2434</v>
      </c>
      <c r="F3306" s="11" t="s">
        <v>722</v>
      </c>
      <c r="G3306" s="8">
        <v>0.41</v>
      </c>
      <c r="H3306" s="8">
        <v>0</v>
      </c>
      <c r="I3306" s="8">
        <f t="shared" si="114"/>
        <v>31303.870000000003</v>
      </c>
      <c r="J3306" s="12"/>
    </row>
    <row r="3307" spans="3:10" x14ac:dyDescent="0.3">
      <c r="C3307" s="9"/>
      <c r="D3307" s="10">
        <v>45889</v>
      </c>
      <c r="E3307" t="s">
        <v>2456</v>
      </c>
      <c r="F3307" s="11" t="s">
        <v>271</v>
      </c>
      <c r="G3307" s="8">
        <v>694.41</v>
      </c>
      <c r="H3307" s="8">
        <v>0</v>
      </c>
      <c r="I3307" s="8">
        <f t="shared" si="114"/>
        <v>31998.280000000002</v>
      </c>
      <c r="J3307" s="12"/>
    </row>
    <row r="3308" spans="3:10" x14ac:dyDescent="0.3">
      <c r="C3308" s="9"/>
      <c r="D3308" s="10">
        <v>45889</v>
      </c>
      <c r="E3308" t="s">
        <v>2434</v>
      </c>
      <c r="F3308" s="11" t="s">
        <v>724</v>
      </c>
      <c r="G3308" s="8">
        <v>0.82</v>
      </c>
      <c r="H3308" s="8">
        <v>0</v>
      </c>
      <c r="I3308" s="8">
        <f t="shared" si="114"/>
        <v>31999.100000000002</v>
      </c>
      <c r="J3308" s="12"/>
    </row>
    <row r="3309" spans="3:10" x14ac:dyDescent="0.3">
      <c r="C3309" s="9"/>
      <c r="D3309" s="10">
        <v>45890</v>
      </c>
      <c r="E3309" t="s">
        <v>2655</v>
      </c>
      <c r="F3309" s="11" t="s">
        <v>974</v>
      </c>
      <c r="G3309" s="8">
        <v>58.22</v>
      </c>
      <c r="H3309" s="8">
        <v>0</v>
      </c>
      <c r="I3309" s="8">
        <f t="shared" si="114"/>
        <v>32057.320000000003</v>
      </c>
      <c r="J3309" s="12"/>
    </row>
    <row r="3310" spans="3:10" x14ac:dyDescent="0.3">
      <c r="C3310" s="9"/>
      <c r="D3310" s="10">
        <v>45890</v>
      </c>
      <c r="E3310" t="s">
        <v>2434</v>
      </c>
      <c r="F3310" s="11" t="s">
        <v>726</v>
      </c>
      <c r="G3310" s="8">
        <v>2.06</v>
      </c>
      <c r="H3310" s="8">
        <v>0</v>
      </c>
      <c r="I3310" s="8">
        <f t="shared" si="114"/>
        <v>32059.380000000005</v>
      </c>
      <c r="J3310" s="12"/>
    </row>
    <row r="3311" spans="3:10" x14ac:dyDescent="0.3">
      <c r="C3311" s="9"/>
      <c r="D3311" s="10">
        <v>45890</v>
      </c>
      <c r="E3311" t="s">
        <v>2655</v>
      </c>
      <c r="F3311" s="11" t="s">
        <v>975</v>
      </c>
      <c r="G3311" s="8">
        <v>16530.36</v>
      </c>
      <c r="H3311" s="8">
        <v>0</v>
      </c>
      <c r="I3311" s="8">
        <f t="shared" si="114"/>
        <v>48589.740000000005</v>
      </c>
      <c r="J3311" s="12">
        <v>410000248</v>
      </c>
    </row>
    <row r="3312" spans="3:10" x14ac:dyDescent="0.3">
      <c r="C3312" s="9"/>
      <c r="D3312" s="10">
        <v>45891</v>
      </c>
      <c r="E3312" t="s">
        <v>2434</v>
      </c>
      <c r="F3312" s="11" t="s">
        <v>728</v>
      </c>
      <c r="G3312" s="8">
        <v>7.09</v>
      </c>
      <c r="H3312" s="8">
        <v>0</v>
      </c>
      <c r="I3312" s="8">
        <f t="shared" si="114"/>
        <v>48596.83</v>
      </c>
      <c r="J3312" s="12"/>
    </row>
    <row r="3313" spans="3:10" x14ac:dyDescent="0.3">
      <c r="C3313" s="9"/>
      <c r="D3313" s="10">
        <v>45891</v>
      </c>
      <c r="E3313" t="s">
        <v>2434</v>
      </c>
      <c r="F3313" s="11" t="s">
        <v>730</v>
      </c>
      <c r="G3313" s="8">
        <v>0.41</v>
      </c>
      <c r="H3313" s="8">
        <v>0</v>
      </c>
      <c r="I3313" s="8">
        <f t="shared" si="114"/>
        <v>48597.240000000005</v>
      </c>
      <c r="J3313" s="12"/>
    </row>
    <row r="3314" spans="3:10" x14ac:dyDescent="0.3">
      <c r="C3314" s="9"/>
      <c r="D3314" s="10">
        <v>45891</v>
      </c>
      <c r="E3314" t="s">
        <v>2440</v>
      </c>
      <c r="F3314" s="11" t="s">
        <v>877</v>
      </c>
      <c r="G3314" s="8">
        <v>47.04</v>
      </c>
      <c r="H3314" s="8">
        <v>0</v>
      </c>
      <c r="I3314" s="8">
        <f t="shared" si="114"/>
        <v>48644.280000000006</v>
      </c>
      <c r="J3314" s="12"/>
    </row>
    <row r="3315" spans="3:10" x14ac:dyDescent="0.3">
      <c r="C3315" s="9"/>
      <c r="D3315" s="10">
        <v>45894</v>
      </c>
      <c r="E3315" t="s">
        <v>2434</v>
      </c>
      <c r="F3315" s="11" t="s">
        <v>732</v>
      </c>
      <c r="G3315" s="8">
        <v>1.65</v>
      </c>
      <c r="H3315" s="8">
        <v>0</v>
      </c>
      <c r="I3315" s="8">
        <f t="shared" si="114"/>
        <v>48645.930000000008</v>
      </c>
      <c r="J3315" s="12"/>
    </row>
    <row r="3316" spans="3:10" x14ac:dyDescent="0.3">
      <c r="C3316" s="9"/>
      <c r="D3316" s="10">
        <v>45895</v>
      </c>
      <c r="E3316" t="s">
        <v>2690</v>
      </c>
      <c r="F3316" s="11" t="s">
        <v>1017</v>
      </c>
      <c r="G3316" s="8">
        <v>15.12</v>
      </c>
      <c r="H3316" s="8">
        <v>0</v>
      </c>
      <c r="I3316" s="8">
        <f t="shared" si="114"/>
        <v>48661.05000000001</v>
      </c>
      <c r="J3316" s="12"/>
    </row>
    <row r="3317" spans="3:10" x14ac:dyDescent="0.3">
      <c r="C3317" s="9"/>
      <c r="D3317" s="10">
        <v>45896</v>
      </c>
      <c r="E3317" t="s">
        <v>2491</v>
      </c>
      <c r="F3317" s="11" t="s">
        <v>139</v>
      </c>
      <c r="G3317" s="8">
        <v>30.21</v>
      </c>
      <c r="H3317" s="8">
        <v>0</v>
      </c>
      <c r="I3317" s="8">
        <f t="shared" si="114"/>
        <v>48691.260000000009</v>
      </c>
      <c r="J3317" s="12"/>
    </row>
    <row r="3318" spans="3:10" x14ac:dyDescent="0.3">
      <c r="C3318" s="9"/>
      <c r="D3318" s="10">
        <v>45896</v>
      </c>
      <c r="E3318" t="s">
        <v>2434</v>
      </c>
      <c r="F3318" s="11" t="s">
        <v>734</v>
      </c>
      <c r="G3318" s="8">
        <v>0.41</v>
      </c>
      <c r="H3318" s="8">
        <v>0</v>
      </c>
      <c r="I3318" s="8">
        <f t="shared" si="114"/>
        <v>48691.670000000013</v>
      </c>
      <c r="J3318" s="12"/>
    </row>
    <row r="3319" spans="3:10" x14ac:dyDescent="0.3">
      <c r="C3319" s="9"/>
      <c r="D3319" s="10">
        <v>45897</v>
      </c>
      <c r="E3319" t="s">
        <v>2441</v>
      </c>
      <c r="F3319" s="11" t="s">
        <v>113</v>
      </c>
      <c r="G3319" s="8">
        <v>568.34</v>
      </c>
      <c r="H3319" s="8">
        <v>0</v>
      </c>
      <c r="I3319" s="8">
        <f t="shared" si="114"/>
        <v>49260.010000000009</v>
      </c>
      <c r="J3319" s="12"/>
    </row>
    <row r="3320" spans="3:10" x14ac:dyDescent="0.3">
      <c r="C3320" s="9"/>
      <c r="D3320" s="10">
        <v>45898</v>
      </c>
      <c r="E3320" t="s">
        <v>2543</v>
      </c>
      <c r="F3320" s="11" t="s">
        <v>213</v>
      </c>
      <c r="G3320" s="8">
        <v>8.18</v>
      </c>
      <c r="H3320" s="8">
        <v>0</v>
      </c>
      <c r="I3320" s="8">
        <f t="shared" si="114"/>
        <v>49268.19000000001</v>
      </c>
      <c r="J3320" s="12"/>
    </row>
    <row r="3321" spans="3:10" x14ac:dyDescent="0.3">
      <c r="C3321" s="9"/>
      <c r="D3321" s="10">
        <v>45898</v>
      </c>
      <c r="E3321" t="s">
        <v>2646</v>
      </c>
      <c r="F3321" s="11" t="s">
        <v>448</v>
      </c>
      <c r="G3321" s="8">
        <v>140.76</v>
      </c>
      <c r="H3321" s="8">
        <v>0</v>
      </c>
      <c r="I3321" s="8">
        <f t="shared" si="114"/>
        <v>49408.950000000012</v>
      </c>
      <c r="J3321" s="12"/>
    </row>
    <row r="3322" spans="3:10" x14ac:dyDescent="0.3">
      <c r="C3322" s="9"/>
      <c r="D3322" s="10">
        <v>45898</v>
      </c>
      <c r="E3322" t="s">
        <v>2461</v>
      </c>
      <c r="F3322" s="11" t="s">
        <v>294</v>
      </c>
      <c r="G3322" s="8">
        <v>67.290000000000006</v>
      </c>
      <c r="H3322" s="8">
        <v>0</v>
      </c>
      <c r="I3322" s="8">
        <f t="shared" si="114"/>
        <v>49476.240000000013</v>
      </c>
      <c r="J3322" s="12"/>
    </row>
    <row r="3323" spans="3:10" x14ac:dyDescent="0.3">
      <c r="C3323" s="9"/>
      <c r="D3323" s="10">
        <v>45898</v>
      </c>
      <c r="E3323" t="s">
        <v>2456</v>
      </c>
      <c r="F3323" s="11" t="s">
        <v>273</v>
      </c>
      <c r="G3323" s="8">
        <v>61.47</v>
      </c>
      <c r="H3323" s="8">
        <v>0</v>
      </c>
      <c r="I3323" s="8">
        <f t="shared" si="114"/>
        <v>49537.710000000014</v>
      </c>
      <c r="J3323" s="12"/>
    </row>
    <row r="3324" spans="3:10" x14ac:dyDescent="0.3">
      <c r="C3324" s="9"/>
      <c r="D3324" s="10">
        <v>45898</v>
      </c>
      <c r="E3324" t="s">
        <v>2434</v>
      </c>
      <c r="F3324" s="11" t="s">
        <v>736</v>
      </c>
      <c r="G3324" s="8">
        <v>2.4700000000000002</v>
      </c>
      <c r="H3324" s="8">
        <v>0</v>
      </c>
      <c r="I3324" s="8">
        <f t="shared" si="114"/>
        <v>49540.180000000015</v>
      </c>
      <c r="J3324" s="12"/>
    </row>
    <row r="3325" spans="3:10" x14ac:dyDescent="0.3">
      <c r="C3325" s="9"/>
      <c r="D3325" s="10">
        <v>45899</v>
      </c>
      <c r="E3325" t="s">
        <v>2448</v>
      </c>
      <c r="F3325" s="11" t="s">
        <v>229</v>
      </c>
      <c r="G3325" s="8">
        <v>23.06</v>
      </c>
      <c r="H3325" s="8">
        <v>0</v>
      </c>
      <c r="I3325" s="8">
        <f t="shared" si="114"/>
        <v>49563.240000000013</v>
      </c>
      <c r="J3325" s="12"/>
    </row>
    <row r="3326" spans="3:10" x14ac:dyDescent="0.3">
      <c r="C3326" s="9"/>
      <c r="D3326" s="10">
        <v>45899</v>
      </c>
      <c r="E3326" t="s">
        <v>2589</v>
      </c>
      <c r="F3326" s="11" t="s">
        <v>319</v>
      </c>
      <c r="G3326" s="8">
        <v>202.65</v>
      </c>
      <c r="H3326" s="8">
        <v>0</v>
      </c>
      <c r="I3326" s="8">
        <f t="shared" si="114"/>
        <v>49765.890000000014</v>
      </c>
      <c r="J3326" s="12"/>
    </row>
    <row r="3327" spans="3:10" x14ac:dyDescent="0.3">
      <c r="C3327" s="9"/>
      <c r="D3327" s="10">
        <v>45900</v>
      </c>
      <c r="E3327" t="s">
        <v>2463</v>
      </c>
      <c r="F3327" s="11" t="s">
        <v>548</v>
      </c>
      <c r="G3327" s="8">
        <v>11.97</v>
      </c>
      <c r="H3327" s="8">
        <v>0</v>
      </c>
      <c r="I3327" s="8">
        <f t="shared" si="114"/>
        <v>49777.860000000015</v>
      </c>
      <c r="J3327" s="12"/>
    </row>
    <row r="3328" spans="3:10" x14ac:dyDescent="0.3">
      <c r="C3328" s="9"/>
      <c r="D3328" s="10">
        <v>45900</v>
      </c>
      <c r="E3328" t="s">
        <v>2650</v>
      </c>
      <c r="F3328" s="11" t="s">
        <v>947</v>
      </c>
      <c r="G3328" s="8">
        <v>80.92</v>
      </c>
      <c r="H3328" s="8">
        <v>0</v>
      </c>
      <c r="I3328" s="8">
        <f t="shared" si="114"/>
        <v>49858.780000000013</v>
      </c>
      <c r="J3328" s="12"/>
    </row>
    <row r="3329" spans="3:10" x14ac:dyDescent="0.3">
      <c r="C3329" s="9"/>
      <c r="D3329" s="10">
        <v>45900</v>
      </c>
      <c r="E3329" t="s">
        <v>2465</v>
      </c>
      <c r="F3329" s="11" t="s">
        <v>837</v>
      </c>
      <c r="G3329" s="8">
        <v>32.08</v>
      </c>
      <c r="H3329" s="8">
        <v>0</v>
      </c>
      <c r="I3329" s="8">
        <f t="shared" si="114"/>
        <v>49890.860000000015</v>
      </c>
      <c r="J3329" s="12"/>
    </row>
    <row r="3330" spans="3:10" x14ac:dyDescent="0.3">
      <c r="C3330" s="9"/>
      <c r="D3330" s="10">
        <v>45900</v>
      </c>
      <c r="E3330" t="s">
        <v>2465</v>
      </c>
      <c r="F3330" s="11" t="s">
        <v>839</v>
      </c>
      <c r="G3330" s="8">
        <v>24.96</v>
      </c>
      <c r="H3330" s="8">
        <v>0</v>
      </c>
      <c r="I3330" s="8">
        <f t="shared" si="114"/>
        <v>49915.820000000014</v>
      </c>
      <c r="J3330" s="12"/>
    </row>
    <row r="3331" spans="3:10" x14ac:dyDescent="0.3">
      <c r="C3331" s="9"/>
      <c r="D3331" s="10">
        <v>45901</v>
      </c>
      <c r="E3331" t="s">
        <v>2696</v>
      </c>
      <c r="F3331" s="11" t="s">
        <v>788</v>
      </c>
      <c r="G3331" s="8">
        <v>108.15</v>
      </c>
      <c r="H3331" s="8">
        <v>0</v>
      </c>
      <c r="I3331" s="8">
        <f t="shared" si="114"/>
        <v>50023.970000000016</v>
      </c>
      <c r="J3331" s="12"/>
    </row>
    <row r="3332" spans="3:10" x14ac:dyDescent="0.3">
      <c r="C3332" s="9"/>
      <c r="D3332" s="10">
        <v>45901</v>
      </c>
      <c r="E3332" t="s">
        <v>2567</v>
      </c>
      <c r="F3332" s="11" t="s">
        <v>921</v>
      </c>
      <c r="G3332" s="8">
        <v>124.07</v>
      </c>
      <c r="H3332" s="8">
        <v>0</v>
      </c>
      <c r="I3332" s="8">
        <f t="shared" si="114"/>
        <v>50148.040000000015</v>
      </c>
      <c r="J3332" s="12"/>
    </row>
    <row r="3333" spans="3:10" x14ac:dyDescent="0.3">
      <c r="C3333" s="9"/>
      <c r="D3333" s="10">
        <v>45901</v>
      </c>
      <c r="E3333" t="s">
        <v>2690</v>
      </c>
      <c r="F3333" s="11" t="s">
        <v>1019</v>
      </c>
      <c r="G3333" s="8">
        <v>66.45</v>
      </c>
      <c r="H3333" s="8">
        <v>0</v>
      </c>
      <c r="I3333" s="8">
        <f t="shared" si="114"/>
        <v>50214.490000000013</v>
      </c>
      <c r="J3333" s="12"/>
    </row>
    <row r="3334" spans="3:10" x14ac:dyDescent="0.3">
      <c r="C3334" s="9"/>
      <c r="D3334" s="10">
        <v>45901</v>
      </c>
      <c r="E3334" t="s">
        <v>2447</v>
      </c>
      <c r="F3334" s="11" t="s">
        <v>178</v>
      </c>
      <c r="G3334" s="8">
        <v>709.07</v>
      </c>
      <c r="H3334" s="8">
        <v>0</v>
      </c>
      <c r="I3334" s="8">
        <f t="shared" si="114"/>
        <v>50923.560000000012</v>
      </c>
      <c r="J3334" s="12"/>
    </row>
    <row r="3335" spans="3:10" x14ac:dyDescent="0.3">
      <c r="C3335" s="9"/>
      <c r="D3335" s="10">
        <v>45901</v>
      </c>
      <c r="E3335" t="s">
        <v>2697</v>
      </c>
      <c r="F3335" s="11" t="s">
        <v>2698</v>
      </c>
      <c r="G3335" s="8">
        <v>34.229999999999997</v>
      </c>
      <c r="H3335" s="8">
        <v>0</v>
      </c>
      <c r="I3335" s="8">
        <f t="shared" si="114"/>
        <v>50957.790000000015</v>
      </c>
      <c r="J3335" s="12"/>
    </row>
    <row r="3336" spans="3:10" x14ac:dyDescent="0.3">
      <c r="C3336" s="9"/>
      <c r="D3336" s="10">
        <v>45901</v>
      </c>
      <c r="E3336" t="s">
        <v>2443</v>
      </c>
      <c r="F3336" s="11" t="s">
        <v>2699</v>
      </c>
      <c r="G3336" s="8">
        <v>1.26</v>
      </c>
      <c r="H3336" s="8">
        <v>0</v>
      </c>
      <c r="I3336" s="8">
        <f t="shared" si="114"/>
        <v>50959.050000000017</v>
      </c>
      <c r="J3336" s="12"/>
    </row>
    <row r="3337" spans="3:10" x14ac:dyDescent="0.3">
      <c r="C3337" s="9"/>
      <c r="D3337" s="10">
        <v>45901</v>
      </c>
      <c r="E3337" t="s">
        <v>2426</v>
      </c>
      <c r="F3337" s="11" t="s">
        <v>2700</v>
      </c>
      <c r="G3337" s="8">
        <v>8.9</v>
      </c>
      <c r="H3337" s="8">
        <v>0</v>
      </c>
      <c r="I3337" s="8">
        <f t="shared" si="114"/>
        <v>50967.950000000019</v>
      </c>
      <c r="J3337" s="12"/>
    </row>
    <row r="3338" spans="3:10" x14ac:dyDescent="0.3">
      <c r="C3338" s="9"/>
      <c r="D3338" s="10">
        <v>45901</v>
      </c>
      <c r="E3338" t="s">
        <v>2434</v>
      </c>
      <c r="F3338" s="11" t="s">
        <v>738</v>
      </c>
      <c r="G3338" s="8">
        <v>1.23</v>
      </c>
      <c r="H3338" s="8">
        <v>0</v>
      </c>
      <c r="I3338" s="8">
        <f t="shared" si="114"/>
        <v>50969.180000000022</v>
      </c>
      <c r="J3338" s="12"/>
    </row>
    <row r="3339" spans="3:10" x14ac:dyDescent="0.3">
      <c r="C3339" s="9"/>
      <c r="D3339" s="10">
        <v>45901</v>
      </c>
      <c r="E3339" t="s">
        <v>2442</v>
      </c>
      <c r="F3339" s="11" t="s">
        <v>578</v>
      </c>
      <c r="G3339" s="8">
        <v>124.98</v>
      </c>
      <c r="H3339" s="8">
        <v>0</v>
      </c>
      <c r="I3339" s="8">
        <f t="shared" si="114"/>
        <v>51094.160000000025</v>
      </c>
      <c r="J3339" s="12"/>
    </row>
    <row r="3340" spans="3:10" x14ac:dyDescent="0.3">
      <c r="C3340" s="9"/>
      <c r="D3340" s="10">
        <v>45901</v>
      </c>
      <c r="E3340" t="s">
        <v>2473</v>
      </c>
      <c r="F3340" s="11" t="s">
        <v>2701</v>
      </c>
      <c r="G3340" s="8">
        <v>6.99</v>
      </c>
      <c r="H3340" s="8">
        <v>0</v>
      </c>
      <c r="I3340" s="8">
        <f t="shared" si="114"/>
        <v>51101.150000000023</v>
      </c>
      <c r="J3340" s="12"/>
    </row>
    <row r="3341" spans="3:10" x14ac:dyDescent="0.3">
      <c r="C3341" s="9"/>
      <c r="D3341" s="10">
        <v>45902</v>
      </c>
      <c r="E3341" t="s">
        <v>2447</v>
      </c>
      <c r="F3341" s="11" t="s">
        <v>180</v>
      </c>
      <c r="G3341" s="8">
        <v>23.09</v>
      </c>
      <c r="H3341" s="8">
        <v>0</v>
      </c>
      <c r="I3341" s="8">
        <f t="shared" si="114"/>
        <v>51124.24000000002</v>
      </c>
      <c r="J3341" s="12"/>
    </row>
    <row r="3342" spans="3:10" x14ac:dyDescent="0.3">
      <c r="C3342" s="9"/>
      <c r="D3342" s="10">
        <v>45902</v>
      </c>
      <c r="E3342" t="s">
        <v>2434</v>
      </c>
      <c r="F3342" s="11" t="s">
        <v>740</v>
      </c>
      <c r="G3342" s="8">
        <v>1.65</v>
      </c>
      <c r="H3342" s="8">
        <v>0</v>
      </c>
      <c r="I3342" s="8">
        <f t="shared" si="114"/>
        <v>51125.890000000021</v>
      </c>
      <c r="J3342" s="12"/>
    </row>
    <row r="3343" spans="3:10" x14ac:dyDescent="0.3">
      <c r="C3343" s="9"/>
      <c r="D3343" s="10">
        <v>45903</v>
      </c>
      <c r="E3343" t="s">
        <v>2434</v>
      </c>
      <c r="F3343" s="11" t="s">
        <v>742</v>
      </c>
      <c r="G3343" s="8">
        <v>0.41</v>
      </c>
      <c r="H3343" s="8">
        <v>0</v>
      </c>
      <c r="I3343" s="8">
        <f t="shared" si="114"/>
        <v>51126.300000000025</v>
      </c>
      <c r="J3343" s="12"/>
    </row>
    <row r="3344" spans="3:10" x14ac:dyDescent="0.3">
      <c r="C3344" s="9"/>
      <c r="D3344" s="10">
        <v>45903</v>
      </c>
      <c r="E3344" t="s">
        <v>2535</v>
      </c>
      <c r="F3344" s="11" t="s">
        <v>901</v>
      </c>
      <c r="G3344" s="8">
        <v>103.39</v>
      </c>
      <c r="H3344" s="8">
        <v>0</v>
      </c>
      <c r="I3344" s="8">
        <f t="shared" si="114"/>
        <v>51229.690000000024</v>
      </c>
      <c r="J3344" s="12"/>
    </row>
    <row r="3345" spans="3:10" x14ac:dyDescent="0.3">
      <c r="C3345" s="9"/>
      <c r="D3345" s="10">
        <v>45904</v>
      </c>
      <c r="E3345" t="s">
        <v>2434</v>
      </c>
      <c r="F3345" s="11" t="s">
        <v>744</v>
      </c>
      <c r="G3345" s="8">
        <v>0.82</v>
      </c>
      <c r="H3345" s="8">
        <v>0</v>
      </c>
      <c r="I3345" s="8">
        <f t="shared" si="114"/>
        <v>51230.510000000024</v>
      </c>
      <c r="J3345" s="12"/>
    </row>
    <row r="3346" spans="3:10" x14ac:dyDescent="0.3">
      <c r="C3346" s="9"/>
      <c r="D3346" s="10">
        <v>45905</v>
      </c>
      <c r="E3346" t="s">
        <v>2434</v>
      </c>
      <c r="F3346" s="11" t="s">
        <v>746</v>
      </c>
      <c r="G3346" s="8">
        <v>1.65</v>
      </c>
      <c r="H3346" s="8">
        <v>0</v>
      </c>
      <c r="I3346" s="8">
        <f t="shared" ref="I3346:I3409" si="115">G3346-H3346+I3345</f>
        <v>51232.160000000025</v>
      </c>
      <c r="J3346" s="12"/>
    </row>
    <row r="3347" spans="3:10" x14ac:dyDescent="0.3">
      <c r="C3347" s="9"/>
      <c r="D3347" s="10">
        <v>45905</v>
      </c>
      <c r="E3347" t="s">
        <v>2434</v>
      </c>
      <c r="F3347" s="11" t="s">
        <v>748</v>
      </c>
      <c r="G3347" s="8">
        <v>4.74</v>
      </c>
      <c r="H3347" s="8">
        <v>0</v>
      </c>
      <c r="I3347" s="8">
        <f t="shared" si="115"/>
        <v>51236.900000000023</v>
      </c>
      <c r="J3347" s="12"/>
    </row>
    <row r="3348" spans="3:10" x14ac:dyDescent="0.3">
      <c r="C3348" s="9"/>
      <c r="D3348" s="10">
        <v>45905</v>
      </c>
      <c r="E3348" t="s">
        <v>2441</v>
      </c>
      <c r="F3348" s="11" t="s">
        <v>115</v>
      </c>
      <c r="G3348" s="8">
        <v>3.15</v>
      </c>
      <c r="H3348" s="8">
        <v>0</v>
      </c>
      <c r="I3348" s="8">
        <f t="shared" si="115"/>
        <v>51240.050000000025</v>
      </c>
      <c r="J3348" s="12"/>
    </row>
    <row r="3349" spans="3:10" x14ac:dyDescent="0.3">
      <c r="C3349" s="9"/>
      <c r="D3349" s="10">
        <v>45905</v>
      </c>
      <c r="E3349" t="s">
        <v>2619</v>
      </c>
      <c r="F3349" s="11" t="s">
        <v>432</v>
      </c>
      <c r="G3349" s="8">
        <v>20.37</v>
      </c>
      <c r="H3349" s="8">
        <v>0</v>
      </c>
      <c r="I3349" s="8">
        <f t="shared" si="115"/>
        <v>51260.420000000027</v>
      </c>
      <c r="J3349" s="12"/>
    </row>
    <row r="3350" spans="3:10" x14ac:dyDescent="0.3">
      <c r="C3350" s="9"/>
      <c r="D3350" s="10">
        <v>45908</v>
      </c>
      <c r="E3350" t="s">
        <v>2434</v>
      </c>
      <c r="F3350" s="11" t="s">
        <v>750</v>
      </c>
      <c r="G3350" s="8">
        <v>0.82</v>
      </c>
      <c r="H3350" s="8">
        <v>0</v>
      </c>
      <c r="I3350" s="8">
        <f t="shared" si="115"/>
        <v>51261.240000000027</v>
      </c>
      <c r="J3350" s="12"/>
    </row>
    <row r="3351" spans="3:10" x14ac:dyDescent="0.3">
      <c r="C3351" s="9"/>
      <c r="D3351" s="10">
        <v>45908</v>
      </c>
      <c r="E3351" t="s">
        <v>2456</v>
      </c>
      <c r="F3351" s="11" t="s">
        <v>275</v>
      </c>
      <c r="G3351" s="8">
        <v>454.43</v>
      </c>
      <c r="H3351" s="8">
        <v>0</v>
      </c>
      <c r="I3351" s="8">
        <f t="shared" si="115"/>
        <v>51715.670000000027</v>
      </c>
      <c r="J3351" s="12"/>
    </row>
    <row r="3352" spans="3:10" x14ac:dyDescent="0.3">
      <c r="C3352" s="9"/>
      <c r="D3352" s="10">
        <v>45908</v>
      </c>
      <c r="E3352" t="s">
        <v>2445</v>
      </c>
      <c r="F3352" s="11" t="s">
        <v>2702</v>
      </c>
      <c r="G3352" s="8">
        <v>34.65</v>
      </c>
      <c r="H3352" s="8">
        <v>0</v>
      </c>
      <c r="I3352" s="8">
        <f t="shared" si="115"/>
        <v>51750.320000000029</v>
      </c>
      <c r="J3352" s="12"/>
    </row>
    <row r="3353" spans="3:10" x14ac:dyDescent="0.3">
      <c r="C3353" s="9"/>
      <c r="D3353" s="10">
        <v>45909</v>
      </c>
      <c r="E3353" t="s">
        <v>2703</v>
      </c>
      <c r="F3353" s="11" t="s">
        <v>459</v>
      </c>
      <c r="G3353" s="8">
        <v>5.53</v>
      </c>
      <c r="H3353" s="8">
        <v>0</v>
      </c>
      <c r="I3353" s="8">
        <f t="shared" si="115"/>
        <v>51755.850000000028</v>
      </c>
      <c r="J3353" s="12"/>
    </row>
    <row r="3354" spans="3:10" x14ac:dyDescent="0.3">
      <c r="C3354" s="9"/>
      <c r="D3354" s="10">
        <v>45910</v>
      </c>
      <c r="E3354" t="s">
        <v>2434</v>
      </c>
      <c r="F3354" s="11" t="s">
        <v>752</v>
      </c>
      <c r="G3354" s="8">
        <v>1.65</v>
      </c>
      <c r="H3354" s="8">
        <v>0</v>
      </c>
      <c r="I3354" s="8">
        <f t="shared" si="115"/>
        <v>51757.500000000029</v>
      </c>
      <c r="J3354" s="12"/>
    </row>
    <row r="3355" spans="3:10" x14ac:dyDescent="0.3">
      <c r="C3355" s="9"/>
      <c r="D3355" s="10">
        <v>45910</v>
      </c>
      <c r="E3355" t="s">
        <v>2434</v>
      </c>
      <c r="F3355" s="11" t="s">
        <v>754</v>
      </c>
      <c r="G3355" s="8">
        <v>13.8</v>
      </c>
      <c r="H3355" s="8">
        <v>0</v>
      </c>
      <c r="I3355" s="8">
        <f t="shared" si="115"/>
        <v>51771.300000000032</v>
      </c>
      <c r="J3355" s="12"/>
    </row>
    <row r="3356" spans="3:10" x14ac:dyDescent="0.3">
      <c r="C3356" s="9"/>
      <c r="D3356" s="10">
        <v>45910</v>
      </c>
      <c r="E3356" t="s">
        <v>2449</v>
      </c>
      <c r="F3356" s="11" t="s">
        <v>776</v>
      </c>
      <c r="G3356" s="8">
        <v>16.77</v>
      </c>
      <c r="H3356" s="8">
        <v>0</v>
      </c>
      <c r="I3356" s="8">
        <f t="shared" si="115"/>
        <v>51788.070000000029</v>
      </c>
      <c r="J3356" s="12"/>
    </row>
    <row r="3357" spans="3:10" x14ac:dyDescent="0.3">
      <c r="C3357" s="9"/>
      <c r="D3357" s="10">
        <v>45910</v>
      </c>
      <c r="E3357" t="s">
        <v>2461</v>
      </c>
      <c r="F3357" s="11" t="s">
        <v>296</v>
      </c>
      <c r="G3357" s="8">
        <v>23.43</v>
      </c>
      <c r="H3357" s="8">
        <v>0</v>
      </c>
      <c r="I3357" s="8">
        <f t="shared" si="115"/>
        <v>51811.500000000029</v>
      </c>
      <c r="J3357" s="12"/>
    </row>
    <row r="3358" spans="3:10" x14ac:dyDescent="0.3">
      <c r="C3358" s="9"/>
      <c r="D3358" s="10">
        <v>45911</v>
      </c>
      <c r="E3358" t="s">
        <v>2434</v>
      </c>
      <c r="F3358" s="11" t="s">
        <v>756</v>
      </c>
      <c r="G3358" s="8">
        <v>2.06</v>
      </c>
      <c r="H3358" s="8">
        <v>0</v>
      </c>
      <c r="I3358" s="8">
        <f t="shared" si="115"/>
        <v>51813.560000000027</v>
      </c>
      <c r="J3358" s="12"/>
    </row>
    <row r="3359" spans="3:10" x14ac:dyDescent="0.3">
      <c r="C3359" s="9"/>
      <c r="D3359" s="10">
        <v>45911</v>
      </c>
      <c r="E3359" t="s">
        <v>2513</v>
      </c>
      <c r="F3359" s="11" t="s">
        <v>2704</v>
      </c>
      <c r="G3359" s="8">
        <v>9.43</v>
      </c>
      <c r="H3359" s="8">
        <v>0</v>
      </c>
      <c r="I3359" s="8">
        <f t="shared" si="115"/>
        <v>51822.990000000027</v>
      </c>
      <c r="J3359" s="12"/>
    </row>
    <row r="3360" spans="3:10" x14ac:dyDescent="0.3">
      <c r="C3360" s="9"/>
      <c r="D3360" s="10">
        <v>45912</v>
      </c>
      <c r="E3360" t="s">
        <v>2434</v>
      </c>
      <c r="F3360" s="11" t="s">
        <v>758</v>
      </c>
      <c r="G3360" s="8">
        <v>0.82</v>
      </c>
      <c r="H3360" s="8">
        <v>0</v>
      </c>
      <c r="I3360" s="8">
        <f t="shared" si="115"/>
        <v>51823.810000000027</v>
      </c>
      <c r="J3360" s="12"/>
    </row>
    <row r="3361" spans="3:10" x14ac:dyDescent="0.3">
      <c r="C3361" s="9"/>
      <c r="D3361" s="10">
        <v>45912</v>
      </c>
      <c r="E3361" t="s">
        <v>2434</v>
      </c>
      <c r="F3361" s="11" t="s">
        <v>760</v>
      </c>
      <c r="G3361" s="8">
        <v>4.43</v>
      </c>
      <c r="H3361" s="8">
        <v>0</v>
      </c>
      <c r="I3361" s="8">
        <f t="shared" si="115"/>
        <v>51828.240000000027</v>
      </c>
      <c r="J3361" s="12"/>
    </row>
    <row r="3362" spans="3:10" x14ac:dyDescent="0.3">
      <c r="C3362" s="9"/>
      <c r="D3362" s="10">
        <v>45912</v>
      </c>
      <c r="E3362" t="s">
        <v>2456</v>
      </c>
      <c r="F3362" s="11" t="s">
        <v>277</v>
      </c>
      <c r="G3362" s="8">
        <v>442.26</v>
      </c>
      <c r="H3362" s="8">
        <v>0</v>
      </c>
      <c r="I3362" s="8">
        <f t="shared" si="115"/>
        <v>52270.500000000029</v>
      </c>
      <c r="J3362" s="12"/>
    </row>
    <row r="3363" spans="3:10" x14ac:dyDescent="0.3">
      <c r="C3363" s="9"/>
      <c r="D3363" s="10">
        <v>45912</v>
      </c>
      <c r="E3363" t="s">
        <v>2543</v>
      </c>
      <c r="F3363" s="11" t="s">
        <v>215</v>
      </c>
      <c r="G3363" s="8">
        <v>16.989999999999998</v>
      </c>
      <c r="H3363" s="8">
        <v>0</v>
      </c>
      <c r="I3363" s="8">
        <f t="shared" si="115"/>
        <v>52287.490000000027</v>
      </c>
      <c r="J3363" s="12"/>
    </row>
    <row r="3364" spans="3:10" x14ac:dyDescent="0.3">
      <c r="C3364" s="9"/>
      <c r="D3364" s="10">
        <v>45913</v>
      </c>
      <c r="E3364" t="s">
        <v>2429</v>
      </c>
      <c r="F3364" s="11" t="s">
        <v>2705</v>
      </c>
      <c r="G3364" s="8">
        <v>28.39</v>
      </c>
      <c r="H3364" s="8">
        <v>0</v>
      </c>
      <c r="I3364" s="8">
        <f t="shared" si="115"/>
        <v>52315.880000000026</v>
      </c>
      <c r="J3364" s="12"/>
    </row>
    <row r="3365" spans="3:10" x14ac:dyDescent="0.3">
      <c r="C3365" s="9"/>
      <c r="D3365" s="10">
        <v>45913</v>
      </c>
      <c r="E3365" t="s">
        <v>2646</v>
      </c>
      <c r="F3365" s="11" t="s">
        <v>450</v>
      </c>
      <c r="G3365" s="8">
        <v>31.21</v>
      </c>
      <c r="H3365" s="8">
        <v>0</v>
      </c>
      <c r="I3365" s="8">
        <f t="shared" si="115"/>
        <v>52347.090000000026</v>
      </c>
      <c r="J3365" s="12"/>
    </row>
    <row r="3366" spans="3:10" x14ac:dyDescent="0.3">
      <c r="C3366" s="9"/>
      <c r="D3366" s="10">
        <v>45915</v>
      </c>
      <c r="E3366" t="s">
        <v>2434</v>
      </c>
      <c r="F3366" s="11" t="s">
        <v>762</v>
      </c>
      <c r="G3366" s="8">
        <v>2.4700000000000002</v>
      </c>
      <c r="H3366" s="8">
        <v>0</v>
      </c>
      <c r="I3366" s="8">
        <f t="shared" si="115"/>
        <v>52349.560000000027</v>
      </c>
      <c r="J3366" s="12"/>
    </row>
    <row r="3367" spans="3:10" x14ac:dyDescent="0.3">
      <c r="C3367" s="9"/>
      <c r="D3367" s="10">
        <v>45915</v>
      </c>
      <c r="E3367" t="s">
        <v>2500</v>
      </c>
      <c r="F3367" s="11" t="s">
        <v>200</v>
      </c>
      <c r="G3367" s="8">
        <v>83.79</v>
      </c>
      <c r="H3367" s="8">
        <v>0</v>
      </c>
      <c r="I3367" s="8">
        <f t="shared" si="115"/>
        <v>52433.350000000028</v>
      </c>
      <c r="J3367" s="12"/>
    </row>
    <row r="3368" spans="3:10" x14ac:dyDescent="0.3">
      <c r="C3368" s="9"/>
      <c r="D3368" s="10">
        <v>45915</v>
      </c>
      <c r="E3368" t="s">
        <v>2589</v>
      </c>
      <c r="F3368" s="11" t="s">
        <v>321</v>
      </c>
      <c r="G3368" s="8">
        <v>51.45</v>
      </c>
      <c r="H3368" s="8">
        <v>0</v>
      </c>
      <c r="I3368" s="8">
        <f t="shared" si="115"/>
        <v>52484.800000000025</v>
      </c>
      <c r="J3368" s="12"/>
    </row>
    <row r="3369" spans="3:10" x14ac:dyDescent="0.3">
      <c r="C3369" s="9"/>
      <c r="D3369" s="10">
        <v>45915</v>
      </c>
      <c r="E3369" t="s">
        <v>2454</v>
      </c>
      <c r="F3369" s="11" t="s">
        <v>2706</v>
      </c>
      <c r="G3369" s="8">
        <v>139.65</v>
      </c>
      <c r="H3369" s="8">
        <v>0</v>
      </c>
      <c r="I3369" s="8">
        <f t="shared" si="115"/>
        <v>52624.450000000026</v>
      </c>
      <c r="J3369" s="12"/>
    </row>
    <row r="3370" spans="3:10" x14ac:dyDescent="0.3">
      <c r="C3370" s="9"/>
      <c r="D3370" s="10">
        <v>45918</v>
      </c>
      <c r="E3370" t="s">
        <v>2655</v>
      </c>
      <c r="F3370" s="11" t="s">
        <v>977</v>
      </c>
      <c r="G3370" s="8">
        <v>54.01</v>
      </c>
      <c r="H3370" s="8">
        <v>0</v>
      </c>
      <c r="I3370" s="8">
        <f t="shared" si="115"/>
        <v>52678.460000000028</v>
      </c>
      <c r="J3370" s="12"/>
    </row>
    <row r="3371" spans="3:10" x14ac:dyDescent="0.3">
      <c r="C3371" s="9"/>
      <c r="D3371" s="10">
        <v>45918</v>
      </c>
      <c r="E3371" t="s">
        <v>2655</v>
      </c>
      <c r="F3371" s="11" t="s">
        <v>978</v>
      </c>
      <c r="G3371" s="8">
        <v>14025.9</v>
      </c>
      <c r="H3371" s="8">
        <v>0</v>
      </c>
      <c r="I3371" s="8">
        <f t="shared" si="115"/>
        <v>66704.36000000003</v>
      </c>
      <c r="J3371" s="12">
        <v>410000248</v>
      </c>
    </row>
    <row r="3372" spans="3:10" x14ac:dyDescent="0.3">
      <c r="C3372" s="9"/>
      <c r="D3372" s="10">
        <v>45919</v>
      </c>
      <c r="E3372" t="s">
        <v>2429</v>
      </c>
      <c r="F3372" s="11" t="s">
        <v>2707</v>
      </c>
      <c r="G3372" s="8">
        <v>59.85</v>
      </c>
      <c r="H3372" s="8">
        <v>0</v>
      </c>
      <c r="I3372" s="8">
        <f t="shared" si="115"/>
        <v>66764.210000000036</v>
      </c>
      <c r="J3372" s="12"/>
    </row>
    <row r="3373" spans="3:10" x14ac:dyDescent="0.3">
      <c r="C3373" s="9"/>
      <c r="D3373" s="10">
        <v>45919</v>
      </c>
      <c r="E3373" t="s">
        <v>2456</v>
      </c>
      <c r="F3373" s="11" t="s">
        <v>279</v>
      </c>
      <c r="G3373" s="8">
        <v>154.80000000000001</v>
      </c>
      <c r="H3373" s="8">
        <v>0</v>
      </c>
      <c r="I3373" s="8">
        <f t="shared" si="115"/>
        <v>66919.010000000038</v>
      </c>
      <c r="J3373" s="12"/>
    </row>
    <row r="3374" spans="3:10" x14ac:dyDescent="0.3">
      <c r="C3374" s="9"/>
      <c r="D3374" s="10">
        <v>45919</v>
      </c>
      <c r="E3374" t="s">
        <v>2431</v>
      </c>
      <c r="F3374" s="11" t="s">
        <v>801</v>
      </c>
      <c r="G3374" s="8">
        <v>62.36</v>
      </c>
      <c r="H3374" s="8">
        <v>0</v>
      </c>
      <c r="I3374" s="8">
        <f t="shared" si="115"/>
        <v>66981.370000000039</v>
      </c>
      <c r="J3374" s="12"/>
    </row>
    <row r="3375" spans="3:10" x14ac:dyDescent="0.3">
      <c r="C3375" s="9"/>
      <c r="D3375" s="10">
        <v>45919</v>
      </c>
      <c r="E3375" t="s">
        <v>2708</v>
      </c>
      <c r="F3375" s="11" t="s">
        <v>2709</v>
      </c>
      <c r="G3375" s="8">
        <v>9.4700000000000006</v>
      </c>
      <c r="H3375" s="8">
        <v>0</v>
      </c>
      <c r="I3375" s="8">
        <f t="shared" si="115"/>
        <v>66990.84000000004</v>
      </c>
      <c r="J3375" s="12"/>
    </row>
    <row r="3376" spans="3:10" x14ac:dyDescent="0.3">
      <c r="C3376" s="9"/>
      <c r="D3376" s="10">
        <v>45919</v>
      </c>
      <c r="E3376" t="s">
        <v>2708</v>
      </c>
      <c r="F3376" s="11" t="s">
        <v>2710</v>
      </c>
      <c r="G3376" s="8">
        <v>11.19</v>
      </c>
      <c r="H3376" s="8">
        <v>0</v>
      </c>
      <c r="I3376" s="8">
        <f t="shared" si="115"/>
        <v>67002.030000000042</v>
      </c>
      <c r="J3376" s="12"/>
    </row>
    <row r="3377" spans="1:10" x14ac:dyDescent="0.3">
      <c r="E3377" s="4" t="s">
        <v>116</v>
      </c>
      <c r="G3377" s="8">
        <f>SUM(G2705:G3376)</f>
        <v>110510.31000000001</v>
      </c>
      <c r="H3377" s="8">
        <f>SUM(H2705:H3376)</f>
        <v>43508.28</v>
      </c>
      <c r="I3377" s="8">
        <f>G3377-H3377</f>
        <v>67002.030000000013</v>
      </c>
    </row>
    <row r="3379" spans="1:10" x14ac:dyDescent="0.3">
      <c r="A3379" s="5">
        <v>473000000</v>
      </c>
      <c r="B3379" s="6" t="s">
        <v>2711</v>
      </c>
      <c r="C3379" s="7"/>
      <c r="D3379" s="7"/>
      <c r="E3379" s="7"/>
      <c r="F3379" s="7"/>
      <c r="G3379" s="7"/>
      <c r="H3379" s="7"/>
      <c r="I3379" s="7"/>
      <c r="J3379" s="7"/>
    </row>
    <row r="3380" spans="1:10" x14ac:dyDescent="0.3">
      <c r="C3380" s="9"/>
      <c r="D3380" s="10">
        <v>45769</v>
      </c>
      <c r="E3380" t="s">
        <v>2712</v>
      </c>
      <c r="F3380" s="11" t="s">
        <v>14</v>
      </c>
      <c r="G3380" s="8">
        <v>364.38</v>
      </c>
      <c r="H3380" s="8">
        <v>0</v>
      </c>
      <c r="I3380" s="8">
        <f>G3380-H3380</f>
        <v>364.38</v>
      </c>
      <c r="J3380" s="12">
        <v>572000007</v>
      </c>
    </row>
    <row r="3381" spans="1:10" x14ac:dyDescent="0.3">
      <c r="E3381" s="4" t="s">
        <v>116</v>
      </c>
      <c r="G3381" s="8">
        <f>G3380</f>
        <v>364.38</v>
      </c>
      <c r="H3381" s="8">
        <f>H3380</f>
        <v>0</v>
      </c>
      <c r="I3381" s="8">
        <f>G3381-H3381</f>
        <v>364.38</v>
      </c>
    </row>
    <row r="3383" spans="1:10" x14ac:dyDescent="0.3">
      <c r="A3383" s="5">
        <v>475000001</v>
      </c>
      <c r="B3383" s="6" t="s">
        <v>2713</v>
      </c>
      <c r="C3383" s="7"/>
      <c r="D3383" s="7"/>
      <c r="E3383" s="7"/>
      <c r="F3383" s="7"/>
      <c r="G3383" s="7"/>
      <c r="H3383" s="7"/>
      <c r="I3383" s="7"/>
      <c r="J3383" s="7"/>
    </row>
    <row r="3384" spans="1:10" x14ac:dyDescent="0.3">
      <c r="E3384" s="4" t="s">
        <v>11</v>
      </c>
      <c r="G3384" s="8">
        <v>0</v>
      </c>
      <c r="H3384" s="8">
        <v>10243.620000000001</v>
      </c>
      <c r="I3384" s="8">
        <f>G3384-H3384</f>
        <v>-10243.620000000001</v>
      </c>
    </row>
    <row r="3385" spans="1:10" x14ac:dyDescent="0.3">
      <c r="C3385" s="9" t="s">
        <v>12</v>
      </c>
      <c r="D3385" s="10">
        <v>45685</v>
      </c>
      <c r="E3385" t="s">
        <v>2714</v>
      </c>
      <c r="F3385" s="11" t="s">
        <v>14</v>
      </c>
      <c r="G3385" s="8">
        <v>3327.55</v>
      </c>
      <c r="H3385" s="8">
        <v>0</v>
      </c>
      <c r="I3385" s="8">
        <f t="shared" ref="I3385:I3396" si="116">G3385-H3385+I3384</f>
        <v>-6916.0700000000006</v>
      </c>
      <c r="J3385" s="12"/>
    </row>
    <row r="3386" spans="1:10" x14ac:dyDescent="0.3">
      <c r="C3386" s="9" t="s">
        <v>12</v>
      </c>
      <c r="D3386" s="10">
        <v>45685</v>
      </c>
      <c r="E3386" t="s">
        <v>2714</v>
      </c>
      <c r="F3386" s="11" t="s">
        <v>14</v>
      </c>
      <c r="G3386" s="8">
        <v>3327.55</v>
      </c>
      <c r="H3386" s="8">
        <v>0</v>
      </c>
      <c r="I3386" s="8">
        <f t="shared" si="116"/>
        <v>-3588.5200000000004</v>
      </c>
      <c r="J3386" s="12"/>
    </row>
    <row r="3387" spans="1:10" x14ac:dyDescent="0.3">
      <c r="C3387" s="9"/>
      <c r="D3387" s="10">
        <v>45687</v>
      </c>
      <c r="E3387" t="s">
        <v>2715</v>
      </c>
      <c r="F3387" s="11" t="s">
        <v>2716</v>
      </c>
      <c r="G3387" s="8">
        <v>0</v>
      </c>
      <c r="H3387" s="8">
        <v>19250.48</v>
      </c>
      <c r="I3387" s="8">
        <f t="shared" si="116"/>
        <v>-22839</v>
      </c>
      <c r="J3387" s="12">
        <v>475000000</v>
      </c>
    </row>
    <row r="3388" spans="1:10" x14ac:dyDescent="0.3">
      <c r="C3388" s="9" t="s">
        <v>12</v>
      </c>
      <c r="D3388" s="10">
        <v>45751</v>
      </c>
      <c r="E3388" t="s">
        <v>2712</v>
      </c>
      <c r="F3388" s="11" t="s">
        <v>14</v>
      </c>
      <c r="G3388" s="8">
        <v>3588.52</v>
      </c>
      <c r="H3388" s="8">
        <v>0</v>
      </c>
      <c r="I3388" s="8">
        <f t="shared" si="116"/>
        <v>-19250.48</v>
      </c>
      <c r="J3388" s="12"/>
    </row>
    <row r="3389" spans="1:10" x14ac:dyDescent="0.3">
      <c r="C3389" s="9"/>
      <c r="D3389" s="10">
        <v>45769</v>
      </c>
      <c r="E3389" t="s">
        <v>2712</v>
      </c>
      <c r="F3389" s="11" t="s">
        <v>14</v>
      </c>
      <c r="G3389" s="8">
        <v>3208.41</v>
      </c>
      <c r="H3389" s="8">
        <v>0</v>
      </c>
      <c r="I3389" s="8">
        <f t="shared" si="116"/>
        <v>-16042.07</v>
      </c>
      <c r="J3389" s="12"/>
    </row>
    <row r="3390" spans="1:10" x14ac:dyDescent="0.3">
      <c r="C3390" s="9"/>
      <c r="D3390" s="10">
        <v>45797</v>
      </c>
      <c r="E3390" t="s">
        <v>2712</v>
      </c>
      <c r="F3390" s="11" t="s">
        <v>14</v>
      </c>
      <c r="G3390" s="8">
        <v>3208.41</v>
      </c>
      <c r="H3390" s="8">
        <v>0</v>
      </c>
      <c r="I3390" s="8">
        <f t="shared" si="116"/>
        <v>-12833.66</v>
      </c>
      <c r="J3390" s="12"/>
    </row>
    <row r="3391" spans="1:10" x14ac:dyDescent="0.3">
      <c r="C3391" s="9"/>
      <c r="D3391" s="10">
        <v>45828</v>
      </c>
      <c r="E3391" t="s">
        <v>2714</v>
      </c>
      <c r="F3391" s="11" t="s">
        <v>14</v>
      </c>
      <c r="G3391" s="8">
        <v>3208.41</v>
      </c>
      <c r="H3391" s="8">
        <v>0</v>
      </c>
      <c r="I3391" s="8">
        <f t="shared" si="116"/>
        <v>-9625.25</v>
      </c>
      <c r="J3391" s="12"/>
    </row>
    <row r="3392" spans="1:10" x14ac:dyDescent="0.3">
      <c r="C3392" s="9"/>
      <c r="D3392" s="10">
        <v>45859</v>
      </c>
      <c r="E3392" t="s">
        <v>2717</v>
      </c>
      <c r="F3392" s="11" t="s">
        <v>14</v>
      </c>
      <c r="G3392" s="8">
        <v>0</v>
      </c>
      <c r="H3392" s="8">
        <v>19074.13</v>
      </c>
      <c r="I3392" s="8">
        <f t="shared" si="116"/>
        <v>-28699.38</v>
      </c>
      <c r="J3392" s="12">
        <v>475000000</v>
      </c>
    </row>
    <row r="3393" spans="1:10" x14ac:dyDescent="0.3">
      <c r="C3393" s="9"/>
      <c r="D3393" s="10">
        <v>45859</v>
      </c>
      <c r="E3393" t="s">
        <v>2712</v>
      </c>
      <c r="F3393" s="11" t="s">
        <v>14</v>
      </c>
      <c r="G3393" s="8">
        <v>3208.41</v>
      </c>
      <c r="H3393" s="8">
        <v>0</v>
      </c>
      <c r="I3393" s="8">
        <f t="shared" si="116"/>
        <v>-25490.97</v>
      </c>
      <c r="J3393" s="12"/>
    </row>
    <row r="3394" spans="1:10" x14ac:dyDescent="0.3">
      <c r="C3394" s="9"/>
      <c r="D3394" s="10">
        <v>45889</v>
      </c>
      <c r="E3394" t="s">
        <v>2712</v>
      </c>
      <c r="F3394" s="11" t="s">
        <v>14</v>
      </c>
      <c r="G3394" s="8">
        <v>3208.41</v>
      </c>
      <c r="H3394" s="8">
        <v>0</v>
      </c>
      <c r="I3394" s="8">
        <f t="shared" si="116"/>
        <v>-22282.560000000001</v>
      </c>
      <c r="J3394" s="12"/>
    </row>
    <row r="3395" spans="1:10" x14ac:dyDescent="0.3">
      <c r="C3395" s="9"/>
      <c r="D3395" s="10">
        <v>45922</v>
      </c>
      <c r="E3395" t="s">
        <v>2712</v>
      </c>
      <c r="F3395" s="11" t="s">
        <v>14</v>
      </c>
      <c r="G3395" s="8">
        <v>3179.02</v>
      </c>
      <c r="H3395" s="8">
        <v>0</v>
      </c>
      <c r="I3395" s="8">
        <f t="shared" si="116"/>
        <v>-19103.54</v>
      </c>
      <c r="J3395" s="12"/>
    </row>
    <row r="3396" spans="1:10" x14ac:dyDescent="0.3">
      <c r="C3396" s="9"/>
      <c r="D3396" s="10">
        <v>45922</v>
      </c>
      <c r="E3396" t="s">
        <v>2712</v>
      </c>
      <c r="F3396" s="11" t="s">
        <v>14</v>
      </c>
      <c r="G3396" s="8">
        <v>3208.43</v>
      </c>
      <c r="H3396" s="8">
        <v>0</v>
      </c>
      <c r="I3396" s="8">
        <f t="shared" si="116"/>
        <v>-15895.11</v>
      </c>
      <c r="J3396" s="12"/>
    </row>
    <row r="3397" spans="1:10" x14ac:dyDescent="0.3">
      <c r="E3397" s="4" t="s">
        <v>116</v>
      </c>
      <c r="G3397" s="8">
        <f>SUM(G3384:G3396)</f>
        <v>32673.120000000003</v>
      </c>
      <c r="H3397" s="8">
        <f>SUM(H3384:H3396)</f>
        <v>48568.229999999996</v>
      </c>
      <c r="I3397" s="8">
        <f>G3397-H3397</f>
        <v>-15895.109999999993</v>
      </c>
    </row>
    <row r="3399" spans="1:10" x14ac:dyDescent="0.3">
      <c r="A3399" s="5">
        <v>475100000</v>
      </c>
      <c r="B3399" s="6" t="s">
        <v>2718</v>
      </c>
      <c r="C3399" s="7"/>
      <c r="D3399" s="7"/>
      <c r="E3399" s="7"/>
      <c r="F3399" s="7"/>
      <c r="G3399" s="7"/>
      <c r="H3399" s="7"/>
      <c r="I3399" s="7"/>
      <c r="J3399" s="7"/>
    </row>
    <row r="3400" spans="1:10" x14ac:dyDescent="0.3">
      <c r="E3400" s="4" t="s">
        <v>11</v>
      </c>
      <c r="G3400" s="8">
        <v>0</v>
      </c>
      <c r="H3400" s="8">
        <v>10208.450000000001</v>
      </c>
      <c r="I3400" s="8">
        <f>G3400-H3400</f>
        <v>-10208.450000000001</v>
      </c>
    </row>
    <row r="3401" spans="1:10" x14ac:dyDescent="0.3">
      <c r="C3401" s="9" t="s">
        <v>12</v>
      </c>
      <c r="D3401" s="10">
        <v>45659</v>
      </c>
      <c r="E3401" t="s">
        <v>2719</v>
      </c>
      <c r="F3401" s="11" t="s">
        <v>804</v>
      </c>
      <c r="G3401" s="8">
        <v>0</v>
      </c>
      <c r="H3401" s="8">
        <v>13.28</v>
      </c>
      <c r="I3401" s="8">
        <f t="shared" ref="I3401:I3440" si="117">G3401-H3401+I3400</f>
        <v>-10221.730000000001</v>
      </c>
      <c r="J3401" s="12"/>
    </row>
    <row r="3402" spans="1:10" x14ac:dyDescent="0.3">
      <c r="C3402" s="9" t="s">
        <v>12</v>
      </c>
      <c r="D3402" s="10">
        <v>45659</v>
      </c>
      <c r="E3402" t="s">
        <v>2720</v>
      </c>
      <c r="F3402" s="11" t="s">
        <v>566</v>
      </c>
      <c r="G3402" s="8">
        <v>0</v>
      </c>
      <c r="H3402" s="8">
        <v>113.08</v>
      </c>
      <c r="I3402" s="8">
        <f t="shared" si="117"/>
        <v>-10334.810000000001</v>
      </c>
      <c r="J3402" s="12"/>
    </row>
    <row r="3403" spans="1:10" x14ac:dyDescent="0.3">
      <c r="C3403" s="9" t="s">
        <v>12</v>
      </c>
      <c r="D3403" s="10">
        <v>45677</v>
      </c>
      <c r="E3403" t="s">
        <v>2714</v>
      </c>
      <c r="F3403" s="11" t="s">
        <v>14</v>
      </c>
      <c r="G3403" s="8">
        <v>339.66</v>
      </c>
      <c r="H3403" s="8">
        <v>0</v>
      </c>
      <c r="I3403" s="8">
        <f t="shared" si="117"/>
        <v>-9995.1500000000015</v>
      </c>
      <c r="J3403" s="12">
        <v>572000007</v>
      </c>
    </row>
    <row r="3404" spans="1:10" x14ac:dyDescent="0.3">
      <c r="C3404" s="9" t="s">
        <v>12</v>
      </c>
      <c r="D3404" s="10">
        <v>45677</v>
      </c>
      <c r="E3404" t="s">
        <v>2714</v>
      </c>
      <c r="F3404" s="11" t="s">
        <v>14</v>
      </c>
      <c r="G3404" s="8">
        <v>9868.7900000000009</v>
      </c>
      <c r="H3404" s="8">
        <v>0</v>
      </c>
      <c r="I3404" s="8">
        <f t="shared" si="117"/>
        <v>-126.36000000000058</v>
      </c>
      <c r="J3404" s="12">
        <v>572000007</v>
      </c>
    </row>
    <row r="3405" spans="1:10" x14ac:dyDescent="0.3">
      <c r="C3405" s="9" t="s">
        <v>12</v>
      </c>
      <c r="D3405" s="10">
        <v>45688</v>
      </c>
      <c r="E3405" t="s">
        <v>2721</v>
      </c>
      <c r="F3405" s="11" t="s">
        <v>14</v>
      </c>
      <c r="G3405" s="8">
        <v>0</v>
      </c>
      <c r="H3405" s="8">
        <v>3376.53</v>
      </c>
      <c r="I3405" s="8">
        <f t="shared" si="117"/>
        <v>-3502.8900000000008</v>
      </c>
      <c r="J3405" s="12"/>
    </row>
    <row r="3406" spans="1:10" x14ac:dyDescent="0.3">
      <c r="C3406" s="9" t="s">
        <v>12</v>
      </c>
      <c r="D3406" s="10">
        <v>45689</v>
      </c>
      <c r="E3406" t="s">
        <v>2720</v>
      </c>
      <c r="F3406" s="11" t="s">
        <v>568</v>
      </c>
      <c r="G3406" s="8">
        <v>0</v>
      </c>
      <c r="H3406" s="8">
        <v>113.08</v>
      </c>
      <c r="I3406" s="8">
        <f t="shared" si="117"/>
        <v>-3615.9700000000007</v>
      </c>
      <c r="J3406" s="12"/>
    </row>
    <row r="3407" spans="1:10" x14ac:dyDescent="0.3">
      <c r="C3407" s="9" t="s">
        <v>12</v>
      </c>
      <c r="D3407" s="10">
        <v>45716</v>
      </c>
      <c r="E3407" t="s">
        <v>2721</v>
      </c>
      <c r="F3407" s="11" t="s">
        <v>14</v>
      </c>
      <c r="G3407" s="8">
        <v>0</v>
      </c>
      <c r="H3407" s="8">
        <v>3348.2</v>
      </c>
      <c r="I3407" s="8">
        <f t="shared" si="117"/>
        <v>-6964.17</v>
      </c>
      <c r="J3407" s="12"/>
    </row>
    <row r="3408" spans="1:10" x14ac:dyDescent="0.3">
      <c r="C3408" s="9" t="s">
        <v>12</v>
      </c>
      <c r="D3408" s="10">
        <v>45717</v>
      </c>
      <c r="E3408" t="s">
        <v>2720</v>
      </c>
      <c r="F3408" s="11" t="s">
        <v>569</v>
      </c>
      <c r="G3408" s="8">
        <v>0</v>
      </c>
      <c r="H3408" s="8">
        <v>113.08</v>
      </c>
      <c r="I3408" s="8">
        <f t="shared" si="117"/>
        <v>-7077.25</v>
      </c>
      <c r="J3408" s="12"/>
    </row>
    <row r="3409" spans="3:10" x14ac:dyDescent="0.3">
      <c r="C3409" s="9" t="s">
        <v>12</v>
      </c>
      <c r="D3409" s="10">
        <v>45747</v>
      </c>
      <c r="E3409" t="s">
        <v>2721</v>
      </c>
      <c r="F3409" s="11" t="s">
        <v>14</v>
      </c>
      <c r="G3409" s="8">
        <v>0</v>
      </c>
      <c r="H3409" s="8">
        <v>3429.37</v>
      </c>
      <c r="I3409" s="8">
        <f t="shared" si="117"/>
        <v>-10506.619999999999</v>
      </c>
      <c r="J3409" s="12"/>
    </row>
    <row r="3410" spans="3:10" x14ac:dyDescent="0.3">
      <c r="C3410" s="9"/>
      <c r="D3410" s="10">
        <v>45748</v>
      </c>
      <c r="E3410" t="s">
        <v>2720</v>
      </c>
      <c r="F3410" s="11" t="s">
        <v>570</v>
      </c>
      <c r="G3410" s="8">
        <v>0</v>
      </c>
      <c r="H3410" s="8">
        <v>113.08</v>
      </c>
      <c r="I3410" s="8">
        <f t="shared" si="117"/>
        <v>-10619.699999999999</v>
      </c>
      <c r="J3410" s="12"/>
    </row>
    <row r="3411" spans="3:10" x14ac:dyDescent="0.3">
      <c r="C3411" s="9" t="s">
        <v>12</v>
      </c>
      <c r="D3411" s="10">
        <v>45769</v>
      </c>
      <c r="E3411" t="s">
        <v>2712</v>
      </c>
      <c r="F3411" s="11" t="s">
        <v>14</v>
      </c>
      <c r="G3411" s="8">
        <v>339.24</v>
      </c>
      <c r="H3411" s="8">
        <v>0</v>
      </c>
      <c r="I3411" s="8">
        <f t="shared" si="117"/>
        <v>-10280.459999999999</v>
      </c>
      <c r="J3411" s="12">
        <v>572000007</v>
      </c>
    </row>
    <row r="3412" spans="3:10" x14ac:dyDescent="0.3">
      <c r="C3412" s="9" t="s">
        <v>12</v>
      </c>
      <c r="D3412" s="10">
        <v>45769</v>
      </c>
      <c r="E3412" t="s">
        <v>2712</v>
      </c>
      <c r="F3412" s="11" t="s">
        <v>14</v>
      </c>
      <c r="G3412" s="8">
        <v>10167.379999999999</v>
      </c>
      <c r="H3412" s="8">
        <v>0</v>
      </c>
      <c r="I3412" s="8">
        <f t="shared" si="117"/>
        <v>-113.07999999999993</v>
      </c>
      <c r="J3412" s="12">
        <v>572000007</v>
      </c>
    </row>
    <row r="3413" spans="3:10" x14ac:dyDescent="0.3">
      <c r="C3413" s="9"/>
      <c r="D3413" s="10">
        <v>45772</v>
      </c>
      <c r="E3413" t="s">
        <v>2722</v>
      </c>
      <c r="F3413" s="11" t="s">
        <v>550</v>
      </c>
      <c r="G3413" s="8">
        <v>0</v>
      </c>
      <c r="H3413" s="8">
        <v>6.19</v>
      </c>
      <c r="I3413" s="8">
        <f t="shared" si="117"/>
        <v>-119.26999999999992</v>
      </c>
      <c r="J3413" s="12"/>
    </row>
    <row r="3414" spans="3:10" x14ac:dyDescent="0.3">
      <c r="C3414" s="9"/>
      <c r="D3414" s="10">
        <v>45777</v>
      </c>
      <c r="E3414" t="s">
        <v>2723</v>
      </c>
      <c r="F3414" s="11" t="s">
        <v>14</v>
      </c>
      <c r="G3414" s="8">
        <v>0</v>
      </c>
      <c r="H3414" s="8">
        <v>4762.18</v>
      </c>
      <c r="I3414" s="8">
        <f t="shared" si="117"/>
        <v>-4881.45</v>
      </c>
      <c r="J3414" s="12"/>
    </row>
    <row r="3415" spans="3:10" x14ac:dyDescent="0.3">
      <c r="C3415" s="9"/>
      <c r="D3415" s="10">
        <v>45778</v>
      </c>
      <c r="E3415" t="s">
        <v>2720</v>
      </c>
      <c r="F3415" s="11" t="s">
        <v>571</v>
      </c>
      <c r="G3415" s="8">
        <v>0</v>
      </c>
      <c r="H3415" s="8">
        <v>113.08</v>
      </c>
      <c r="I3415" s="8">
        <f t="shared" si="117"/>
        <v>-4994.53</v>
      </c>
      <c r="J3415" s="12"/>
    </row>
    <row r="3416" spans="3:10" x14ac:dyDescent="0.3">
      <c r="C3416" s="9"/>
      <c r="D3416" s="10">
        <v>45808</v>
      </c>
      <c r="E3416" t="s">
        <v>2723</v>
      </c>
      <c r="F3416" s="11" t="s">
        <v>14</v>
      </c>
      <c r="G3416" s="8">
        <v>0</v>
      </c>
      <c r="H3416" s="8">
        <v>5109.92</v>
      </c>
      <c r="I3416" s="8">
        <f t="shared" si="117"/>
        <v>-10104.450000000001</v>
      </c>
      <c r="J3416" s="12"/>
    </row>
    <row r="3417" spans="3:10" x14ac:dyDescent="0.3">
      <c r="C3417" s="9"/>
      <c r="D3417" s="10">
        <v>45809</v>
      </c>
      <c r="E3417" t="s">
        <v>2720</v>
      </c>
      <c r="F3417" s="11" t="s">
        <v>572</v>
      </c>
      <c r="G3417" s="8">
        <v>0</v>
      </c>
      <c r="H3417" s="8">
        <v>113.08</v>
      </c>
      <c r="I3417" s="8">
        <f t="shared" si="117"/>
        <v>-10217.530000000001</v>
      </c>
      <c r="J3417" s="12"/>
    </row>
    <row r="3418" spans="3:10" x14ac:dyDescent="0.3">
      <c r="C3418" s="9"/>
      <c r="D3418" s="10">
        <v>45828</v>
      </c>
      <c r="E3418" t="s">
        <v>2723</v>
      </c>
      <c r="F3418" s="11" t="s">
        <v>14</v>
      </c>
      <c r="G3418" s="8">
        <v>0</v>
      </c>
      <c r="H3418" s="8">
        <v>276.52999999999997</v>
      </c>
      <c r="I3418" s="8">
        <f t="shared" si="117"/>
        <v>-10494.060000000001</v>
      </c>
      <c r="J3418" s="12"/>
    </row>
    <row r="3419" spans="3:10" x14ac:dyDescent="0.3">
      <c r="C3419" s="9"/>
      <c r="D3419" s="10">
        <v>45838</v>
      </c>
      <c r="E3419" t="s">
        <v>2723</v>
      </c>
      <c r="F3419" s="11" t="s">
        <v>14</v>
      </c>
      <c r="G3419" s="8">
        <v>0</v>
      </c>
      <c r="H3419" s="8">
        <v>5095.71</v>
      </c>
      <c r="I3419" s="8">
        <f t="shared" si="117"/>
        <v>-15589.77</v>
      </c>
      <c r="J3419" s="12"/>
    </row>
    <row r="3420" spans="3:10" x14ac:dyDescent="0.3">
      <c r="C3420" s="9"/>
      <c r="D3420" s="10">
        <v>45839</v>
      </c>
      <c r="E3420" t="s">
        <v>2720</v>
      </c>
      <c r="F3420" s="11" t="s">
        <v>574</v>
      </c>
      <c r="G3420" s="8">
        <v>0</v>
      </c>
      <c r="H3420" s="8">
        <v>113.08</v>
      </c>
      <c r="I3420" s="8">
        <f t="shared" si="117"/>
        <v>-15702.85</v>
      </c>
      <c r="J3420" s="12"/>
    </row>
    <row r="3421" spans="3:10" x14ac:dyDescent="0.3">
      <c r="C3421" s="9"/>
      <c r="D3421" s="10">
        <v>45839</v>
      </c>
      <c r="E3421" t="s">
        <v>2724</v>
      </c>
      <c r="F3421" s="11" t="s">
        <v>995</v>
      </c>
      <c r="G3421" s="8">
        <v>0</v>
      </c>
      <c r="H3421" s="8">
        <v>13.14</v>
      </c>
      <c r="I3421" s="8">
        <f t="shared" si="117"/>
        <v>-15715.99</v>
      </c>
      <c r="J3421" s="12"/>
    </row>
    <row r="3422" spans="3:10" x14ac:dyDescent="0.3">
      <c r="C3422" s="9"/>
      <c r="D3422" s="10">
        <v>45839</v>
      </c>
      <c r="E3422" t="s">
        <v>2724</v>
      </c>
      <c r="F3422" s="11" t="s">
        <v>996</v>
      </c>
      <c r="G3422" s="8">
        <v>0</v>
      </c>
      <c r="H3422" s="8">
        <v>37.96</v>
      </c>
      <c r="I3422" s="8">
        <f t="shared" si="117"/>
        <v>-15753.949999999999</v>
      </c>
      <c r="J3422" s="12"/>
    </row>
    <row r="3423" spans="3:10" x14ac:dyDescent="0.3">
      <c r="C3423" s="9"/>
      <c r="D3423" s="10">
        <v>45839</v>
      </c>
      <c r="E3423" t="s">
        <v>2722</v>
      </c>
      <c r="F3423" s="11" t="s">
        <v>552</v>
      </c>
      <c r="G3423" s="8">
        <v>0</v>
      </c>
      <c r="H3423" s="8">
        <v>60.54</v>
      </c>
      <c r="I3423" s="8">
        <f t="shared" si="117"/>
        <v>-15814.49</v>
      </c>
      <c r="J3423" s="12"/>
    </row>
    <row r="3424" spans="3:10" x14ac:dyDescent="0.3">
      <c r="C3424" s="9"/>
      <c r="D3424" s="10">
        <v>45839</v>
      </c>
      <c r="E3424" t="s">
        <v>2722</v>
      </c>
      <c r="F3424" s="11" t="s">
        <v>554</v>
      </c>
      <c r="G3424" s="8">
        <v>0</v>
      </c>
      <c r="H3424" s="8">
        <v>0.9</v>
      </c>
      <c r="I3424" s="8">
        <f t="shared" si="117"/>
        <v>-15815.39</v>
      </c>
      <c r="J3424" s="12"/>
    </row>
    <row r="3425" spans="3:10" x14ac:dyDescent="0.3">
      <c r="C3425" s="9"/>
      <c r="D3425" s="10">
        <v>45839</v>
      </c>
      <c r="E3425" t="s">
        <v>2722</v>
      </c>
      <c r="F3425" s="11" t="s">
        <v>556</v>
      </c>
      <c r="G3425" s="8">
        <v>0</v>
      </c>
      <c r="H3425" s="8">
        <v>17.649999999999999</v>
      </c>
      <c r="I3425" s="8">
        <f t="shared" si="117"/>
        <v>-15833.039999999999</v>
      </c>
      <c r="J3425" s="12"/>
    </row>
    <row r="3426" spans="3:10" x14ac:dyDescent="0.3">
      <c r="C3426" s="9"/>
      <c r="D3426" s="10">
        <v>45839</v>
      </c>
      <c r="E3426" t="s">
        <v>2724</v>
      </c>
      <c r="F3426" s="11" t="s">
        <v>998</v>
      </c>
      <c r="G3426" s="8">
        <v>0</v>
      </c>
      <c r="H3426" s="8">
        <v>16.5</v>
      </c>
      <c r="I3426" s="8">
        <f t="shared" si="117"/>
        <v>-15849.539999999999</v>
      </c>
      <c r="J3426" s="12"/>
    </row>
    <row r="3427" spans="3:10" x14ac:dyDescent="0.3">
      <c r="C3427" s="9"/>
      <c r="D3427" s="10">
        <v>45839</v>
      </c>
      <c r="E3427" t="s">
        <v>2724</v>
      </c>
      <c r="F3427" s="11" t="s">
        <v>1000</v>
      </c>
      <c r="G3427" s="8">
        <v>0</v>
      </c>
      <c r="H3427" s="8">
        <v>16.5</v>
      </c>
      <c r="I3427" s="8">
        <f t="shared" si="117"/>
        <v>-15866.039999999999</v>
      </c>
      <c r="J3427" s="12"/>
    </row>
    <row r="3428" spans="3:10" x14ac:dyDescent="0.3">
      <c r="C3428" s="9"/>
      <c r="D3428" s="10">
        <v>45839</v>
      </c>
      <c r="E3428" t="s">
        <v>2724</v>
      </c>
      <c r="F3428" s="11" t="s">
        <v>1002</v>
      </c>
      <c r="G3428" s="8">
        <v>0</v>
      </c>
      <c r="H3428" s="8">
        <v>72.87</v>
      </c>
      <c r="I3428" s="8">
        <f t="shared" si="117"/>
        <v>-15938.91</v>
      </c>
      <c r="J3428" s="12"/>
    </row>
    <row r="3429" spans="3:10" x14ac:dyDescent="0.3">
      <c r="C3429" s="9"/>
      <c r="D3429" s="10">
        <v>45839</v>
      </c>
      <c r="E3429" t="s">
        <v>2724</v>
      </c>
      <c r="F3429" s="11" t="s">
        <v>1003</v>
      </c>
      <c r="G3429" s="8">
        <v>0</v>
      </c>
      <c r="H3429" s="8">
        <v>14.54</v>
      </c>
      <c r="I3429" s="8">
        <f t="shared" si="117"/>
        <v>-15953.45</v>
      </c>
      <c r="J3429" s="12"/>
    </row>
    <row r="3430" spans="3:10" x14ac:dyDescent="0.3">
      <c r="C3430" s="9"/>
      <c r="D3430" s="10">
        <v>45839</v>
      </c>
      <c r="E3430" t="s">
        <v>2724</v>
      </c>
      <c r="F3430" s="11" t="s">
        <v>1005</v>
      </c>
      <c r="G3430" s="8">
        <v>0</v>
      </c>
      <c r="H3430" s="8">
        <v>28.67</v>
      </c>
      <c r="I3430" s="8">
        <f t="shared" si="117"/>
        <v>-15982.12</v>
      </c>
      <c r="J3430" s="12"/>
    </row>
    <row r="3431" spans="3:10" x14ac:dyDescent="0.3">
      <c r="C3431" s="9"/>
      <c r="D3431" s="10">
        <v>45859</v>
      </c>
      <c r="E3431" t="s">
        <v>2712</v>
      </c>
      <c r="F3431" s="11" t="s">
        <v>14</v>
      </c>
      <c r="G3431" s="8">
        <v>15250.53</v>
      </c>
      <c r="H3431" s="8">
        <v>0</v>
      </c>
      <c r="I3431" s="8">
        <f t="shared" si="117"/>
        <v>-731.59000000000015</v>
      </c>
      <c r="J3431" s="12">
        <v>572000007</v>
      </c>
    </row>
    <row r="3432" spans="3:10" x14ac:dyDescent="0.3">
      <c r="C3432" s="9"/>
      <c r="D3432" s="10">
        <v>45859</v>
      </c>
      <c r="E3432" t="s">
        <v>2712</v>
      </c>
      <c r="F3432" s="11" t="s">
        <v>14</v>
      </c>
      <c r="G3432" s="8">
        <v>339.24</v>
      </c>
      <c r="H3432" s="8">
        <v>0</v>
      </c>
      <c r="I3432" s="8">
        <f t="shared" si="117"/>
        <v>-392.35000000000014</v>
      </c>
      <c r="J3432" s="12">
        <v>572000007</v>
      </c>
    </row>
    <row r="3433" spans="3:10" x14ac:dyDescent="0.3">
      <c r="C3433" s="9"/>
      <c r="D3433" s="10">
        <v>45869</v>
      </c>
      <c r="E3433" t="s">
        <v>2723</v>
      </c>
      <c r="F3433" s="11" t="s">
        <v>14</v>
      </c>
      <c r="G3433" s="8">
        <v>0</v>
      </c>
      <c r="H3433" s="8">
        <v>5197.2700000000004</v>
      </c>
      <c r="I3433" s="8">
        <f t="shared" si="117"/>
        <v>-5589.6200000000008</v>
      </c>
      <c r="J3433" s="12"/>
    </row>
    <row r="3434" spans="3:10" x14ac:dyDescent="0.3">
      <c r="C3434" s="9"/>
      <c r="D3434" s="10">
        <v>45870</v>
      </c>
      <c r="E3434" t="s">
        <v>2720</v>
      </c>
      <c r="F3434" s="11" t="s">
        <v>576</v>
      </c>
      <c r="G3434" s="8">
        <v>0</v>
      </c>
      <c r="H3434" s="8">
        <v>113.08</v>
      </c>
      <c r="I3434" s="8">
        <f t="shared" si="117"/>
        <v>-5702.7000000000007</v>
      </c>
      <c r="J3434" s="12"/>
    </row>
    <row r="3435" spans="3:10" x14ac:dyDescent="0.3">
      <c r="C3435" s="9"/>
      <c r="D3435" s="10">
        <v>45870</v>
      </c>
      <c r="E3435" t="s">
        <v>2722</v>
      </c>
      <c r="F3435" s="11" t="s">
        <v>558</v>
      </c>
      <c r="G3435" s="8">
        <v>0</v>
      </c>
      <c r="H3435" s="8">
        <v>8.17</v>
      </c>
      <c r="I3435" s="8">
        <f t="shared" si="117"/>
        <v>-5710.8700000000008</v>
      </c>
      <c r="J3435" s="12"/>
    </row>
    <row r="3436" spans="3:10" x14ac:dyDescent="0.3">
      <c r="C3436" s="9"/>
      <c r="D3436" s="10">
        <v>45870</v>
      </c>
      <c r="E3436" t="s">
        <v>2722</v>
      </c>
      <c r="F3436" s="11" t="s">
        <v>559</v>
      </c>
      <c r="G3436" s="8">
        <v>0</v>
      </c>
      <c r="H3436" s="8">
        <v>8.17</v>
      </c>
      <c r="I3436" s="8">
        <f t="shared" si="117"/>
        <v>-5719.0400000000009</v>
      </c>
      <c r="J3436" s="12"/>
    </row>
    <row r="3437" spans="3:10" x14ac:dyDescent="0.3">
      <c r="C3437" s="9"/>
      <c r="D3437" s="10">
        <v>45877</v>
      </c>
      <c r="E3437" t="s">
        <v>2719</v>
      </c>
      <c r="F3437" s="11" t="s">
        <v>806</v>
      </c>
      <c r="G3437" s="8">
        <v>0</v>
      </c>
      <c r="H3437" s="8">
        <v>13.93</v>
      </c>
      <c r="I3437" s="8">
        <f t="shared" si="117"/>
        <v>-5732.9700000000012</v>
      </c>
      <c r="J3437" s="12"/>
    </row>
    <row r="3438" spans="3:10" x14ac:dyDescent="0.3">
      <c r="C3438" s="9"/>
      <c r="D3438" s="10">
        <v>45900</v>
      </c>
      <c r="E3438" t="s">
        <v>2723</v>
      </c>
      <c r="F3438" s="11" t="s">
        <v>14</v>
      </c>
      <c r="G3438" s="8">
        <v>0</v>
      </c>
      <c r="H3438" s="8">
        <v>5529.57</v>
      </c>
      <c r="I3438" s="8">
        <f t="shared" si="117"/>
        <v>-11262.54</v>
      </c>
      <c r="J3438" s="12"/>
    </row>
    <row r="3439" spans="3:10" x14ac:dyDescent="0.3">
      <c r="C3439" s="9"/>
      <c r="D3439" s="10">
        <v>45901</v>
      </c>
      <c r="E3439" t="s">
        <v>2720</v>
      </c>
      <c r="F3439" s="11" t="s">
        <v>578</v>
      </c>
      <c r="G3439" s="8">
        <v>0</v>
      </c>
      <c r="H3439" s="8">
        <v>113.08</v>
      </c>
      <c r="I3439" s="8">
        <f t="shared" si="117"/>
        <v>-11375.62</v>
      </c>
      <c r="J3439" s="12"/>
    </row>
    <row r="3440" spans="3:10" x14ac:dyDescent="0.3">
      <c r="C3440" s="9"/>
      <c r="D3440" s="10">
        <v>45930</v>
      </c>
      <c r="E3440" t="s">
        <v>2723</v>
      </c>
      <c r="F3440" s="11" t="s">
        <v>14</v>
      </c>
      <c r="G3440" s="8">
        <v>0</v>
      </c>
      <c r="H3440" s="8">
        <v>5927.24</v>
      </c>
      <c r="I3440" s="8">
        <f t="shared" si="117"/>
        <v>-17302.86</v>
      </c>
      <c r="J3440" s="12"/>
    </row>
    <row r="3441" spans="1:10" x14ac:dyDescent="0.3">
      <c r="E3441" s="4" t="s">
        <v>116</v>
      </c>
      <c r="G3441" s="8">
        <f>SUM(G3400:G3440)</f>
        <v>36304.839999999997</v>
      </c>
      <c r="H3441" s="8">
        <f>SUM(H3400:H3440)</f>
        <v>53607.700000000004</v>
      </c>
      <c r="I3441" s="8">
        <f>G3441-H3441</f>
        <v>-17302.860000000008</v>
      </c>
    </row>
    <row r="3443" spans="1:10" x14ac:dyDescent="0.3">
      <c r="A3443" s="5">
        <v>476000000</v>
      </c>
      <c r="B3443" s="6" t="s">
        <v>2725</v>
      </c>
      <c r="C3443" s="7"/>
      <c r="D3443" s="7"/>
      <c r="E3443" s="7"/>
      <c r="F3443" s="7"/>
      <c r="G3443" s="7"/>
      <c r="H3443" s="7"/>
      <c r="I3443" s="7"/>
      <c r="J3443" s="7"/>
    </row>
    <row r="3444" spans="1:10" x14ac:dyDescent="0.3">
      <c r="E3444" s="4" t="s">
        <v>11</v>
      </c>
      <c r="G3444" s="8">
        <v>0</v>
      </c>
      <c r="H3444" s="8">
        <v>3291.73</v>
      </c>
      <c r="I3444" s="8">
        <f>G3444-H3444</f>
        <v>-3291.73</v>
      </c>
    </row>
    <row r="3445" spans="1:10" x14ac:dyDescent="0.3">
      <c r="C3445" s="9" t="s">
        <v>12</v>
      </c>
      <c r="D3445" s="10">
        <v>45688</v>
      </c>
      <c r="E3445" t="s">
        <v>2726</v>
      </c>
      <c r="F3445" s="11" t="s">
        <v>14</v>
      </c>
      <c r="G3445" s="8">
        <v>3291.73</v>
      </c>
      <c r="H3445" s="8">
        <v>0</v>
      </c>
      <c r="I3445" s="8">
        <f t="shared" ref="I3445:I3462" si="118">G3445-H3445+I3444</f>
        <v>0</v>
      </c>
      <c r="J3445" s="12">
        <v>572000007</v>
      </c>
    </row>
    <row r="3446" spans="1:10" x14ac:dyDescent="0.3">
      <c r="C3446" s="9" t="s">
        <v>12</v>
      </c>
      <c r="D3446" s="10">
        <v>45688</v>
      </c>
      <c r="E3446" t="s">
        <v>2727</v>
      </c>
      <c r="F3446" s="11" t="s">
        <v>14</v>
      </c>
      <c r="G3446" s="8">
        <v>0</v>
      </c>
      <c r="H3446" s="8">
        <v>3576.58</v>
      </c>
      <c r="I3446" s="8">
        <f t="shared" si="118"/>
        <v>-3576.58</v>
      </c>
      <c r="J3446" s="12"/>
    </row>
    <row r="3447" spans="1:10" x14ac:dyDescent="0.3">
      <c r="C3447" s="9" t="s">
        <v>12</v>
      </c>
      <c r="D3447" s="10">
        <v>45716</v>
      </c>
      <c r="E3447" t="s">
        <v>2727</v>
      </c>
      <c r="F3447" s="11" t="s">
        <v>14</v>
      </c>
      <c r="G3447" s="8">
        <v>0</v>
      </c>
      <c r="H3447" s="8">
        <v>3514.25</v>
      </c>
      <c r="I3447" s="8">
        <f t="shared" si="118"/>
        <v>-7090.83</v>
      </c>
      <c r="J3447" s="12"/>
    </row>
    <row r="3448" spans="1:10" x14ac:dyDescent="0.3">
      <c r="C3448" s="9" t="s">
        <v>12</v>
      </c>
      <c r="D3448" s="10">
        <v>45716</v>
      </c>
      <c r="E3448" t="s">
        <v>2726</v>
      </c>
      <c r="F3448" s="11" t="s">
        <v>14</v>
      </c>
      <c r="G3448" s="8">
        <v>3576.58</v>
      </c>
      <c r="H3448" s="8">
        <v>0</v>
      </c>
      <c r="I3448" s="8">
        <f t="shared" si="118"/>
        <v>-3514.25</v>
      </c>
      <c r="J3448" s="12">
        <v>572000007</v>
      </c>
    </row>
    <row r="3449" spans="1:10" x14ac:dyDescent="0.3">
      <c r="C3449" s="9" t="s">
        <v>12</v>
      </c>
      <c r="D3449" s="10">
        <v>45747</v>
      </c>
      <c r="E3449" t="s">
        <v>2726</v>
      </c>
      <c r="F3449" s="11" t="s">
        <v>14</v>
      </c>
      <c r="G3449" s="8">
        <v>3514.25</v>
      </c>
      <c r="H3449" s="8">
        <v>0</v>
      </c>
      <c r="I3449" s="8">
        <f t="shared" si="118"/>
        <v>0</v>
      </c>
      <c r="J3449" s="12">
        <v>572000007</v>
      </c>
    </row>
    <row r="3450" spans="1:10" x14ac:dyDescent="0.3">
      <c r="C3450" s="9" t="s">
        <v>12</v>
      </c>
      <c r="D3450" s="10">
        <v>45747</v>
      </c>
      <c r="E3450" t="s">
        <v>2727</v>
      </c>
      <c r="F3450" s="11" t="s">
        <v>14</v>
      </c>
      <c r="G3450" s="8">
        <v>0</v>
      </c>
      <c r="H3450" s="8">
        <v>3618.31</v>
      </c>
      <c r="I3450" s="8">
        <f t="shared" si="118"/>
        <v>-3618.31</v>
      </c>
      <c r="J3450" s="12"/>
    </row>
    <row r="3451" spans="1:10" x14ac:dyDescent="0.3">
      <c r="C3451" s="9" t="s">
        <v>12</v>
      </c>
      <c r="D3451" s="10">
        <v>45763</v>
      </c>
      <c r="E3451" t="s">
        <v>2727</v>
      </c>
      <c r="F3451" s="11" t="s">
        <v>14</v>
      </c>
      <c r="G3451" s="8">
        <v>0</v>
      </c>
      <c r="H3451" s="8">
        <v>1193.2</v>
      </c>
      <c r="I3451" s="8">
        <f t="shared" si="118"/>
        <v>-4811.51</v>
      </c>
      <c r="J3451" s="12"/>
    </row>
    <row r="3452" spans="1:10" x14ac:dyDescent="0.3">
      <c r="C3452" s="9" t="s">
        <v>12</v>
      </c>
      <c r="D3452" s="10">
        <v>45777</v>
      </c>
      <c r="E3452" t="s">
        <v>2727</v>
      </c>
      <c r="F3452" s="11" t="s">
        <v>14</v>
      </c>
      <c r="G3452" s="8">
        <v>0</v>
      </c>
      <c r="H3452" s="8">
        <v>5911.56</v>
      </c>
      <c r="I3452" s="8">
        <f t="shared" si="118"/>
        <v>-10723.07</v>
      </c>
      <c r="J3452" s="12"/>
    </row>
    <row r="3453" spans="1:10" x14ac:dyDescent="0.3">
      <c r="C3453" s="9" t="s">
        <v>12</v>
      </c>
      <c r="D3453" s="10">
        <v>45777</v>
      </c>
      <c r="E3453" t="s">
        <v>2728</v>
      </c>
      <c r="F3453" s="11" t="s">
        <v>14</v>
      </c>
      <c r="G3453" s="8">
        <v>3618.31</v>
      </c>
      <c r="H3453" s="8">
        <v>0</v>
      </c>
      <c r="I3453" s="8">
        <f t="shared" si="118"/>
        <v>-7104.76</v>
      </c>
      <c r="J3453" s="12">
        <v>572000007</v>
      </c>
    </row>
    <row r="3454" spans="1:10" x14ac:dyDescent="0.3">
      <c r="C3454" s="9" t="s">
        <v>12</v>
      </c>
      <c r="D3454" s="10">
        <v>45807</v>
      </c>
      <c r="E3454" t="s">
        <v>2726</v>
      </c>
      <c r="F3454" s="11" t="s">
        <v>14</v>
      </c>
      <c r="G3454" s="8">
        <v>7104.76</v>
      </c>
      <c r="H3454" s="8">
        <v>0</v>
      </c>
      <c r="I3454" s="8">
        <f t="shared" si="118"/>
        <v>0</v>
      </c>
      <c r="J3454" s="12">
        <v>572000007</v>
      </c>
    </row>
    <row r="3455" spans="1:10" x14ac:dyDescent="0.3">
      <c r="C3455" s="9" t="s">
        <v>12</v>
      </c>
      <c r="D3455" s="10">
        <v>45808</v>
      </c>
      <c r="E3455" t="s">
        <v>2727</v>
      </c>
      <c r="F3455" s="11" t="s">
        <v>14</v>
      </c>
      <c r="G3455" s="8">
        <v>0</v>
      </c>
      <c r="H3455" s="8">
        <v>7183.58</v>
      </c>
      <c r="I3455" s="8">
        <f t="shared" si="118"/>
        <v>-7183.58</v>
      </c>
      <c r="J3455" s="12"/>
    </row>
    <row r="3456" spans="1:10" x14ac:dyDescent="0.3">
      <c r="C3456" s="9"/>
      <c r="D3456" s="10">
        <v>45838</v>
      </c>
      <c r="E3456" t="s">
        <v>2727</v>
      </c>
      <c r="F3456" s="11" t="s">
        <v>14</v>
      </c>
      <c r="G3456" s="8">
        <v>0</v>
      </c>
      <c r="H3456" s="8">
        <v>8010.05</v>
      </c>
      <c r="I3456" s="8">
        <f t="shared" si="118"/>
        <v>-15193.630000000001</v>
      </c>
      <c r="J3456" s="12"/>
    </row>
    <row r="3457" spans="1:10" x14ac:dyDescent="0.3">
      <c r="C3457" s="9" t="s">
        <v>12</v>
      </c>
      <c r="D3457" s="10">
        <v>45838</v>
      </c>
      <c r="E3457" t="s">
        <v>2726</v>
      </c>
      <c r="F3457" s="11" t="s">
        <v>14</v>
      </c>
      <c r="G3457" s="8">
        <v>7183.58</v>
      </c>
      <c r="H3457" s="8">
        <v>0</v>
      </c>
      <c r="I3457" s="8">
        <f t="shared" si="118"/>
        <v>-8010.0500000000011</v>
      </c>
      <c r="J3457" s="12">
        <v>572000007</v>
      </c>
    </row>
    <row r="3458" spans="1:10" x14ac:dyDescent="0.3">
      <c r="C3458" s="9"/>
      <c r="D3458" s="10">
        <v>45869</v>
      </c>
      <c r="E3458" t="s">
        <v>2728</v>
      </c>
      <c r="F3458" s="11" t="s">
        <v>14</v>
      </c>
      <c r="G3458" s="8">
        <v>8010.05</v>
      </c>
      <c r="H3458" s="8">
        <v>0</v>
      </c>
      <c r="I3458" s="8">
        <f t="shared" si="118"/>
        <v>0</v>
      </c>
      <c r="J3458" s="12">
        <v>572000007</v>
      </c>
    </row>
    <row r="3459" spans="1:10" x14ac:dyDescent="0.3">
      <c r="C3459" s="9"/>
      <c r="D3459" s="10">
        <v>45869</v>
      </c>
      <c r="E3459" t="s">
        <v>2727</v>
      </c>
      <c r="F3459" s="11" t="s">
        <v>14</v>
      </c>
      <c r="G3459" s="8">
        <v>0</v>
      </c>
      <c r="H3459" s="8">
        <v>8751.5499999999993</v>
      </c>
      <c r="I3459" s="8">
        <f t="shared" si="118"/>
        <v>-8751.5499999999993</v>
      </c>
      <c r="J3459" s="12"/>
    </row>
    <row r="3460" spans="1:10" x14ac:dyDescent="0.3">
      <c r="C3460" s="9"/>
      <c r="D3460" s="10">
        <v>45898</v>
      </c>
      <c r="E3460" t="s">
        <v>2728</v>
      </c>
      <c r="F3460" s="11" t="s">
        <v>14</v>
      </c>
      <c r="G3460" s="8">
        <v>8751.5499999999993</v>
      </c>
      <c r="H3460" s="8">
        <v>0</v>
      </c>
      <c r="I3460" s="8">
        <f t="shared" si="118"/>
        <v>0</v>
      </c>
      <c r="J3460" s="12">
        <v>572000007</v>
      </c>
    </row>
    <row r="3461" spans="1:10" x14ac:dyDescent="0.3">
      <c r="C3461" s="9"/>
      <c r="D3461" s="10">
        <v>45900</v>
      </c>
      <c r="E3461" t="s">
        <v>2727</v>
      </c>
      <c r="F3461" s="11" t="s">
        <v>14</v>
      </c>
      <c r="G3461" s="8">
        <v>0</v>
      </c>
      <c r="H3461" s="8">
        <v>9644.17</v>
      </c>
      <c r="I3461" s="8">
        <f t="shared" si="118"/>
        <v>-9644.17</v>
      </c>
      <c r="J3461" s="12"/>
    </row>
    <row r="3462" spans="1:10" x14ac:dyDescent="0.3">
      <c r="C3462" s="9"/>
      <c r="D3462" s="10">
        <v>45930</v>
      </c>
      <c r="E3462" t="s">
        <v>2727</v>
      </c>
      <c r="F3462" s="11" t="s">
        <v>14</v>
      </c>
      <c r="G3462" s="8">
        <v>0</v>
      </c>
      <c r="H3462" s="8">
        <v>9514.27</v>
      </c>
      <c r="I3462" s="8">
        <f t="shared" si="118"/>
        <v>-19158.440000000002</v>
      </c>
      <c r="J3462" s="12"/>
    </row>
    <row r="3463" spans="1:10" x14ac:dyDescent="0.3">
      <c r="E3463" s="4" t="s">
        <v>116</v>
      </c>
      <c r="G3463" s="8">
        <f>SUM(G3444:G3462)</f>
        <v>45050.81</v>
      </c>
      <c r="H3463" s="8">
        <f>SUM(H3444:H3462)</f>
        <v>64209.25</v>
      </c>
      <c r="I3463" s="8">
        <f>G3463-H3463</f>
        <v>-19158.440000000002</v>
      </c>
    </row>
    <row r="3465" spans="1:10" x14ac:dyDescent="0.3">
      <c r="A3465" s="5">
        <v>477000000</v>
      </c>
      <c r="B3465" s="6" t="s">
        <v>2729</v>
      </c>
      <c r="C3465" s="7"/>
      <c r="D3465" s="7"/>
      <c r="E3465" s="7"/>
      <c r="F3465" s="7"/>
      <c r="G3465" s="7"/>
      <c r="H3465" s="7"/>
      <c r="I3465" s="7"/>
      <c r="J3465" s="7"/>
    </row>
    <row r="3466" spans="1:10" x14ac:dyDescent="0.3">
      <c r="C3466" s="9" t="s">
        <v>12</v>
      </c>
      <c r="D3466" s="10">
        <v>45659</v>
      </c>
      <c r="E3466" t="s">
        <v>2730</v>
      </c>
      <c r="F3466" s="11" t="s">
        <v>2731</v>
      </c>
      <c r="G3466" s="8">
        <v>0</v>
      </c>
      <c r="H3466" s="8">
        <v>64.12</v>
      </c>
      <c r="I3466" s="8">
        <f>G3466-H3466</f>
        <v>-64.12</v>
      </c>
      <c r="J3466" s="12"/>
    </row>
    <row r="3467" spans="1:10" x14ac:dyDescent="0.3">
      <c r="C3467" s="9" t="s">
        <v>12</v>
      </c>
      <c r="D3467" s="10">
        <v>45659</v>
      </c>
      <c r="E3467" t="s">
        <v>2732</v>
      </c>
      <c r="F3467" s="11" t="s">
        <v>2733</v>
      </c>
      <c r="G3467" s="8">
        <v>0</v>
      </c>
      <c r="H3467" s="8">
        <v>-34.54</v>
      </c>
      <c r="I3467" s="8">
        <f t="shared" ref="I3467:I3530" si="119">G3467-H3467+I3466</f>
        <v>-29.580000000000005</v>
      </c>
      <c r="J3467" s="12"/>
    </row>
    <row r="3468" spans="1:10" x14ac:dyDescent="0.3">
      <c r="C3468" s="9" t="s">
        <v>12</v>
      </c>
      <c r="D3468" s="10">
        <v>45660</v>
      </c>
      <c r="E3468" t="s">
        <v>2734</v>
      </c>
      <c r="F3468" s="11" t="s">
        <v>2013</v>
      </c>
      <c r="G3468" s="8">
        <v>0</v>
      </c>
      <c r="H3468" s="8">
        <v>69.55</v>
      </c>
      <c r="I3468" s="8">
        <f t="shared" si="119"/>
        <v>-99.13</v>
      </c>
      <c r="J3468" s="12"/>
    </row>
    <row r="3469" spans="1:10" x14ac:dyDescent="0.3">
      <c r="C3469" s="9" t="s">
        <v>12</v>
      </c>
      <c r="D3469" s="10">
        <v>45660</v>
      </c>
      <c r="E3469" t="s">
        <v>2735</v>
      </c>
      <c r="F3469" s="11" t="s">
        <v>1760</v>
      </c>
      <c r="G3469" s="8">
        <v>0</v>
      </c>
      <c r="H3469" s="8">
        <v>47.12</v>
      </c>
      <c r="I3469" s="8">
        <f t="shared" si="119"/>
        <v>-146.25</v>
      </c>
      <c r="J3469" s="12"/>
    </row>
    <row r="3470" spans="1:10" x14ac:dyDescent="0.3">
      <c r="C3470" s="9" t="s">
        <v>12</v>
      </c>
      <c r="D3470" s="10">
        <v>45664</v>
      </c>
      <c r="E3470" t="s">
        <v>2736</v>
      </c>
      <c r="F3470" s="11" t="s">
        <v>2737</v>
      </c>
      <c r="G3470" s="8">
        <v>0</v>
      </c>
      <c r="H3470" s="8">
        <v>75.23</v>
      </c>
      <c r="I3470" s="8">
        <f t="shared" si="119"/>
        <v>-221.48000000000002</v>
      </c>
      <c r="J3470" s="12"/>
    </row>
    <row r="3471" spans="1:10" x14ac:dyDescent="0.3">
      <c r="C3471" s="9" t="s">
        <v>12</v>
      </c>
      <c r="D3471" s="10">
        <v>45664</v>
      </c>
      <c r="E3471" t="s">
        <v>2738</v>
      </c>
      <c r="F3471" s="11" t="s">
        <v>2739</v>
      </c>
      <c r="G3471" s="8">
        <v>0</v>
      </c>
      <c r="H3471" s="8">
        <v>69.37</v>
      </c>
      <c r="I3471" s="8">
        <f t="shared" si="119"/>
        <v>-290.85000000000002</v>
      </c>
      <c r="J3471" s="12"/>
    </row>
    <row r="3472" spans="1:10" x14ac:dyDescent="0.3">
      <c r="C3472" s="9" t="s">
        <v>12</v>
      </c>
      <c r="D3472" s="10">
        <v>45664</v>
      </c>
      <c r="E3472" t="s">
        <v>2740</v>
      </c>
      <c r="F3472" s="11" t="s">
        <v>2741</v>
      </c>
      <c r="G3472" s="8">
        <v>0</v>
      </c>
      <c r="H3472" s="8">
        <v>34.51</v>
      </c>
      <c r="I3472" s="8">
        <f t="shared" si="119"/>
        <v>-325.36</v>
      </c>
      <c r="J3472" s="12"/>
    </row>
    <row r="3473" spans="3:10" x14ac:dyDescent="0.3">
      <c r="C3473" s="9" t="s">
        <v>12</v>
      </c>
      <c r="D3473" s="10">
        <v>45664</v>
      </c>
      <c r="E3473" t="s">
        <v>2742</v>
      </c>
      <c r="F3473" s="11" t="s">
        <v>369</v>
      </c>
      <c r="G3473" s="8">
        <v>0</v>
      </c>
      <c r="H3473" s="8">
        <v>24.15</v>
      </c>
      <c r="I3473" s="8">
        <f t="shared" si="119"/>
        <v>-349.51</v>
      </c>
      <c r="J3473" s="12"/>
    </row>
    <row r="3474" spans="3:10" x14ac:dyDescent="0.3">
      <c r="C3474" s="9" t="s">
        <v>12</v>
      </c>
      <c r="D3474" s="10">
        <v>45664</v>
      </c>
      <c r="E3474" t="s">
        <v>2743</v>
      </c>
      <c r="F3474" s="11" t="s">
        <v>2171</v>
      </c>
      <c r="G3474" s="8">
        <v>0</v>
      </c>
      <c r="H3474" s="8">
        <v>73.569999999999993</v>
      </c>
      <c r="I3474" s="8">
        <f t="shared" si="119"/>
        <v>-423.08</v>
      </c>
      <c r="J3474" s="12"/>
    </row>
    <row r="3475" spans="3:10" x14ac:dyDescent="0.3">
      <c r="C3475" s="9" t="s">
        <v>12</v>
      </c>
      <c r="D3475" s="10">
        <v>45664</v>
      </c>
      <c r="E3475" t="s">
        <v>2744</v>
      </c>
      <c r="F3475" s="11" t="s">
        <v>373</v>
      </c>
      <c r="G3475" s="8">
        <v>0</v>
      </c>
      <c r="H3475" s="8">
        <v>55.89</v>
      </c>
      <c r="I3475" s="8">
        <f t="shared" si="119"/>
        <v>-478.96999999999997</v>
      </c>
      <c r="J3475" s="12"/>
    </row>
    <row r="3476" spans="3:10" x14ac:dyDescent="0.3">
      <c r="C3476" s="9" t="s">
        <v>12</v>
      </c>
      <c r="D3476" s="10">
        <v>45664</v>
      </c>
      <c r="E3476" t="s">
        <v>2745</v>
      </c>
      <c r="F3476" s="11" t="s">
        <v>359</v>
      </c>
      <c r="G3476" s="8">
        <v>0</v>
      </c>
      <c r="H3476" s="8">
        <v>30.37</v>
      </c>
      <c r="I3476" s="8">
        <f t="shared" si="119"/>
        <v>-509.34</v>
      </c>
      <c r="J3476" s="12"/>
    </row>
    <row r="3477" spans="3:10" x14ac:dyDescent="0.3">
      <c r="C3477" s="9" t="s">
        <v>12</v>
      </c>
      <c r="D3477" s="10">
        <v>45664</v>
      </c>
      <c r="E3477" t="s">
        <v>2746</v>
      </c>
      <c r="F3477" s="11" t="s">
        <v>361</v>
      </c>
      <c r="G3477" s="8">
        <v>0</v>
      </c>
      <c r="H3477" s="8">
        <v>126.04</v>
      </c>
      <c r="I3477" s="8">
        <f t="shared" si="119"/>
        <v>-635.38</v>
      </c>
      <c r="J3477" s="12"/>
    </row>
    <row r="3478" spans="3:10" x14ac:dyDescent="0.3">
      <c r="C3478" s="9" t="s">
        <v>12</v>
      </c>
      <c r="D3478" s="10">
        <v>45664</v>
      </c>
      <c r="E3478" t="s">
        <v>2747</v>
      </c>
      <c r="F3478" s="11" t="s">
        <v>363</v>
      </c>
      <c r="G3478" s="8">
        <v>0</v>
      </c>
      <c r="H3478" s="8">
        <v>39.32</v>
      </c>
      <c r="I3478" s="8">
        <f t="shared" si="119"/>
        <v>-674.7</v>
      </c>
      <c r="J3478" s="12"/>
    </row>
    <row r="3479" spans="3:10" x14ac:dyDescent="0.3">
      <c r="C3479" s="9" t="s">
        <v>12</v>
      </c>
      <c r="D3479" s="10">
        <v>45664</v>
      </c>
      <c r="E3479" t="s">
        <v>2747</v>
      </c>
      <c r="F3479" s="11" t="s">
        <v>365</v>
      </c>
      <c r="G3479" s="8">
        <v>0</v>
      </c>
      <c r="H3479" s="8">
        <v>63.29</v>
      </c>
      <c r="I3479" s="8">
        <f t="shared" si="119"/>
        <v>-737.99</v>
      </c>
      <c r="J3479" s="12"/>
    </row>
    <row r="3480" spans="3:10" x14ac:dyDescent="0.3">
      <c r="C3480" s="9" t="s">
        <v>12</v>
      </c>
      <c r="D3480" s="10">
        <v>45664</v>
      </c>
      <c r="E3480" t="s">
        <v>2748</v>
      </c>
      <c r="F3480" s="11" t="s">
        <v>1560</v>
      </c>
      <c r="G3480" s="8">
        <v>0</v>
      </c>
      <c r="H3480" s="8">
        <v>24.15</v>
      </c>
      <c r="I3480" s="8">
        <f t="shared" si="119"/>
        <v>-762.14</v>
      </c>
      <c r="J3480" s="12"/>
    </row>
    <row r="3481" spans="3:10" x14ac:dyDescent="0.3">
      <c r="C3481" s="9" t="s">
        <v>12</v>
      </c>
      <c r="D3481" s="10">
        <v>45666</v>
      </c>
      <c r="E3481" t="s">
        <v>2749</v>
      </c>
      <c r="F3481" s="11" t="s">
        <v>367</v>
      </c>
      <c r="G3481" s="8">
        <v>0</v>
      </c>
      <c r="H3481" s="8">
        <v>23.1</v>
      </c>
      <c r="I3481" s="8">
        <f t="shared" si="119"/>
        <v>-785.24</v>
      </c>
      <c r="J3481" s="12"/>
    </row>
    <row r="3482" spans="3:10" x14ac:dyDescent="0.3">
      <c r="C3482" s="9" t="s">
        <v>12</v>
      </c>
      <c r="D3482" s="10">
        <v>45666</v>
      </c>
      <c r="E3482" t="s">
        <v>2750</v>
      </c>
      <c r="F3482" s="11" t="s">
        <v>375</v>
      </c>
      <c r="G3482" s="8">
        <v>0</v>
      </c>
      <c r="H3482" s="8">
        <v>23.1</v>
      </c>
      <c r="I3482" s="8">
        <f t="shared" si="119"/>
        <v>-808.34</v>
      </c>
      <c r="J3482" s="12"/>
    </row>
    <row r="3483" spans="3:10" x14ac:dyDescent="0.3">
      <c r="C3483" s="9" t="s">
        <v>12</v>
      </c>
      <c r="D3483" s="10">
        <v>45666</v>
      </c>
      <c r="E3483" t="s">
        <v>2751</v>
      </c>
      <c r="F3483" s="11" t="s">
        <v>379</v>
      </c>
      <c r="G3483" s="8">
        <v>0</v>
      </c>
      <c r="H3483" s="8">
        <v>16.8</v>
      </c>
      <c r="I3483" s="8">
        <f t="shared" si="119"/>
        <v>-825.14</v>
      </c>
      <c r="J3483" s="12"/>
    </row>
    <row r="3484" spans="3:10" x14ac:dyDescent="0.3">
      <c r="C3484" s="9" t="s">
        <v>12</v>
      </c>
      <c r="D3484" s="10">
        <v>45666</v>
      </c>
      <c r="E3484" t="s">
        <v>2752</v>
      </c>
      <c r="F3484" s="11" t="s">
        <v>377</v>
      </c>
      <c r="G3484" s="8">
        <v>0</v>
      </c>
      <c r="H3484" s="8">
        <v>44.93</v>
      </c>
      <c r="I3484" s="8">
        <f t="shared" si="119"/>
        <v>-870.06999999999994</v>
      </c>
      <c r="J3484" s="12"/>
    </row>
    <row r="3485" spans="3:10" x14ac:dyDescent="0.3">
      <c r="C3485" s="9" t="s">
        <v>12</v>
      </c>
      <c r="D3485" s="10">
        <v>45666</v>
      </c>
      <c r="E3485" t="s">
        <v>2753</v>
      </c>
      <c r="F3485" s="11" t="s">
        <v>404</v>
      </c>
      <c r="G3485" s="8">
        <v>0</v>
      </c>
      <c r="H3485" s="8">
        <v>27.07</v>
      </c>
      <c r="I3485" s="8">
        <f t="shared" si="119"/>
        <v>-897.14</v>
      </c>
      <c r="J3485" s="12"/>
    </row>
    <row r="3486" spans="3:10" x14ac:dyDescent="0.3">
      <c r="C3486" s="9" t="s">
        <v>12</v>
      </c>
      <c r="D3486" s="10">
        <v>45666</v>
      </c>
      <c r="E3486" t="s">
        <v>2754</v>
      </c>
      <c r="F3486" s="11" t="s">
        <v>2755</v>
      </c>
      <c r="G3486" s="8">
        <v>0</v>
      </c>
      <c r="H3486" s="8">
        <v>47.01</v>
      </c>
      <c r="I3486" s="8">
        <f t="shared" si="119"/>
        <v>-944.15</v>
      </c>
      <c r="J3486" s="12"/>
    </row>
    <row r="3487" spans="3:10" x14ac:dyDescent="0.3">
      <c r="C3487" s="9" t="s">
        <v>12</v>
      </c>
      <c r="D3487" s="10">
        <v>45666</v>
      </c>
      <c r="E3487" t="s">
        <v>2735</v>
      </c>
      <c r="F3487" s="11" t="s">
        <v>1762</v>
      </c>
      <c r="G3487" s="8">
        <v>0</v>
      </c>
      <c r="H3487" s="8">
        <v>20.16</v>
      </c>
      <c r="I3487" s="8">
        <f t="shared" si="119"/>
        <v>-964.31</v>
      </c>
      <c r="J3487" s="12"/>
    </row>
    <row r="3488" spans="3:10" x14ac:dyDescent="0.3">
      <c r="C3488" s="9" t="s">
        <v>12</v>
      </c>
      <c r="D3488" s="10">
        <v>45666</v>
      </c>
      <c r="E3488" t="s">
        <v>2756</v>
      </c>
      <c r="F3488" s="11" t="s">
        <v>2757</v>
      </c>
      <c r="G3488" s="8">
        <v>0</v>
      </c>
      <c r="H3488" s="8">
        <v>155.88999999999999</v>
      </c>
      <c r="I3488" s="8">
        <f t="shared" si="119"/>
        <v>-1120.1999999999998</v>
      </c>
      <c r="J3488" s="12"/>
    </row>
    <row r="3489" spans="3:10" x14ac:dyDescent="0.3">
      <c r="C3489" s="9" t="s">
        <v>12</v>
      </c>
      <c r="D3489" s="10">
        <v>45666</v>
      </c>
      <c r="E3489" t="s">
        <v>2758</v>
      </c>
      <c r="F3489" s="11" t="s">
        <v>2759</v>
      </c>
      <c r="G3489" s="8">
        <v>0</v>
      </c>
      <c r="H3489" s="8">
        <v>44.39</v>
      </c>
      <c r="I3489" s="8">
        <f t="shared" si="119"/>
        <v>-1164.5899999999999</v>
      </c>
      <c r="J3489" s="12"/>
    </row>
    <row r="3490" spans="3:10" x14ac:dyDescent="0.3">
      <c r="C3490" s="9" t="s">
        <v>12</v>
      </c>
      <c r="D3490" s="10">
        <v>45666</v>
      </c>
      <c r="E3490" t="s">
        <v>2760</v>
      </c>
      <c r="F3490" s="11" t="s">
        <v>2761</v>
      </c>
      <c r="G3490" s="8">
        <v>0</v>
      </c>
      <c r="H3490" s="8">
        <v>51.21</v>
      </c>
      <c r="I3490" s="8">
        <f t="shared" si="119"/>
        <v>-1215.8</v>
      </c>
      <c r="J3490" s="12"/>
    </row>
    <row r="3491" spans="3:10" x14ac:dyDescent="0.3">
      <c r="C3491" s="9" t="s">
        <v>12</v>
      </c>
      <c r="D3491" s="10">
        <v>45666</v>
      </c>
      <c r="E3491" t="s">
        <v>2762</v>
      </c>
      <c r="F3491" s="11" t="s">
        <v>2763</v>
      </c>
      <c r="G3491" s="8">
        <v>0</v>
      </c>
      <c r="H3491" s="8">
        <v>25.79</v>
      </c>
      <c r="I3491" s="8">
        <f t="shared" si="119"/>
        <v>-1241.5899999999999</v>
      </c>
      <c r="J3491" s="12"/>
    </row>
    <row r="3492" spans="3:10" x14ac:dyDescent="0.3">
      <c r="C3492" s="9" t="s">
        <v>12</v>
      </c>
      <c r="D3492" s="10">
        <v>45667</v>
      </c>
      <c r="E3492" t="s">
        <v>2764</v>
      </c>
      <c r="F3492" s="11" t="s">
        <v>2765</v>
      </c>
      <c r="G3492" s="8">
        <v>0</v>
      </c>
      <c r="H3492" s="8">
        <v>41.77</v>
      </c>
      <c r="I3492" s="8">
        <f t="shared" si="119"/>
        <v>-1283.3599999999999</v>
      </c>
      <c r="J3492" s="12"/>
    </row>
    <row r="3493" spans="3:10" x14ac:dyDescent="0.3">
      <c r="C3493" s="9" t="s">
        <v>12</v>
      </c>
      <c r="D3493" s="10">
        <v>45667</v>
      </c>
      <c r="E3493" t="s">
        <v>2766</v>
      </c>
      <c r="F3493" s="11" t="s">
        <v>2767</v>
      </c>
      <c r="G3493" s="8">
        <v>0</v>
      </c>
      <c r="H3493" s="8">
        <v>23.1</v>
      </c>
      <c r="I3493" s="8">
        <f t="shared" si="119"/>
        <v>-1306.4599999999998</v>
      </c>
      <c r="J3493" s="12"/>
    </row>
    <row r="3494" spans="3:10" x14ac:dyDescent="0.3">
      <c r="C3494" s="9" t="s">
        <v>12</v>
      </c>
      <c r="D3494" s="10">
        <v>45667</v>
      </c>
      <c r="E3494" t="s">
        <v>2768</v>
      </c>
      <c r="F3494" s="11" t="s">
        <v>2769</v>
      </c>
      <c r="G3494" s="8">
        <v>0</v>
      </c>
      <c r="H3494" s="8">
        <v>47.01</v>
      </c>
      <c r="I3494" s="8">
        <f t="shared" si="119"/>
        <v>-1353.4699999999998</v>
      </c>
      <c r="J3494" s="12"/>
    </row>
    <row r="3495" spans="3:10" x14ac:dyDescent="0.3">
      <c r="C3495" s="9" t="s">
        <v>12</v>
      </c>
      <c r="D3495" s="10">
        <v>45667</v>
      </c>
      <c r="E3495" t="s">
        <v>2770</v>
      </c>
      <c r="F3495" s="11" t="s">
        <v>2126</v>
      </c>
      <c r="G3495" s="8">
        <v>0</v>
      </c>
      <c r="H3495" s="8">
        <v>619.85</v>
      </c>
      <c r="I3495" s="8">
        <f t="shared" si="119"/>
        <v>-1973.3199999999997</v>
      </c>
      <c r="J3495" s="12"/>
    </row>
    <row r="3496" spans="3:10" x14ac:dyDescent="0.3">
      <c r="C3496" s="9" t="s">
        <v>12</v>
      </c>
      <c r="D3496" s="10">
        <v>45667</v>
      </c>
      <c r="E3496" t="s">
        <v>2771</v>
      </c>
      <c r="F3496" s="11" t="s">
        <v>1424</v>
      </c>
      <c r="G3496" s="8">
        <v>0</v>
      </c>
      <c r="H3496" s="8">
        <v>62.46</v>
      </c>
      <c r="I3496" s="8">
        <f t="shared" si="119"/>
        <v>-2035.7799999999997</v>
      </c>
      <c r="J3496" s="12"/>
    </row>
    <row r="3497" spans="3:10" x14ac:dyDescent="0.3">
      <c r="C3497" s="9" t="s">
        <v>12</v>
      </c>
      <c r="D3497" s="10">
        <v>45667</v>
      </c>
      <c r="E3497" t="s">
        <v>2742</v>
      </c>
      <c r="F3497" s="11" t="s">
        <v>2146</v>
      </c>
      <c r="G3497" s="8">
        <v>0</v>
      </c>
      <c r="H3497" s="8">
        <v>27.62</v>
      </c>
      <c r="I3497" s="8">
        <f t="shared" si="119"/>
        <v>-2063.3999999999996</v>
      </c>
      <c r="J3497" s="12"/>
    </row>
    <row r="3498" spans="3:10" x14ac:dyDescent="0.3">
      <c r="C3498" s="9" t="s">
        <v>12</v>
      </c>
      <c r="D3498" s="10">
        <v>45667</v>
      </c>
      <c r="E3498" t="s">
        <v>2772</v>
      </c>
      <c r="F3498" s="11" t="s">
        <v>2773</v>
      </c>
      <c r="G3498" s="8">
        <v>0</v>
      </c>
      <c r="H3498" s="8">
        <v>3.99</v>
      </c>
      <c r="I3498" s="8">
        <f t="shared" si="119"/>
        <v>-2067.3899999999994</v>
      </c>
      <c r="J3498" s="12"/>
    </row>
    <row r="3499" spans="3:10" x14ac:dyDescent="0.3">
      <c r="C3499" s="9" t="s">
        <v>12</v>
      </c>
      <c r="D3499" s="10">
        <v>45667</v>
      </c>
      <c r="E3499" t="s">
        <v>2774</v>
      </c>
      <c r="F3499" s="11" t="s">
        <v>2775</v>
      </c>
      <c r="G3499" s="8">
        <v>0</v>
      </c>
      <c r="H3499" s="8">
        <v>47.01</v>
      </c>
      <c r="I3499" s="8">
        <f t="shared" si="119"/>
        <v>-2114.3999999999996</v>
      </c>
      <c r="J3499" s="12"/>
    </row>
    <row r="3500" spans="3:10" x14ac:dyDescent="0.3">
      <c r="C3500" s="9" t="s">
        <v>12</v>
      </c>
      <c r="D3500" s="10">
        <v>45667</v>
      </c>
      <c r="E3500" t="s">
        <v>2776</v>
      </c>
      <c r="F3500" s="11" t="s">
        <v>2777</v>
      </c>
      <c r="G3500" s="8">
        <v>0</v>
      </c>
      <c r="H3500" s="8">
        <v>27.3</v>
      </c>
      <c r="I3500" s="8">
        <f t="shared" si="119"/>
        <v>-2141.6999999999998</v>
      </c>
      <c r="J3500" s="12"/>
    </row>
    <row r="3501" spans="3:10" x14ac:dyDescent="0.3">
      <c r="C3501" s="9" t="s">
        <v>12</v>
      </c>
      <c r="D3501" s="10">
        <v>45667</v>
      </c>
      <c r="E3501" t="s">
        <v>2778</v>
      </c>
      <c r="F3501" s="11" t="s">
        <v>2779</v>
      </c>
      <c r="G3501" s="8">
        <v>0</v>
      </c>
      <c r="H3501" s="8">
        <v>59.78</v>
      </c>
      <c r="I3501" s="8">
        <f t="shared" si="119"/>
        <v>-2201.48</v>
      </c>
      <c r="J3501" s="12"/>
    </row>
    <row r="3502" spans="3:10" x14ac:dyDescent="0.3">
      <c r="C3502" s="9" t="s">
        <v>12</v>
      </c>
      <c r="D3502" s="10">
        <v>45667</v>
      </c>
      <c r="E3502" t="s">
        <v>2780</v>
      </c>
      <c r="F3502" s="11" t="s">
        <v>2781</v>
      </c>
      <c r="G3502" s="8">
        <v>0</v>
      </c>
      <c r="H3502" s="8">
        <v>56.16</v>
      </c>
      <c r="I3502" s="8">
        <f t="shared" si="119"/>
        <v>-2257.64</v>
      </c>
      <c r="J3502" s="12"/>
    </row>
    <row r="3503" spans="3:10" x14ac:dyDescent="0.3">
      <c r="C3503" s="9" t="s">
        <v>12</v>
      </c>
      <c r="D3503" s="10">
        <v>45667</v>
      </c>
      <c r="E3503" t="s">
        <v>2748</v>
      </c>
      <c r="F3503" s="11" t="s">
        <v>1562</v>
      </c>
      <c r="G3503" s="8">
        <v>0</v>
      </c>
      <c r="H3503" s="8">
        <v>27.62</v>
      </c>
      <c r="I3503" s="8">
        <f t="shared" si="119"/>
        <v>-2285.2599999999998</v>
      </c>
      <c r="J3503" s="12"/>
    </row>
    <row r="3504" spans="3:10" x14ac:dyDescent="0.3">
      <c r="C3504" s="9" t="s">
        <v>12</v>
      </c>
      <c r="D3504" s="10">
        <v>45670</v>
      </c>
      <c r="E3504" t="s">
        <v>2782</v>
      </c>
      <c r="F3504" s="11" t="s">
        <v>1188</v>
      </c>
      <c r="G3504" s="8">
        <v>0</v>
      </c>
      <c r="H3504" s="8">
        <v>27.3</v>
      </c>
      <c r="I3504" s="8">
        <f t="shared" si="119"/>
        <v>-2312.56</v>
      </c>
      <c r="J3504" s="12"/>
    </row>
    <row r="3505" spans="3:10" x14ac:dyDescent="0.3">
      <c r="C3505" s="9" t="s">
        <v>12</v>
      </c>
      <c r="D3505" s="10">
        <v>45670</v>
      </c>
      <c r="E3505" t="s">
        <v>2783</v>
      </c>
      <c r="F3505" s="11" t="s">
        <v>1276</v>
      </c>
      <c r="G3505" s="8">
        <v>0</v>
      </c>
      <c r="H3505" s="8">
        <v>13.93</v>
      </c>
      <c r="I3505" s="8">
        <f t="shared" si="119"/>
        <v>-2326.4899999999998</v>
      </c>
      <c r="J3505" s="12"/>
    </row>
    <row r="3506" spans="3:10" x14ac:dyDescent="0.3">
      <c r="C3506" s="9" t="s">
        <v>12</v>
      </c>
      <c r="D3506" s="10">
        <v>45670</v>
      </c>
      <c r="E3506" t="s">
        <v>2784</v>
      </c>
      <c r="F3506" s="11" t="s">
        <v>1058</v>
      </c>
      <c r="G3506" s="8">
        <v>0</v>
      </c>
      <c r="H3506" s="8">
        <v>168.26</v>
      </c>
      <c r="I3506" s="8">
        <f t="shared" si="119"/>
        <v>-2494.75</v>
      </c>
      <c r="J3506" s="12"/>
    </row>
    <row r="3507" spans="3:10" x14ac:dyDescent="0.3">
      <c r="C3507" s="9" t="s">
        <v>12</v>
      </c>
      <c r="D3507" s="10">
        <v>45670</v>
      </c>
      <c r="E3507" t="s">
        <v>2785</v>
      </c>
      <c r="F3507" s="11" t="s">
        <v>2786</v>
      </c>
      <c r="G3507" s="8">
        <v>0</v>
      </c>
      <c r="H3507" s="8">
        <v>125.44</v>
      </c>
      <c r="I3507" s="8">
        <f t="shared" si="119"/>
        <v>-2620.19</v>
      </c>
      <c r="J3507" s="12"/>
    </row>
    <row r="3508" spans="3:10" x14ac:dyDescent="0.3">
      <c r="C3508" s="9" t="s">
        <v>12</v>
      </c>
      <c r="D3508" s="10">
        <v>45670</v>
      </c>
      <c r="E3508" t="s">
        <v>2745</v>
      </c>
      <c r="F3508" s="11" t="s">
        <v>2787</v>
      </c>
      <c r="G3508" s="8">
        <v>0</v>
      </c>
      <c r="H3508" s="8">
        <v>39.64</v>
      </c>
      <c r="I3508" s="8">
        <f t="shared" si="119"/>
        <v>-2659.83</v>
      </c>
      <c r="J3508" s="12"/>
    </row>
    <row r="3509" spans="3:10" x14ac:dyDescent="0.3">
      <c r="C3509" s="9" t="s">
        <v>12</v>
      </c>
      <c r="D3509" s="10">
        <v>45671</v>
      </c>
      <c r="E3509" t="s">
        <v>2736</v>
      </c>
      <c r="F3509" s="11" t="s">
        <v>2788</v>
      </c>
      <c r="G3509" s="8">
        <v>0</v>
      </c>
      <c r="H3509" s="8">
        <v>26.25</v>
      </c>
      <c r="I3509" s="8">
        <f t="shared" si="119"/>
        <v>-2686.08</v>
      </c>
      <c r="J3509" s="12"/>
    </row>
    <row r="3510" spans="3:10" x14ac:dyDescent="0.3">
      <c r="C3510" s="9" t="s">
        <v>12</v>
      </c>
      <c r="D3510" s="10">
        <v>45671</v>
      </c>
      <c r="E3510" t="s">
        <v>2789</v>
      </c>
      <c r="F3510" s="11" t="s">
        <v>2350</v>
      </c>
      <c r="G3510" s="8">
        <v>0</v>
      </c>
      <c r="H3510" s="8">
        <v>16.47</v>
      </c>
      <c r="I3510" s="8">
        <f t="shared" si="119"/>
        <v>-2702.5499999999997</v>
      </c>
      <c r="J3510" s="12"/>
    </row>
    <row r="3511" spans="3:10" x14ac:dyDescent="0.3">
      <c r="C3511" s="9" t="s">
        <v>12</v>
      </c>
      <c r="D3511" s="10">
        <v>45671</v>
      </c>
      <c r="E3511" t="s">
        <v>2790</v>
      </c>
      <c r="F3511" s="11" t="s">
        <v>1954</v>
      </c>
      <c r="G3511" s="8">
        <v>0</v>
      </c>
      <c r="H3511" s="8">
        <v>69.37</v>
      </c>
      <c r="I3511" s="8">
        <f t="shared" si="119"/>
        <v>-2771.9199999999996</v>
      </c>
      <c r="J3511" s="12"/>
    </row>
    <row r="3512" spans="3:10" x14ac:dyDescent="0.3">
      <c r="C3512" s="9" t="s">
        <v>12</v>
      </c>
      <c r="D3512" s="10">
        <v>45671</v>
      </c>
      <c r="E3512" t="s">
        <v>2791</v>
      </c>
      <c r="F3512" s="11" t="s">
        <v>2792</v>
      </c>
      <c r="G3512" s="8">
        <v>0</v>
      </c>
      <c r="H3512" s="8">
        <v>71.430000000000007</v>
      </c>
      <c r="I3512" s="8">
        <f t="shared" si="119"/>
        <v>-2843.3499999999995</v>
      </c>
      <c r="J3512" s="12"/>
    </row>
    <row r="3513" spans="3:10" x14ac:dyDescent="0.3">
      <c r="C3513" s="9" t="s">
        <v>12</v>
      </c>
      <c r="D3513" s="10">
        <v>45671</v>
      </c>
      <c r="E3513" t="s">
        <v>2730</v>
      </c>
      <c r="F3513" s="11" t="s">
        <v>2793</v>
      </c>
      <c r="G3513" s="8">
        <v>0</v>
      </c>
      <c r="H3513" s="8">
        <v>26.28</v>
      </c>
      <c r="I3513" s="8">
        <f t="shared" si="119"/>
        <v>-2869.6299999999997</v>
      </c>
      <c r="J3513" s="12"/>
    </row>
    <row r="3514" spans="3:10" x14ac:dyDescent="0.3">
      <c r="C3514" s="9" t="s">
        <v>12</v>
      </c>
      <c r="D3514" s="10">
        <v>45672</v>
      </c>
      <c r="E3514" t="s">
        <v>2771</v>
      </c>
      <c r="F3514" s="11" t="s">
        <v>1426</v>
      </c>
      <c r="G3514" s="8">
        <v>0</v>
      </c>
      <c r="H3514" s="8">
        <v>116.18</v>
      </c>
      <c r="I3514" s="8">
        <f t="shared" si="119"/>
        <v>-2985.8099999999995</v>
      </c>
      <c r="J3514" s="12"/>
    </row>
    <row r="3515" spans="3:10" x14ac:dyDescent="0.3">
      <c r="C3515" s="9" t="s">
        <v>12</v>
      </c>
      <c r="D3515" s="10">
        <v>45672</v>
      </c>
      <c r="E3515" t="s">
        <v>2794</v>
      </c>
      <c r="F3515" s="11" t="s">
        <v>1457</v>
      </c>
      <c r="G3515" s="8">
        <v>0</v>
      </c>
      <c r="H3515" s="8">
        <v>40.99</v>
      </c>
      <c r="I3515" s="8">
        <f t="shared" si="119"/>
        <v>-3026.7999999999993</v>
      </c>
      <c r="J3515" s="12"/>
    </row>
    <row r="3516" spans="3:10" x14ac:dyDescent="0.3">
      <c r="C3516" s="9" t="s">
        <v>12</v>
      </c>
      <c r="D3516" s="10">
        <v>45672</v>
      </c>
      <c r="E3516" t="s">
        <v>2795</v>
      </c>
      <c r="F3516" s="11" t="s">
        <v>2374</v>
      </c>
      <c r="G3516" s="8">
        <v>0</v>
      </c>
      <c r="H3516" s="8">
        <v>23.1</v>
      </c>
      <c r="I3516" s="8">
        <f t="shared" si="119"/>
        <v>-3049.8999999999992</v>
      </c>
      <c r="J3516" s="12"/>
    </row>
    <row r="3517" spans="3:10" x14ac:dyDescent="0.3">
      <c r="C3517" s="9" t="s">
        <v>12</v>
      </c>
      <c r="D3517" s="10">
        <v>45672</v>
      </c>
      <c r="E3517" t="s">
        <v>2796</v>
      </c>
      <c r="F3517" s="11" t="s">
        <v>1239</v>
      </c>
      <c r="G3517" s="8">
        <v>0</v>
      </c>
      <c r="H3517" s="8">
        <v>52.27</v>
      </c>
      <c r="I3517" s="8">
        <f t="shared" si="119"/>
        <v>-3102.1699999999992</v>
      </c>
      <c r="J3517" s="12"/>
    </row>
    <row r="3518" spans="3:10" x14ac:dyDescent="0.3">
      <c r="C3518" s="9" t="s">
        <v>12</v>
      </c>
      <c r="D3518" s="10">
        <v>45672</v>
      </c>
      <c r="E3518" t="s">
        <v>2783</v>
      </c>
      <c r="F3518" s="11" t="s">
        <v>1278</v>
      </c>
      <c r="G3518" s="8">
        <v>0</v>
      </c>
      <c r="H3518" s="8">
        <v>25.25</v>
      </c>
      <c r="I3518" s="8">
        <f t="shared" si="119"/>
        <v>-3127.4199999999992</v>
      </c>
      <c r="J3518" s="12"/>
    </row>
    <row r="3519" spans="3:10" x14ac:dyDescent="0.3">
      <c r="C3519" s="9" t="s">
        <v>12</v>
      </c>
      <c r="D3519" s="10">
        <v>45672</v>
      </c>
      <c r="E3519" t="s">
        <v>2797</v>
      </c>
      <c r="F3519" s="11" t="s">
        <v>2798</v>
      </c>
      <c r="G3519" s="8">
        <v>0</v>
      </c>
      <c r="H3519" s="8">
        <v>17.850000000000001</v>
      </c>
      <c r="I3519" s="8">
        <f t="shared" si="119"/>
        <v>-3145.2699999999991</v>
      </c>
      <c r="J3519" s="12"/>
    </row>
    <row r="3520" spans="3:10" x14ac:dyDescent="0.3">
      <c r="C3520" s="9" t="s">
        <v>12</v>
      </c>
      <c r="D3520" s="10">
        <v>45672</v>
      </c>
      <c r="E3520" t="s">
        <v>2799</v>
      </c>
      <c r="F3520" s="11" t="s">
        <v>2800</v>
      </c>
      <c r="G3520" s="8">
        <v>0</v>
      </c>
      <c r="H3520" s="8">
        <v>34.51</v>
      </c>
      <c r="I3520" s="8">
        <f t="shared" si="119"/>
        <v>-3179.7799999999993</v>
      </c>
      <c r="J3520" s="12"/>
    </row>
    <row r="3521" spans="3:10" x14ac:dyDescent="0.3">
      <c r="C3521" s="9" t="s">
        <v>12</v>
      </c>
      <c r="D3521" s="10">
        <v>45672</v>
      </c>
      <c r="E3521" t="s">
        <v>2801</v>
      </c>
      <c r="F3521" s="11" t="s">
        <v>2802</v>
      </c>
      <c r="G3521" s="8">
        <v>0</v>
      </c>
      <c r="H3521" s="8">
        <v>23.1</v>
      </c>
      <c r="I3521" s="8">
        <f t="shared" si="119"/>
        <v>-3202.8799999999992</v>
      </c>
      <c r="J3521" s="12"/>
    </row>
    <row r="3522" spans="3:10" x14ac:dyDescent="0.3">
      <c r="C3522" s="9" t="s">
        <v>12</v>
      </c>
      <c r="D3522" s="10">
        <v>45673</v>
      </c>
      <c r="E3522" t="s">
        <v>2784</v>
      </c>
      <c r="F3522" s="11" t="s">
        <v>1061</v>
      </c>
      <c r="G3522" s="8">
        <v>0</v>
      </c>
      <c r="H3522" s="8">
        <v>186</v>
      </c>
      <c r="I3522" s="8">
        <f t="shared" si="119"/>
        <v>-3388.8799999999992</v>
      </c>
      <c r="J3522" s="12"/>
    </row>
    <row r="3523" spans="3:10" x14ac:dyDescent="0.3">
      <c r="C3523" s="9" t="s">
        <v>12</v>
      </c>
      <c r="D3523" s="10">
        <v>45673</v>
      </c>
      <c r="E3523" t="s">
        <v>2803</v>
      </c>
      <c r="F3523" s="11" t="s">
        <v>1399</v>
      </c>
      <c r="G3523" s="8">
        <v>0</v>
      </c>
      <c r="H3523" s="8">
        <v>238.99</v>
      </c>
      <c r="I3523" s="8">
        <f t="shared" si="119"/>
        <v>-3627.869999999999</v>
      </c>
      <c r="J3523" s="12"/>
    </row>
    <row r="3524" spans="3:10" x14ac:dyDescent="0.3">
      <c r="C3524" s="9" t="s">
        <v>12</v>
      </c>
      <c r="D3524" s="10">
        <v>45673</v>
      </c>
      <c r="E3524" t="s">
        <v>2804</v>
      </c>
      <c r="F3524" s="11" t="s">
        <v>2805</v>
      </c>
      <c r="G3524" s="8">
        <v>0</v>
      </c>
      <c r="H3524" s="8">
        <v>45.85</v>
      </c>
      <c r="I3524" s="8">
        <f t="shared" si="119"/>
        <v>-3673.7199999999989</v>
      </c>
      <c r="J3524" s="12"/>
    </row>
    <row r="3525" spans="3:10" x14ac:dyDescent="0.3">
      <c r="C3525" s="9" t="s">
        <v>12</v>
      </c>
      <c r="D3525" s="10">
        <v>45673</v>
      </c>
      <c r="E3525" t="s">
        <v>2806</v>
      </c>
      <c r="F3525" s="11" t="s">
        <v>1250</v>
      </c>
      <c r="G3525" s="8">
        <v>0</v>
      </c>
      <c r="H3525" s="8">
        <v>23.1</v>
      </c>
      <c r="I3525" s="8">
        <f t="shared" si="119"/>
        <v>-3696.8199999999988</v>
      </c>
      <c r="J3525" s="12"/>
    </row>
    <row r="3526" spans="3:10" x14ac:dyDescent="0.3">
      <c r="C3526" s="9" t="s">
        <v>12</v>
      </c>
      <c r="D3526" s="10">
        <v>45673</v>
      </c>
      <c r="E3526" t="s">
        <v>2807</v>
      </c>
      <c r="F3526" s="11" t="s">
        <v>2808</v>
      </c>
      <c r="G3526" s="8">
        <v>0</v>
      </c>
      <c r="H3526" s="8">
        <v>23.1</v>
      </c>
      <c r="I3526" s="8">
        <f t="shared" si="119"/>
        <v>-3719.9199999999987</v>
      </c>
      <c r="J3526" s="12"/>
    </row>
    <row r="3527" spans="3:10" x14ac:dyDescent="0.3">
      <c r="C3527" s="9" t="s">
        <v>12</v>
      </c>
      <c r="D3527" s="10">
        <v>45673</v>
      </c>
      <c r="E3527" t="s">
        <v>2809</v>
      </c>
      <c r="F3527" s="11" t="s">
        <v>2810</v>
      </c>
      <c r="G3527" s="8">
        <v>0</v>
      </c>
      <c r="H3527" s="8">
        <v>142.69</v>
      </c>
      <c r="I3527" s="8">
        <f t="shared" si="119"/>
        <v>-3862.6099999999988</v>
      </c>
      <c r="J3527" s="12"/>
    </row>
    <row r="3528" spans="3:10" x14ac:dyDescent="0.3">
      <c r="C3528" s="9" t="s">
        <v>12</v>
      </c>
      <c r="D3528" s="10">
        <v>45673</v>
      </c>
      <c r="E3528" t="s">
        <v>2811</v>
      </c>
      <c r="F3528" s="11" t="s">
        <v>1160</v>
      </c>
      <c r="G3528" s="8">
        <v>0</v>
      </c>
      <c r="H3528" s="8">
        <v>19.78</v>
      </c>
      <c r="I3528" s="8">
        <f t="shared" si="119"/>
        <v>-3882.389999999999</v>
      </c>
      <c r="J3528" s="12"/>
    </row>
    <row r="3529" spans="3:10" x14ac:dyDescent="0.3">
      <c r="C3529" s="9" t="s">
        <v>12</v>
      </c>
      <c r="D3529" s="10">
        <v>45673</v>
      </c>
      <c r="E3529" t="s">
        <v>2812</v>
      </c>
      <c r="F3529" s="11" t="s">
        <v>2813</v>
      </c>
      <c r="G3529" s="8">
        <v>0</v>
      </c>
      <c r="H3529" s="8">
        <v>125.99</v>
      </c>
      <c r="I3529" s="8">
        <f t="shared" si="119"/>
        <v>-4008.3799999999987</v>
      </c>
      <c r="J3529" s="12"/>
    </row>
    <row r="3530" spans="3:10" x14ac:dyDescent="0.3">
      <c r="C3530" s="9" t="s">
        <v>12</v>
      </c>
      <c r="D3530" s="10">
        <v>45673</v>
      </c>
      <c r="E3530" t="s">
        <v>2812</v>
      </c>
      <c r="F3530" s="11" t="s">
        <v>2814</v>
      </c>
      <c r="G3530" s="8">
        <v>0</v>
      </c>
      <c r="H3530" s="8">
        <v>11.15</v>
      </c>
      <c r="I3530" s="8">
        <f t="shared" si="119"/>
        <v>-4019.5299999999988</v>
      </c>
      <c r="J3530" s="12"/>
    </row>
    <row r="3531" spans="3:10" x14ac:dyDescent="0.3">
      <c r="C3531" s="9" t="s">
        <v>12</v>
      </c>
      <c r="D3531" s="10">
        <v>45673</v>
      </c>
      <c r="E3531" t="s">
        <v>2815</v>
      </c>
      <c r="F3531" s="11" t="s">
        <v>1030</v>
      </c>
      <c r="G3531" s="8">
        <v>0</v>
      </c>
      <c r="H3531" s="8">
        <v>1830.36</v>
      </c>
      <c r="I3531" s="8">
        <f t="shared" ref="I3531:I3594" si="120">G3531-H3531+I3530</f>
        <v>-5849.8899999999985</v>
      </c>
      <c r="J3531" s="12"/>
    </row>
    <row r="3532" spans="3:10" x14ac:dyDescent="0.3">
      <c r="C3532" s="9" t="s">
        <v>12</v>
      </c>
      <c r="D3532" s="10">
        <v>45674</v>
      </c>
      <c r="E3532" t="s">
        <v>2816</v>
      </c>
      <c r="F3532" s="11" t="s">
        <v>2817</v>
      </c>
      <c r="G3532" s="8">
        <v>0</v>
      </c>
      <c r="H3532" s="8">
        <v>85.28</v>
      </c>
      <c r="I3532" s="8">
        <f t="shared" si="120"/>
        <v>-5935.1699999999983</v>
      </c>
      <c r="J3532" s="12"/>
    </row>
    <row r="3533" spans="3:10" x14ac:dyDescent="0.3">
      <c r="C3533" s="9" t="s">
        <v>12</v>
      </c>
      <c r="D3533" s="10">
        <v>45674</v>
      </c>
      <c r="E3533" t="s">
        <v>2818</v>
      </c>
      <c r="F3533" s="11" t="s">
        <v>2819</v>
      </c>
      <c r="G3533" s="8">
        <v>0</v>
      </c>
      <c r="H3533" s="8">
        <v>31.82</v>
      </c>
      <c r="I3533" s="8">
        <f t="shared" si="120"/>
        <v>-5966.989999999998</v>
      </c>
      <c r="J3533" s="12"/>
    </row>
    <row r="3534" spans="3:10" x14ac:dyDescent="0.3">
      <c r="C3534" s="9" t="s">
        <v>12</v>
      </c>
      <c r="D3534" s="10">
        <v>45674</v>
      </c>
      <c r="E3534" t="s">
        <v>2820</v>
      </c>
      <c r="F3534" s="11" t="s">
        <v>2821</v>
      </c>
      <c r="G3534" s="8">
        <v>0</v>
      </c>
      <c r="H3534" s="8">
        <v>86.95</v>
      </c>
      <c r="I3534" s="8">
        <f t="shared" si="120"/>
        <v>-6053.9399999999978</v>
      </c>
      <c r="J3534" s="12"/>
    </row>
    <row r="3535" spans="3:10" x14ac:dyDescent="0.3">
      <c r="C3535" s="9" t="s">
        <v>12</v>
      </c>
      <c r="D3535" s="10">
        <v>45674</v>
      </c>
      <c r="E3535" t="s">
        <v>2822</v>
      </c>
      <c r="F3535" s="11" t="s">
        <v>1551</v>
      </c>
      <c r="G3535" s="8">
        <v>0</v>
      </c>
      <c r="H3535" s="8">
        <v>630</v>
      </c>
      <c r="I3535" s="8">
        <f t="shared" si="120"/>
        <v>-6683.9399999999978</v>
      </c>
      <c r="J3535" s="12"/>
    </row>
    <row r="3536" spans="3:10" x14ac:dyDescent="0.3">
      <c r="C3536" s="9" t="s">
        <v>12</v>
      </c>
      <c r="D3536" s="10">
        <v>45676</v>
      </c>
      <c r="E3536" t="s">
        <v>2758</v>
      </c>
      <c r="F3536" s="11" t="s">
        <v>2823</v>
      </c>
      <c r="G3536" s="8">
        <v>0</v>
      </c>
      <c r="H3536" s="8">
        <v>43.15</v>
      </c>
      <c r="I3536" s="8">
        <f t="shared" si="120"/>
        <v>-6727.0899999999974</v>
      </c>
      <c r="J3536" s="12"/>
    </row>
    <row r="3537" spans="3:10" x14ac:dyDescent="0.3">
      <c r="C3537" s="9" t="s">
        <v>12</v>
      </c>
      <c r="D3537" s="10">
        <v>45677</v>
      </c>
      <c r="E3537" t="s">
        <v>2760</v>
      </c>
      <c r="F3537" s="11" t="s">
        <v>2824</v>
      </c>
      <c r="G3537" s="8">
        <v>0</v>
      </c>
      <c r="H3537" s="8">
        <v>34.57</v>
      </c>
      <c r="I3537" s="8">
        <f t="shared" si="120"/>
        <v>-6761.6599999999971</v>
      </c>
      <c r="J3537" s="12"/>
    </row>
    <row r="3538" spans="3:10" x14ac:dyDescent="0.3">
      <c r="C3538" s="9" t="s">
        <v>12</v>
      </c>
      <c r="D3538" s="10">
        <v>45677</v>
      </c>
      <c r="E3538" t="s">
        <v>2825</v>
      </c>
      <c r="F3538" s="11" t="s">
        <v>1388</v>
      </c>
      <c r="G3538" s="8">
        <v>0</v>
      </c>
      <c r="H3538" s="8">
        <v>23.1</v>
      </c>
      <c r="I3538" s="8">
        <f t="shared" si="120"/>
        <v>-6784.7599999999975</v>
      </c>
      <c r="J3538" s="12"/>
    </row>
    <row r="3539" spans="3:10" x14ac:dyDescent="0.3">
      <c r="C3539" s="9" t="s">
        <v>12</v>
      </c>
      <c r="D3539" s="10">
        <v>45677</v>
      </c>
      <c r="E3539" t="s">
        <v>2826</v>
      </c>
      <c r="F3539" s="11" t="s">
        <v>2827</v>
      </c>
      <c r="G3539" s="8">
        <v>0</v>
      </c>
      <c r="H3539" s="8">
        <v>222.32</v>
      </c>
      <c r="I3539" s="8">
        <f t="shared" si="120"/>
        <v>-7007.0799999999972</v>
      </c>
      <c r="J3539" s="12"/>
    </row>
    <row r="3540" spans="3:10" x14ac:dyDescent="0.3">
      <c r="C3540" s="9" t="s">
        <v>12</v>
      </c>
      <c r="D3540" s="10">
        <v>45677</v>
      </c>
      <c r="E3540" t="s">
        <v>2828</v>
      </c>
      <c r="F3540" s="11" t="s">
        <v>2099</v>
      </c>
      <c r="G3540" s="8">
        <v>0</v>
      </c>
      <c r="H3540" s="8">
        <v>27.38</v>
      </c>
      <c r="I3540" s="8">
        <f t="shared" si="120"/>
        <v>-7034.4599999999973</v>
      </c>
      <c r="J3540" s="12"/>
    </row>
    <row r="3541" spans="3:10" x14ac:dyDescent="0.3">
      <c r="C3541" s="9" t="s">
        <v>12</v>
      </c>
      <c r="D3541" s="10">
        <v>45677</v>
      </c>
      <c r="E3541" t="s">
        <v>2795</v>
      </c>
      <c r="F3541" s="11" t="s">
        <v>2376</v>
      </c>
      <c r="G3541" s="8">
        <v>0</v>
      </c>
      <c r="H3541" s="8">
        <v>69.37</v>
      </c>
      <c r="I3541" s="8">
        <f t="shared" si="120"/>
        <v>-7103.8299999999972</v>
      </c>
      <c r="J3541" s="12"/>
    </row>
    <row r="3542" spans="3:10" x14ac:dyDescent="0.3">
      <c r="C3542" s="9" t="s">
        <v>12</v>
      </c>
      <c r="D3542" s="10">
        <v>45677</v>
      </c>
      <c r="E3542" t="s">
        <v>2829</v>
      </c>
      <c r="F3542" s="11" t="s">
        <v>2830</v>
      </c>
      <c r="G3542" s="8">
        <v>0</v>
      </c>
      <c r="H3542" s="8">
        <v>83.13</v>
      </c>
      <c r="I3542" s="8">
        <f t="shared" si="120"/>
        <v>-7186.9599999999973</v>
      </c>
      <c r="J3542" s="12"/>
    </row>
    <row r="3543" spans="3:10" x14ac:dyDescent="0.3">
      <c r="C3543" s="9" t="s">
        <v>12</v>
      </c>
      <c r="D3543" s="10">
        <v>45678</v>
      </c>
      <c r="E3543" t="s">
        <v>2831</v>
      </c>
      <c r="F3543" s="11" t="s">
        <v>2325</v>
      </c>
      <c r="G3543" s="8">
        <v>0</v>
      </c>
      <c r="H3543" s="8">
        <v>59.3</v>
      </c>
      <c r="I3543" s="8">
        <f t="shared" si="120"/>
        <v>-7246.2599999999975</v>
      </c>
      <c r="J3543" s="12"/>
    </row>
    <row r="3544" spans="3:10" x14ac:dyDescent="0.3">
      <c r="C3544" s="9" t="s">
        <v>12</v>
      </c>
      <c r="D3544" s="10">
        <v>45678</v>
      </c>
      <c r="E3544" t="s">
        <v>2832</v>
      </c>
      <c r="F3544" s="11" t="s">
        <v>2833</v>
      </c>
      <c r="G3544" s="8">
        <v>0</v>
      </c>
      <c r="H3544" s="8">
        <v>36.130000000000003</v>
      </c>
      <c r="I3544" s="8">
        <f t="shared" si="120"/>
        <v>-7282.3899999999976</v>
      </c>
      <c r="J3544" s="12"/>
    </row>
    <row r="3545" spans="3:10" x14ac:dyDescent="0.3">
      <c r="C3545" s="9" t="s">
        <v>12</v>
      </c>
      <c r="D3545" s="10">
        <v>45678</v>
      </c>
      <c r="E3545" t="s">
        <v>2834</v>
      </c>
      <c r="F3545" s="11" t="s">
        <v>2835</v>
      </c>
      <c r="G3545" s="8">
        <v>0</v>
      </c>
      <c r="H3545" s="8">
        <v>147.08000000000001</v>
      </c>
      <c r="I3545" s="8">
        <f t="shared" si="120"/>
        <v>-7429.4699999999975</v>
      </c>
      <c r="J3545" s="12"/>
    </row>
    <row r="3546" spans="3:10" x14ac:dyDescent="0.3">
      <c r="C3546" s="9" t="s">
        <v>12</v>
      </c>
      <c r="D3546" s="10">
        <v>45678</v>
      </c>
      <c r="E3546" t="s">
        <v>2836</v>
      </c>
      <c r="F3546" s="11" t="s">
        <v>2837</v>
      </c>
      <c r="G3546" s="8">
        <v>0</v>
      </c>
      <c r="H3546" s="8">
        <v>79.81</v>
      </c>
      <c r="I3546" s="8">
        <f t="shared" si="120"/>
        <v>-7509.2799999999979</v>
      </c>
      <c r="J3546" s="12"/>
    </row>
    <row r="3547" spans="3:10" x14ac:dyDescent="0.3">
      <c r="C3547" s="9" t="s">
        <v>12</v>
      </c>
      <c r="D3547" s="10">
        <v>45678</v>
      </c>
      <c r="E3547" t="s">
        <v>2838</v>
      </c>
      <c r="F3547" s="11" t="s">
        <v>2839</v>
      </c>
      <c r="G3547" s="8">
        <v>0</v>
      </c>
      <c r="H3547" s="8">
        <v>23.1</v>
      </c>
      <c r="I3547" s="8">
        <f t="shared" si="120"/>
        <v>-7532.3799999999983</v>
      </c>
      <c r="J3547" s="12"/>
    </row>
    <row r="3548" spans="3:10" x14ac:dyDescent="0.3">
      <c r="C3548" s="9" t="s">
        <v>12</v>
      </c>
      <c r="D3548" s="10">
        <v>45678</v>
      </c>
      <c r="E3548" t="s">
        <v>2840</v>
      </c>
      <c r="F3548" s="11" t="s">
        <v>1834</v>
      </c>
      <c r="G3548" s="8">
        <v>0</v>
      </c>
      <c r="H3548" s="8">
        <v>25.79</v>
      </c>
      <c r="I3548" s="8">
        <f t="shared" si="120"/>
        <v>-7558.1699999999983</v>
      </c>
      <c r="J3548" s="12"/>
    </row>
    <row r="3549" spans="3:10" x14ac:dyDescent="0.3">
      <c r="C3549" s="9" t="s">
        <v>12</v>
      </c>
      <c r="D3549" s="10">
        <v>45678</v>
      </c>
      <c r="E3549" t="s">
        <v>2783</v>
      </c>
      <c r="F3549" s="11" t="s">
        <v>1280</v>
      </c>
      <c r="G3549" s="8">
        <v>0</v>
      </c>
      <c r="H3549" s="8">
        <v>91.49</v>
      </c>
      <c r="I3549" s="8">
        <f t="shared" si="120"/>
        <v>-7649.659999999998</v>
      </c>
      <c r="J3549" s="12"/>
    </row>
    <row r="3550" spans="3:10" x14ac:dyDescent="0.3">
      <c r="C3550" s="9" t="s">
        <v>12</v>
      </c>
      <c r="D3550" s="10">
        <v>45679</v>
      </c>
      <c r="E3550" t="s">
        <v>2841</v>
      </c>
      <c r="F3550" s="11" t="s">
        <v>2842</v>
      </c>
      <c r="G3550" s="8">
        <v>0</v>
      </c>
      <c r="H3550" s="8">
        <v>20.16</v>
      </c>
      <c r="I3550" s="8">
        <f t="shared" si="120"/>
        <v>-7669.8199999999979</v>
      </c>
      <c r="J3550" s="12"/>
    </row>
    <row r="3551" spans="3:10" x14ac:dyDescent="0.3">
      <c r="C3551" s="9" t="s">
        <v>12</v>
      </c>
      <c r="D3551" s="10">
        <v>45679</v>
      </c>
      <c r="E3551" t="s">
        <v>2812</v>
      </c>
      <c r="F3551" s="11" t="s">
        <v>2843</v>
      </c>
      <c r="G3551" s="8">
        <v>0</v>
      </c>
      <c r="H3551" s="8">
        <v>142.07</v>
      </c>
      <c r="I3551" s="8">
        <f t="shared" si="120"/>
        <v>-7811.8899999999976</v>
      </c>
      <c r="J3551" s="12"/>
    </row>
    <row r="3552" spans="3:10" x14ac:dyDescent="0.3">
      <c r="C3552" s="9" t="s">
        <v>12</v>
      </c>
      <c r="D3552" s="10">
        <v>45679</v>
      </c>
      <c r="E3552" t="s">
        <v>2844</v>
      </c>
      <c r="F3552" s="11" t="s">
        <v>2845</v>
      </c>
      <c r="G3552" s="8">
        <v>0</v>
      </c>
      <c r="H3552" s="8">
        <v>20.16</v>
      </c>
      <c r="I3552" s="8">
        <f t="shared" si="120"/>
        <v>-7832.0499999999975</v>
      </c>
      <c r="J3552" s="12"/>
    </row>
    <row r="3553" spans="3:10" x14ac:dyDescent="0.3">
      <c r="C3553" s="9" t="s">
        <v>12</v>
      </c>
      <c r="D3553" s="10">
        <v>45679</v>
      </c>
      <c r="E3553" t="s">
        <v>2735</v>
      </c>
      <c r="F3553" s="11" t="s">
        <v>1764</v>
      </c>
      <c r="G3553" s="8">
        <v>0</v>
      </c>
      <c r="H3553" s="8">
        <v>17.850000000000001</v>
      </c>
      <c r="I3553" s="8">
        <f t="shared" si="120"/>
        <v>-7849.8999999999978</v>
      </c>
      <c r="J3553" s="12"/>
    </row>
    <row r="3554" spans="3:10" x14ac:dyDescent="0.3">
      <c r="C3554" s="9" t="s">
        <v>12</v>
      </c>
      <c r="D3554" s="10">
        <v>45679</v>
      </c>
      <c r="E3554" t="s">
        <v>2846</v>
      </c>
      <c r="F3554" s="11" t="s">
        <v>1515</v>
      </c>
      <c r="G3554" s="8">
        <v>0</v>
      </c>
      <c r="H3554" s="8">
        <v>17.850000000000001</v>
      </c>
      <c r="I3554" s="8">
        <f t="shared" si="120"/>
        <v>-7867.7499999999982</v>
      </c>
      <c r="J3554" s="12"/>
    </row>
    <row r="3555" spans="3:10" x14ac:dyDescent="0.3">
      <c r="C3555" s="9" t="s">
        <v>12</v>
      </c>
      <c r="D3555" s="10">
        <v>45679</v>
      </c>
      <c r="E3555" t="s">
        <v>2847</v>
      </c>
      <c r="F3555" s="11" t="s">
        <v>1106</v>
      </c>
      <c r="G3555" s="8">
        <v>0</v>
      </c>
      <c r="H3555" s="8">
        <v>23.1</v>
      </c>
      <c r="I3555" s="8">
        <f t="shared" si="120"/>
        <v>-7890.8499999999985</v>
      </c>
      <c r="J3555" s="12"/>
    </row>
    <row r="3556" spans="3:10" x14ac:dyDescent="0.3">
      <c r="C3556" s="9" t="s">
        <v>12</v>
      </c>
      <c r="D3556" s="10">
        <v>45679</v>
      </c>
      <c r="E3556" t="s">
        <v>2848</v>
      </c>
      <c r="F3556" s="11" t="s">
        <v>1176</v>
      </c>
      <c r="G3556" s="8">
        <v>0</v>
      </c>
      <c r="H3556" s="8">
        <v>35.25</v>
      </c>
      <c r="I3556" s="8">
        <f t="shared" si="120"/>
        <v>-7926.0999999999985</v>
      </c>
      <c r="J3556" s="12"/>
    </row>
    <row r="3557" spans="3:10" x14ac:dyDescent="0.3">
      <c r="C3557" s="9" t="s">
        <v>12</v>
      </c>
      <c r="D3557" s="10">
        <v>45679</v>
      </c>
      <c r="E3557" t="s">
        <v>2849</v>
      </c>
      <c r="F3557" s="11" t="s">
        <v>2850</v>
      </c>
      <c r="G3557" s="8">
        <v>0</v>
      </c>
      <c r="H3557" s="8">
        <v>33.53</v>
      </c>
      <c r="I3557" s="8">
        <f t="shared" si="120"/>
        <v>-7959.6299999999983</v>
      </c>
      <c r="J3557" s="12"/>
    </row>
    <row r="3558" spans="3:10" x14ac:dyDescent="0.3">
      <c r="C3558" s="9" t="s">
        <v>12</v>
      </c>
      <c r="D3558" s="10">
        <v>45679</v>
      </c>
      <c r="E3558" t="s">
        <v>2851</v>
      </c>
      <c r="F3558" s="11" t="s">
        <v>2852</v>
      </c>
      <c r="G3558" s="8">
        <v>0</v>
      </c>
      <c r="H3558" s="8">
        <v>47.73</v>
      </c>
      <c r="I3558" s="8">
        <f t="shared" si="120"/>
        <v>-8007.3599999999979</v>
      </c>
      <c r="J3558" s="12"/>
    </row>
    <row r="3559" spans="3:10" x14ac:dyDescent="0.3">
      <c r="C3559" s="9" t="s">
        <v>12</v>
      </c>
      <c r="D3559" s="10">
        <v>45679</v>
      </c>
      <c r="E3559" t="s">
        <v>2853</v>
      </c>
      <c r="F3559" s="11" t="s">
        <v>1198</v>
      </c>
      <c r="G3559" s="8">
        <v>0</v>
      </c>
      <c r="H3559" s="8">
        <v>243.68</v>
      </c>
      <c r="I3559" s="8">
        <f t="shared" si="120"/>
        <v>-8251.0399999999972</v>
      </c>
      <c r="J3559" s="12"/>
    </row>
    <row r="3560" spans="3:10" x14ac:dyDescent="0.3">
      <c r="C3560" s="9" t="s">
        <v>12</v>
      </c>
      <c r="D3560" s="10">
        <v>45679</v>
      </c>
      <c r="E3560" t="s">
        <v>2854</v>
      </c>
      <c r="F3560" s="11" t="s">
        <v>1226</v>
      </c>
      <c r="G3560" s="8">
        <v>0</v>
      </c>
      <c r="H3560" s="8">
        <v>406</v>
      </c>
      <c r="I3560" s="8">
        <f t="shared" si="120"/>
        <v>-8657.0399999999972</v>
      </c>
      <c r="J3560" s="12"/>
    </row>
    <row r="3561" spans="3:10" x14ac:dyDescent="0.3">
      <c r="C3561" s="9" t="s">
        <v>12</v>
      </c>
      <c r="D3561" s="10">
        <v>45679</v>
      </c>
      <c r="E3561" t="s">
        <v>2855</v>
      </c>
      <c r="F3561" s="11" t="s">
        <v>1891</v>
      </c>
      <c r="G3561" s="8">
        <v>0</v>
      </c>
      <c r="H3561" s="8">
        <v>107.82</v>
      </c>
      <c r="I3561" s="8">
        <f t="shared" si="120"/>
        <v>-8764.8599999999969</v>
      </c>
      <c r="J3561" s="12"/>
    </row>
    <row r="3562" spans="3:10" x14ac:dyDescent="0.3">
      <c r="C3562" s="9" t="s">
        <v>12</v>
      </c>
      <c r="D3562" s="10">
        <v>45679</v>
      </c>
      <c r="E3562" t="s">
        <v>2856</v>
      </c>
      <c r="F3562" s="11" t="s">
        <v>2857</v>
      </c>
      <c r="G3562" s="8">
        <v>0</v>
      </c>
      <c r="H3562" s="8">
        <v>17.440000000000001</v>
      </c>
      <c r="I3562" s="8">
        <f t="shared" si="120"/>
        <v>-8782.2999999999975</v>
      </c>
      <c r="J3562" s="12"/>
    </row>
    <row r="3563" spans="3:10" x14ac:dyDescent="0.3">
      <c r="C3563" s="9" t="s">
        <v>12</v>
      </c>
      <c r="D3563" s="10">
        <v>45679</v>
      </c>
      <c r="E3563" t="s">
        <v>2858</v>
      </c>
      <c r="F3563" s="11" t="s">
        <v>2859</v>
      </c>
      <c r="G3563" s="8">
        <v>0</v>
      </c>
      <c r="H3563" s="8">
        <v>315.63</v>
      </c>
      <c r="I3563" s="8">
        <f t="shared" si="120"/>
        <v>-9097.9299999999967</v>
      </c>
      <c r="J3563" s="12"/>
    </row>
    <row r="3564" spans="3:10" x14ac:dyDescent="0.3">
      <c r="C3564" s="9" t="s">
        <v>12</v>
      </c>
      <c r="D3564" s="10">
        <v>45681</v>
      </c>
      <c r="E3564" t="s">
        <v>2860</v>
      </c>
      <c r="F3564" s="11" t="s">
        <v>1811</v>
      </c>
      <c r="G3564" s="8">
        <v>0</v>
      </c>
      <c r="H3564" s="8">
        <v>621.67999999999995</v>
      </c>
      <c r="I3564" s="8">
        <f t="shared" si="120"/>
        <v>-9719.6099999999969</v>
      </c>
      <c r="J3564" s="12"/>
    </row>
    <row r="3565" spans="3:10" x14ac:dyDescent="0.3">
      <c r="C3565" s="9" t="s">
        <v>12</v>
      </c>
      <c r="D3565" s="10">
        <v>45681</v>
      </c>
      <c r="E3565" t="s">
        <v>2803</v>
      </c>
      <c r="F3565" s="11" t="s">
        <v>1401</v>
      </c>
      <c r="G3565" s="8">
        <v>0</v>
      </c>
      <c r="H3565" s="8">
        <v>190.39</v>
      </c>
      <c r="I3565" s="8">
        <f t="shared" si="120"/>
        <v>-9909.9999999999964</v>
      </c>
      <c r="J3565" s="12"/>
    </row>
    <row r="3566" spans="3:10" x14ac:dyDescent="0.3">
      <c r="C3566" s="9" t="s">
        <v>12</v>
      </c>
      <c r="D3566" s="10">
        <v>45681</v>
      </c>
      <c r="E3566" t="s">
        <v>2851</v>
      </c>
      <c r="F3566" s="11" t="s">
        <v>2861</v>
      </c>
      <c r="G3566" s="8">
        <v>0</v>
      </c>
      <c r="H3566" s="8">
        <v>47.01</v>
      </c>
      <c r="I3566" s="8">
        <f t="shared" si="120"/>
        <v>-9957.0099999999966</v>
      </c>
      <c r="J3566" s="12"/>
    </row>
    <row r="3567" spans="3:10" x14ac:dyDescent="0.3">
      <c r="C3567" s="9" t="s">
        <v>12</v>
      </c>
      <c r="D3567" s="10">
        <v>45684</v>
      </c>
      <c r="E3567" t="s">
        <v>2862</v>
      </c>
      <c r="F3567" s="11" t="s">
        <v>2257</v>
      </c>
      <c r="G3567" s="8">
        <v>0</v>
      </c>
      <c r="H3567" s="8">
        <v>84.27</v>
      </c>
      <c r="I3567" s="8">
        <f t="shared" si="120"/>
        <v>-10041.279999999997</v>
      </c>
      <c r="J3567" s="12"/>
    </row>
    <row r="3568" spans="3:10" x14ac:dyDescent="0.3">
      <c r="C3568" s="9" t="s">
        <v>12</v>
      </c>
      <c r="D3568" s="10">
        <v>45684</v>
      </c>
      <c r="E3568" t="s">
        <v>2831</v>
      </c>
      <c r="F3568" s="11" t="s">
        <v>2327</v>
      </c>
      <c r="G3568" s="8">
        <v>0</v>
      </c>
      <c r="H3568" s="8">
        <v>18.59</v>
      </c>
      <c r="I3568" s="8">
        <f t="shared" si="120"/>
        <v>-10059.869999999997</v>
      </c>
      <c r="J3568" s="12"/>
    </row>
    <row r="3569" spans="3:10" x14ac:dyDescent="0.3">
      <c r="C3569" s="9" t="s">
        <v>12</v>
      </c>
      <c r="D3569" s="10">
        <v>45684</v>
      </c>
      <c r="E3569" t="s">
        <v>2795</v>
      </c>
      <c r="F3569" s="11" t="s">
        <v>2378</v>
      </c>
      <c r="G3569" s="8">
        <v>0</v>
      </c>
      <c r="H3569" s="8">
        <v>23.1</v>
      </c>
      <c r="I3569" s="8">
        <f t="shared" si="120"/>
        <v>-10082.969999999998</v>
      </c>
      <c r="J3569" s="12"/>
    </row>
    <row r="3570" spans="3:10" x14ac:dyDescent="0.3">
      <c r="C3570" s="9" t="s">
        <v>12</v>
      </c>
      <c r="D3570" s="10">
        <v>45684</v>
      </c>
      <c r="E3570" t="s">
        <v>2768</v>
      </c>
      <c r="F3570" s="11" t="s">
        <v>2863</v>
      </c>
      <c r="G3570" s="8">
        <v>0</v>
      </c>
      <c r="H3570" s="8">
        <v>172.67</v>
      </c>
      <c r="I3570" s="8">
        <f t="shared" si="120"/>
        <v>-10255.639999999998</v>
      </c>
      <c r="J3570" s="12"/>
    </row>
    <row r="3571" spans="3:10" x14ac:dyDescent="0.3">
      <c r="C3571" s="9" t="s">
        <v>12</v>
      </c>
      <c r="D3571" s="10">
        <v>45684</v>
      </c>
      <c r="E3571" t="s">
        <v>2864</v>
      </c>
      <c r="F3571" s="11" t="s">
        <v>2865</v>
      </c>
      <c r="G3571" s="8">
        <v>0</v>
      </c>
      <c r="H3571" s="8">
        <v>60.36</v>
      </c>
      <c r="I3571" s="8">
        <f t="shared" si="120"/>
        <v>-10315.999999999998</v>
      </c>
      <c r="J3571" s="12"/>
    </row>
    <row r="3572" spans="3:10" x14ac:dyDescent="0.3">
      <c r="C3572" s="9" t="s">
        <v>12</v>
      </c>
      <c r="D3572" s="10">
        <v>45684</v>
      </c>
      <c r="E3572" t="s">
        <v>2866</v>
      </c>
      <c r="F3572" s="11" t="s">
        <v>2867</v>
      </c>
      <c r="G3572" s="8">
        <v>0</v>
      </c>
      <c r="H3572" s="8">
        <v>17.850000000000001</v>
      </c>
      <c r="I3572" s="8">
        <f t="shared" si="120"/>
        <v>-10333.849999999999</v>
      </c>
      <c r="J3572" s="12"/>
    </row>
    <row r="3573" spans="3:10" x14ac:dyDescent="0.3">
      <c r="C3573" s="9" t="s">
        <v>12</v>
      </c>
      <c r="D3573" s="10">
        <v>45684</v>
      </c>
      <c r="E3573" t="s">
        <v>2801</v>
      </c>
      <c r="F3573" s="11" t="s">
        <v>2868</v>
      </c>
      <c r="G3573" s="8">
        <v>0</v>
      </c>
      <c r="H3573" s="8">
        <v>23.1</v>
      </c>
      <c r="I3573" s="8">
        <f t="shared" si="120"/>
        <v>-10356.949999999999</v>
      </c>
      <c r="J3573" s="12"/>
    </row>
    <row r="3574" spans="3:10" x14ac:dyDescent="0.3">
      <c r="C3574" s="9" t="s">
        <v>12</v>
      </c>
      <c r="D3574" s="10">
        <v>45684</v>
      </c>
      <c r="E3574" t="s">
        <v>2846</v>
      </c>
      <c r="F3574" s="11" t="s">
        <v>1517</v>
      </c>
      <c r="G3574" s="8">
        <v>0</v>
      </c>
      <c r="H3574" s="8">
        <v>17.850000000000001</v>
      </c>
      <c r="I3574" s="8">
        <f t="shared" si="120"/>
        <v>-10374.799999999999</v>
      </c>
      <c r="J3574" s="12"/>
    </row>
    <row r="3575" spans="3:10" x14ac:dyDescent="0.3">
      <c r="C3575" s="9" t="s">
        <v>12</v>
      </c>
      <c r="D3575" s="10">
        <v>45684</v>
      </c>
      <c r="E3575" t="s">
        <v>2869</v>
      </c>
      <c r="F3575" s="11" t="s">
        <v>2870</v>
      </c>
      <c r="G3575" s="8">
        <v>0</v>
      </c>
      <c r="H3575" s="8">
        <v>41.43</v>
      </c>
      <c r="I3575" s="8">
        <f t="shared" si="120"/>
        <v>-10416.23</v>
      </c>
      <c r="J3575" s="12"/>
    </row>
    <row r="3576" spans="3:10" x14ac:dyDescent="0.3">
      <c r="C3576" s="9" t="s">
        <v>12</v>
      </c>
      <c r="D3576" s="10">
        <v>45684</v>
      </c>
      <c r="E3576" t="s">
        <v>2871</v>
      </c>
      <c r="F3576" s="11" t="s">
        <v>1359</v>
      </c>
      <c r="G3576" s="8">
        <v>0</v>
      </c>
      <c r="H3576" s="8">
        <v>26.2</v>
      </c>
      <c r="I3576" s="8">
        <f t="shared" si="120"/>
        <v>-10442.43</v>
      </c>
      <c r="J3576" s="12"/>
    </row>
    <row r="3577" spans="3:10" x14ac:dyDescent="0.3">
      <c r="C3577" s="9" t="s">
        <v>12</v>
      </c>
      <c r="D3577" s="10">
        <v>45684</v>
      </c>
      <c r="E3577" t="s">
        <v>2855</v>
      </c>
      <c r="F3577" s="11" t="s">
        <v>1893</v>
      </c>
      <c r="G3577" s="8">
        <v>0</v>
      </c>
      <c r="H3577" s="8">
        <v>107.82</v>
      </c>
      <c r="I3577" s="8">
        <f t="shared" si="120"/>
        <v>-10550.25</v>
      </c>
      <c r="J3577" s="12"/>
    </row>
    <row r="3578" spans="3:10" x14ac:dyDescent="0.3">
      <c r="C3578" s="9" t="s">
        <v>12</v>
      </c>
      <c r="D3578" s="10">
        <v>45684</v>
      </c>
      <c r="E3578" t="s">
        <v>2872</v>
      </c>
      <c r="F3578" s="11" t="s">
        <v>2873</v>
      </c>
      <c r="G3578" s="8">
        <v>0</v>
      </c>
      <c r="H3578" s="8">
        <v>48.78</v>
      </c>
      <c r="I3578" s="8">
        <f t="shared" si="120"/>
        <v>-10599.03</v>
      </c>
      <c r="J3578" s="12"/>
    </row>
    <row r="3579" spans="3:10" x14ac:dyDescent="0.3">
      <c r="C3579" s="9" t="s">
        <v>12</v>
      </c>
      <c r="D3579" s="10">
        <v>45684</v>
      </c>
      <c r="E3579" t="s">
        <v>2874</v>
      </c>
      <c r="F3579" s="11" t="s">
        <v>2875</v>
      </c>
      <c r="G3579" s="8">
        <v>0</v>
      </c>
      <c r="H3579" s="8">
        <v>39.369999999999997</v>
      </c>
      <c r="I3579" s="8">
        <f t="shared" si="120"/>
        <v>-10638.400000000001</v>
      </c>
      <c r="J3579" s="12"/>
    </row>
    <row r="3580" spans="3:10" x14ac:dyDescent="0.3">
      <c r="C3580" s="9" t="s">
        <v>12</v>
      </c>
      <c r="D3580" s="10">
        <v>45684</v>
      </c>
      <c r="E3580" t="s">
        <v>2876</v>
      </c>
      <c r="F3580" s="11" t="s">
        <v>1264</v>
      </c>
      <c r="G3580" s="8">
        <v>0</v>
      </c>
      <c r="H3580" s="8">
        <v>1196.3800000000001</v>
      </c>
      <c r="I3580" s="8">
        <f t="shared" si="120"/>
        <v>-11834.780000000002</v>
      </c>
      <c r="J3580" s="12"/>
    </row>
    <row r="3581" spans="3:10" x14ac:dyDescent="0.3">
      <c r="C3581" s="9" t="s">
        <v>12</v>
      </c>
      <c r="D3581" s="10">
        <v>45684</v>
      </c>
      <c r="E3581" t="s">
        <v>2815</v>
      </c>
      <c r="F3581" s="11" t="s">
        <v>1033</v>
      </c>
      <c r="G3581" s="8">
        <v>0</v>
      </c>
      <c r="H3581" s="8">
        <v>405.98</v>
      </c>
      <c r="I3581" s="8">
        <f t="shared" si="120"/>
        <v>-12240.760000000002</v>
      </c>
      <c r="J3581" s="12"/>
    </row>
    <row r="3582" spans="3:10" x14ac:dyDescent="0.3">
      <c r="C3582" s="9" t="s">
        <v>12</v>
      </c>
      <c r="D3582" s="10">
        <v>45685</v>
      </c>
      <c r="E3582" t="s">
        <v>2877</v>
      </c>
      <c r="F3582" s="11" t="s">
        <v>2082</v>
      </c>
      <c r="G3582" s="8">
        <v>0</v>
      </c>
      <c r="H3582" s="8">
        <v>33.979999999999997</v>
      </c>
      <c r="I3582" s="8">
        <f t="shared" si="120"/>
        <v>-12274.740000000002</v>
      </c>
      <c r="J3582" s="12"/>
    </row>
    <row r="3583" spans="3:10" x14ac:dyDescent="0.3">
      <c r="C3583" s="9" t="s">
        <v>12</v>
      </c>
      <c r="D3583" s="10">
        <v>45685</v>
      </c>
      <c r="E3583" t="s">
        <v>2878</v>
      </c>
      <c r="F3583" s="11" t="s">
        <v>2879</v>
      </c>
      <c r="G3583" s="8">
        <v>0</v>
      </c>
      <c r="H3583" s="8">
        <v>34.65</v>
      </c>
      <c r="I3583" s="8">
        <f t="shared" si="120"/>
        <v>-12309.390000000001</v>
      </c>
      <c r="J3583" s="12"/>
    </row>
    <row r="3584" spans="3:10" x14ac:dyDescent="0.3">
      <c r="C3584" s="9" t="s">
        <v>12</v>
      </c>
      <c r="D3584" s="10">
        <v>45685</v>
      </c>
      <c r="E3584" t="s">
        <v>2880</v>
      </c>
      <c r="F3584" s="11" t="s">
        <v>2881</v>
      </c>
      <c r="G3584" s="8">
        <v>0</v>
      </c>
      <c r="H3584" s="8">
        <v>69.37</v>
      </c>
      <c r="I3584" s="8">
        <f t="shared" si="120"/>
        <v>-12378.760000000002</v>
      </c>
      <c r="J3584" s="12"/>
    </row>
    <row r="3585" spans="3:10" x14ac:dyDescent="0.3">
      <c r="C3585" s="9" t="s">
        <v>12</v>
      </c>
      <c r="D3585" s="10">
        <v>45685</v>
      </c>
      <c r="E3585" t="s">
        <v>2812</v>
      </c>
      <c r="F3585" s="11" t="s">
        <v>2882</v>
      </c>
      <c r="G3585" s="8">
        <v>0</v>
      </c>
      <c r="H3585" s="8">
        <v>180.97</v>
      </c>
      <c r="I3585" s="8">
        <f t="shared" si="120"/>
        <v>-12559.730000000001</v>
      </c>
      <c r="J3585" s="12"/>
    </row>
    <row r="3586" spans="3:10" x14ac:dyDescent="0.3">
      <c r="C3586" s="9" t="s">
        <v>12</v>
      </c>
      <c r="D3586" s="10">
        <v>45685</v>
      </c>
      <c r="E3586" t="s">
        <v>2789</v>
      </c>
      <c r="F3586" s="11" t="s">
        <v>2352</v>
      </c>
      <c r="G3586" s="8">
        <v>0</v>
      </c>
      <c r="H3586" s="8">
        <v>22.26</v>
      </c>
      <c r="I3586" s="8">
        <f t="shared" si="120"/>
        <v>-12581.990000000002</v>
      </c>
      <c r="J3586" s="12"/>
    </row>
    <row r="3587" spans="3:10" x14ac:dyDescent="0.3">
      <c r="C3587" s="9" t="s">
        <v>12</v>
      </c>
      <c r="D3587" s="10">
        <v>45685</v>
      </c>
      <c r="E3587" t="s">
        <v>2785</v>
      </c>
      <c r="F3587" s="11" t="s">
        <v>2883</v>
      </c>
      <c r="G3587" s="8">
        <v>0</v>
      </c>
      <c r="H3587" s="8">
        <v>40.97</v>
      </c>
      <c r="I3587" s="8">
        <f t="shared" si="120"/>
        <v>-12622.960000000001</v>
      </c>
      <c r="J3587" s="12"/>
    </row>
    <row r="3588" spans="3:10" x14ac:dyDescent="0.3">
      <c r="C3588" s="9" t="s">
        <v>12</v>
      </c>
      <c r="D3588" s="10">
        <v>45685</v>
      </c>
      <c r="E3588" t="s">
        <v>2884</v>
      </c>
      <c r="F3588" s="11" t="s">
        <v>2885</v>
      </c>
      <c r="G3588" s="8">
        <v>0</v>
      </c>
      <c r="H3588" s="8">
        <v>51.21</v>
      </c>
      <c r="I3588" s="8">
        <f t="shared" si="120"/>
        <v>-12674.17</v>
      </c>
      <c r="J3588" s="12"/>
    </row>
    <row r="3589" spans="3:10" x14ac:dyDescent="0.3">
      <c r="C3589" s="9" t="s">
        <v>12</v>
      </c>
      <c r="D3589" s="10">
        <v>45685</v>
      </c>
      <c r="E3589" t="s">
        <v>2886</v>
      </c>
      <c r="F3589" s="11" t="s">
        <v>2138</v>
      </c>
      <c r="G3589" s="8">
        <v>0</v>
      </c>
      <c r="H3589" s="8">
        <v>299.89</v>
      </c>
      <c r="I3589" s="8">
        <f t="shared" si="120"/>
        <v>-12974.06</v>
      </c>
      <c r="J3589" s="12"/>
    </row>
    <row r="3590" spans="3:10" x14ac:dyDescent="0.3">
      <c r="C3590" s="9" t="s">
        <v>12</v>
      </c>
      <c r="D3590" s="10">
        <v>45685</v>
      </c>
      <c r="E3590" t="s">
        <v>2734</v>
      </c>
      <c r="F3590" s="11" t="s">
        <v>2015</v>
      </c>
      <c r="G3590" s="8">
        <v>0</v>
      </c>
      <c r="H3590" s="8">
        <v>490.35</v>
      </c>
      <c r="I3590" s="8">
        <f t="shared" si="120"/>
        <v>-13464.41</v>
      </c>
      <c r="J3590" s="12"/>
    </row>
    <row r="3591" spans="3:10" x14ac:dyDescent="0.3">
      <c r="C3591" s="9" t="s">
        <v>12</v>
      </c>
      <c r="D3591" s="10">
        <v>45685</v>
      </c>
      <c r="E3591" t="s">
        <v>2771</v>
      </c>
      <c r="F3591" s="11" t="s">
        <v>1429</v>
      </c>
      <c r="G3591" s="8">
        <v>0</v>
      </c>
      <c r="H3591" s="8">
        <v>52.97</v>
      </c>
      <c r="I3591" s="8">
        <f t="shared" si="120"/>
        <v>-13517.38</v>
      </c>
      <c r="J3591" s="12"/>
    </row>
    <row r="3592" spans="3:10" x14ac:dyDescent="0.3">
      <c r="C3592" s="9" t="s">
        <v>12</v>
      </c>
      <c r="D3592" s="10">
        <v>45685</v>
      </c>
      <c r="E3592" t="s">
        <v>2887</v>
      </c>
      <c r="F3592" s="11" t="s">
        <v>1209</v>
      </c>
      <c r="G3592" s="8">
        <v>0</v>
      </c>
      <c r="H3592" s="8">
        <v>26.9</v>
      </c>
      <c r="I3592" s="8">
        <f t="shared" si="120"/>
        <v>-13544.279999999999</v>
      </c>
      <c r="J3592" s="12"/>
    </row>
    <row r="3593" spans="3:10" x14ac:dyDescent="0.3">
      <c r="C3593" s="9" t="s">
        <v>12</v>
      </c>
      <c r="D3593" s="10">
        <v>45686</v>
      </c>
      <c r="E3593" t="s">
        <v>2888</v>
      </c>
      <c r="F3593" s="11" t="s">
        <v>2889</v>
      </c>
      <c r="G3593" s="8">
        <v>0</v>
      </c>
      <c r="H3593" s="8">
        <v>53.55</v>
      </c>
      <c r="I3593" s="8">
        <f t="shared" si="120"/>
        <v>-13597.829999999998</v>
      </c>
      <c r="J3593" s="12"/>
    </row>
    <row r="3594" spans="3:10" x14ac:dyDescent="0.3">
      <c r="C3594" s="9" t="s">
        <v>12</v>
      </c>
      <c r="D3594" s="10">
        <v>45686</v>
      </c>
      <c r="E3594" t="s">
        <v>2890</v>
      </c>
      <c r="F3594" s="11" t="s">
        <v>2891</v>
      </c>
      <c r="G3594" s="8">
        <v>0</v>
      </c>
      <c r="H3594" s="8">
        <v>73.569999999999993</v>
      </c>
      <c r="I3594" s="8">
        <f t="shared" si="120"/>
        <v>-13671.399999999998</v>
      </c>
      <c r="J3594" s="12"/>
    </row>
    <row r="3595" spans="3:10" x14ac:dyDescent="0.3">
      <c r="C3595" s="9" t="s">
        <v>12</v>
      </c>
      <c r="D3595" s="10">
        <v>45686</v>
      </c>
      <c r="E3595" t="s">
        <v>2752</v>
      </c>
      <c r="F3595" s="11" t="s">
        <v>2892</v>
      </c>
      <c r="G3595" s="8">
        <v>0</v>
      </c>
      <c r="H3595" s="8">
        <v>20.100000000000001</v>
      </c>
      <c r="I3595" s="8">
        <f t="shared" ref="I3595:I3658" si="121">G3595-H3595+I3594</f>
        <v>-13691.499999999998</v>
      </c>
      <c r="J3595" s="12"/>
    </row>
    <row r="3596" spans="3:10" x14ac:dyDescent="0.3">
      <c r="C3596" s="9" t="s">
        <v>12</v>
      </c>
      <c r="D3596" s="10">
        <v>45686</v>
      </c>
      <c r="E3596" t="s">
        <v>2849</v>
      </c>
      <c r="F3596" s="11" t="s">
        <v>2893</v>
      </c>
      <c r="G3596" s="8">
        <v>0</v>
      </c>
      <c r="H3596" s="8">
        <v>30.4</v>
      </c>
      <c r="I3596" s="8">
        <f t="shared" si="121"/>
        <v>-13721.899999999998</v>
      </c>
      <c r="J3596" s="12"/>
    </row>
    <row r="3597" spans="3:10" x14ac:dyDescent="0.3">
      <c r="C3597" s="9" t="s">
        <v>12</v>
      </c>
      <c r="D3597" s="10">
        <v>45686</v>
      </c>
      <c r="E3597" t="s">
        <v>2745</v>
      </c>
      <c r="F3597" s="11" t="s">
        <v>2894</v>
      </c>
      <c r="G3597" s="8">
        <v>0</v>
      </c>
      <c r="H3597" s="8">
        <v>69.37</v>
      </c>
      <c r="I3597" s="8">
        <f t="shared" si="121"/>
        <v>-13791.269999999999</v>
      </c>
      <c r="J3597" s="12"/>
    </row>
    <row r="3598" spans="3:10" x14ac:dyDescent="0.3">
      <c r="C3598" s="9" t="s">
        <v>12</v>
      </c>
      <c r="D3598" s="10">
        <v>45686</v>
      </c>
      <c r="E3598" t="s">
        <v>2895</v>
      </c>
      <c r="F3598" s="11" t="s">
        <v>2896</v>
      </c>
      <c r="G3598" s="8">
        <v>0</v>
      </c>
      <c r="H3598" s="8">
        <v>23.89</v>
      </c>
      <c r="I3598" s="8">
        <f t="shared" si="121"/>
        <v>-13815.159999999998</v>
      </c>
      <c r="J3598" s="12"/>
    </row>
    <row r="3599" spans="3:10" x14ac:dyDescent="0.3">
      <c r="C3599" s="9" t="s">
        <v>12</v>
      </c>
      <c r="D3599" s="10">
        <v>45686</v>
      </c>
      <c r="E3599" t="s">
        <v>2829</v>
      </c>
      <c r="F3599" s="11" t="s">
        <v>2897</v>
      </c>
      <c r="G3599" s="8">
        <v>0</v>
      </c>
      <c r="H3599" s="8">
        <v>381.36</v>
      </c>
      <c r="I3599" s="8">
        <f t="shared" si="121"/>
        <v>-14196.519999999999</v>
      </c>
      <c r="J3599" s="12"/>
    </row>
    <row r="3600" spans="3:10" x14ac:dyDescent="0.3">
      <c r="C3600" s="9" t="s">
        <v>12</v>
      </c>
      <c r="D3600" s="10">
        <v>45687</v>
      </c>
      <c r="E3600" t="s">
        <v>2898</v>
      </c>
      <c r="F3600" s="11" t="s">
        <v>2217</v>
      </c>
      <c r="G3600" s="8">
        <v>0</v>
      </c>
      <c r="H3600" s="8">
        <v>34.65</v>
      </c>
      <c r="I3600" s="8">
        <f t="shared" si="121"/>
        <v>-14231.169999999998</v>
      </c>
      <c r="J3600" s="12"/>
    </row>
    <row r="3601" spans="3:10" x14ac:dyDescent="0.3">
      <c r="C3601" s="9" t="s">
        <v>12</v>
      </c>
      <c r="D3601" s="10">
        <v>45687</v>
      </c>
      <c r="E3601" t="s">
        <v>2871</v>
      </c>
      <c r="F3601" s="11" t="s">
        <v>1361</v>
      </c>
      <c r="G3601" s="8">
        <v>0</v>
      </c>
      <c r="H3601" s="8">
        <v>57.51</v>
      </c>
      <c r="I3601" s="8">
        <f t="shared" si="121"/>
        <v>-14288.679999999998</v>
      </c>
      <c r="J3601" s="12"/>
    </row>
    <row r="3602" spans="3:10" x14ac:dyDescent="0.3">
      <c r="C3602" s="9" t="s">
        <v>12</v>
      </c>
      <c r="D3602" s="10">
        <v>45687</v>
      </c>
      <c r="E3602" t="s">
        <v>2899</v>
      </c>
      <c r="F3602" s="11" t="s">
        <v>1779</v>
      </c>
      <c r="G3602" s="8">
        <v>0</v>
      </c>
      <c r="H3602" s="8">
        <v>40.6</v>
      </c>
      <c r="I3602" s="8">
        <f t="shared" si="121"/>
        <v>-14329.279999999999</v>
      </c>
      <c r="J3602" s="12"/>
    </row>
    <row r="3603" spans="3:10" x14ac:dyDescent="0.3">
      <c r="C3603" s="9" t="s">
        <v>12</v>
      </c>
      <c r="D3603" s="10">
        <v>45687</v>
      </c>
      <c r="E3603" t="s">
        <v>2900</v>
      </c>
      <c r="F3603" s="11" t="s">
        <v>2901</v>
      </c>
      <c r="G3603" s="8">
        <v>0</v>
      </c>
      <c r="H3603" s="8">
        <v>158.36000000000001</v>
      </c>
      <c r="I3603" s="8">
        <f t="shared" si="121"/>
        <v>-14487.64</v>
      </c>
      <c r="J3603" s="12"/>
    </row>
    <row r="3604" spans="3:10" x14ac:dyDescent="0.3">
      <c r="C3604" s="9" t="s">
        <v>12</v>
      </c>
      <c r="D3604" s="10">
        <v>45687</v>
      </c>
      <c r="E3604" t="s">
        <v>2902</v>
      </c>
      <c r="F3604" s="11" t="s">
        <v>2903</v>
      </c>
      <c r="G3604" s="8">
        <v>0</v>
      </c>
      <c r="H3604" s="8">
        <v>104.86</v>
      </c>
      <c r="I3604" s="8">
        <f t="shared" si="121"/>
        <v>-14592.5</v>
      </c>
      <c r="J3604" s="12"/>
    </row>
    <row r="3605" spans="3:10" x14ac:dyDescent="0.3">
      <c r="C3605" s="9" t="s">
        <v>12</v>
      </c>
      <c r="D3605" s="10">
        <v>45687</v>
      </c>
      <c r="E3605" t="s">
        <v>2745</v>
      </c>
      <c r="F3605" s="11" t="s">
        <v>392</v>
      </c>
      <c r="G3605" s="8">
        <v>0</v>
      </c>
      <c r="H3605" s="8">
        <v>-69.37</v>
      </c>
      <c r="I3605" s="8">
        <f t="shared" si="121"/>
        <v>-14523.13</v>
      </c>
      <c r="J3605" s="12"/>
    </row>
    <row r="3606" spans="3:10" x14ac:dyDescent="0.3">
      <c r="C3606" s="9" t="s">
        <v>12</v>
      </c>
      <c r="D3606" s="10">
        <v>45687</v>
      </c>
      <c r="E3606" t="s">
        <v>2855</v>
      </c>
      <c r="F3606" s="11" t="s">
        <v>396</v>
      </c>
      <c r="G3606" s="8">
        <v>0</v>
      </c>
      <c r="H3606" s="8">
        <v>-107.82</v>
      </c>
      <c r="I3606" s="8">
        <f t="shared" si="121"/>
        <v>-14415.31</v>
      </c>
      <c r="J3606" s="12"/>
    </row>
    <row r="3607" spans="3:10" x14ac:dyDescent="0.3">
      <c r="C3607" s="9" t="s">
        <v>12</v>
      </c>
      <c r="D3607" s="10">
        <v>45687</v>
      </c>
      <c r="E3607" t="s">
        <v>2904</v>
      </c>
      <c r="F3607" s="11" t="s">
        <v>1151</v>
      </c>
      <c r="G3607" s="8">
        <v>0</v>
      </c>
      <c r="H3607" s="8">
        <v>69.37</v>
      </c>
      <c r="I3607" s="8">
        <f t="shared" si="121"/>
        <v>-14484.68</v>
      </c>
      <c r="J3607" s="12"/>
    </row>
    <row r="3608" spans="3:10" x14ac:dyDescent="0.3">
      <c r="C3608" s="9" t="s">
        <v>12</v>
      </c>
      <c r="D3608" s="10">
        <v>45687</v>
      </c>
      <c r="E3608" t="s">
        <v>2905</v>
      </c>
      <c r="F3608" s="11" t="s">
        <v>2906</v>
      </c>
      <c r="G3608" s="8">
        <v>0</v>
      </c>
      <c r="H3608" s="8">
        <v>61.21</v>
      </c>
      <c r="I3608" s="8">
        <f t="shared" si="121"/>
        <v>-14545.89</v>
      </c>
      <c r="J3608" s="12"/>
    </row>
    <row r="3609" spans="3:10" x14ac:dyDescent="0.3">
      <c r="C3609" s="9" t="s">
        <v>12</v>
      </c>
      <c r="D3609" s="10">
        <v>45687</v>
      </c>
      <c r="E3609" t="s">
        <v>2907</v>
      </c>
      <c r="F3609" s="11" t="s">
        <v>1924</v>
      </c>
      <c r="G3609" s="8">
        <v>0</v>
      </c>
      <c r="H3609" s="8">
        <v>34.65</v>
      </c>
      <c r="I3609" s="8">
        <f t="shared" si="121"/>
        <v>-14580.539999999999</v>
      </c>
      <c r="J3609" s="12"/>
    </row>
    <row r="3610" spans="3:10" x14ac:dyDescent="0.3">
      <c r="C3610" s="9" t="s">
        <v>12</v>
      </c>
      <c r="D3610" s="10">
        <v>45688</v>
      </c>
      <c r="E3610" t="s">
        <v>2844</v>
      </c>
      <c r="F3610" s="11" t="s">
        <v>2908</v>
      </c>
      <c r="G3610" s="8">
        <v>0</v>
      </c>
      <c r="H3610" s="8">
        <v>56.15</v>
      </c>
      <c r="I3610" s="8">
        <f t="shared" si="121"/>
        <v>-14636.689999999999</v>
      </c>
      <c r="J3610" s="12"/>
    </row>
    <row r="3611" spans="3:10" x14ac:dyDescent="0.3">
      <c r="C3611" s="9" t="s">
        <v>12</v>
      </c>
      <c r="D3611" s="10">
        <v>45688</v>
      </c>
      <c r="E3611" t="s">
        <v>2909</v>
      </c>
      <c r="F3611" s="11" t="s">
        <v>1356</v>
      </c>
      <c r="G3611" s="8">
        <v>0</v>
      </c>
      <c r="H3611" s="8">
        <v>140.74</v>
      </c>
      <c r="I3611" s="8">
        <f t="shared" si="121"/>
        <v>-14777.429999999998</v>
      </c>
      <c r="J3611" s="12"/>
    </row>
    <row r="3612" spans="3:10" x14ac:dyDescent="0.3">
      <c r="C3612" s="9" t="s">
        <v>12</v>
      </c>
      <c r="D3612" s="10">
        <v>45688</v>
      </c>
      <c r="E3612" t="s">
        <v>2848</v>
      </c>
      <c r="F3612" s="11" t="s">
        <v>1178</v>
      </c>
      <c r="G3612" s="8">
        <v>0</v>
      </c>
      <c r="H3612" s="8">
        <v>129.18</v>
      </c>
      <c r="I3612" s="8">
        <f t="shared" si="121"/>
        <v>-14906.609999999999</v>
      </c>
      <c r="J3612" s="12"/>
    </row>
    <row r="3613" spans="3:10" x14ac:dyDescent="0.3">
      <c r="C3613" s="9" t="s">
        <v>12</v>
      </c>
      <c r="D3613" s="10">
        <v>45688</v>
      </c>
      <c r="E3613" t="s">
        <v>2847</v>
      </c>
      <c r="F3613" s="11" t="s">
        <v>1108</v>
      </c>
      <c r="G3613" s="8">
        <v>0</v>
      </c>
      <c r="H3613" s="8">
        <v>514.22</v>
      </c>
      <c r="I3613" s="8">
        <f t="shared" si="121"/>
        <v>-15420.829999999998</v>
      </c>
      <c r="J3613" s="12"/>
    </row>
    <row r="3614" spans="3:10" x14ac:dyDescent="0.3">
      <c r="C3614" s="9" t="s">
        <v>12</v>
      </c>
      <c r="D3614" s="10">
        <v>45688</v>
      </c>
      <c r="E3614" t="s">
        <v>2910</v>
      </c>
      <c r="F3614" s="11" t="s">
        <v>2911</v>
      </c>
      <c r="G3614" s="8">
        <v>0</v>
      </c>
      <c r="H3614" s="8">
        <v>25.88</v>
      </c>
      <c r="I3614" s="8">
        <f t="shared" si="121"/>
        <v>-15446.709999999997</v>
      </c>
      <c r="J3614" s="12"/>
    </row>
    <row r="3615" spans="3:10" x14ac:dyDescent="0.3">
      <c r="C3615" s="9" t="s">
        <v>12</v>
      </c>
      <c r="D3615" s="10">
        <v>45688</v>
      </c>
      <c r="E3615" t="s">
        <v>2760</v>
      </c>
      <c r="F3615" s="11" t="s">
        <v>2912</v>
      </c>
      <c r="G3615" s="8">
        <v>0</v>
      </c>
      <c r="H3615" s="8">
        <v>36.9</v>
      </c>
      <c r="I3615" s="8">
        <f t="shared" si="121"/>
        <v>-15483.609999999997</v>
      </c>
      <c r="J3615" s="12"/>
    </row>
    <row r="3616" spans="3:10" x14ac:dyDescent="0.3">
      <c r="C3616" s="9" t="s">
        <v>12</v>
      </c>
      <c r="D3616" s="10">
        <v>45688</v>
      </c>
      <c r="E3616" t="s">
        <v>2751</v>
      </c>
      <c r="F3616" s="11" t="s">
        <v>2913</v>
      </c>
      <c r="G3616" s="8">
        <v>0</v>
      </c>
      <c r="H3616" s="8">
        <v>28.32</v>
      </c>
      <c r="I3616" s="8">
        <f t="shared" si="121"/>
        <v>-15511.929999999997</v>
      </c>
      <c r="J3616" s="12"/>
    </row>
    <row r="3617" spans="3:10" x14ac:dyDescent="0.3">
      <c r="C3617" s="9" t="s">
        <v>12</v>
      </c>
      <c r="D3617" s="10">
        <v>45691</v>
      </c>
      <c r="E3617" t="s">
        <v>2914</v>
      </c>
      <c r="F3617" s="11" t="s">
        <v>2915</v>
      </c>
      <c r="G3617" s="8">
        <v>0</v>
      </c>
      <c r="H3617" s="8">
        <v>243.52</v>
      </c>
      <c r="I3617" s="8">
        <f t="shared" si="121"/>
        <v>-15755.449999999997</v>
      </c>
      <c r="J3617" s="12"/>
    </row>
    <row r="3618" spans="3:10" x14ac:dyDescent="0.3">
      <c r="C3618" s="9" t="s">
        <v>12</v>
      </c>
      <c r="D3618" s="10">
        <v>45691</v>
      </c>
      <c r="E3618" t="s">
        <v>2783</v>
      </c>
      <c r="F3618" s="11" t="s">
        <v>398</v>
      </c>
      <c r="G3618" s="8">
        <v>0</v>
      </c>
      <c r="H3618" s="8">
        <v>-406.77</v>
      </c>
      <c r="I3618" s="8">
        <f t="shared" si="121"/>
        <v>-15348.679999999997</v>
      </c>
      <c r="J3618" s="12"/>
    </row>
    <row r="3619" spans="3:10" x14ac:dyDescent="0.3">
      <c r="C3619" s="9" t="s">
        <v>12</v>
      </c>
      <c r="D3619" s="10">
        <v>45692</v>
      </c>
      <c r="E3619" t="s">
        <v>2795</v>
      </c>
      <c r="F3619" s="11" t="s">
        <v>2380</v>
      </c>
      <c r="G3619" s="8">
        <v>0</v>
      </c>
      <c r="H3619" s="8">
        <v>145.28</v>
      </c>
      <c r="I3619" s="8">
        <f t="shared" si="121"/>
        <v>-15493.959999999997</v>
      </c>
      <c r="J3619" s="12"/>
    </row>
    <row r="3620" spans="3:10" x14ac:dyDescent="0.3">
      <c r="C3620" s="9" t="s">
        <v>12</v>
      </c>
      <c r="D3620" s="10">
        <v>45692</v>
      </c>
      <c r="E3620" t="s">
        <v>2916</v>
      </c>
      <c r="F3620" s="11" t="s">
        <v>2917</v>
      </c>
      <c r="G3620" s="8">
        <v>0</v>
      </c>
      <c r="H3620" s="8">
        <v>60.93</v>
      </c>
      <c r="I3620" s="8">
        <f t="shared" si="121"/>
        <v>-15554.889999999998</v>
      </c>
      <c r="J3620" s="12"/>
    </row>
    <row r="3621" spans="3:10" x14ac:dyDescent="0.3">
      <c r="C3621" s="9" t="s">
        <v>12</v>
      </c>
      <c r="D3621" s="10">
        <v>45693</v>
      </c>
      <c r="E3621" t="s">
        <v>2907</v>
      </c>
      <c r="F3621" s="11" t="s">
        <v>1926</v>
      </c>
      <c r="G3621" s="8">
        <v>0</v>
      </c>
      <c r="H3621" s="8">
        <v>80.92</v>
      </c>
      <c r="I3621" s="8">
        <f t="shared" si="121"/>
        <v>-15635.809999999998</v>
      </c>
      <c r="J3621" s="12"/>
    </row>
    <row r="3622" spans="3:10" x14ac:dyDescent="0.3">
      <c r="C3622" s="9" t="s">
        <v>12</v>
      </c>
      <c r="D3622" s="10">
        <v>45693</v>
      </c>
      <c r="E3622" t="s">
        <v>2862</v>
      </c>
      <c r="F3622" s="11" t="s">
        <v>2259</v>
      </c>
      <c r="G3622" s="8">
        <v>0</v>
      </c>
      <c r="H3622" s="8">
        <v>80.78</v>
      </c>
      <c r="I3622" s="8">
        <f t="shared" si="121"/>
        <v>-15716.589999999998</v>
      </c>
      <c r="J3622" s="12"/>
    </row>
    <row r="3623" spans="3:10" x14ac:dyDescent="0.3">
      <c r="C3623" s="9" t="s">
        <v>12</v>
      </c>
      <c r="D3623" s="10">
        <v>45693</v>
      </c>
      <c r="E3623" t="s">
        <v>2918</v>
      </c>
      <c r="F3623" s="11" t="s">
        <v>1805</v>
      </c>
      <c r="G3623" s="8">
        <v>0</v>
      </c>
      <c r="H3623" s="8">
        <v>23.1</v>
      </c>
      <c r="I3623" s="8">
        <f t="shared" si="121"/>
        <v>-15739.689999999999</v>
      </c>
      <c r="J3623" s="12"/>
    </row>
    <row r="3624" spans="3:10" x14ac:dyDescent="0.3">
      <c r="C3624" s="9" t="s">
        <v>12</v>
      </c>
      <c r="D3624" s="10">
        <v>45693</v>
      </c>
      <c r="E3624" t="s">
        <v>2734</v>
      </c>
      <c r="F3624" s="11" t="s">
        <v>2017</v>
      </c>
      <c r="G3624" s="8">
        <v>0</v>
      </c>
      <c r="H3624" s="8">
        <v>24.4</v>
      </c>
      <c r="I3624" s="8">
        <f t="shared" si="121"/>
        <v>-15764.089999999998</v>
      </c>
      <c r="J3624" s="12"/>
    </row>
    <row r="3625" spans="3:10" x14ac:dyDescent="0.3">
      <c r="C3625" s="9" t="s">
        <v>12</v>
      </c>
      <c r="D3625" s="10">
        <v>45693</v>
      </c>
      <c r="E3625" t="s">
        <v>2919</v>
      </c>
      <c r="F3625" s="11" t="s">
        <v>2920</v>
      </c>
      <c r="G3625" s="8">
        <v>0</v>
      </c>
      <c r="H3625" s="8">
        <v>60.36</v>
      </c>
      <c r="I3625" s="8">
        <f t="shared" si="121"/>
        <v>-15824.449999999999</v>
      </c>
      <c r="J3625" s="12"/>
    </row>
    <row r="3626" spans="3:10" x14ac:dyDescent="0.3">
      <c r="C3626" s="9" t="s">
        <v>12</v>
      </c>
      <c r="D3626" s="10">
        <v>45693</v>
      </c>
      <c r="E3626" t="s">
        <v>2880</v>
      </c>
      <c r="F3626" s="11" t="s">
        <v>2921</v>
      </c>
      <c r="G3626" s="8">
        <v>0</v>
      </c>
      <c r="H3626" s="8">
        <v>211.6</v>
      </c>
      <c r="I3626" s="8">
        <f t="shared" si="121"/>
        <v>-16036.05</v>
      </c>
      <c r="J3626" s="12"/>
    </row>
    <row r="3627" spans="3:10" x14ac:dyDescent="0.3">
      <c r="C3627" s="9" t="s">
        <v>12</v>
      </c>
      <c r="D3627" s="10">
        <v>45694</v>
      </c>
      <c r="E3627" t="s">
        <v>2922</v>
      </c>
      <c r="F3627" s="11" t="s">
        <v>2923</v>
      </c>
      <c r="G3627" s="8">
        <v>0</v>
      </c>
      <c r="H3627" s="8">
        <v>22.05</v>
      </c>
      <c r="I3627" s="8">
        <f t="shared" si="121"/>
        <v>-16058.099999999999</v>
      </c>
      <c r="J3627" s="12"/>
    </row>
    <row r="3628" spans="3:10" x14ac:dyDescent="0.3">
      <c r="C3628" s="9" t="s">
        <v>12</v>
      </c>
      <c r="D3628" s="10">
        <v>45694</v>
      </c>
      <c r="E3628" t="s">
        <v>2811</v>
      </c>
      <c r="F3628" s="11" t="s">
        <v>1162</v>
      </c>
      <c r="G3628" s="8">
        <v>0</v>
      </c>
      <c r="H3628" s="8">
        <v>39.130000000000003</v>
      </c>
      <c r="I3628" s="8">
        <f t="shared" si="121"/>
        <v>-16097.229999999998</v>
      </c>
      <c r="J3628" s="12"/>
    </row>
    <row r="3629" spans="3:10" x14ac:dyDescent="0.3">
      <c r="C3629" s="9" t="s">
        <v>12</v>
      </c>
      <c r="D3629" s="10">
        <v>45694</v>
      </c>
      <c r="E3629" t="s">
        <v>2846</v>
      </c>
      <c r="F3629" s="11" t="s">
        <v>1519</v>
      </c>
      <c r="G3629" s="8">
        <v>0</v>
      </c>
      <c r="H3629" s="8">
        <v>17.850000000000001</v>
      </c>
      <c r="I3629" s="8">
        <f t="shared" si="121"/>
        <v>-16115.079999999998</v>
      </c>
      <c r="J3629" s="12"/>
    </row>
    <row r="3630" spans="3:10" x14ac:dyDescent="0.3">
      <c r="C3630" s="9" t="s">
        <v>12</v>
      </c>
      <c r="D3630" s="10">
        <v>45694</v>
      </c>
      <c r="E3630" t="s">
        <v>2747</v>
      </c>
      <c r="F3630" s="11" t="s">
        <v>2030</v>
      </c>
      <c r="G3630" s="8">
        <v>0</v>
      </c>
      <c r="H3630" s="8">
        <v>33.200000000000003</v>
      </c>
      <c r="I3630" s="8">
        <f t="shared" si="121"/>
        <v>-16148.279999999999</v>
      </c>
      <c r="J3630" s="12"/>
    </row>
    <row r="3631" spans="3:10" x14ac:dyDescent="0.3">
      <c r="C3631" s="9" t="s">
        <v>12</v>
      </c>
      <c r="D3631" s="10">
        <v>45694</v>
      </c>
      <c r="E3631" t="s">
        <v>2924</v>
      </c>
      <c r="F3631" s="11" t="s">
        <v>2925</v>
      </c>
      <c r="G3631" s="8">
        <v>0</v>
      </c>
      <c r="H3631" s="8">
        <v>85.58</v>
      </c>
      <c r="I3631" s="8">
        <f t="shared" si="121"/>
        <v>-16233.859999999999</v>
      </c>
      <c r="J3631" s="12"/>
    </row>
    <row r="3632" spans="3:10" x14ac:dyDescent="0.3">
      <c r="C3632" s="9" t="s">
        <v>12</v>
      </c>
      <c r="D3632" s="10">
        <v>45694</v>
      </c>
      <c r="E3632" t="s">
        <v>2926</v>
      </c>
      <c r="F3632" s="11" t="s">
        <v>2279</v>
      </c>
      <c r="G3632" s="8">
        <v>0</v>
      </c>
      <c r="H3632" s="8">
        <v>17.850000000000001</v>
      </c>
      <c r="I3632" s="8">
        <f t="shared" si="121"/>
        <v>-16251.71</v>
      </c>
      <c r="J3632" s="12"/>
    </row>
    <row r="3633" spans="3:10" x14ac:dyDescent="0.3">
      <c r="C3633" s="9" t="s">
        <v>12</v>
      </c>
      <c r="D3633" s="10">
        <v>45694</v>
      </c>
      <c r="E3633" t="s">
        <v>2927</v>
      </c>
      <c r="F3633" s="11" t="s">
        <v>2054</v>
      </c>
      <c r="G3633" s="8">
        <v>0</v>
      </c>
      <c r="H3633" s="8">
        <v>27.3</v>
      </c>
      <c r="I3633" s="8">
        <f t="shared" si="121"/>
        <v>-16279.009999999998</v>
      </c>
      <c r="J3633" s="12"/>
    </row>
    <row r="3634" spans="3:10" x14ac:dyDescent="0.3">
      <c r="C3634" s="9" t="s">
        <v>12</v>
      </c>
      <c r="D3634" s="10">
        <v>45698</v>
      </c>
      <c r="E3634" t="s">
        <v>2887</v>
      </c>
      <c r="F3634" s="11" t="s">
        <v>1211</v>
      </c>
      <c r="G3634" s="8">
        <v>0</v>
      </c>
      <c r="H3634" s="8">
        <v>44.91</v>
      </c>
      <c r="I3634" s="8">
        <f t="shared" si="121"/>
        <v>-16323.919999999998</v>
      </c>
      <c r="J3634" s="12"/>
    </row>
    <row r="3635" spans="3:10" x14ac:dyDescent="0.3">
      <c r="C3635" s="9" t="s">
        <v>12</v>
      </c>
      <c r="D3635" s="10">
        <v>45698</v>
      </c>
      <c r="E3635" t="s">
        <v>2928</v>
      </c>
      <c r="F3635" s="11" t="s">
        <v>1191</v>
      </c>
      <c r="G3635" s="8">
        <v>0</v>
      </c>
      <c r="H3635" s="8">
        <v>35.380000000000003</v>
      </c>
      <c r="I3635" s="8">
        <f t="shared" si="121"/>
        <v>-16359.299999999997</v>
      </c>
      <c r="J3635" s="12"/>
    </row>
    <row r="3636" spans="3:10" x14ac:dyDescent="0.3">
      <c r="C3636" s="9" t="s">
        <v>12</v>
      </c>
      <c r="D3636" s="10">
        <v>45698</v>
      </c>
      <c r="E3636" t="s">
        <v>2735</v>
      </c>
      <c r="F3636" s="11" t="s">
        <v>1767</v>
      </c>
      <c r="G3636" s="8">
        <v>0</v>
      </c>
      <c r="H3636" s="8">
        <v>24.78</v>
      </c>
      <c r="I3636" s="8">
        <f t="shared" si="121"/>
        <v>-16384.079999999998</v>
      </c>
      <c r="J3636" s="12"/>
    </row>
    <row r="3637" spans="3:10" x14ac:dyDescent="0.3">
      <c r="C3637" s="9" t="s">
        <v>12</v>
      </c>
      <c r="D3637" s="10">
        <v>45698</v>
      </c>
      <c r="E3637" t="s">
        <v>2929</v>
      </c>
      <c r="F3637" s="11" t="s">
        <v>2340</v>
      </c>
      <c r="G3637" s="8">
        <v>0</v>
      </c>
      <c r="H3637" s="8">
        <v>41.77</v>
      </c>
      <c r="I3637" s="8">
        <f t="shared" si="121"/>
        <v>-16425.849999999999</v>
      </c>
      <c r="J3637" s="12"/>
    </row>
    <row r="3638" spans="3:10" x14ac:dyDescent="0.3">
      <c r="C3638" s="9" t="s">
        <v>12</v>
      </c>
      <c r="D3638" s="10">
        <v>45698</v>
      </c>
      <c r="E3638" t="s">
        <v>2831</v>
      </c>
      <c r="F3638" s="11" t="s">
        <v>2329</v>
      </c>
      <c r="G3638" s="8">
        <v>0</v>
      </c>
      <c r="H3638" s="8">
        <v>18.59</v>
      </c>
      <c r="I3638" s="8">
        <f t="shared" si="121"/>
        <v>-16444.439999999999</v>
      </c>
      <c r="J3638" s="12"/>
    </row>
    <row r="3639" spans="3:10" x14ac:dyDescent="0.3">
      <c r="C3639" s="9" t="s">
        <v>12</v>
      </c>
      <c r="D3639" s="10">
        <v>45698</v>
      </c>
      <c r="E3639" t="s">
        <v>2794</v>
      </c>
      <c r="F3639" s="11" t="s">
        <v>1459</v>
      </c>
      <c r="G3639" s="8">
        <v>0</v>
      </c>
      <c r="H3639" s="8">
        <v>152.1</v>
      </c>
      <c r="I3639" s="8">
        <f t="shared" si="121"/>
        <v>-16596.539999999997</v>
      </c>
      <c r="J3639" s="12"/>
    </row>
    <row r="3640" spans="3:10" x14ac:dyDescent="0.3">
      <c r="C3640" s="9" t="s">
        <v>12</v>
      </c>
      <c r="D3640" s="10">
        <v>45698</v>
      </c>
      <c r="E3640" t="s">
        <v>2766</v>
      </c>
      <c r="F3640" s="11" t="s">
        <v>2930</v>
      </c>
      <c r="G3640" s="8">
        <v>0</v>
      </c>
      <c r="H3640" s="8">
        <v>53.59</v>
      </c>
      <c r="I3640" s="8">
        <f t="shared" si="121"/>
        <v>-16650.129999999997</v>
      </c>
      <c r="J3640" s="12"/>
    </row>
    <row r="3641" spans="3:10" x14ac:dyDescent="0.3">
      <c r="C3641" s="9" t="s">
        <v>12</v>
      </c>
      <c r="D3641" s="10">
        <v>45698</v>
      </c>
      <c r="E3641" t="s">
        <v>2931</v>
      </c>
      <c r="F3641" s="11" t="s">
        <v>2932</v>
      </c>
      <c r="G3641" s="8">
        <v>0</v>
      </c>
      <c r="H3641" s="8">
        <v>24.21</v>
      </c>
      <c r="I3641" s="8">
        <f t="shared" si="121"/>
        <v>-16674.339999999997</v>
      </c>
      <c r="J3641" s="12"/>
    </row>
    <row r="3642" spans="3:10" x14ac:dyDescent="0.3">
      <c r="C3642" s="9" t="s">
        <v>12</v>
      </c>
      <c r="D3642" s="10">
        <v>45698</v>
      </c>
      <c r="E3642" t="s">
        <v>2933</v>
      </c>
      <c r="F3642" s="11" t="s">
        <v>2934</v>
      </c>
      <c r="G3642" s="8">
        <v>0</v>
      </c>
      <c r="H3642" s="8">
        <v>36.56</v>
      </c>
      <c r="I3642" s="8">
        <f t="shared" si="121"/>
        <v>-16710.899999999998</v>
      </c>
      <c r="J3642" s="12"/>
    </row>
    <row r="3643" spans="3:10" x14ac:dyDescent="0.3">
      <c r="C3643" s="9" t="s">
        <v>12</v>
      </c>
      <c r="D3643" s="10">
        <v>45698</v>
      </c>
      <c r="E3643" t="s">
        <v>2935</v>
      </c>
      <c r="F3643" s="11" t="s">
        <v>2936</v>
      </c>
      <c r="G3643" s="8">
        <v>0</v>
      </c>
      <c r="H3643" s="8">
        <v>27.68</v>
      </c>
      <c r="I3643" s="8">
        <f t="shared" si="121"/>
        <v>-16738.579999999998</v>
      </c>
      <c r="J3643" s="12"/>
    </row>
    <row r="3644" spans="3:10" x14ac:dyDescent="0.3">
      <c r="C3644" s="9" t="s">
        <v>12</v>
      </c>
      <c r="D3644" s="10">
        <v>45698</v>
      </c>
      <c r="E3644" t="s">
        <v>2937</v>
      </c>
      <c r="F3644" s="11" t="s">
        <v>1875</v>
      </c>
      <c r="G3644" s="8">
        <v>0</v>
      </c>
      <c r="H3644" s="8">
        <v>27.3</v>
      </c>
      <c r="I3644" s="8">
        <f t="shared" si="121"/>
        <v>-16765.879999999997</v>
      </c>
      <c r="J3644" s="12"/>
    </row>
    <row r="3645" spans="3:10" x14ac:dyDescent="0.3">
      <c r="C3645" s="9" t="s">
        <v>12</v>
      </c>
      <c r="D3645" s="10">
        <v>45698</v>
      </c>
      <c r="E3645" t="s">
        <v>2938</v>
      </c>
      <c r="F3645" s="11" t="s">
        <v>2939</v>
      </c>
      <c r="G3645" s="8">
        <v>0</v>
      </c>
      <c r="H3645" s="8">
        <v>73.569999999999993</v>
      </c>
      <c r="I3645" s="8">
        <f t="shared" si="121"/>
        <v>-16839.449999999997</v>
      </c>
      <c r="J3645" s="12"/>
    </row>
    <row r="3646" spans="3:10" x14ac:dyDescent="0.3">
      <c r="C3646" s="9" t="s">
        <v>12</v>
      </c>
      <c r="D3646" s="10">
        <v>45698</v>
      </c>
      <c r="E3646" t="s">
        <v>2902</v>
      </c>
      <c r="F3646" s="11" t="s">
        <v>2940</v>
      </c>
      <c r="G3646" s="8">
        <v>0</v>
      </c>
      <c r="H3646" s="8">
        <v>16.489999999999998</v>
      </c>
      <c r="I3646" s="8">
        <f t="shared" si="121"/>
        <v>-16855.939999999999</v>
      </c>
      <c r="J3646" s="12"/>
    </row>
    <row r="3647" spans="3:10" x14ac:dyDescent="0.3">
      <c r="C3647" s="9" t="s">
        <v>12</v>
      </c>
      <c r="D3647" s="10">
        <v>45698</v>
      </c>
      <c r="E3647" t="s">
        <v>2902</v>
      </c>
      <c r="F3647" s="11" t="s">
        <v>2941</v>
      </c>
      <c r="G3647" s="8">
        <v>0</v>
      </c>
      <c r="H3647" s="8">
        <v>22.28</v>
      </c>
      <c r="I3647" s="8">
        <f t="shared" si="121"/>
        <v>-16878.219999999998</v>
      </c>
      <c r="J3647" s="12"/>
    </row>
    <row r="3648" spans="3:10" x14ac:dyDescent="0.3">
      <c r="C3648" s="9" t="s">
        <v>12</v>
      </c>
      <c r="D3648" s="10">
        <v>45698</v>
      </c>
      <c r="E3648" t="s">
        <v>2942</v>
      </c>
      <c r="F3648" s="11" t="s">
        <v>2943</v>
      </c>
      <c r="G3648" s="8">
        <v>0</v>
      </c>
      <c r="H3648" s="8">
        <v>10.5</v>
      </c>
      <c r="I3648" s="8">
        <f t="shared" si="121"/>
        <v>-16888.719999999998</v>
      </c>
      <c r="J3648" s="12"/>
    </row>
    <row r="3649" spans="3:10" x14ac:dyDescent="0.3">
      <c r="C3649" s="9" t="s">
        <v>12</v>
      </c>
      <c r="D3649" s="10">
        <v>45698</v>
      </c>
      <c r="E3649" t="s">
        <v>2815</v>
      </c>
      <c r="F3649" s="11" t="s">
        <v>1035</v>
      </c>
      <c r="G3649" s="8">
        <v>0</v>
      </c>
      <c r="H3649" s="8">
        <v>368.75</v>
      </c>
      <c r="I3649" s="8">
        <f t="shared" si="121"/>
        <v>-17257.469999999998</v>
      </c>
      <c r="J3649" s="12"/>
    </row>
    <row r="3650" spans="3:10" x14ac:dyDescent="0.3">
      <c r="C3650" s="9" t="s">
        <v>12</v>
      </c>
      <c r="D3650" s="10">
        <v>45699</v>
      </c>
      <c r="E3650" t="s">
        <v>2944</v>
      </c>
      <c r="F3650" s="11" t="s">
        <v>2945</v>
      </c>
      <c r="G3650" s="8">
        <v>0</v>
      </c>
      <c r="H3650" s="8">
        <v>11.23</v>
      </c>
      <c r="I3650" s="8">
        <f t="shared" si="121"/>
        <v>-17268.699999999997</v>
      </c>
      <c r="J3650" s="12"/>
    </row>
    <row r="3651" spans="3:10" x14ac:dyDescent="0.3">
      <c r="C3651" s="9" t="s">
        <v>12</v>
      </c>
      <c r="D3651" s="10">
        <v>45699</v>
      </c>
      <c r="E3651" t="s">
        <v>2946</v>
      </c>
      <c r="F3651" s="11" t="s">
        <v>2947</v>
      </c>
      <c r="G3651" s="8">
        <v>0</v>
      </c>
      <c r="H3651" s="8">
        <v>23.1</v>
      </c>
      <c r="I3651" s="8">
        <f t="shared" si="121"/>
        <v>-17291.799999999996</v>
      </c>
      <c r="J3651" s="12"/>
    </row>
    <row r="3652" spans="3:10" x14ac:dyDescent="0.3">
      <c r="C3652" s="9" t="s">
        <v>12</v>
      </c>
      <c r="D3652" s="10">
        <v>45699</v>
      </c>
      <c r="E3652" t="s">
        <v>2948</v>
      </c>
      <c r="F3652" s="11" t="s">
        <v>2949</v>
      </c>
      <c r="G3652" s="8">
        <v>0</v>
      </c>
      <c r="H3652" s="8">
        <v>27.3</v>
      </c>
      <c r="I3652" s="8">
        <f t="shared" si="121"/>
        <v>-17319.099999999995</v>
      </c>
      <c r="J3652" s="12"/>
    </row>
    <row r="3653" spans="3:10" x14ac:dyDescent="0.3">
      <c r="C3653" s="9" t="s">
        <v>12</v>
      </c>
      <c r="D3653" s="10">
        <v>45699</v>
      </c>
      <c r="E3653" t="s">
        <v>2950</v>
      </c>
      <c r="F3653" s="11" t="s">
        <v>2951</v>
      </c>
      <c r="G3653" s="8">
        <v>0</v>
      </c>
      <c r="H3653" s="8">
        <v>11.99</v>
      </c>
      <c r="I3653" s="8">
        <f t="shared" si="121"/>
        <v>-17331.089999999997</v>
      </c>
      <c r="J3653" s="12"/>
    </row>
    <row r="3654" spans="3:10" x14ac:dyDescent="0.3">
      <c r="C3654" s="9" t="s">
        <v>12</v>
      </c>
      <c r="D3654" s="10">
        <v>45699</v>
      </c>
      <c r="E3654" t="s">
        <v>2952</v>
      </c>
      <c r="F3654" s="11" t="s">
        <v>2953</v>
      </c>
      <c r="G3654" s="8">
        <v>0</v>
      </c>
      <c r="H3654" s="8">
        <v>61.19</v>
      </c>
      <c r="I3654" s="8">
        <f t="shared" si="121"/>
        <v>-17392.279999999995</v>
      </c>
      <c r="J3654" s="12"/>
    </row>
    <row r="3655" spans="3:10" x14ac:dyDescent="0.3">
      <c r="C3655" s="9" t="s">
        <v>12</v>
      </c>
      <c r="D3655" s="10">
        <v>45699</v>
      </c>
      <c r="E3655" t="s">
        <v>2847</v>
      </c>
      <c r="F3655" s="11" t="s">
        <v>1110</v>
      </c>
      <c r="G3655" s="8">
        <v>0</v>
      </c>
      <c r="H3655" s="8">
        <v>21.65</v>
      </c>
      <c r="I3655" s="8">
        <f t="shared" si="121"/>
        <v>-17413.929999999997</v>
      </c>
      <c r="J3655" s="12"/>
    </row>
    <row r="3656" spans="3:10" x14ac:dyDescent="0.3">
      <c r="C3656" s="9" t="s">
        <v>12</v>
      </c>
      <c r="D3656" s="10">
        <v>45699</v>
      </c>
      <c r="E3656" t="s">
        <v>2954</v>
      </c>
      <c r="F3656" s="11" t="s">
        <v>2955</v>
      </c>
      <c r="G3656" s="8">
        <v>0</v>
      </c>
      <c r="H3656" s="8">
        <v>47.01</v>
      </c>
      <c r="I3656" s="8">
        <f t="shared" si="121"/>
        <v>-17460.939999999995</v>
      </c>
      <c r="J3656" s="12"/>
    </row>
    <row r="3657" spans="3:10" x14ac:dyDescent="0.3">
      <c r="C3657" s="9" t="s">
        <v>12</v>
      </c>
      <c r="D3657" s="10">
        <v>45700</v>
      </c>
      <c r="E3657" t="s">
        <v>2956</v>
      </c>
      <c r="F3657" s="11" t="s">
        <v>1087</v>
      </c>
      <c r="G3657" s="8">
        <v>0</v>
      </c>
      <c r="H3657" s="8">
        <v>153.76</v>
      </c>
      <c r="I3657" s="8">
        <f t="shared" si="121"/>
        <v>-17614.699999999993</v>
      </c>
      <c r="J3657" s="12"/>
    </row>
    <row r="3658" spans="3:10" x14ac:dyDescent="0.3">
      <c r="C3658" s="9" t="s">
        <v>12</v>
      </c>
      <c r="D3658" s="10">
        <v>45700</v>
      </c>
      <c r="E3658" t="s">
        <v>2902</v>
      </c>
      <c r="F3658" s="11" t="s">
        <v>2957</v>
      </c>
      <c r="G3658" s="8">
        <v>0</v>
      </c>
      <c r="H3658" s="8">
        <v>11.8</v>
      </c>
      <c r="I3658" s="8">
        <f t="shared" si="121"/>
        <v>-17626.499999999993</v>
      </c>
      <c r="J3658" s="12"/>
    </row>
    <row r="3659" spans="3:10" x14ac:dyDescent="0.3">
      <c r="C3659" s="9" t="s">
        <v>12</v>
      </c>
      <c r="D3659" s="10">
        <v>45702</v>
      </c>
      <c r="E3659" t="s">
        <v>2958</v>
      </c>
      <c r="F3659" s="11" t="s">
        <v>2959</v>
      </c>
      <c r="G3659" s="8">
        <v>0</v>
      </c>
      <c r="H3659" s="8">
        <v>92.99</v>
      </c>
      <c r="I3659" s="8">
        <f t="shared" ref="I3659:I3722" si="122">G3659-H3659+I3658</f>
        <v>-17719.489999999994</v>
      </c>
      <c r="J3659" s="12"/>
    </row>
    <row r="3660" spans="3:10" x14ac:dyDescent="0.3">
      <c r="C3660" s="9" t="s">
        <v>12</v>
      </c>
      <c r="D3660" s="10">
        <v>45702</v>
      </c>
      <c r="E3660" t="s">
        <v>2960</v>
      </c>
      <c r="F3660" s="11" t="s">
        <v>2405</v>
      </c>
      <c r="G3660" s="8">
        <v>0</v>
      </c>
      <c r="H3660" s="8">
        <v>49.69</v>
      </c>
      <c r="I3660" s="8">
        <f t="shared" si="122"/>
        <v>-17769.179999999993</v>
      </c>
      <c r="J3660" s="12"/>
    </row>
    <row r="3661" spans="3:10" x14ac:dyDescent="0.3">
      <c r="C3661" s="9" t="s">
        <v>12</v>
      </c>
      <c r="D3661" s="10">
        <v>45702</v>
      </c>
      <c r="E3661" t="s">
        <v>2783</v>
      </c>
      <c r="F3661" s="11" t="s">
        <v>1283</v>
      </c>
      <c r="G3661" s="8">
        <v>0</v>
      </c>
      <c r="H3661" s="8">
        <v>74.62</v>
      </c>
      <c r="I3661" s="8">
        <f t="shared" si="122"/>
        <v>-17843.799999999992</v>
      </c>
      <c r="J3661" s="12"/>
    </row>
    <row r="3662" spans="3:10" x14ac:dyDescent="0.3">
      <c r="C3662" s="9" t="s">
        <v>12</v>
      </c>
      <c r="D3662" s="10">
        <v>45702</v>
      </c>
      <c r="E3662" t="s">
        <v>2919</v>
      </c>
      <c r="F3662" s="11" t="s">
        <v>2961</v>
      </c>
      <c r="G3662" s="8">
        <v>0</v>
      </c>
      <c r="H3662" s="8">
        <v>329.97</v>
      </c>
      <c r="I3662" s="8">
        <f t="shared" si="122"/>
        <v>-18173.769999999993</v>
      </c>
      <c r="J3662" s="12"/>
    </row>
    <row r="3663" spans="3:10" x14ac:dyDescent="0.3">
      <c r="C3663" s="9" t="s">
        <v>12</v>
      </c>
      <c r="D3663" s="10">
        <v>45702</v>
      </c>
      <c r="E3663" t="s">
        <v>2927</v>
      </c>
      <c r="F3663" s="11" t="s">
        <v>2056</v>
      </c>
      <c r="G3663" s="8">
        <v>0</v>
      </c>
      <c r="H3663" s="8">
        <v>73.569999999999993</v>
      </c>
      <c r="I3663" s="8">
        <f t="shared" si="122"/>
        <v>-18247.339999999993</v>
      </c>
      <c r="J3663" s="12"/>
    </row>
    <row r="3664" spans="3:10" x14ac:dyDescent="0.3">
      <c r="C3664" s="9" t="s">
        <v>12</v>
      </c>
      <c r="D3664" s="10">
        <v>45702</v>
      </c>
      <c r="E3664" t="s">
        <v>2962</v>
      </c>
      <c r="F3664" s="11" t="s">
        <v>2394</v>
      </c>
      <c r="G3664" s="8">
        <v>0</v>
      </c>
      <c r="H3664" s="8">
        <v>78.239999999999995</v>
      </c>
      <c r="I3664" s="8">
        <f t="shared" si="122"/>
        <v>-18325.579999999994</v>
      </c>
      <c r="J3664" s="12"/>
    </row>
    <row r="3665" spans="3:10" x14ac:dyDescent="0.3">
      <c r="C3665" s="9" t="s">
        <v>12</v>
      </c>
      <c r="D3665" s="10">
        <v>45702</v>
      </c>
      <c r="E3665" t="s">
        <v>2963</v>
      </c>
      <c r="F3665" s="11" t="s">
        <v>2964</v>
      </c>
      <c r="G3665" s="8">
        <v>0</v>
      </c>
      <c r="H3665" s="8">
        <v>221.74</v>
      </c>
      <c r="I3665" s="8">
        <f t="shared" si="122"/>
        <v>-18547.319999999996</v>
      </c>
      <c r="J3665" s="12"/>
    </row>
    <row r="3666" spans="3:10" x14ac:dyDescent="0.3">
      <c r="C3666" s="9" t="s">
        <v>12</v>
      </c>
      <c r="D3666" s="10">
        <v>45702</v>
      </c>
      <c r="E3666" t="s">
        <v>2935</v>
      </c>
      <c r="F3666" s="11" t="s">
        <v>2965</v>
      </c>
      <c r="G3666" s="8">
        <v>0</v>
      </c>
      <c r="H3666" s="8">
        <v>16.27</v>
      </c>
      <c r="I3666" s="8">
        <f t="shared" si="122"/>
        <v>-18563.589999999997</v>
      </c>
      <c r="J3666" s="12"/>
    </row>
    <row r="3667" spans="3:10" x14ac:dyDescent="0.3">
      <c r="C3667" s="9" t="s">
        <v>12</v>
      </c>
      <c r="D3667" s="10">
        <v>45704</v>
      </c>
      <c r="E3667" t="s">
        <v>2758</v>
      </c>
      <c r="F3667" s="11" t="s">
        <v>2966</v>
      </c>
      <c r="G3667" s="8">
        <v>0</v>
      </c>
      <c r="H3667" s="8">
        <v>41.01</v>
      </c>
      <c r="I3667" s="8">
        <f t="shared" si="122"/>
        <v>-18604.599999999995</v>
      </c>
      <c r="J3667" s="12"/>
    </row>
    <row r="3668" spans="3:10" x14ac:dyDescent="0.3">
      <c r="C3668" s="9" t="s">
        <v>12</v>
      </c>
      <c r="D3668" s="10">
        <v>45704</v>
      </c>
      <c r="E3668" t="s">
        <v>2967</v>
      </c>
      <c r="F3668" s="11" t="s">
        <v>1995</v>
      </c>
      <c r="G3668" s="8">
        <v>0</v>
      </c>
      <c r="H3668" s="8">
        <v>237.67</v>
      </c>
      <c r="I3668" s="8">
        <f t="shared" si="122"/>
        <v>-18842.269999999993</v>
      </c>
      <c r="J3668" s="12"/>
    </row>
    <row r="3669" spans="3:10" x14ac:dyDescent="0.3">
      <c r="C3669" s="9" t="s">
        <v>12</v>
      </c>
      <c r="D3669" s="10">
        <v>45705</v>
      </c>
      <c r="E3669" t="s">
        <v>2968</v>
      </c>
      <c r="F3669" s="11" t="s">
        <v>2969</v>
      </c>
      <c r="G3669" s="8">
        <v>0</v>
      </c>
      <c r="H3669" s="8">
        <v>23.1</v>
      </c>
      <c r="I3669" s="8">
        <f t="shared" si="122"/>
        <v>-18865.369999999992</v>
      </c>
      <c r="J3669" s="12"/>
    </row>
    <row r="3670" spans="3:10" x14ac:dyDescent="0.3">
      <c r="C3670" s="9" t="s">
        <v>12</v>
      </c>
      <c r="D3670" s="10">
        <v>45705</v>
      </c>
      <c r="E3670" t="s">
        <v>2970</v>
      </c>
      <c r="F3670" s="11" t="s">
        <v>1504</v>
      </c>
      <c r="G3670" s="8">
        <v>0</v>
      </c>
      <c r="H3670" s="8">
        <v>93.7</v>
      </c>
      <c r="I3670" s="8">
        <f t="shared" si="122"/>
        <v>-18959.069999999992</v>
      </c>
      <c r="J3670" s="12"/>
    </row>
    <row r="3671" spans="3:10" x14ac:dyDescent="0.3">
      <c r="C3671" s="9" t="s">
        <v>12</v>
      </c>
      <c r="D3671" s="10">
        <v>45705</v>
      </c>
      <c r="E3671" t="s">
        <v>2785</v>
      </c>
      <c r="F3671" s="11" t="s">
        <v>2971</v>
      </c>
      <c r="G3671" s="8">
        <v>0</v>
      </c>
      <c r="H3671" s="8">
        <v>32.549999999999997</v>
      </c>
      <c r="I3671" s="8">
        <f t="shared" si="122"/>
        <v>-18991.619999999992</v>
      </c>
      <c r="J3671" s="12"/>
    </row>
    <row r="3672" spans="3:10" x14ac:dyDescent="0.3">
      <c r="C3672" s="9" t="s">
        <v>12</v>
      </c>
      <c r="D3672" s="10">
        <v>45705</v>
      </c>
      <c r="E3672" t="s">
        <v>2783</v>
      </c>
      <c r="F3672" s="11" t="s">
        <v>1285</v>
      </c>
      <c r="G3672" s="8">
        <v>0</v>
      </c>
      <c r="H3672" s="8">
        <v>46.27</v>
      </c>
      <c r="I3672" s="8">
        <f t="shared" si="122"/>
        <v>-19037.889999999992</v>
      </c>
      <c r="J3672" s="12"/>
    </row>
    <row r="3673" spans="3:10" x14ac:dyDescent="0.3">
      <c r="C3673" s="9" t="s">
        <v>12</v>
      </c>
      <c r="D3673" s="10">
        <v>45705</v>
      </c>
      <c r="E3673" t="s">
        <v>2856</v>
      </c>
      <c r="F3673" s="11" t="s">
        <v>2972</v>
      </c>
      <c r="G3673" s="8">
        <v>0</v>
      </c>
      <c r="H3673" s="8">
        <v>15.04</v>
      </c>
      <c r="I3673" s="8">
        <f t="shared" si="122"/>
        <v>-19052.929999999993</v>
      </c>
      <c r="J3673" s="12"/>
    </row>
    <row r="3674" spans="3:10" x14ac:dyDescent="0.3">
      <c r="C3674" s="9" t="s">
        <v>12</v>
      </c>
      <c r="D3674" s="10">
        <v>45705</v>
      </c>
      <c r="E3674" t="s">
        <v>2899</v>
      </c>
      <c r="F3674" s="11" t="s">
        <v>1781</v>
      </c>
      <c r="G3674" s="8">
        <v>0</v>
      </c>
      <c r="H3674" s="8">
        <v>65.63</v>
      </c>
      <c r="I3674" s="8">
        <f t="shared" si="122"/>
        <v>-19118.559999999994</v>
      </c>
      <c r="J3674" s="12"/>
    </row>
    <row r="3675" spans="3:10" x14ac:dyDescent="0.3">
      <c r="C3675" s="9" t="s">
        <v>12</v>
      </c>
      <c r="D3675" s="10">
        <v>45705</v>
      </c>
      <c r="E3675" t="s">
        <v>2954</v>
      </c>
      <c r="F3675" s="11" t="s">
        <v>2973</v>
      </c>
      <c r="G3675" s="8">
        <v>0</v>
      </c>
      <c r="H3675" s="8">
        <v>9.5299999999999994</v>
      </c>
      <c r="I3675" s="8">
        <f t="shared" si="122"/>
        <v>-19128.089999999993</v>
      </c>
      <c r="J3675" s="12"/>
    </row>
    <row r="3676" spans="3:10" x14ac:dyDescent="0.3">
      <c r="C3676" s="9" t="s">
        <v>12</v>
      </c>
      <c r="D3676" s="10">
        <v>45705</v>
      </c>
      <c r="E3676" t="s">
        <v>2801</v>
      </c>
      <c r="F3676" s="11" t="s">
        <v>2974</v>
      </c>
      <c r="G3676" s="8">
        <v>0</v>
      </c>
      <c r="H3676" s="8">
        <v>23.1</v>
      </c>
      <c r="I3676" s="8">
        <f t="shared" si="122"/>
        <v>-19151.189999999991</v>
      </c>
      <c r="J3676" s="12"/>
    </row>
    <row r="3677" spans="3:10" x14ac:dyDescent="0.3">
      <c r="C3677" s="9" t="s">
        <v>12</v>
      </c>
      <c r="D3677" s="10">
        <v>45705</v>
      </c>
      <c r="E3677" t="s">
        <v>2975</v>
      </c>
      <c r="F3677" s="11" t="s">
        <v>2067</v>
      </c>
      <c r="G3677" s="8">
        <v>0</v>
      </c>
      <c r="H3677" s="8">
        <v>156.30000000000001</v>
      </c>
      <c r="I3677" s="8">
        <f t="shared" si="122"/>
        <v>-19307.489999999991</v>
      </c>
      <c r="J3677" s="12"/>
    </row>
    <row r="3678" spans="3:10" x14ac:dyDescent="0.3">
      <c r="C3678" s="9" t="s">
        <v>12</v>
      </c>
      <c r="D3678" s="10">
        <v>45705</v>
      </c>
      <c r="E3678" t="s">
        <v>2871</v>
      </c>
      <c r="F3678" s="11" t="s">
        <v>1363</v>
      </c>
      <c r="G3678" s="8">
        <v>0</v>
      </c>
      <c r="H3678" s="8">
        <v>152.1</v>
      </c>
      <c r="I3678" s="8">
        <f t="shared" si="122"/>
        <v>-19459.589999999989</v>
      </c>
      <c r="J3678" s="12"/>
    </row>
    <row r="3679" spans="3:10" x14ac:dyDescent="0.3">
      <c r="C3679" s="9" t="s">
        <v>12</v>
      </c>
      <c r="D3679" s="10">
        <v>45705</v>
      </c>
      <c r="E3679" t="s">
        <v>2790</v>
      </c>
      <c r="F3679" s="11" t="s">
        <v>1956</v>
      </c>
      <c r="G3679" s="8">
        <v>0</v>
      </c>
      <c r="H3679" s="8">
        <v>41.81</v>
      </c>
      <c r="I3679" s="8">
        <f t="shared" si="122"/>
        <v>-19501.399999999991</v>
      </c>
      <c r="J3679" s="12"/>
    </row>
    <row r="3680" spans="3:10" x14ac:dyDescent="0.3">
      <c r="C3680" s="9" t="s">
        <v>12</v>
      </c>
      <c r="D3680" s="10">
        <v>45705</v>
      </c>
      <c r="E3680" t="s">
        <v>2803</v>
      </c>
      <c r="F3680" s="11" t="s">
        <v>1403</v>
      </c>
      <c r="G3680" s="8">
        <v>0</v>
      </c>
      <c r="H3680" s="8">
        <v>92.08</v>
      </c>
      <c r="I3680" s="8">
        <f t="shared" si="122"/>
        <v>-19593.479999999992</v>
      </c>
      <c r="J3680" s="12"/>
    </row>
    <row r="3681" spans="3:10" x14ac:dyDescent="0.3">
      <c r="C3681" s="9" t="s">
        <v>12</v>
      </c>
      <c r="D3681" s="10">
        <v>45705</v>
      </c>
      <c r="E3681" t="s">
        <v>2789</v>
      </c>
      <c r="F3681" s="11" t="s">
        <v>2354</v>
      </c>
      <c r="G3681" s="8">
        <v>0</v>
      </c>
      <c r="H3681" s="8">
        <v>27.09</v>
      </c>
      <c r="I3681" s="8">
        <f t="shared" si="122"/>
        <v>-19620.569999999992</v>
      </c>
      <c r="J3681" s="12"/>
    </row>
    <row r="3682" spans="3:10" x14ac:dyDescent="0.3">
      <c r="C3682" s="9" t="s">
        <v>12</v>
      </c>
      <c r="D3682" s="10">
        <v>45705</v>
      </c>
      <c r="E3682" t="s">
        <v>2794</v>
      </c>
      <c r="F3682" s="11" t="s">
        <v>1461</v>
      </c>
      <c r="G3682" s="8">
        <v>0</v>
      </c>
      <c r="H3682" s="8">
        <v>32.619999999999997</v>
      </c>
      <c r="I3682" s="8">
        <f t="shared" si="122"/>
        <v>-19653.189999999991</v>
      </c>
      <c r="J3682" s="12"/>
    </row>
    <row r="3683" spans="3:10" x14ac:dyDescent="0.3">
      <c r="C3683" s="9" t="s">
        <v>12</v>
      </c>
      <c r="D3683" s="10">
        <v>45708</v>
      </c>
      <c r="E3683" t="s">
        <v>2976</v>
      </c>
      <c r="F3683" s="11" t="s">
        <v>2977</v>
      </c>
      <c r="G3683" s="8">
        <v>0</v>
      </c>
      <c r="H3683" s="8">
        <v>56.71</v>
      </c>
      <c r="I3683" s="8">
        <f t="shared" si="122"/>
        <v>-19709.899999999991</v>
      </c>
      <c r="J3683" s="12"/>
    </row>
    <row r="3684" spans="3:10" x14ac:dyDescent="0.3">
      <c r="C3684" s="9" t="s">
        <v>12</v>
      </c>
      <c r="D3684" s="10">
        <v>45708</v>
      </c>
      <c r="E3684" t="s">
        <v>2887</v>
      </c>
      <c r="F3684" s="11" t="s">
        <v>1213</v>
      </c>
      <c r="G3684" s="8">
        <v>0</v>
      </c>
      <c r="H3684" s="8">
        <v>60.93</v>
      </c>
      <c r="I3684" s="8">
        <f t="shared" si="122"/>
        <v>-19770.829999999991</v>
      </c>
      <c r="J3684" s="12"/>
    </row>
    <row r="3685" spans="3:10" x14ac:dyDescent="0.3">
      <c r="C3685" s="9" t="s">
        <v>12</v>
      </c>
      <c r="D3685" s="10">
        <v>45708</v>
      </c>
      <c r="E3685" t="s">
        <v>2900</v>
      </c>
      <c r="F3685" s="11" t="s">
        <v>2978</v>
      </c>
      <c r="G3685" s="8">
        <v>0</v>
      </c>
      <c r="H3685" s="8">
        <v>71.06</v>
      </c>
      <c r="I3685" s="8">
        <f t="shared" si="122"/>
        <v>-19841.889999999992</v>
      </c>
      <c r="J3685" s="12"/>
    </row>
    <row r="3686" spans="3:10" x14ac:dyDescent="0.3">
      <c r="C3686" s="9" t="s">
        <v>12</v>
      </c>
      <c r="D3686" s="10">
        <v>45708</v>
      </c>
      <c r="E3686" t="s">
        <v>2979</v>
      </c>
      <c r="F3686" s="11" t="s">
        <v>1884</v>
      </c>
      <c r="G3686" s="8">
        <v>0</v>
      </c>
      <c r="H3686" s="8">
        <v>54.2</v>
      </c>
      <c r="I3686" s="8">
        <f t="shared" si="122"/>
        <v>-19896.089999999993</v>
      </c>
      <c r="J3686" s="12"/>
    </row>
    <row r="3687" spans="3:10" x14ac:dyDescent="0.3">
      <c r="C3687" s="9" t="s">
        <v>12</v>
      </c>
      <c r="D3687" s="10">
        <v>45708</v>
      </c>
      <c r="E3687" t="s">
        <v>2980</v>
      </c>
      <c r="F3687" s="11" t="s">
        <v>2981</v>
      </c>
      <c r="G3687" s="8">
        <v>0</v>
      </c>
      <c r="H3687" s="8">
        <v>73.569999999999993</v>
      </c>
      <c r="I3687" s="8">
        <f t="shared" si="122"/>
        <v>-19969.659999999993</v>
      </c>
      <c r="J3687" s="12"/>
    </row>
    <row r="3688" spans="3:10" x14ac:dyDescent="0.3">
      <c r="C3688" s="9" t="s">
        <v>12</v>
      </c>
      <c r="D3688" s="10">
        <v>45708</v>
      </c>
      <c r="E3688" t="s">
        <v>2922</v>
      </c>
      <c r="F3688" s="11" t="s">
        <v>2982</v>
      </c>
      <c r="G3688" s="8">
        <v>0</v>
      </c>
      <c r="H3688" s="8">
        <v>38.25</v>
      </c>
      <c r="I3688" s="8">
        <f t="shared" si="122"/>
        <v>-20007.909999999993</v>
      </c>
      <c r="J3688" s="12"/>
    </row>
    <row r="3689" spans="3:10" x14ac:dyDescent="0.3">
      <c r="C3689" s="9" t="s">
        <v>12</v>
      </c>
      <c r="D3689" s="10">
        <v>45708</v>
      </c>
      <c r="E3689" t="s">
        <v>2983</v>
      </c>
      <c r="F3689" s="11" t="s">
        <v>2984</v>
      </c>
      <c r="G3689" s="8">
        <v>0</v>
      </c>
      <c r="H3689" s="8">
        <v>23.1</v>
      </c>
      <c r="I3689" s="8">
        <f t="shared" si="122"/>
        <v>-20031.009999999991</v>
      </c>
      <c r="J3689" s="12"/>
    </row>
    <row r="3690" spans="3:10" x14ac:dyDescent="0.3">
      <c r="C3690" s="9" t="s">
        <v>12</v>
      </c>
      <c r="D3690" s="10">
        <v>45708</v>
      </c>
      <c r="E3690" t="s">
        <v>2780</v>
      </c>
      <c r="F3690" s="11" t="s">
        <v>2985</v>
      </c>
      <c r="G3690" s="8">
        <v>0</v>
      </c>
      <c r="H3690" s="8">
        <v>115.37</v>
      </c>
      <c r="I3690" s="8">
        <f t="shared" si="122"/>
        <v>-20146.37999999999</v>
      </c>
      <c r="J3690" s="12"/>
    </row>
    <row r="3691" spans="3:10" x14ac:dyDescent="0.3">
      <c r="C3691" s="9" t="s">
        <v>12</v>
      </c>
      <c r="D3691" s="10">
        <v>45708</v>
      </c>
      <c r="E3691" t="s">
        <v>2986</v>
      </c>
      <c r="F3691" s="11" t="s">
        <v>2987</v>
      </c>
      <c r="G3691" s="8">
        <v>0</v>
      </c>
      <c r="H3691" s="8">
        <v>49.59</v>
      </c>
      <c r="I3691" s="8">
        <f t="shared" si="122"/>
        <v>-20195.96999999999</v>
      </c>
      <c r="J3691" s="12"/>
    </row>
    <row r="3692" spans="3:10" x14ac:dyDescent="0.3">
      <c r="C3692" s="9" t="s">
        <v>12</v>
      </c>
      <c r="D3692" s="10">
        <v>45708</v>
      </c>
      <c r="E3692" t="s">
        <v>2748</v>
      </c>
      <c r="F3692" s="11" t="s">
        <v>1564</v>
      </c>
      <c r="G3692" s="8">
        <v>0</v>
      </c>
      <c r="H3692" s="8">
        <v>24.15</v>
      </c>
      <c r="I3692" s="8">
        <f t="shared" si="122"/>
        <v>-20220.119999999992</v>
      </c>
      <c r="J3692" s="12"/>
    </row>
    <row r="3693" spans="3:10" x14ac:dyDescent="0.3">
      <c r="C3693" s="9" t="s">
        <v>12</v>
      </c>
      <c r="D3693" s="10">
        <v>45708</v>
      </c>
      <c r="E3693" t="s">
        <v>2846</v>
      </c>
      <c r="F3693" s="11" t="s">
        <v>1521</v>
      </c>
      <c r="G3693" s="8">
        <v>0</v>
      </c>
      <c r="H3693" s="8">
        <v>23.1</v>
      </c>
      <c r="I3693" s="8">
        <f t="shared" si="122"/>
        <v>-20243.21999999999</v>
      </c>
      <c r="J3693" s="12"/>
    </row>
    <row r="3694" spans="3:10" x14ac:dyDescent="0.3">
      <c r="C3694" s="9" t="s">
        <v>12</v>
      </c>
      <c r="D3694" s="10">
        <v>45708</v>
      </c>
      <c r="E3694" t="s">
        <v>2938</v>
      </c>
      <c r="F3694" s="11" t="s">
        <v>2988</v>
      </c>
      <c r="G3694" s="8">
        <v>0</v>
      </c>
      <c r="H3694" s="8">
        <v>60.79</v>
      </c>
      <c r="I3694" s="8">
        <f t="shared" si="122"/>
        <v>-20304.009999999991</v>
      </c>
      <c r="J3694" s="12"/>
    </row>
    <row r="3695" spans="3:10" x14ac:dyDescent="0.3">
      <c r="C3695" s="9" t="s">
        <v>12</v>
      </c>
      <c r="D3695" s="10">
        <v>45708</v>
      </c>
      <c r="E3695" t="s">
        <v>2734</v>
      </c>
      <c r="F3695" s="11" t="s">
        <v>2019</v>
      </c>
      <c r="G3695" s="8">
        <v>0</v>
      </c>
      <c r="H3695" s="8">
        <v>-490.35</v>
      </c>
      <c r="I3695" s="8">
        <f t="shared" si="122"/>
        <v>-19813.659999999993</v>
      </c>
      <c r="J3695" s="12"/>
    </row>
    <row r="3696" spans="3:10" x14ac:dyDescent="0.3">
      <c r="C3696" s="9" t="s">
        <v>12</v>
      </c>
      <c r="D3696" s="10">
        <v>45708</v>
      </c>
      <c r="E3696" t="s">
        <v>2734</v>
      </c>
      <c r="F3696" s="11" t="s">
        <v>2021</v>
      </c>
      <c r="G3696" s="8">
        <v>0</v>
      </c>
      <c r="H3696" s="8">
        <v>980.7</v>
      </c>
      <c r="I3696" s="8">
        <f t="shared" si="122"/>
        <v>-20794.359999999993</v>
      </c>
      <c r="J3696" s="12"/>
    </row>
    <row r="3697" spans="3:10" x14ac:dyDescent="0.3">
      <c r="C3697" s="9" t="s">
        <v>12</v>
      </c>
      <c r="D3697" s="10">
        <v>45709</v>
      </c>
      <c r="E3697" t="s">
        <v>2783</v>
      </c>
      <c r="F3697" s="11" t="s">
        <v>1287</v>
      </c>
      <c r="G3697" s="8">
        <v>0</v>
      </c>
      <c r="H3697" s="8">
        <v>69.2</v>
      </c>
      <c r="I3697" s="8">
        <f t="shared" si="122"/>
        <v>-20863.559999999994</v>
      </c>
      <c r="J3697" s="12"/>
    </row>
    <row r="3698" spans="3:10" x14ac:dyDescent="0.3">
      <c r="C3698" s="9" t="s">
        <v>12</v>
      </c>
      <c r="D3698" s="10">
        <v>45709</v>
      </c>
      <c r="E3698" t="s">
        <v>2926</v>
      </c>
      <c r="F3698" s="11" t="s">
        <v>2281</v>
      </c>
      <c r="G3698" s="8">
        <v>0</v>
      </c>
      <c r="H3698" s="8">
        <v>23.1</v>
      </c>
      <c r="I3698" s="8">
        <f t="shared" si="122"/>
        <v>-20886.659999999993</v>
      </c>
      <c r="J3698" s="12"/>
    </row>
    <row r="3699" spans="3:10" x14ac:dyDescent="0.3">
      <c r="C3699" s="9" t="s">
        <v>12</v>
      </c>
      <c r="D3699" s="10">
        <v>45709</v>
      </c>
      <c r="E3699" t="s">
        <v>2989</v>
      </c>
      <c r="F3699" s="11" t="s">
        <v>2990</v>
      </c>
      <c r="G3699" s="8">
        <v>0</v>
      </c>
      <c r="H3699" s="8">
        <v>34.54</v>
      </c>
      <c r="I3699" s="8">
        <f t="shared" si="122"/>
        <v>-20921.199999999993</v>
      </c>
      <c r="J3699" s="12"/>
    </row>
    <row r="3700" spans="3:10" x14ac:dyDescent="0.3">
      <c r="C3700" s="9" t="s">
        <v>12</v>
      </c>
      <c r="D3700" s="10">
        <v>45709</v>
      </c>
      <c r="E3700" t="s">
        <v>2962</v>
      </c>
      <c r="F3700" s="11" t="s">
        <v>2396</v>
      </c>
      <c r="G3700" s="8">
        <v>0</v>
      </c>
      <c r="H3700" s="8">
        <v>64.260000000000005</v>
      </c>
      <c r="I3700" s="8">
        <f t="shared" si="122"/>
        <v>-20985.459999999992</v>
      </c>
      <c r="J3700" s="12"/>
    </row>
    <row r="3701" spans="3:10" x14ac:dyDescent="0.3">
      <c r="C3701" s="9" t="s">
        <v>12</v>
      </c>
      <c r="D3701" s="10">
        <v>45709</v>
      </c>
      <c r="E3701" t="s">
        <v>2851</v>
      </c>
      <c r="F3701" s="11" t="s">
        <v>2991</v>
      </c>
      <c r="G3701" s="8">
        <v>0</v>
      </c>
      <c r="H3701" s="8">
        <v>44.26</v>
      </c>
      <c r="I3701" s="8">
        <f t="shared" si="122"/>
        <v>-21029.71999999999</v>
      </c>
      <c r="J3701" s="12"/>
    </row>
    <row r="3702" spans="3:10" x14ac:dyDescent="0.3">
      <c r="C3702" s="9" t="s">
        <v>12</v>
      </c>
      <c r="D3702" s="10">
        <v>45709</v>
      </c>
      <c r="E3702" t="s">
        <v>2820</v>
      </c>
      <c r="F3702" s="11" t="s">
        <v>2992</v>
      </c>
      <c r="G3702" s="8">
        <v>0</v>
      </c>
      <c r="H3702" s="8">
        <v>23.1</v>
      </c>
      <c r="I3702" s="8">
        <f t="shared" si="122"/>
        <v>-21052.819999999989</v>
      </c>
      <c r="J3702" s="12"/>
    </row>
    <row r="3703" spans="3:10" x14ac:dyDescent="0.3">
      <c r="C3703" s="9" t="s">
        <v>12</v>
      </c>
      <c r="D3703" s="10">
        <v>45712</v>
      </c>
      <c r="E3703" t="s">
        <v>2993</v>
      </c>
      <c r="F3703" s="11" t="s">
        <v>1492</v>
      </c>
      <c r="G3703" s="8">
        <v>0</v>
      </c>
      <c r="H3703" s="8">
        <v>30.5</v>
      </c>
      <c r="I3703" s="8">
        <f t="shared" si="122"/>
        <v>-21083.319999999989</v>
      </c>
      <c r="J3703" s="12"/>
    </row>
    <row r="3704" spans="3:10" x14ac:dyDescent="0.3">
      <c r="C3704" s="9" t="s">
        <v>12</v>
      </c>
      <c r="D3704" s="10">
        <v>45712</v>
      </c>
      <c r="E3704" t="s">
        <v>2794</v>
      </c>
      <c r="F3704" s="11" t="s">
        <v>1463</v>
      </c>
      <c r="G3704" s="8">
        <v>0</v>
      </c>
      <c r="H3704" s="8">
        <v>20.28</v>
      </c>
      <c r="I3704" s="8">
        <f t="shared" si="122"/>
        <v>-21103.599999999988</v>
      </c>
      <c r="J3704" s="12"/>
    </row>
    <row r="3705" spans="3:10" x14ac:dyDescent="0.3">
      <c r="C3705" s="9" t="s">
        <v>12</v>
      </c>
      <c r="D3705" s="10">
        <v>45712</v>
      </c>
      <c r="E3705" t="s">
        <v>2994</v>
      </c>
      <c r="F3705" s="11" t="s">
        <v>1700</v>
      </c>
      <c r="G3705" s="8">
        <v>0</v>
      </c>
      <c r="H3705" s="8">
        <v>68.56</v>
      </c>
      <c r="I3705" s="8">
        <f t="shared" si="122"/>
        <v>-21172.159999999989</v>
      </c>
      <c r="J3705" s="12"/>
    </row>
    <row r="3706" spans="3:10" x14ac:dyDescent="0.3">
      <c r="C3706" s="9" t="s">
        <v>12</v>
      </c>
      <c r="D3706" s="10">
        <v>45712</v>
      </c>
      <c r="E3706" t="s">
        <v>2745</v>
      </c>
      <c r="F3706" s="11" t="s">
        <v>2995</v>
      </c>
      <c r="G3706" s="8">
        <v>0</v>
      </c>
      <c r="H3706" s="8">
        <v>17.850000000000001</v>
      </c>
      <c r="I3706" s="8">
        <f t="shared" si="122"/>
        <v>-21190.009999999987</v>
      </c>
      <c r="J3706" s="12"/>
    </row>
    <row r="3707" spans="3:10" x14ac:dyDescent="0.3">
      <c r="C3707" s="9" t="s">
        <v>12</v>
      </c>
      <c r="D3707" s="10">
        <v>45712</v>
      </c>
      <c r="E3707" t="s">
        <v>2996</v>
      </c>
      <c r="F3707" s="11" t="s">
        <v>2997</v>
      </c>
      <c r="G3707" s="8">
        <v>0</v>
      </c>
      <c r="H3707" s="8">
        <v>23.1</v>
      </c>
      <c r="I3707" s="8">
        <f t="shared" si="122"/>
        <v>-21213.109999999986</v>
      </c>
      <c r="J3707" s="12"/>
    </row>
    <row r="3708" spans="3:10" x14ac:dyDescent="0.3">
      <c r="C3708" s="9" t="s">
        <v>12</v>
      </c>
      <c r="D3708" s="10">
        <v>45712</v>
      </c>
      <c r="E3708" t="s">
        <v>2828</v>
      </c>
      <c r="F3708" s="11" t="s">
        <v>2101</v>
      </c>
      <c r="G3708" s="8">
        <v>0</v>
      </c>
      <c r="H3708" s="8">
        <v>23.1</v>
      </c>
      <c r="I3708" s="8">
        <f t="shared" si="122"/>
        <v>-21236.209999999985</v>
      </c>
      <c r="J3708" s="12"/>
    </row>
    <row r="3709" spans="3:10" x14ac:dyDescent="0.3">
      <c r="C3709" s="9" t="s">
        <v>12</v>
      </c>
      <c r="D3709" s="10">
        <v>45712</v>
      </c>
      <c r="E3709" t="s">
        <v>2794</v>
      </c>
      <c r="F3709" s="11" t="s">
        <v>1465</v>
      </c>
      <c r="G3709" s="8">
        <v>0</v>
      </c>
      <c r="H3709" s="8">
        <v>23.1</v>
      </c>
      <c r="I3709" s="8">
        <f t="shared" si="122"/>
        <v>-21259.309999999983</v>
      </c>
      <c r="J3709" s="12"/>
    </row>
    <row r="3710" spans="3:10" x14ac:dyDescent="0.3">
      <c r="C3710" s="9" t="s">
        <v>12</v>
      </c>
      <c r="D3710" s="10">
        <v>45712</v>
      </c>
      <c r="E3710" t="s">
        <v>2783</v>
      </c>
      <c r="F3710" s="11" t="s">
        <v>1289</v>
      </c>
      <c r="G3710" s="8">
        <v>0</v>
      </c>
      <c r="H3710" s="8">
        <v>11.83</v>
      </c>
      <c r="I3710" s="8">
        <f t="shared" si="122"/>
        <v>-21271.139999999985</v>
      </c>
      <c r="J3710" s="12"/>
    </row>
    <row r="3711" spans="3:10" x14ac:dyDescent="0.3">
      <c r="C3711" s="9" t="s">
        <v>12</v>
      </c>
      <c r="D3711" s="10">
        <v>45713</v>
      </c>
      <c r="E3711" t="s">
        <v>2869</v>
      </c>
      <c r="F3711" s="11" t="s">
        <v>2998</v>
      </c>
      <c r="G3711" s="8">
        <v>0</v>
      </c>
      <c r="H3711" s="8">
        <v>11.12</v>
      </c>
      <c r="I3711" s="8">
        <f t="shared" si="122"/>
        <v>-21282.259999999984</v>
      </c>
      <c r="J3711" s="12"/>
    </row>
    <row r="3712" spans="3:10" x14ac:dyDescent="0.3">
      <c r="C3712" s="9" t="s">
        <v>12</v>
      </c>
      <c r="D3712" s="10">
        <v>45713</v>
      </c>
      <c r="E3712" t="s">
        <v>2855</v>
      </c>
      <c r="F3712" s="11" t="s">
        <v>1896</v>
      </c>
      <c r="G3712" s="8">
        <v>0</v>
      </c>
      <c r="H3712" s="8">
        <v>7.97</v>
      </c>
      <c r="I3712" s="8">
        <f t="shared" si="122"/>
        <v>-21290.229999999985</v>
      </c>
      <c r="J3712" s="12"/>
    </row>
    <row r="3713" spans="3:10" x14ac:dyDescent="0.3">
      <c r="C3713" s="9" t="s">
        <v>12</v>
      </c>
      <c r="D3713" s="10">
        <v>45715</v>
      </c>
      <c r="E3713" t="s">
        <v>2851</v>
      </c>
      <c r="F3713" s="11" t="s">
        <v>2999</v>
      </c>
      <c r="G3713" s="8">
        <v>0</v>
      </c>
      <c r="H3713" s="8">
        <v>688.8</v>
      </c>
      <c r="I3713" s="8">
        <f t="shared" si="122"/>
        <v>-21979.029999999984</v>
      </c>
      <c r="J3713" s="12"/>
    </row>
    <row r="3714" spans="3:10" x14ac:dyDescent="0.3">
      <c r="C3714" s="9" t="s">
        <v>12</v>
      </c>
      <c r="D3714" s="10">
        <v>45715</v>
      </c>
      <c r="E3714" t="s">
        <v>2796</v>
      </c>
      <c r="F3714" s="11" t="s">
        <v>1241</v>
      </c>
      <c r="G3714" s="8">
        <v>0</v>
      </c>
      <c r="H3714" s="8">
        <v>23.1</v>
      </c>
      <c r="I3714" s="8">
        <f t="shared" si="122"/>
        <v>-22002.129999999983</v>
      </c>
      <c r="J3714" s="12"/>
    </row>
    <row r="3715" spans="3:10" x14ac:dyDescent="0.3">
      <c r="C3715" s="9" t="s">
        <v>12</v>
      </c>
      <c r="D3715" s="10">
        <v>45715</v>
      </c>
      <c r="E3715" t="s">
        <v>2905</v>
      </c>
      <c r="F3715" s="11" t="s">
        <v>3000</v>
      </c>
      <c r="G3715" s="8">
        <v>0</v>
      </c>
      <c r="H3715" s="8">
        <v>32.21</v>
      </c>
      <c r="I3715" s="8">
        <f t="shared" si="122"/>
        <v>-22034.339999999982</v>
      </c>
      <c r="J3715" s="12"/>
    </row>
    <row r="3716" spans="3:10" x14ac:dyDescent="0.3">
      <c r="C3716" s="9" t="s">
        <v>12</v>
      </c>
      <c r="D3716" s="10">
        <v>45715</v>
      </c>
      <c r="E3716" t="s">
        <v>2926</v>
      </c>
      <c r="F3716" s="11" t="s">
        <v>2283</v>
      </c>
      <c r="G3716" s="8">
        <v>0</v>
      </c>
      <c r="H3716" s="8">
        <v>64.08</v>
      </c>
      <c r="I3716" s="8">
        <f t="shared" si="122"/>
        <v>-22098.419999999984</v>
      </c>
      <c r="J3716" s="12"/>
    </row>
    <row r="3717" spans="3:10" x14ac:dyDescent="0.3">
      <c r="C3717" s="9" t="s">
        <v>12</v>
      </c>
      <c r="D3717" s="10">
        <v>45715</v>
      </c>
      <c r="E3717" t="s">
        <v>2975</v>
      </c>
      <c r="F3717" s="11" t="s">
        <v>2069</v>
      </c>
      <c r="G3717" s="8">
        <v>0</v>
      </c>
      <c r="H3717" s="8">
        <v>27.3</v>
      </c>
      <c r="I3717" s="8">
        <f t="shared" si="122"/>
        <v>-22125.719999999983</v>
      </c>
      <c r="J3717" s="12"/>
    </row>
    <row r="3718" spans="3:10" x14ac:dyDescent="0.3">
      <c r="C3718" s="9" t="s">
        <v>12</v>
      </c>
      <c r="D3718" s="10">
        <v>45715</v>
      </c>
      <c r="E3718" t="s">
        <v>2790</v>
      </c>
      <c r="F3718" s="11" t="s">
        <v>1958</v>
      </c>
      <c r="G3718" s="8">
        <v>0</v>
      </c>
      <c r="H3718" s="8">
        <v>24.51</v>
      </c>
      <c r="I3718" s="8">
        <f t="shared" si="122"/>
        <v>-22150.229999999981</v>
      </c>
      <c r="J3718" s="12"/>
    </row>
    <row r="3719" spans="3:10" x14ac:dyDescent="0.3">
      <c r="C3719" s="9" t="s">
        <v>12</v>
      </c>
      <c r="D3719" s="10">
        <v>45715</v>
      </c>
      <c r="E3719" t="s">
        <v>3001</v>
      </c>
      <c r="F3719" s="11" t="s">
        <v>3002</v>
      </c>
      <c r="G3719" s="8">
        <v>0</v>
      </c>
      <c r="H3719" s="8">
        <v>27.3</v>
      </c>
      <c r="I3719" s="8">
        <f t="shared" si="122"/>
        <v>-22177.529999999981</v>
      </c>
      <c r="J3719" s="12"/>
    </row>
    <row r="3720" spans="3:10" x14ac:dyDescent="0.3">
      <c r="C3720" s="9" t="s">
        <v>12</v>
      </c>
      <c r="D3720" s="10">
        <v>45715</v>
      </c>
      <c r="E3720" t="s">
        <v>3003</v>
      </c>
      <c r="F3720" s="11" t="s">
        <v>3004</v>
      </c>
      <c r="G3720" s="8">
        <v>0</v>
      </c>
      <c r="H3720" s="8">
        <v>347.03</v>
      </c>
      <c r="I3720" s="8">
        <f t="shared" si="122"/>
        <v>-22524.559999999979</v>
      </c>
      <c r="J3720" s="12"/>
    </row>
    <row r="3721" spans="3:10" x14ac:dyDescent="0.3">
      <c r="C3721" s="9" t="s">
        <v>12</v>
      </c>
      <c r="D3721" s="10">
        <v>45715</v>
      </c>
      <c r="E3721" t="s">
        <v>2931</v>
      </c>
      <c r="F3721" s="11" t="s">
        <v>3005</v>
      </c>
      <c r="G3721" s="8">
        <v>0</v>
      </c>
      <c r="H3721" s="8">
        <v>34.32</v>
      </c>
      <c r="I3721" s="8">
        <f t="shared" si="122"/>
        <v>-22558.879999999979</v>
      </c>
      <c r="J3721" s="12"/>
    </row>
    <row r="3722" spans="3:10" x14ac:dyDescent="0.3">
      <c r="C3722" s="9" t="s">
        <v>12</v>
      </c>
      <c r="D3722" s="10">
        <v>45715</v>
      </c>
      <c r="E3722" t="s">
        <v>3006</v>
      </c>
      <c r="F3722" s="11" t="s">
        <v>3007</v>
      </c>
      <c r="G3722" s="8">
        <v>0</v>
      </c>
      <c r="H3722" s="8">
        <v>17.850000000000001</v>
      </c>
      <c r="I3722" s="8">
        <f t="shared" si="122"/>
        <v>-22576.729999999978</v>
      </c>
      <c r="J3722" s="12"/>
    </row>
    <row r="3723" spans="3:10" x14ac:dyDescent="0.3">
      <c r="C3723" s="9" t="s">
        <v>12</v>
      </c>
      <c r="D3723" s="10">
        <v>45715</v>
      </c>
      <c r="E3723" t="s">
        <v>3008</v>
      </c>
      <c r="F3723" s="11" t="s">
        <v>1148</v>
      </c>
      <c r="G3723" s="8">
        <v>0</v>
      </c>
      <c r="H3723" s="8">
        <v>25.5</v>
      </c>
      <c r="I3723" s="8">
        <f t="shared" ref="I3723:I3786" si="123">G3723-H3723+I3722</f>
        <v>-22602.229999999978</v>
      </c>
      <c r="J3723" s="12"/>
    </row>
    <row r="3724" spans="3:10" x14ac:dyDescent="0.3">
      <c r="C3724" s="9" t="s">
        <v>12</v>
      </c>
      <c r="D3724" s="10">
        <v>45715</v>
      </c>
      <c r="E3724" t="s">
        <v>2826</v>
      </c>
      <c r="F3724" s="11" t="s">
        <v>3009</v>
      </c>
      <c r="G3724" s="8">
        <v>0</v>
      </c>
      <c r="H3724" s="8">
        <v>365.62</v>
      </c>
      <c r="I3724" s="8">
        <f t="shared" si="123"/>
        <v>-22967.849999999977</v>
      </c>
      <c r="J3724" s="12"/>
    </row>
    <row r="3725" spans="3:10" x14ac:dyDescent="0.3">
      <c r="C3725" s="9" t="s">
        <v>12</v>
      </c>
      <c r="D3725" s="10">
        <v>45715</v>
      </c>
      <c r="E3725" t="s">
        <v>2996</v>
      </c>
      <c r="F3725" s="11" t="s">
        <v>3010</v>
      </c>
      <c r="G3725" s="8">
        <v>0</v>
      </c>
      <c r="H3725" s="8">
        <v>20.95</v>
      </c>
      <c r="I3725" s="8">
        <f t="shared" si="123"/>
        <v>-22988.799999999977</v>
      </c>
      <c r="J3725" s="12"/>
    </row>
    <row r="3726" spans="3:10" x14ac:dyDescent="0.3">
      <c r="C3726" s="9" t="s">
        <v>12</v>
      </c>
      <c r="D3726" s="10">
        <v>45715</v>
      </c>
      <c r="E3726" t="s">
        <v>2919</v>
      </c>
      <c r="F3726" s="11" t="s">
        <v>3011</v>
      </c>
      <c r="G3726" s="8">
        <v>0</v>
      </c>
      <c r="H3726" s="8">
        <v>47.9</v>
      </c>
      <c r="I3726" s="8">
        <f t="shared" si="123"/>
        <v>-23036.699999999979</v>
      </c>
      <c r="J3726" s="12"/>
    </row>
    <row r="3727" spans="3:10" x14ac:dyDescent="0.3">
      <c r="C3727" s="9" t="s">
        <v>12</v>
      </c>
      <c r="D3727" s="10">
        <v>45715</v>
      </c>
      <c r="E3727" t="s">
        <v>3012</v>
      </c>
      <c r="F3727" s="11" t="s">
        <v>3013</v>
      </c>
      <c r="G3727" s="8">
        <v>0</v>
      </c>
      <c r="H3727" s="8">
        <v>22.05</v>
      </c>
      <c r="I3727" s="8">
        <f t="shared" si="123"/>
        <v>-23058.749999999978</v>
      </c>
      <c r="J3727" s="12"/>
    </row>
    <row r="3728" spans="3:10" x14ac:dyDescent="0.3">
      <c r="C3728" s="9" t="s">
        <v>12</v>
      </c>
      <c r="D3728" s="10">
        <v>45715</v>
      </c>
      <c r="E3728" t="s">
        <v>2914</v>
      </c>
      <c r="F3728" s="11" t="s">
        <v>3014</v>
      </c>
      <c r="G3728" s="8">
        <v>0</v>
      </c>
      <c r="H3728" s="8">
        <v>25.85</v>
      </c>
      <c r="I3728" s="8">
        <f t="shared" si="123"/>
        <v>-23084.599999999977</v>
      </c>
      <c r="J3728" s="12"/>
    </row>
    <row r="3729" spans="3:10" x14ac:dyDescent="0.3">
      <c r="C3729" s="9" t="s">
        <v>12</v>
      </c>
      <c r="D3729" s="10">
        <v>45715</v>
      </c>
      <c r="E3729" t="s">
        <v>3015</v>
      </c>
      <c r="F3729" s="11" t="s">
        <v>1866</v>
      </c>
      <c r="G3729" s="8">
        <v>0</v>
      </c>
      <c r="H3729" s="8">
        <v>24.24</v>
      </c>
      <c r="I3729" s="8">
        <f t="shared" si="123"/>
        <v>-23108.839999999978</v>
      </c>
      <c r="J3729" s="12"/>
    </row>
    <row r="3730" spans="3:10" x14ac:dyDescent="0.3">
      <c r="C3730" s="9" t="s">
        <v>12</v>
      </c>
      <c r="D3730" s="10">
        <v>45716</v>
      </c>
      <c r="E3730" t="s">
        <v>2938</v>
      </c>
      <c r="F3730" s="11" t="s">
        <v>3016</v>
      </c>
      <c r="G3730" s="8">
        <v>0</v>
      </c>
      <c r="H3730" s="8">
        <v>27.87</v>
      </c>
      <c r="I3730" s="8">
        <f t="shared" si="123"/>
        <v>-23136.709999999977</v>
      </c>
      <c r="J3730" s="12"/>
    </row>
    <row r="3731" spans="3:10" x14ac:dyDescent="0.3">
      <c r="C3731" s="9" t="s">
        <v>12</v>
      </c>
      <c r="D3731" s="10">
        <v>45716</v>
      </c>
      <c r="E3731" t="s">
        <v>2954</v>
      </c>
      <c r="F3731" s="11" t="s">
        <v>3017</v>
      </c>
      <c r="G3731" s="8">
        <v>0</v>
      </c>
      <c r="H3731" s="8">
        <v>30.22</v>
      </c>
      <c r="I3731" s="8">
        <f t="shared" si="123"/>
        <v>-23166.929999999978</v>
      </c>
      <c r="J3731" s="12"/>
    </row>
    <row r="3732" spans="3:10" x14ac:dyDescent="0.3">
      <c r="C3732" s="9" t="s">
        <v>12</v>
      </c>
      <c r="D3732" s="10">
        <v>45716</v>
      </c>
      <c r="E3732" t="s">
        <v>2994</v>
      </c>
      <c r="F3732" s="11" t="s">
        <v>1702</v>
      </c>
      <c r="G3732" s="8">
        <v>0</v>
      </c>
      <c r="H3732" s="8">
        <v>55.89</v>
      </c>
      <c r="I3732" s="8">
        <f t="shared" si="123"/>
        <v>-23222.819999999978</v>
      </c>
      <c r="J3732" s="12"/>
    </row>
    <row r="3733" spans="3:10" x14ac:dyDescent="0.3">
      <c r="C3733" s="9" t="s">
        <v>12</v>
      </c>
      <c r="D3733" s="10">
        <v>45716</v>
      </c>
      <c r="E3733" t="s">
        <v>2855</v>
      </c>
      <c r="F3733" s="11" t="s">
        <v>1898</v>
      </c>
      <c r="G3733" s="8">
        <v>0</v>
      </c>
      <c r="H3733" s="8">
        <v>6.11</v>
      </c>
      <c r="I3733" s="8">
        <f t="shared" si="123"/>
        <v>-23228.929999999978</v>
      </c>
      <c r="J3733" s="12"/>
    </row>
    <row r="3734" spans="3:10" x14ac:dyDescent="0.3">
      <c r="C3734" s="9" t="s">
        <v>12</v>
      </c>
      <c r="D3734" s="10">
        <v>45716</v>
      </c>
      <c r="E3734" t="s">
        <v>2968</v>
      </c>
      <c r="F3734" s="11" t="s">
        <v>3018</v>
      </c>
      <c r="G3734" s="8">
        <v>0</v>
      </c>
      <c r="H3734" s="8">
        <v>54.28</v>
      </c>
      <c r="I3734" s="8">
        <f t="shared" si="123"/>
        <v>-23283.209999999977</v>
      </c>
      <c r="J3734" s="12"/>
    </row>
    <row r="3735" spans="3:10" x14ac:dyDescent="0.3">
      <c r="C3735" s="9" t="s">
        <v>12</v>
      </c>
      <c r="D3735" s="10">
        <v>45716</v>
      </c>
      <c r="E3735" t="s">
        <v>3019</v>
      </c>
      <c r="F3735" s="11" t="s">
        <v>1743</v>
      </c>
      <c r="G3735" s="8">
        <v>0</v>
      </c>
      <c r="H3735" s="8">
        <v>341.58</v>
      </c>
      <c r="I3735" s="8">
        <f t="shared" si="123"/>
        <v>-23624.789999999979</v>
      </c>
      <c r="J3735" s="12"/>
    </row>
    <row r="3736" spans="3:10" x14ac:dyDescent="0.3">
      <c r="C3736" s="9" t="s">
        <v>12</v>
      </c>
      <c r="D3736" s="10">
        <v>45716</v>
      </c>
      <c r="E3736" t="s">
        <v>3020</v>
      </c>
      <c r="F3736" s="11" t="s">
        <v>3021</v>
      </c>
      <c r="G3736" s="8">
        <v>0</v>
      </c>
      <c r="H3736" s="8">
        <v>23.1</v>
      </c>
      <c r="I3736" s="8">
        <f t="shared" si="123"/>
        <v>-23647.889999999978</v>
      </c>
      <c r="J3736" s="12"/>
    </row>
    <row r="3737" spans="3:10" x14ac:dyDescent="0.3">
      <c r="C3737" s="9" t="s">
        <v>12</v>
      </c>
      <c r="D3737" s="10">
        <v>45716</v>
      </c>
      <c r="E3737" t="s">
        <v>2876</v>
      </c>
      <c r="F3737" s="11" t="s">
        <v>1267</v>
      </c>
      <c r="G3737" s="8">
        <v>0</v>
      </c>
      <c r="H3737" s="8">
        <v>177.79</v>
      </c>
      <c r="I3737" s="8">
        <f t="shared" si="123"/>
        <v>-23825.679999999978</v>
      </c>
      <c r="J3737" s="12"/>
    </row>
    <row r="3738" spans="3:10" x14ac:dyDescent="0.3">
      <c r="C3738" s="9" t="s">
        <v>12</v>
      </c>
      <c r="D3738" s="10">
        <v>45716</v>
      </c>
      <c r="E3738" t="s">
        <v>2783</v>
      </c>
      <c r="F3738" s="11" t="s">
        <v>1291</v>
      </c>
      <c r="G3738" s="8">
        <v>0</v>
      </c>
      <c r="H3738" s="8">
        <v>37.42</v>
      </c>
      <c r="I3738" s="8">
        <f t="shared" si="123"/>
        <v>-23863.099999999977</v>
      </c>
      <c r="J3738" s="12"/>
    </row>
    <row r="3739" spans="3:10" x14ac:dyDescent="0.3">
      <c r="C3739" s="9" t="s">
        <v>12</v>
      </c>
      <c r="D3739" s="10">
        <v>45716</v>
      </c>
      <c r="E3739" t="s">
        <v>2952</v>
      </c>
      <c r="F3739" s="11" t="s">
        <v>3022</v>
      </c>
      <c r="G3739" s="8">
        <v>0</v>
      </c>
      <c r="H3739" s="8">
        <v>10.71</v>
      </c>
      <c r="I3739" s="8">
        <f t="shared" si="123"/>
        <v>-23873.809999999976</v>
      </c>
      <c r="J3739" s="12"/>
    </row>
    <row r="3740" spans="3:10" x14ac:dyDescent="0.3">
      <c r="C3740" s="9" t="s">
        <v>12</v>
      </c>
      <c r="D3740" s="10">
        <v>45720</v>
      </c>
      <c r="E3740" t="s">
        <v>2847</v>
      </c>
      <c r="F3740" s="11" t="s">
        <v>1112</v>
      </c>
      <c r="G3740" s="8">
        <v>0</v>
      </c>
      <c r="H3740" s="8">
        <v>69.75</v>
      </c>
      <c r="I3740" s="8">
        <f t="shared" si="123"/>
        <v>-23943.559999999976</v>
      </c>
      <c r="J3740" s="12"/>
    </row>
    <row r="3741" spans="3:10" x14ac:dyDescent="0.3">
      <c r="C3741" s="9" t="s">
        <v>12</v>
      </c>
      <c r="D3741" s="10">
        <v>45720</v>
      </c>
      <c r="E3741" t="s">
        <v>2735</v>
      </c>
      <c r="F3741" s="11" t="s">
        <v>1769</v>
      </c>
      <c r="G3741" s="8">
        <v>0</v>
      </c>
      <c r="H3741" s="8">
        <v>19.53</v>
      </c>
      <c r="I3741" s="8">
        <f t="shared" si="123"/>
        <v>-23963.089999999975</v>
      </c>
      <c r="J3741" s="12"/>
    </row>
    <row r="3742" spans="3:10" x14ac:dyDescent="0.3">
      <c r="C3742" s="9" t="s">
        <v>12</v>
      </c>
      <c r="D3742" s="10">
        <v>45720</v>
      </c>
      <c r="E3742" t="s">
        <v>2855</v>
      </c>
      <c r="F3742" s="11" t="s">
        <v>1900</v>
      </c>
      <c r="G3742" s="8">
        <v>0</v>
      </c>
      <c r="H3742" s="8">
        <v>232.56</v>
      </c>
      <c r="I3742" s="8">
        <f t="shared" si="123"/>
        <v>-24195.649999999976</v>
      </c>
      <c r="J3742" s="12"/>
    </row>
    <row r="3743" spans="3:10" x14ac:dyDescent="0.3">
      <c r="C3743" s="9" t="s">
        <v>12</v>
      </c>
      <c r="D3743" s="10">
        <v>45720</v>
      </c>
      <c r="E3743" t="s">
        <v>3023</v>
      </c>
      <c r="F3743" s="11" t="s">
        <v>3024</v>
      </c>
      <c r="G3743" s="8">
        <v>0</v>
      </c>
      <c r="H3743" s="8">
        <v>101.49</v>
      </c>
      <c r="I3743" s="8">
        <f t="shared" si="123"/>
        <v>-24297.139999999978</v>
      </c>
      <c r="J3743" s="12"/>
    </row>
    <row r="3744" spans="3:10" x14ac:dyDescent="0.3">
      <c r="C3744" s="9" t="s">
        <v>12</v>
      </c>
      <c r="D3744" s="10">
        <v>45721</v>
      </c>
      <c r="E3744" t="s">
        <v>3025</v>
      </c>
      <c r="F3744" s="11" t="s">
        <v>3026</v>
      </c>
      <c r="G3744" s="8">
        <v>0</v>
      </c>
      <c r="H3744" s="8">
        <v>29.33</v>
      </c>
      <c r="I3744" s="8">
        <f t="shared" si="123"/>
        <v>-24326.469999999979</v>
      </c>
      <c r="J3744" s="12"/>
    </row>
    <row r="3745" spans="3:10" x14ac:dyDescent="0.3">
      <c r="C3745" s="9" t="s">
        <v>12</v>
      </c>
      <c r="D3745" s="10">
        <v>45721</v>
      </c>
      <c r="E3745" t="s">
        <v>3027</v>
      </c>
      <c r="F3745" s="11" t="s">
        <v>3028</v>
      </c>
      <c r="G3745" s="8">
        <v>0</v>
      </c>
      <c r="H3745" s="8">
        <v>23.1</v>
      </c>
      <c r="I3745" s="8">
        <f t="shared" si="123"/>
        <v>-24349.569999999978</v>
      </c>
      <c r="J3745" s="12"/>
    </row>
    <row r="3746" spans="3:10" x14ac:dyDescent="0.3">
      <c r="C3746" s="9" t="s">
        <v>12</v>
      </c>
      <c r="D3746" s="10">
        <v>45721</v>
      </c>
      <c r="E3746" t="s">
        <v>2771</v>
      </c>
      <c r="F3746" s="11" t="s">
        <v>1431</v>
      </c>
      <c r="G3746" s="8">
        <v>0</v>
      </c>
      <c r="H3746" s="8">
        <v>316.52999999999997</v>
      </c>
      <c r="I3746" s="8">
        <f t="shared" si="123"/>
        <v>-24666.099999999977</v>
      </c>
      <c r="J3746" s="12"/>
    </row>
    <row r="3747" spans="3:10" x14ac:dyDescent="0.3">
      <c r="C3747" s="9" t="s">
        <v>12</v>
      </c>
      <c r="D3747" s="10">
        <v>45721</v>
      </c>
      <c r="E3747" t="s">
        <v>2926</v>
      </c>
      <c r="F3747" s="11" t="s">
        <v>2285</v>
      </c>
      <c r="G3747" s="8">
        <v>0</v>
      </c>
      <c r="H3747" s="8">
        <v>10.82</v>
      </c>
      <c r="I3747" s="8">
        <f t="shared" si="123"/>
        <v>-24676.919999999976</v>
      </c>
      <c r="J3747" s="12"/>
    </row>
    <row r="3748" spans="3:10" x14ac:dyDescent="0.3">
      <c r="C3748" s="9" t="s">
        <v>12</v>
      </c>
      <c r="D3748" s="10">
        <v>45721</v>
      </c>
      <c r="E3748" t="s">
        <v>3029</v>
      </c>
      <c r="F3748" s="11" t="s">
        <v>1750</v>
      </c>
      <c r="G3748" s="8">
        <v>0</v>
      </c>
      <c r="H3748" s="8">
        <v>23.1</v>
      </c>
      <c r="I3748" s="8">
        <f t="shared" si="123"/>
        <v>-24700.019999999975</v>
      </c>
      <c r="J3748" s="12"/>
    </row>
    <row r="3749" spans="3:10" x14ac:dyDescent="0.3">
      <c r="C3749" s="9" t="s">
        <v>12</v>
      </c>
      <c r="D3749" s="10">
        <v>45721</v>
      </c>
      <c r="E3749" t="s">
        <v>2790</v>
      </c>
      <c r="F3749" s="11" t="s">
        <v>1960</v>
      </c>
      <c r="G3749" s="8">
        <v>0</v>
      </c>
      <c r="H3749" s="8">
        <v>7.06</v>
      </c>
      <c r="I3749" s="8">
        <f t="shared" si="123"/>
        <v>-24707.079999999976</v>
      </c>
      <c r="J3749" s="12"/>
    </row>
    <row r="3750" spans="3:10" x14ac:dyDescent="0.3">
      <c r="C3750" s="9" t="s">
        <v>12</v>
      </c>
      <c r="D3750" s="10">
        <v>45721</v>
      </c>
      <c r="E3750" t="s">
        <v>2826</v>
      </c>
      <c r="F3750" s="11" t="s">
        <v>3030</v>
      </c>
      <c r="G3750" s="8">
        <v>0</v>
      </c>
      <c r="H3750" s="8">
        <v>42.86</v>
      </c>
      <c r="I3750" s="8">
        <f t="shared" si="123"/>
        <v>-24749.939999999977</v>
      </c>
      <c r="J3750" s="12"/>
    </row>
    <row r="3751" spans="3:10" x14ac:dyDescent="0.3">
      <c r="C3751" s="9" t="s">
        <v>12</v>
      </c>
      <c r="D3751" s="10">
        <v>45722</v>
      </c>
      <c r="E3751" t="s">
        <v>2899</v>
      </c>
      <c r="F3751" s="11" t="s">
        <v>1783</v>
      </c>
      <c r="G3751" s="8">
        <v>0</v>
      </c>
      <c r="H3751" s="8">
        <v>72.59</v>
      </c>
      <c r="I3751" s="8">
        <f t="shared" si="123"/>
        <v>-24822.529999999977</v>
      </c>
      <c r="J3751" s="12"/>
    </row>
    <row r="3752" spans="3:10" x14ac:dyDescent="0.3">
      <c r="C3752" s="9" t="s">
        <v>12</v>
      </c>
      <c r="D3752" s="10">
        <v>45722</v>
      </c>
      <c r="E3752" t="s">
        <v>2748</v>
      </c>
      <c r="F3752" s="11" t="s">
        <v>1566</v>
      </c>
      <c r="G3752" s="8">
        <v>0</v>
      </c>
      <c r="H3752" s="8">
        <v>24.15</v>
      </c>
      <c r="I3752" s="8">
        <f t="shared" si="123"/>
        <v>-24846.679999999978</v>
      </c>
      <c r="J3752" s="12"/>
    </row>
    <row r="3753" spans="3:10" x14ac:dyDescent="0.3">
      <c r="C3753" s="9" t="s">
        <v>12</v>
      </c>
      <c r="D3753" s="10">
        <v>45722</v>
      </c>
      <c r="E3753" t="s">
        <v>2748</v>
      </c>
      <c r="F3753" s="11" t="s">
        <v>394</v>
      </c>
      <c r="G3753" s="8">
        <v>0</v>
      </c>
      <c r="H3753" s="8">
        <v>-24.15</v>
      </c>
      <c r="I3753" s="8">
        <f t="shared" si="123"/>
        <v>-24822.529999999977</v>
      </c>
      <c r="J3753" s="12"/>
    </row>
    <row r="3754" spans="3:10" x14ac:dyDescent="0.3">
      <c r="C3754" s="9" t="s">
        <v>12</v>
      </c>
      <c r="D3754" s="10">
        <v>45722</v>
      </c>
      <c r="E3754" t="s">
        <v>2748</v>
      </c>
      <c r="F3754" s="11" t="s">
        <v>1569</v>
      </c>
      <c r="G3754" s="8">
        <v>0</v>
      </c>
      <c r="H3754" s="8">
        <v>24.15</v>
      </c>
      <c r="I3754" s="8">
        <f t="shared" si="123"/>
        <v>-24846.679999999978</v>
      </c>
      <c r="J3754" s="12"/>
    </row>
    <row r="3755" spans="3:10" x14ac:dyDescent="0.3">
      <c r="C3755" s="9" t="s">
        <v>12</v>
      </c>
      <c r="D3755" s="10">
        <v>45723</v>
      </c>
      <c r="E3755" t="s">
        <v>3023</v>
      </c>
      <c r="F3755" s="11" t="s">
        <v>3031</v>
      </c>
      <c r="G3755" s="8">
        <v>0</v>
      </c>
      <c r="H3755" s="8">
        <v>17.899999999999999</v>
      </c>
      <c r="I3755" s="8">
        <f t="shared" si="123"/>
        <v>-24864.57999999998</v>
      </c>
      <c r="J3755" s="12"/>
    </row>
    <row r="3756" spans="3:10" x14ac:dyDescent="0.3">
      <c r="C3756" s="9" t="s">
        <v>12</v>
      </c>
      <c r="D3756" s="10">
        <v>45723</v>
      </c>
      <c r="E3756" t="s">
        <v>3032</v>
      </c>
      <c r="F3756" s="11" t="s">
        <v>3033</v>
      </c>
      <c r="G3756" s="8">
        <v>0</v>
      </c>
      <c r="H3756" s="8">
        <v>34.119999999999997</v>
      </c>
      <c r="I3756" s="8">
        <f t="shared" si="123"/>
        <v>-24898.699999999979</v>
      </c>
      <c r="J3756" s="12"/>
    </row>
    <row r="3757" spans="3:10" x14ac:dyDescent="0.3">
      <c r="C3757" s="9" t="s">
        <v>12</v>
      </c>
      <c r="D3757" s="10">
        <v>45723</v>
      </c>
      <c r="E3757" t="s">
        <v>3034</v>
      </c>
      <c r="F3757" s="11" t="s">
        <v>3035</v>
      </c>
      <c r="G3757" s="8">
        <v>0</v>
      </c>
      <c r="H3757" s="8">
        <v>11.43</v>
      </c>
      <c r="I3757" s="8">
        <f t="shared" si="123"/>
        <v>-24910.129999999979</v>
      </c>
      <c r="J3757" s="12"/>
    </row>
    <row r="3758" spans="3:10" x14ac:dyDescent="0.3">
      <c r="C3758" s="9" t="s">
        <v>12</v>
      </c>
      <c r="D3758" s="10">
        <v>45723</v>
      </c>
      <c r="E3758" t="s">
        <v>2847</v>
      </c>
      <c r="F3758" s="11" t="s">
        <v>1114</v>
      </c>
      <c r="G3758" s="8">
        <v>0</v>
      </c>
      <c r="H3758" s="8">
        <v>23.1</v>
      </c>
      <c r="I3758" s="8">
        <f t="shared" si="123"/>
        <v>-24933.229999999978</v>
      </c>
      <c r="J3758" s="12"/>
    </row>
    <row r="3759" spans="3:10" x14ac:dyDescent="0.3">
      <c r="C3759" s="9" t="s">
        <v>12</v>
      </c>
      <c r="D3759" s="10">
        <v>45723</v>
      </c>
      <c r="E3759" t="s">
        <v>2914</v>
      </c>
      <c r="F3759" s="11" t="s">
        <v>3036</v>
      </c>
      <c r="G3759" s="8">
        <v>0</v>
      </c>
      <c r="H3759" s="8">
        <v>11.43</v>
      </c>
      <c r="I3759" s="8">
        <f t="shared" si="123"/>
        <v>-24944.659999999978</v>
      </c>
      <c r="J3759" s="12"/>
    </row>
    <row r="3760" spans="3:10" x14ac:dyDescent="0.3">
      <c r="C3760" s="9" t="s">
        <v>12</v>
      </c>
      <c r="D3760" s="10">
        <v>45723</v>
      </c>
      <c r="E3760" t="s">
        <v>2771</v>
      </c>
      <c r="F3760" s="11" t="s">
        <v>1433</v>
      </c>
      <c r="G3760" s="8">
        <v>0</v>
      </c>
      <c r="H3760" s="8">
        <v>28.35</v>
      </c>
      <c r="I3760" s="8">
        <f t="shared" si="123"/>
        <v>-24973.009999999977</v>
      </c>
      <c r="J3760" s="12"/>
    </row>
    <row r="3761" spans="3:10" x14ac:dyDescent="0.3">
      <c r="C3761" s="9" t="s">
        <v>12</v>
      </c>
      <c r="D3761" s="10">
        <v>45723</v>
      </c>
      <c r="E3761" t="s">
        <v>2747</v>
      </c>
      <c r="F3761" s="11" t="s">
        <v>2032</v>
      </c>
      <c r="G3761" s="8">
        <v>0</v>
      </c>
      <c r="H3761" s="8">
        <v>21.61</v>
      </c>
      <c r="I3761" s="8">
        <f t="shared" si="123"/>
        <v>-24994.619999999977</v>
      </c>
      <c r="J3761" s="12"/>
    </row>
    <row r="3762" spans="3:10" x14ac:dyDescent="0.3">
      <c r="C3762" s="9" t="s">
        <v>12</v>
      </c>
      <c r="D3762" s="10">
        <v>45723</v>
      </c>
      <c r="E3762" t="s">
        <v>3037</v>
      </c>
      <c r="F3762" s="11" t="s">
        <v>2233</v>
      </c>
      <c r="G3762" s="8">
        <v>0</v>
      </c>
      <c r="H3762" s="8">
        <v>23.1</v>
      </c>
      <c r="I3762" s="8">
        <f t="shared" si="123"/>
        <v>-25017.719999999976</v>
      </c>
      <c r="J3762" s="12"/>
    </row>
    <row r="3763" spans="3:10" x14ac:dyDescent="0.3">
      <c r="C3763" s="9" t="s">
        <v>12</v>
      </c>
      <c r="D3763" s="10">
        <v>45723</v>
      </c>
      <c r="E3763" t="s">
        <v>2746</v>
      </c>
      <c r="F3763" s="11" t="s">
        <v>1944</v>
      </c>
      <c r="G3763" s="8">
        <v>0</v>
      </c>
      <c r="H3763" s="8">
        <v>44.1</v>
      </c>
      <c r="I3763" s="8">
        <f t="shared" si="123"/>
        <v>-25061.819999999974</v>
      </c>
      <c r="J3763" s="12"/>
    </row>
    <row r="3764" spans="3:10" x14ac:dyDescent="0.3">
      <c r="C3764" s="9" t="s">
        <v>12</v>
      </c>
      <c r="D3764" s="10">
        <v>45723</v>
      </c>
      <c r="E3764" t="s">
        <v>3038</v>
      </c>
      <c r="F3764" s="11" t="s">
        <v>2121</v>
      </c>
      <c r="G3764" s="8">
        <v>0</v>
      </c>
      <c r="H3764" s="8">
        <v>24.4</v>
      </c>
      <c r="I3764" s="8">
        <f t="shared" si="123"/>
        <v>-25086.219999999976</v>
      </c>
      <c r="J3764" s="12"/>
    </row>
    <row r="3765" spans="3:10" x14ac:dyDescent="0.3">
      <c r="C3765" s="9" t="s">
        <v>12</v>
      </c>
      <c r="D3765" s="10">
        <v>45726</v>
      </c>
      <c r="E3765" t="s">
        <v>2954</v>
      </c>
      <c r="F3765" s="11" t="s">
        <v>3039</v>
      </c>
      <c r="G3765" s="8">
        <v>0</v>
      </c>
      <c r="H3765" s="8">
        <v>25.88</v>
      </c>
      <c r="I3765" s="8">
        <f t="shared" si="123"/>
        <v>-25112.099999999977</v>
      </c>
      <c r="J3765" s="12"/>
    </row>
    <row r="3766" spans="3:10" x14ac:dyDescent="0.3">
      <c r="C3766" s="9" t="s">
        <v>12</v>
      </c>
      <c r="D3766" s="10">
        <v>45726</v>
      </c>
      <c r="E3766" t="s">
        <v>3040</v>
      </c>
      <c r="F3766" s="11" t="s">
        <v>3041</v>
      </c>
      <c r="G3766" s="8">
        <v>0</v>
      </c>
      <c r="H3766" s="8">
        <v>23.1</v>
      </c>
      <c r="I3766" s="8">
        <f t="shared" si="123"/>
        <v>-25135.199999999975</v>
      </c>
      <c r="J3766" s="12"/>
    </row>
    <row r="3767" spans="3:10" x14ac:dyDescent="0.3">
      <c r="C3767" s="9" t="s">
        <v>12</v>
      </c>
      <c r="D3767" s="10">
        <v>45726</v>
      </c>
      <c r="E3767" t="s">
        <v>3042</v>
      </c>
      <c r="F3767" s="11" t="s">
        <v>1593</v>
      </c>
      <c r="G3767" s="8">
        <v>0</v>
      </c>
      <c r="H3767" s="8">
        <v>32.35</v>
      </c>
      <c r="I3767" s="8">
        <f t="shared" si="123"/>
        <v>-25167.549999999974</v>
      </c>
      <c r="J3767" s="12"/>
    </row>
    <row r="3768" spans="3:10" x14ac:dyDescent="0.3">
      <c r="C3768" s="9" t="s">
        <v>12</v>
      </c>
      <c r="D3768" s="10">
        <v>45726</v>
      </c>
      <c r="E3768" t="s">
        <v>2774</v>
      </c>
      <c r="F3768" s="11" t="s">
        <v>3043</v>
      </c>
      <c r="G3768" s="8">
        <v>0</v>
      </c>
      <c r="H3768" s="8">
        <v>10.5</v>
      </c>
      <c r="I3768" s="8">
        <f t="shared" si="123"/>
        <v>-25178.049999999974</v>
      </c>
      <c r="J3768" s="12"/>
    </row>
    <row r="3769" spans="3:10" x14ac:dyDescent="0.3">
      <c r="C3769" s="9" t="s">
        <v>12</v>
      </c>
      <c r="D3769" s="10">
        <v>45726</v>
      </c>
      <c r="E3769" t="s">
        <v>2742</v>
      </c>
      <c r="F3769" s="11" t="s">
        <v>2148</v>
      </c>
      <c r="G3769" s="8">
        <v>0</v>
      </c>
      <c r="H3769" s="8">
        <v>-24.15</v>
      </c>
      <c r="I3769" s="8">
        <f t="shared" si="123"/>
        <v>-25153.899999999972</v>
      </c>
      <c r="J3769" s="12"/>
    </row>
    <row r="3770" spans="3:10" x14ac:dyDescent="0.3">
      <c r="C3770" s="9" t="s">
        <v>12</v>
      </c>
      <c r="D3770" s="10">
        <v>45726</v>
      </c>
      <c r="E3770" t="s">
        <v>2742</v>
      </c>
      <c r="F3770" s="11" t="s">
        <v>2150</v>
      </c>
      <c r="G3770" s="8">
        <v>0</v>
      </c>
      <c r="H3770" s="8">
        <v>-27.61</v>
      </c>
      <c r="I3770" s="8">
        <f t="shared" si="123"/>
        <v>-25126.289999999972</v>
      </c>
      <c r="J3770" s="12"/>
    </row>
    <row r="3771" spans="3:10" x14ac:dyDescent="0.3">
      <c r="C3771" s="9" t="s">
        <v>12</v>
      </c>
      <c r="D3771" s="10">
        <v>45726</v>
      </c>
      <c r="E3771" t="s">
        <v>2876</v>
      </c>
      <c r="F3771" s="11" t="s">
        <v>1269</v>
      </c>
      <c r="G3771" s="8">
        <v>0</v>
      </c>
      <c r="H3771" s="8">
        <v>2325.54</v>
      </c>
      <c r="I3771" s="8">
        <f t="shared" si="123"/>
        <v>-27451.829999999973</v>
      </c>
      <c r="J3771" s="12"/>
    </row>
    <row r="3772" spans="3:10" x14ac:dyDescent="0.3">
      <c r="C3772" s="9" t="s">
        <v>12</v>
      </c>
      <c r="D3772" s="10">
        <v>45726</v>
      </c>
      <c r="E3772" t="s">
        <v>2876</v>
      </c>
      <c r="F3772" s="11" t="s">
        <v>1271</v>
      </c>
      <c r="G3772" s="8">
        <v>0</v>
      </c>
      <c r="H3772" s="8">
        <v>-1196.3699999999999</v>
      </c>
      <c r="I3772" s="8">
        <f t="shared" si="123"/>
        <v>-26255.459999999974</v>
      </c>
      <c r="J3772" s="12"/>
    </row>
    <row r="3773" spans="3:10" x14ac:dyDescent="0.3">
      <c r="C3773" s="9" t="s">
        <v>12</v>
      </c>
      <c r="D3773" s="10">
        <v>45726</v>
      </c>
      <c r="E3773" t="s">
        <v>2860</v>
      </c>
      <c r="F3773" s="11" t="s">
        <v>1813</v>
      </c>
      <c r="G3773" s="8">
        <v>0</v>
      </c>
      <c r="H3773" s="8">
        <v>1046.43</v>
      </c>
      <c r="I3773" s="8">
        <f t="shared" si="123"/>
        <v>-27301.889999999974</v>
      </c>
      <c r="J3773" s="12"/>
    </row>
    <row r="3774" spans="3:10" x14ac:dyDescent="0.3">
      <c r="C3774" s="9" t="s">
        <v>12</v>
      </c>
      <c r="D3774" s="10">
        <v>45726</v>
      </c>
      <c r="E3774" t="s">
        <v>2860</v>
      </c>
      <c r="F3774" s="11" t="s">
        <v>1815</v>
      </c>
      <c r="G3774" s="8">
        <v>0</v>
      </c>
      <c r="H3774" s="8">
        <v>523.22</v>
      </c>
      <c r="I3774" s="8">
        <f t="shared" si="123"/>
        <v>-27825.109999999975</v>
      </c>
      <c r="J3774" s="12"/>
    </row>
    <row r="3775" spans="3:10" x14ac:dyDescent="0.3">
      <c r="C3775" s="9" t="s">
        <v>12</v>
      </c>
      <c r="D3775" s="10">
        <v>45727</v>
      </c>
      <c r="E3775" t="s">
        <v>3044</v>
      </c>
      <c r="F3775" s="11" t="s">
        <v>3045</v>
      </c>
      <c r="G3775" s="8">
        <v>0</v>
      </c>
      <c r="H3775" s="8">
        <v>17.850000000000001</v>
      </c>
      <c r="I3775" s="8">
        <f t="shared" si="123"/>
        <v>-27842.959999999974</v>
      </c>
      <c r="J3775" s="12"/>
    </row>
    <row r="3776" spans="3:10" x14ac:dyDescent="0.3">
      <c r="C3776" s="9" t="s">
        <v>12</v>
      </c>
      <c r="D3776" s="10">
        <v>45727</v>
      </c>
      <c r="E3776" t="s">
        <v>3046</v>
      </c>
      <c r="F3776" s="11" t="s">
        <v>3047</v>
      </c>
      <c r="G3776" s="8">
        <v>0</v>
      </c>
      <c r="H3776" s="8">
        <v>27.3</v>
      </c>
      <c r="I3776" s="8">
        <f t="shared" si="123"/>
        <v>-27870.259999999973</v>
      </c>
      <c r="J3776" s="12"/>
    </row>
    <row r="3777" spans="3:10" x14ac:dyDescent="0.3">
      <c r="C3777" s="9" t="s">
        <v>12</v>
      </c>
      <c r="D3777" s="10">
        <v>45727</v>
      </c>
      <c r="E3777" t="s">
        <v>3048</v>
      </c>
      <c r="F3777" s="11" t="s">
        <v>3049</v>
      </c>
      <c r="G3777" s="8">
        <v>0</v>
      </c>
      <c r="H3777" s="8">
        <v>23.1</v>
      </c>
      <c r="I3777" s="8">
        <f t="shared" si="123"/>
        <v>-27893.359999999971</v>
      </c>
      <c r="J3777" s="12"/>
    </row>
    <row r="3778" spans="3:10" x14ac:dyDescent="0.3">
      <c r="C3778" s="9" t="s">
        <v>12</v>
      </c>
      <c r="D3778" s="10">
        <v>45727</v>
      </c>
      <c r="E3778" t="s">
        <v>3050</v>
      </c>
      <c r="F3778" s="11" t="s">
        <v>3051</v>
      </c>
      <c r="G3778" s="8">
        <v>0</v>
      </c>
      <c r="H3778" s="8">
        <v>24.72</v>
      </c>
      <c r="I3778" s="8">
        <f t="shared" si="123"/>
        <v>-27918.079999999973</v>
      </c>
      <c r="J3778" s="12"/>
    </row>
    <row r="3779" spans="3:10" x14ac:dyDescent="0.3">
      <c r="C3779" s="9" t="s">
        <v>12</v>
      </c>
      <c r="D3779" s="10">
        <v>45727</v>
      </c>
      <c r="E3779" t="s">
        <v>3052</v>
      </c>
      <c r="F3779" s="11" t="s">
        <v>3053</v>
      </c>
      <c r="G3779" s="8">
        <v>0</v>
      </c>
      <c r="H3779" s="8">
        <v>38.49</v>
      </c>
      <c r="I3779" s="8">
        <f t="shared" si="123"/>
        <v>-27956.569999999974</v>
      </c>
      <c r="J3779" s="12"/>
    </row>
    <row r="3780" spans="3:10" x14ac:dyDescent="0.3">
      <c r="C3780" s="9" t="s">
        <v>12</v>
      </c>
      <c r="D3780" s="10">
        <v>45727</v>
      </c>
      <c r="E3780" t="s">
        <v>2742</v>
      </c>
      <c r="F3780" s="11" t="s">
        <v>2152</v>
      </c>
      <c r="G3780" s="8">
        <v>0</v>
      </c>
      <c r="H3780" s="8">
        <v>-24.15</v>
      </c>
      <c r="I3780" s="8">
        <f t="shared" si="123"/>
        <v>-27932.419999999973</v>
      </c>
      <c r="J3780" s="12"/>
    </row>
    <row r="3781" spans="3:10" x14ac:dyDescent="0.3">
      <c r="C3781" s="9" t="s">
        <v>12</v>
      </c>
      <c r="D3781" s="10">
        <v>45727</v>
      </c>
      <c r="E3781" t="s">
        <v>2748</v>
      </c>
      <c r="F3781" s="11" t="s">
        <v>400</v>
      </c>
      <c r="G3781" s="8">
        <v>0</v>
      </c>
      <c r="H3781" s="8">
        <v>-24.15</v>
      </c>
      <c r="I3781" s="8">
        <f t="shared" si="123"/>
        <v>-27908.269999999971</v>
      </c>
      <c r="J3781" s="12"/>
    </row>
    <row r="3782" spans="3:10" x14ac:dyDescent="0.3">
      <c r="C3782" s="9" t="s">
        <v>12</v>
      </c>
      <c r="D3782" s="10">
        <v>45727</v>
      </c>
      <c r="E3782" t="s">
        <v>2750</v>
      </c>
      <c r="F3782" s="11" t="s">
        <v>3054</v>
      </c>
      <c r="G3782" s="8">
        <v>0</v>
      </c>
      <c r="H3782" s="8">
        <v>28.35</v>
      </c>
      <c r="I3782" s="8">
        <f t="shared" si="123"/>
        <v>-27936.61999999997</v>
      </c>
      <c r="J3782" s="12"/>
    </row>
    <row r="3783" spans="3:10" x14ac:dyDescent="0.3">
      <c r="C3783" s="9" t="s">
        <v>12</v>
      </c>
      <c r="D3783" s="10">
        <v>45727</v>
      </c>
      <c r="E3783" t="s">
        <v>3015</v>
      </c>
      <c r="F3783" s="11" t="s">
        <v>1868</v>
      </c>
      <c r="G3783" s="8">
        <v>0</v>
      </c>
      <c r="H3783" s="8">
        <v>69.37</v>
      </c>
      <c r="I3783" s="8">
        <f t="shared" si="123"/>
        <v>-28005.989999999969</v>
      </c>
      <c r="J3783" s="12"/>
    </row>
    <row r="3784" spans="3:10" x14ac:dyDescent="0.3">
      <c r="C3784" s="9" t="s">
        <v>12</v>
      </c>
      <c r="D3784" s="10">
        <v>45728</v>
      </c>
      <c r="E3784" t="s">
        <v>3037</v>
      </c>
      <c r="F3784" s="11" t="s">
        <v>2235</v>
      </c>
      <c r="G3784" s="8">
        <v>0</v>
      </c>
      <c r="H3784" s="8">
        <v>5.69</v>
      </c>
      <c r="I3784" s="8">
        <f t="shared" si="123"/>
        <v>-28011.679999999968</v>
      </c>
      <c r="J3784" s="12"/>
    </row>
    <row r="3785" spans="3:10" x14ac:dyDescent="0.3">
      <c r="C3785" s="9" t="s">
        <v>12</v>
      </c>
      <c r="D3785" s="10">
        <v>45728</v>
      </c>
      <c r="E3785" t="s">
        <v>2994</v>
      </c>
      <c r="F3785" s="11" t="s">
        <v>1704</v>
      </c>
      <c r="G3785" s="8">
        <v>0</v>
      </c>
      <c r="H3785" s="8">
        <v>53.8</v>
      </c>
      <c r="I3785" s="8">
        <f t="shared" si="123"/>
        <v>-28065.479999999967</v>
      </c>
      <c r="J3785" s="12"/>
    </row>
    <row r="3786" spans="3:10" x14ac:dyDescent="0.3">
      <c r="C3786" s="9" t="s">
        <v>12</v>
      </c>
      <c r="D3786" s="10">
        <v>45728</v>
      </c>
      <c r="E3786" t="s">
        <v>2942</v>
      </c>
      <c r="F3786" s="11" t="s">
        <v>3055</v>
      </c>
      <c r="G3786" s="8">
        <v>0</v>
      </c>
      <c r="H3786" s="8">
        <v>30.37</v>
      </c>
      <c r="I3786" s="8">
        <f t="shared" si="123"/>
        <v>-28095.849999999966</v>
      </c>
      <c r="J3786" s="12"/>
    </row>
    <row r="3787" spans="3:10" x14ac:dyDescent="0.3">
      <c r="C3787" s="9" t="s">
        <v>12</v>
      </c>
      <c r="D3787" s="10">
        <v>45728</v>
      </c>
      <c r="E3787" t="s">
        <v>2994</v>
      </c>
      <c r="F3787" s="11" t="s">
        <v>1706</v>
      </c>
      <c r="G3787" s="8">
        <v>0</v>
      </c>
      <c r="H3787" s="8">
        <v>122.43</v>
      </c>
      <c r="I3787" s="8">
        <f t="shared" ref="I3787:I3850" si="124">G3787-H3787+I3786</f>
        <v>-28218.279999999966</v>
      </c>
      <c r="J3787" s="12"/>
    </row>
    <row r="3788" spans="3:10" x14ac:dyDescent="0.3">
      <c r="C3788" s="9" t="s">
        <v>12</v>
      </c>
      <c r="D3788" s="10">
        <v>45729</v>
      </c>
      <c r="E3788" t="s">
        <v>2853</v>
      </c>
      <c r="F3788" s="11" t="s">
        <v>1200</v>
      </c>
      <c r="G3788" s="8">
        <v>0</v>
      </c>
      <c r="H3788" s="8">
        <v>85.38</v>
      </c>
      <c r="I3788" s="8">
        <f t="shared" si="124"/>
        <v>-28303.659999999967</v>
      </c>
      <c r="J3788" s="12"/>
    </row>
    <row r="3789" spans="3:10" x14ac:dyDescent="0.3">
      <c r="C3789" s="9" t="s">
        <v>12</v>
      </c>
      <c r="D3789" s="10">
        <v>45729</v>
      </c>
      <c r="E3789" t="s">
        <v>2796</v>
      </c>
      <c r="F3789" s="11" t="s">
        <v>1243</v>
      </c>
      <c r="G3789" s="8">
        <v>0</v>
      </c>
      <c r="H3789" s="8">
        <v>11.53</v>
      </c>
      <c r="I3789" s="8">
        <f t="shared" si="124"/>
        <v>-28315.189999999966</v>
      </c>
      <c r="J3789" s="12"/>
    </row>
    <row r="3790" spans="3:10" x14ac:dyDescent="0.3">
      <c r="C3790" s="9" t="s">
        <v>12</v>
      </c>
      <c r="D3790" s="10">
        <v>45729</v>
      </c>
      <c r="E3790" t="s">
        <v>2838</v>
      </c>
      <c r="F3790" s="11" t="s">
        <v>3056</v>
      </c>
      <c r="G3790" s="8">
        <v>0</v>
      </c>
      <c r="H3790" s="8">
        <v>25.6</v>
      </c>
      <c r="I3790" s="8">
        <f t="shared" si="124"/>
        <v>-28340.789999999964</v>
      </c>
      <c r="J3790" s="12"/>
    </row>
    <row r="3791" spans="3:10" x14ac:dyDescent="0.3">
      <c r="C3791" s="9" t="s">
        <v>12</v>
      </c>
      <c r="D3791" s="10">
        <v>45729</v>
      </c>
      <c r="E3791" t="s">
        <v>2844</v>
      </c>
      <c r="F3791" s="11" t="s">
        <v>3057</v>
      </c>
      <c r="G3791" s="8">
        <v>0</v>
      </c>
      <c r="H3791" s="8">
        <v>179.82</v>
      </c>
      <c r="I3791" s="8">
        <f t="shared" si="124"/>
        <v>-28520.609999999964</v>
      </c>
      <c r="J3791" s="12"/>
    </row>
    <row r="3792" spans="3:10" x14ac:dyDescent="0.3">
      <c r="C3792" s="9" t="s">
        <v>12</v>
      </c>
      <c r="D3792" s="10">
        <v>45729</v>
      </c>
      <c r="E3792" t="s">
        <v>2844</v>
      </c>
      <c r="F3792" s="11" t="s">
        <v>3058</v>
      </c>
      <c r="G3792" s="8">
        <v>0</v>
      </c>
      <c r="H3792" s="8">
        <v>87.65</v>
      </c>
      <c r="I3792" s="8">
        <f t="shared" si="124"/>
        <v>-28608.259999999966</v>
      </c>
      <c r="J3792" s="12"/>
    </row>
    <row r="3793" spans="3:10" x14ac:dyDescent="0.3">
      <c r="C3793" s="9" t="s">
        <v>12</v>
      </c>
      <c r="D3793" s="10">
        <v>45729</v>
      </c>
      <c r="E3793" t="s">
        <v>3059</v>
      </c>
      <c r="F3793" s="11" t="s">
        <v>3060</v>
      </c>
      <c r="G3793" s="8">
        <v>0</v>
      </c>
      <c r="H3793" s="8">
        <v>73.569999999999993</v>
      </c>
      <c r="I3793" s="8">
        <f t="shared" si="124"/>
        <v>-28681.829999999965</v>
      </c>
      <c r="J3793" s="12"/>
    </row>
    <row r="3794" spans="3:10" x14ac:dyDescent="0.3">
      <c r="C3794" s="9" t="s">
        <v>12</v>
      </c>
      <c r="D3794" s="10">
        <v>45730</v>
      </c>
      <c r="E3794" t="s">
        <v>2789</v>
      </c>
      <c r="F3794" s="11" t="s">
        <v>2356</v>
      </c>
      <c r="G3794" s="8">
        <v>0</v>
      </c>
      <c r="H3794" s="8">
        <v>31.92</v>
      </c>
      <c r="I3794" s="8">
        <f t="shared" si="124"/>
        <v>-28713.749999999964</v>
      </c>
      <c r="J3794" s="12"/>
    </row>
    <row r="3795" spans="3:10" x14ac:dyDescent="0.3">
      <c r="C3795" s="9" t="s">
        <v>12</v>
      </c>
      <c r="D3795" s="10">
        <v>45730</v>
      </c>
      <c r="E3795" t="s">
        <v>2884</v>
      </c>
      <c r="F3795" s="11" t="s">
        <v>3061</v>
      </c>
      <c r="G3795" s="8">
        <v>0</v>
      </c>
      <c r="H3795" s="8">
        <v>65.13</v>
      </c>
      <c r="I3795" s="8">
        <f t="shared" si="124"/>
        <v>-28778.879999999965</v>
      </c>
      <c r="J3795" s="12"/>
    </row>
    <row r="3796" spans="3:10" x14ac:dyDescent="0.3">
      <c r="C3796" s="9" t="s">
        <v>12</v>
      </c>
      <c r="D3796" s="10">
        <v>45730</v>
      </c>
      <c r="E3796" t="s">
        <v>3062</v>
      </c>
      <c r="F3796" s="11" t="s">
        <v>3063</v>
      </c>
      <c r="G3796" s="8">
        <v>0</v>
      </c>
      <c r="H3796" s="8">
        <v>81.8</v>
      </c>
      <c r="I3796" s="8">
        <f t="shared" si="124"/>
        <v>-28860.679999999964</v>
      </c>
      <c r="J3796" s="12"/>
    </row>
    <row r="3797" spans="3:10" x14ac:dyDescent="0.3">
      <c r="C3797" s="9" t="s">
        <v>12</v>
      </c>
      <c r="D3797" s="10">
        <v>45730</v>
      </c>
      <c r="E3797" t="s">
        <v>2935</v>
      </c>
      <c r="F3797" s="11" t="s">
        <v>3064</v>
      </c>
      <c r="G3797" s="8">
        <v>0</v>
      </c>
      <c r="H3797" s="8">
        <v>10.5</v>
      </c>
      <c r="I3797" s="8">
        <f t="shared" si="124"/>
        <v>-28871.179999999964</v>
      </c>
      <c r="J3797" s="12"/>
    </row>
    <row r="3798" spans="3:10" x14ac:dyDescent="0.3">
      <c r="C3798" s="9" t="s">
        <v>12</v>
      </c>
      <c r="D3798" s="10">
        <v>45730</v>
      </c>
      <c r="E3798" t="s">
        <v>3065</v>
      </c>
      <c r="F3798" s="11" t="s">
        <v>3066</v>
      </c>
      <c r="G3798" s="8">
        <v>0</v>
      </c>
      <c r="H3798" s="8">
        <v>28.79</v>
      </c>
      <c r="I3798" s="8">
        <f t="shared" si="124"/>
        <v>-28899.969999999965</v>
      </c>
      <c r="J3798" s="12"/>
    </row>
    <row r="3799" spans="3:10" x14ac:dyDescent="0.3">
      <c r="C3799" s="9" t="s">
        <v>12</v>
      </c>
      <c r="D3799" s="10">
        <v>45730</v>
      </c>
      <c r="E3799" t="s">
        <v>2770</v>
      </c>
      <c r="F3799" s="11" t="s">
        <v>2128</v>
      </c>
      <c r="G3799" s="8">
        <v>0</v>
      </c>
      <c r="H3799" s="8">
        <v>32.380000000000003</v>
      </c>
      <c r="I3799" s="8">
        <f t="shared" si="124"/>
        <v>-28932.349999999966</v>
      </c>
      <c r="J3799" s="12"/>
    </row>
    <row r="3800" spans="3:10" x14ac:dyDescent="0.3">
      <c r="C3800" s="9" t="s">
        <v>12</v>
      </c>
      <c r="D3800" s="10">
        <v>45730</v>
      </c>
      <c r="E3800" t="s">
        <v>2783</v>
      </c>
      <c r="F3800" s="11" t="s">
        <v>1293</v>
      </c>
      <c r="G3800" s="8">
        <v>0</v>
      </c>
      <c r="H3800" s="8">
        <v>69.37</v>
      </c>
      <c r="I3800" s="8">
        <f t="shared" si="124"/>
        <v>-29001.719999999965</v>
      </c>
      <c r="J3800" s="12"/>
    </row>
    <row r="3801" spans="3:10" x14ac:dyDescent="0.3">
      <c r="C3801" s="9" t="s">
        <v>12</v>
      </c>
      <c r="D3801" s="10">
        <v>45730</v>
      </c>
      <c r="E3801" t="s">
        <v>2952</v>
      </c>
      <c r="F3801" s="11" t="s">
        <v>3067</v>
      </c>
      <c r="G3801" s="8">
        <v>0</v>
      </c>
      <c r="H3801" s="8">
        <v>17.850000000000001</v>
      </c>
      <c r="I3801" s="8">
        <f t="shared" si="124"/>
        <v>-29019.569999999963</v>
      </c>
      <c r="J3801" s="12"/>
    </row>
    <row r="3802" spans="3:10" x14ac:dyDescent="0.3">
      <c r="C3802" s="9" t="s">
        <v>12</v>
      </c>
      <c r="D3802" s="10">
        <v>45733</v>
      </c>
      <c r="E3802" t="s">
        <v>2858</v>
      </c>
      <c r="F3802" s="11" t="s">
        <v>3068</v>
      </c>
      <c r="G3802" s="8">
        <v>0</v>
      </c>
      <c r="H3802" s="8">
        <v>-315.63</v>
      </c>
      <c r="I3802" s="8">
        <f t="shared" si="124"/>
        <v>-28703.939999999962</v>
      </c>
      <c r="J3802" s="12"/>
    </row>
    <row r="3803" spans="3:10" x14ac:dyDescent="0.3">
      <c r="C3803" s="9" t="s">
        <v>12</v>
      </c>
      <c r="D3803" s="10">
        <v>45733</v>
      </c>
      <c r="E3803" t="s">
        <v>2858</v>
      </c>
      <c r="F3803" s="11" t="s">
        <v>3069</v>
      </c>
      <c r="G3803" s="8">
        <v>0</v>
      </c>
      <c r="H3803" s="8">
        <v>631.26</v>
      </c>
      <c r="I3803" s="8">
        <f t="shared" si="124"/>
        <v>-29335.199999999961</v>
      </c>
      <c r="J3803" s="12"/>
    </row>
    <row r="3804" spans="3:10" x14ac:dyDescent="0.3">
      <c r="C3804" s="9" t="s">
        <v>12</v>
      </c>
      <c r="D3804" s="10">
        <v>45733</v>
      </c>
      <c r="E3804" t="s">
        <v>3070</v>
      </c>
      <c r="F3804" s="11" t="s">
        <v>1602</v>
      </c>
      <c r="G3804" s="8">
        <v>0</v>
      </c>
      <c r="H3804" s="8">
        <v>630.63</v>
      </c>
      <c r="I3804" s="8">
        <f t="shared" si="124"/>
        <v>-29965.829999999962</v>
      </c>
      <c r="J3804" s="12"/>
    </row>
    <row r="3805" spans="3:10" x14ac:dyDescent="0.3">
      <c r="C3805" s="9" t="s">
        <v>12</v>
      </c>
      <c r="D3805" s="10">
        <v>45733</v>
      </c>
      <c r="E3805" t="s">
        <v>3071</v>
      </c>
      <c r="F3805" s="11" t="s">
        <v>3072</v>
      </c>
      <c r="G3805" s="8">
        <v>0</v>
      </c>
      <c r="H3805" s="8">
        <v>94.57</v>
      </c>
      <c r="I3805" s="8">
        <f t="shared" si="124"/>
        <v>-30060.399999999961</v>
      </c>
      <c r="J3805" s="12"/>
    </row>
    <row r="3806" spans="3:10" x14ac:dyDescent="0.3">
      <c r="C3806" s="9" t="s">
        <v>12</v>
      </c>
      <c r="D3806" s="10">
        <v>45733</v>
      </c>
      <c r="E3806" t="s">
        <v>3003</v>
      </c>
      <c r="F3806" s="11" t="s">
        <v>3073</v>
      </c>
      <c r="G3806" s="8">
        <v>0</v>
      </c>
      <c r="H3806" s="8">
        <v>62.9</v>
      </c>
      <c r="I3806" s="8">
        <f t="shared" si="124"/>
        <v>-30123.299999999963</v>
      </c>
      <c r="J3806" s="12"/>
    </row>
    <row r="3807" spans="3:10" x14ac:dyDescent="0.3">
      <c r="C3807" s="9" t="s">
        <v>12</v>
      </c>
      <c r="D3807" s="10">
        <v>45733</v>
      </c>
      <c r="E3807" t="s">
        <v>2750</v>
      </c>
      <c r="F3807" s="11" t="s">
        <v>3074</v>
      </c>
      <c r="G3807" s="8">
        <v>0</v>
      </c>
      <c r="H3807" s="8">
        <v>25.24</v>
      </c>
      <c r="I3807" s="8">
        <f t="shared" si="124"/>
        <v>-30148.539999999964</v>
      </c>
      <c r="J3807" s="12"/>
    </row>
    <row r="3808" spans="3:10" x14ac:dyDescent="0.3">
      <c r="C3808" s="9" t="s">
        <v>12</v>
      </c>
      <c r="D3808" s="10">
        <v>45733</v>
      </c>
      <c r="E3808" t="s">
        <v>2858</v>
      </c>
      <c r="F3808" s="11" t="s">
        <v>402</v>
      </c>
      <c r="G3808" s="8">
        <v>0</v>
      </c>
      <c r="H3808" s="8">
        <v>-315.63</v>
      </c>
      <c r="I3808" s="8">
        <f t="shared" si="124"/>
        <v>-29832.909999999963</v>
      </c>
      <c r="J3808" s="12"/>
    </row>
    <row r="3809" spans="3:10" x14ac:dyDescent="0.3">
      <c r="C3809" s="9" t="s">
        <v>12</v>
      </c>
      <c r="D3809" s="10">
        <v>45733</v>
      </c>
      <c r="E3809" t="s">
        <v>2858</v>
      </c>
      <c r="F3809" s="11" t="s">
        <v>382</v>
      </c>
      <c r="G3809" s="8">
        <v>0</v>
      </c>
      <c r="H3809" s="8">
        <v>-315.63</v>
      </c>
      <c r="I3809" s="8">
        <f t="shared" si="124"/>
        <v>-29517.279999999962</v>
      </c>
      <c r="J3809" s="12"/>
    </row>
    <row r="3810" spans="3:10" x14ac:dyDescent="0.3">
      <c r="C3810" s="9" t="s">
        <v>12</v>
      </c>
      <c r="D3810" s="10">
        <v>45734</v>
      </c>
      <c r="E3810" t="s">
        <v>3075</v>
      </c>
      <c r="F3810" s="11" t="s">
        <v>3076</v>
      </c>
      <c r="G3810" s="8">
        <v>0</v>
      </c>
      <c r="H3810" s="8">
        <v>23.1</v>
      </c>
      <c r="I3810" s="8">
        <f t="shared" si="124"/>
        <v>-29540.379999999961</v>
      </c>
      <c r="J3810" s="12"/>
    </row>
    <row r="3811" spans="3:10" x14ac:dyDescent="0.3">
      <c r="C3811" s="9" t="s">
        <v>12</v>
      </c>
      <c r="D3811" s="10">
        <v>45734</v>
      </c>
      <c r="E3811" t="s">
        <v>3077</v>
      </c>
      <c r="F3811" s="11" t="s">
        <v>3078</v>
      </c>
      <c r="G3811" s="8">
        <v>0</v>
      </c>
      <c r="H3811" s="8">
        <v>154.94</v>
      </c>
      <c r="I3811" s="8">
        <f t="shared" si="124"/>
        <v>-29695.31999999996</v>
      </c>
      <c r="J3811" s="12"/>
    </row>
    <row r="3812" spans="3:10" x14ac:dyDescent="0.3">
      <c r="C3812" s="9" t="s">
        <v>12</v>
      </c>
      <c r="D3812" s="10">
        <v>45734</v>
      </c>
      <c r="E3812" t="s">
        <v>2975</v>
      </c>
      <c r="F3812" s="11" t="s">
        <v>2071</v>
      </c>
      <c r="G3812" s="8">
        <v>0</v>
      </c>
      <c r="H3812" s="8">
        <v>33.700000000000003</v>
      </c>
      <c r="I3812" s="8">
        <f t="shared" si="124"/>
        <v>-29729.01999999996</v>
      </c>
      <c r="J3812" s="12"/>
    </row>
    <row r="3813" spans="3:10" x14ac:dyDescent="0.3">
      <c r="C3813" s="9" t="s">
        <v>12</v>
      </c>
      <c r="D3813" s="10">
        <v>45734</v>
      </c>
      <c r="E3813" t="s">
        <v>2770</v>
      </c>
      <c r="F3813" s="11" t="s">
        <v>2130</v>
      </c>
      <c r="G3813" s="8">
        <v>0</v>
      </c>
      <c r="H3813" s="8">
        <v>1239.69</v>
      </c>
      <c r="I3813" s="8">
        <f t="shared" si="124"/>
        <v>-30968.709999999959</v>
      </c>
      <c r="J3813" s="12"/>
    </row>
    <row r="3814" spans="3:10" x14ac:dyDescent="0.3">
      <c r="C3814" s="9" t="s">
        <v>12</v>
      </c>
      <c r="D3814" s="10">
        <v>45734</v>
      </c>
      <c r="E3814" t="s">
        <v>2780</v>
      </c>
      <c r="F3814" s="11" t="s">
        <v>1618</v>
      </c>
      <c r="G3814" s="8">
        <v>0</v>
      </c>
      <c r="H3814" s="8">
        <v>115.37</v>
      </c>
      <c r="I3814" s="8">
        <f t="shared" si="124"/>
        <v>-31084.079999999958</v>
      </c>
      <c r="J3814" s="12"/>
    </row>
    <row r="3815" spans="3:10" x14ac:dyDescent="0.3">
      <c r="C3815" s="9" t="s">
        <v>12</v>
      </c>
      <c r="D3815" s="10">
        <v>45734</v>
      </c>
      <c r="E3815" t="s">
        <v>2780</v>
      </c>
      <c r="F3815" s="11" t="s">
        <v>1620</v>
      </c>
      <c r="G3815" s="8">
        <v>0</v>
      </c>
      <c r="H3815" s="8">
        <v>56.16</v>
      </c>
      <c r="I3815" s="8">
        <f t="shared" si="124"/>
        <v>-31140.239999999958</v>
      </c>
      <c r="J3815" s="12"/>
    </row>
    <row r="3816" spans="3:10" x14ac:dyDescent="0.3">
      <c r="C3816" s="9" t="s">
        <v>12</v>
      </c>
      <c r="D3816" s="10">
        <v>45734</v>
      </c>
      <c r="E3816" t="s">
        <v>2780</v>
      </c>
      <c r="F3816" s="11" t="s">
        <v>384</v>
      </c>
      <c r="G3816" s="8">
        <v>0</v>
      </c>
      <c r="H3816" s="8">
        <v>-115.37</v>
      </c>
      <c r="I3816" s="8">
        <f t="shared" si="124"/>
        <v>-31024.869999999959</v>
      </c>
      <c r="J3816" s="12"/>
    </row>
    <row r="3817" spans="3:10" x14ac:dyDescent="0.3">
      <c r="C3817" s="9" t="s">
        <v>12</v>
      </c>
      <c r="D3817" s="10">
        <v>45734</v>
      </c>
      <c r="E3817" t="s">
        <v>2780</v>
      </c>
      <c r="F3817" s="11" t="s">
        <v>386</v>
      </c>
      <c r="G3817" s="8">
        <v>0</v>
      </c>
      <c r="H3817" s="8">
        <v>-56.16</v>
      </c>
      <c r="I3817" s="8">
        <f t="shared" si="124"/>
        <v>-30968.709999999959</v>
      </c>
      <c r="J3817" s="12"/>
    </row>
    <row r="3818" spans="3:10" x14ac:dyDescent="0.3">
      <c r="C3818" s="9" t="s">
        <v>12</v>
      </c>
      <c r="D3818" s="10">
        <v>45734</v>
      </c>
      <c r="E3818" t="s">
        <v>2770</v>
      </c>
      <c r="F3818" s="11" t="s">
        <v>388</v>
      </c>
      <c r="G3818" s="8">
        <v>0</v>
      </c>
      <c r="H3818" s="8">
        <v>-619.85</v>
      </c>
      <c r="I3818" s="8">
        <f t="shared" si="124"/>
        <v>-30348.859999999961</v>
      </c>
      <c r="J3818" s="12"/>
    </row>
    <row r="3819" spans="3:10" x14ac:dyDescent="0.3">
      <c r="C3819" s="9" t="s">
        <v>12</v>
      </c>
      <c r="D3819" s="10">
        <v>45735</v>
      </c>
      <c r="E3819" t="s">
        <v>3079</v>
      </c>
      <c r="F3819" s="11" t="s">
        <v>3080</v>
      </c>
      <c r="G3819" s="8">
        <v>0</v>
      </c>
      <c r="H3819" s="8">
        <v>1012.21</v>
      </c>
      <c r="I3819" s="8">
        <f t="shared" si="124"/>
        <v>-31361.06999999996</v>
      </c>
      <c r="J3819" s="12"/>
    </row>
    <row r="3820" spans="3:10" x14ac:dyDescent="0.3">
      <c r="C3820" s="9" t="s">
        <v>12</v>
      </c>
      <c r="D3820" s="10">
        <v>45735</v>
      </c>
      <c r="E3820" t="s">
        <v>2996</v>
      </c>
      <c r="F3820" s="11" t="s">
        <v>3081</v>
      </c>
      <c r="G3820" s="8">
        <v>0</v>
      </c>
      <c r="H3820" s="8">
        <v>573.29999999999995</v>
      </c>
      <c r="I3820" s="8">
        <f t="shared" si="124"/>
        <v>-31934.369999999959</v>
      </c>
      <c r="J3820" s="12"/>
    </row>
    <row r="3821" spans="3:10" x14ac:dyDescent="0.3">
      <c r="C3821" s="9" t="s">
        <v>12</v>
      </c>
      <c r="D3821" s="10">
        <v>45736</v>
      </c>
      <c r="E3821" t="s">
        <v>2771</v>
      </c>
      <c r="F3821" s="11" t="s">
        <v>1435</v>
      </c>
      <c r="G3821" s="8">
        <v>0</v>
      </c>
      <c r="H3821" s="8">
        <v>166.74</v>
      </c>
      <c r="I3821" s="8">
        <f t="shared" si="124"/>
        <v>-32101.109999999961</v>
      </c>
      <c r="J3821" s="12"/>
    </row>
    <row r="3822" spans="3:10" x14ac:dyDescent="0.3">
      <c r="C3822" s="9" t="s">
        <v>12</v>
      </c>
      <c r="D3822" s="10">
        <v>45736</v>
      </c>
      <c r="E3822" t="s">
        <v>3082</v>
      </c>
      <c r="F3822" s="11" t="s">
        <v>3083</v>
      </c>
      <c r="G3822" s="8">
        <v>0</v>
      </c>
      <c r="H3822" s="8">
        <v>316.44</v>
      </c>
      <c r="I3822" s="8">
        <f t="shared" si="124"/>
        <v>-32417.549999999959</v>
      </c>
      <c r="J3822" s="12"/>
    </row>
    <row r="3823" spans="3:10" x14ac:dyDescent="0.3">
      <c r="C3823" s="9" t="s">
        <v>12</v>
      </c>
      <c r="D3823" s="10">
        <v>45736</v>
      </c>
      <c r="E3823" t="s">
        <v>3084</v>
      </c>
      <c r="F3823" s="11" t="s">
        <v>3085</v>
      </c>
      <c r="G3823" s="8">
        <v>0</v>
      </c>
      <c r="H3823" s="8">
        <v>23.1</v>
      </c>
      <c r="I3823" s="8">
        <f t="shared" si="124"/>
        <v>-32440.649999999958</v>
      </c>
      <c r="J3823" s="12"/>
    </row>
    <row r="3824" spans="3:10" x14ac:dyDescent="0.3">
      <c r="C3824" s="9" t="s">
        <v>12</v>
      </c>
      <c r="D3824" s="10">
        <v>45736</v>
      </c>
      <c r="E3824" t="s">
        <v>3086</v>
      </c>
      <c r="F3824" s="11" t="s">
        <v>1345</v>
      </c>
      <c r="G3824" s="8">
        <v>0</v>
      </c>
      <c r="H3824" s="8">
        <v>5.9</v>
      </c>
      <c r="I3824" s="8">
        <f t="shared" si="124"/>
        <v>-32446.549999999959</v>
      </c>
      <c r="J3824" s="12"/>
    </row>
    <row r="3825" spans="3:10" x14ac:dyDescent="0.3">
      <c r="C3825" s="9" t="s">
        <v>12</v>
      </c>
      <c r="D3825" s="10">
        <v>45736</v>
      </c>
      <c r="E3825" t="s">
        <v>2907</v>
      </c>
      <c r="F3825" s="11" t="s">
        <v>1928</v>
      </c>
      <c r="G3825" s="8">
        <v>0</v>
      </c>
      <c r="H3825" s="8">
        <v>29.4</v>
      </c>
      <c r="I3825" s="8">
        <f t="shared" si="124"/>
        <v>-32475.949999999961</v>
      </c>
      <c r="J3825" s="12"/>
    </row>
    <row r="3826" spans="3:10" x14ac:dyDescent="0.3">
      <c r="C3826" s="9" t="s">
        <v>12</v>
      </c>
      <c r="D3826" s="10">
        <v>45736</v>
      </c>
      <c r="E3826" t="s">
        <v>2919</v>
      </c>
      <c r="F3826" s="11" t="s">
        <v>3087</v>
      </c>
      <c r="G3826" s="8">
        <v>0</v>
      </c>
      <c r="H3826" s="8">
        <v>107.57</v>
      </c>
      <c r="I3826" s="8">
        <f t="shared" si="124"/>
        <v>-32583.51999999996</v>
      </c>
      <c r="J3826" s="12"/>
    </row>
    <row r="3827" spans="3:10" x14ac:dyDescent="0.3">
      <c r="C3827" s="9" t="s">
        <v>12</v>
      </c>
      <c r="D3827" s="10">
        <v>45736</v>
      </c>
      <c r="E3827" t="s">
        <v>2847</v>
      </c>
      <c r="F3827" s="11" t="s">
        <v>1116</v>
      </c>
      <c r="G3827" s="8">
        <v>0</v>
      </c>
      <c r="H3827" s="8">
        <v>35.57</v>
      </c>
      <c r="I3827" s="8">
        <f t="shared" si="124"/>
        <v>-32619.08999999996</v>
      </c>
      <c r="J3827" s="12"/>
    </row>
    <row r="3828" spans="3:10" x14ac:dyDescent="0.3">
      <c r="C3828" s="9" t="s">
        <v>12</v>
      </c>
      <c r="D3828" s="10">
        <v>45736</v>
      </c>
      <c r="E3828" t="s">
        <v>2738</v>
      </c>
      <c r="F3828" s="11" t="s">
        <v>3088</v>
      </c>
      <c r="G3828" s="8">
        <v>0</v>
      </c>
      <c r="H3828" s="8">
        <v>23.51</v>
      </c>
      <c r="I3828" s="8">
        <f t="shared" si="124"/>
        <v>-32642.599999999959</v>
      </c>
      <c r="J3828" s="12"/>
    </row>
    <row r="3829" spans="3:10" x14ac:dyDescent="0.3">
      <c r="C3829" s="9" t="s">
        <v>12</v>
      </c>
      <c r="D3829" s="10">
        <v>45736</v>
      </c>
      <c r="E3829" t="s">
        <v>2844</v>
      </c>
      <c r="F3829" s="11" t="s">
        <v>3089</v>
      </c>
      <c r="G3829" s="8">
        <v>0</v>
      </c>
      <c r="H3829" s="8">
        <v>327.51</v>
      </c>
      <c r="I3829" s="8">
        <f t="shared" si="124"/>
        <v>-32970.109999999957</v>
      </c>
      <c r="J3829" s="12"/>
    </row>
    <row r="3830" spans="3:10" x14ac:dyDescent="0.3">
      <c r="C3830" s="9" t="s">
        <v>12</v>
      </c>
      <c r="D3830" s="10">
        <v>45737</v>
      </c>
      <c r="E3830" t="s">
        <v>2849</v>
      </c>
      <c r="F3830" s="11" t="s">
        <v>3090</v>
      </c>
      <c r="G3830" s="8">
        <v>0</v>
      </c>
      <c r="H3830" s="8">
        <v>40.770000000000003</v>
      </c>
      <c r="I3830" s="8">
        <f t="shared" si="124"/>
        <v>-33010.879999999954</v>
      </c>
      <c r="J3830" s="12"/>
    </row>
    <row r="3831" spans="3:10" x14ac:dyDescent="0.3">
      <c r="C3831" s="9" t="s">
        <v>12</v>
      </c>
      <c r="D3831" s="10">
        <v>45737</v>
      </c>
      <c r="E3831" t="s">
        <v>2815</v>
      </c>
      <c r="F3831" s="11" t="s">
        <v>1041</v>
      </c>
      <c r="G3831" s="8">
        <v>0</v>
      </c>
      <c r="H3831" s="8">
        <v>556.02</v>
      </c>
      <c r="I3831" s="8">
        <f t="shared" si="124"/>
        <v>-33566.899999999951</v>
      </c>
      <c r="J3831" s="12"/>
    </row>
    <row r="3832" spans="3:10" x14ac:dyDescent="0.3">
      <c r="C3832" s="9" t="s">
        <v>12</v>
      </c>
      <c r="D3832" s="10">
        <v>45737</v>
      </c>
      <c r="E3832" t="s">
        <v>3091</v>
      </c>
      <c r="F3832" s="11" t="s">
        <v>2161</v>
      </c>
      <c r="G3832" s="8">
        <v>0</v>
      </c>
      <c r="H3832" s="8">
        <v>46.71</v>
      </c>
      <c r="I3832" s="8">
        <f t="shared" si="124"/>
        <v>-33613.60999999995</v>
      </c>
      <c r="J3832" s="12"/>
    </row>
    <row r="3833" spans="3:10" x14ac:dyDescent="0.3">
      <c r="C3833" s="9" t="s">
        <v>12</v>
      </c>
      <c r="D3833" s="10">
        <v>45737</v>
      </c>
      <c r="E3833" t="s">
        <v>2929</v>
      </c>
      <c r="F3833" s="11" t="s">
        <v>2342</v>
      </c>
      <c r="G3833" s="8">
        <v>0</v>
      </c>
      <c r="H3833" s="8">
        <v>74.33</v>
      </c>
      <c r="I3833" s="8">
        <f t="shared" si="124"/>
        <v>-33687.939999999951</v>
      </c>
      <c r="J3833" s="12"/>
    </row>
    <row r="3834" spans="3:10" x14ac:dyDescent="0.3">
      <c r="C3834" s="9" t="s">
        <v>12</v>
      </c>
      <c r="D3834" s="10">
        <v>45737</v>
      </c>
      <c r="E3834" t="s">
        <v>3092</v>
      </c>
      <c r="F3834" s="11" t="s">
        <v>1634</v>
      </c>
      <c r="G3834" s="8">
        <v>0</v>
      </c>
      <c r="H3834" s="8">
        <v>125.72</v>
      </c>
      <c r="I3834" s="8">
        <f t="shared" si="124"/>
        <v>-33813.659999999953</v>
      </c>
      <c r="J3834" s="12"/>
    </row>
    <row r="3835" spans="3:10" x14ac:dyDescent="0.3">
      <c r="C3835" s="9" t="s">
        <v>12</v>
      </c>
      <c r="D3835" s="10">
        <v>45737</v>
      </c>
      <c r="E3835" t="s">
        <v>2822</v>
      </c>
      <c r="F3835" s="11" t="s">
        <v>1553</v>
      </c>
      <c r="G3835" s="8">
        <v>0</v>
      </c>
      <c r="H3835" s="8">
        <v>1641.42</v>
      </c>
      <c r="I3835" s="8">
        <f t="shared" si="124"/>
        <v>-35455.079999999951</v>
      </c>
      <c r="J3835" s="12"/>
    </row>
    <row r="3836" spans="3:10" x14ac:dyDescent="0.3">
      <c r="C3836" s="9" t="s">
        <v>12</v>
      </c>
      <c r="D3836" s="10">
        <v>45740</v>
      </c>
      <c r="E3836" t="s">
        <v>2789</v>
      </c>
      <c r="F3836" s="11" t="s">
        <v>2358</v>
      </c>
      <c r="G3836" s="8">
        <v>0</v>
      </c>
      <c r="H3836" s="8">
        <v>34.049999999999997</v>
      </c>
      <c r="I3836" s="8">
        <f t="shared" si="124"/>
        <v>-35489.129999999954</v>
      </c>
      <c r="J3836" s="12"/>
    </row>
    <row r="3837" spans="3:10" x14ac:dyDescent="0.3">
      <c r="C3837" s="9" t="s">
        <v>12</v>
      </c>
      <c r="D3837" s="10">
        <v>45740</v>
      </c>
      <c r="E3837" t="s">
        <v>2789</v>
      </c>
      <c r="F3837" s="11" t="s">
        <v>2360</v>
      </c>
      <c r="G3837" s="8">
        <v>0</v>
      </c>
      <c r="H3837" s="8">
        <v>2.87</v>
      </c>
      <c r="I3837" s="8">
        <f t="shared" si="124"/>
        <v>-35491.999999999956</v>
      </c>
      <c r="J3837" s="12"/>
    </row>
    <row r="3838" spans="3:10" x14ac:dyDescent="0.3">
      <c r="C3838" s="9" t="s">
        <v>12</v>
      </c>
      <c r="D3838" s="10">
        <v>45740</v>
      </c>
      <c r="E3838" t="s">
        <v>2844</v>
      </c>
      <c r="F3838" s="11" t="s">
        <v>3093</v>
      </c>
      <c r="G3838" s="8">
        <v>0</v>
      </c>
      <c r="H3838" s="8">
        <v>29.7</v>
      </c>
      <c r="I3838" s="8">
        <f t="shared" si="124"/>
        <v>-35521.699999999953</v>
      </c>
      <c r="J3838" s="12"/>
    </row>
    <row r="3839" spans="3:10" x14ac:dyDescent="0.3">
      <c r="C3839" s="9" t="s">
        <v>12</v>
      </c>
      <c r="D3839" s="10">
        <v>45740</v>
      </c>
      <c r="E3839" t="s">
        <v>3094</v>
      </c>
      <c r="F3839" s="11" t="s">
        <v>3095</v>
      </c>
      <c r="G3839" s="8">
        <v>0</v>
      </c>
      <c r="H3839" s="8">
        <v>33.6</v>
      </c>
      <c r="I3839" s="8">
        <f t="shared" si="124"/>
        <v>-35555.299999999952</v>
      </c>
      <c r="J3839" s="12"/>
    </row>
    <row r="3840" spans="3:10" x14ac:dyDescent="0.3">
      <c r="C3840" s="9" t="s">
        <v>12</v>
      </c>
      <c r="D3840" s="10">
        <v>45740</v>
      </c>
      <c r="E3840" t="s">
        <v>2986</v>
      </c>
      <c r="F3840" s="11" t="s">
        <v>3096</v>
      </c>
      <c r="G3840" s="8">
        <v>0</v>
      </c>
      <c r="H3840" s="8">
        <v>53.93</v>
      </c>
      <c r="I3840" s="8">
        <f t="shared" si="124"/>
        <v>-35609.229999999952</v>
      </c>
      <c r="J3840" s="12"/>
    </row>
    <row r="3841" spans="3:10" x14ac:dyDescent="0.3">
      <c r="C3841" s="9" t="s">
        <v>12</v>
      </c>
      <c r="D3841" s="10">
        <v>45740</v>
      </c>
      <c r="E3841" t="s">
        <v>3097</v>
      </c>
      <c r="F3841" s="11" t="s">
        <v>3098</v>
      </c>
      <c r="G3841" s="8">
        <v>0</v>
      </c>
      <c r="H3841" s="8">
        <v>259.07</v>
      </c>
      <c r="I3841" s="8">
        <f t="shared" si="124"/>
        <v>-35868.299999999952</v>
      </c>
      <c r="J3841" s="12"/>
    </row>
    <row r="3842" spans="3:10" x14ac:dyDescent="0.3">
      <c r="C3842" s="9" t="s">
        <v>12</v>
      </c>
      <c r="D3842" s="10">
        <v>45740</v>
      </c>
      <c r="E3842" t="s">
        <v>3099</v>
      </c>
      <c r="F3842" s="11" t="s">
        <v>3100</v>
      </c>
      <c r="G3842" s="8">
        <v>0</v>
      </c>
      <c r="H3842" s="8">
        <v>47.01</v>
      </c>
      <c r="I3842" s="8">
        <f t="shared" si="124"/>
        <v>-35915.309999999954</v>
      </c>
      <c r="J3842" s="12"/>
    </row>
    <row r="3843" spans="3:10" x14ac:dyDescent="0.3">
      <c r="C3843" s="9" t="s">
        <v>12</v>
      </c>
      <c r="D3843" s="10">
        <v>45740</v>
      </c>
      <c r="E3843" t="s">
        <v>2996</v>
      </c>
      <c r="F3843" s="11" t="s">
        <v>3101</v>
      </c>
      <c r="G3843" s="8">
        <v>0</v>
      </c>
      <c r="H3843" s="8">
        <v>119.14</v>
      </c>
      <c r="I3843" s="8">
        <f t="shared" si="124"/>
        <v>-36034.449999999953</v>
      </c>
      <c r="J3843" s="12"/>
    </row>
    <row r="3844" spans="3:10" x14ac:dyDescent="0.3">
      <c r="C3844" s="9" t="s">
        <v>12</v>
      </c>
      <c r="D3844" s="10">
        <v>45740</v>
      </c>
      <c r="E3844" t="s">
        <v>2860</v>
      </c>
      <c r="F3844" s="11" t="s">
        <v>390</v>
      </c>
      <c r="G3844" s="8">
        <v>0</v>
      </c>
      <c r="H3844" s="8">
        <v>-1046.43</v>
      </c>
      <c r="I3844" s="8">
        <f t="shared" si="124"/>
        <v>-34988.019999999953</v>
      </c>
      <c r="J3844" s="12"/>
    </row>
    <row r="3845" spans="3:10" x14ac:dyDescent="0.3">
      <c r="C3845" s="9" t="s">
        <v>12</v>
      </c>
      <c r="D3845" s="10">
        <v>45741</v>
      </c>
      <c r="E3845" t="s">
        <v>2853</v>
      </c>
      <c r="F3845" s="11" t="s">
        <v>1202</v>
      </c>
      <c r="G3845" s="8">
        <v>0</v>
      </c>
      <c r="H3845" s="8">
        <v>60.93</v>
      </c>
      <c r="I3845" s="8">
        <f t="shared" si="124"/>
        <v>-35048.949999999953</v>
      </c>
      <c r="J3845" s="12"/>
    </row>
    <row r="3846" spans="3:10" x14ac:dyDescent="0.3">
      <c r="C3846" s="9" t="s">
        <v>12</v>
      </c>
      <c r="D3846" s="10">
        <v>45741</v>
      </c>
      <c r="E3846" t="s">
        <v>2783</v>
      </c>
      <c r="F3846" s="11" t="s">
        <v>1295</v>
      </c>
      <c r="G3846" s="8">
        <v>0</v>
      </c>
      <c r="H3846" s="8">
        <v>11.83</v>
      </c>
      <c r="I3846" s="8">
        <f t="shared" si="124"/>
        <v>-35060.779999999955</v>
      </c>
      <c r="J3846" s="12"/>
    </row>
    <row r="3847" spans="3:10" x14ac:dyDescent="0.3">
      <c r="C3847" s="9" t="s">
        <v>12</v>
      </c>
      <c r="D3847" s="10">
        <v>45741</v>
      </c>
      <c r="E3847" t="s">
        <v>3023</v>
      </c>
      <c r="F3847" s="11" t="s">
        <v>3102</v>
      </c>
      <c r="G3847" s="8">
        <v>0</v>
      </c>
      <c r="H3847" s="8">
        <v>57.46</v>
      </c>
      <c r="I3847" s="8">
        <f t="shared" si="124"/>
        <v>-35118.239999999954</v>
      </c>
      <c r="J3847" s="12"/>
    </row>
    <row r="3848" spans="3:10" x14ac:dyDescent="0.3">
      <c r="C3848" s="9" t="s">
        <v>12</v>
      </c>
      <c r="D3848" s="10">
        <v>45741</v>
      </c>
      <c r="E3848" t="s">
        <v>2820</v>
      </c>
      <c r="F3848" s="11" t="s">
        <v>3103</v>
      </c>
      <c r="G3848" s="8">
        <v>0</v>
      </c>
      <c r="H3848" s="8">
        <v>143.24</v>
      </c>
      <c r="I3848" s="8">
        <f t="shared" si="124"/>
        <v>-35261.479999999952</v>
      </c>
      <c r="J3848" s="12"/>
    </row>
    <row r="3849" spans="3:10" x14ac:dyDescent="0.3">
      <c r="C3849" s="9" t="s">
        <v>12</v>
      </c>
      <c r="D3849" s="10">
        <v>45741</v>
      </c>
      <c r="E3849" t="s">
        <v>2730</v>
      </c>
      <c r="F3849" s="11" t="s">
        <v>3104</v>
      </c>
      <c r="G3849" s="8">
        <v>0</v>
      </c>
      <c r="H3849" s="8">
        <v>122.88</v>
      </c>
      <c r="I3849" s="8">
        <f t="shared" si="124"/>
        <v>-35384.35999999995</v>
      </c>
      <c r="J3849" s="12"/>
    </row>
    <row r="3850" spans="3:10" x14ac:dyDescent="0.3">
      <c r="C3850" s="9" t="s">
        <v>12</v>
      </c>
      <c r="D3850" s="10">
        <v>45741</v>
      </c>
      <c r="E3850" t="s">
        <v>2815</v>
      </c>
      <c r="F3850" s="11" t="s">
        <v>1043</v>
      </c>
      <c r="G3850" s="8">
        <v>0</v>
      </c>
      <c r="H3850" s="8">
        <v>-556.02</v>
      </c>
      <c r="I3850" s="8">
        <f t="shared" si="124"/>
        <v>-34828.339999999953</v>
      </c>
      <c r="J3850" s="12"/>
    </row>
    <row r="3851" spans="3:10" x14ac:dyDescent="0.3">
      <c r="C3851" s="9" t="s">
        <v>12</v>
      </c>
      <c r="D3851" s="10">
        <v>45741</v>
      </c>
      <c r="E3851" t="s">
        <v>2815</v>
      </c>
      <c r="F3851" s="11" t="s">
        <v>1045</v>
      </c>
      <c r="G3851" s="8">
        <v>0</v>
      </c>
      <c r="H3851" s="8">
        <v>459.52</v>
      </c>
      <c r="I3851" s="8">
        <f t="shared" ref="I3851:I3914" si="125">G3851-H3851+I3850</f>
        <v>-35287.85999999995</v>
      </c>
      <c r="J3851" s="12"/>
    </row>
    <row r="3852" spans="3:10" x14ac:dyDescent="0.3">
      <c r="C3852" s="9" t="s">
        <v>12</v>
      </c>
      <c r="D3852" s="10">
        <v>45741</v>
      </c>
      <c r="E3852" t="s">
        <v>2887</v>
      </c>
      <c r="F3852" s="11" t="s">
        <v>1215</v>
      </c>
      <c r="G3852" s="8">
        <v>0</v>
      </c>
      <c r="H3852" s="8">
        <v>23.82</v>
      </c>
      <c r="I3852" s="8">
        <f t="shared" si="125"/>
        <v>-35311.679999999949</v>
      </c>
      <c r="J3852" s="12"/>
    </row>
    <row r="3853" spans="3:10" x14ac:dyDescent="0.3">
      <c r="C3853" s="9" t="s">
        <v>12</v>
      </c>
      <c r="D3853" s="10">
        <v>45741</v>
      </c>
      <c r="E3853" t="s">
        <v>2796</v>
      </c>
      <c r="F3853" s="11" t="s">
        <v>1245</v>
      </c>
      <c r="G3853" s="8">
        <v>0</v>
      </c>
      <c r="H3853" s="8">
        <v>187.64</v>
      </c>
      <c r="I3853" s="8">
        <f t="shared" si="125"/>
        <v>-35499.319999999949</v>
      </c>
      <c r="J3853" s="12"/>
    </row>
    <row r="3854" spans="3:10" x14ac:dyDescent="0.3">
      <c r="C3854" s="9" t="s">
        <v>12</v>
      </c>
      <c r="D3854" s="10">
        <v>45741</v>
      </c>
      <c r="E3854" t="s">
        <v>3020</v>
      </c>
      <c r="F3854" s="11" t="s">
        <v>3105</v>
      </c>
      <c r="G3854" s="8">
        <v>0</v>
      </c>
      <c r="H3854" s="8">
        <v>26.35</v>
      </c>
      <c r="I3854" s="8">
        <f t="shared" si="125"/>
        <v>-35525.669999999947</v>
      </c>
      <c r="J3854" s="12"/>
    </row>
    <row r="3855" spans="3:10" x14ac:dyDescent="0.3">
      <c r="C3855" s="9" t="s">
        <v>12</v>
      </c>
      <c r="D3855" s="10">
        <v>45741</v>
      </c>
      <c r="E3855" t="s">
        <v>3106</v>
      </c>
      <c r="F3855" s="11" t="s">
        <v>3107</v>
      </c>
      <c r="G3855" s="8">
        <v>0</v>
      </c>
      <c r="H3855" s="8">
        <v>132.30000000000001</v>
      </c>
      <c r="I3855" s="8">
        <f t="shared" si="125"/>
        <v>-35657.96999999995</v>
      </c>
      <c r="J3855" s="12"/>
    </row>
    <row r="3856" spans="3:10" x14ac:dyDescent="0.3">
      <c r="C3856" s="9" t="s">
        <v>12</v>
      </c>
      <c r="D3856" s="10">
        <v>45743</v>
      </c>
      <c r="E3856" t="s">
        <v>3108</v>
      </c>
      <c r="F3856" s="11" t="s">
        <v>2530</v>
      </c>
      <c r="G3856" s="8">
        <v>0</v>
      </c>
      <c r="H3856" s="8">
        <v>11.81</v>
      </c>
      <c r="I3856" s="8">
        <f t="shared" si="125"/>
        <v>-35669.779999999948</v>
      </c>
      <c r="J3856" s="12"/>
    </row>
    <row r="3857" spans="3:10" x14ac:dyDescent="0.3">
      <c r="C3857" s="9" t="s">
        <v>12</v>
      </c>
      <c r="D3857" s="10">
        <v>45743</v>
      </c>
      <c r="E3857" t="s">
        <v>2900</v>
      </c>
      <c r="F3857" s="11" t="s">
        <v>3109</v>
      </c>
      <c r="G3857" s="8">
        <v>0</v>
      </c>
      <c r="H3857" s="8">
        <v>48.67</v>
      </c>
      <c r="I3857" s="8">
        <f t="shared" si="125"/>
        <v>-35718.449999999946</v>
      </c>
      <c r="J3857" s="12"/>
    </row>
    <row r="3858" spans="3:10" x14ac:dyDescent="0.3">
      <c r="C3858" s="9" t="s">
        <v>12</v>
      </c>
      <c r="D3858" s="10">
        <v>45743</v>
      </c>
      <c r="E3858" t="s">
        <v>2895</v>
      </c>
      <c r="F3858" s="11" t="s">
        <v>3110</v>
      </c>
      <c r="G3858" s="8">
        <v>0</v>
      </c>
      <c r="H3858" s="8">
        <v>66.66</v>
      </c>
      <c r="I3858" s="8">
        <f t="shared" si="125"/>
        <v>-35785.10999999995</v>
      </c>
      <c r="J3858" s="12"/>
    </row>
    <row r="3859" spans="3:10" x14ac:dyDescent="0.3">
      <c r="C3859" s="9" t="s">
        <v>12</v>
      </c>
      <c r="D3859" s="10">
        <v>45743</v>
      </c>
      <c r="E3859" t="s">
        <v>2803</v>
      </c>
      <c r="F3859" s="11" t="s">
        <v>1405</v>
      </c>
      <c r="G3859" s="8">
        <v>0</v>
      </c>
      <c r="H3859" s="8">
        <v>374.97</v>
      </c>
      <c r="I3859" s="8">
        <f t="shared" si="125"/>
        <v>-36160.079999999951</v>
      </c>
      <c r="J3859" s="12"/>
    </row>
    <row r="3860" spans="3:10" x14ac:dyDescent="0.3">
      <c r="C3860" s="9" t="s">
        <v>12</v>
      </c>
      <c r="D3860" s="10">
        <v>45743</v>
      </c>
      <c r="E3860" t="s">
        <v>3111</v>
      </c>
      <c r="F3860" s="11" t="s">
        <v>3112</v>
      </c>
      <c r="G3860" s="8">
        <v>0</v>
      </c>
      <c r="H3860" s="8">
        <v>299.62</v>
      </c>
      <c r="I3860" s="8">
        <f t="shared" si="125"/>
        <v>-36459.699999999953</v>
      </c>
      <c r="J3860" s="12"/>
    </row>
    <row r="3861" spans="3:10" x14ac:dyDescent="0.3">
      <c r="C3861" s="9" t="s">
        <v>12</v>
      </c>
      <c r="D3861" s="10">
        <v>45743</v>
      </c>
      <c r="E3861" t="s">
        <v>2962</v>
      </c>
      <c r="F3861" s="11" t="s">
        <v>2398</v>
      </c>
      <c r="G3861" s="8">
        <v>0</v>
      </c>
      <c r="H3861" s="8">
        <v>-78.42</v>
      </c>
      <c r="I3861" s="8">
        <f t="shared" si="125"/>
        <v>-36381.279999999955</v>
      </c>
      <c r="J3861" s="12"/>
    </row>
    <row r="3862" spans="3:10" x14ac:dyDescent="0.3">
      <c r="C3862" s="9" t="s">
        <v>12</v>
      </c>
      <c r="D3862" s="10">
        <v>45743</v>
      </c>
      <c r="E3862" t="s">
        <v>2962</v>
      </c>
      <c r="F3862" s="11" t="s">
        <v>2400</v>
      </c>
      <c r="G3862" s="8">
        <v>0</v>
      </c>
      <c r="H3862" s="8">
        <v>78.28</v>
      </c>
      <c r="I3862" s="8">
        <f t="shared" si="125"/>
        <v>-36459.559999999954</v>
      </c>
      <c r="J3862" s="12"/>
    </row>
    <row r="3863" spans="3:10" x14ac:dyDescent="0.3">
      <c r="C3863" s="9" t="s">
        <v>12</v>
      </c>
      <c r="D3863" s="10">
        <v>45747</v>
      </c>
      <c r="E3863" t="s">
        <v>3113</v>
      </c>
      <c r="F3863" s="11" t="s">
        <v>3114</v>
      </c>
      <c r="G3863" s="8">
        <v>0</v>
      </c>
      <c r="H3863" s="8">
        <v>71.97</v>
      </c>
      <c r="I3863" s="8">
        <f t="shared" si="125"/>
        <v>-36531.529999999955</v>
      </c>
      <c r="J3863" s="12"/>
    </row>
    <row r="3864" spans="3:10" x14ac:dyDescent="0.3">
      <c r="C3864" s="9" t="s">
        <v>12</v>
      </c>
      <c r="D3864" s="10">
        <v>45747</v>
      </c>
      <c r="E3864" t="s">
        <v>2790</v>
      </c>
      <c r="F3864" s="11" t="s">
        <v>1962</v>
      </c>
      <c r="G3864" s="8">
        <v>0</v>
      </c>
      <c r="H3864" s="8">
        <v>19.989999999999998</v>
      </c>
      <c r="I3864" s="8">
        <f t="shared" si="125"/>
        <v>-36551.519999999953</v>
      </c>
      <c r="J3864" s="12"/>
    </row>
    <row r="3865" spans="3:10" x14ac:dyDescent="0.3">
      <c r="C3865" s="9" t="s">
        <v>12</v>
      </c>
      <c r="D3865" s="10">
        <v>45747</v>
      </c>
      <c r="E3865" t="s">
        <v>2926</v>
      </c>
      <c r="F3865" s="11" t="s">
        <v>2287</v>
      </c>
      <c r="G3865" s="8">
        <v>0</v>
      </c>
      <c r="H3865" s="8">
        <v>23.1</v>
      </c>
      <c r="I3865" s="8">
        <f t="shared" si="125"/>
        <v>-36574.619999999952</v>
      </c>
      <c r="J3865" s="12"/>
    </row>
    <row r="3866" spans="3:10" x14ac:dyDescent="0.3">
      <c r="C3866" s="9" t="s">
        <v>12</v>
      </c>
      <c r="D3866" s="10">
        <v>45747</v>
      </c>
      <c r="E3866" t="s">
        <v>2928</v>
      </c>
      <c r="F3866" s="11" t="s">
        <v>1193</v>
      </c>
      <c r="G3866" s="8">
        <v>0</v>
      </c>
      <c r="H3866" s="8">
        <v>92.5</v>
      </c>
      <c r="I3866" s="8">
        <f t="shared" si="125"/>
        <v>-36667.119999999952</v>
      </c>
      <c r="J3866" s="12"/>
    </row>
    <row r="3867" spans="3:10" x14ac:dyDescent="0.3">
      <c r="C3867" s="9" t="s">
        <v>12</v>
      </c>
      <c r="D3867" s="10">
        <v>45747</v>
      </c>
      <c r="E3867" t="s">
        <v>2760</v>
      </c>
      <c r="F3867" s="11" t="s">
        <v>3115</v>
      </c>
      <c r="G3867" s="8">
        <v>0</v>
      </c>
      <c r="H3867" s="8">
        <v>80</v>
      </c>
      <c r="I3867" s="8">
        <f t="shared" si="125"/>
        <v>-36747.119999999952</v>
      </c>
      <c r="J3867" s="12"/>
    </row>
    <row r="3868" spans="3:10" x14ac:dyDescent="0.3">
      <c r="C3868" s="9" t="s">
        <v>12</v>
      </c>
      <c r="D3868" s="10">
        <v>45747</v>
      </c>
      <c r="E3868" t="s">
        <v>3034</v>
      </c>
      <c r="F3868" s="11" t="s">
        <v>3116</v>
      </c>
      <c r="G3868" s="8">
        <v>0</v>
      </c>
      <c r="H3868" s="8">
        <v>8.2799999999999994</v>
      </c>
      <c r="I3868" s="8">
        <f t="shared" si="125"/>
        <v>-36755.399999999951</v>
      </c>
      <c r="J3868" s="12"/>
    </row>
    <row r="3869" spans="3:10" x14ac:dyDescent="0.3">
      <c r="C3869" s="9" t="s">
        <v>12</v>
      </c>
      <c r="D3869" s="10">
        <v>45747</v>
      </c>
      <c r="E3869" t="s">
        <v>2790</v>
      </c>
      <c r="F3869" s="11" t="s">
        <v>1964</v>
      </c>
      <c r="G3869" s="8">
        <v>0</v>
      </c>
      <c r="H3869" s="8">
        <v>61.05</v>
      </c>
      <c r="I3869" s="8">
        <f t="shared" si="125"/>
        <v>-36816.449999999953</v>
      </c>
      <c r="J3869" s="12"/>
    </row>
    <row r="3870" spans="3:10" x14ac:dyDescent="0.3">
      <c r="C3870" s="9" t="s">
        <v>12</v>
      </c>
      <c r="D3870" s="10">
        <v>45747</v>
      </c>
      <c r="E3870" t="s">
        <v>3117</v>
      </c>
      <c r="F3870" s="11" t="s">
        <v>1509</v>
      </c>
      <c r="G3870" s="8">
        <v>0</v>
      </c>
      <c r="H3870" s="8">
        <v>27.3</v>
      </c>
      <c r="I3870" s="8">
        <f t="shared" si="125"/>
        <v>-36843.749999999956</v>
      </c>
      <c r="J3870" s="12"/>
    </row>
    <row r="3871" spans="3:10" x14ac:dyDescent="0.3">
      <c r="C3871" s="9" t="s">
        <v>12</v>
      </c>
      <c r="D3871" s="10">
        <v>45747</v>
      </c>
      <c r="E3871" t="s">
        <v>3118</v>
      </c>
      <c r="F3871" s="11" t="s">
        <v>2264</v>
      </c>
      <c r="G3871" s="8">
        <v>0</v>
      </c>
      <c r="H3871" s="8">
        <v>39.93</v>
      </c>
      <c r="I3871" s="8">
        <f t="shared" si="125"/>
        <v>-36883.679999999957</v>
      </c>
      <c r="J3871" s="12"/>
    </row>
    <row r="3872" spans="3:10" x14ac:dyDescent="0.3">
      <c r="C3872" s="9" t="s">
        <v>12</v>
      </c>
      <c r="D3872" s="10">
        <v>45747</v>
      </c>
      <c r="E3872" t="s">
        <v>2789</v>
      </c>
      <c r="F3872" s="11" t="s">
        <v>2362</v>
      </c>
      <c r="G3872" s="8">
        <v>0</v>
      </c>
      <c r="H3872" s="8">
        <v>23.26</v>
      </c>
      <c r="I3872" s="8">
        <f t="shared" si="125"/>
        <v>-36906.939999999959</v>
      </c>
      <c r="J3872" s="12"/>
    </row>
    <row r="3873" spans="3:10" x14ac:dyDescent="0.3">
      <c r="C3873" s="9" t="s">
        <v>12</v>
      </c>
      <c r="D3873" s="10">
        <v>45747</v>
      </c>
      <c r="E3873" t="s">
        <v>2771</v>
      </c>
      <c r="F3873" s="11" t="s">
        <v>1437</v>
      </c>
      <c r="G3873" s="8">
        <v>0</v>
      </c>
      <c r="H3873" s="8">
        <v>186.12</v>
      </c>
      <c r="I3873" s="8">
        <f t="shared" si="125"/>
        <v>-37093.059999999961</v>
      </c>
      <c r="J3873" s="12"/>
    </row>
    <row r="3874" spans="3:10" x14ac:dyDescent="0.3">
      <c r="C3874" s="9" t="s">
        <v>12</v>
      </c>
      <c r="D3874" s="10">
        <v>45747</v>
      </c>
      <c r="E3874" t="s">
        <v>2938</v>
      </c>
      <c r="F3874" s="11" t="s">
        <v>3119</v>
      </c>
      <c r="G3874" s="8">
        <v>0</v>
      </c>
      <c r="H3874" s="8">
        <v>68.459999999999994</v>
      </c>
      <c r="I3874" s="8">
        <f t="shared" si="125"/>
        <v>-37161.51999999996</v>
      </c>
      <c r="J3874" s="12"/>
    </row>
    <row r="3875" spans="3:10" x14ac:dyDescent="0.3">
      <c r="C3875" s="9" t="s">
        <v>12</v>
      </c>
      <c r="D3875" s="10">
        <v>45747</v>
      </c>
      <c r="E3875" t="s">
        <v>3120</v>
      </c>
      <c r="F3875" s="11" t="s">
        <v>1725</v>
      </c>
      <c r="G3875" s="8">
        <v>0</v>
      </c>
      <c r="H3875" s="8">
        <v>74.08</v>
      </c>
      <c r="I3875" s="8">
        <f t="shared" si="125"/>
        <v>-37235.599999999962</v>
      </c>
      <c r="J3875" s="12"/>
    </row>
    <row r="3876" spans="3:10" x14ac:dyDescent="0.3">
      <c r="C3876" s="9" t="s">
        <v>12</v>
      </c>
      <c r="D3876" s="10">
        <v>45747</v>
      </c>
      <c r="E3876" t="s">
        <v>3121</v>
      </c>
      <c r="F3876" s="11" t="s">
        <v>3122</v>
      </c>
      <c r="G3876" s="8">
        <v>0</v>
      </c>
      <c r="H3876" s="8">
        <v>58.49</v>
      </c>
      <c r="I3876" s="8">
        <f t="shared" si="125"/>
        <v>-37294.08999999996</v>
      </c>
      <c r="J3876" s="12"/>
    </row>
    <row r="3877" spans="3:10" x14ac:dyDescent="0.3">
      <c r="C3877" s="9" t="s">
        <v>12</v>
      </c>
      <c r="D3877" s="10">
        <v>45747</v>
      </c>
      <c r="E3877" t="s">
        <v>3075</v>
      </c>
      <c r="F3877" s="11" t="s">
        <v>3123</v>
      </c>
      <c r="G3877" s="8">
        <v>0</v>
      </c>
      <c r="H3877" s="8">
        <v>71.72</v>
      </c>
      <c r="I3877" s="8">
        <f t="shared" si="125"/>
        <v>-37365.809999999961</v>
      </c>
      <c r="J3877" s="12"/>
    </row>
    <row r="3878" spans="3:10" x14ac:dyDescent="0.3">
      <c r="C3878" s="9" t="s">
        <v>12</v>
      </c>
      <c r="D3878" s="10">
        <v>45747</v>
      </c>
      <c r="E3878" t="s">
        <v>3034</v>
      </c>
      <c r="F3878" s="11" t="s">
        <v>3124</v>
      </c>
      <c r="G3878" s="8">
        <v>0</v>
      </c>
      <c r="H3878" s="8">
        <v>-11.43</v>
      </c>
      <c r="I3878" s="8">
        <f t="shared" si="125"/>
        <v>-37354.379999999961</v>
      </c>
      <c r="J3878" s="12"/>
    </row>
    <row r="3879" spans="3:10" x14ac:dyDescent="0.3">
      <c r="C3879" s="9" t="s">
        <v>12</v>
      </c>
      <c r="D3879" s="10">
        <v>45747</v>
      </c>
      <c r="E3879" t="s">
        <v>2538</v>
      </c>
      <c r="F3879" s="11" t="s">
        <v>566</v>
      </c>
      <c r="G3879" s="8">
        <v>37354.379999999997</v>
      </c>
      <c r="H3879" s="8">
        <v>0</v>
      </c>
      <c r="I3879" s="8">
        <f t="shared" si="125"/>
        <v>0</v>
      </c>
      <c r="J3879" s="12"/>
    </row>
    <row r="3880" spans="3:10" x14ac:dyDescent="0.3">
      <c r="C3880" s="9" t="s">
        <v>12</v>
      </c>
      <c r="D3880" s="10">
        <v>45748</v>
      </c>
      <c r="E3880" t="s">
        <v>2962</v>
      </c>
      <c r="F3880" s="11" t="s">
        <v>2401</v>
      </c>
      <c r="G3880" s="8">
        <v>0</v>
      </c>
      <c r="H3880" s="8">
        <v>78.42</v>
      </c>
      <c r="I3880" s="8">
        <f t="shared" si="125"/>
        <v>-78.42</v>
      </c>
      <c r="J3880" s="12"/>
    </row>
    <row r="3881" spans="3:10" x14ac:dyDescent="0.3">
      <c r="C3881" s="9" t="s">
        <v>12</v>
      </c>
      <c r="D3881" s="10">
        <v>45748</v>
      </c>
      <c r="E3881" t="s">
        <v>2962</v>
      </c>
      <c r="F3881" s="11" t="s">
        <v>2402</v>
      </c>
      <c r="G3881" s="8">
        <v>0</v>
      </c>
      <c r="H3881" s="8">
        <v>-78.239999999999995</v>
      </c>
      <c r="I3881" s="8">
        <f t="shared" si="125"/>
        <v>-0.18000000000000682</v>
      </c>
      <c r="J3881" s="12"/>
    </row>
    <row r="3882" spans="3:10" x14ac:dyDescent="0.3">
      <c r="C3882" s="9" t="s">
        <v>12</v>
      </c>
      <c r="D3882" s="10">
        <v>45749</v>
      </c>
      <c r="E3882" t="s">
        <v>2783</v>
      </c>
      <c r="F3882" s="11" t="s">
        <v>1297</v>
      </c>
      <c r="G3882" s="8">
        <v>0</v>
      </c>
      <c r="H3882" s="8">
        <v>80.349999999999994</v>
      </c>
      <c r="I3882" s="8">
        <f t="shared" si="125"/>
        <v>-80.53</v>
      </c>
      <c r="J3882" s="12"/>
    </row>
    <row r="3883" spans="3:10" x14ac:dyDescent="0.3">
      <c r="C3883" s="9" t="s">
        <v>12</v>
      </c>
      <c r="D3883" s="10">
        <v>45749</v>
      </c>
      <c r="E3883" t="s">
        <v>2811</v>
      </c>
      <c r="F3883" s="11" t="s">
        <v>1164</v>
      </c>
      <c r="G3883" s="8">
        <v>0</v>
      </c>
      <c r="H3883" s="8">
        <v>373.08</v>
      </c>
      <c r="I3883" s="8">
        <f t="shared" si="125"/>
        <v>-453.61</v>
      </c>
      <c r="J3883" s="12"/>
    </row>
    <row r="3884" spans="3:10" x14ac:dyDescent="0.3">
      <c r="C3884" s="9" t="s">
        <v>12</v>
      </c>
      <c r="D3884" s="10">
        <v>45751</v>
      </c>
      <c r="E3884" t="s">
        <v>3125</v>
      </c>
      <c r="F3884" s="11" t="s">
        <v>3126</v>
      </c>
      <c r="G3884" s="8">
        <v>0</v>
      </c>
      <c r="H3884" s="8">
        <v>32.409999999999997</v>
      </c>
      <c r="I3884" s="8">
        <f t="shared" si="125"/>
        <v>-486.02</v>
      </c>
      <c r="J3884" s="12"/>
    </row>
    <row r="3885" spans="3:10" x14ac:dyDescent="0.3">
      <c r="C3885" s="9" t="s">
        <v>12</v>
      </c>
      <c r="D3885" s="10">
        <v>45751</v>
      </c>
      <c r="E3885" t="s">
        <v>2791</v>
      </c>
      <c r="F3885" s="11" t="s">
        <v>3127</v>
      </c>
      <c r="G3885" s="8">
        <v>0</v>
      </c>
      <c r="H3885" s="8">
        <v>204.17</v>
      </c>
      <c r="I3885" s="8">
        <f t="shared" si="125"/>
        <v>-690.18999999999994</v>
      </c>
      <c r="J3885" s="12"/>
    </row>
    <row r="3886" spans="3:10" x14ac:dyDescent="0.3">
      <c r="C3886" s="9" t="s">
        <v>12</v>
      </c>
      <c r="D3886" s="10">
        <v>45751</v>
      </c>
      <c r="E3886" t="s">
        <v>2907</v>
      </c>
      <c r="F3886" s="11" t="s">
        <v>1930</v>
      </c>
      <c r="G3886" s="8">
        <v>0</v>
      </c>
      <c r="H3886" s="8">
        <v>32.36</v>
      </c>
      <c r="I3886" s="8">
        <f t="shared" si="125"/>
        <v>-722.55</v>
      </c>
      <c r="J3886" s="12"/>
    </row>
    <row r="3887" spans="3:10" x14ac:dyDescent="0.3">
      <c r="C3887" s="9" t="s">
        <v>12</v>
      </c>
      <c r="D3887" s="10">
        <v>45751</v>
      </c>
      <c r="E3887" t="s">
        <v>2760</v>
      </c>
      <c r="F3887" s="11" t="s">
        <v>3128</v>
      </c>
      <c r="G3887" s="8">
        <v>0</v>
      </c>
      <c r="H3887" s="8">
        <v>80</v>
      </c>
      <c r="I3887" s="8">
        <f t="shared" si="125"/>
        <v>-802.55</v>
      </c>
      <c r="J3887" s="12"/>
    </row>
    <row r="3888" spans="3:10" x14ac:dyDescent="0.3">
      <c r="C3888" s="9" t="s">
        <v>12</v>
      </c>
      <c r="D3888" s="10">
        <v>45751</v>
      </c>
      <c r="E3888" t="s">
        <v>2938</v>
      </c>
      <c r="F3888" s="11" t="s">
        <v>3129</v>
      </c>
      <c r="G3888" s="8">
        <v>0</v>
      </c>
      <c r="H3888" s="8">
        <v>27.3</v>
      </c>
      <c r="I3888" s="8">
        <f t="shared" si="125"/>
        <v>-829.84999999999991</v>
      </c>
      <c r="J3888" s="12"/>
    </row>
    <row r="3889" spans="3:10" x14ac:dyDescent="0.3">
      <c r="C3889" s="9" t="s">
        <v>12</v>
      </c>
      <c r="D3889" s="10">
        <v>45754</v>
      </c>
      <c r="E3889" t="s">
        <v>2886</v>
      </c>
      <c r="F3889" s="11" t="s">
        <v>2140</v>
      </c>
      <c r="G3889" s="8">
        <v>0</v>
      </c>
      <c r="H3889" s="8">
        <v>33.770000000000003</v>
      </c>
      <c r="I3889" s="8">
        <f t="shared" si="125"/>
        <v>-863.61999999999989</v>
      </c>
      <c r="J3889" s="12"/>
    </row>
    <row r="3890" spans="3:10" x14ac:dyDescent="0.3">
      <c r="C3890" s="9" t="s">
        <v>12</v>
      </c>
      <c r="D3890" s="10">
        <v>45754</v>
      </c>
      <c r="E3890" t="s">
        <v>2904</v>
      </c>
      <c r="F3890" s="11" t="s">
        <v>1153</v>
      </c>
      <c r="G3890" s="8">
        <v>0</v>
      </c>
      <c r="H3890" s="8">
        <v>81.97</v>
      </c>
      <c r="I3890" s="8">
        <f t="shared" si="125"/>
        <v>-945.58999999999992</v>
      </c>
      <c r="J3890" s="12"/>
    </row>
    <row r="3891" spans="3:10" x14ac:dyDescent="0.3">
      <c r="C3891" s="9" t="s">
        <v>12</v>
      </c>
      <c r="D3891" s="10">
        <v>45754</v>
      </c>
      <c r="E3891" t="s">
        <v>3082</v>
      </c>
      <c r="F3891" s="11" t="s">
        <v>3130</v>
      </c>
      <c r="G3891" s="8">
        <v>0</v>
      </c>
      <c r="H3891" s="8">
        <v>88.2</v>
      </c>
      <c r="I3891" s="8">
        <f t="shared" si="125"/>
        <v>-1033.79</v>
      </c>
      <c r="J3891" s="12"/>
    </row>
    <row r="3892" spans="3:10" x14ac:dyDescent="0.3">
      <c r="C3892" s="9" t="s">
        <v>12</v>
      </c>
      <c r="D3892" s="10">
        <v>45754</v>
      </c>
      <c r="E3892" t="s">
        <v>3082</v>
      </c>
      <c r="F3892" s="11" t="s">
        <v>3131</v>
      </c>
      <c r="G3892" s="8">
        <v>0</v>
      </c>
      <c r="H3892" s="8">
        <v>44.1</v>
      </c>
      <c r="I3892" s="8">
        <f t="shared" si="125"/>
        <v>-1077.8899999999999</v>
      </c>
      <c r="J3892" s="12"/>
    </row>
    <row r="3893" spans="3:10" x14ac:dyDescent="0.3">
      <c r="C3893" s="9" t="s">
        <v>12</v>
      </c>
      <c r="D3893" s="10">
        <v>45754</v>
      </c>
      <c r="E3893" t="s">
        <v>2944</v>
      </c>
      <c r="F3893" s="11" t="s">
        <v>3132</v>
      </c>
      <c r="G3893" s="8">
        <v>0</v>
      </c>
      <c r="H3893" s="8">
        <v>6.59</v>
      </c>
      <c r="I3893" s="8">
        <f t="shared" si="125"/>
        <v>-1084.4799999999998</v>
      </c>
      <c r="J3893" s="12"/>
    </row>
    <row r="3894" spans="3:10" x14ac:dyDescent="0.3">
      <c r="C3894" s="9" t="s">
        <v>12</v>
      </c>
      <c r="D3894" s="10">
        <v>45754</v>
      </c>
      <c r="E3894" t="s">
        <v>2753</v>
      </c>
      <c r="F3894" s="11" t="s">
        <v>2209</v>
      </c>
      <c r="G3894" s="8">
        <v>0</v>
      </c>
      <c r="H3894" s="8">
        <v>73.569999999999993</v>
      </c>
      <c r="I3894" s="8">
        <f t="shared" si="125"/>
        <v>-1158.0499999999997</v>
      </c>
      <c r="J3894" s="12"/>
    </row>
    <row r="3895" spans="3:10" x14ac:dyDescent="0.3">
      <c r="C3895" s="9" t="s">
        <v>12</v>
      </c>
      <c r="D3895" s="10">
        <v>45754</v>
      </c>
      <c r="E3895" t="s">
        <v>2855</v>
      </c>
      <c r="F3895" s="11" t="s">
        <v>1902</v>
      </c>
      <c r="G3895" s="8">
        <v>0</v>
      </c>
      <c r="H3895" s="8">
        <v>-13.14</v>
      </c>
      <c r="I3895" s="8">
        <f t="shared" si="125"/>
        <v>-1144.9099999999996</v>
      </c>
      <c r="J3895" s="12"/>
    </row>
    <row r="3896" spans="3:10" x14ac:dyDescent="0.3">
      <c r="C3896" s="9" t="s">
        <v>12</v>
      </c>
      <c r="D3896" s="10">
        <v>45754</v>
      </c>
      <c r="E3896" t="s">
        <v>2855</v>
      </c>
      <c r="F3896" s="11" t="s">
        <v>1904</v>
      </c>
      <c r="G3896" s="8">
        <v>0</v>
      </c>
      <c r="H3896" s="8">
        <v>13.14</v>
      </c>
      <c r="I3896" s="8">
        <f t="shared" si="125"/>
        <v>-1158.0499999999997</v>
      </c>
      <c r="J3896" s="12"/>
    </row>
    <row r="3897" spans="3:10" x14ac:dyDescent="0.3">
      <c r="C3897" s="9" t="s">
        <v>12</v>
      </c>
      <c r="D3897" s="10">
        <v>45754</v>
      </c>
      <c r="E3897" t="s">
        <v>3133</v>
      </c>
      <c r="F3897" s="11" t="s">
        <v>3134</v>
      </c>
      <c r="G3897" s="8">
        <v>0</v>
      </c>
      <c r="H3897" s="8">
        <v>103.95</v>
      </c>
      <c r="I3897" s="8">
        <f t="shared" si="125"/>
        <v>-1261.9999999999998</v>
      </c>
      <c r="J3897" s="12"/>
    </row>
    <row r="3898" spans="3:10" x14ac:dyDescent="0.3">
      <c r="C3898" s="9" t="s">
        <v>12</v>
      </c>
      <c r="D3898" s="10">
        <v>45754</v>
      </c>
      <c r="E3898" t="s">
        <v>2855</v>
      </c>
      <c r="F3898" s="11" t="s">
        <v>1906</v>
      </c>
      <c r="G3898" s="8">
        <v>0</v>
      </c>
      <c r="H3898" s="8">
        <v>13.14</v>
      </c>
      <c r="I3898" s="8">
        <f t="shared" si="125"/>
        <v>-1275.1399999999999</v>
      </c>
      <c r="J3898" s="12"/>
    </row>
    <row r="3899" spans="3:10" x14ac:dyDescent="0.3">
      <c r="C3899" s="9" t="s">
        <v>12</v>
      </c>
      <c r="D3899" s="10">
        <v>45755</v>
      </c>
      <c r="E3899" t="s">
        <v>2898</v>
      </c>
      <c r="F3899" s="11" t="s">
        <v>2219</v>
      </c>
      <c r="G3899" s="8">
        <v>0</v>
      </c>
      <c r="H3899" s="8">
        <v>30.45</v>
      </c>
      <c r="I3899" s="8">
        <f t="shared" si="125"/>
        <v>-1305.5899999999999</v>
      </c>
      <c r="J3899" s="12"/>
    </row>
    <row r="3900" spans="3:10" x14ac:dyDescent="0.3">
      <c r="C3900" s="9" t="s">
        <v>12</v>
      </c>
      <c r="D3900" s="10">
        <v>45755</v>
      </c>
      <c r="E3900" t="s">
        <v>3135</v>
      </c>
      <c r="F3900" s="11" t="s">
        <v>3136</v>
      </c>
      <c r="G3900" s="8">
        <v>0</v>
      </c>
      <c r="H3900" s="8">
        <v>75.92</v>
      </c>
      <c r="I3900" s="8">
        <f t="shared" si="125"/>
        <v>-1381.51</v>
      </c>
      <c r="J3900" s="12"/>
    </row>
    <row r="3901" spans="3:10" x14ac:dyDescent="0.3">
      <c r="C3901" s="9" t="s">
        <v>12</v>
      </c>
      <c r="D3901" s="10">
        <v>45755</v>
      </c>
      <c r="E3901" t="s">
        <v>2791</v>
      </c>
      <c r="F3901" s="11" t="s">
        <v>3137</v>
      </c>
      <c r="G3901" s="8">
        <v>0</v>
      </c>
      <c r="H3901" s="8">
        <v>10.42</v>
      </c>
      <c r="I3901" s="8">
        <f t="shared" si="125"/>
        <v>-1391.93</v>
      </c>
      <c r="J3901" s="12"/>
    </row>
    <row r="3902" spans="3:10" x14ac:dyDescent="0.3">
      <c r="C3902" s="9" t="s">
        <v>12</v>
      </c>
      <c r="D3902" s="10">
        <v>45755</v>
      </c>
      <c r="E3902" t="s">
        <v>2795</v>
      </c>
      <c r="F3902" s="11" t="s">
        <v>2382</v>
      </c>
      <c r="G3902" s="8">
        <v>0</v>
      </c>
      <c r="H3902" s="8">
        <v>517.1</v>
      </c>
      <c r="I3902" s="8">
        <f t="shared" si="125"/>
        <v>-1909.0300000000002</v>
      </c>
      <c r="J3902" s="12"/>
    </row>
    <row r="3903" spans="3:10" x14ac:dyDescent="0.3">
      <c r="C3903" s="9" t="s">
        <v>12</v>
      </c>
      <c r="D3903" s="10">
        <v>45755</v>
      </c>
      <c r="E3903" t="s">
        <v>2790</v>
      </c>
      <c r="F3903" s="11" t="s">
        <v>1967</v>
      </c>
      <c r="G3903" s="8">
        <v>0</v>
      </c>
      <c r="H3903" s="8">
        <v>20.83</v>
      </c>
      <c r="I3903" s="8">
        <f t="shared" si="125"/>
        <v>-1929.8600000000001</v>
      </c>
      <c r="J3903" s="12"/>
    </row>
    <row r="3904" spans="3:10" x14ac:dyDescent="0.3">
      <c r="C3904" s="9" t="s">
        <v>12</v>
      </c>
      <c r="D3904" s="10">
        <v>45755</v>
      </c>
      <c r="E3904" t="s">
        <v>2950</v>
      </c>
      <c r="F3904" s="11" t="s">
        <v>3138</v>
      </c>
      <c r="G3904" s="8">
        <v>0</v>
      </c>
      <c r="H3904" s="8">
        <v>35.08</v>
      </c>
      <c r="I3904" s="8">
        <f t="shared" si="125"/>
        <v>-1964.94</v>
      </c>
      <c r="J3904" s="12"/>
    </row>
    <row r="3905" spans="3:10" x14ac:dyDescent="0.3">
      <c r="C3905" s="9" t="s">
        <v>12</v>
      </c>
      <c r="D3905" s="10">
        <v>45755</v>
      </c>
      <c r="E3905" t="s">
        <v>3139</v>
      </c>
      <c r="F3905" s="11" t="s">
        <v>3140</v>
      </c>
      <c r="G3905" s="8">
        <v>0</v>
      </c>
      <c r="H3905" s="8">
        <v>32.83</v>
      </c>
      <c r="I3905" s="8">
        <f t="shared" si="125"/>
        <v>-1997.77</v>
      </c>
      <c r="J3905" s="12"/>
    </row>
    <row r="3906" spans="3:10" x14ac:dyDescent="0.3">
      <c r="C3906" s="9" t="s">
        <v>12</v>
      </c>
      <c r="D3906" s="10">
        <v>45755</v>
      </c>
      <c r="E3906" t="s">
        <v>2772</v>
      </c>
      <c r="F3906" s="11" t="s">
        <v>3141</v>
      </c>
      <c r="G3906" s="8">
        <v>0</v>
      </c>
      <c r="H3906" s="8">
        <v>37.799999999999997</v>
      </c>
      <c r="I3906" s="8">
        <f t="shared" si="125"/>
        <v>-2035.57</v>
      </c>
      <c r="J3906" s="12"/>
    </row>
    <row r="3907" spans="3:10" x14ac:dyDescent="0.3">
      <c r="C3907" s="9" t="s">
        <v>12</v>
      </c>
      <c r="D3907" s="10">
        <v>45756</v>
      </c>
      <c r="E3907" t="s">
        <v>2907</v>
      </c>
      <c r="F3907" s="11" t="s">
        <v>1932</v>
      </c>
      <c r="G3907" s="8">
        <v>0</v>
      </c>
      <c r="H3907" s="8">
        <v>45.15</v>
      </c>
      <c r="I3907" s="8">
        <f t="shared" si="125"/>
        <v>-2080.7199999999998</v>
      </c>
      <c r="J3907" s="12"/>
    </row>
    <row r="3908" spans="3:10" x14ac:dyDescent="0.3">
      <c r="C3908" s="9" t="s">
        <v>12</v>
      </c>
      <c r="D3908" s="10">
        <v>45756</v>
      </c>
      <c r="E3908" t="s">
        <v>3120</v>
      </c>
      <c r="F3908" s="11" t="s">
        <v>1727</v>
      </c>
      <c r="G3908" s="8">
        <v>0</v>
      </c>
      <c r="H3908" s="8">
        <v>32.450000000000003</v>
      </c>
      <c r="I3908" s="8">
        <f t="shared" si="125"/>
        <v>-2113.1699999999996</v>
      </c>
      <c r="J3908" s="12"/>
    </row>
    <row r="3909" spans="3:10" x14ac:dyDescent="0.3">
      <c r="C3909" s="9" t="s">
        <v>12</v>
      </c>
      <c r="D3909" s="10">
        <v>45756</v>
      </c>
      <c r="E3909" t="s">
        <v>3120</v>
      </c>
      <c r="F3909" s="11" t="s">
        <v>1729</v>
      </c>
      <c r="G3909" s="8">
        <v>0</v>
      </c>
      <c r="H3909" s="8">
        <v>162.6</v>
      </c>
      <c r="I3909" s="8">
        <f t="shared" si="125"/>
        <v>-2275.7699999999995</v>
      </c>
      <c r="J3909" s="12"/>
    </row>
    <row r="3910" spans="3:10" x14ac:dyDescent="0.3">
      <c r="C3910" s="9" t="s">
        <v>12</v>
      </c>
      <c r="D3910" s="10">
        <v>45756</v>
      </c>
      <c r="E3910" t="s">
        <v>2771</v>
      </c>
      <c r="F3910" s="11" t="s">
        <v>1439</v>
      </c>
      <c r="G3910" s="8">
        <v>0</v>
      </c>
      <c r="H3910" s="8">
        <v>103.53</v>
      </c>
      <c r="I3910" s="8">
        <f t="shared" si="125"/>
        <v>-2379.2999999999997</v>
      </c>
      <c r="J3910" s="12"/>
    </row>
    <row r="3911" spans="3:10" x14ac:dyDescent="0.3">
      <c r="C3911" s="9" t="s">
        <v>12</v>
      </c>
      <c r="D3911" s="10">
        <v>45756</v>
      </c>
      <c r="E3911" t="s">
        <v>2840</v>
      </c>
      <c r="F3911" s="11" t="s">
        <v>1837</v>
      </c>
      <c r="G3911" s="8">
        <v>0</v>
      </c>
      <c r="H3911" s="8">
        <v>66.180000000000007</v>
      </c>
      <c r="I3911" s="8">
        <f t="shared" si="125"/>
        <v>-2445.4799999999996</v>
      </c>
      <c r="J3911" s="12"/>
    </row>
    <row r="3912" spans="3:10" x14ac:dyDescent="0.3">
      <c r="C3912" s="9" t="s">
        <v>12</v>
      </c>
      <c r="D3912" s="10">
        <v>45756</v>
      </c>
      <c r="E3912" t="s">
        <v>2926</v>
      </c>
      <c r="F3912" s="11" t="s">
        <v>2289</v>
      </c>
      <c r="G3912" s="8">
        <v>0</v>
      </c>
      <c r="H3912" s="8">
        <v>23.1</v>
      </c>
      <c r="I3912" s="8">
        <f t="shared" si="125"/>
        <v>-2468.5799999999995</v>
      </c>
      <c r="J3912" s="12"/>
    </row>
    <row r="3913" spans="3:10" x14ac:dyDescent="0.3">
      <c r="C3913" s="9" t="s">
        <v>12</v>
      </c>
      <c r="D3913" s="10">
        <v>45756</v>
      </c>
      <c r="E3913" t="s">
        <v>2784</v>
      </c>
      <c r="F3913" s="11" t="s">
        <v>1063</v>
      </c>
      <c r="G3913" s="8">
        <v>0</v>
      </c>
      <c r="H3913" s="8">
        <v>43.42</v>
      </c>
      <c r="I3913" s="8">
        <f t="shared" si="125"/>
        <v>-2511.9999999999995</v>
      </c>
      <c r="J3913" s="12"/>
    </row>
    <row r="3914" spans="3:10" x14ac:dyDescent="0.3">
      <c r="C3914" s="9" t="s">
        <v>12</v>
      </c>
      <c r="D3914" s="10">
        <v>45756</v>
      </c>
      <c r="E3914" t="s">
        <v>2747</v>
      </c>
      <c r="F3914" s="11" t="s">
        <v>2034</v>
      </c>
      <c r="G3914" s="8">
        <v>0</v>
      </c>
      <c r="H3914" s="8">
        <v>23.1</v>
      </c>
      <c r="I3914" s="8">
        <f t="shared" si="125"/>
        <v>-2535.0999999999995</v>
      </c>
      <c r="J3914" s="12"/>
    </row>
    <row r="3915" spans="3:10" x14ac:dyDescent="0.3">
      <c r="C3915" s="9" t="s">
        <v>12</v>
      </c>
      <c r="D3915" s="10">
        <v>45756</v>
      </c>
      <c r="E3915" t="s">
        <v>2855</v>
      </c>
      <c r="F3915" s="11" t="s">
        <v>1908</v>
      </c>
      <c r="G3915" s="8">
        <v>0</v>
      </c>
      <c r="H3915" s="8">
        <v>3.47</v>
      </c>
      <c r="I3915" s="8">
        <f t="shared" ref="I3915:I3978" si="126">G3915-H3915+I3914</f>
        <v>-2538.5699999999993</v>
      </c>
      <c r="J3915" s="12"/>
    </row>
    <row r="3916" spans="3:10" x14ac:dyDescent="0.3">
      <c r="C3916" s="9" t="s">
        <v>12</v>
      </c>
      <c r="D3916" s="10">
        <v>45756</v>
      </c>
      <c r="E3916" t="s">
        <v>2956</v>
      </c>
      <c r="F3916" s="11" t="s">
        <v>1089</v>
      </c>
      <c r="G3916" s="8">
        <v>0</v>
      </c>
      <c r="H3916" s="8">
        <v>33.32</v>
      </c>
      <c r="I3916" s="8">
        <f t="shared" si="126"/>
        <v>-2571.8899999999994</v>
      </c>
      <c r="J3916" s="12"/>
    </row>
    <row r="3917" spans="3:10" x14ac:dyDescent="0.3">
      <c r="C3917" s="9" t="s">
        <v>12</v>
      </c>
      <c r="D3917" s="10">
        <v>45756</v>
      </c>
      <c r="E3917" t="s">
        <v>2926</v>
      </c>
      <c r="F3917" s="11" t="s">
        <v>2291</v>
      </c>
      <c r="G3917" s="8">
        <v>0</v>
      </c>
      <c r="H3917" s="8">
        <v>23.1</v>
      </c>
      <c r="I3917" s="8">
        <f t="shared" si="126"/>
        <v>-2594.9899999999993</v>
      </c>
      <c r="J3917" s="12"/>
    </row>
    <row r="3918" spans="3:10" x14ac:dyDescent="0.3">
      <c r="C3918" s="9" t="s">
        <v>12</v>
      </c>
      <c r="D3918" s="10">
        <v>45756</v>
      </c>
      <c r="E3918" t="s">
        <v>2745</v>
      </c>
      <c r="F3918" s="11" t="s">
        <v>3142</v>
      </c>
      <c r="G3918" s="8">
        <v>0</v>
      </c>
      <c r="H3918" s="8">
        <v>30.37</v>
      </c>
      <c r="I3918" s="8">
        <f t="shared" si="126"/>
        <v>-2625.3599999999992</v>
      </c>
      <c r="J3918" s="12"/>
    </row>
    <row r="3919" spans="3:10" x14ac:dyDescent="0.3">
      <c r="C3919" s="9" t="s">
        <v>12</v>
      </c>
      <c r="D3919" s="10">
        <v>45757</v>
      </c>
      <c r="E3919" t="s">
        <v>2849</v>
      </c>
      <c r="F3919" s="11" t="s">
        <v>3143</v>
      </c>
      <c r="G3919" s="8">
        <v>0</v>
      </c>
      <c r="H3919" s="8">
        <v>24.23</v>
      </c>
      <c r="I3919" s="8">
        <f t="shared" si="126"/>
        <v>-2649.5899999999992</v>
      </c>
      <c r="J3919" s="12"/>
    </row>
    <row r="3920" spans="3:10" x14ac:dyDescent="0.3">
      <c r="C3920" s="9" t="s">
        <v>12</v>
      </c>
      <c r="D3920" s="10">
        <v>45758</v>
      </c>
      <c r="E3920" t="s">
        <v>3070</v>
      </c>
      <c r="F3920" s="11" t="s">
        <v>1604</v>
      </c>
      <c r="G3920" s="8">
        <v>0</v>
      </c>
      <c r="H3920" s="8">
        <v>1404.69</v>
      </c>
      <c r="I3920" s="8">
        <f t="shared" si="126"/>
        <v>-4054.2799999999993</v>
      </c>
      <c r="J3920" s="12"/>
    </row>
    <row r="3921" spans="3:10" x14ac:dyDescent="0.3">
      <c r="C3921" s="9" t="s">
        <v>12</v>
      </c>
      <c r="D3921" s="10">
        <v>45761</v>
      </c>
      <c r="E3921" t="s">
        <v>3144</v>
      </c>
      <c r="F3921" s="11" t="s">
        <v>3145</v>
      </c>
      <c r="G3921" s="8">
        <v>0</v>
      </c>
      <c r="H3921" s="8">
        <v>191.38</v>
      </c>
      <c r="I3921" s="8">
        <f t="shared" si="126"/>
        <v>-4245.6599999999989</v>
      </c>
      <c r="J3921" s="12"/>
    </row>
    <row r="3922" spans="3:10" x14ac:dyDescent="0.3">
      <c r="C3922" s="9" t="s">
        <v>12</v>
      </c>
      <c r="D3922" s="10">
        <v>45761</v>
      </c>
      <c r="E3922" t="s">
        <v>3146</v>
      </c>
      <c r="F3922" s="11" t="s">
        <v>3147</v>
      </c>
      <c r="G3922" s="8">
        <v>0</v>
      </c>
      <c r="H3922" s="8">
        <v>60.08</v>
      </c>
      <c r="I3922" s="8">
        <f t="shared" si="126"/>
        <v>-4305.7399999999989</v>
      </c>
      <c r="J3922" s="12"/>
    </row>
    <row r="3923" spans="3:10" x14ac:dyDescent="0.3">
      <c r="C3923" s="9" t="s">
        <v>12</v>
      </c>
      <c r="D3923" s="10">
        <v>45761</v>
      </c>
      <c r="E3923" t="s">
        <v>3148</v>
      </c>
      <c r="F3923" s="11" t="s">
        <v>3149</v>
      </c>
      <c r="G3923" s="8">
        <v>0</v>
      </c>
      <c r="H3923" s="8">
        <v>40.65</v>
      </c>
      <c r="I3923" s="8">
        <f t="shared" si="126"/>
        <v>-4346.3899999999985</v>
      </c>
      <c r="J3923" s="12"/>
    </row>
    <row r="3924" spans="3:10" x14ac:dyDescent="0.3">
      <c r="C3924" s="9" t="s">
        <v>12</v>
      </c>
      <c r="D3924" s="10">
        <v>45761</v>
      </c>
      <c r="E3924" t="s">
        <v>2790</v>
      </c>
      <c r="F3924" s="11" t="s">
        <v>1969</v>
      </c>
      <c r="G3924" s="8">
        <v>0</v>
      </c>
      <c r="H3924" s="8">
        <v>9.98</v>
      </c>
      <c r="I3924" s="8">
        <f t="shared" si="126"/>
        <v>-4356.3699999999981</v>
      </c>
      <c r="J3924" s="12"/>
    </row>
    <row r="3925" spans="3:10" x14ac:dyDescent="0.3">
      <c r="C3925" s="9" t="s">
        <v>12</v>
      </c>
      <c r="D3925" s="10">
        <v>45761</v>
      </c>
      <c r="E3925" t="s">
        <v>2900</v>
      </c>
      <c r="F3925" s="11" t="s">
        <v>3150</v>
      </c>
      <c r="G3925" s="8">
        <v>0</v>
      </c>
      <c r="H3925" s="8">
        <v>25.75</v>
      </c>
      <c r="I3925" s="8">
        <f t="shared" si="126"/>
        <v>-4382.1199999999981</v>
      </c>
      <c r="J3925" s="12"/>
    </row>
    <row r="3926" spans="3:10" x14ac:dyDescent="0.3">
      <c r="C3926" s="9" t="s">
        <v>12</v>
      </c>
      <c r="D3926" s="10">
        <v>45761</v>
      </c>
      <c r="E3926" t="s">
        <v>3151</v>
      </c>
      <c r="F3926" s="11" t="s">
        <v>3152</v>
      </c>
      <c r="G3926" s="8">
        <v>0</v>
      </c>
      <c r="H3926" s="8">
        <v>35.619999999999997</v>
      </c>
      <c r="I3926" s="8">
        <f t="shared" si="126"/>
        <v>-4417.739999999998</v>
      </c>
      <c r="J3926" s="12"/>
    </row>
    <row r="3927" spans="3:10" x14ac:dyDescent="0.3">
      <c r="C3927" s="9" t="s">
        <v>12</v>
      </c>
      <c r="D3927" s="10">
        <v>45761</v>
      </c>
      <c r="E3927" t="s">
        <v>2795</v>
      </c>
      <c r="F3927" s="11" t="s">
        <v>2384</v>
      </c>
      <c r="G3927" s="8">
        <v>0</v>
      </c>
      <c r="H3927" s="8">
        <v>23.68</v>
      </c>
      <c r="I3927" s="8">
        <f t="shared" si="126"/>
        <v>-4441.4199999999983</v>
      </c>
      <c r="J3927" s="12"/>
    </row>
    <row r="3928" spans="3:10" x14ac:dyDescent="0.3">
      <c r="C3928" s="9" t="s">
        <v>12</v>
      </c>
      <c r="D3928" s="10">
        <v>45761</v>
      </c>
      <c r="E3928" t="s">
        <v>2840</v>
      </c>
      <c r="F3928" s="11" t="s">
        <v>1839</v>
      </c>
      <c r="G3928" s="8">
        <v>0</v>
      </c>
      <c r="H3928" s="8">
        <v>66.180000000000007</v>
      </c>
      <c r="I3928" s="8">
        <f t="shared" si="126"/>
        <v>-4507.5999999999985</v>
      </c>
      <c r="J3928" s="12"/>
    </row>
    <row r="3929" spans="3:10" x14ac:dyDescent="0.3">
      <c r="C3929" s="9" t="s">
        <v>12</v>
      </c>
      <c r="D3929" s="10">
        <v>45761</v>
      </c>
      <c r="E3929" t="s">
        <v>2840</v>
      </c>
      <c r="F3929" s="11" t="s">
        <v>1841</v>
      </c>
      <c r="G3929" s="8">
        <v>0</v>
      </c>
      <c r="H3929" s="8">
        <v>-66.180000000000007</v>
      </c>
      <c r="I3929" s="8">
        <f t="shared" si="126"/>
        <v>-4441.4199999999983</v>
      </c>
      <c r="J3929" s="12"/>
    </row>
    <row r="3930" spans="3:10" x14ac:dyDescent="0.3">
      <c r="C3930" s="9" t="s">
        <v>12</v>
      </c>
      <c r="D3930" s="10">
        <v>45761</v>
      </c>
      <c r="E3930" t="s">
        <v>2958</v>
      </c>
      <c r="F3930" s="11" t="s">
        <v>3153</v>
      </c>
      <c r="G3930" s="8">
        <v>0</v>
      </c>
      <c r="H3930" s="8">
        <v>52.23</v>
      </c>
      <c r="I3930" s="8">
        <f t="shared" si="126"/>
        <v>-4493.6499999999978</v>
      </c>
      <c r="J3930" s="12"/>
    </row>
    <row r="3931" spans="3:10" x14ac:dyDescent="0.3">
      <c r="C3931" s="9" t="s">
        <v>12</v>
      </c>
      <c r="D3931" s="10">
        <v>45761</v>
      </c>
      <c r="E3931" t="s">
        <v>2789</v>
      </c>
      <c r="F3931" s="11" t="s">
        <v>2364</v>
      </c>
      <c r="G3931" s="8">
        <v>0</v>
      </c>
      <c r="H3931" s="8">
        <v>43.89</v>
      </c>
      <c r="I3931" s="8">
        <f t="shared" si="126"/>
        <v>-4537.5399999999981</v>
      </c>
      <c r="J3931" s="12"/>
    </row>
    <row r="3932" spans="3:10" x14ac:dyDescent="0.3">
      <c r="C3932" s="9" t="s">
        <v>12</v>
      </c>
      <c r="D3932" s="10">
        <v>45761</v>
      </c>
      <c r="E3932" t="s">
        <v>2848</v>
      </c>
      <c r="F3932" s="11" t="s">
        <v>1180</v>
      </c>
      <c r="G3932" s="8">
        <v>0</v>
      </c>
      <c r="H3932" s="8">
        <v>73.569999999999993</v>
      </c>
      <c r="I3932" s="8">
        <f t="shared" si="126"/>
        <v>-4611.1099999999979</v>
      </c>
      <c r="J3932" s="12"/>
    </row>
    <row r="3933" spans="3:10" x14ac:dyDescent="0.3">
      <c r="C3933" s="9" t="s">
        <v>12</v>
      </c>
      <c r="D3933" s="10">
        <v>45762</v>
      </c>
      <c r="E3933" t="s">
        <v>3020</v>
      </c>
      <c r="F3933" s="11" t="s">
        <v>3154</v>
      </c>
      <c r="G3933" s="8">
        <v>0</v>
      </c>
      <c r="H3933" s="8">
        <v>58.74</v>
      </c>
      <c r="I3933" s="8">
        <f t="shared" si="126"/>
        <v>-4669.8499999999976</v>
      </c>
      <c r="J3933" s="12"/>
    </row>
    <row r="3934" spans="3:10" x14ac:dyDescent="0.3">
      <c r="C3934" s="9" t="s">
        <v>12</v>
      </c>
      <c r="D3934" s="10">
        <v>45762</v>
      </c>
      <c r="E3934" t="s">
        <v>2871</v>
      </c>
      <c r="F3934" s="11" t="s">
        <v>1365</v>
      </c>
      <c r="G3934" s="8">
        <v>0</v>
      </c>
      <c r="H3934" s="8">
        <v>38.57</v>
      </c>
      <c r="I3934" s="8">
        <f t="shared" si="126"/>
        <v>-4708.4199999999973</v>
      </c>
      <c r="J3934" s="12"/>
    </row>
    <row r="3935" spans="3:10" x14ac:dyDescent="0.3">
      <c r="C3935" s="9" t="s">
        <v>12</v>
      </c>
      <c r="D3935" s="10">
        <v>45762</v>
      </c>
      <c r="E3935" t="s">
        <v>2952</v>
      </c>
      <c r="F3935" s="11" t="s">
        <v>3155</v>
      </c>
      <c r="G3935" s="8">
        <v>0</v>
      </c>
      <c r="H3935" s="8">
        <v>7.27</v>
      </c>
      <c r="I3935" s="8">
        <f t="shared" si="126"/>
        <v>-4715.6899999999978</v>
      </c>
      <c r="J3935" s="12"/>
    </row>
    <row r="3936" spans="3:10" x14ac:dyDescent="0.3">
      <c r="C3936" s="9" t="s">
        <v>12</v>
      </c>
      <c r="D3936" s="10">
        <v>45762</v>
      </c>
      <c r="E3936" t="s">
        <v>3156</v>
      </c>
      <c r="F3936" s="11" t="s">
        <v>1334</v>
      </c>
      <c r="G3936" s="8">
        <v>0</v>
      </c>
      <c r="H3936" s="8">
        <v>23.1</v>
      </c>
      <c r="I3936" s="8">
        <f t="shared" si="126"/>
        <v>-4738.7899999999981</v>
      </c>
      <c r="J3936" s="12"/>
    </row>
    <row r="3937" spans="3:10" x14ac:dyDescent="0.3">
      <c r="C3937" s="9" t="s">
        <v>12</v>
      </c>
      <c r="D3937" s="10">
        <v>45762</v>
      </c>
      <c r="E3937" t="s">
        <v>2927</v>
      </c>
      <c r="F3937" s="11" t="s">
        <v>2059</v>
      </c>
      <c r="G3937" s="8">
        <v>0</v>
      </c>
      <c r="H3937" s="8">
        <v>27.3</v>
      </c>
      <c r="I3937" s="8">
        <f t="shared" si="126"/>
        <v>-4766.0899999999983</v>
      </c>
      <c r="J3937" s="12"/>
    </row>
    <row r="3938" spans="3:10" x14ac:dyDescent="0.3">
      <c r="C3938" s="9" t="s">
        <v>12</v>
      </c>
      <c r="D3938" s="10">
        <v>45762</v>
      </c>
      <c r="E3938" t="s">
        <v>2851</v>
      </c>
      <c r="F3938" s="11" t="s">
        <v>3157</v>
      </c>
      <c r="G3938" s="8">
        <v>0</v>
      </c>
      <c r="H3938" s="8">
        <v>-688.8</v>
      </c>
      <c r="I3938" s="8">
        <f t="shared" si="126"/>
        <v>-4077.2899999999981</v>
      </c>
      <c r="J3938" s="12"/>
    </row>
    <row r="3939" spans="3:10" x14ac:dyDescent="0.3">
      <c r="C3939" s="9" t="s">
        <v>12</v>
      </c>
      <c r="D3939" s="10">
        <v>45762</v>
      </c>
      <c r="E3939" t="s">
        <v>2829</v>
      </c>
      <c r="F3939" s="11" t="s">
        <v>3158</v>
      </c>
      <c r="G3939" s="8">
        <v>0</v>
      </c>
      <c r="H3939" s="8">
        <v>222.07</v>
      </c>
      <c r="I3939" s="8">
        <f t="shared" si="126"/>
        <v>-4299.3599999999979</v>
      </c>
      <c r="J3939" s="12"/>
    </row>
    <row r="3940" spans="3:10" x14ac:dyDescent="0.3">
      <c r="C3940" s="9" t="s">
        <v>12</v>
      </c>
      <c r="D3940" s="10">
        <v>45762</v>
      </c>
      <c r="E3940" t="s">
        <v>2952</v>
      </c>
      <c r="F3940" s="11" t="s">
        <v>3159</v>
      </c>
      <c r="G3940" s="8">
        <v>0</v>
      </c>
      <c r="H3940" s="8">
        <v>477.75</v>
      </c>
      <c r="I3940" s="8">
        <f t="shared" si="126"/>
        <v>-4777.1099999999979</v>
      </c>
      <c r="J3940" s="12"/>
    </row>
    <row r="3941" spans="3:10" x14ac:dyDescent="0.3">
      <c r="C3941" s="9" t="s">
        <v>12</v>
      </c>
      <c r="D3941" s="10">
        <v>45763</v>
      </c>
      <c r="E3941" t="s">
        <v>3092</v>
      </c>
      <c r="F3941" s="11" t="s">
        <v>1636</v>
      </c>
      <c r="G3941" s="8">
        <v>0</v>
      </c>
      <c r="H3941" s="8">
        <v>-125.72</v>
      </c>
      <c r="I3941" s="8">
        <f t="shared" si="126"/>
        <v>-4651.3899999999976</v>
      </c>
      <c r="J3941" s="12"/>
    </row>
    <row r="3942" spans="3:10" x14ac:dyDescent="0.3">
      <c r="C3942" s="9" t="s">
        <v>12</v>
      </c>
      <c r="D3942" s="10">
        <v>45763</v>
      </c>
      <c r="E3942" t="s">
        <v>3092</v>
      </c>
      <c r="F3942" s="11" t="s">
        <v>1638</v>
      </c>
      <c r="G3942" s="8">
        <v>0</v>
      </c>
      <c r="H3942" s="8">
        <v>110.95</v>
      </c>
      <c r="I3942" s="8">
        <f t="shared" si="126"/>
        <v>-4762.3399999999974</v>
      </c>
      <c r="J3942" s="12"/>
    </row>
    <row r="3943" spans="3:10" x14ac:dyDescent="0.3">
      <c r="C3943" s="9" t="s">
        <v>12</v>
      </c>
      <c r="D3943" s="10">
        <v>45769</v>
      </c>
      <c r="E3943" t="s">
        <v>2772</v>
      </c>
      <c r="F3943" s="11" t="s">
        <v>3160</v>
      </c>
      <c r="G3943" s="8">
        <v>0</v>
      </c>
      <c r="H3943" s="8">
        <v>27.3</v>
      </c>
      <c r="I3943" s="8">
        <f t="shared" si="126"/>
        <v>-4789.6399999999976</v>
      </c>
      <c r="J3943" s="12"/>
    </row>
    <row r="3944" spans="3:10" x14ac:dyDescent="0.3">
      <c r="C3944" s="9" t="s">
        <v>12</v>
      </c>
      <c r="D3944" s="10">
        <v>45769</v>
      </c>
      <c r="E3944" t="s">
        <v>3161</v>
      </c>
      <c r="F3944" s="11" t="s">
        <v>3162</v>
      </c>
      <c r="G3944" s="8">
        <v>0</v>
      </c>
      <c r="H3944" s="8">
        <v>29.4</v>
      </c>
      <c r="I3944" s="8">
        <f t="shared" si="126"/>
        <v>-4819.0399999999972</v>
      </c>
      <c r="J3944" s="12"/>
    </row>
    <row r="3945" spans="3:10" x14ac:dyDescent="0.3">
      <c r="C3945" s="9" t="s">
        <v>12</v>
      </c>
      <c r="D3945" s="10">
        <v>45769</v>
      </c>
      <c r="E3945" t="s">
        <v>3163</v>
      </c>
      <c r="F3945" s="11" t="s">
        <v>1131</v>
      </c>
      <c r="G3945" s="8">
        <v>0</v>
      </c>
      <c r="H3945" s="8">
        <v>39.5</v>
      </c>
      <c r="I3945" s="8">
        <f t="shared" si="126"/>
        <v>-4858.5399999999972</v>
      </c>
      <c r="J3945" s="12"/>
    </row>
    <row r="3946" spans="3:10" x14ac:dyDescent="0.3">
      <c r="C3946" s="9" t="s">
        <v>12</v>
      </c>
      <c r="D3946" s="10">
        <v>45769</v>
      </c>
      <c r="E3946" t="s">
        <v>3164</v>
      </c>
      <c r="F3946" s="11" t="s">
        <v>3165</v>
      </c>
      <c r="G3946" s="8">
        <v>0</v>
      </c>
      <c r="H3946" s="8">
        <v>30.37</v>
      </c>
      <c r="I3946" s="8">
        <f t="shared" si="126"/>
        <v>-4888.9099999999971</v>
      </c>
      <c r="J3946" s="12"/>
    </row>
    <row r="3947" spans="3:10" x14ac:dyDescent="0.3">
      <c r="C3947" s="9" t="s">
        <v>12</v>
      </c>
      <c r="D3947" s="10">
        <v>45769</v>
      </c>
      <c r="E3947" t="s">
        <v>2828</v>
      </c>
      <c r="F3947" s="11" t="s">
        <v>2103</v>
      </c>
      <c r="G3947" s="8">
        <v>0</v>
      </c>
      <c r="H3947" s="8">
        <v>30.53</v>
      </c>
      <c r="I3947" s="8">
        <f t="shared" si="126"/>
        <v>-4919.4399999999969</v>
      </c>
      <c r="J3947" s="12"/>
    </row>
    <row r="3948" spans="3:10" x14ac:dyDescent="0.3">
      <c r="C3948" s="9" t="s">
        <v>12</v>
      </c>
      <c r="D3948" s="10">
        <v>45769</v>
      </c>
      <c r="E3948" t="s">
        <v>2815</v>
      </c>
      <c r="F3948" s="11" t="s">
        <v>1047</v>
      </c>
      <c r="G3948" s="8">
        <v>0</v>
      </c>
      <c r="H3948" s="8">
        <v>45.05</v>
      </c>
      <c r="I3948" s="8">
        <f t="shared" si="126"/>
        <v>-4964.4899999999971</v>
      </c>
      <c r="J3948" s="12"/>
    </row>
    <row r="3949" spans="3:10" x14ac:dyDescent="0.3">
      <c r="C3949" s="9" t="s">
        <v>12</v>
      </c>
      <c r="D3949" s="10">
        <v>45769</v>
      </c>
      <c r="E3949" t="s">
        <v>2815</v>
      </c>
      <c r="F3949" s="11" t="s">
        <v>1049</v>
      </c>
      <c r="G3949" s="8">
        <v>0</v>
      </c>
      <c r="H3949" s="8">
        <v>49.14</v>
      </c>
      <c r="I3949" s="8">
        <f t="shared" si="126"/>
        <v>-5013.6299999999974</v>
      </c>
      <c r="J3949" s="12"/>
    </row>
    <row r="3950" spans="3:10" x14ac:dyDescent="0.3">
      <c r="C3950" s="9" t="s">
        <v>12</v>
      </c>
      <c r="D3950" s="10">
        <v>45769</v>
      </c>
      <c r="E3950" t="s">
        <v>2815</v>
      </c>
      <c r="F3950" s="11" t="s">
        <v>1051</v>
      </c>
      <c r="G3950" s="8">
        <v>0</v>
      </c>
      <c r="H3950" s="8">
        <v>76.44</v>
      </c>
      <c r="I3950" s="8">
        <f t="shared" si="126"/>
        <v>-5090.069999999997</v>
      </c>
      <c r="J3950" s="12"/>
    </row>
    <row r="3951" spans="3:10" x14ac:dyDescent="0.3">
      <c r="C3951" s="9" t="s">
        <v>12</v>
      </c>
      <c r="D3951" s="10">
        <v>45769</v>
      </c>
      <c r="E3951" t="s">
        <v>2815</v>
      </c>
      <c r="F3951" s="11" t="s">
        <v>1053</v>
      </c>
      <c r="G3951" s="8">
        <v>0</v>
      </c>
      <c r="H3951" s="8">
        <v>45.05</v>
      </c>
      <c r="I3951" s="8">
        <f t="shared" si="126"/>
        <v>-5135.1199999999972</v>
      </c>
      <c r="J3951" s="12"/>
    </row>
    <row r="3952" spans="3:10" x14ac:dyDescent="0.3">
      <c r="C3952" s="9" t="s">
        <v>12</v>
      </c>
      <c r="D3952" s="10">
        <v>45769</v>
      </c>
      <c r="E3952" t="s">
        <v>2815</v>
      </c>
      <c r="F3952" s="11" t="s">
        <v>1055</v>
      </c>
      <c r="G3952" s="8">
        <v>0</v>
      </c>
      <c r="H3952" s="8">
        <v>303.02999999999997</v>
      </c>
      <c r="I3952" s="8">
        <f t="shared" si="126"/>
        <v>-5438.1499999999969</v>
      </c>
      <c r="J3952" s="12"/>
    </row>
    <row r="3953" spans="3:10" x14ac:dyDescent="0.3">
      <c r="C3953" s="9" t="s">
        <v>12</v>
      </c>
      <c r="D3953" s="10">
        <v>45770</v>
      </c>
      <c r="E3953" t="s">
        <v>2956</v>
      </c>
      <c r="F3953" s="11" t="s">
        <v>1091</v>
      </c>
      <c r="G3953" s="8">
        <v>0</v>
      </c>
      <c r="H3953" s="8">
        <v>17.850000000000001</v>
      </c>
      <c r="I3953" s="8">
        <f t="shared" si="126"/>
        <v>-5455.9999999999973</v>
      </c>
      <c r="J3953" s="12"/>
    </row>
    <row r="3954" spans="3:10" x14ac:dyDescent="0.3">
      <c r="C3954" s="9" t="s">
        <v>12</v>
      </c>
      <c r="D3954" s="10">
        <v>45770</v>
      </c>
      <c r="E3954" t="s">
        <v>2732</v>
      </c>
      <c r="F3954" s="11" t="s">
        <v>3166</v>
      </c>
      <c r="G3954" s="8">
        <v>0</v>
      </c>
      <c r="H3954" s="8">
        <v>79.459999999999994</v>
      </c>
      <c r="I3954" s="8">
        <f t="shared" si="126"/>
        <v>-5535.4599999999973</v>
      </c>
      <c r="J3954" s="12"/>
    </row>
    <row r="3955" spans="3:10" x14ac:dyDescent="0.3">
      <c r="C3955" s="9" t="s">
        <v>12</v>
      </c>
      <c r="D3955" s="10">
        <v>45770</v>
      </c>
      <c r="E3955" t="s">
        <v>3020</v>
      </c>
      <c r="F3955" s="11" t="s">
        <v>3167</v>
      </c>
      <c r="G3955" s="8">
        <v>0</v>
      </c>
      <c r="H3955" s="8">
        <v>26.86</v>
      </c>
      <c r="I3955" s="8">
        <f t="shared" si="126"/>
        <v>-5562.319999999997</v>
      </c>
      <c r="J3955" s="12"/>
    </row>
    <row r="3956" spans="3:10" x14ac:dyDescent="0.3">
      <c r="C3956" s="9" t="s">
        <v>12</v>
      </c>
      <c r="D3956" s="10">
        <v>45770</v>
      </c>
      <c r="E3956" t="s">
        <v>3125</v>
      </c>
      <c r="F3956" s="11" t="s">
        <v>3168</v>
      </c>
      <c r="G3956" s="8">
        <v>0</v>
      </c>
      <c r="H3956" s="8">
        <v>56.59</v>
      </c>
      <c r="I3956" s="8">
        <f t="shared" si="126"/>
        <v>-5618.9099999999971</v>
      </c>
      <c r="J3956" s="12"/>
    </row>
    <row r="3957" spans="3:10" x14ac:dyDescent="0.3">
      <c r="C3957" s="9" t="s">
        <v>12</v>
      </c>
      <c r="D3957" s="10">
        <v>45770</v>
      </c>
      <c r="E3957" t="s">
        <v>3025</v>
      </c>
      <c r="F3957" s="11" t="s">
        <v>3169</v>
      </c>
      <c r="G3957" s="8">
        <v>0</v>
      </c>
      <c r="H3957" s="8">
        <v>47.01</v>
      </c>
      <c r="I3957" s="8">
        <f t="shared" si="126"/>
        <v>-5665.9199999999973</v>
      </c>
      <c r="J3957" s="12"/>
    </row>
    <row r="3958" spans="3:10" x14ac:dyDescent="0.3">
      <c r="C3958" s="9" t="s">
        <v>12</v>
      </c>
      <c r="D3958" s="10">
        <v>45770</v>
      </c>
      <c r="E3958" t="s">
        <v>3170</v>
      </c>
      <c r="F3958" s="11" t="s">
        <v>3171</v>
      </c>
      <c r="G3958" s="8">
        <v>0</v>
      </c>
      <c r="H3958" s="8">
        <v>56.59</v>
      </c>
      <c r="I3958" s="8">
        <f t="shared" si="126"/>
        <v>-5722.5099999999975</v>
      </c>
      <c r="J3958" s="12"/>
    </row>
    <row r="3959" spans="3:10" x14ac:dyDescent="0.3">
      <c r="C3959" s="9" t="s">
        <v>12</v>
      </c>
      <c r="D3959" s="10">
        <v>45770</v>
      </c>
      <c r="E3959" t="s">
        <v>2942</v>
      </c>
      <c r="F3959" s="11" t="s">
        <v>3172</v>
      </c>
      <c r="G3959" s="8">
        <v>0</v>
      </c>
      <c r="H3959" s="8">
        <v>83.84</v>
      </c>
      <c r="I3959" s="8">
        <f t="shared" si="126"/>
        <v>-5806.3499999999976</v>
      </c>
      <c r="J3959" s="12"/>
    </row>
    <row r="3960" spans="3:10" x14ac:dyDescent="0.3">
      <c r="C3960" s="9" t="s">
        <v>12</v>
      </c>
      <c r="D3960" s="10">
        <v>45770</v>
      </c>
      <c r="E3960" t="s">
        <v>2747</v>
      </c>
      <c r="F3960" s="11" t="s">
        <v>2036</v>
      </c>
      <c r="G3960" s="8">
        <v>0</v>
      </c>
      <c r="H3960" s="8">
        <v>50.49</v>
      </c>
      <c r="I3960" s="8">
        <f t="shared" si="126"/>
        <v>-5856.8399999999974</v>
      </c>
      <c r="J3960" s="12"/>
    </row>
    <row r="3961" spans="3:10" x14ac:dyDescent="0.3">
      <c r="C3961" s="9" t="s">
        <v>12</v>
      </c>
      <c r="D3961" s="10">
        <v>45770</v>
      </c>
      <c r="E3961" t="s">
        <v>3099</v>
      </c>
      <c r="F3961" s="11" t="s">
        <v>3173</v>
      </c>
      <c r="G3961" s="8">
        <v>0</v>
      </c>
      <c r="H3961" s="8">
        <v>23.1</v>
      </c>
      <c r="I3961" s="8">
        <f t="shared" si="126"/>
        <v>-5879.9399999999978</v>
      </c>
      <c r="J3961" s="12"/>
    </row>
    <row r="3962" spans="3:10" x14ac:dyDescent="0.3">
      <c r="C3962" s="9" t="s">
        <v>12</v>
      </c>
      <c r="D3962" s="10">
        <v>45770</v>
      </c>
      <c r="E3962" t="s">
        <v>2784</v>
      </c>
      <c r="F3962" s="11" t="s">
        <v>1065</v>
      </c>
      <c r="G3962" s="8">
        <v>0</v>
      </c>
      <c r="H3962" s="8">
        <v>57.68</v>
      </c>
      <c r="I3962" s="8">
        <f t="shared" si="126"/>
        <v>-5937.6199999999981</v>
      </c>
      <c r="J3962" s="12"/>
    </row>
    <row r="3963" spans="3:10" x14ac:dyDescent="0.3">
      <c r="C3963" s="9" t="s">
        <v>12</v>
      </c>
      <c r="D3963" s="10">
        <v>45770</v>
      </c>
      <c r="E3963" t="s">
        <v>2926</v>
      </c>
      <c r="F3963" s="11" t="s">
        <v>2293</v>
      </c>
      <c r="G3963" s="8">
        <v>0</v>
      </c>
      <c r="H3963" s="8">
        <v>41.06</v>
      </c>
      <c r="I3963" s="8">
        <f t="shared" si="126"/>
        <v>-5978.6799999999985</v>
      </c>
      <c r="J3963" s="12"/>
    </row>
    <row r="3964" spans="3:10" x14ac:dyDescent="0.3">
      <c r="C3964" s="9" t="s">
        <v>12</v>
      </c>
      <c r="D3964" s="10">
        <v>45771</v>
      </c>
      <c r="E3964" t="s">
        <v>2880</v>
      </c>
      <c r="F3964" s="11" t="s">
        <v>3174</v>
      </c>
      <c r="G3964" s="8">
        <v>0</v>
      </c>
      <c r="H3964" s="8">
        <v>48.82</v>
      </c>
      <c r="I3964" s="8">
        <f t="shared" si="126"/>
        <v>-6027.4999999999982</v>
      </c>
      <c r="J3964" s="12"/>
    </row>
    <row r="3965" spans="3:10" x14ac:dyDescent="0.3">
      <c r="C3965" s="9" t="s">
        <v>12</v>
      </c>
      <c r="D3965" s="10">
        <v>45771</v>
      </c>
      <c r="E3965" t="s">
        <v>2772</v>
      </c>
      <c r="F3965" s="11" t="s">
        <v>3175</v>
      </c>
      <c r="G3965" s="8">
        <v>0</v>
      </c>
      <c r="H3965" s="8">
        <v>22.05</v>
      </c>
      <c r="I3965" s="8">
        <f t="shared" si="126"/>
        <v>-6049.5499999999984</v>
      </c>
      <c r="J3965" s="12"/>
    </row>
    <row r="3966" spans="3:10" x14ac:dyDescent="0.3">
      <c r="C3966" s="9" t="s">
        <v>12</v>
      </c>
      <c r="D3966" s="10">
        <v>45771</v>
      </c>
      <c r="E3966" t="s">
        <v>3176</v>
      </c>
      <c r="F3966" s="11" t="s">
        <v>2318</v>
      </c>
      <c r="G3966" s="8">
        <v>0</v>
      </c>
      <c r="H3966" s="8">
        <v>58.79</v>
      </c>
      <c r="I3966" s="8">
        <f t="shared" si="126"/>
        <v>-6108.3399999999983</v>
      </c>
      <c r="J3966" s="12"/>
    </row>
    <row r="3967" spans="3:10" x14ac:dyDescent="0.3">
      <c r="C3967" s="9" t="s">
        <v>12</v>
      </c>
      <c r="D3967" s="10">
        <v>45771</v>
      </c>
      <c r="E3967" t="s">
        <v>2838</v>
      </c>
      <c r="F3967" s="11" t="s">
        <v>3177</v>
      </c>
      <c r="G3967" s="8">
        <v>0</v>
      </c>
      <c r="H3967" s="8">
        <v>17.850000000000001</v>
      </c>
      <c r="I3967" s="8">
        <f t="shared" si="126"/>
        <v>-6126.1899999999987</v>
      </c>
      <c r="J3967" s="12"/>
    </row>
    <row r="3968" spans="3:10" x14ac:dyDescent="0.3">
      <c r="C3968" s="9" t="s">
        <v>12</v>
      </c>
      <c r="D3968" s="10">
        <v>45771</v>
      </c>
      <c r="E3968" t="s">
        <v>2970</v>
      </c>
      <c r="F3968" s="11" t="s">
        <v>1506</v>
      </c>
      <c r="G3968" s="8">
        <v>0</v>
      </c>
      <c r="H3968" s="8">
        <v>23.1</v>
      </c>
      <c r="I3968" s="8">
        <f t="shared" si="126"/>
        <v>-6149.2899999999991</v>
      </c>
      <c r="J3968" s="12"/>
    </row>
    <row r="3969" spans="3:10" x14ac:dyDescent="0.3">
      <c r="C3969" s="9" t="s">
        <v>12</v>
      </c>
      <c r="D3969" s="10">
        <v>45772</v>
      </c>
      <c r="E3969" t="s">
        <v>2766</v>
      </c>
      <c r="F3969" s="11" t="s">
        <v>3178</v>
      </c>
      <c r="G3969" s="8">
        <v>0</v>
      </c>
      <c r="H3969" s="8">
        <v>25.98</v>
      </c>
      <c r="I3969" s="8">
        <f t="shared" si="126"/>
        <v>-6175.2699999999986</v>
      </c>
      <c r="J3969" s="12"/>
    </row>
    <row r="3970" spans="3:10" x14ac:dyDescent="0.3">
      <c r="C3970" s="9" t="s">
        <v>12</v>
      </c>
      <c r="D3970" s="10">
        <v>45772</v>
      </c>
      <c r="E3970" t="s">
        <v>2928</v>
      </c>
      <c r="F3970" s="11" t="s">
        <v>1195</v>
      </c>
      <c r="G3970" s="8">
        <v>0</v>
      </c>
      <c r="H3970" s="8">
        <v>72.58</v>
      </c>
      <c r="I3970" s="8">
        <f t="shared" si="126"/>
        <v>-6247.8499999999985</v>
      </c>
      <c r="J3970" s="12"/>
    </row>
    <row r="3971" spans="3:10" x14ac:dyDescent="0.3">
      <c r="C3971" s="9" t="s">
        <v>12</v>
      </c>
      <c r="D3971" s="10">
        <v>45772</v>
      </c>
      <c r="E3971" t="s">
        <v>2764</v>
      </c>
      <c r="F3971" s="11" t="s">
        <v>3179</v>
      </c>
      <c r="G3971" s="8">
        <v>0</v>
      </c>
      <c r="H3971" s="8">
        <v>65.989999999999995</v>
      </c>
      <c r="I3971" s="8">
        <f t="shared" si="126"/>
        <v>-6313.8399999999983</v>
      </c>
      <c r="J3971" s="12"/>
    </row>
    <row r="3972" spans="3:10" x14ac:dyDescent="0.3">
      <c r="C3972" s="9" t="s">
        <v>12</v>
      </c>
      <c r="D3972" s="10">
        <v>45772</v>
      </c>
      <c r="E3972" t="s">
        <v>2825</v>
      </c>
      <c r="F3972" s="11" t="s">
        <v>1391</v>
      </c>
      <c r="G3972" s="8">
        <v>0</v>
      </c>
      <c r="H3972" s="8">
        <v>23.1</v>
      </c>
      <c r="I3972" s="8">
        <f t="shared" si="126"/>
        <v>-6336.9399999999987</v>
      </c>
      <c r="J3972" s="12"/>
    </row>
    <row r="3973" spans="3:10" x14ac:dyDescent="0.3">
      <c r="C3973" s="9" t="s">
        <v>12</v>
      </c>
      <c r="D3973" s="10">
        <v>45775</v>
      </c>
      <c r="E3973" t="s">
        <v>3180</v>
      </c>
      <c r="F3973" s="11" t="s">
        <v>3181</v>
      </c>
      <c r="G3973" s="8">
        <v>0</v>
      </c>
      <c r="H3973" s="8">
        <v>43.05</v>
      </c>
      <c r="I3973" s="8">
        <f t="shared" si="126"/>
        <v>-6379.9899999999989</v>
      </c>
      <c r="J3973" s="12"/>
    </row>
    <row r="3974" spans="3:10" x14ac:dyDescent="0.3">
      <c r="C3974" s="9" t="s">
        <v>12</v>
      </c>
      <c r="D3974" s="10">
        <v>45776</v>
      </c>
      <c r="E3974" t="s">
        <v>2820</v>
      </c>
      <c r="F3974" s="11" t="s">
        <v>3182</v>
      </c>
      <c r="G3974" s="8">
        <v>0</v>
      </c>
      <c r="H3974" s="8">
        <v>67.41</v>
      </c>
      <c r="I3974" s="8">
        <f t="shared" si="126"/>
        <v>-6447.3999999999987</v>
      </c>
      <c r="J3974" s="12"/>
    </row>
    <row r="3975" spans="3:10" x14ac:dyDescent="0.3">
      <c r="C3975" s="9" t="s">
        <v>12</v>
      </c>
      <c r="D3975" s="10">
        <v>45776</v>
      </c>
      <c r="E3975" t="s">
        <v>2919</v>
      </c>
      <c r="F3975" s="11" t="s">
        <v>3183</v>
      </c>
      <c r="G3975" s="8">
        <v>0</v>
      </c>
      <c r="H3975" s="8">
        <v>27.3</v>
      </c>
      <c r="I3975" s="8">
        <f t="shared" si="126"/>
        <v>-6474.6999999999989</v>
      </c>
      <c r="J3975" s="12"/>
    </row>
    <row r="3976" spans="3:10" x14ac:dyDescent="0.3">
      <c r="C3976" s="9" t="s">
        <v>12</v>
      </c>
      <c r="D3976" s="10">
        <v>45776</v>
      </c>
      <c r="E3976" t="s">
        <v>3151</v>
      </c>
      <c r="F3976" s="11" t="s">
        <v>3184</v>
      </c>
      <c r="G3976" s="8">
        <v>0</v>
      </c>
      <c r="H3976" s="8">
        <v>17.850000000000001</v>
      </c>
      <c r="I3976" s="8">
        <f t="shared" si="126"/>
        <v>-6492.5499999999993</v>
      </c>
      <c r="J3976" s="12"/>
    </row>
    <row r="3977" spans="3:10" x14ac:dyDescent="0.3">
      <c r="C3977" s="9" t="s">
        <v>12</v>
      </c>
      <c r="D3977" s="10">
        <v>45776</v>
      </c>
      <c r="E3977" t="s">
        <v>3029</v>
      </c>
      <c r="F3977" s="11" t="s">
        <v>1752</v>
      </c>
      <c r="G3977" s="8">
        <v>0</v>
      </c>
      <c r="H3977" s="8">
        <v>883.73</v>
      </c>
      <c r="I3977" s="8">
        <f t="shared" si="126"/>
        <v>-7376.2799999999988</v>
      </c>
      <c r="J3977" s="12"/>
    </row>
    <row r="3978" spans="3:10" x14ac:dyDescent="0.3">
      <c r="C3978" s="9" t="s">
        <v>12</v>
      </c>
      <c r="D3978" s="10">
        <v>45776</v>
      </c>
      <c r="E3978" t="s">
        <v>2783</v>
      </c>
      <c r="F3978" s="11" t="s">
        <v>1299</v>
      </c>
      <c r="G3978" s="8">
        <v>0</v>
      </c>
      <c r="H3978" s="8">
        <v>208.73</v>
      </c>
      <c r="I3978" s="8">
        <f t="shared" si="126"/>
        <v>-7585.0099999999984</v>
      </c>
      <c r="J3978" s="12"/>
    </row>
    <row r="3979" spans="3:10" x14ac:dyDescent="0.3">
      <c r="C3979" s="9" t="s">
        <v>12</v>
      </c>
      <c r="D3979" s="10">
        <v>45776</v>
      </c>
      <c r="E3979" t="s">
        <v>2926</v>
      </c>
      <c r="F3979" s="11" t="s">
        <v>2295</v>
      </c>
      <c r="G3979" s="8">
        <v>0</v>
      </c>
      <c r="H3979" s="8">
        <v>98.79</v>
      </c>
      <c r="I3979" s="8">
        <f t="shared" ref="I3979:I4042" si="127">G3979-H3979+I3978</f>
        <v>-7683.7999999999984</v>
      </c>
      <c r="J3979" s="12"/>
    </row>
    <row r="3980" spans="3:10" x14ac:dyDescent="0.3">
      <c r="C3980" s="9" t="s">
        <v>12</v>
      </c>
      <c r="D3980" s="10">
        <v>45776</v>
      </c>
      <c r="E3980" t="s">
        <v>3120</v>
      </c>
      <c r="F3980" s="11" t="s">
        <v>1731</v>
      </c>
      <c r="G3980" s="8">
        <v>0</v>
      </c>
      <c r="H3980" s="8">
        <v>49.04</v>
      </c>
      <c r="I3980" s="8">
        <f t="shared" si="127"/>
        <v>-7732.8399999999983</v>
      </c>
      <c r="J3980" s="12"/>
    </row>
    <row r="3981" spans="3:10" x14ac:dyDescent="0.3">
      <c r="C3981" s="9" t="s">
        <v>12</v>
      </c>
      <c r="D3981" s="10">
        <v>45776</v>
      </c>
      <c r="E3981" t="s">
        <v>2794</v>
      </c>
      <c r="F3981" s="11" t="s">
        <v>1467</v>
      </c>
      <c r="G3981" s="8">
        <v>0</v>
      </c>
      <c r="H3981" s="8">
        <v>56.16</v>
      </c>
      <c r="I3981" s="8">
        <f t="shared" si="127"/>
        <v>-7788.9999999999982</v>
      </c>
      <c r="J3981" s="12"/>
    </row>
    <row r="3982" spans="3:10" x14ac:dyDescent="0.3">
      <c r="C3982" s="9" t="s">
        <v>12</v>
      </c>
      <c r="D3982" s="10">
        <v>45776</v>
      </c>
      <c r="E3982" t="s">
        <v>2734</v>
      </c>
      <c r="F3982" s="11" t="s">
        <v>2023</v>
      </c>
      <c r="G3982" s="8">
        <v>0</v>
      </c>
      <c r="H3982" s="8">
        <v>28.35</v>
      </c>
      <c r="I3982" s="8">
        <f t="shared" si="127"/>
        <v>-7817.3499999999985</v>
      </c>
      <c r="J3982" s="12"/>
    </row>
    <row r="3983" spans="3:10" x14ac:dyDescent="0.3">
      <c r="C3983" s="9" t="s">
        <v>12</v>
      </c>
      <c r="D3983" s="10">
        <v>45776</v>
      </c>
      <c r="E3983" t="s">
        <v>2809</v>
      </c>
      <c r="F3983" s="11" t="s">
        <v>3185</v>
      </c>
      <c r="G3983" s="8">
        <v>0</v>
      </c>
      <c r="H3983" s="8">
        <v>23.1</v>
      </c>
      <c r="I3983" s="8">
        <f t="shared" si="127"/>
        <v>-7840.4499999999989</v>
      </c>
      <c r="J3983" s="12"/>
    </row>
    <row r="3984" spans="3:10" x14ac:dyDescent="0.3">
      <c r="C3984" s="9" t="s">
        <v>12</v>
      </c>
      <c r="D3984" s="10">
        <v>45776</v>
      </c>
      <c r="E3984" t="s">
        <v>2748</v>
      </c>
      <c r="F3984" s="11" t="s">
        <v>1572</v>
      </c>
      <c r="G3984" s="8">
        <v>0</v>
      </c>
      <c r="H3984" s="8">
        <v>23.1</v>
      </c>
      <c r="I3984" s="8">
        <f t="shared" si="127"/>
        <v>-7863.5499999999993</v>
      </c>
      <c r="J3984" s="12"/>
    </row>
    <row r="3985" spans="3:10" x14ac:dyDescent="0.3">
      <c r="C3985" s="9" t="s">
        <v>12</v>
      </c>
      <c r="D3985" s="10">
        <v>45776</v>
      </c>
      <c r="E3985" t="s">
        <v>3037</v>
      </c>
      <c r="F3985" s="11" t="s">
        <v>2237</v>
      </c>
      <c r="G3985" s="8">
        <v>0</v>
      </c>
      <c r="H3985" s="8">
        <v>31.47</v>
      </c>
      <c r="I3985" s="8">
        <f t="shared" si="127"/>
        <v>-7895.0199999999995</v>
      </c>
      <c r="J3985" s="12"/>
    </row>
    <row r="3986" spans="3:10" x14ac:dyDescent="0.3">
      <c r="C3986" s="9" t="s">
        <v>12</v>
      </c>
      <c r="D3986" s="10">
        <v>45777</v>
      </c>
      <c r="E3986" t="s">
        <v>3186</v>
      </c>
      <c r="F3986" s="11" t="s">
        <v>3187</v>
      </c>
      <c r="G3986" s="8">
        <v>0</v>
      </c>
      <c r="H3986" s="8">
        <v>36.369999999999997</v>
      </c>
      <c r="I3986" s="8">
        <f t="shared" si="127"/>
        <v>-7931.3899999999994</v>
      </c>
      <c r="J3986" s="12"/>
    </row>
    <row r="3987" spans="3:10" x14ac:dyDescent="0.3">
      <c r="C3987" s="9" t="s">
        <v>12</v>
      </c>
      <c r="D3987" s="10">
        <v>45777</v>
      </c>
      <c r="E3987" t="s">
        <v>2789</v>
      </c>
      <c r="F3987" s="11" t="s">
        <v>2367</v>
      </c>
      <c r="G3987" s="8">
        <v>0</v>
      </c>
      <c r="H3987" s="8">
        <v>22.26</v>
      </c>
      <c r="I3987" s="8">
        <f t="shared" si="127"/>
        <v>-7953.65</v>
      </c>
      <c r="J3987" s="12"/>
    </row>
    <row r="3988" spans="3:10" x14ac:dyDescent="0.3">
      <c r="C3988" s="9" t="s">
        <v>12</v>
      </c>
      <c r="D3988" s="10">
        <v>45777</v>
      </c>
      <c r="E3988" t="s">
        <v>2996</v>
      </c>
      <c r="F3988" s="11" t="s">
        <v>3188</v>
      </c>
      <c r="G3988" s="8">
        <v>0</v>
      </c>
      <c r="H3988" s="8">
        <v>143.94</v>
      </c>
      <c r="I3988" s="8">
        <f t="shared" si="127"/>
        <v>-8097.5899999999992</v>
      </c>
      <c r="J3988" s="12"/>
    </row>
    <row r="3989" spans="3:10" x14ac:dyDescent="0.3">
      <c r="C3989" s="9" t="s">
        <v>12</v>
      </c>
      <c r="D3989" s="10">
        <v>45777</v>
      </c>
      <c r="E3989" t="s">
        <v>2895</v>
      </c>
      <c r="F3989" s="11" t="s">
        <v>3189</v>
      </c>
      <c r="G3989" s="8">
        <v>0</v>
      </c>
      <c r="H3989" s="8">
        <v>33.6</v>
      </c>
      <c r="I3989" s="8">
        <f t="shared" si="127"/>
        <v>-8131.19</v>
      </c>
      <c r="J3989" s="12"/>
    </row>
    <row r="3990" spans="3:10" x14ac:dyDescent="0.3">
      <c r="C3990" s="9" t="s">
        <v>12</v>
      </c>
      <c r="D3990" s="10">
        <v>45777</v>
      </c>
      <c r="E3990" t="s">
        <v>2927</v>
      </c>
      <c r="F3990" s="11" t="s">
        <v>2061</v>
      </c>
      <c r="G3990" s="8">
        <v>0</v>
      </c>
      <c r="H3990" s="8">
        <v>73.569999999999993</v>
      </c>
      <c r="I3990" s="8">
        <f t="shared" si="127"/>
        <v>-8204.76</v>
      </c>
      <c r="J3990" s="12"/>
    </row>
    <row r="3991" spans="3:10" x14ac:dyDescent="0.3">
      <c r="C3991" s="9" t="s">
        <v>12</v>
      </c>
      <c r="D3991" s="10">
        <v>45777</v>
      </c>
      <c r="E3991" t="s">
        <v>3042</v>
      </c>
      <c r="F3991" s="11" t="s">
        <v>1595</v>
      </c>
      <c r="G3991" s="8">
        <v>0</v>
      </c>
      <c r="H3991" s="8">
        <v>22.05</v>
      </c>
      <c r="I3991" s="8">
        <f t="shared" si="127"/>
        <v>-8226.81</v>
      </c>
      <c r="J3991" s="12"/>
    </row>
    <row r="3992" spans="3:10" x14ac:dyDescent="0.3">
      <c r="C3992" s="9" t="s">
        <v>12</v>
      </c>
      <c r="D3992" s="10">
        <v>45782</v>
      </c>
      <c r="E3992" t="s">
        <v>2844</v>
      </c>
      <c r="F3992" s="11" t="s">
        <v>3190</v>
      </c>
      <c r="G3992" s="8">
        <v>0</v>
      </c>
      <c r="H3992" s="8">
        <v>60.01</v>
      </c>
      <c r="I3992" s="8">
        <f t="shared" si="127"/>
        <v>-8286.82</v>
      </c>
      <c r="J3992" s="12"/>
    </row>
    <row r="3993" spans="3:10" x14ac:dyDescent="0.3">
      <c r="C3993" s="9" t="s">
        <v>12</v>
      </c>
      <c r="D3993" s="10">
        <v>45782</v>
      </c>
      <c r="E3993" t="s">
        <v>2846</v>
      </c>
      <c r="F3993" s="11" t="s">
        <v>1524</v>
      </c>
      <c r="G3993" s="8">
        <v>0</v>
      </c>
      <c r="H3993" s="8">
        <v>23.1</v>
      </c>
      <c r="I3993" s="8">
        <f t="shared" si="127"/>
        <v>-8309.92</v>
      </c>
      <c r="J3993" s="12"/>
    </row>
    <row r="3994" spans="3:10" x14ac:dyDescent="0.3">
      <c r="C3994" s="9" t="s">
        <v>12</v>
      </c>
      <c r="D3994" s="10">
        <v>45782</v>
      </c>
      <c r="E3994" t="s">
        <v>3191</v>
      </c>
      <c r="F3994" s="11" t="s">
        <v>3192</v>
      </c>
      <c r="G3994" s="8">
        <v>0</v>
      </c>
      <c r="H3994" s="8">
        <v>32.96</v>
      </c>
      <c r="I3994" s="8">
        <f t="shared" si="127"/>
        <v>-8342.8799999999992</v>
      </c>
      <c r="J3994" s="12"/>
    </row>
    <row r="3995" spans="3:10" x14ac:dyDescent="0.3">
      <c r="C3995" s="9" t="s">
        <v>12</v>
      </c>
      <c r="D3995" s="10">
        <v>45782</v>
      </c>
      <c r="E3995" t="s">
        <v>2880</v>
      </c>
      <c r="F3995" s="11" t="s">
        <v>3193</v>
      </c>
      <c r="G3995" s="8">
        <v>0</v>
      </c>
      <c r="H3995" s="8">
        <v>185.35</v>
      </c>
      <c r="I3995" s="8">
        <f t="shared" si="127"/>
        <v>-8528.23</v>
      </c>
      <c r="J3995" s="12"/>
    </row>
    <row r="3996" spans="3:10" x14ac:dyDescent="0.3">
      <c r="C3996" s="9" t="s">
        <v>12</v>
      </c>
      <c r="D3996" s="10">
        <v>45783</v>
      </c>
      <c r="E3996" t="s">
        <v>2771</v>
      </c>
      <c r="F3996" s="11" t="s">
        <v>1441</v>
      </c>
      <c r="G3996" s="8">
        <v>0</v>
      </c>
      <c r="H3996" s="8">
        <v>110.09</v>
      </c>
      <c r="I3996" s="8">
        <f t="shared" si="127"/>
        <v>-8638.32</v>
      </c>
      <c r="J3996" s="12"/>
    </row>
    <row r="3997" spans="3:10" x14ac:dyDescent="0.3">
      <c r="C3997" s="9" t="s">
        <v>12</v>
      </c>
      <c r="D3997" s="10">
        <v>45783</v>
      </c>
      <c r="E3997" t="s">
        <v>2748</v>
      </c>
      <c r="F3997" s="11" t="s">
        <v>1574</v>
      </c>
      <c r="G3997" s="8">
        <v>0</v>
      </c>
      <c r="H3997" s="8">
        <v>23.1</v>
      </c>
      <c r="I3997" s="8">
        <f t="shared" si="127"/>
        <v>-8661.42</v>
      </c>
      <c r="J3997" s="12"/>
    </row>
    <row r="3998" spans="3:10" x14ac:dyDescent="0.3">
      <c r="C3998" s="9" t="s">
        <v>12</v>
      </c>
      <c r="D3998" s="10">
        <v>45783</v>
      </c>
      <c r="E3998" t="s">
        <v>2956</v>
      </c>
      <c r="F3998" s="11" t="s">
        <v>1093</v>
      </c>
      <c r="G3998" s="8">
        <v>0</v>
      </c>
      <c r="H3998" s="8">
        <v>23.76</v>
      </c>
      <c r="I3998" s="8">
        <f t="shared" si="127"/>
        <v>-8685.18</v>
      </c>
      <c r="J3998" s="12"/>
    </row>
    <row r="3999" spans="3:10" x14ac:dyDescent="0.3">
      <c r="C3999" s="9" t="s">
        <v>12</v>
      </c>
      <c r="D3999" s="10">
        <v>45784</v>
      </c>
      <c r="E3999" t="s">
        <v>2783</v>
      </c>
      <c r="F3999" s="11" t="s">
        <v>1301</v>
      </c>
      <c r="G3999" s="8">
        <v>0</v>
      </c>
      <c r="H3999" s="8">
        <v>176.82</v>
      </c>
      <c r="I3999" s="8">
        <f t="shared" si="127"/>
        <v>-8862</v>
      </c>
      <c r="J3999" s="12"/>
    </row>
    <row r="4000" spans="3:10" x14ac:dyDescent="0.3">
      <c r="C4000" s="9" t="s">
        <v>12</v>
      </c>
      <c r="D4000" s="10">
        <v>45784</v>
      </c>
      <c r="E4000" t="s">
        <v>2880</v>
      </c>
      <c r="F4000" s="11" t="s">
        <v>3194</v>
      </c>
      <c r="G4000" s="8">
        <v>0</v>
      </c>
      <c r="H4000" s="8">
        <v>71.34</v>
      </c>
      <c r="I4000" s="8">
        <f t="shared" si="127"/>
        <v>-8933.34</v>
      </c>
      <c r="J4000" s="12"/>
    </row>
    <row r="4001" spans="3:10" x14ac:dyDescent="0.3">
      <c r="C4001" s="9" t="s">
        <v>12</v>
      </c>
      <c r="D4001" s="10">
        <v>45784</v>
      </c>
      <c r="E4001" t="s">
        <v>3180</v>
      </c>
      <c r="F4001" s="11" t="s">
        <v>3195</v>
      </c>
      <c r="G4001" s="8">
        <v>0</v>
      </c>
      <c r="H4001" s="8">
        <v>37.799999999999997</v>
      </c>
      <c r="I4001" s="8">
        <f t="shared" si="127"/>
        <v>-8971.14</v>
      </c>
      <c r="J4001" s="12"/>
    </row>
    <row r="4002" spans="3:10" x14ac:dyDescent="0.3">
      <c r="C4002" s="9" t="s">
        <v>12</v>
      </c>
      <c r="D4002" s="10">
        <v>45784</v>
      </c>
      <c r="E4002" t="s">
        <v>2747</v>
      </c>
      <c r="F4002" s="11" t="s">
        <v>2038</v>
      </c>
      <c r="G4002" s="8">
        <v>0</v>
      </c>
      <c r="H4002" s="8">
        <v>396.12</v>
      </c>
      <c r="I4002" s="8">
        <f t="shared" si="127"/>
        <v>-9367.26</v>
      </c>
      <c r="J4002" s="12"/>
    </row>
    <row r="4003" spans="3:10" x14ac:dyDescent="0.3">
      <c r="C4003" s="9" t="s">
        <v>12</v>
      </c>
      <c r="D4003" s="10">
        <v>45784</v>
      </c>
      <c r="E4003" t="s">
        <v>2853</v>
      </c>
      <c r="F4003" s="11" t="s">
        <v>1204</v>
      </c>
      <c r="G4003" s="8">
        <v>0</v>
      </c>
      <c r="H4003" s="8">
        <v>108.45</v>
      </c>
      <c r="I4003" s="8">
        <f t="shared" si="127"/>
        <v>-9475.7100000000009</v>
      </c>
      <c r="J4003" s="12"/>
    </row>
    <row r="4004" spans="3:10" x14ac:dyDescent="0.3">
      <c r="C4004" s="9" t="s">
        <v>12</v>
      </c>
      <c r="D4004" s="10">
        <v>45785</v>
      </c>
      <c r="E4004" t="s">
        <v>3196</v>
      </c>
      <c r="F4004" s="11" t="s">
        <v>2200</v>
      </c>
      <c r="G4004" s="8">
        <v>0</v>
      </c>
      <c r="H4004" s="8">
        <v>848.19</v>
      </c>
      <c r="I4004" s="8">
        <f t="shared" si="127"/>
        <v>-10323.900000000001</v>
      </c>
      <c r="J4004" s="12"/>
    </row>
    <row r="4005" spans="3:10" x14ac:dyDescent="0.3">
      <c r="C4005" s="9" t="s">
        <v>12</v>
      </c>
      <c r="D4005" s="10">
        <v>45785</v>
      </c>
      <c r="E4005" t="s">
        <v>2785</v>
      </c>
      <c r="F4005" s="11" t="s">
        <v>3197</v>
      </c>
      <c r="G4005" s="8">
        <v>0</v>
      </c>
      <c r="H4005" s="8">
        <v>27.3</v>
      </c>
      <c r="I4005" s="8">
        <f t="shared" si="127"/>
        <v>-10351.200000000001</v>
      </c>
      <c r="J4005" s="12"/>
    </row>
    <row r="4006" spans="3:10" x14ac:dyDescent="0.3">
      <c r="C4006" s="9" t="s">
        <v>12</v>
      </c>
      <c r="D4006" s="10">
        <v>45786</v>
      </c>
      <c r="E4006" t="s">
        <v>3113</v>
      </c>
      <c r="F4006" s="11" t="s">
        <v>3198</v>
      </c>
      <c r="G4006" s="8">
        <v>0</v>
      </c>
      <c r="H4006" s="8">
        <v>43.61</v>
      </c>
      <c r="I4006" s="8">
        <f t="shared" si="127"/>
        <v>-10394.810000000001</v>
      </c>
      <c r="J4006" s="12"/>
    </row>
    <row r="4007" spans="3:10" x14ac:dyDescent="0.3">
      <c r="C4007" s="9" t="s">
        <v>12</v>
      </c>
      <c r="D4007" s="10">
        <v>45786</v>
      </c>
      <c r="E4007" t="s">
        <v>3199</v>
      </c>
      <c r="F4007" s="11" t="s">
        <v>3200</v>
      </c>
      <c r="G4007" s="8">
        <v>0</v>
      </c>
      <c r="H4007" s="8">
        <v>34.08</v>
      </c>
      <c r="I4007" s="8">
        <f t="shared" si="127"/>
        <v>-10428.890000000001</v>
      </c>
      <c r="J4007" s="12"/>
    </row>
    <row r="4008" spans="3:10" x14ac:dyDescent="0.3">
      <c r="C4008" s="9" t="s">
        <v>12</v>
      </c>
      <c r="D4008" s="10">
        <v>45786</v>
      </c>
      <c r="E4008" t="s">
        <v>2956</v>
      </c>
      <c r="F4008" s="11" t="s">
        <v>1095</v>
      </c>
      <c r="G4008" s="8">
        <v>0</v>
      </c>
      <c r="H4008" s="8">
        <v>38.94</v>
      </c>
      <c r="I4008" s="8">
        <f t="shared" si="127"/>
        <v>-10467.830000000002</v>
      </c>
      <c r="J4008" s="12"/>
    </row>
    <row r="4009" spans="3:10" x14ac:dyDescent="0.3">
      <c r="C4009" s="9" t="s">
        <v>12</v>
      </c>
      <c r="D4009" s="10">
        <v>45786</v>
      </c>
      <c r="E4009" t="s">
        <v>3201</v>
      </c>
      <c r="F4009" s="11" t="s">
        <v>1644</v>
      </c>
      <c r="G4009" s="8">
        <v>0</v>
      </c>
      <c r="H4009" s="8">
        <v>371.6</v>
      </c>
      <c r="I4009" s="8">
        <f t="shared" si="127"/>
        <v>-10839.430000000002</v>
      </c>
      <c r="J4009" s="12"/>
    </row>
    <row r="4010" spans="3:10" x14ac:dyDescent="0.3">
      <c r="C4010" s="9" t="s">
        <v>12</v>
      </c>
      <c r="D4010" s="10">
        <v>45790</v>
      </c>
      <c r="E4010" t="s">
        <v>2795</v>
      </c>
      <c r="F4010" s="11" t="s">
        <v>2386</v>
      </c>
      <c r="G4010" s="8">
        <v>0</v>
      </c>
      <c r="H4010" s="8">
        <v>23.1</v>
      </c>
      <c r="I4010" s="8">
        <f t="shared" si="127"/>
        <v>-10862.530000000002</v>
      </c>
      <c r="J4010" s="12"/>
    </row>
    <row r="4011" spans="3:10" x14ac:dyDescent="0.3">
      <c r="C4011" s="9" t="s">
        <v>12</v>
      </c>
      <c r="D4011" s="10">
        <v>45790</v>
      </c>
      <c r="E4011" t="s">
        <v>2747</v>
      </c>
      <c r="F4011" s="11" t="s">
        <v>2040</v>
      </c>
      <c r="G4011" s="8">
        <v>0</v>
      </c>
      <c r="H4011" s="8">
        <v>20.190000000000001</v>
      </c>
      <c r="I4011" s="8">
        <f t="shared" si="127"/>
        <v>-10882.720000000003</v>
      </c>
      <c r="J4011" s="12"/>
    </row>
    <row r="4012" spans="3:10" x14ac:dyDescent="0.3">
      <c r="C4012" s="9" t="s">
        <v>12</v>
      </c>
      <c r="D4012" s="10">
        <v>45790</v>
      </c>
      <c r="E4012" t="s">
        <v>2989</v>
      </c>
      <c r="F4012" s="11" t="s">
        <v>3202</v>
      </c>
      <c r="G4012" s="8">
        <v>0</v>
      </c>
      <c r="H4012" s="8">
        <v>36.83</v>
      </c>
      <c r="I4012" s="8">
        <f t="shared" si="127"/>
        <v>-10919.550000000003</v>
      </c>
      <c r="J4012" s="12"/>
    </row>
    <row r="4013" spans="3:10" x14ac:dyDescent="0.3">
      <c r="C4013" s="9" t="s">
        <v>12</v>
      </c>
      <c r="D4013" s="10">
        <v>45790</v>
      </c>
      <c r="E4013" t="s">
        <v>3203</v>
      </c>
      <c r="F4013" s="11" t="s">
        <v>3204</v>
      </c>
      <c r="G4013" s="8">
        <v>0</v>
      </c>
      <c r="H4013" s="8">
        <v>51.21</v>
      </c>
      <c r="I4013" s="8">
        <f t="shared" si="127"/>
        <v>-10970.760000000002</v>
      </c>
      <c r="J4013" s="12"/>
    </row>
    <row r="4014" spans="3:10" x14ac:dyDescent="0.3">
      <c r="C4014" s="9" t="s">
        <v>12</v>
      </c>
      <c r="D4014" s="10">
        <v>45790</v>
      </c>
      <c r="E4014" t="s">
        <v>3020</v>
      </c>
      <c r="F4014" s="11" t="s">
        <v>3205</v>
      </c>
      <c r="G4014" s="8">
        <v>0</v>
      </c>
      <c r="H4014" s="8">
        <v>145.4</v>
      </c>
      <c r="I4014" s="8">
        <f t="shared" si="127"/>
        <v>-11116.160000000002</v>
      </c>
      <c r="J4014" s="12"/>
    </row>
    <row r="4015" spans="3:10" x14ac:dyDescent="0.3">
      <c r="C4015" s="9" t="s">
        <v>12</v>
      </c>
      <c r="D4015" s="10">
        <v>45790</v>
      </c>
      <c r="E4015" t="s">
        <v>2899</v>
      </c>
      <c r="F4015" s="11" t="s">
        <v>1785</v>
      </c>
      <c r="G4015" s="8">
        <v>0</v>
      </c>
      <c r="H4015" s="8">
        <v>143.99</v>
      </c>
      <c r="I4015" s="8">
        <f t="shared" si="127"/>
        <v>-11260.150000000001</v>
      </c>
      <c r="J4015" s="12"/>
    </row>
    <row r="4016" spans="3:10" x14ac:dyDescent="0.3">
      <c r="C4016" s="9" t="s">
        <v>12</v>
      </c>
      <c r="D4016" s="10">
        <v>45790</v>
      </c>
      <c r="E4016" t="s">
        <v>2783</v>
      </c>
      <c r="F4016" s="11" t="s">
        <v>1303</v>
      </c>
      <c r="G4016" s="8">
        <v>0</v>
      </c>
      <c r="H4016" s="8">
        <v>1551.59</v>
      </c>
      <c r="I4016" s="8">
        <f t="shared" si="127"/>
        <v>-12811.740000000002</v>
      </c>
      <c r="J4016" s="12"/>
    </row>
    <row r="4017" spans="3:10" x14ac:dyDescent="0.3">
      <c r="C4017" s="9" t="s">
        <v>12</v>
      </c>
      <c r="D4017" s="10">
        <v>45791</v>
      </c>
      <c r="E4017" t="s">
        <v>3082</v>
      </c>
      <c r="F4017" s="11" t="s">
        <v>3206</v>
      </c>
      <c r="G4017" s="8">
        <v>0</v>
      </c>
      <c r="H4017" s="8">
        <v>-316.43</v>
      </c>
      <c r="I4017" s="8">
        <f t="shared" si="127"/>
        <v>-12495.310000000001</v>
      </c>
      <c r="J4017" s="12"/>
    </row>
    <row r="4018" spans="3:10" x14ac:dyDescent="0.3">
      <c r="C4018" s="9" t="s">
        <v>12</v>
      </c>
      <c r="D4018" s="10">
        <v>45791</v>
      </c>
      <c r="E4018" t="s">
        <v>3207</v>
      </c>
      <c r="F4018" s="11" t="s">
        <v>1531</v>
      </c>
      <c r="G4018" s="8">
        <v>0</v>
      </c>
      <c r="H4018" s="8">
        <v>316.42</v>
      </c>
      <c r="I4018" s="8">
        <f t="shared" si="127"/>
        <v>-12811.730000000001</v>
      </c>
      <c r="J4018" s="12"/>
    </row>
    <row r="4019" spans="3:10" x14ac:dyDescent="0.3">
      <c r="C4019" s="9" t="s">
        <v>12</v>
      </c>
      <c r="D4019" s="10">
        <v>45791</v>
      </c>
      <c r="E4019" t="s">
        <v>2877</v>
      </c>
      <c r="F4019" s="11" t="s">
        <v>2084</v>
      </c>
      <c r="G4019" s="8">
        <v>0</v>
      </c>
      <c r="H4019" s="8">
        <v>23.1</v>
      </c>
      <c r="I4019" s="8">
        <f t="shared" si="127"/>
        <v>-12834.830000000002</v>
      </c>
      <c r="J4019" s="12"/>
    </row>
    <row r="4020" spans="3:10" x14ac:dyDescent="0.3">
      <c r="C4020" s="9" t="s">
        <v>12</v>
      </c>
      <c r="D4020" s="10">
        <v>45791</v>
      </c>
      <c r="E4020" t="s">
        <v>2877</v>
      </c>
      <c r="F4020" s="11" t="s">
        <v>2086</v>
      </c>
      <c r="G4020" s="8">
        <v>0</v>
      </c>
      <c r="H4020" s="8">
        <v>23.1</v>
      </c>
      <c r="I4020" s="8">
        <f t="shared" si="127"/>
        <v>-12857.930000000002</v>
      </c>
      <c r="J4020" s="12"/>
    </row>
    <row r="4021" spans="3:10" x14ac:dyDescent="0.3">
      <c r="C4021" s="9" t="s">
        <v>12</v>
      </c>
      <c r="D4021" s="10">
        <v>45791</v>
      </c>
      <c r="E4021" t="s">
        <v>2748</v>
      </c>
      <c r="F4021" s="11" t="s">
        <v>1576</v>
      </c>
      <c r="G4021" s="8">
        <v>0</v>
      </c>
      <c r="H4021" s="8">
        <v>-23.1</v>
      </c>
      <c r="I4021" s="8">
        <f t="shared" si="127"/>
        <v>-12834.830000000002</v>
      </c>
      <c r="J4021" s="12"/>
    </row>
    <row r="4022" spans="3:10" x14ac:dyDescent="0.3">
      <c r="C4022" s="9" t="s">
        <v>12</v>
      </c>
      <c r="D4022" s="10">
        <v>45791</v>
      </c>
      <c r="E4022" t="s">
        <v>2748</v>
      </c>
      <c r="F4022" s="11" t="s">
        <v>1578</v>
      </c>
      <c r="G4022" s="8">
        <v>0</v>
      </c>
      <c r="H4022" s="8">
        <v>-23.1</v>
      </c>
      <c r="I4022" s="8">
        <f t="shared" si="127"/>
        <v>-12811.730000000001</v>
      </c>
      <c r="J4022" s="12"/>
    </row>
    <row r="4023" spans="3:10" x14ac:dyDescent="0.3">
      <c r="C4023" s="9" t="s">
        <v>12</v>
      </c>
      <c r="D4023" s="10">
        <v>45791</v>
      </c>
      <c r="E4023" t="s">
        <v>2828</v>
      </c>
      <c r="F4023" s="11" t="s">
        <v>2105</v>
      </c>
      <c r="G4023" s="8">
        <v>0</v>
      </c>
      <c r="H4023" s="8">
        <v>256.22000000000003</v>
      </c>
      <c r="I4023" s="8">
        <f t="shared" si="127"/>
        <v>-13067.95</v>
      </c>
      <c r="J4023" s="12"/>
    </row>
    <row r="4024" spans="3:10" x14ac:dyDescent="0.3">
      <c r="C4024" s="9" t="s">
        <v>12</v>
      </c>
      <c r="D4024" s="10">
        <v>45791</v>
      </c>
      <c r="E4024" t="s">
        <v>2847</v>
      </c>
      <c r="F4024" s="11" t="s">
        <v>1118</v>
      </c>
      <c r="G4024" s="8">
        <v>0</v>
      </c>
      <c r="H4024" s="8">
        <v>23.1</v>
      </c>
      <c r="I4024" s="8">
        <f t="shared" si="127"/>
        <v>-13091.050000000001</v>
      </c>
      <c r="J4024" s="12"/>
    </row>
    <row r="4025" spans="3:10" x14ac:dyDescent="0.3">
      <c r="C4025" s="9" t="s">
        <v>12</v>
      </c>
      <c r="D4025" s="10">
        <v>45791</v>
      </c>
      <c r="E4025" t="s">
        <v>3201</v>
      </c>
      <c r="F4025" s="11" t="s">
        <v>1646</v>
      </c>
      <c r="G4025" s="8">
        <v>0</v>
      </c>
      <c r="H4025" s="8">
        <v>422.1</v>
      </c>
      <c r="I4025" s="8">
        <f t="shared" si="127"/>
        <v>-13513.150000000001</v>
      </c>
      <c r="J4025" s="12"/>
    </row>
    <row r="4026" spans="3:10" x14ac:dyDescent="0.3">
      <c r="C4026" s="9" t="s">
        <v>12</v>
      </c>
      <c r="D4026" s="10">
        <v>45792</v>
      </c>
      <c r="E4026" t="s">
        <v>2872</v>
      </c>
      <c r="F4026" s="11" t="s">
        <v>3208</v>
      </c>
      <c r="G4026" s="8">
        <v>0</v>
      </c>
      <c r="H4026" s="8">
        <v>186.09</v>
      </c>
      <c r="I4026" s="8">
        <f t="shared" si="127"/>
        <v>-13699.240000000002</v>
      </c>
      <c r="J4026" s="12"/>
    </row>
    <row r="4027" spans="3:10" x14ac:dyDescent="0.3">
      <c r="C4027" s="9" t="s">
        <v>12</v>
      </c>
      <c r="D4027" s="10">
        <v>45792</v>
      </c>
      <c r="E4027" t="s">
        <v>2770</v>
      </c>
      <c r="F4027" s="11" t="s">
        <v>2133</v>
      </c>
      <c r="G4027" s="8">
        <v>0</v>
      </c>
      <c r="H4027" s="8">
        <v>48.81</v>
      </c>
      <c r="I4027" s="8">
        <f t="shared" si="127"/>
        <v>-13748.050000000001</v>
      </c>
      <c r="J4027" s="12"/>
    </row>
    <row r="4028" spans="3:10" x14ac:dyDescent="0.3">
      <c r="C4028" s="9" t="s">
        <v>12</v>
      </c>
      <c r="D4028" s="10">
        <v>45792</v>
      </c>
      <c r="E4028" t="s">
        <v>3209</v>
      </c>
      <c r="F4028" s="11" t="s">
        <v>2595</v>
      </c>
      <c r="G4028" s="8">
        <v>0</v>
      </c>
      <c r="H4028" s="8">
        <v>1.76</v>
      </c>
      <c r="I4028" s="8">
        <f t="shared" si="127"/>
        <v>-13749.810000000001</v>
      </c>
      <c r="J4028" s="12"/>
    </row>
    <row r="4029" spans="3:10" x14ac:dyDescent="0.3">
      <c r="C4029" s="9" t="s">
        <v>12</v>
      </c>
      <c r="D4029" s="10">
        <v>45793</v>
      </c>
      <c r="E4029" t="s">
        <v>3070</v>
      </c>
      <c r="F4029" s="11" t="s">
        <v>1607</v>
      </c>
      <c r="G4029" s="8">
        <v>0</v>
      </c>
      <c r="H4029" s="8">
        <v>921.9</v>
      </c>
      <c r="I4029" s="8">
        <f t="shared" si="127"/>
        <v>-14671.710000000001</v>
      </c>
      <c r="J4029" s="12"/>
    </row>
    <row r="4030" spans="3:10" x14ac:dyDescent="0.3">
      <c r="C4030" s="9" t="s">
        <v>12</v>
      </c>
      <c r="D4030" s="10">
        <v>45793</v>
      </c>
      <c r="E4030" t="s">
        <v>3210</v>
      </c>
      <c r="F4030" s="11" t="s">
        <v>1664</v>
      </c>
      <c r="G4030" s="8">
        <v>0</v>
      </c>
      <c r="H4030" s="8">
        <v>921.9</v>
      </c>
      <c r="I4030" s="8">
        <f t="shared" si="127"/>
        <v>-15593.61</v>
      </c>
      <c r="J4030" s="12"/>
    </row>
    <row r="4031" spans="3:10" x14ac:dyDescent="0.3">
      <c r="C4031" s="9" t="s">
        <v>12</v>
      </c>
      <c r="D4031" s="10">
        <v>45793</v>
      </c>
      <c r="E4031" t="s">
        <v>3070</v>
      </c>
      <c r="F4031" s="11" t="s">
        <v>1609</v>
      </c>
      <c r="G4031" s="8">
        <v>0</v>
      </c>
      <c r="H4031" s="8">
        <v>-921.9</v>
      </c>
      <c r="I4031" s="8">
        <f t="shared" si="127"/>
        <v>-14671.710000000001</v>
      </c>
      <c r="J4031" s="12"/>
    </row>
    <row r="4032" spans="3:10" x14ac:dyDescent="0.3">
      <c r="C4032" s="9" t="s">
        <v>12</v>
      </c>
      <c r="D4032" s="10">
        <v>45793</v>
      </c>
      <c r="E4032" t="s">
        <v>2780</v>
      </c>
      <c r="F4032" s="11" t="s">
        <v>1623</v>
      </c>
      <c r="G4032" s="8">
        <v>0</v>
      </c>
      <c r="H4032" s="8">
        <v>23.1</v>
      </c>
      <c r="I4032" s="8">
        <f t="shared" si="127"/>
        <v>-14694.810000000001</v>
      </c>
      <c r="J4032" s="12"/>
    </row>
    <row r="4033" spans="3:10" x14ac:dyDescent="0.3">
      <c r="C4033" s="9" t="s">
        <v>12</v>
      </c>
      <c r="D4033" s="10">
        <v>45793</v>
      </c>
      <c r="E4033" t="s">
        <v>2855</v>
      </c>
      <c r="F4033" s="11" t="s">
        <v>1911</v>
      </c>
      <c r="G4033" s="8">
        <v>0</v>
      </c>
      <c r="H4033" s="8">
        <v>32.42</v>
      </c>
      <c r="I4033" s="8">
        <f t="shared" si="127"/>
        <v>-14727.230000000001</v>
      </c>
      <c r="J4033" s="12"/>
    </row>
    <row r="4034" spans="3:10" x14ac:dyDescent="0.3">
      <c r="C4034" s="9" t="s">
        <v>12</v>
      </c>
      <c r="D4034" s="10">
        <v>45793</v>
      </c>
      <c r="E4034" t="s">
        <v>2886</v>
      </c>
      <c r="F4034" s="11" t="s">
        <v>2142</v>
      </c>
      <c r="G4034" s="8">
        <v>0</v>
      </c>
      <c r="H4034" s="8">
        <v>24.12</v>
      </c>
      <c r="I4034" s="8">
        <f t="shared" si="127"/>
        <v>-14751.350000000002</v>
      </c>
      <c r="J4034" s="12"/>
    </row>
    <row r="4035" spans="3:10" x14ac:dyDescent="0.3">
      <c r="C4035" s="9" t="s">
        <v>12</v>
      </c>
      <c r="D4035" s="10">
        <v>45793</v>
      </c>
      <c r="E4035" t="s">
        <v>2790</v>
      </c>
      <c r="F4035" s="11" t="s">
        <v>1971</v>
      </c>
      <c r="G4035" s="8">
        <v>0</v>
      </c>
      <c r="H4035" s="8">
        <v>52.84</v>
      </c>
      <c r="I4035" s="8">
        <f t="shared" si="127"/>
        <v>-14804.190000000002</v>
      </c>
      <c r="J4035" s="12"/>
    </row>
    <row r="4036" spans="3:10" x14ac:dyDescent="0.3">
      <c r="C4036" s="9" t="s">
        <v>12</v>
      </c>
      <c r="D4036" s="10">
        <v>45793</v>
      </c>
      <c r="E4036" t="s">
        <v>2877</v>
      </c>
      <c r="F4036" s="11" t="s">
        <v>2088</v>
      </c>
      <c r="G4036" s="8">
        <v>0</v>
      </c>
      <c r="H4036" s="8">
        <v>69.37</v>
      </c>
      <c r="I4036" s="8">
        <f t="shared" si="127"/>
        <v>-14873.560000000003</v>
      </c>
      <c r="J4036" s="12"/>
    </row>
    <row r="4037" spans="3:10" x14ac:dyDescent="0.3">
      <c r="C4037" s="9" t="s">
        <v>12</v>
      </c>
      <c r="D4037" s="10">
        <v>45793</v>
      </c>
      <c r="E4037" t="s">
        <v>2801</v>
      </c>
      <c r="F4037" s="11" t="s">
        <v>3211</v>
      </c>
      <c r="G4037" s="8">
        <v>0</v>
      </c>
      <c r="H4037" s="8">
        <v>175.39</v>
      </c>
      <c r="I4037" s="8">
        <f t="shared" si="127"/>
        <v>-15048.950000000003</v>
      </c>
      <c r="J4037" s="12"/>
    </row>
    <row r="4038" spans="3:10" x14ac:dyDescent="0.3">
      <c r="C4038" s="9" t="s">
        <v>12</v>
      </c>
      <c r="D4038" s="10">
        <v>45796</v>
      </c>
      <c r="E4038" t="s">
        <v>2772</v>
      </c>
      <c r="F4038" s="11" t="s">
        <v>3212</v>
      </c>
      <c r="G4038" s="8">
        <v>0</v>
      </c>
      <c r="H4038" s="8">
        <v>43.77</v>
      </c>
      <c r="I4038" s="8">
        <f t="shared" si="127"/>
        <v>-15092.720000000003</v>
      </c>
      <c r="J4038" s="12"/>
    </row>
    <row r="4039" spans="3:10" x14ac:dyDescent="0.3">
      <c r="C4039" s="9" t="s">
        <v>12</v>
      </c>
      <c r="D4039" s="10">
        <v>45796</v>
      </c>
      <c r="E4039" t="s">
        <v>2806</v>
      </c>
      <c r="F4039" s="11" t="s">
        <v>1252</v>
      </c>
      <c r="G4039" s="8">
        <v>0</v>
      </c>
      <c r="H4039" s="8">
        <v>17.850000000000001</v>
      </c>
      <c r="I4039" s="8">
        <f t="shared" si="127"/>
        <v>-15110.570000000003</v>
      </c>
      <c r="J4039" s="12"/>
    </row>
    <row r="4040" spans="3:10" x14ac:dyDescent="0.3">
      <c r="C4040" s="9" t="s">
        <v>12</v>
      </c>
      <c r="D4040" s="10">
        <v>45796</v>
      </c>
      <c r="E4040" t="s">
        <v>2933</v>
      </c>
      <c r="F4040" s="11" t="s">
        <v>3213</v>
      </c>
      <c r="G4040" s="8">
        <v>0</v>
      </c>
      <c r="H4040" s="8">
        <v>64.260000000000005</v>
      </c>
      <c r="I4040" s="8">
        <f t="shared" si="127"/>
        <v>-15174.830000000004</v>
      </c>
      <c r="J4040" s="12"/>
    </row>
    <row r="4041" spans="3:10" x14ac:dyDescent="0.3">
      <c r="C4041" s="9" t="s">
        <v>12</v>
      </c>
      <c r="D4041" s="10">
        <v>45796</v>
      </c>
      <c r="E4041" t="s">
        <v>2844</v>
      </c>
      <c r="F4041" s="11" t="s">
        <v>3214</v>
      </c>
      <c r="G4041" s="8">
        <v>0</v>
      </c>
      <c r="H4041" s="8">
        <v>17.850000000000001</v>
      </c>
      <c r="I4041" s="8">
        <f t="shared" si="127"/>
        <v>-15192.680000000004</v>
      </c>
      <c r="J4041" s="12"/>
    </row>
    <row r="4042" spans="3:10" x14ac:dyDescent="0.3">
      <c r="C4042" s="9" t="s">
        <v>12</v>
      </c>
      <c r="D4042" s="10">
        <v>45796</v>
      </c>
      <c r="E4042" t="s">
        <v>3215</v>
      </c>
      <c r="F4042" s="11" t="s">
        <v>3216</v>
      </c>
      <c r="G4042" s="8">
        <v>0</v>
      </c>
      <c r="H4042" s="8">
        <v>72.599999999999994</v>
      </c>
      <c r="I4042" s="8">
        <f t="shared" si="127"/>
        <v>-15265.280000000004</v>
      </c>
      <c r="J4042" s="12"/>
    </row>
    <row r="4043" spans="3:10" x14ac:dyDescent="0.3">
      <c r="C4043" s="9" t="s">
        <v>12</v>
      </c>
      <c r="D4043" s="10">
        <v>45797</v>
      </c>
      <c r="E4043" t="s">
        <v>3217</v>
      </c>
      <c r="F4043" s="11" t="s">
        <v>3218</v>
      </c>
      <c r="G4043" s="8">
        <v>0</v>
      </c>
      <c r="H4043" s="8">
        <v>63.92</v>
      </c>
      <c r="I4043" s="8">
        <f t="shared" ref="I4043:I4106" si="128">G4043-H4043+I4042</f>
        <v>-15329.200000000004</v>
      </c>
      <c r="J4043" s="12"/>
    </row>
    <row r="4044" spans="3:10" x14ac:dyDescent="0.3">
      <c r="C4044" s="9" t="s">
        <v>12</v>
      </c>
      <c r="D4044" s="10">
        <v>45797</v>
      </c>
      <c r="E4044" t="s">
        <v>3219</v>
      </c>
      <c r="F4044" s="11" t="s">
        <v>1827</v>
      </c>
      <c r="G4044" s="8">
        <v>0</v>
      </c>
      <c r="H4044" s="8">
        <v>63.63</v>
      </c>
      <c r="I4044" s="8">
        <f t="shared" si="128"/>
        <v>-15392.830000000004</v>
      </c>
      <c r="J4044" s="12"/>
    </row>
    <row r="4045" spans="3:10" x14ac:dyDescent="0.3">
      <c r="C4045" s="9" t="s">
        <v>12</v>
      </c>
      <c r="D4045" s="10">
        <v>45797</v>
      </c>
      <c r="E4045" t="s">
        <v>2806</v>
      </c>
      <c r="F4045" s="11" t="s">
        <v>1254</v>
      </c>
      <c r="G4045" s="8">
        <v>0</v>
      </c>
      <c r="H4045" s="8">
        <v>63</v>
      </c>
      <c r="I4045" s="8">
        <f t="shared" si="128"/>
        <v>-15455.830000000004</v>
      </c>
      <c r="J4045" s="12"/>
    </row>
    <row r="4046" spans="3:10" x14ac:dyDescent="0.3">
      <c r="C4046" s="9" t="s">
        <v>12</v>
      </c>
      <c r="D4046" s="10">
        <v>45797</v>
      </c>
      <c r="E4046" t="s">
        <v>2942</v>
      </c>
      <c r="F4046" s="11" t="s">
        <v>3220</v>
      </c>
      <c r="G4046" s="8">
        <v>0</v>
      </c>
      <c r="H4046" s="8">
        <v>231.37</v>
      </c>
      <c r="I4046" s="8">
        <f t="shared" si="128"/>
        <v>-15687.200000000004</v>
      </c>
      <c r="J4046" s="12"/>
    </row>
    <row r="4047" spans="3:10" x14ac:dyDescent="0.3">
      <c r="C4047" s="9" t="s">
        <v>12</v>
      </c>
      <c r="D4047" s="10">
        <v>45798</v>
      </c>
      <c r="E4047" t="s">
        <v>2825</v>
      </c>
      <c r="F4047" s="11" t="s">
        <v>1393</v>
      </c>
      <c r="G4047" s="8">
        <v>0</v>
      </c>
      <c r="H4047" s="8">
        <v>69.599999999999994</v>
      </c>
      <c r="I4047" s="8">
        <f t="shared" si="128"/>
        <v>-15756.800000000005</v>
      </c>
      <c r="J4047" s="12"/>
    </row>
    <row r="4048" spans="3:10" x14ac:dyDescent="0.3">
      <c r="C4048" s="9" t="s">
        <v>12</v>
      </c>
      <c r="D4048" s="10">
        <v>45798</v>
      </c>
      <c r="E4048" t="s">
        <v>2794</v>
      </c>
      <c r="F4048" s="11" t="s">
        <v>1469</v>
      </c>
      <c r="G4048" s="8">
        <v>0</v>
      </c>
      <c r="H4048" s="8">
        <v>259.49</v>
      </c>
      <c r="I4048" s="8">
        <f t="shared" si="128"/>
        <v>-16016.290000000005</v>
      </c>
      <c r="J4048" s="12"/>
    </row>
    <row r="4049" spans="3:10" x14ac:dyDescent="0.3">
      <c r="C4049" s="9" t="s">
        <v>12</v>
      </c>
      <c r="D4049" s="10">
        <v>45798</v>
      </c>
      <c r="E4049" t="s">
        <v>2783</v>
      </c>
      <c r="F4049" s="11" t="s">
        <v>1305</v>
      </c>
      <c r="G4049" s="8">
        <v>0</v>
      </c>
      <c r="H4049" s="8">
        <v>913.59</v>
      </c>
      <c r="I4049" s="8">
        <f t="shared" si="128"/>
        <v>-16929.880000000005</v>
      </c>
      <c r="J4049" s="12"/>
    </row>
    <row r="4050" spans="3:10" x14ac:dyDescent="0.3">
      <c r="C4050" s="9" t="s">
        <v>12</v>
      </c>
      <c r="D4050" s="10">
        <v>45798</v>
      </c>
      <c r="E4050" t="s">
        <v>3133</v>
      </c>
      <c r="F4050" s="11" t="s">
        <v>3221</v>
      </c>
      <c r="G4050" s="8">
        <v>0</v>
      </c>
      <c r="H4050" s="8">
        <v>27.3</v>
      </c>
      <c r="I4050" s="8">
        <f t="shared" si="128"/>
        <v>-16957.180000000004</v>
      </c>
      <c r="J4050" s="12"/>
    </row>
    <row r="4051" spans="3:10" x14ac:dyDescent="0.3">
      <c r="C4051" s="9" t="s">
        <v>12</v>
      </c>
      <c r="D4051" s="10">
        <v>45798</v>
      </c>
      <c r="E4051" t="s">
        <v>3062</v>
      </c>
      <c r="F4051" s="11" t="s">
        <v>3222</v>
      </c>
      <c r="G4051" s="8">
        <v>0</v>
      </c>
      <c r="H4051" s="8">
        <v>37.4</v>
      </c>
      <c r="I4051" s="8">
        <f t="shared" si="128"/>
        <v>-16994.580000000005</v>
      </c>
      <c r="J4051" s="12"/>
    </row>
    <row r="4052" spans="3:10" x14ac:dyDescent="0.3">
      <c r="C4052" s="9" t="s">
        <v>12</v>
      </c>
      <c r="D4052" s="10">
        <v>45800</v>
      </c>
      <c r="E4052" t="s">
        <v>2993</v>
      </c>
      <c r="F4052" s="11" t="s">
        <v>1494</v>
      </c>
      <c r="G4052" s="8">
        <v>0</v>
      </c>
      <c r="H4052" s="8">
        <v>32.42</v>
      </c>
      <c r="I4052" s="8">
        <f t="shared" si="128"/>
        <v>-17027.000000000004</v>
      </c>
      <c r="J4052" s="12"/>
    </row>
    <row r="4053" spans="3:10" x14ac:dyDescent="0.3">
      <c r="C4053" s="9" t="s">
        <v>12</v>
      </c>
      <c r="D4053" s="10">
        <v>45800</v>
      </c>
      <c r="E4053" t="s">
        <v>3223</v>
      </c>
      <c r="F4053" s="11" t="s">
        <v>3224</v>
      </c>
      <c r="G4053" s="8">
        <v>0</v>
      </c>
      <c r="H4053" s="8">
        <v>69.37</v>
      </c>
      <c r="I4053" s="8">
        <f t="shared" si="128"/>
        <v>-17096.370000000003</v>
      </c>
      <c r="J4053" s="12"/>
    </row>
    <row r="4054" spans="3:10" x14ac:dyDescent="0.3">
      <c r="C4054" s="9" t="s">
        <v>12</v>
      </c>
      <c r="D4054" s="10">
        <v>45800</v>
      </c>
      <c r="E4054" t="s">
        <v>3225</v>
      </c>
      <c r="F4054" s="11" t="s">
        <v>3226</v>
      </c>
      <c r="G4054" s="8">
        <v>0</v>
      </c>
      <c r="H4054" s="8">
        <v>34.119999999999997</v>
      </c>
      <c r="I4054" s="8">
        <f t="shared" si="128"/>
        <v>-17130.490000000002</v>
      </c>
      <c r="J4054" s="12"/>
    </row>
    <row r="4055" spans="3:10" x14ac:dyDescent="0.3">
      <c r="C4055" s="9" t="s">
        <v>12</v>
      </c>
      <c r="D4055" s="10">
        <v>45800</v>
      </c>
      <c r="E4055" t="s">
        <v>3227</v>
      </c>
      <c r="F4055" s="11" t="s">
        <v>3228</v>
      </c>
      <c r="G4055" s="8">
        <v>0</v>
      </c>
      <c r="H4055" s="8">
        <v>23.1</v>
      </c>
      <c r="I4055" s="8">
        <f t="shared" si="128"/>
        <v>-17153.59</v>
      </c>
      <c r="J4055" s="12"/>
    </row>
    <row r="4056" spans="3:10" x14ac:dyDescent="0.3">
      <c r="C4056" s="9" t="s">
        <v>12</v>
      </c>
      <c r="D4056" s="10">
        <v>45800</v>
      </c>
      <c r="E4056" t="s">
        <v>2989</v>
      </c>
      <c r="F4056" s="11" t="s">
        <v>3229</v>
      </c>
      <c r="G4056" s="8">
        <v>0</v>
      </c>
      <c r="H4056" s="8">
        <v>45.69</v>
      </c>
      <c r="I4056" s="8">
        <f t="shared" si="128"/>
        <v>-17199.28</v>
      </c>
      <c r="J4056" s="12"/>
    </row>
    <row r="4057" spans="3:10" x14ac:dyDescent="0.3">
      <c r="C4057" s="9" t="s">
        <v>12</v>
      </c>
      <c r="D4057" s="10">
        <v>45800</v>
      </c>
      <c r="E4057" t="s">
        <v>2794</v>
      </c>
      <c r="F4057" s="11" t="s">
        <v>1471</v>
      </c>
      <c r="G4057" s="8">
        <v>0</v>
      </c>
      <c r="H4057" s="8">
        <v>18.98</v>
      </c>
      <c r="I4057" s="8">
        <f t="shared" si="128"/>
        <v>-17218.259999999998</v>
      </c>
      <c r="J4057" s="12"/>
    </row>
    <row r="4058" spans="3:10" x14ac:dyDescent="0.3">
      <c r="C4058" s="9" t="s">
        <v>12</v>
      </c>
      <c r="D4058" s="10">
        <v>45800</v>
      </c>
      <c r="E4058" t="s">
        <v>3230</v>
      </c>
      <c r="F4058" s="11" t="s">
        <v>2189</v>
      </c>
      <c r="G4058" s="8">
        <v>0</v>
      </c>
      <c r="H4058" s="8">
        <v>27.3</v>
      </c>
      <c r="I4058" s="8">
        <f t="shared" si="128"/>
        <v>-17245.559999999998</v>
      </c>
      <c r="J4058" s="12"/>
    </row>
    <row r="4059" spans="3:10" x14ac:dyDescent="0.3">
      <c r="C4059" s="9" t="s">
        <v>12</v>
      </c>
      <c r="D4059" s="10">
        <v>45800</v>
      </c>
      <c r="E4059" t="s">
        <v>3201</v>
      </c>
      <c r="F4059" s="11" t="s">
        <v>1648</v>
      </c>
      <c r="G4059" s="8">
        <v>0</v>
      </c>
      <c r="H4059" s="8">
        <v>-422.1</v>
      </c>
      <c r="I4059" s="8">
        <f t="shared" si="128"/>
        <v>-16823.46</v>
      </c>
      <c r="J4059" s="12"/>
    </row>
    <row r="4060" spans="3:10" x14ac:dyDescent="0.3">
      <c r="C4060" s="9" t="s">
        <v>12</v>
      </c>
      <c r="D4060" s="10">
        <v>45803</v>
      </c>
      <c r="E4060" t="s">
        <v>2918</v>
      </c>
      <c r="F4060" s="11" t="s">
        <v>1808</v>
      </c>
      <c r="G4060" s="8">
        <v>0</v>
      </c>
      <c r="H4060" s="8">
        <v>588</v>
      </c>
      <c r="I4060" s="8">
        <f t="shared" si="128"/>
        <v>-17411.46</v>
      </c>
      <c r="J4060" s="12"/>
    </row>
    <row r="4061" spans="3:10" x14ac:dyDescent="0.3">
      <c r="C4061" s="9" t="s">
        <v>12</v>
      </c>
      <c r="D4061" s="10">
        <v>45803</v>
      </c>
      <c r="E4061" t="s">
        <v>2899</v>
      </c>
      <c r="F4061" s="11" t="s">
        <v>1787</v>
      </c>
      <c r="G4061" s="8">
        <v>0</v>
      </c>
      <c r="H4061" s="8">
        <v>2142.9499999999998</v>
      </c>
      <c r="I4061" s="8">
        <f t="shared" si="128"/>
        <v>-19554.41</v>
      </c>
      <c r="J4061" s="12"/>
    </row>
    <row r="4062" spans="3:10" x14ac:dyDescent="0.3">
      <c r="C4062" s="9" t="s">
        <v>12</v>
      </c>
      <c r="D4062" s="10">
        <v>45803</v>
      </c>
      <c r="E4062" t="s">
        <v>2899</v>
      </c>
      <c r="F4062" s="11" t="s">
        <v>1789</v>
      </c>
      <c r="G4062" s="8">
        <v>0</v>
      </c>
      <c r="H4062" s="8">
        <v>1109.8499999999999</v>
      </c>
      <c r="I4062" s="8">
        <f t="shared" si="128"/>
        <v>-20664.259999999998</v>
      </c>
      <c r="J4062" s="12"/>
    </row>
    <row r="4063" spans="3:10" x14ac:dyDescent="0.3">
      <c r="C4063" s="9" t="s">
        <v>12</v>
      </c>
      <c r="D4063" s="10">
        <v>45804</v>
      </c>
      <c r="E4063" t="s">
        <v>2822</v>
      </c>
      <c r="F4063" s="11" t="s">
        <v>1555</v>
      </c>
      <c r="G4063" s="8">
        <v>0</v>
      </c>
      <c r="H4063" s="8">
        <v>1135.74</v>
      </c>
      <c r="I4063" s="8">
        <f t="shared" si="128"/>
        <v>-21800</v>
      </c>
      <c r="J4063" s="12"/>
    </row>
    <row r="4064" spans="3:10" x14ac:dyDescent="0.3">
      <c r="C4064" s="9" t="s">
        <v>12</v>
      </c>
      <c r="D4064" s="10">
        <v>45804</v>
      </c>
      <c r="E4064" t="s">
        <v>2791</v>
      </c>
      <c r="F4064" s="11" t="s">
        <v>3231</v>
      </c>
      <c r="G4064" s="8">
        <v>0</v>
      </c>
      <c r="H4064" s="8">
        <v>23.1</v>
      </c>
      <c r="I4064" s="8">
        <f t="shared" si="128"/>
        <v>-21823.1</v>
      </c>
      <c r="J4064" s="12"/>
    </row>
    <row r="4065" spans="3:10" x14ac:dyDescent="0.3">
      <c r="C4065" s="9" t="s">
        <v>12</v>
      </c>
      <c r="D4065" s="10">
        <v>45804</v>
      </c>
      <c r="E4065" t="s">
        <v>2753</v>
      </c>
      <c r="F4065" s="11" t="s">
        <v>2211</v>
      </c>
      <c r="G4065" s="8">
        <v>0</v>
      </c>
      <c r="H4065" s="8">
        <v>37.799999999999997</v>
      </c>
      <c r="I4065" s="8">
        <f t="shared" si="128"/>
        <v>-21860.899999999998</v>
      </c>
      <c r="J4065" s="12"/>
    </row>
    <row r="4066" spans="3:10" x14ac:dyDescent="0.3">
      <c r="C4066" s="9" t="s">
        <v>12</v>
      </c>
      <c r="D4066" s="10">
        <v>45804</v>
      </c>
      <c r="E4066" t="s">
        <v>3232</v>
      </c>
      <c r="F4066" s="11" t="s">
        <v>3233</v>
      </c>
      <c r="G4066" s="8">
        <v>0</v>
      </c>
      <c r="H4066" s="8">
        <v>88.04</v>
      </c>
      <c r="I4066" s="8">
        <f t="shared" si="128"/>
        <v>-21948.94</v>
      </c>
      <c r="J4066" s="12"/>
    </row>
    <row r="4067" spans="3:10" x14ac:dyDescent="0.3">
      <c r="C4067" s="9" t="s">
        <v>12</v>
      </c>
      <c r="D4067" s="10">
        <v>45804</v>
      </c>
      <c r="E4067" t="s">
        <v>3234</v>
      </c>
      <c r="F4067" s="11" t="s">
        <v>1988</v>
      </c>
      <c r="G4067" s="8">
        <v>0</v>
      </c>
      <c r="H4067" s="8">
        <v>11.65</v>
      </c>
      <c r="I4067" s="8">
        <f t="shared" si="128"/>
        <v>-21960.59</v>
      </c>
      <c r="J4067" s="12"/>
    </row>
    <row r="4068" spans="3:10" x14ac:dyDescent="0.3">
      <c r="C4068" s="9" t="s">
        <v>12</v>
      </c>
      <c r="D4068" s="10">
        <v>45804</v>
      </c>
      <c r="E4068" t="s">
        <v>3235</v>
      </c>
      <c r="F4068" s="11" t="s">
        <v>1084</v>
      </c>
      <c r="G4068" s="8">
        <v>0</v>
      </c>
      <c r="H4068" s="8">
        <v>122.78</v>
      </c>
      <c r="I4068" s="8">
        <f t="shared" si="128"/>
        <v>-22083.37</v>
      </c>
      <c r="J4068" s="12"/>
    </row>
    <row r="4069" spans="3:10" x14ac:dyDescent="0.3">
      <c r="C4069" s="9" t="s">
        <v>12</v>
      </c>
      <c r="D4069" s="10">
        <v>45804</v>
      </c>
      <c r="E4069" t="s">
        <v>3236</v>
      </c>
      <c r="F4069" s="11" t="s">
        <v>3237</v>
      </c>
      <c r="G4069" s="8">
        <v>0</v>
      </c>
      <c r="H4069" s="8">
        <v>35.15</v>
      </c>
      <c r="I4069" s="8">
        <f t="shared" si="128"/>
        <v>-22118.52</v>
      </c>
      <c r="J4069" s="12"/>
    </row>
    <row r="4070" spans="3:10" x14ac:dyDescent="0.3">
      <c r="C4070" s="9" t="s">
        <v>12</v>
      </c>
      <c r="D4070" s="10">
        <v>45804</v>
      </c>
      <c r="E4070" t="s">
        <v>2855</v>
      </c>
      <c r="F4070" s="11" t="s">
        <v>1913</v>
      </c>
      <c r="G4070" s="8">
        <v>0</v>
      </c>
      <c r="H4070" s="8">
        <v>819.36</v>
      </c>
      <c r="I4070" s="8">
        <f t="shared" si="128"/>
        <v>-22937.88</v>
      </c>
      <c r="J4070" s="12"/>
    </row>
    <row r="4071" spans="3:10" x14ac:dyDescent="0.3">
      <c r="C4071" s="9" t="s">
        <v>12</v>
      </c>
      <c r="D4071" s="10">
        <v>45805</v>
      </c>
      <c r="E4071" t="s">
        <v>2783</v>
      </c>
      <c r="F4071" s="11" t="s">
        <v>1307</v>
      </c>
      <c r="G4071" s="8">
        <v>0</v>
      </c>
      <c r="H4071" s="8">
        <v>97.6</v>
      </c>
      <c r="I4071" s="8">
        <f t="shared" si="128"/>
        <v>-23035.48</v>
      </c>
      <c r="J4071" s="12"/>
    </row>
    <row r="4072" spans="3:10" x14ac:dyDescent="0.3">
      <c r="C4072" s="9" t="s">
        <v>12</v>
      </c>
      <c r="D4072" s="10">
        <v>45805</v>
      </c>
      <c r="E4072" t="s">
        <v>2844</v>
      </c>
      <c r="F4072" s="11" t="s">
        <v>3238</v>
      </c>
      <c r="G4072" s="8">
        <v>0</v>
      </c>
      <c r="H4072" s="8">
        <v>17.850000000000001</v>
      </c>
      <c r="I4072" s="8">
        <f t="shared" si="128"/>
        <v>-23053.329999999998</v>
      </c>
      <c r="J4072" s="12"/>
    </row>
    <row r="4073" spans="3:10" x14ac:dyDescent="0.3">
      <c r="C4073" s="9" t="s">
        <v>12</v>
      </c>
      <c r="D4073" s="10">
        <v>45805</v>
      </c>
      <c r="E4073" t="s">
        <v>3086</v>
      </c>
      <c r="F4073" s="11" t="s">
        <v>1347</v>
      </c>
      <c r="G4073" s="8">
        <v>0</v>
      </c>
      <c r="H4073" s="8">
        <v>27.3</v>
      </c>
      <c r="I4073" s="8">
        <f t="shared" si="128"/>
        <v>-23080.629999999997</v>
      </c>
      <c r="J4073" s="12"/>
    </row>
    <row r="4074" spans="3:10" x14ac:dyDescent="0.3">
      <c r="C4074" s="9" t="s">
        <v>12</v>
      </c>
      <c r="D4074" s="10">
        <v>45805</v>
      </c>
      <c r="E4074" t="s">
        <v>3239</v>
      </c>
      <c r="F4074" s="11" t="s">
        <v>2197</v>
      </c>
      <c r="G4074" s="8">
        <v>0</v>
      </c>
      <c r="H4074" s="8">
        <v>6.77</v>
      </c>
      <c r="I4074" s="8">
        <f t="shared" si="128"/>
        <v>-23087.399999999998</v>
      </c>
      <c r="J4074" s="12"/>
    </row>
    <row r="4075" spans="3:10" x14ac:dyDescent="0.3">
      <c r="C4075" s="9" t="s">
        <v>12</v>
      </c>
      <c r="D4075" s="10">
        <v>45805</v>
      </c>
      <c r="E4075" t="s">
        <v>2993</v>
      </c>
      <c r="F4075" s="11" t="s">
        <v>1496</v>
      </c>
      <c r="G4075" s="8">
        <v>0</v>
      </c>
      <c r="H4075" s="8">
        <v>51.52</v>
      </c>
      <c r="I4075" s="8">
        <f t="shared" si="128"/>
        <v>-23138.92</v>
      </c>
      <c r="J4075" s="12"/>
    </row>
    <row r="4076" spans="3:10" x14ac:dyDescent="0.3">
      <c r="C4076" s="9" t="s">
        <v>12</v>
      </c>
      <c r="D4076" s="10">
        <v>45806</v>
      </c>
      <c r="E4076" t="s">
        <v>2794</v>
      </c>
      <c r="F4076" s="11" t="s">
        <v>1473</v>
      </c>
      <c r="G4076" s="8">
        <v>0</v>
      </c>
      <c r="H4076" s="8">
        <v>38.85</v>
      </c>
      <c r="I4076" s="8">
        <f t="shared" si="128"/>
        <v>-23177.769999999997</v>
      </c>
      <c r="J4076" s="12"/>
    </row>
    <row r="4077" spans="3:10" x14ac:dyDescent="0.3">
      <c r="C4077" s="9" t="s">
        <v>12</v>
      </c>
      <c r="D4077" s="10">
        <v>45806</v>
      </c>
      <c r="E4077" t="s">
        <v>2734</v>
      </c>
      <c r="F4077" s="11" t="s">
        <v>2025</v>
      </c>
      <c r="G4077" s="8">
        <v>0</v>
      </c>
      <c r="H4077" s="8">
        <v>24.59</v>
      </c>
      <c r="I4077" s="8">
        <f t="shared" si="128"/>
        <v>-23202.359999999997</v>
      </c>
      <c r="J4077" s="12"/>
    </row>
    <row r="4078" spans="3:10" x14ac:dyDescent="0.3">
      <c r="C4078" s="9" t="s">
        <v>12</v>
      </c>
      <c r="D4078" s="10">
        <v>45806</v>
      </c>
      <c r="E4078" t="s">
        <v>2871</v>
      </c>
      <c r="F4078" s="11" t="s">
        <v>1367</v>
      </c>
      <c r="G4078" s="8">
        <v>0</v>
      </c>
      <c r="H4078" s="8">
        <v>39.4</v>
      </c>
      <c r="I4078" s="8">
        <f t="shared" si="128"/>
        <v>-23241.759999999998</v>
      </c>
      <c r="J4078" s="12"/>
    </row>
    <row r="4079" spans="3:10" x14ac:dyDescent="0.3">
      <c r="C4079" s="9" t="s">
        <v>12</v>
      </c>
      <c r="D4079" s="10">
        <v>45806</v>
      </c>
      <c r="E4079" t="s">
        <v>2926</v>
      </c>
      <c r="F4079" s="11" t="s">
        <v>2297</v>
      </c>
      <c r="G4079" s="8">
        <v>0</v>
      </c>
      <c r="H4079" s="8">
        <v>210.62</v>
      </c>
      <c r="I4079" s="8">
        <f t="shared" si="128"/>
        <v>-23452.379999999997</v>
      </c>
      <c r="J4079" s="12"/>
    </row>
    <row r="4080" spans="3:10" x14ac:dyDescent="0.3">
      <c r="C4080" s="9" t="s">
        <v>12</v>
      </c>
      <c r="D4080" s="10">
        <v>45806</v>
      </c>
      <c r="E4080" t="s">
        <v>2766</v>
      </c>
      <c r="F4080" s="11" t="s">
        <v>3240</v>
      </c>
      <c r="G4080" s="8">
        <v>0</v>
      </c>
      <c r="H4080" s="8">
        <v>77.53</v>
      </c>
      <c r="I4080" s="8">
        <f t="shared" si="128"/>
        <v>-23529.909999999996</v>
      </c>
      <c r="J4080" s="12"/>
    </row>
    <row r="4081" spans="3:10" x14ac:dyDescent="0.3">
      <c r="C4081" s="9" t="s">
        <v>12</v>
      </c>
      <c r="D4081" s="10">
        <v>45806</v>
      </c>
      <c r="E4081" t="s">
        <v>2764</v>
      </c>
      <c r="F4081" s="11" t="s">
        <v>3241</v>
      </c>
      <c r="G4081" s="8">
        <v>0</v>
      </c>
      <c r="H4081" s="8">
        <v>30.37</v>
      </c>
      <c r="I4081" s="8">
        <f t="shared" si="128"/>
        <v>-23560.279999999995</v>
      </c>
      <c r="J4081" s="12"/>
    </row>
    <row r="4082" spans="3:10" x14ac:dyDescent="0.3">
      <c r="C4082" s="9" t="s">
        <v>12</v>
      </c>
      <c r="D4082" s="10">
        <v>45806</v>
      </c>
      <c r="E4082" t="s">
        <v>3242</v>
      </c>
      <c r="F4082" s="11" t="s">
        <v>2609</v>
      </c>
      <c r="G4082" s="8">
        <v>0</v>
      </c>
      <c r="H4082" s="8">
        <v>1786.05</v>
      </c>
      <c r="I4082" s="8">
        <f t="shared" si="128"/>
        <v>-25346.329999999994</v>
      </c>
      <c r="J4082" s="12"/>
    </row>
    <row r="4083" spans="3:10" x14ac:dyDescent="0.3">
      <c r="C4083" s="9" t="s">
        <v>12</v>
      </c>
      <c r="D4083" s="10">
        <v>45807</v>
      </c>
      <c r="E4083" t="s">
        <v>3082</v>
      </c>
      <c r="F4083" s="11" t="s">
        <v>3243</v>
      </c>
      <c r="G4083" s="8">
        <v>0</v>
      </c>
      <c r="H4083" s="8">
        <v>17.850000000000001</v>
      </c>
      <c r="I4083" s="8">
        <f t="shared" si="128"/>
        <v>-25364.179999999993</v>
      </c>
      <c r="J4083" s="12"/>
    </row>
    <row r="4084" spans="3:10" x14ac:dyDescent="0.3">
      <c r="C4084" s="9" t="s">
        <v>12</v>
      </c>
      <c r="D4084" s="10">
        <v>45807</v>
      </c>
      <c r="E4084" t="s">
        <v>2828</v>
      </c>
      <c r="F4084" s="11" t="s">
        <v>2107</v>
      </c>
      <c r="G4084" s="8">
        <v>0</v>
      </c>
      <c r="H4084" s="8">
        <v>63.38</v>
      </c>
      <c r="I4084" s="8">
        <f t="shared" si="128"/>
        <v>-25427.559999999994</v>
      </c>
      <c r="J4084" s="12"/>
    </row>
    <row r="4085" spans="3:10" x14ac:dyDescent="0.3">
      <c r="C4085" s="9" t="s">
        <v>12</v>
      </c>
      <c r="D4085" s="10">
        <v>45807</v>
      </c>
      <c r="E4085" t="s">
        <v>2890</v>
      </c>
      <c r="F4085" s="11" t="s">
        <v>3244</v>
      </c>
      <c r="G4085" s="8">
        <v>0</v>
      </c>
      <c r="H4085" s="8">
        <v>29.95</v>
      </c>
      <c r="I4085" s="8">
        <f t="shared" si="128"/>
        <v>-25457.509999999995</v>
      </c>
      <c r="J4085" s="12"/>
    </row>
    <row r="4086" spans="3:10" x14ac:dyDescent="0.3">
      <c r="C4086" s="9" t="s">
        <v>12</v>
      </c>
      <c r="D4086" s="10">
        <v>45807</v>
      </c>
      <c r="E4086" t="s">
        <v>3245</v>
      </c>
      <c r="F4086" s="11" t="s">
        <v>3246</v>
      </c>
      <c r="G4086" s="8">
        <v>0</v>
      </c>
      <c r="H4086" s="8">
        <v>313.69</v>
      </c>
      <c r="I4086" s="8">
        <f t="shared" si="128"/>
        <v>-25771.199999999993</v>
      </c>
      <c r="J4086" s="12"/>
    </row>
    <row r="4087" spans="3:10" x14ac:dyDescent="0.3">
      <c r="C4087" s="9" t="s">
        <v>12</v>
      </c>
      <c r="D4087" s="10">
        <v>45807</v>
      </c>
      <c r="E4087" t="s">
        <v>2895</v>
      </c>
      <c r="F4087" s="11" t="s">
        <v>3247</v>
      </c>
      <c r="G4087" s="8">
        <v>0</v>
      </c>
      <c r="H4087" s="8">
        <v>26.86</v>
      </c>
      <c r="I4087" s="8">
        <f t="shared" si="128"/>
        <v>-25798.059999999994</v>
      </c>
      <c r="J4087" s="12"/>
    </row>
    <row r="4088" spans="3:10" x14ac:dyDescent="0.3">
      <c r="C4088" s="9" t="s">
        <v>12</v>
      </c>
      <c r="D4088" s="10">
        <v>45808</v>
      </c>
      <c r="E4088" t="s">
        <v>3079</v>
      </c>
      <c r="F4088" s="11" t="s">
        <v>3248</v>
      </c>
      <c r="G4088" s="8">
        <v>0</v>
      </c>
      <c r="H4088" s="8">
        <v>-1012.2</v>
      </c>
      <c r="I4088" s="8">
        <f t="shared" si="128"/>
        <v>-24785.859999999993</v>
      </c>
      <c r="J4088" s="12"/>
    </row>
    <row r="4089" spans="3:10" x14ac:dyDescent="0.3">
      <c r="C4089" s="9" t="s">
        <v>12</v>
      </c>
      <c r="D4089" s="10">
        <v>45809</v>
      </c>
      <c r="E4089" t="s">
        <v>2858</v>
      </c>
      <c r="F4089" s="11" t="s">
        <v>3249</v>
      </c>
      <c r="G4089" s="8">
        <v>0</v>
      </c>
      <c r="H4089" s="8">
        <v>315.63</v>
      </c>
      <c r="I4089" s="8">
        <f t="shared" si="128"/>
        <v>-25101.489999999994</v>
      </c>
      <c r="J4089" s="12"/>
    </row>
    <row r="4090" spans="3:10" x14ac:dyDescent="0.3">
      <c r="C4090" s="9" t="s">
        <v>12</v>
      </c>
      <c r="D4090" s="10">
        <v>45809</v>
      </c>
      <c r="E4090" t="s">
        <v>2858</v>
      </c>
      <c r="F4090" s="11" t="s">
        <v>3250</v>
      </c>
      <c r="G4090" s="8">
        <v>0</v>
      </c>
      <c r="H4090" s="8">
        <v>315.63</v>
      </c>
      <c r="I4090" s="8">
        <f t="shared" si="128"/>
        <v>-25417.119999999995</v>
      </c>
      <c r="J4090" s="12"/>
    </row>
    <row r="4091" spans="3:10" x14ac:dyDescent="0.3">
      <c r="C4091" s="9" t="s">
        <v>12</v>
      </c>
      <c r="D4091" s="10">
        <v>45810</v>
      </c>
      <c r="E4091" t="s">
        <v>3251</v>
      </c>
      <c r="F4091" s="11" t="s">
        <v>2268</v>
      </c>
      <c r="G4091" s="8">
        <v>0</v>
      </c>
      <c r="H4091" s="8">
        <v>80.92</v>
      </c>
      <c r="I4091" s="8">
        <f t="shared" si="128"/>
        <v>-25498.039999999994</v>
      </c>
      <c r="J4091" s="12"/>
    </row>
    <row r="4092" spans="3:10" x14ac:dyDescent="0.3">
      <c r="C4092" s="9" t="s">
        <v>12</v>
      </c>
      <c r="D4092" s="10">
        <v>45810</v>
      </c>
      <c r="E4092" t="s">
        <v>2771</v>
      </c>
      <c r="F4092" s="11" t="s">
        <v>1443</v>
      </c>
      <c r="G4092" s="8">
        <v>0</v>
      </c>
      <c r="H4092" s="8">
        <v>17.850000000000001</v>
      </c>
      <c r="I4092" s="8">
        <f t="shared" si="128"/>
        <v>-25515.889999999992</v>
      </c>
      <c r="J4092" s="12"/>
    </row>
    <row r="4093" spans="3:10" x14ac:dyDescent="0.3">
      <c r="C4093" s="9" t="s">
        <v>12</v>
      </c>
      <c r="D4093" s="10">
        <v>45810</v>
      </c>
      <c r="E4093" t="s">
        <v>2783</v>
      </c>
      <c r="F4093" s="11" t="s">
        <v>1309</v>
      </c>
      <c r="G4093" s="8">
        <v>0</v>
      </c>
      <c r="H4093" s="8">
        <v>35.03</v>
      </c>
      <c r="I4093" s="8">
        <f t="shared" si="128"/>
        <v>-25550.919999999991</v>
      </c>
      <c r="J4093" s="12"/>
    </row>
    <row r="4094" spans="3:10" x14ac:dyDescent="0.3">
      <c r="C4094" s="9" t="s">
        <v>12</v>
      </c>
      <c r="D4094" s="10">
        <v>45810</v>
      </c>
      <c r="E4094" t="s">
        <v>2910</v>
      </c>
      <c r="F4094" s="11" t="s">
        <v>3252</v>
      </c>
      <c r="G4094" s="8">
        <v>0</v>
      </c>
      <c r="H4094" s="8">
        <v>74.62</v>
      </c>
      <c r="I4094" s="8">
        <f t="shared" si="128"/>
        <v>-25625.53999999999</v>
      </c>
      <c r="J4094" s="12"/>
    </row>
    <row r="4095" spans="3:10" x14ac:dyDescent="0.3">
      <c r="C4095" s="9" t="s">
        <v>12</v>
      </c>
      <c r="D4095" s="10">
        <v>45811</v>
      </c>
      <c r="E4095" t="s">
        <v>2967</v>
      </c>
      <c r="F4095" s="11" t="s">
        <v>1997</v>
      </c>
      <c r="G4095" s="8">
        <v>0</v>
      </c>
      <c r="H4095" s="8">
        <v>61.54</v>
      </c>
      <c r="I4095" s="8">
        <f t="shared" si="128"/>
        <v>-25687.079999999991</v>
      </c>
      <c r="J4095" s="12"/>
    </row>
    <row r="4096" spans="3:10" x14ac:dyDescent="0.3">
      <c r="C4096" s="9" t="s">
        <v>12</v>
      </c>
      <c r="D4096" s="10">
        <v>45811</v>
      </c>
      <c r="E4096" t="s">
        <v>3253</v>
      </c>
      <c r="F4096" s="11" t="s">
        <v>423</v>
      </c>
      <c r="G4096" s="8">
        <v>0</v>
      </c>
      <c r="H4096" s="8">
        <v>14.91</v>
      </c>
      <c r="I4096" s="8">
        <f t="shared" si="128"/>
        <v>-25701.989999999991</v>
      </c>
      <c r="J4096" s="12"/>
    </row>
    <row r="4097" spans="3:10" x14ac:dyDescent="0.3">
      <c r="C4097" s="9" t="s">
        <v>12</v>
      </c>
      <c r="D4097" s="10">
        <v>45812</v>
      </c>
      <c r="E4097" t="s">
        <v>2963</v>
      </c>
      <c r="F4097" s="11" t="s">
        <v>3254</v>
      </c>
      <c r="G4097" s="8">
        <v>0</v>
      </c>
      <c r="H4097" s="8">
        <v>72.19</v>
      </c>
      <c r="I4097" s="8">
        <f t="shared" si="128"/>
        <v>-25774.179999999989</v>
      </c>
      <c r="J4097" s="12"/>
    </row>
    <row r="4098" spans="3:10" x14ac:dyDescent="0.3">
      <c r="C4098" s="9" t="s">
        <v>12</v>
      </c>
      <c r="D4098" s="10">
        <v>45812</v>
      </c>
      <c r="E4098" t="s">
        <v>2910</v>
      </c>
      <c r="F4098" s="11" t="s">
        <v>3255</v>
      </c>
      <c r="G4098" s="8">
        <v>0</v>
      </c>
      <c r="H4098" s="8">
        <v>23.1</v>
      </c>
      <c r="I4098" s="8">
        <f t="shared" si="128"/>
        <v>-25797.279999999988</v>
      </c>
      <c r="J4098" s="12"/>
    </row>
    <row r="4099" spans="3:10" x14ac:dyDescent="0.3">
      <c r="C4099" s="9" t="s">
        <v>12</v>
      </c>
      <c r="D4099" s="10">
        <v>45812</v>
      </c>
      <c r="E4099" t="s">
        <v>3256</v>
      </c>
      <c r="F4099" s="11" t="s">
        <v>1859</v>
      </c>
      <c r="G4099" s="8">
        <v>0</v>
      </c>
      <c r="H4099" s="8">
        <v>44.8</v>
      </c>
      <c r="I4099" s="8">
        <f t="shared" si="128"/>
        <v>-25842.079999999987</v>
      </c>
      <c r="J4099" s="12"/>
    </row>
    <row r="4100" spans="3:10" x14ac:dyDescent="0.3">
      <c r="C4100" s="9" t="s">
        <v>12</v>
      </c>
      <c r="D4100" s="10">
        <v>45813</v>
      </c>
      <c r="E4100" t="s">
        <v>3257</v>
      </c>
      <c r="F4100" s="11" t="s">
        <v>3258</v>
      </c>
      <c r="G4100" s="8">
        <v>0</v>
      </c>
      <c r="H4100" s="8">
        <v>35.619999999999997</v>
      </c>
      <c r="I4100" s="8">
        <f t="shared" si="128"/>
        <v>-25877.699999999986</v>
      </c>
      <c r="J4100" s="12"/>
    </row>
    <row r="4101" spans="3:10" x14ac:dyDescent="0.3">
      <c r="C4101" s="9" t="s">
        <v>12</v>
      </c>
      <c r="D4101" s="10">
        <v>45813</v>
      </c>
      <c r="E4101" t="s">
        <v>2967</v>
      </c>
      <c r="F4101" s="11" t="s">
        <v>1999</v>
      </c>
      <c r="G4101" s="8">
        <v>0</v>
      </c>
      <c r="H4101" s="8">
        <v>61.54</v>
      </c>
      <c r="I4101" s="8">
        <f t="shared" si="128"/>
        <v>-25939.239999999987</v>
      </c>
      <c r="J4101" s="12"/>
    </row>
    <row r="4102" spans="3:10" x14ac:dyDescent="0.3">
      <c r="C4102" s="9" t="s">
        <v>12</v>
      </c>
      <c r="D4102" s="10">
        <v>45813</v>
      </c>
      <c r="E4102" t="s">
        <v>3259</v>
      </c>
      <c r="F4102" s="11" t="s">
        <v>3260</v>
      </c>
      <c r="G4102" s="8">
        <v>0</v>
      </c>
      <c r="H4102" s="8">
        <v>73.569999999999993</v>
      </c>
      <c r="I4102" s="8">
        <f t="shared" si="128"/>
        <v>-26012.809999999987</v>
      </c>
      <c r="J4102" s="12"/>
    </row>
    <row r="4103" spans="3:10" x14ac:dyDescent="0.3">
      <c r="C4103" s="9" t="s">
        <v>12</v>
      </c>
      <c r="D4103" s="10">
        <v>45813</v>
      </c>
      <c r="E4103" t="s">
        <v>3261</v>
      </c>
      <c r="F4103" s="11" t="s">
        <v>1736</v>
      </c>
      <c r="G4103" s="8">
        <v>0</v>
      </c>
      <c r="H4103" s="8">
        <v>37.799999999999997</v>
      </c>
      <c r="I4103" s="8">
        <f t="shared" si="128"/>
        <v>-26050.609999999986</v>
      </c>
      <c r="J4103" s="12"/>
    </row>
    <row r="4104" spans="3:10" x14ac:dyDescent="0.3">
      <c r="C4104" s="9" t="s">
        <v>12</v>
      </c>
      <c r="D4104" s="10">
        <v>45813</v>
      </c>
      <c r="E4104" t="s">
        <v>2851</v>
      </c>
      <c r="F4104" s="11" t="s">
        <v>3262</v>
      </c>
      <c r="G4104" s="8">
        <v>0</v>
      </c>
      <c r="H4104" s="8">
        <v>25.38</v>
      </c>
      <c r="I4104" s="8">
        <f t="shared" si="128"/>
        <v>-26075.989999999987</v>
      </c>
      <c r="J4104" s="12"/>
    </row>
    <row r="4105" spans="3:10" x14ac:dyDescent="0.3">
      <c r="C4105" s="9" t="s">
        <v>12</v>
      </c>
      <c r="D4105" s="10">
        <v>45813</v>
      </c>
      <c r="E4105" t="s">
        <v>3161</v>
      </c>
      <c r="F4105" s="11" t="s">
        <v>3263</v>
      </c>
      <c r="G4105" s="8">
        <v>0</v>
      </c>
      <c r="H4105" s="8">
        <v>52.26</v>
      </c>
      <c r="I4105" s="8">
        <f t="shared" si="128"/>
        <v>-26128.249999999985</v>
      </c>
      <c r="J4105" s="12"/>
    </row>
    <row r="4106" spans="3:10" x14ac:dyDescent="0.3">
      <c r="C4106" s="9" t="s">
        <v>12</v>
      </c>
      <c r="D4106" s="10">
        <v>45813</v>
      </c>
      <c r="E4106" t="s">
        <v>3253</v>
      </c>
      <c r="F4106" s="11" t="s">
        <v>425</v>
      </c>
      <c r="G4106" s="8">
        <v>0</v>
      </c>
      <c r="H4106" s="8">
        <v>3.72</v>
      </c>
      <c r="I4106" s="8">
        <f t="shared" si="128"/>
        <v>-26131.969999999987</v>
      </c>
      <c r="J4106" s="12"/>
    </row>
    <row r="4107" spans="3:10" x14ac:dyDescent="0.3">
      <c r="C4107" s="9" t="s">
        <v>12</v>
      </c>
      <c r="D4107" s="10">
        <v>45814</v>
      </c>
      <c r="E4107" t="s">
        <v>3086</v>
      </c>
      <c r="F4107" s="11" t="s">
        <v>1349</v>
      </c>
      <c r="G4107" s="8">
        <v>0</v>
      </c>
      <c r="H4107" s="8">
        <v>6.77</v>
      </c>
      <c r="I4107" s="8">
        <f t="shared" ref="I4107:I4170" si="129">G4107-H4107+I4106</f>
        <v>-26138.739999999987</v>
      </c>
      <c r="J4107" s="12"/>
    </row>
    <row r="4108" spans="3:10" x14ac:dyDescent="0.3">
      <c r="C4108" s="9" t="s">
        <v>12</v>
      </c>
      <c r="D4108" s="10">
        <v>45814</v>
      </c>
      <c r="E4108" t="s">
        <v>2790</v>
      </c>
      <c r="F4108" s="11" t="s">
        <v>1973</v>
      </c>
      <c r="G4108" s="8">
        <v>0</v>
      </c>
      <c r="H4108" s="8">
        <v>14.56</v>
      </c>
      <c r="I4108" s="8">
        <f t="shared" si="129"/>
        <v>-26153.299999999988</v>
      </c>
      <c r="J4108" s="12"/>
    </row>
    <row r="4109" spans="3:10" x14ac:dyDescent="0.3">
      <c r="C4109" s="9" t="s">
        <v>12</v>
      </c>
      <c r="D4109" s="10">
        <v>45814</v>
      </c>
      <c r="E4109" t="s">
        <v>2854</v>
      </c>
      <c r="F4109" s="11" t="s">
        <v>1228</v>
      </c>
      <c r="G4109" s="8">
        <v>0</v>
      </c>
      <c r="H4109" s="8">
        <v>33.6</v>
      </c>
      <c r="I4109" s="8">
        <f t="shared" si="129"/>
        <v>-26186.899999999987</v>
      </c>
      <c r="J4109" s="12"/>
    </row>
    <row r="4110" spans="3:10" x14ac:dyDescent="0.3">
      <c r="C4110" s="9" t="s">
        <v>12</v>
      </c>
      <c r="D4110" s="10">
        <v>45814</v>
      </c>
      <c r="E4110" t="s">
        <v>2854</v>
      </c>
      <c r="F4110" s="11" t="s">
        <v>1230</v>
      </c>
      <c r="G4110" s="8">
        <v>0</v>
      </c>
      <c r="H4110" s="8">
        <v>-33.6</v>
      </c>
      <c r="I4110" s="8">
        <f t="shared" si="129"/>
        <v>-26153.299999999988</v>
      </c>
      <c r="J4110" s="12"/>
    </row>
    <row r="4111" spans="3:10" x14ac:dyDescent="0.3">
      <c r="C4111" s="9" t="s">
        <v>12</v>
      </c>
      <c r="D4111" s="10">
        <v>45817</v>
      </c>
      <c r="E4111" t="s">
        <v>2854</v>
      </c>
      <c r="F4111" s="11" t="s">
        <v>1232</v>
      </c>
      <c r="G4111" s="8">
        <v>0</v>
      </c>
      <c r="H4111" s="8">
        <v>95.99</v>
      </c>
      <c r="I4111" s="8">
        <f t="shared" si="129"/>
        <v>-26249.28999999999</v>
      </c>
      <c r="J4111" s="12"/>
    </row>
    <row r="4112" spans="3:10" x14ac:dyDescent="0.3">
      <c r="C4112" s="9" t="s">
        <v>12</v>
      </c>
      <c r="D4112" s="10">
        <v>45818</v>
      </c>
      <c r="E4112" t="s">
        <v>2996</v>
      </c>
      <c r="F4112" s="11" t="s">
        <v>3264</v>
      </c>
      <c r="G4112" s="8">
        <v>0</v>
      </c>
      <c r="H4112" s="8">
        <v>34.35</v>
      </c>
      <c r="I4112" s="8">
        <f t="shared" si="129"/>
        <v>-26283.639999999989</v>
      </c>
      <c r="J4112" s="12"/>
    </row>
    <row r="4113" spans="3:10" x14ac:dyDescent="0.3">
      <c r="C4113" s="9" t="s">
        <v>12</v>
      </c>
      <c r="D4113" s="10">
        <v>45818</v>
      </c>
      <c r="E4113" t="s">
        <v>2806</v>
      </c>
      <c r="F4113" s="11" t="s">
        <v>1256</v>
      </c>
      <c r="G4113" s="8">
        <v>0</v>
      </c>
      <c r="H4113" s="8">
        <v>28.35</v>
      </c>
      <c r="I4113" s="8">
        <f t="shared" si="129"/>
        <v>-26311.989999999987</v>
      </c>
      <c r="J4113" s="12"/>
    </row>
    <row r="4114" spans="3:10" x14ac:dyDescent="0.3">
      <c r="C4114" s="9" t="s">
        <v>12</v>
      </c>
      <c r="D4114" s="10">
        <v>45818</v>
      </c>
      <c r="E4114" t="s">
        <v>2783</v>
      </c>
      <c r="F4114" s="11" t="s">
        <v>1311</v>
      </c>
      <c r="G4114" s="8">
        <v>0</v>
      </c>
      <c r="H4114" s="8">
        <v>73.09</v>
      </c>
      <c r="I4114" s="8">
        <f t="shared" si="129"/>
        <v>-26385.079999999987</v>
      </c>
      <c r="J4114" s="12"/>
    </row>
    <row r="4115" spans="3:10" x14ac:dyDescent="0.3">
      <c r="C4115" s="9" t="s">
        <v>12</v>
      </c>
      <c r="D4115" s="10">
        <v>45818</v>
      </c>
      <c r="E4115" t="s">
        <v>2996</v>
      </c>
      <c r="F4115" s="11" t="s">
        <v>3265</v>
      </c>
      <c r="G4115" s="8">
        <v>0</v>
      </c>
      <c r="H4115" s="8">
        <v>34.35</v>
      </c>
      <c r="I4115" s="8">
        <f t="shared" si="129"/>
        <v>-26419.429999999986</v>
      </c>
      <c r="J4115" s="12"/>
    </row>
    <row r="4116" spans="3:10" x14ac:dyDescent="0.3">
      <c r="C4116" s="9" t="s">
        <v>12</v>
      </c>
      <c r="D4116" s="10">
        <v>45818</v>
      </c>
      <c r="E4116" t="s">
        <v>3266</v>
      </c>
      <c r="F4116" s="11" t="s">
        <v>1846</v>
      </c>
      <c r="G4116" s="8">
        <v>0</v>
      </c>
      <c r="H4116" s="8">
        <v>39.880000000000003</v>
      </c>
      <c r="I4116" s="8">
        <f t="shared" si="129"/>
        <v>-26459.309999999987</v>
      </c>
      <c r="J4116" s="12"/>
    </row>
    <row r="4117" spans="3:10" x14ac:dyDescent="0.3">
      <c r="C4117" s="9" t="s">
        <v>12</v>
      </c>
      <c r="D4117" s="10">
        <v>45818</v>
      </c>
      <c r="E4117" t="s">
        <v>2766</v>
      </c>
      <c r="F4117" s="11" t="s">
        <v>3267</v>
      </c>
      <c r="G4117" s="8">
        <v>0</v>
      </c>
      <c r="H4117" s="8">
        <v>33.6</v>
      </c>
      <c r="I4117" s="8">
        <f t="shared" si="129"/>
        <v>-26492.909999999985</v>
      </c>
      <c r="J4117" s="12"/>
    </row>
    <row r="4118" spans="3:10" x14ac:dyDescent="0.3">
      <c r="C4118" s="9" t="s">
        <v>12</v>
      </c>
      <c r="D4118" s="10">
        <v>45819</v>
      </c>
      <c r="E4118" t="s">
        <v>2831</v>
      </c>
      <c r="F4118" s="11" t="s">
        <v>2331</v>
      </c>
      <c r="G4118" s="8">
        <v>0</v>
      </c>
      <c r="H4118" s="8">
        <v>59.61</v>
      </c>
      <c r="I4118" s="8">
        <f t="shared" si="129"/>
        <v>-26552.519999999986</v>
      </c>
      <c r="J4118" s="12"/>
    </row>
    <row r="4119" spans="3:10" x14ac:dyDescent="0.3">
      <c r="C4119" s="9" t="s">
        <v>12</v>
      </c>
      <c r="D4119" s="10">
        <v>45819</v>
      </c>
      <c r="E4119" t="s">
        <v>2895</v>
      </c>
      <c r="F4119" s="11" t="s">
        <v>3268</v>
      </c>
      <c r="G4119" s="8">
        <v>0</v>
      </c>
      <c r="H4119" s="8">
        <v>53.03</v>
      </c>
      <c r="I4119" s="8">
        <f t="shared" si="129"/>
        <v>-26605.549999999985</v>
      </c>
      <c r="J4119" s="12"/>
    </row>
    <row r="4120" spans="3:10" x14ac:dyDescent="0.3">
      <c r="C4120" s="9" t="s">
        <v>12</v>
      </c>
      <c r="D4120" s="10">
        <v>45819</v>
      </c>
      <c r="E4120" t="s">
        <v>2747</v>
      </c>
      <c r="F4120" s="11" t="s">
        <v>2042</v>
      </c>
      <c r="G4120" s="8">
        <v>0</v>
      </c>
      <c r="H4120" s="8">
        <v>23.27</v>
      </c>
      <c r="I4120" s="8">
        <f t="shared" si="129"/>
        <v>-26628.819999999985</v>
      </c>
      <c r="J4120" s="12"/>
    </row>
    <row r="4121" spans="3:10" x14ac:dyDescent="0.3">
      <c r="C4121" s="9" t="s">
        <v>12</v>
      </c>
      <c r="D4121" s="10">
        <v>45819</v>
      </c>
      <c r="E4121" t="s">
        <v>2832</v>
      </c>
      <c r="F4121" s="11" t="s">
        <v>3269</v>
      </c>
      <c r="G4121" s="8">
        <v>0</v>
      </c>
      <c r="H4121" s="8">
        <v>57.26</v>
      </c>
      <c r="I4121" s="8">
        <f t="shared" si="129"/>
        <v>-26686.079999999984</v>
      </c>
      <c r="J4121" s="12"/>
    </row>
    <row r="4122" spans="3:10" x14ac:dyDescent="0.3">
      <c r="C4122" s="9" t="s">
        <v>12</v>
      </c>
      <c r="D4122" s="10">
        <v>45819</v>
      </c>
      <c r="E4122" t="s">
        <v>3270</v>
      </c>
      <c r="F4122" s="11" t="s">
        <v>3271</v>
      </c>
      <c r="G4122" s="8">
        <v>0</v>
      </c>
      <c r="H4122" s="8">
        <v>222.6</v>
      </c>
      <c r="I4122" s="8">
        <f t="shared" si="129"/>
        <v>-26908.679999999982</v>
      </c>
      <c r="J4122" s="12"/>
    </row>
    <row r="4123" spans="3:10" x14ac:dyDescent="0.3">
      <c r="C4123" s="9" t="s">
        <v>12</v>
      </c>
      <c r="D4123" s="10">
        <v>45820</v>
      </c>
      <c r="E4123" t="s">
        <v>3272</v>
      </c>
      <c r="F4123" s="11" t="s">
        <v>3273</v>
      </c>
      <c r="G4123" s="8">
        <v>0</v>
      </c>
      <c r="H4123" s="8">
        <v>72.56</v>
      </c>
      <c r="I4123" s="8">
        <f t="shared" si="129"/>
        <v>-26981.239999999983</v>
      </c>
      <c r="J4123" s="12"/>
    </row>
    <row r="4124" spans="3:10" x14ac:dyDescent="0.3">
      <c r="C4124" s="9" t="s">
        <v>12</v>
      </c>
      <c r="D4124" s="10">
        <v>45820</v>
      </c>
      <c r="E4124" t="s">
        <v>2860</v>
      </c>
      <c r="F4124" s="11" t="s">
        <v>1818</v>
      </c>
      <c r="G4124" s="8">
        <v>0</v>
      </c>
      <c r="H4124" s="8">
        <v>51.32</v>
      </c>
      <c r="I4124" s="8">
        <f t="shared" si="129"/>
        <v>-27032.559999999983</v>
      </c>
      <c r="J4124" s="12"/>
    </row>
    <row r="4125" spans="3:10" x14ac:dyDescent="0.3">
      <c r="C4125" s="9" t="s">
        <v>12</v>
      </c>
      <c r="D4125" s="10">
        <v>45820</v>
      </c>
      <c r="E4125" t="s">
        <v>2784</v>
      </c>
      <c r="F4125" s="11" t="s">
        <v>1067</v>
      </c>
      <c r="G4125" s="8">
        <v>0</v>
      </c>
      <c r="H4125" s="8">
        <v>69.3</v>
      </c>
      <c r="I4125" s="8">
        <f t="shared" si="129"/>
        <v>-27101.859999999982</v>
      </c>
      <c r="J4125" s="12"/>
    </row>
    <row r="4126" spans="3:10" x14ac:dyDescent="0.3">
      <c r="C4126" s="9" t="s">
        <v>12</v>
      </c>
      <c r="D4126" s="10">
        <v>45821</v>
      </c>
      <c r="E4126" t="s">
        <v>3201</v>
      </c>
      <c r="F4126" s="11" t="s">
        <v>1650</v>
      </c>
      <c r="G4126" s="8">
        <v>0</v>
      </c>
      <c r="H4126" s="8">
        <v>371.59</v>
      </c>
      <c r="I4126" s="8">
        <f t="shared" si="129"/>
        <v>-27473.449999999983</v>
      </c>
      <c r="J4126" s="12"/>
    </row>
    <row r="4127" spans="3:10" x14ac:dyDescent="0.3">
      <c r="C4127" s="9" t="s">
        <v>12</v>
      </c>
      <c r="D4127" s="10">
        <v>45823</v>
      </c>
      <c r="E4127" t="s">
        <v>3274</v>
      </c>
      <c r="F4127" s="11" t="s">
        <v>954</v>
      </c>
      <c r="G4127" s="8">
        <v>0</v>
      </c>
      <c r="H4127" s="8">
        <v>7.53</v>
      </c>
      <c r="I4127" s="8">
        <f t="shared" si="129"/>
        <v>-27480.979999999981</v>
      </c>
      <c r="J4127" s="12"/>
    </row>
    <row r="4128" spans="3:10" x14ac:dyDescent="0.3">
      <c r="C4128" s="9" t="s">
        <v>12</v>
      </c>
      <c r="D4128" s="10">
        <v>45824</v>
      </c>
      <c r="E4128" t="s">
        <v>3275</v>
      </c>
      <c r="F4128" s="11" t="s">
        <v>3276</v>
      </c>
      <c r="G4128" s="8">
        <v>0</v>
      </c>
      <c r="H4128" s="8">
        <v>149.97</v>
      </c>
      <c r="I4128" s="8">
        <f t="shared" si="129"/>
        <v>-27630.949999999983</v>
      </c>
      <c r="J4128" s="12"/>
    </row>
    <row r="4129" spans="3:10" x14ac:dyDescent="0.3">
      <c r="C4129" s="9" t="s">
        <v>12</v>
      </c>
      <c r="D4129" s="10">
        <v>45824</v>
      </c>
      <c r="E4129" t="s">
        <v>2848</v>
      </c>
      <c r="F4129" s="11" t="s">
        <v>1182</v>
      </c>
      <c r="G4129" s="8">
        <v>0</v>
      </c>
      <c r="H4129" s="8">
        <v>43.43</v>
      </c>
      <c r="I4129" s="8">
        <f t="shared" si="129"/>
        <v>-27674.379999999983</v>
      </c>
      <c r="J4129" s="12"/>
    </row>
    <row r="4130" spans="3:10" x14ac:dyDescent="0.3">
      <c r="C4130" s="9" t="s">
        <v>12</v>
      </c>
      <c r="D4130" s="10">
        <v>45824</v>
      </c>
      <c r="E4130" t="s">
        <v>2790</v>
      </c>
      <c r="F4130" s="11" t="s">
        <v>1975</v>
      </c>
      <c r="G4130" s="8">
        <v>0</v>
      </c>
      <c r="H4130" s="8">
        <v>66.180000000000007</v>
      </c>
      <c r="I4130" s="8">
        <f t="shared" si="129"/>
        <v>-27740.559999999983</v>
      </c>
      <c r="J4130" s="12"/>
    </row>
    <row r="4131" spans="3:10" x14ac:dyDescent="0.3">
      <c r="C4131" s="9" t="s">
        <v>12</v>
      </c>
      <c r="D4131" s="10">
        <v>45824</v>
      </c>
      <c r="E4131" t="s">
        <v>3277</v>
      </c>
      <c r="F4131" s="11" t="s">
        <v>3278</v>
      </c>
      <c r="G4131" s="8">
        <v>0</v>
      </c>
      <c r="H4131" s="8">
        <v>79.459999999999994</v>
      </c>
      <c r="I4131" s="8">
        <f t="shared" si="129"/>
        <v>-27820.019999999982</v>
      </c>
      <c r="J4131" s="12"/>
    </row>
    <row r="4132" spans="3:10" x14ac:dyDescent="0.3">
      <c r="C4132" s="9" t="s">
        <v>12</v>
      </c>
      <c r="D4132" s="10">
        <v>45824</v>
      </c>
      <c r="E4132" t="s">
        <v>2732</v>
      </c>
      <c r="F4132" s="11" t="s">
        <v>3279</v>
      </c>
      <c r="G4132" s="8">
        <v>0</v>
      </c>
      <c r="H4132" s="8">
        <v>-79.459999999999994</v>
      </c>
      <c r="I4132" s="8">
        <f t="shared" si="129"/>
        <v>-27740.559999999983</v>
      </c>
      <c r="J4132" s="12"/>
    </row>
    <row r="4133" spans="3:10" x14ac:dyDescent="0.3">
      <c r="C4133" s="9" t="s">
        <v>12</v>
      </c>
      <c r="D4133" s="10">
        <v>45824</v>
      </c>
      <c r="E4133" t="s">
        <v>2887</v>
      </c>
      <c r="F4133" s="11" t="s">
        <v>1217</v>
      </c>
      <c r="G4133" s="8">
        <v>0</v>
      </c>
      <c r="H4133" s="8">
        <v>23.1</v>
      </c>
      <c r="I4133" s="8">
        <f t="shared" si="129"/>
        <v>-27763.659999999982</v>
      </c>
      <c r="J4133" s="12"/>
    </row>
    <row r="4134" spans="3:10" x14ac:dyDescent="0.3">
      <c r="C4134" s="9" t="s">
        <v>12</v>
      </c>
      <c r="D4134" s="10">
        <v>45824</v>
      </c>
      <c r="E4134" t="s">
        <v>2803</v>
      </c>
      <c r="F4134" s="11" t="s">
        <v>1407</v>
      </c>
      <c r="G4134" s="8">
        <v>0</v>
      </c>
      <c r="H4134" s="8">
        <v>120.89</v>
      </c>
      <c r="I4134" s="8">
        <f t="shared" si="129"/>
        <v>-27884.549999999981</v>
      </c>
      <c r="J4134" s="12"/>
    </row>
    <row r="4135" spans="3:10" x14ac:dyDescent="0.3">
      <c r="C4135" s="9" t="s">
        <v>12</v>
      </c>
      <c r="D4135" s="10">
        <v>45824</v>
      </c>
      <c r="E4135" t="s">
        <v>3280</v>
      </c>
      <c r="F4135" s="11" t="s">
        <v>1719</v>
      </c>
      <c r="G4135" s="8">
        <v>0</v>
      </c>
      <c r="H4135" s="8">
        <v>64.13</v>
      </c>
      <c r="I4135" s="8">
        <f t="shared" si="129"/>
        <v>-27948.679999999982</v>
      </c>
      <c r="J4135" s="12"/>
    </row>
    <row r="4136" spans="3:10" x14ac:dyDescent="0.3">
      <c r="C4136" s="9" t="s">
        <v>12</v>
      </c>
      <c r="D4136" s="10">
        <v>45824</v>
      </c>
      <c r="E4136" t="s">
        <v>3280</v>
      </c>
      <c r="F4136" s="11" t="s">
        <v>1721</v>
      </c>
      <c r="G4136" s="8">
        <v>0</v>
      </c>
      <c r="H4136" s="8">
        <v>58.78</v>
      </c>
      <c r="I4136" s="8">
        <f t="shared" si="129"/>
        <v>-28007.459999999981</v>
      </c>
      <c r="J4136" s="12"/>
    </row>
    <row r="4137" spans="3:10" x14ac:dyDescent="0.3">
      <c r="C4137" s="9" t="s">
        <v>12</v>
      </c>
      <c r="D4137" s="10">
        <v>45824</v>
      </c>
      <c r="E4137" t="s">
        <v>3274</v>
      </c>
      <c r="F4137" s="11" t="s">
        <v>956</v>
      </c>
      <c r="G4137" s="8">
        <v>0</v>
      </c>
      <c r="H4137" s="8">
        <v>1.47</v>
      </c>
      <c r="I4137" s="8">
        <f t="shared" si="129"/>
        <v>-28008.929999999982</v>
      </c>
      <c r="J4137" s="12"/>
    </row>
    <row r="4138" spans="3:10" x14ac:dyDescent="0.3">
      <c r="C4138" s="9" t="s">
        <v>12</v>
      </c>
      <c r="D4138" s="10">
        <v>45824</v>
      </c>
      <c r="E4138" t="s">
        <v>3274</v>
      </c>
      <c r="F4138" s="11" t="s">
        <v>958</v>
      </c>
      <c r="G4138" s="8">
        <v>0</v>
      </c>
      <c r="H4138" s="8">
        <v>1.47</v>
      </c>
      <c r="I4138" s="8">
        <f t="shared" si="129"/>
        <v>-28010.399999999983</v>
      </c>
      <c r="J4138" s="12"/>
    </row>
    <row r="4139" spans="3:10" x14ac:dyDescent="0.3">
      <c r="C4139" s="9" t="s">
        <v>12</v>
      </c>
      <c r="D4139" s="10">
        <v>45825</v>
      </c>
      <c r="E4139" t="s">
        <v>2967</v>
      </c>
      <c r="F4139" s="11" t="s">
        <v>2001</v>
      </c>
      <c r="G4139" s="8">
        <v>0</v>
      </c>
      <c r="H4139" s="8">
        <v>-61.54</v>
      </c>
      <c r="I4139" s="8">
        <f t="shared" si="129"/>
        <v>-27948.859999999982</v>
      </c>
      <c r="J4139" s="12"/>
    </row>
    <row r="4140" spans="3:10" x14ac:dyDescent="0.3">
      <c r="C4140" s="9" t="s">
        <v>12</v>
      </c>
      <c r="D4140" s="10">
        <v>45825</v>
      </c>
      <c r="E4140" t="s">
        <v>3082</v>
      </c>
      <c r="F4140" s="11" t="s">
        <v>3281</v>
      </c>
      <c r="G4140" s="8">
        <v>0</v>
      </c>
      <c r="H4140" s="8">
        <v>-17.850000000000001</v>
      </c>
      <c r="I4140" s="8">
        <f t="shared" si="129"/>
        <v>-27931.009999999984</v>
      </c>
      <c r="J4140" s="12"/>
    </row>
    <row r="4141" spans="3:10" x14ac:dyDescent="0.3">
      <c r="C4141" s="9" t="s">
        <v>12</v>
      </c>
      <c r="D4141" s="10">
        <v>45825</v>
      </c>
      <c r="E4141" t="s">
        <v>3207</v>
      </c>
      <c r="F4141" s="11" t="s">
        <v>1533</v>
      </c>
      <c r="G4141" s="8">
        <v>0</v>
      </c>
      <c r="H4141" s="8">
        <v>88.2</v>
      </c>
      <c r="I4141" s="8">
        <f t="shared" si="129"/>
        <v>-28019.209999999985</v>
      </c>
      <c r="J4141" s="12"/>
    </row>
    <row r="4142" spans="3:10" x14ac:dyDescent="0.3">
      <c r="C4142" s="9" t="s">
        <v>12</v>
      </c>
      <c r="D4142" s="10">
        <v>45825</v>
      </c>
      <c r="E4142" t="s">
        <v>3207</v>
      </c>
      <c r="F4142" s="11" t="s">
        <v>1535</v>
      </c>
      <c r="G4142" s="8">
        <v>0</v>
      </c>
      <c r="H4142" s="8">
        <v>44.1</v>
      </c>
      <c r="I4142" s="8">
        <f t="shared" si="129"/>
        <v>-28063.309999999983</v>
      </c>
      <c r="J4142" s="12"/>
    </row>
    <row r="4143" spans="3:10" x14ac:dyDescent="0.3">
      <c r="C4143" s="9" t="s">
        <v>12</v>
      </c>
      <c r="D4143" s="10">
        <v>45825</v>
      </c>
      <c r="E4143" t="s">
        <v>3207</v>
      </c>
      <c r="F4143" s="11" t="s">
        <v>1537</v>
      </c>
      <c r="G4143" s="8">
        <v>0</v>
      </c>
      <c r="H4143" s="8">
        <v>17.850000000000001</v>
      </c>
      <c r="I4143" s="8">
        <f t="shared" si="129"/>
        <v>-28081.159999999982</v>
      </c>
      <c r="J4143" s="12"/>
    </row>
    <row r="4144" spans="3:10" x14ac:dyDescent="0.3">
      <c r="C4144" s="9" t="s">
        <v>12</v>
      </c>
      <c r="D4144" s="10">
        <v>45825</v>
      </c>
      <c r="E4144" t="s">
        <v>3082</v>
      </c>
      <c r="F4144" s="11" t="s">
        <v>3282</v>
      </c>
      <c r="G4144" s="8">
        <v>0</v>
      </c>
      <c r="H4144" s="8">
        <v>-88.2</v>
      </c>
      <c r="I4144" s="8">
        <f t="shared" si="129"/>
        <v>-27992.959999999981</v>
      </c>
      <c r="J4144" s="12"/>
    </row>
    <row r="4145" spans="3:10" x14ac:dyDescent="0.3">
      <c r="C4145" s="9" t="s">
        <v>12</v>
      </c>
      <c r="D4145" s="10">
        <v>45825</v>
      </c>
      <c r="E4145" t="s">
        <v>3082</v>
      </c>
      <c r="F4145" s="11" t="s">
        <v>3283</v>
      </c>
      <c r="G4145" s="8">
        <v>0</v>
      </c>
      <c r="H4145" s="8">
        <v>-44.1</v>
      </c>
      <c r="I4145" s="8">
        <f t="shared" si="129"/>
        <v>-27948.859999999982</v>
      </c>
      <c r="J4145" s="12"/>
    </row>
    <row r="4146" spans="3:10" x14ac:dyDescent="0.3">
      <c r="C4146" s="9" t="s">
        <v>12</v>
      </c>
      <c r="D4146" s="10">
        <v>45825</v>
      </c>
      <c r="E4146" t="s">
        <v>2952</v>
      </c>
      <c r="F4146" s="11" t="s">
        <v>3284</v>
      </c>
      <c r="G4146" s="8">
        <v>0</v>
      </c>
      <c r="H4146" s="8">
        <v>477.75</v>
      </c>
      <c r="I4146" s="8">
        <f t="shared" si="129"/>
        <v>-28426.609999999982</v>
      </c>
      <c r="J4146" s="12"/>
    </row>
    <row r="4147" spans="3:10" x14ac:dyDescent="0.3">
      <c r="C4147" s="9" t="s">
        <v>12</v>
      </c>
      <c r="D4147" s="10">
        <v>45826</v>
      </c>
      <c r="E4147" t="s">
        <v>3285</v>
      </c>
      <c r="F4147" s="11" t="s">
        <v>3286</v>
      </c>
      <c r="G4147" s="8">
        <v>0</v>
      </c>
      <c r="H4147" s="8">
        <v>4285.8900000000003</v>
      </c>
      <c r="I4147" s="8">
        <f t="shared" si="129"/>
        <v>-32712.499999999982</v>
      </c>
      <c r="J4147" s="12"/>
    </row>
    <row r="4148" spans="3:10" x14ac:dyDescent="0.3">
      <c r="C4148" s="9" t="s">
        <v>12</v>
      </c>
      <c r="D4148" s="10">
        <v>45826</v>
      </c>
      <c r="E4148" t="s">
        <v>3285</v>
      </c>
      <c r="F4148" s="11" t="s">
        <v>3287</v>
      </c>
      <c r="G4148" s="8">
        <v>0</v>
      </c>
      <c r="H4148" s="8">
        <v>2219.6999999999998</v>
      </c>
      <c r="I4148" s="8">
        <f t="shared" si="129"/>
        <v>-34932.199999999983</v>
      </c>
      <c r="J4148" s="12"/>
    </row>
    <row r="4149" spans="3:10" x14ac:dyDescent="0.3">
      <c r="C4149" s="9" t="s">
        <v>12</v>
      </c>
      <c r="D4149" s="10">
        <v>45826</v>
      </c>
      <c r="E4149" t="s">
        <v>2880</v>
      </c>
      <c r="F4149" s="11" t="s">
        <v>3288</v>
      </c>
      <c r="G4149" s="8">
        <v>0</v>
      </c>
      <c r="H4149" s="8">
        <v>56.22</v>
      </c>
      <c r="I4149" s="8">
        <f t="shared" si="129"/>
        <v>-34988.419999999984</v>
      </c>
      <c r="J4149" s="12"/>
    </row>
    <row r="4150" spans="3:10" x14ac:dyDescent="0.3">
      <c r="C4150" s="9" t="s">
        <v>12</v>
      </c>
      <c r="D4150" s="10">
        <v>45826</v>
      </c>
      <c r="E4150" t="s">
        <v>3029</v>
      </c>
      <c r="F4150" s="11" t="s">
        <v>1754</v>
      </c>
      <c r="G4150" s="8">
        <v>0</v>
      </c>
      <c r="H4150" s="8">
        <v>287.68</v>
      </c>
      <c r="I4150" s="8">
        <f t="shared" si="129"/>
        <v>-35276.099999999984</v>
      </c>
      <c r="J4150" s="12"/>
    </row>
    <row r="4151" spans="3:10" x14ac:dyDescent="0.3">
      <c r="C4151" s="9" t="s">
        <v>12</v>
      </c>
      <c r="D4151" s="10">
        <v>45826</v>
      </c>
      <c r="E4151" t="s">
        <v>3289</v>
      </c>
      <c r="F4151" s="11" t="s">
        <v>3290</v>
      </c>
      <c r="G4151" s="8">
        <v>0</v>
      </c>
      <c r="H4151" s="8">
        <v>144.97</v>
      </c>
      <c r="I4151" s="8">
        <f t="shared" si="129"/>
        <v>-35421.069999999985</v>
      </c>
      <c r="J4151" s="12"/>
    </row>
    <row r="4152" spans="3:10" x14ac:dyDescent="0.3">
      <c r="C4152" s="9" t="s">
        <v>12</v>
      </c>
      <c r="D4152" s="10">
        <v>45827</v>
      </c>
      <c r="E4152" t="s">
        <v>2860</v>
      </c>
      <c r="F4152" s="11" t="s">
        <v>1820</v>
      </c>
      <c r="G4152" s="8">
        <v>0</v>
      </c>
      <c r="H4152" s="8">
        <v>523.21</v>
      </c>
      <c r="I4152" s="8">
        <f t="shared" si="129"/>
        <v>-35944.279999999984</v>
      </c>
      <c r="J4152" s="12"/>
    </row>
    <row r="4153" spans="3:10" x14ac:dyDescent="0.3">
      <c r="C4153" s="9" t="s">
        <v>12</v>
      </c>
      <c r="D4153" s="10">
        <v>45827</v>
      </c>
      <c r="E4153" t="s">
        <v>3201</v>
      </c>
      <c r="F4153" s="11" t="s">
        <v>1652</v>
      </c>
      <c r="G4153" s="8">
        <v>0</v>
      </c>
      <c r="H4153" s="8">
        <v>802.63</v>
      </c>
      <c r="I4153" s="8">
        <f t="shared" si="129"/>
        <v>-36746.909999999982</v>
      </c>
      <c r="J4153" s="12"/>
    </row>
    <row r="4154" spans="3:10" x14ac:dyDescent="0.3">
      <c r="C4154" s="9" t="s">
        <v>12</v>
      </c>
      <c r="D4154" s="10">
        <v>45827</v>
      </c>
      <c r="E4154" t="s">
        <v>3291</v>
      </c>
      <c r="F4154" s="11" t="s">
        <v>3292</v>
      </c>
      <c r="G4154" s="8">
        <v>0</v>
      </c>
      <c r="H4154" s="8">
        <v>77.91</v>
      </c>
      <c r="I4154" s="8">
        <f t="shared" si="129"/>
        <v>-36824.819999999985</v>
      </c>
      <c r="J4154" s="12"/>
    </row>
    <row r="4155" spans="3:10" x14ac:dyDescent="0.3">
      <c r="C4155" s="9" t="s">
        <v>12</v>
      </c>
      <c r="D4155" s="10">
        <v>45827</v>
      </c>
      <c r="E4155" t="s">
        <v>2926</v>
      </c>
      <c r="F4155" s="11" t="s">
        <v>2299</v>
      </c>
      <c r="G4155" s="8">
        <v>0</v>
      </c>
      <c r="H4155" s="8">
        <v>336.01</v>
      </c>
      <c r="I4155" s="8">
        <f t="shared" si="129"/>
        <v>-37160.829999999987</v>
      </c>
      <c r="J4155" s="12"/>
    </row>
    <row r="4156" spans="3:10" x14ac:dyDescent="0.3">
      <c r="C4156" s="9" t="s">
        <v>12</v>
      </c>
      <c r="D4156" s="10">
        <v>45827</v>
      </c>
      <c r="E4156" t="s">
        <v>2749</v>
      </c>
      <c r="F4156" s="11" t="s">
        <v>3293</v>
      </c>
      <c r="G4156" s="8">
        <v>0</v>
      </c>
      <c r="H4156" s="8">
        <v>47.45</v>
      </c>
      <c r="I4156" s="8">
        <f t="shared" si="129"/>
        <v>-37208.279999999984</v>
      </c>
      <c r="J4156" s="12"/>
    </row>
    <row r="4157" spans="3:10" x14ac:dyDescent="0.3">
      <c r="C4157" s="9" t="s">
        <v>12</v>
      </c>
      <c r="D4157" s="10">
        <v>45827</v>
      </c>
      <c r="E4157" t="s">
        <v>2801</v>
      </c>
      <c r="F4157" s="11" t="s">
        <v>3294</v>
      </c>
      <c r="G4157" s="8">
        <v>0</v>
      </c>
      <c r="H4157" s="8">
        <v>28.35</v>
      </c>
      <c r="I4157" s="8">
        <f t="shared" si="129"/>
        <v>-37236.629999999983</v>
      </c>
      <c r="J4157" s="12"/>
    </row>
    <row r="4158" spans="3:10" x14ac:dyDescent="0.3">
      <c r="C4158" s="9" t="s">
        <v>12</v>
      </c>
      <c r="D4158" s="10">
        <v>45827</v>
      </c>
      <c r="E4158" t="s">
        <v>3266</v>
      </c>
      <c r="F4158" s="11" t="s">
        <v>1848</v>
      </c>
      <c r="G4158" s="8">
        <v>0</v>
      </c>
      <c r="H4158" s="8">
        <v>28.35</v>
      </c>
      <c r="I4158" s="8">
        <f t="shared" si="129"/>
        <v>-37264.979999999981</v>
      </c>
      <c r="J4158" s="12"/>
    </row>
    <row r="4159" spans="3:10" x14ac:dyDescent="0.3">
      <c r="C4159" s="9" t="s">
        <v>12</v>
      </c>
      <c r="D4159" s="10">
        <v>45827</v>
      </c>
      <c r="E4159" t="s">
        <v>3091</v>
      </c>
      <c r="F4159" s="11" t="s">
        <v>2163</v>
      </c>
      <c r="G4159" s="8">
        <v>0</v>
      </c>
      <c r="H4159" s="8">
        <v>58.56</v>
      </c>
      <c r="I4159" s="8">
        <f t="shared" si="129"/>
        <v>-37323.539999999979</v>
      </c>
      <c r="J4159" s="12"/>
    </row>
    <row r="4160" spans="3:10" x14ac:dyDescent="0.3">
      <c r="C4160" s="9" t="s">
        <v>12</v>
      </c>
      <c r="D4160" s="10">
        <v>45827</v>
      </c>
      <c r="E4160" t="s">
        <v>3266</v>
      </c>
      <c r="F4160" s="11" t="s">
        <v>1850</v>
      </c>
      <c r="G4160" s="8">
        <v>0</v>
      </c>
      <c r="H4160" s="8">
        <v>61.93</v>
      </c>
      <c r="I4160" s="8">
        <f t="shared" si="129"/>
        <v>-37385.469999999979</v>
      </c>
      <c r="J4160" s="12"/>
    </row>
    <row r="4161" spans="3:10" x14ac:dyDescent="0.3">
      <c r="C4161" s="9" t="s">
        <v>12</v>
      </c>
      <c r="D4161" s="10">
        <v>45827</v>
      </c>
      <c r="E4161" t="s">
        <v>3295</v>
      </c>
      <c r="F4161" s="11" t="s">
        <v>2252</v>
      </c>
      <c r="G4161" s="8">
        <v>0</v>
      </c>
      <c r="H4161" s="8">
        <v>48.37</v>
      </c>
      <c r="I4161" s="8">
        <f t="shared" si="129"/>
        <v>-37433.839999999982</v>
      </c>
      <c r="J4161" s="12"/>
    </row>
    <row r="4162" spans="3:10" x14ac:dyDescent="0.3">
      <c r="C4162" s="9" t="s">
        <v>12</v>
      </c>
      <c r="D4162" s="10">
        <v>45827</v>
      </c>
      <c r="E4162" t="s">
        <v>2937</v>
      </c>
      <c r="F4162" s="11" t="s">
        <v>1877</v>
      </c>
      <c r="G4162" s="8">
        <v>0</v>
      </c>
      <c r="H4162" s="8">
        <v>16.8</v>
      </c>
      <c r="I4162" s="8">
        <f t="shared" si="129"/>
        <v>-37450.639999999985</v>
      </c>
      <c r="J4162" s="12"/>
    </row>
    <row r="4163" spans="3:10" x14ac:dyDescent="0.3">
      <c r="C4163" s="9" t="s">
        <v>12</v>
      </c>
      <c r="D4163" s="10">
        <v>45827</v>
      </c>
      <c r="E4163" t="s">
        <v>2956</v>
      </c>
      <c r="F4163" s="11" t="s">
        <v>1097</v>
      </c>
      <c r="G4163" s="8">
        <v>0</v>
      </c>
      <c r="H4163" s="8">
        <v>23.1</v>
      </c>
      <c r="I4163" s="8">
        <f t="shared" si="129"/>
        <v>-37473.739999999983</v>
      </c>
      <c r="J4163" s="12"/>
    </row>
    <row r="4164" spans="3:10" x14ac:dyDescent="0.3">
      <c r="C4164" s="9" t="s">
        <v>12</v>
      </c>
      <c r="D4164" s="10">
        <v>45828</v>
      </c>
      <c r="E4164" t="s">
        <v>3296</v>
      </c>
      <c r="F4164" s="11" t="s">
        <v>3297</v>
      </c>
      <c r="G4164" s="8">
        <v>0</v>
      </c>
      <c r="H4164" s="8">
        <v>64.239999999999995</v>
      </c>
      <c r="I4164" s="8">
        <f t="shared" si="129"/>
        <v>-37537.979999999981</v>
      </c>
      <c r="J4164" s="12"/>
    </row>
    <row r="4165" spans="3:10" x14ac:dyDescent="0.3">
      <c r="C4165" s="9" t="s">
        <v>12</v>
      </c>
      <c r="D4165" s="10">
        <v>45828</v>
      </c>
      <c r="E4165" t="s">
        <v>2738</v>
      </c>
      <c r="F4165" s="11" t="s">
        <v>3298</v>
      </c>
      <c r="G4165" s="8">
        <v>0</v>
      </c>
      <c r="H4165" s="8">
        <v>33.65</v>
      </c>
      <c r="I4165" s="8">
        <f t="shared" si="129"/>
        <v>-37571.629999999983</v>
      </c>
      <c r="J4165" s="12"/>
    </row>
    <row r="4166" spans="3:10" x14ac:dyDescent="0.3">
      <c r="C4166" s="9" t="s">
        <v>12</v>
      </c>
      <c r="D4166" s="10">
        <v>45828</v>
      </c>
      <c r="E4166" t="s">
        <v>2926</v>
      </c>
      <c r="F4166" s="11" t="s">
        <v>2301</v>
      </c>
      <c r="G4166" s="8">
        <v>0</v>
      </c>
      <c r="H4166" s="8">
        <v>194.61</v>
      </c>
      <c r="I4166" s="8">
        <f t="shared" si="129"/>
        <v>-37766.239999999983</v>
      </c>
      <c r="J4166" s="12"/>
    </row>
    <row r="4167" spans="3:10" x14ac:dyDescent="0.3">
      <c r="C4167" s="9" t="s">
        <v>12</v>
      </c>
      <c r="D4167" s="10">
        <v>45831</v>
      </c>
      <c r="E4167" t="s">
        <v>2910</v>
      </c>
      <c r="F4167" s="11" t="s">
        <v>3299</v>
      </c>
      <c r="G4167" s="8">
        <v>0</v>
      </c>
      <c r="H4167" s="8">
        <v>23.95</v>
      </c>
      <c r="I4167" s="8">
        <f t="shared" si="129"/>
        <v>-37790.189999999981</v>
      </c>
      <c r="J4167" s="12"/>
    </row>
    <row r="4168" spans="3:10" x14ac:dyDescent="0.3">
      <c r="C4168" s="9" t="s">
        <v>12</v>
      </c>
      <c r="D4168" s="10">
        <v>45831</v>
      </c>
      <c r="E4168" t="s">
        <v>2898</v>
      </c>
      <c r="F4168" s="11" t="s">
        <v>2221</v>
      </c>
      <c r="G4168" s="8">
        <v>0</v>
      </c>
      <c r="H4168" s="8">
        <v>55.7</v>
      </c>
      <c r="I4168" s="8">
        <f t="shared" si="129"/>
        <v>-37845.889999999978</v>
      </c>
      <c r="J4168" s="12"/>
    </row>
    <row r="4169" spans="3:10" x14ac:dyDescent="0.3">
      <c r="C4169" s="9" t="s">
        <v>12</v>
      </c>
      <c r="D4169" s="10">
        <v>45831</v>
      </c>
      <c r="E4169" t="s">
        <v>3300</v>
      </c>
      <c r="F4169" s="11" t="s">
        <v>3301</v>
      </c>
      <c r="G4169" s="8">
        <v>0</v>
      </c>
      <c r="H4169" s="8">
        <v>62.88</v>
      </c>
      <c r="I4169" s="8">
        <f t="shared" si="129"/>
        <v>-37908.769999999975</v>
      </c>
      <c r="J4169" s="12"/>
    </row>
    <row r="4170" spans="3:10" x14ac:dyDescent="0.3">
      <c r="C4170" s="9" t="s">
        <v>12</v>
      </c>
      <c r="D4170" s="10">
        <v>45831</v>
      </c>
      <c r="E4170" t="s">
        <v>2826</v>
      </c>
      <c r="F4170" s="11" t="s">
        <v>3302</v>
      </c>
      <c r="G4170" s="8">
        <v>0</v>
      </c>
      <c r="H4170" s="8">
        <v>40.130000000000003</v>
      </c>
      <c r="I4170" s="8">
        <f t="shared" si="129"/>
        <v>-37948.899999999972</v>
      </c>
      <c r="J4170" s="12"/>
    </row>
    <row r="4171" spans="3:10" x14ac:dyDescent="0.3">
      <c r="C4171" s="9" t="s">
        <v>12</v>
      </c>
      <c r="D4171" s="10">
        <v>45833</v>
      </c>
      <c r="E4171" t="s">
        <v>2926</v>
      </c>
      <c r="F4171" s="11" t="s">
        <v>2303</v>
      </c>
      <c r="G4171" s="8">
        <v>0</v>
      </c>
      <c r="H4171" s="8">
        <v>23.1</v>
      </c>
      <c r="I4171" s="8">
        <f t="shared" ref="I4171:I4234" si="130">G4171-H4171+I4170</f>
        <v>-37971.999999999971</v>
      </c>
      <c r="J4171" s="12"/>
    </row>
    <row r="4172" spans="3:10" x14ac:dyDescent="0.3">
      <c r="C4172" s="9" t="s">
        <v>12</v>
      </c>
      <c r="D4172" s="10">
        <v>45833</v>
      </c>
      <c r="E4172" t="s">
        <v>3266</v>
      </c>
      <c r="F4172" s="11" t="s">
        <v>1852</v>
      </c>
      <c r="G4172" s="8">
        <v>0</v>
      </c>
      <c r="H4172" s="8">
        <v>28.25</v>
      </c>
      <c r="I4172" s="8">
        <f t="shared" si="130"/>
        <v>-38000.249999999971</v>
      </c>
      <c r="J4172" s="12"/>
    </row>
    <row r="4173" spans="3:10" x14ac:dyDescent="0.3">
      <c r="C4173" s="9" t="s">
        <v>12</v>
      </c>
      <c r="D4173" s="10">
        <v>45833</v>
      </c>
      <c r="E4173" t="s">
        <v>3042</v>
      </c>
      <c r="F4173" s="11" t="s">
        <v>1597</v>
      </c>
      <c r="G4173" s="8">
        <v>0</v>
      </c>
      <c r="H4173" s="8">
        <v>33.61</v>
      </c>
      <c r="I4173" s="8">
        <f t="shared" si="130"/>
        <v>-38033.859999999971</v>
      </c>
      <c r="J4173" s="12"/>
    </row>
    <row r="4174" spans="3:10" x14ac:dyDescent="0.3">
      <c r="C4174" s="9" t="s">
        <v>12</v>
      </c>
      <c r="D4174" s="10">
        <v>45833</v>
      </c>
      <c r="E4174" t="s">
        <v>2780</v>
      </c>
      <c r="F4174" s="11" t="s">
        <v>1626</v>
      </c>
      <c r="G4174" s="8">
        <v>0</v>
      </c>
      <c r="H4174" s="8">
        <v>41.16</v>
      </c>
      <c r="I4174" s="8">
        <f t="shared" si="130"/>
        <v>-38075.019999999975</v>
      </c>
      <c r="J4174" s="12"/>
    </row>
    <row r="4175" spans="3:10" x14ac:dyDescent="0.3">
      <c r="C4175" s="9" t="s">
        <v>12</v>
      </c>
      <c r="D4175" s="10">
        <v>45834</v>
      </c>
      <c r="E4175" t="s">
        <v>3120</v>
      </c>
      <c r="F4175" s="11" t="s">
        <v>1733</v>
      </c>
      <c r="G4175" s="8">
        <v>0</v>
      </c>
      <c r="H4175" s="8">
        <v>30.6</v>
      </c>
      <c r="I4175" s="8">
        <f t="shared" si="130"/>
        <v>-38105.619999999974</v>
      </c>
      <c r="J4175" s="12"/>
    </row>
    <row r="4176" spans="3:10" x14ac:dyDescent="0.3">
      <c r="C4176" s="9" t="s">
        <v>12</v>
      </c>
      <c r="D4176" s="10">
        <v>45834</v>
      </c>
      <c r="E4176" t="s">
        <v>2904</v>
      </c>
      <c r="F4176" s="11" t="s">
        <v>1155</v>
      </c>
      <c r="G4176" s="8">
        <v>0</v>
      </c>
      <c r="H4176" s="8">
        <v>35.619999999999997</v>
      </c>
      <c r="I4176" s="8">
        <f t="shared" si="130"/>
        <v>-38141.239999999976</v>
      </c>
      <c r="J4176" s="12"/>
    </row>
    <row r="4177" spans="3:10" x14ac:dyDescent="0.3">
      <c r="C4177" s="9" t="s">
        <v>12</v>
      </c>
      <c r="D4177" s="10">
        <v>45834</v>
      </c>
      <c r="E4177" t="s">
        <v>2749</v>
      </c>
      <c r="F4177" s="11" t="s">
        <v>3303</v>
      </c>
      <c r="G4177" s="8">
        <v>0</v>
      </c>
      <c r="H4177" s="8">
        <v>73.569999999999993</v>
      </c>
      <c r="I4177" s="8">
        <f t="shared" si="130"/>
        <v>-38214.809999999976</v>
      </c>
      <c r="J4177" s="12"/>
    </row>
    <row r="4178" spans="3:10" x14ac:dyDescent="0.3">
      <c r="C4178" s="9" t="s">
        <v>12</v>
      </c>
      <c r="D4178" s="10">
        <v>45835</v>
      </c>
      <c r="E4178" t="s">
        <v>3304</v>
      </c>
      <c r="F4178" s="11" t="s">
        <v>950</v>
      </c>
      <c r="G4178" s="8">
        <v>0</v>
      </c>
      <c r="H4178" s="8">
        <v>4.83</v>
      </c>
      <c r="I4178" s="8">
        <f t="shared" si="130"/>
        <v>-38219.639999999978</v>
      </c>
      <c r="J4178" s="12"/>
    </row>
    <row r="4179" spans="3:10" x14ac:dyDescent="0.3">
      <c r="C4179" s="9" t="s">
        <v>12</v>
      </c>
      <c r="D4179" s="10">
        <v>45838</v>
      </c>
      <c r="E4179" t="s">
        <v>3305</v>
      </c>
      <c r="F4179" s="11" t="s">
        <v>3306</v>
      </c>
      <c r="G4179" s="8">
        <v>0</v>
      </c>
      <c r="H4179" s="8">
        <v>93.48</v>
      </c>
      <c r="I4179" s="8">
        <f t="shared" si="130"/>
        <v>-38313.119999999981</v>
      </c>
      <c r="J4179" s="12"/>
    </row>
    <row r="4180" spans="3:10" x14ac:dyDescent="0.3">
      <c r="C4180" s="9" t="s">
        <v>12</v>
      </c>
      <c r="D4180" s="10">
        <v>45838</v>
      </c>
      <c r="E4180" t="s">
        <v>3234</v>
      </c>
      <c r="F4180" s="11" t="s">
        <v>1990</v>
      </c>
      <c r="G4180" s="8">
        <v>0</v>
      </c>
      <c r="H4180" s="8">
        <v>23.1</v>
      </c>
      <c r="I4180" s="8">
        <f t="shared" si="130"/>
        <v>-38336.219999999979</v>
      </c>
      <c r="J4180" s="12"/>
    </row>
    <row r="4181" spans="3:10" x14ac:dyDescent="0.3">
      <c r="C4181" s="9" t="s">
        <v>12</v>
      </c>
      <c r="D4181" s="10">
        <v>45838</v>
      </c>
      <c r="E4181" t="s">
        <v>2789</v>
      </c>
      <c r="F4181" s="11" t="s">
        <v>2369</v>
      </c>
      <c r="G4181" s="8">
        <v>0</v>
      </c>
      <c r="H4181" s="8">
        <v>85</v>
      </c>
      <c r="I4181" s="8">
        <f t="shared" si="130"/>
        <v>-38421.219999999979</v>
      </c>
      <c r="J4181" s="12"/>
    </row>
    <row r="4182" spans="3:10" x14ac:dyDescent="0.3">
      <c r="C4182" s="9" t="s">
        <v>12</v>
      </c>
      <c r="D4182" s="10">
        <v>45838</v>
      </c>
      <c r="E4182" t="s">
        <v>3307</v>
      </c>
      <c r="F4182" s="11" t="s">
        <v>2180</v>
      </c>
      <c r="G4182" s="8">
        <v>0</v>
      </c>
      <c r="H4182" s="8">
        <v>17.850000000000001</v>
      </c>
      <c r="I4182" s="8">
        <f t="shared" si="130"/>
        <v>-38439.069999999978</v>
      </c>
      <c r="J4182" s="12"/>
    </row>
    <row r="4183" spans="3:10" x14ac:dyDescent="0.3">
      <c r="C4183" s="9" t="s">
        <v>12</v>
      </c>
      <c r="D4183" s="10">
        <v>45838</v>
      </c>
      <c r="E4183" t="s">
        <v>3308</v>
      </c>
      <c r="F4183" s="11" t="s">
        <v>3309</v>
      </c>
      <c r="G4183" s="8">
        <v>0</v>
      </c>
      <c r="H4183" s="8">
        <v>68.28</v>
      </c>
      <c r="I4183" s="8">
        <f t="shared" si="130"/>
        <v>-38507.349999999977</v>
      </c>
      <c r="J4183" s="12"/>
    </row>
    <row r="4184" spans="3:10" x14ac:dyDescent="0.3">
      <c r="C4184" s="9" t="s">
        <v>12</v>
      </c>
      <c r="D4184" s="10">
        <v>45838</v>
      </c>
      <c r="E4184" t="s">
        <v>3310</v>
      </c>
      <c r="F4184" s="11" t="s">
        <v>3311</v>
      </c>
      <c r="G4184" s="8">
        <v>0</v>
      </c>
      <c r="H4184" s="8">
        <v>57.33</v>
      </c>
      <c r="I4184" s="8">
        <f t="shared" si="130"/>
        <v>-38564.679999999978</v>
      </c>
      <c r="J4184" s="12"/>
    </row>
    <row r="4185" spans="3:10" x14ac:dyDescent="0.3">
      <c r="C4185" s="9" t="s">
        <v>12</v>
      </c>
      <c r="D4185" s="10">
        <v>45838</v>
      </c>
      <c r="E4185" t="s">
        <v>3312</v>
      </c>
      <c r="F4185" s="11" t="s">
        <v>1171</v>
      </c>
      <c r="G4185" s="8">
        <v>0</v>
      </c>
      <c r="H4185" s="8">
        <v>42.68</v>
      </c>
      <c r="I4185" s="8">
        <f t="shared" si="130"/>
        <v>-38607.359999999979</v>
      </c>
      <c r="J4185" s="12"/>
    </row>
    <row r="4186" spans="3:10" x14ac:dyDescent="0.3">
      <c r="C4186" s="9" t="s">
        <v>12</v>
      </c>
      <c r="D4186" s="10">
        <v>45838</v>
      </c>
      <c r="E4186" t="s">
        <v>2803</v>
      </c>
      <c r="F4186" s="11" t="s">
        <v>1409</v>
      </c>
      <c r="G4186" s="8">
        <v>0</v>
      </c>
      <c r="H4186" s="8">
        <v>19.13</v>
      </c>
      <c r="I4186" s="8">
        <f t="shared" si="130"/>
        <v>-38626.489999999976</v>
      </c>
      <c r="J4186" s="12"/>
    </row>
    <row r="4187" spans="3:10" x14ac:dyDescent="0.3">
      <c r="C4187" s="9" t="s">
        <v>12</v>
      </c>
      <c r="D4187" s="10">
        <v>45838</v>
      </c>
      <c r="E4187" t="s">
        <v>2806</v>
      </c>
      <c r="F4187" s="11" t="s">
        <v>1258</v>
      </c>
      <c r="G4187" s="8">
        <v>0</v>
      </c>
      <c r="H4187" s="8">
        <v>23.77</v>
      </c>
      <c r="I4187" s="8">
        <f t="shared" si="130"/>
        <v>-38650.259999999973</v>
      </c>
      <c r="J4187" s="12"/>
    </row>
    <row r="4188" spans="3:10" x14ac:dyDescent="0.3">
      <c r="C4188" s="9" t="s">
        <v>12</v>
      </c>
      <c r="D4188" s="10">
        <v>45838</v>
      </c>
      <c r="E4188" t="s">
        <v>3034</v>
      </c>
      <c r="F4188" s="11" t="s">
        <v>3313</v>
      </c>
      <c r="G4188" s="8">
        <v>0</v>
      </c>
      <c r="H4188" s="8">
        <v>55.89</v>
      </c>
      <c r="I4188" s="8">
        <f t="shared" si="130"/>
        <v>-38706.149999999972</v>
      </c>
      <c r="J4188" s="12"/>
    </row>
    <row r="4189" spans="3:10" x14ac:dyDescent="0.3">
      <c r="C4189" s="9" t="s">
        <v>12</v>
      </c>
      <c r="D4189" s="10">
        <v>45838</v>
      </c>
      <c r="E4189" t="s">
        <v>2754</v>
      </c>
      <c r="F4189" s="11" t="s">
        <v>3314</v>
      </c>
      <c r="G4189" s="8">
        <v>0</v>
      </c>
      <c r="H4189" s="8">
        <v>24.59</v>
      </c>
      <c r="I4189" s="8">
        <f t="shared" si="130"/>
        <v>-38730.739999999969</v>
      </c>
      <c r="J4189" s="12"/>
    </row>
    <row r="4190" spans="3:10" x14ac:dyDescent="0.3">
      <c r="C4190" s="9" t="s">
        <v>12</v>
      </c>
      <c r="D4190" s="10">
        <v>45838</v>
      </c>
      <c r="E4190" t="s">
        <v>3079</v>
      </c>
      <c r="F4190" s="11" t="s">
        <v>3315</v>
      </c>
      <c r="G4190" s="8">
        <v>0</v>
      </c>
      <c r="H4190" s="8">
        <v>73.09</v>
      </c>
      <c r="I4190" s="8">
        <f t="shared" si="130"/>
        <v>-38803.829999999965</v>
      </c>
      <c r="J4190" s="12"/>
    </row>
    <row r="4191" spans="3:10" x14ac:dyDescent="0.3">
      <c r="C4191" s="9" t="s">
        <v>12</v>
      </c>
      <c r="D4191" s="10">
        <v>45838</v>
      </c>
      <c r="E4191" t="s">
        <v>3316</v>
      </c>
      <c r="F4191" s="11" t="s">
        <v>1710</v>
      </c>
      <c r="G4191" s="8">
        <v>0</v>
      </c>
      <c r="H4191" s="8">
        <v>113.75</v>
      </c>
      <c r="I4191" s="8">
        <f t="shared" si="130"/>
        <v>-38917.579999999965</v>
      </c>
      <c r="J4191" s="12"/>
    </row>
    <row r="4192" spans="3:10" x14ac:dyDescent="0.3">
      <c r="C4192" s="9" t="s">
        <v>12</v>
      </c>
      <c r="D4192" s="10">
        <v>45838</v>
      </c>
      <c r="E4192" t="s">
        <v>3317</v>
      </c>
      <c r="F4192" s="11" t="s">
        <v>3318</v>
      </c>
      <c r="G4192" s="8">
        <v>0</v>
      </c>
      <c r="H4192" s="8">
        <v>2312.1999999999998</v>
      </c>
      <c r="I4192" s="8">
        <f t="shared" si="130"/>
        <v>-41229.779999999962</v>
      </c>
      <c r="J4192" s="12"/>
    </row>
    <row r="4193" spans="3:10" x14ac:dyDescent="0.3">
      <c r="C4193" s="9" t="s">
        <v>12</v>
      </c>
      <c r="D4193" s="10">
        <v>45838</v>
      </c>
      <c r="E4193" t="s">
        <v>2996</v>
      </c>
      <c r="F4193" s="11" t="s">
        <v>3319</v>
      </c>
      <c r="G4193" s="8">
        <v>0</v>
      </c>
      <c r="H4193" s="8">
        <v>220.5</v>
      </c>
      <c r="I4193" s="8">
        <f t="shared" si="130"/>
        <v>-41450.279999999962</v>
      </c>
      <c r="J4193" s="12"/>
    </row>
    <row r="4194" spans="3:10" x14ac:dyDescent="0.3">
      <c r="C4194" s="9" t="s">
        <v>12</v>
      </c>
      <c r="D4194" s="10">
        <v>45838</v>
      </c>
      <c r="E4194" t="s">
        <v>3320</v>
      </c>
      <c r="F4194" s="11" t="s">
        <v>1667</v>
      </c>
      <c r="G4194" s="8">
        <v>0</v>
      </c>
      <c r="H4194" s="8">
        <v>1568.91</v>
      </c>
      <c r="I4194" s="8">
        <f t="shared" si="130"/>
        <v>-43019.189999999966</v>
      </c>
      <c r="J4194" s="12"/>
    </row>
    <row r="4195" spans="3:10" x14ac:dyDescent="0.3">
      <c r="C4195" s="9" t="s">
        <v>12</v>
      </c>
      <c r="D4195" s="10">
        <v>45838</v>
      </c>
      <c r="E4195" t="s">
        <v>2910</v>
      </c>
      <c r="F4195" s="11" t="s">
        <v>3321</v>
      </c>
      <c r="G4195" s="8">
        <v>0</v>
      </c>
      <c r="H4195" s="8">
        <v>55.89</v>
      </c>
      <c r="I4195" s="8">
        <f t="shared" si="130"/>
        <v>-43075.079999999965</v>
      </c>
      <c r="J4195" s="12"/>
    </row>
    <row r="4196" spans="3:10" x14ac:dyDescent="0.3">
      <c r="C4196" s="9" t="s">
        <v>12</v>
      </c>
      <c r="D4196" s="10">
        <v>45838</v>
      </c>
      <c r="E4196" t="s">
        <v>2996</v>
      </c>
      <c r="F4196" s="11" t="s">
        <v>3322</v>
      </c>
      <c r="G4196" s="8">
        <v>0</v>
      </c>
      <c r="H4196" s="8">
        <v>-34.35</v>
      </c>
      <c r="I4196" s="8">
        <f t="shared" si="130"/>
        <v>-43040.729999999967</v>
      </c>
      <c r="J4196" s="12"/>
    </row>
    <row r="4197" spans="3:10" x14ac:dyDescent="0.3">
      <c r="C4197" s="9" t="s">
        <v>12</v>
      </c>
      <c r="D4197" s="10">
        <v>45838</v>
      </c>
      <c r="E4197" t="s">
        <v>2653</v>
      </c>
      <c r="F4197" s="11" t="s">
        <v>568</v>
      </c>
      <c r="G4197" s="8">
        <v>43040.73</v>
      </c>
      <c r="H4197" s="8">
        <v>0</v>
      </c>
      <c r="I4197" s="8">
        <f t="shared" si="130"/>
        <v>0</v>
      </c>
      <c r="J4197" s="12"/>
    </row>
    <row r="4198" spans="3:10" x14ac:dyDescent="0.3">
      <c r="C4198" s="9"/>
      <c r="D4198" s="10">
        <v>45839</v>
      </c>
      <c r="E4198" t="s">
        <v>3242</v>
      </c>
      <c r="F4198" s="11" t="s">
        <v>2659</v>
      </c>
      <c r="G4198" s="8">
        <v>0</v>
      </c>
      <c r="H4198" s="8">
        <v>57.82</v>
      </c>
      <c r="I4198" s="8">
        <f t="shared" si="130"/>
        <v>-57.82</v>
      </c>
      <c r="J4198" s="12"/>
    </row>
    <row r="4199" spans="3:10" x14ac:dyDescent="0.3">
      <c r="C4199" s="9"/>
      <c r="D4199" s="10">
        <v>45839</v>
      </c>
      <c r="E4199" t="s">
        <v>3230</v>
      </c>
      <c r="F4199" s="11" t="s">
        <v>2191</v>
      </c>
      <c r="G4199" s="8">
        <v>0</v>
      </c>
      <c r="H4199" s="8">
        <v>430.5</v>
      </c>
      <c r="I4199" s="8">
        <f t="shared" si="130"/>
        <v>-488.32</v>
      </c>
      <c r="J4199" s="12"/>
    </row>
    <row r="4200" spans="3:10" x14ac:dyDescent="0.3">
      <c r="C4200" s="9"/>
      <c r="D4200" s="10">
        <v>45841</v>
      </c>
      <c r="E4200" t="s">
        <v>2771</v>
      </c>
      <c r="F4200" s="11" t="s">
        <v>1445</v>
      </c>
      <c r="G4200" s="8">
        <v>0</v>
      </c>
      <c r="H4200" s="8">
        <v>141.65</v>
      </c>
      <c r="I4200" s="8">
        <f t="shared" si="130"/>
        <v>-629.97</v>
      </c>
      <c r="J4200" s="12"/>
    </row>
    <row r="4201" spans="3:10" x14ac:dyDescent="0.3">
      <c r="C4201" s="9"/>
      <c r="D4201" s="10">
        <v>45841</v>
      </c>
      <c r="E4201" t="s">
        <v>3323</v>
      </c>
      <c r="F4201" s="11" t="s">
        <v>3324</v>
      </c>
      <c r="G4201" s="8">
        <v>0</v>
      </c>
      <c r="H4201" s="8">
        <v>291.89999999999998</v>
      </c>
      <c r="I4201" s="8">
        <f t="shared" si="130"/>
        <v>-921.87</v>
      </c>
      <c r="J4201" s="12"/>
    </row>
    <row r="4202" spans="3:10" x14ac:dyDescent="0.3">
      <c r="C4202" s="9"/>
      <c r="D4202" s="10">
        <v>45841</v>
      </c>
      <c r="E4202" t="s">
        <v>2790</v>
      </c>
      <c r="F4202" s="11" t="s">
        <v>1977</v>
      </c>
      <c r="G4202" s="8">
        <v>0</v>
      </c>
      <c r="H4202" s="8">
        <v>24.16</v>
      </c>
      <c r="I4202" s="8">
        <f t="shared" si="130"/>
        <v>-946.03</v>
      </c>
      <c r="J4202" s="12"/>
    </row>
    <row r="4203" spans="3:10" x14ac:dyDescent="0.3">
      <c r="C4203" s="9"/>
      <c r="D4203" s="10">
        <v>45841</v>
      </c>
      <c r="E4203" t="s">
        <v>2790</v>
      </c>
      <c r="F4203" s="11" t="s">
        <v>1979</v>
      </c>
      <c r="G4203" s="8">
        <v>0</v>
      </c>
      <c r="H4203" s="8">
        <v>25.77</v>
      </c>
      <c r="I4203" s="8">
        <f t="shared" si="130"/>
        <v>-971.8</v>
      </c>
      <c r="J4203" s="12"/>
    </row>
    <row r="4204" spans="3:10" x14ac:dyDescent="0.3">
      <c r="C4204" s="9"/>
      <c r="D4204" s="10">
        <v>45842</v>
      </c>
      <c r="E4204" t="s">
        <v>2783</v>
      </c>
      <c r="F4204" s="11" t="s">
        <v>1313</v>
      </c>
      <c r="G4204" s="8">
        <v>0</v>
      </c>
      <c r="H4204" s="8">
        <v>31.5</v>
      </c>
      <c r="I4204" s="8">
        <f t="shared" si="130"/>
        <v>-1003.3</v>
      </c>
      <c r="J4204" s="12"/>
    </row>
    <row r="4205" spans="3:10" x14ac:dyDescent="0.3">
      <c r="C4205" s="9"/>
      <c r="D4205" s="10">
        <v>45842</v>
      </c>
      <c r="E4205" t="s">
        <v>2783</v>
      </c>
      <c r="F4205" s="11" t="s">
        <v>1315</v>
      </c>
      <c r="G4205" s="8">
        <v>0</v>
      </c>
      <c r="H4205" s="8">
        <v>160.26</v>
      </c>
      <c r="I4205" s="8">
        <f t="shared" si="130"/>
        <v>-1163.56</v>
      </c>
      <c r="J4205" s="12"/>
    </row>
    <row r="4206" spans="3:10" x14ac:dyDescent="0.3">
      <c r="C4206" s="9"/>
      <c r="D4206" s="10">
        <v>45842</v>
      </c>
      <c r="E4206" t="s">
        <v>3316</v>
      </c>
      <c r="F4206" s="11" t="s">
        <v>1712</v>
      </c>
      <c r="G4206" s="8">
        <v>0</v>
      </c>
      <c r="H4206" s="8">
        <v>77.760000000000005</v>
      </c>
      <c r="I4206" s="8">
        <f t="shared" si="130"/>
        <v>-1241.32</v>
      </c>
      <c r="J4206" s="12"/>
    </row>
    <row r="4207" spans="3:10" x14ac:dyDescent="0.3">
      <c r="C4207" s="9"/>
      <c r="D4207" s="10">
        <v>45843</v>
      </c>
      <c r="E4207" t="s">
        <v>3253</v>
      </c>
      <c r="F4207" s="11" t="s">
        <v>428</v>
      </c>
      <c r="G4207" s="8">
        <v>0</v>
      </c>
      <c r="H4207" s="8">
        <v>17.64</v>
      </c>
      <c r="I4207" s="8">
        <f t="shared" si="130"/>
        <v>-1258.96</v>
      </c>
      <c r="J4207" s="12"/>
    </row>
    <row r="4208" spans="3:10" x14ac:dyDescent="0.3">
      <c r="C4208" s="9"/>
      <c r="D4208" s="10">
        <v>45845</v>
      </c>
      <c r="E4208" t="s">
        <v>2926</v>
      </c>
      <c r="F4208" s="11" t="s">
        <v>2305</v>
      </c>
      <c r="G4208" s="8">
        <v>0</v>
      </c>
      <c r="H4208" s="8">
        <v>42.12</v>
      </c>
      <c r="I4208" s="8">
        <f t="shared" si="130"/>
        <v>-1301.08</v>
      </c>
      <c r="J4208" s="12"/>
    </row>
    <row r="4209" spans="3:10" x14ac:dyDescent="0.3">
      <c r="C4209" s="9"/>
      <c r="D4209" s="10">
        <v>45845</v>
      </c>
      <c r="E4209" t="s">
        <v>2735</v>
      </c>
      <c r="F4209" s="11" t="s">
        <v>1771</v>
      </c>
      <c r="G4209" s="8">
        <v>0</v>
      </c>
      <c r="H4209" s="8">
        <v>317.66000000000003</v>
      </c>
      <c r="I4209" s="8">
        <f t="shared" si="130"/>
        <v>-1618.74</v>
      </c>
      <c r="J4209" s="12"/>
    </row>
    <row r="4210" spans="3:10" x14ac:dyDescent="0.3">
      <c r="C4210" s="9"/>
      <c r="D4210" s="10">
        <v>45845</v>
      </c>
      <c r="E4210" t="s">
        <v>2874</v>
      </c>
      <c r="F4210" s="11" t="s">
        <v>3325</v>
      </c>
      <c r="G4210" s="8">
        <v>0</v>
      </c>
      <c r="H4210" s="8">
        <v>228.5</v>
      </c>
      <c r="I4210" s="8">
        <f t="shared" si="130"/>
        <v>-1847.24</v>
      </c>
      <c r="J4210" s="12"/>
    </row>
    <row r="4211" spans="3:10" x14ac:dyDescent="0.3">
      <c r="C4211" s="9"/>
      <c r="D4211" s="10">
        <v>45845</v>
      </c>
      <c r="E4211" t="s">
        <v>2784</v>
      </c>
      <c r="F4211" s="11" t="s">
        <v>1069</v>
      </c>
      <c r="G4211" s="8">
        <v>0</v>
      </c>
      <c r="H4211" s="8">
        <v>427.33</v>
      </c>
      <c r="I4211" s="8">
        <f t="shared" si="130"/>
        <v>-2274.5700000000002</v>
      </c>
      <c r="J4211" s="12"/>
    </row>
    <row r="4212" spans="3:10" x14ac:dyDescent="0.3">
      <c r="C4212" s="9"/>
      <c r="D4212" s="10">
        <v>45845</v>
      </c>
      <c r="E4212" t="s">
        <v>3196</v>
      </c>
      <c r="F4212" s="11" t="s">
        <v>2203</v>
      </c>
      <c r="G4212" s="8">
        <v>0</v>
      </c>
      <c r="H4212" s="8">
        <v>90.37</v>
      </c>
      <c r="I4212" s="8">
        <f t="shared" si="130"/>
        <v>-2364.94</v>
      </c>
      <c r="J4212" s="12"/>
    </row>
    <row r="4213" spans="3:10" x14ac:dyDescent="0.3">
      <c r="C4213" s="9"/>
      <c r="D4213" s="10">
        <v>45845</v>
      </c>
      <c r="E4213" t="s">
        <v>3326</v>
      </c>
      <c r="F4213" s="11" t="s">
        <v>3327</v>
      </c>
      <c r="G4213" s="8">
        <v>0</v>
      </c>
      <c r="H4213" s="8">
        <v>48.3</v>
      </c>
      <c r="I4213" s="8">
        <f t="shared" si="130"/>
        <v>-2413.2400000000002</v>
      </c>
      <c r="J4213" s="12"/>
    </row>
    <row r="4214" spans="3:10" x14ac:dyDescent="0.3">
      <c r="C4214" s="9"/>
      <c r="D4214" s="10">
        <v>45847</v>
      </c>
      <c r="E4214" t="s">
        <v>2884</v>
      </c>
      <c r="F4214" s="11" t="s">
        <v>3328</v>
      </c>
      <c r="G4214" s="8">
        <v>0</v>
      </c>
      <c r="H4214" s="8">
        <v>27.42</v>
      </c>
      <c r="I4214" s="8">
        <f t="shared" si="130"/>
        <v>-2440.6600000000003</v>
      </c>
      <c r="J4214" s="12"/>
    </row>
    <row r="4215" spans="3:10" x14ac:dyDescent="0.3">
      <c r="C4215" s="9"/>
      <c r="D4215" s="10">
        <v>45847</v>
      </c>
      <c r="E4215" t="s">
        <v>2794</v>
      </c>
      <c r="F4215" s="11" t="s">
        <v>1475</v>
      </c>
      <c r="G4215" s="8">
        <v>0</v>
      </c>
      <c r="H4215" s="8">
        <v>146.4</v>
      </c>
      <c r="I4215" s="8">
        <f t="shared" si="130"/>
        <v>-2587.0600000000004</v>
      </c>
      <c r="J4215" s="12"/>
    </row>
    <row r="4216" spans="3:10" x14ac:dyDescent="0.3">
      <c r="C4216" s="9"/>
      <c r="D4216" s="10">
        <v>45847</v>
      </c>
      <c r="E4216" t="s">
        <v>3086</v>
      </c>
      <c r="F4216" s="11" t="s">
        <v>1351</v>
      </c>
      <c r="G4216" s="8">
        <v>0</v>
      </c>
      <c r="H4216" s="8">
        <v>7.94</v>
      </c>
      <c r="I4216" s="8">
        <f t="shared" si="130"/>
        <v>-2595.0000000000005</v>
      </c>
      <c r="J4216" s="12"/>
    </row>
    <row r="4217" spans="3:10" x14ac:dyDescent="0.3">
      <c r="C4217" s="9"/>
      <c r="D4217" s="10">
        <v>45847</v>
      </c>
      <c r="E4217" t="s">
        <v>3329</v>
      </c>
      <c r="F4217" s="11" t="s">
        <v>2168</v>
      </c>
      <c r="G4217" s="8">
        <v>0</v>
      </c>
      <c r="H4217" s="8">
        <v>16.8</v>
      </c>
      <c r="I4217" s="8">
        <f t="shared" si="130"/>
        <v>-2611.8000000000006</v>
      </c>
      <c r="J4217" s="12"/>
    </row>
    <row r="4218" spans="3:10" x14ac:dyDescent="0.3">
      <c r="C4218" s="9"/>
      <c r="D4218" s="10">
        <v>45847</v>
      </c>
      <c r="E4218" t="s">
        <v>3330</v>
      </c>
      <c r="F4218" s="11" t="s">
        <v>2155</v>
      </c>
      <c r="G4218" s="8">
        <v>0</v>
      </c>
      <c r="H4218" s="8">
        <v>73.569999999999993</v>
      </c>
      <c r="I4218" s="8">
        <f t="shared" si="130"/>
        <v>-2685.3700000000008</v>
      </c>
      <c r="J4218" s="12"/>
    </row>
    <row r="4219" spans="3:10" x14ac:dyDescent="0.3">
      <c r="C4219" s="9"/>
      <c r="D4219" s="10">
        <v>45847</v>
      </c>
      <c r="E4219" t="s">
        <v>3156</v>
      </c>
      <c r="F4219" s="11" t="s">
        <v>1336</v>
      </c>
      <c r="G4219" s="8">
        <v>0</v>
      </c>
      <c r="H4219" s="8">
        <v>26.9</v>
      </c>
      <c r="I4219" s="8">
        <f t="shared" si="130"/>
        <v>-2712.2700000000009</v>
      </c>
      <c r="J4219" s="12"/>
    </row>
    <row r="4220" spans="3:10" x14ac:dyDescent="0.3">
      <c r="C4220" s="9"/>
      <c r="D4220" s="10">
        <v>45847</v>
      </c>
      <c r="E4220" t="s">
        <v>2979</v>
      </c>
      <c r="F4220" s="11" t="s">
        <v>1886</v>
      </c>
      <c r="G4220" s="8">
        <v>0</v>
      </c>
      <c r="H4220" s="8">
        <v>75.209999999999994</v>
      </c>
      <c r="I4220" s="8">
        <f t="shared" si="130"/>
        <v>-2787.4800000000009</v>
      </c>
      <c r="J4220" s="12"/>
    </row>
    <row r="4221" spans="3:10" x14ac:dyDescent="0.3">
      <c r="C4221" s="9"/>
      <c r="D4221" s="10">
        <v>45847</v>
      </c>
      <c r="E4221" t="s">
        <v>2952</v>
      </c>
      <c r="F4221" s="11" t="s">
        <v>3331</v>
      </c>
      <c r="G4221" s="8">
        <v>0</v>
      </c>
      <c r="H4221" s="8">
        <v>17.850000000000001</v>
      </c>
      <c r="I4221" s="8">
        <f t="shared" si="130"/>
        <v>-2805.3300000000008</v>
      </c>
      <c r="J4221" s="12"/>
    </row>
    <row r="4222" spans="3:10" x14ac:dyDescent="0.3">
      <c r="C4222" s="9"/>
      <c r="D4222" s="10">
        <v>45848</v>
      </c>
      <c r="E4222" t="s">
        <v>3296</v>
      </c>
      <c r="F4222" s="11" t="s">
        <v>3332</v>
      </c>
      <c r="G4222" s="8">
        <v>0</v>
      </c>
      <c r="H4222" s="8">
        <v>-64.239999999999995</v>
      </c>
      <c r="I4222" s="8">
        <f t="shared" si="130"/>
        <v>-2741.0900000000011</v>
      </c>
      <c r="J4222" s="12"/>
    </row>
    <row r="4223" spans="3:10" x14ac:dyDescent="0.3">
      <c r="C4223" s="9"/>
      <c r="D4223" s="10">
        <v>45848</v>
      </c>
      <c r="E4223" t="s">
        <v>3070</v>
      </c>
      <c r="F4223" s="11" t="s">
        <v>1611</v>
      </c>
      <c r="G4223" s="8">
        <v>0</v>
      </c>
      <c r="H4223" s="8">
        <v>2041.2</v>
      </c>
      <c r="I4223" s="8">
        <f t="shared" si="130"/>
        <v>-4782.2900000000009</v>
      </c>
      <c r="J4223" s="12"/>
    </row>
    <row r="4224" spans="3:10" x14ac:dyDescent="0.3">
      <c r="C4224" s="9"/>
      <c r="D4224" s="10">
        <v>45848</v>
      </c>
      <c r="E4224" t="s">
        <v>3333</v>
      </c>
      <c r="F4224" s="11" t="s">
        <v>3334</v>
      </c>
      <c r="G4224" s="8">
        <v>0</v>
      </c>
      <c r="H4224" s="8">
        <v>64.239999999999995</v>
      </c>
      <c r="I4224" s="8">
        <f t="shared" si="130"/>
        <v>-4846.5300000000007</v>
      </c>
      <c r="J4224" s="12"/>
    </row>
    <row r="4225" spans="3:10" x14ac:dyDescent="0.3">
      <c r="C4225" s="9"/>
      <c r="D4225" s="10">
        <v>45849</v>
      </c>
      <c r="E4225" t="s">
        <v>2898</v>
      </c>
      <c r="F4225" s="11" t="s">
        <v>2223</v>
      </c>
      <c r="G4225" s="8">
        <v>0</v>
      </c>
      <c r="H4225" s="8">
        <v>47.31</v>
      </c>
      <c r="I4225" s="8">
        <f t="shared" si="130"/>
        <v>-4893.8400000000011</v>
      </c>
      <c r="J4225" s="12"/>
    </row>
    <row r="4226" spans="3:10" x14ac:dyDescent="0.3">
      <c r="C4226" s="9"/>
      <c r="D4226" s="10">
        <v>45849</v>
      </c>
      <c r="E4226" t="s">
        <v>3025</v>
      </c>
      <c r="F4226" s="11" t="s">
        <v>3335</v>
      </c>
      <c r="G4226" s="8">
        <v>0</v>
      </c>
      <c r="H4226" s="8">
        <v>23.1</v>
      </c>
      <c r="I4226" s="8">
        <f t="shared" si="130"/>
        <v>-4916.9400000000014</v>
      </c>
      <c r="J4226" s="12"/>
    </row>
    <row r="4227" spans="3:10" x14ac:dyDescent="0.3">
      <c r="C4227" s="9"/>
      <c r="D4227" s="10">
        <v>45849</v>
      </c>
      <c r="E4227" t="s">
        <v>2871</v>
      </c>
      <c r="F4227" s="11" t="s">
        <v>1369</v>
      </c>
      <c r="G4227" s="8">
        <v>0</v>
      </c>
      <c r="H4227" s="8">
        <v>52.18</v>
      </c>
      <c r="I4227" s="8">
        <f t="shared" si="130"/>
        <v>-4969.1200000000017</v>
      </c>
      <c r="J4227" s="12"/>
    </row>
    <row r="4228" spans="3:10" x14ac:dyDescent="0.3">
      <c r="C4228" s="9"/>
      <c r="D4228" s="10">
        <v>45849</v>
      </c>
      <c r="E4228" t="s">
        <v>3261</v>
      </c>
      <c r="F4228" s="11" t="s">
        <v>1738</v>
      </c>
      <c r="G4228" s="8">
        <v>0</v>
      </c>
      <c r="H4228" s="8">
        <v>55.36</v>
      </c>
      <c r="I4228" s="8">
        <f t="shared" si="130"/>
        <v>-5024.4800000000014</v>
      </c>
      <c r="J4228" s="12"/>
    </row>
    <row r="4229" spans="3:10" x14ac:dyDescent="0.3">
      <c r="C4229" s="9"/>
      <c r="D4229" s="10">
        <v>45849</v>
      </c>
      <c r="E4229" t="s">
        <v>2855</v>
      </c>
      <c r="F4229" s="11" t="s">
        <v>1915</v>
      </c>
      <c r="G4229" s="8">
        <v>0</v>
      </c>
      <c r="H4229" s="8">
        <v>53.6</v>
      </c>
      <c r="I4229" s="8">
        <f t="shared" si="130"/>
        <v>-5078.0800000000017</v>
      </c>
      <c r="J4229" s="12"/>
    </row>
    <row r="4230" spans="3:10" x14ac:dyDescent="0.3">
      <c r="C4230" s="9"/>
      <c r="D4230" s="10">
        <v>45849</v>
      </c>
      <c r="E4230" t="s">
        <v>3270</v>
      </c>
      <c r="F4230" s="11" t="s">
        <v>3336</v>
      </c>
      <c r="G4230" s="8">
        <v>0</v>
      </c>
      <c r="H4230" s="8">
        <v>146.58000000000001</v>
      </c>
      <c r="I4230" s="8">
        <f t="shared" si="130"/>
        <v>-5224.6600000000017</v>
      </c>
      <c r="J4230" s="12"/>
    </row>
    <row r="4231" spans="3:10" x14ac:dyDescent="0.3">
      <c r="C4231" s="9"/>
      <c r="D4231" s="10">
        <v>45849</v>
      </c>
      <c r="E4231" t="s">
        <v>3207</v>
      </c>
      <c r="F4231" s="11" t="s">
        <v>1539</v>
      </c>
      <c r="G4231" s="8">
        <v>0</v>
      </c>
      <c r="H4231" s="8">
        <v>140.69999999999999</v>
      </c>
      <c r="I4231" s="8">
        <f t="shared" si="130"/>
        <v>-5365.3600000000015</v>
      </c>
      <c r="J4231" s="12"/>
    </row>
    <row r="4232" spans="3:10" x14ac:dyDescent="0.3">
      <c r="C4232" s="9"/>
      <c r="D4232" s="10">
        <v>45852</v>
      </c>
      <c r="E4232" t="s">
        <v>2738</v>
      </c>
      <c r="F4232" s="11" t="s">
        <v>3337</v>
      </c>
      <c r="G4232" s="8">
        <v>0</v>
      </c>
      <c r="H4232" s="8">
        <v>23.1</v>
      </c>
      <c r="I4232" s="8">
        <f t="shared" si="130"/>
        <v>-5388.4600000000019</v>
      </c>
      <c r="J4232" s="12"/>
    </row>
    <row r="4233" spans="3:10" x14ac:dyDescent="0.3">
      <c r="C4233" s="9"/>
      <c r="D4233" s="10">
        <v>45852</v>
      </c>
      <c r="E4233" t="s">
        <v>2772</v>
      </c>
      <c r="F4233" s="11" t="s">
        <v>3338</v>
      </c>
      <c r="G4233" s="8">
        <v>0</v>
      </c>
      <c r="H4233" s="8">
        <v>27.3</v>
      </c>
      <c r="I4233" s="8">
        <f t="shared" si="130"/>
        <v>-5415.760000000002</v>
      </c>
      <c r="J4233" s="12"/>
    </row>
    <row r="4234" spans="3:10" x14ac:dyDescent="0.3">
      <c r="C4234" s="9"/>
      <c r="D4234" s="10">
        <v>45852</v>
      </c>
      <c r="E4234" t="s">
        <v>3086</v>
      </c>
      <c r="F4234" s="11" t="s">
        <v>1353</v>
      </c>
      <c r="G4234" s="8">
        <v>0</v>
      </c>
      <c r="H4234" s="8">
        <v>175.89</v>
      </c>
      <c r="I4234" s="8">
        <f t="shared" si="130"/>
        <v>-5591.6500000000024</v>
      </c>
      <c r="J4234" s="12"/>
    </row>
    <row r="4235" spans="3:10" x14ac:dyDescent="0.3">
      <c r="C4235" s="9"/>
      <c r="D4235" s="10">
        <v>45852</v>
      </c>
      <c r="E4235" t="s">
        <v>2795</v>
      </c>
      <c r="F4235" s="11" t="s">
        <v>2388</v>
      </c>
      <c r="G4235" s="8">
        <v>0</v>
      </c>
      <c r="H4235" s="8">
        <v>40.74</v>
      </c>
      <c r="I4235" s="8">
        <f t="shared" ref="I4235:I4298" si="131">G4235-H4235+I4234</f>
        <v>-5632.3900000000021</v>
      </c>
      <c r="J4235" s="12"/>
    </row>
    <row r="4236" spans="3:10" x14ac:dyDescent="0.3">
      <c r="C4236" s="9"/>
      <c r="D4236" s="10">
        <v>45852</v>
      </c>
      <c r="E4236" t="s">
        <v>3029</v>
      </c>
      <c r="F4236" s="11" t="s">
        <v>1757</v>
      </c>
      <c r="G4236" s="8">
        <v>0</v>
      </c>
      <c r="H4236" s="8">
        <v>75.14</v>
      </c>
      <c r="I4236" s="8">
        <f t="shared" si="131"/>
        <v>-5707.5300000000025</v>
      </c>
      <c r="J4236" s="12"/>
    </row>
    <row r="4237" spans="3:10" x14ac:dyDescent="0.3">
      <c r="C4237" s="9"/>
      <c r="D4237" s="10">
        <v>45853</v>
      </c>
      <c r="E4237" t="s">
        <v>2847</v>
      </c>
      <c r="F4237" s="11" t="s">
        <v>1120</v>
      </c>
      <c r="G4237" s="8">
        <v>0</v>
      </c>
      <c r="H4237" s="8">
        <v>84.49</v>
      </c>
      <c r="I4237" s="8">
        <f t="shared" si="131"/>
        <v>-5792.0200000000023</v>
      </c>
      <c r="J4237" s="12"/>
    </row>
    <row r="4238" spans="3:10" x14ac:dyDescent="0.3">
      <c r="C4238" s="9"/>
      <c r="D4238" s="10">
        <v>45853</v>
      </c>
      <c r="E4238" t="s">
        <v>3339</v>
      </c>
      <c r="F4238" s="11" t="s">
        <v>3340</v>
      </c>
      <c r="G4238" s="8">
        <v>0</v>
      </c>
      <c r="H4238" s="8">
        <v>202.96</v>
      </c>
      <c r="I4238" s="8">
        <f t="shared" si="131"/>
        <v>-5994.9800000000023</v>
      </c>
      <c r="J4238" s="12"/>
    </row>
    <row r="4239" spans="3:10" x14ac:dyDescent="0.3">
      <c r="C4239" s="9"/>
      <c r="D4239" s="10">
        <v>45853</v>
      </c>
      <c r="E4239" t="s">
        <v>2736</v>
      </c>
      <c r="F4239" s="11" t="s">
        <v>3341</v>
      </c>
      <c r="G4239" s="8">
        <v>0</v>
      </c>
      <c r="H4239" s="8">
        <v>108.36</v>
      </c>
      <c r="I4239" s="8">
        <f t="shared" si="131"/>
        <v>-6103.340000000002</v>
      </c>
      <c r="J4239" s="12"/>
    </row>
    <row r="4240" spans="3:10" x14ac:dyDescent="0.3">
      <c r="C4240" s="9"/>
      <c r="D4240" s="10">
        <v>45853</v>
      </c>
      <c r="E4240" t="s">
        <v>3219</v>
      </c>
      <c r="F4240" s="11" t="s">
        <v>1829</v>
      </c>
      <c r="G4240" s="8">
        <v>0</v>
      </c>
      <c r="H4240" s="8">
        <v>1457.4</v>
      </c>
      <c r="I4240" s="8">
        <f t="shared" si="131"/>
        <v>-7560.7400000000016</v>
      </c>
      <c r="J4240" s="12"/>
    </row>
    <row r="4241" spans="3:10" x14ac:dyDescent="0.3">
      <c r="C4241" s="9"/>
      <c r="D4241" s="10">
        <v>45853</v>
      </c>
      <c r="E4241" t="s">
        <v>3027</v>
      </c>
      <c r="F4241" s="11" t="s">
        <v>3342</v>
      </c>
      <c r="G4241" s="8">
        <v>0</v>
      </c>
      <c r="H4241" s="8">
        <v>-23.1</v>
      </c>
      <c r="I4241" s="8">
        <f t="shared" si="131"/>
        <v>-7537.6400000000012</v>
      </c>
      <c r="J4241" s="12"/>
    </row>
    <row r="4242" spans="3:10" x14ac:dyDescent="0.3">
      <c r="C4242" s="9"/>
      <c r="D4242" s="10">
        <v>45853</v>
      </c>
      <c r="E4242" t="s">
        <v>2784</v>
      </c>
      <c r="F4242" s="11" t="s">
        <v>1071</v>
      </c>
      <c r="G4242" s="8">
        <v>0</v>
      </c>
      <c r="H4242" s="8">
        <v>39.93</v>
      </c>
      <c r="I4242" s="8">
        <f t="shared" si="131"/>
        <v>-7577.5700000000015</v>
      </c>
      <c r="J4242" s="12"/>
    </row>
    <row r="4243" spans="3:10" x14ac:dyDescent="0.3">
      <c r="C4243" s="9"/>
      <c r="D4243" s="10">
        <v>45854</v>
      </c>
      <c r="E4243" t="s">
        <v>2950</v>
      </c>
      <c r="F4243" s="11" t="s">
        <v>3343</v>
      </c>
      <c r="G4243" s="8">
        <v>0</v>
      </c>
      <c r="H4243" s="8">
        <v>61.35</v>
      </c>
      <c r="I4243" s="8">
        <f t="shared" si="131"/>
        <v>-7638.9200000000019</v>
      </c>
      <c r="J4243" s="12"/>
    </row>
    <row r="4244" spans="3:10" x14ac:dyDescent="0.3">
      <c r="C4244" s="9"/>
      <c r="D4244" s="10">
        <v>45854</v>
      </c>
      <c r="E4244" t="s">
        <v>2790</v>
      </c>
      <c r="F4244" s="11" t="s">
        <v>1981</v>
      </c>
      <c r="G4244" s="8">
        <v>0</v>
      </c>
      <c r="H4244" s="8">
        <v>25.54</v>
      </c>
      <c r="I4244" s="8">
        <f t="shared" si="131"/>
        <v>-7664.4600000000019</v>
      </c>
      <c r="J4244" s="12"/>
    </row>
    <row r="4245" spans="3:10" x14ac:dyDescent="0.3">
      <c r="C4245" s="9"/>
      <c r="D4245" s="10">
        <v>45854</v>
      </c>
      <c r="E4245" t="s">
        <v>2803</v>
      </c>
      <c r="F4245" s="11" t="s">
        <v>1411</v>
      </c>
      <c r="G4245" s="8">
        <v>0</v>
      </c>
      <c r="H4245" s="8">
        <v>17.559999999999999</v>
      </c>
      <c r="I4245" s="8">
        <f t="shared" si="131"/>
        <v>-7682.0200000000023</v>
      </c>
      <c r="J4245" s="12"/>
    </row>
    <row r="4246" spans="3:10" x14ac:dyDescent="0.3">
      <c r="C4246" s="9"/>
      <c r="D4246" s="10">
        <v>45854</v>
      </c>
      <c r="E4246" t="s">
        <v>2746</v>
      </c>
      <c r="F4246" s="11" t="s">
        <v>1947</v>
      </c>
      <c r="G4246" s="8">
        <v>0</v>
      </c>
      <c r="H4246" s="8">
        <v>23.1</v>
      </c>
      <c r="I4246" s="8">
        <f t="shared" si="131"/>
        <v>-7705.1200000000026</v>
      </c>
      <c r="J4246" s="12"/>
    </row>
    <row r="4247" spans="3:10" x14ac:dyDescent="0.3">
      <c r="C4247" s="9"/>
      <c r="D4247" s="10">
        <v>45855</v>
      </c>
      <c r="E4247" t="s">
        <v>3201</v>
      </c>
      <c r="F4247" s="11" t="s">
        <v>1654</v>
      </c>
      <c r="G4247" s="8">
        <v>0</v>
      </c>
      <c r="H4247" s="8">
        <v>1017.45</v>
      </c>
      <c r="I4247" s="8">
        <f t="shared" si="131"/>
        <v>-8722.5700000000033</v>
      </c>
      <c r="J4247" s="12"/>
    </row>
    <row r="4248" spans="3:10" x14ac:dyDescent="0.3">
      <c r="C4248" s="9"/>
      <c r="D4248" s="10">
        <v>45855</v>
      </c>
      <c r="E4248" t="s">
        <v>2747</v>
      </c>
      <c r="F4248" s="11" t="s">
        <v>2044</v>
      </c>
      <c r="G4248" s="8">
        <v>0</v>
      </c>
      <c r="H4248" s="8">
        <v>167.62</v>
      </c>
      <c r="I4248" s="8">
        <f t="shared" si="131"/>
        <v>-8890.1900000000041</v>
      </c>
      <c r="J4248" s="12"/>
    </row>
    <row r="4249" spans="3:10" x14ac:dyDescent="0.3">
      <c r="C4249" s="9"/>
      <c r="D4249" s="10">
        <v>45855</v>
      </c>
      <c r="E4249" t="s">
        <v>2794</v>
      </c>
      <c r="F4249" s="11" t="s">
        <v>1477</v>
      </c>
      <c r="G4249" s="8">
        <v>0</v>
      </c>
      <c r="H4249" s="8">
        <v>87.4</v>
      </c>
      <c r="I4249" s="8">
        <f t="shared" si="131"/>
        <v>-8977.5900000000038</v>
      </c>
      <c r="J4249" s="12"/>
    </row>
    <row r="4250" spans="3:10" x14ac:dyDescent="0.3">
      <c r="C4250" s="9"/>
      <c r="D4250" s="10">
        <v>45856</v>
      </c>
      <c r="E4250" t="s">
        <v>3308</v>
      </c>
      <c r="F4250" s="11" t="s">
        <v>3344</v>
      </c>
      <c r="G4250" s="8">
        <v>0</v>
      </c>
      <c r="H4250" s="8">
        <v>250.01</v>
      </c>
      <c r="I4250" s="8">
        <f t="shared" si="131"/>
        <v>-9227.600000000004</v>
      </c>
      <c r="J4250" s="12"/>
    </row>
    <row r="4251" spans="3:10" x14ac:dyDescent="0.3">
      <c r="C4251" s="9"/>
      <c r="D4251" s="10">
        <v>45856</v>
      </c>
      <c r="E4251" t="s">
        <v>3345</v>
      </c>
      <c r="F4251" s="11" t="s">
        <v>1674</v>
      </c>
      <c r="G4251" s="8">
        <v>0</v>
      </c>
      <c r="H4251" s="8">
        <v>17.78</v>
      </c>
      <c r="I4251" s="8">
        <f t="shared" si="131"/>
        <v>-9245.3800000000047</v>
      </c>
      <c r="J4251" s="12"/>
    </row>
    <row r="4252" spans="3:10" x14ac:dyDescent="0.3">
      <c r="C4252" s="9"/>
      <c r="D4252" s="10">
        <v>45856</v>
      </c>
      <c r="E4252" t="s">
        <v>2993</v>
      </c>
      <c r="F4252" s="11" t="s">
        <v>1498</v>
      </c>
      <c r="G4252" s="8">
        <v>0</v>
      </c>
      <c r="H4252" s="8">
        <v>95.82</v>
      </c>
      <c r="I4252" s="8">
        <f t="shared" si="131"/>
        <v>-9341.2000000000044</v>
      </c>
      <c r="J4252" s="12"/>
    </row>
    <row r="4253" spans="3:10" x14ac:dyDescent="0.3">
      <c r="C4253" s="9"/>
      <c r="D4253" s="10">
        <v>45856</v>
      </c>
      <c r="E4253" t="s">
        <v>2794</v>
      </c>
      <c r="F4253" s="11" t="s">
        <v>1479</v>
      </c>
      <c r="G4253" s="8">
        <v>0</v>
      </c>
      <c r="H4253" s="8">
        <v>23.1</v>
      </c>
      <c r="I4253" s="8">
        <f t="shared" si="131"/>
        <v>-9364.3000000000047</v>
      </c>
      <c r="J4253" s="12"/>
    </row>
    <row r="4254" spans="3:10" x14ac:dyDescent="0.3">
      <c r="C4254" s="9"/>
      <c r="D4254" s="10">
        <v>45856</v>
      </c>
      <c r="E4254" t="s">
        <v>2927</v>
      </c>
      <c r="F4254" s="11" t="s">
        <v>2064</v>
      </c>
      <c r="G4254" s="8">
        <v>0</v>
      </c>
      <c r="H4254" s="8">
        <v>78.25</v>
      </c>
      <c r="I4254" s="8">
        <f t="shared" si="131"/>
        <v>-9442.5500000000047</v>
      </c>
      <c r="J4254" s="12"/>
    </row>
    <row r="4255" spans="3:10" x14ac:dyDescent="0.3">
      <c r="C4255" s="9"/>
      <c r="D4255" s="10">
        <v>45859</v>
      </c>
      <c r="E4255" t="s">
        <v>2877</v>
      </c>
      <c r="F4255" s="11" t="s">
        <v>2090</v>
      </c>
      <c r="G4255" s="8">
        <v>0</v>
      </c>
      <c r="H4255" s="8">
        <v>-33.6</v>
      </c>
      <c r="I4255" s="8">
        <f t="shared" si="131"/>
        <v>-9408.9500000000044</v>
      </c>
      <c r="J4255" s="12"/>
    </row>
    <row r="4256" spans="3:10" x14ac:dyDescent="0.3">
      <c r="C4256" s="9"/>
      <c r="D4256" s="10">
        <v>45859</v>
      </c>
      <c r="E4256" t="s">
        <v>2748</v>
      </c>
      <c r="F4256" s="11" t="s">
        <v>1580</v>
      </c>
      <c r="G4256" s="8">
        <v>0</v>
      </c>
      <c r="H4256" s="8">
        <v>33.6</v>
      </c>
      <c r="I4256" s="8">
        <f t="shared" si="131"/>
        <v>-9442.5500000000047</v>
      </c>
      <c r="J4256" s="12"/>
    </row>
    <row r="4257" spans="3:10" x14ac:dyDescent="0.3">
      <c r="C4257" s="9"/>
      <c r="D4257" s="10">
        <v>45859</v>
      </c>
      <c r="E4257" t="s">
        <v>3201</v>
      </c>
      <c r="F4257" s="11" t="s">
        <v>1656</v>
      </c>
      <c r="G4257" s="8">
        <v>0</v>
      </c>
      <c r="H4257" s="8">
        <v>802.63</v>
      </c>
      <c r="I4257" s="8">
        <f t="shared" si="131"/>
        <v>-10245.180000000004</v>
      </c>
      <c r="J4257" s="12"/>
    </row>
    <row r="4258" spans="3:10" x14ac:dyDescent="0.3">
      <c r="C4258" s="9"/>
      <c r="D4258" s="10">
        <v>45859</v>
      </c>
      <c r="E4258" t="s">
        <v>2822</v>
      </c>
      <c r="F4258" s="11" t="s">
        <v>1557</v>
      </c>
      <c r="G4258" s="8">
        <v>0</v>
      </c>
      <c r="H4258" s="8">
        <v>1135.73</v>
      </c>
      <c r="I4258" s="8">
        <f t="shared" si="131"/>
        <v>-11380.910000000003</v>
      </c>
      <c r="J4258" s="12"/>
    </row>
    <row r="4259" spans="3:10" x14ac:dyDescent="0.3">
      <c r="C4259" s="9"/>
      <c r="D4259" s="10">
        <v>45859</v>
      </c>
      <c r="E4259" t="s">
        <v>3346</v>
      </c>
      <c r="F4259" s="11" t="s">
        <v>2347</v>
      </c>
      <c r="G4259" s="8">
        <v>0</v>
      </c>
      <c r="H4259" s="8">
        <v>34.65</v>
      </c>
      <c r="I4259" s="8">
        <f t="shared" si="131"/>
        <v>-11415.560000000003</v>
      </c>
      <c r="J4259" s="12"/>
    </row>
    <row r="4260" spans="3:10" x14ac:dyDescent="0.3">
      <c r="C4260" s="9"/>
      <c r="D4260" s="10">
        <v>45859</v>
      </c>
      <c r="E4260" t="s">
        <v>2877</v>
      </c>
      <c r="F4260" s="11" t="s">
        <v>2092</v>
      </c>
      <c r="G4260" s="8">
        <v>0</v>
      </c>
      <c r="H4260" s="8">
        <v>33.6</v>
      </c>
      <c r="I4260" s="8">
        <f t="shared" si="131"/>
        <v>-11449.160000000003</v>
      </c>
      <c r="J4260" s="12"/>
    </row>
    <row r="4261" spans="3:10" x14ac:dyDescent="0.3">
      <c r="C4261" s="9"/>
      <c r="D4261" s="10">
        <v>45859</v>
      </c>
      <c r="E4261" t="s">
        <v>3245</v>
      </c>
      <c r="F4261" s="11" t="s">
        <v>3347</v>
      </c>
      <c r="G4261" s="8">
        <v>0</v>
      </c>
      <c r="H4261" s="8">
        <v>309.61</v>
      </c>
      <c r="I4261" s="8">
        <f t="shared" si="131"/>
        <v>-11758.770000000004</v>
      </c>
      <c r="J4261" s="12"/>
    </row>
    <row r="4262" spans="3:10" x14ac:dyDescent="0.3">
      <c r="C4262" s="9"/>
      <c r="D4262" s="10">
        <v>45859</v>
      </c>
      <c r="E4262" t="s">
        <v>2926</v>
      </c>
      <c r="F4262" s="11" t="s">
        <v>2307</v>
      </c>
      <c r="G4262" s="8">
        <v>0</v>
      </c>
      <c r="H4262" s="8">
        <v>193.02</v>
      </c>
      <c r="I4262" s="8">
        <f t="shared" si="131"/>
        <v>-11951.790000000005</v>
      </c>
      <c r="J4262" s="12"/>
    </row>
    <row r="4263" spans="3:10" x14ac:dyDescent="0.3">
      <c r="C4263" s="9"/>
      <c r="D4263" s="10">
        <v>45860</v>
      </c>
      <c r="E4263" t="s">
        <v>2746</v>
      </c>
      <c r="F4263" s="11" t="s">
        <v>1949</v>
      </c>
      <c r="G4263" s="8">
        <v>0</v>
      </c>
      <c r="H4263" s="8">
        <v>84.49</v>
      </c>
      <c r="I4263" s="8">
        <f t="shared" si="131"/>
        <v>-12036.280000000004</v>
      </c>
      <c r="J4263" s="12"/>
    </row>
    <row r="4264" spans="3:10" x14ac:dyDescent="0.3">
      <c r="C4264" s="9"/>
      <c r="D4264" s="10">
        <v>45860</v>
      </c>
      <c r="E4264" t="s">
        <v>3156</v>
      </c>
      <c r="F4264" s="11" t="s">
        <v>1338</v>
      </c>
      <c r="G4264" s="8">
        <v>0</v>
      </c>
      <c r="H4264" s="8">
        <v>94.5</v>
      </c>
      <c r="I4264" s="8">
        <f t="shared" si="131"/>
        <v>-12130.780000000004</v>
      </c>
      <c r="J4264" s="12"/>
    </row>
    <row r="4265" spans="3:10" x14ac:dyDescent="0.3">
      <c r="C4265" s="9"/>
      <c r="D4265" s="10">
        <v>45860</v>
      </c>
      <c r="E4265" t="s">
        <v>2916</v>
      </c>
      <c r="F4265" s="11" t="s">
        <v>3348</v>
      </c>
      <c r="G4265" s="8">
        <v>0</v>
      </c>
      <c r="H4265" s="8">
        <v>42.37</v>
      </c>
      <c r="I4265" s="8">
        <f t="shared" si="131"/>
        <v>-12173.150000000005</v>
      </c>
      <c r="J4265" s="12"/>
    </row>
    <row r="4266" spans="3:10" x14ac:dyDescent="0.3">
      <c r="C4266" s="9"/>
      <c r="D4266" s="10">
        <v>45860</v>
      </c>
      <c r="E4266" t="s">
        <v>2871</v>
      </c>
      <c r="F4266" s="11" t="s">
        <v>1371</v>
      </c>
      <c r="G4266" s="8">
        <v>0</v>
      </c>
      <c r="H4266" s="8">
        <v>59.46</v>
      </c>
      <c r="I4266" s="8">
        <f t="shared" si="131"/>
        <v>-12232.610000000004</v>
      </c>
      <c r="J4266" s="12"/>
    </row>
    <row r="4267" spans="3:10" x14ac:dyDescent="0.3">
      <c r="C4267" s="9"/>
      <c r="D4267" s="10">
        <v>45860</v>
      </c>
      <c r="E4267" t="s">
        <v>2831</v>
      </c>
      <c r="F4267" s="11" t="s">
        <v>2333</v>
      </c>
      <c r="G4267" s="8">
        <v>0</v>
      </c>
      <c r="H4267" s="8">
        <v>81.67</v>
      </c>
      <c r="I4267" s="8">
        <f t="shared" si="131"/>
        <v>-12314.280000000004</v>
      </c>
      <c r="J4267" s="12"/>
    </row>
    <row r="4268" spans="3:10" x14ac:dyDescent="0.3">
      <c r="C4268" s="9"/>
      <c r="D4268" s="10">
        <v>45860</v>
      </c>
      <c r="E4268" t="s">
        <v>3349</v>
      </c>
      <c r="F4268" s="11" t="s">
        <v>3350</v>
      </c>
      <c r="G4268" s="8">
        <v>0</v>
      </c>
      <c r="H4268" s="8">
        <v>17.850000000000001</v>
      </c>
      <c r="I4268" s="8">
        <f t="shared" si="131"/>
        <v>-12332.130000000005</v>
      </c>
      <c r="J4268" s="12"/>
    </row>
    <row r="4269" spans="3:10" x14ac:dyDescent="0.3">
      <c r="C4269" s="9"/>
      <c r="D4269" s="10">
        <v>45860</v>
      </c>
      <c r="E4269" t="s">
        <v>3266</v>
      </c>
      <c r="F4269" s="11" t="s">
        <v>1854</v>
      </c>
      <c r="G4269" s="8">
        <v>0</v>
      </c>
      <c r="H4269" s="8">
        <v>25.38</v>
      </c>
      <c r="I4269" s="8">
        <f t="shared" si="131"/>
        <v>-12357.510000000004</v>
      </c>
      <c r="J4269" s="12"/>
    </row>
    <row r="4270" spans="3:10" x14ac:dyDescent="0.3">
      <c r="C4270" s="9"/>
      <c r="D4270" s="10">
        <v>45861</v>
      </c>
      <c r="E4270" t="s">
        <v>3351</v>
      </c>
      <c r="F4270" s="11" t="s">
        <v>2118</v>
      </c>
      <c r="G4270" s="8">
        <v>0</v>
      </c>
      <c r="H4270" s="8">
        <v>28.35</v>
      </c>
      <c r="I4270" s="8">
        <f t="shared" si="131"/>
        <v>-12385.860000000004</v>
      </c>
      <c r="J4270" s="12"/>
    </row>
    <row r="4271" spans="3:10" x14ac:dyDescent="0.3">
      <c r="C4271" s="9"/>
      <c r="D4271" s="10">
        <v>45861</v>
      </c>
      <c r="E4271" t="s">
        <v>2783</v>
      </c>
      <c r="F4271" s="11" t="s">
        <v>1317</v>
      </c>
      <c r="G4271" s="8">
        <v>0</v>
      </c>
      <c r="H4271" s="8">
        <v>165.9</v>
      </c>
      <c r="I4271" s="8">
        <f t="shared" si="131"/>
        <v>-12551.760000000004</v>
      </c>
      <c r="J4271" s="12"/>
    </row>
    <row r="4272" spans="3:10" x14ac:dyDescent="0.3">
      <c r="C4272" s="9"/>
      <c r="D4272" s="10">
        <v>45862</v>
      </c>
      <c r="E4272" t="s">
        <v>2747</v>
      </c>
      <c r="F4272" s="11" t="s">
        <v>2046</v>
      </c>
      <c r="G4272" s="8">
        <v>0</v>
      </c>
      <c r="H4272" s="8">
        <v>39.86</v>
      </c>
      <c r="I4272" s="8">
        <f t="shared" si="131"/>
        <v>-12591.620000000004</v>
      </c>
      <c r="J4272" s="12"/>
    </row>
    <row r="4273" spans="3:10" x14ac:dyDescent="0.3">
      <c r="C4273" s="9"/>
      <c r="D4273" s="10">
        <v>45862</v>
      </c>
      <c r="E4273" t="s">
        <v>2747</v>
      </c>
      <c r="F4273" s="11" t="s">
        <v>2048</v>
      </c>
      <c r="G4273" s="8">
        <v>0</v>
      </c>
      <c r="H4273" s="8">
        <v>336.71</v>
      </c>
      <c r="I4273" s="8">
        <f t="shared" si="131"/>
        <v>-12928.330000000004</v>
      </c>
      <c r="J4273" s="12"/>
    </row>
    <row r="4274" spans="3:10" x14ac:dyDescent="0.3">
      <c r="C4274" s="9"/>
      <c r="D4274" s="10">
        <v>45862</v>
      </c>
      <c r="E4274" t="s">
        <v>2747</v>
      </c>
      <c r="F4274" s="11" t="s">
        <v>2050</v>
      </c>
      <c r="G4274" s="8">
        <v>0</v>
      </c>
      <c r="H4274" s="8">
        <v>67.599999999999994</v>
      </c>
      <c r="I4274" s="8">
        <f t="shared" si="131"/>
        <v>-12995.930000000004</v>
      </c>
      <c r="J4274" s="12"/>
    </row>
    <row r="4275" spans="3:10" x14ac:dyDescent="0.3">
      <c r="C4275" s="9"/>
      <c r="D4275" s="10">
        <v>45862</v>
      </c>
      <c r="E4275" t="s">
        <v>3037</v>
      </c>
      <c r="F4275" s="11" t="s">
        <v>2239</v>
      </c>
      <c r="G4275" s="8">
        <v>0</v>
      </c>
      <c r="H4275" s="8">
        <v>68.78</v>
      </c>
      <c r="I4275" s="8">
        <f t="shared" si="131"/>
        <v>-13064.710000000005</v>
      </c>
      <c r="J4275" s="12"/>
    </row>
    <row r="4276" spans="3:10" x14ac:dyDescent="0.3">
      <c r="C4276" s="9"/>
      <c r="D4276" s="10">
        <v>45862</v>
      </c>
      <c r="E4276" t="s">
        <v>3037</v>
      </c>
      <c r="F4276" s="11" t="s">
        <v>2241</v>
      </c>
      <c r="G4276" s="8">
        <v>0</v>
      </c>
      <c r="H4276" s="8">
        <v>99.75</v>
      </c>
      <c r="I4276" s="8">
        <f t="shared" si="131"/>
        <v>-13164.460000000005</v>
      </c>
      <c r="J4276" s="12"/>
    </row>
    <row r="4277" spans="3:10" x14ac:dyDescent="0.3">
      <c r="C4277" s="9"/>
      <c r="D4277" s="10">
        <v>45862</v>
      </c>
      <c r="E4277" t="s">
        <v>2803</v>
      </c>
      <c r="F4277" s="11" t="s">
        <v>1413</v>
      </c>
      <c r="G4277" s="8">
        <v>0</v>
      </c>
      <c r="H4277" s="8">
        <v>17.079999999999998</v>
      </c>
      <c r="I4277" s="8">
        <f t="shared" si="131"/>
        <v>-13181.540000000005</v>
      </c>
      <c r="J4277" s="12"/>
    </row>
    <row r="4278" spans="3:10" x14ac:dyDescent="0.3">
      <c r="C4278" s="9"/>
      <c r="D4278" s="10">
        <v>45862</v>
      </c>
      <c r="E4278" t="s">
        <v>2898</v>
      </c>
      <c r="F4278" s="11" t="s">
        <v>2225</v>
      </c>
      <c r="G4278" s="8">
        <v>0</v>
      </c>
      <c r="H4278" s="8">
        <v>52.81</v>
      </c>
      <c r="I4278" s="8">
        <f t="shared" si="131"/>
        <v>-13234.350000000004</v>
      </c>
      <c r="J4278" s="12"/>
    </row>
    <row r="4279" spans="3:10" x14ac:dyDescent="0.3">
      <c r="C4279" s="9"/>
      <c r="D4279" s="10">
        <v>45862</v>
      </c>
      <c r="E4279" t="s">
        <v>3352</v>
      </c>
      <c r="F4279" s="11" t="s">
        <v>3353</v>
      </c>
      <c r="G4279" s="8">
        <v>0</v>
      </c>
      <c r="H4279" s="8">
        <v>157.5</v>
      </c>
      <c r="I4279" s="8">
        <f t="shared" si="131"/>
        <v>-13391.850000000004</v>
      </c>
      <c r="J4279" s="12"/>
    </row>
    <row r="4280" spans="3:10" x14ac:dyDescent="0.3">
      <c r="C4280" s="9"/>
      <c r="D4280" s="10">
        <v>45862</v>
      </c>
      <c r="E4280" t="s">
        <v>3354</v>
      </c>
      <c r="F4280" s="11" t="s">
        <v>3355</v>
      </c>
      <c r="G4280" s="8">
        <v>0</v>
      </c>
      <c r="H4280" s="8">
        <v>44.1</v>
      </c>
      <c r="I4280" s="8">
        <f t="shared" si="131"/>
        <v>-13435.950000000004</v>
      </c>
      <c r="J4280" s="12"/>
    </row>
    <row r="4281" spans="3:10" x14ac:dyDescent="0.3">
      <c r="C4281" s="9"/>
      <c r="D4281" s="10">
        <v>45862</v>
      </c>
      <c r="E4281" t="s">
        <v>3356</v>
      </c>
      <c r="F4281" s="11" t="s">
        <v>3357</v>
      </c>
      <c r="G4281" s="8">
        <v>0</v>
      </c>
      <c r="H4281" s="8">
        <v>27.3</v>
      </c>
      <c r="I4281" s="8">
        <f t="shared" si="131"/>
        <v>-13463.250000000004</v>
      </c>
      <c r="J4281" s="12"/>
    </row>
    <row r="4282" spans="3:10" x14ac:dyDescent="0.3">
      <c r="C4282" s="9"/>
      <c r="D4282" s="10">
        <v>45866</v>
      </c>
      <c r="E4282" t="s">
        <v>3295</v>
      </c>
      <c r="F4282" s="11" t="s">
        <v>2254</v>
      </c>
      <c r="G4282" s="8">
        <v>0</v>
      </c>
      <c r="H4282" s="8">
        <v>142.16</v>
      </c>
      <c r="I4282" s="8">
        <f t="shared" si="131"/>
        <v>-13605.410000000003</v>
      </c>
      <c r="J4282" s="12"/>
    </row>
    <row r="4283" spans="3:10" x14ac:dyDescent="0.3">
      <c r="C4283" s="9"/>
      <c r="D4283" s="10">
        <v>45866</v>
      </c>
      <c r="E4283" t="s">
        <v>2950</v>
      </c>
      <c r="F4283" s="11" t="s">
        <v>3358</v>
      </c>
      <c r="G4283" s="8">
        <v>0</v>
      </c>
      <c r="H4283" s="8">
        <v>4.0999999999999996</v>
      </c>
      <c r="I4283" s="8">
        <f t="shared" si="131"/>
        <v>-13609.510000000004</v>
      </c>
      <c r="J4283" s="12"/>
    </row>
    <row r="4284" spans="3:10" x14ac:dyDescent="0.3">
      <c r="C4284" s="9"/>
      <c r="D4284" s="10">
        <v>45866</v>
      </c>
      <c r="E4284" t="s">
        <v>3354</v>
      </c>
      <c r="F4284" s="11" t="s">
        <v>3359</v>
      </c>
      <c r="G4284" s="8">
        <v>0</v>
      </c>
      <c r="H4284" s="8">
        <v>3.1</v>
      </c>
      <c r="I4284" s="8">
        <f t="shared" si="131"/>
        <v>-13612.610000000004</v>
      </c>
      <c r="J4284" s="12"/>
    </row>
    <row r="4285" spans="3:10" x14ac:dyDescent="0.3">
      <c r="C4285" s="9"/>
      <c r="D4285" s="10">
        <v>45866</v>
      </c>
      <c r="E4285" t="s">
        <v>3270</v>
      </c>
      <c r="F4285" s="11" t="s">
        <v>3360</v>
      </c>
      <c r="G4285" s="8">
        <v>0</v>
      </c>
      <c r="H4285" s="8">
        <v>27.3</v>
      </c>
      <c r="I4285" s="8">
        <f t="shared" si="131"/>
        <v>-13639.910000000003</v>
      </c>
      <c r="J4285" s="12"/>
    </row>
    <row r="4286" spans="3:10" x14ac:dyDescent="0.3">
      <c r="C4286" s="9"/>
      <c r="D4286" s="10">
        <v>45866</v>
      </c>
      <c r="E4286" t="s">
        <v>2855</v>
      </c>
      <c r="F4286" s="11" t="s">
        <v>1917</v>
      </c>
      <c r="G4286" s="8">
        <v>0</v>
      </c>
      <c r="H4286" s="8">
        <v>819.36</v>
      </c>
      <c r="I4286" s="8">
        <f t="shared" si="131"/>
        <v>-14459.270000000004</v>
      </c>
      <c r="J4286" s="12"/>
    </row>
    <row r="4287" spans="3:10" x14ac:dyDescent="0.3">
      <c r="C4287" s="9"/>
      <c r="D4287" s="10">
        <v>45866</v>
      </c>
      <c r="E4287" t="s">
        <v>2993</v>
      </c>
      <c r="F4287" s="11" t="s">
        <v>1500</v>
      </c>
      <c r="G4287" s="8">
        <v>0</v>
      </c>
      <c r="H4287" s="8">
        <v>27.3</v>
      </c>
      <c r="I4287" s="8">
        <f t="shared" si="131"/>
        <v>-14486.570000000003</v>
      </c>
      <c r="J4287" s="12"/>
    </row>
    <row r="4288" spans="3:10" x14ac:dyDescent="0.3">
      <c r="C4288" s="9"/>
      <c r="D4288" s="10">
        <v>45866</v>
      </c>
      <c r="E4288" t="s">
        <v>3361</v>
      </c>
      <c r="F4288" s="11" t="s">
        <v>2008</v>
      </c>
      <c r="G4288" s="8">
        <v>0</v>
      </c>
      <c r="H4288" s="8">
        <v>59.71</v>
      </c>
      <c r="I4288" s="8">
        <f t="shared" si="131"/>
        <v>-14546.280000000002</v>
      </c>
      <c r="J4288" s="12"/>
    </row>
    <row r="4289" spans="3:10" x14ac:dyDescent="0.3">
      <c r="C4289" s="9"/>
      <c r="D4289" s="10">
        <v>45866</v>
      </c>
      <c r="E4289" t="s">
        <v>3164</v>
      </c>
      <c r="F4289" s="11" t="s">
        <v>3362</v>
      </c>
      <c r="G4289" s="8">
        <v>0</v>
      </c>
      <c r="H4289" s="8">
        <v>161.04</v>
      </c>
      <c r="I4289" s="8">
        <f t="shared" si="131"/>
        <v>-14707.320000000003</v>
      </c>
      <c r="J4289" s="12"/>
    </row>
    <row r="4290" spans="3:10" x14ac:dyDescent="0.3">
      <c r="C4290" s="9"/>
      <c r="D4290" s="10">
        <v>45867</v>
      </c>
      <c r="E4290" t="s">
        <v>2780</v>
      </c>
      <c r="F4290" s="11" t="s">
        <v>1629</v>
      </c>
      <c r="G4290" s="8">
        <v>0</v>
      </c>
      <c r="H4290" s="8">
        <v>66.63</v>
      </c>
      <c r="I4290" s="8">
        <f t="shared" si="131"/>
        <v>-14773.950000000003</v>
      </c>
      <c r="J4290" s="12"/>
    </row>
    <row r="4291" spans="3:10" x14ac:dyDescent="0.3">
      <c r="C4291" s="9"/>
      <c r="D4291" s="10">
        <v>45867</v>
      </c>
      <c r="E4291" t="s">
        <v>2855</v>
      </c>
      <c r="F4291" s="11" t="s">
        <v>1919</v>
      </c>
      <c r="G4291" s="8">
        <v>0</v>
      </c>
      <c r="H4291" s="8">
        <v>25.2</v>
      </c>
      <c r="I4291" s="8">
        <f t="shared" si="131"/>
        <v>-14799.150000000003</v>
      </c>
      <c r="J4291" s="12"/>
    </row>
    <row r="4292" spans="3:10" x14ac:dyDescent="0.3">
      <c r="C4292" s="9"/>
      <c r="D4292" s="10">
        <v>45867</v>
      </c>
      <c r="E4292" t="s">
        <v>3070</v>
      </c>
      <c r="F4292" s="11" t="s">
        <v>1613</v>
      </c>
      <c r="G4292" s="8">
        <v>0</v>
      </c>
      <c r="H4292" s="8">
        <v>2518.7399999999998</v>
      </c>
      <c r="I4292" s="8">
        <f t="shared" si="131"/>
        <v>-17317.890000000003</v>
      </c>
      <c r="J4292" s="12"/>
    </row>
    <row r="4293" spans="3:10" x14ac:dyDescent="0.3">
      <c r="C4293" s="9"/>
      <c r="D4293" s="10">
        <v>45867</v>
      </c>
      <c r="E4293" t="s">
        <v>3308</v>
      </c>
      <c r="F4293" s="11" t="s">
        <v>3363</v>
      </c>
      <c r="G4293" s="8">
        <v>0</v>
      </c>
      <c r="H4293" s="8">
        <v>79.8</v>
      </c>
      <c r="I4293" s="8">
        <f t="shared" si="131"/>
        <v>-17397.690000000002</v>
      </c>
      <c r="J4293" s="12"/>
    </row>
    <row r="4294" spans="3:10" x14ac:dyDescent="0.3">
      <c r="C4294" s="9"/>
      <c r="D4294" s="10">
        <v>45868</v>
      </c>
      <c r="E4294" t="s">
        <v>3364</v>
      </c>
      <c r="F4294" s="11" t="s">
        <v>1677</v>
      </c>
      <c r="G4294" s="8">
        <v>0</v>
      </c>
      <c r="H4294" s="8">
        <v>79.239999999999995</v>
      </c>
      <c r="I4294" s="8">
        <f t="shared" si="131"/>
        <v>-17476.930000000004</v>
      </c>
      <c r="J4294" s="12"/>
    </row>
    <row r="4295" spans="3:10" x14ac:dyDescent="0.3">
      <c r="C4295" s="9"/>
      <c r="D4295" s="10">
        <v>45868</v>
      </c>
      <c r="E4295" t="s">
        <v>2980</v>
      </c>
      <c r="F4295" s="11" t="s">
        <v>3365</v>
      </c>
      <c r="G4295" s="8">
        <v>0</v>
      </c>
      <c r="H4295" s="8">
        <v>109.2</v>
      </c>
      <c r="I4295" s="8">
        <f t="shared" si="131"/>
        <v>-17586.130000000005</v>
      </c>
      <c r="J4295" s="12"/>
    </row>
    <row r="4296" spans="3:10" x14ac:dyDescent="0.3">
      <c r="C4296" s="9"/>
      <c r="D4296" s="10">
        <v>45868</v>
      </c>
      <c r="E4296" t="s">
        <v>3366</v>
      </c>
      <c r="F4296" s="11" t="s">
        <v>1680</v>
      </c>
      <c r="G4296" s="8">
        <v>0</v>
      </c>
      <c r="H4296" s="8">
        <v>308.91000000000003</v>
      </c>
      <c r="I4296" s="8">
        <f t="shared" si="131"/>
        <v>-17895.040000000005</v>
      </c>
      <c r="J4296" s="12"/>
    </row>
    <row r="4297" spans="3:10" x14ac:dyDescent="0.3">
      <c r="C4297" s="9"/>
      <c r="D4297" s="10">
        <v>45868</v>
      </c>
      <c r="E4297" t="s">
        <v>3176</v>
      </c>
      <c r="F4297" s="11" t="s">
        <v>2320</v>
      </c>
      <c r="G4297" s="8">
        <v>0</v>
      </c>
      <c r="H4297" s="8">
        <v>75.52</v>
      </c>
      <c r="I4297" s="8">
        <f t="shared" si="131"/>
        <v>-17970.560000000005</v>
      </c>
      <c r="J4297" s="12"/>
    </row>
    <row r="4298" spans="3:10" x14ac:dyDescent="0.3">
      <c r="C4298" s="9"/>
      <c r="D4298" s="10">
        <v>45868</v>
      </c>
      <c r="E4298" t="s">
        <v>3307</v>
      </c>
      <c r="F4298" s="11" t="s">
        <v>2182</v>
      </c>
      <c r="G4298" s="8">
        <v>0</v>
      </c>
      <c r="H4298" s="8">
        <v>17.850000000000001</v>
      </c>
      <c r="I4298" s="8">
        <f t="shared" si="131"/>
        <v>-17988.410000000003</v>
      </c>
      <c r="J4298" s="12"/>
    </row>
    <row r="4299" spans="3:10" x14ac:dyDescent="0.3">
      <c r="C4299" s="9"/>
      <c r="D4299" s="10">
        <v>45868</v>
      </c>
      <c r="E4299" t="s">
        <v>3367</v>
      </c>
      <c r="F4299" s="11" t="s">
        <v>3368</v>
      </c>
      <c r="G4299" s="8">
        <v>0</v>
      </c>
      <c r="H4299" s="8">
        <v>87.89</v>
      </c>
      <c r="I4299" s="8">
        <f t="shared" ref="I4299:I4362" si="132">G4299-H4299+I4298</f>
        <v>-18076.300000000003</v>
      </c>
      <c r="J4299" s="12"/>
    </row>
    <row r="4300" spans="3:10" x14ac:dyDescent="0.3">
      <c r="C4300" s="9"/>
      <c r="D4300" s="10">
        <v>45868</v>
      </c>
      <c r="E4300" t="s">
        <v>2907</v>
      </c>
      <c r="F4300" s="11" t="s">
        <v>1934</v>
      </c>
      <c r="G4300" s="8">
        <v>0</v>
      </c>
      <c r="H4300" s="8">
        <v>236.87</v>
      </c>
      <c r="I4300" s="8">
        <f t="shared" si="132"/>
        <v>-18313.170000000002</v>
      </c>
      <c r="J4300" s="12"/>
    </row>
    <row r="4301" spans="3:10" x14ac:dyDescent="0.3">
      <c r="C4301" s="9"/>
      <c r="D4301" s="10">
        <v>45869</v>
      </c>
      <c r="E4301" t="s">
        <v>2746</v>
      </c>
      <c r="F4301" s="11" t="s">
        <v>1951</v>
      </c>
      <c r="G4301" s="8">
        <v>0</v>
      </c>
      <c r="H4301" s="8">
        <v>41.12</v>
      </c>
      <c r="I4301" s="8">
        <f t="shared" si="132"/>
        <v>-18354.29</v>
      </c>
      <c r="J4301" s="12"/>
    </row>
    <row r="4302" spans="3:10" x14ac:dyDescent="0.3">
      <c r="C4302" s="9"/>
      <c r="D4302" s="10">
        <v>45869</v>
      </c>
      <c r="E4302" t="s">
        <v>3020</v>
      </c>
      <c r="F4302" s="11" t="s">
        <v>3369</v>
      </c>
      <c r="G4302" s="8">
        <v>0</v>
      </c>
      <c r="H4302" s="8">
        <v>45.33</v>
      </c>
      <c r="I4302" s="8">
        <f t="shared" si="132"/>
        <v>-18399.620000000003</v>
      </c>
      <c r="J4302" s="12"/>
    </row>
    <row r="4303" spans="3:10" x14ac:dyDescent="0.3">
      <c r="C4303" s="9"/>
      <c r="D4303" s="10">
        <v>45869</v>
      </c>
      <c r="E4303" t="s">
        <v>2884</v>
      </c>
      <c r="F4303" s="11" t="s">
        <v>3370</v>
      </c>
      <c r="G4303" s="8">
        <v>0</v>
      </c>
      <c r="H4303" s="8">
        <v>43.52</v>
      </c>
      <c r="I4303" s="8">
        <f t="shared" si="132"/>
        <v>-18443.140000000003</v>
      </c>
      <c r="J4303" s="12"/>
    </row>
    <row r="4304" spans="3:10" x14ac:dyDescent="0.3">
      <c r="C4304" s="9"/>
      <c r="D4304" s="10">
        <v>45869</v>
      </c>
      <c r="E4304" t="s">
        <v>2794</v>
      </c>
      <c r="F4304" s="11" t="s">
        <v>1481</v>
      </c>
      <c r="G4304" s="8">
        <v>0</v>
      </c>
      <c r="H4304" s="8">
        <v>38.85</v>
      </c>
      <c r="I4304" s="8">
        <f t="shared" si="132"/>
        <v>-18481.990000000002</v>
      </c>
      <c r="J4304" s="12"/>
    </row>
    <row r="4305" spans="3:10" x14ac:dyDescent="0.3">
      <c r="C4305" s="9"/>
      <c r="D4305" s="10">
        <v>45869</v>
      </c>
      <c r="E4305" t="s">
        <v>2811</v>
      </c>
      <c r="F4305" s="11" t="s">
        <v>1166</v>
      </c>
      <c r="G4305" s="8">
        <v>0</v>
      </c>
      <c r="H4305" s="8">
        <v>57.33</v>
      </c>
      <c r="I4305" s="8">
        <f t="shared" si="132"/>
        <v>-18539.320000000003</v>
      </c>
      <c r="J4305" s="12"/>
    </row>
    <row r="4306" spans="3:10" x14ac:dyDescent="0.3">
      <c r="C4306" s="9"/>
      <c r="D4306" s="10">
        <v>45869</v>
      </c>
      <c r="E4306" t="s">
        <v>3371</v>
      </c>
      <c r="F4306" s="11" t="s">
        <v>3372</v>
      </c>
      <c r="G4306" s="8">
        <v>0</v>
      </c>
      <c r="H4306" s="8">
        <v>73.989999999999995</v>
      </c>
      <c r="I4306" s="8">
        <f t="shared" si="132"/>
        <v>-18613.310000000005</v>
      </c>
      <c r="J4306" s="12"/>
    </row>
    <row r="4307" spans="3:10" x14ac:dyDescent="0.3">
      <c r="C4307" s="9"/>
      <c r="D4307" s="10">
        <v>45869</v>
      </c>
      <c r="E4307" t="s">
        <v>3373</v>
      </c>
      <c r="F4307" s="11" t="s">
        <v>3374</v>
      </c>
      <c r="G4307" s="8">
        <v>0</v>
      </c>
      <c r="H4307" s="8">
        <v>153.72999999999999</v>
      </c>
      <c r="I4307" s="8">
        <f t="shared" si="132"/>
        <v>-18767.040000000005</v>
      </c>
      <c r="J4307" s="12"/>
    </row>
    <row r="4308" spans="3:10" x14ac:dyDescent="0.3">
      <c r="C4308" s="9"/>
      <c r="D4308" s="10">
        <v>45869</v>
      </c>
      <c r="E4308" t="s">
        <v>2801</v>
      </c>
      <c r="F4308" s="11" t="s">
        <v>3375</v>
      </c>
      <c r="G4308" s="8">
        <v>0</v>
      </c>
      <c r="H4308" s="8">
        <v>103.83</v>
      </c>
      <c r="I4308" s="8">
        <f t="shared" si="132"/>
        <v>-18870.870000000006</v>
      </c>
      <c r="J4308" s="12"/>
    </row>
    <row r="4309" spans="3:10" x14ac:dyDescent="0.3">
      <c r="C4309" s="9"/>
      <c r="D4309" s="10">
        <v>45869</v>
      </c>
      <c r="E4309" t="s">
        <v>2887</v>
      </c>
      <c r="F4309" s="11" t="s">
        <v>1219</v>
      </c>
      <c r="G4309" s="8">
        <v>0</v>
      </c>
      <c r="H4309" s="8">
        <v>35.840000000000003</v>
      </c>
      <c r="I4309" s="8">
        <f t="shared" si="132"/>
        <v>-18906.710000000006</v>
      </c>
      <c r="J4309" s="12"/>
    </row>
    <row r="4310" spans="3:10" x14ac:dyDescent="0.3">
      <c r="C4310" s="9"/>
      <c r="D4310" s="10">
        <v>45869</v>
      </c>
      <c r="E4310" t="s">
        <v>2730</v>
      </c>
      <c r="F4310" s="11" t="s">
        <v>3376</v>
      </c>
      <c r="G4310" s="8">
        <v>0</v>
      </c>
      <c r="H4310" s="8">
        <v>23.1</v>
      </c>
      <c r="I4310" s="8">
        <f t="shared" si="132"/>
        <v>-18929.810000000005</v>
      </c>
      <c r="J4310" s="12"/>
    </row>
    <row r="4311" spans="3:10" x14ac:dyDescent="0.3">
      <c r="C4311" s="9"/>
      <c r="D4311" s="10">
        <v>45869</v>
      </c>
      <c r="E4311" t="s">
        <v>3070</v>
      </c>
      <c r="F4311" s="11" t="s">
        <v>1615</v>
      </c>
      <c r="G4311" s="8">
        <v>0</v>
      </c>
      <c r="H4311" s="8">
        <v>1174.74</v>
      </c>
      <c r="I4311" s="8">
        <f t="shared" si="132"/>
        <v>-20104.550000000007</v>
      </c>
      <c r="J4311" s="12"/>
    </row>
    <row r="4312" spans="3:10" x14ac:dyDescent="0.3">
      <c r="C4312" s="9"/>
      <c r="D4312" s="10">
        <v>45869</v>
      </c>
      <c r="E4312" t="s">
        <v>3310</v>
      </c>
      <c r="F4312" s="11" t="s">
        <v>3377</v>
      </c>
      <c r="G4312" s="8">
        <v>0</v>
      </c>
      <c r="H4312" s="8">
        <v>-57.33</v>
      </c>
      <c r="I4312" s="8">
        <f t="shared" si="132"/>
        <v>-20047.220000000005</v>
      </c>
      <c r="J4312" s="12"/>
    </row>
    <row r="4313" spans="3:10" x14ac:dyDescent="0.3">
      <c r="C4313" s="9"/>
      <c r="D4313" s="10">
        <v>45869</v>
      </c>
      <c r="E4313" t="s">
        <v>3378</v>
      </c>
      <c r="F4313" s="11" t="s">
        <v>1420</v>
      </c>
      <c r="G4313" s="8">
        <v>0</v>
      </c>
      <c r="H4313" s="8">
        <v>34.65</v>
      </c>
      <c r="I4313" s="8">
        <f t="shared" si="132"/>
        <v>-20081.870000000006</v>
      </c>
      <c r="J4313" s="12"/>
    </row>
    <row r="4314" spans="3:10" x14ac:dyDescent="0.3">
      <c r="C4314" s="9"/>
      <c r="D4314" s="10">
        <v>45869</v>
      </c>
      <c r="E4314" t="s">
        <v>2854</v>
      </c>
      <c r="F4314" s="11" t="s">
        <v>1234</v>
      </c>
      <c r="G4314" s="8">
        <v>0</v>
      </c>
      <c r="H4314" s="8">
        <v>44.34</v>
      </c>
      <c r="I4314" s="8">
        <f t="shared" si="132"/>
        <v>-20126.210000000006</v>
      </c>
      <c r="J4314" s="12"/>
    </row>
    <row r="4315" spans="3:10" x14ac:dyDescent="0.3">
      <c r="C4315" s="9"/>
      <c r="D4315" s="10">
        <v>45869</v>
      </c>
      <c r="E4315" t="s">
        <v>3251</v>
      </c>
      <c r="F4315" s="11" t="s">
        <v>2270</v>
      </c>
      <c r="G4315" s="8">
        <v>0</v>
      </c>
      <c r="H4315" s="8">
        <v>90.79</v>
      </c>
      <c r="I4315" s="8">
        <f t="shared" si="132"/>
        <v>-20217.000000000007</v>
      </c>
      <c r="J4315" s="12"/>
    </row>
    <row r="4316" spans="3:10" x14ac:dyDescent="0.3">
      <c r="C4316" s="9"/>
      <c r="D4316" s="10">
        <v>45869</v>
      </c>
      <c r="E4316" t="s">
        <v>2828</v>
      </c>
      <c r="F4316" s="11" t="s">
        <v>2109</v>
      </c>
      <c r="G4316" s="8">
        <v>0</v>
      </c>
      <c r="H4316" s="8">
        <v>77.02</v>
      </c>
      <c r="I4316" s="8">
        <f t="shared" si="132"/>
        <v>-20294.020000000008</v>
      </c>
      <c r="J4316" s="12"/>
    </row>
    <row r="4317" spans="3:10" x14ac:dyDescent="0.3">
      <c r="C4317" s="9"/>
      <c r="D4317" s="10">
        <v>45870</v>
      </c>
      <c r="E4317" t="s">
        <v>2899</v>
      </c>
      <c r="F4317" s="11" t="s">
        <v>1791</v>
      </c>
      <c r="G4317" s="8">
        <v>0</v>
      </c>
      <c r="H4317" s="8">
        <v>-1109.8499999999999</v>
      </c>
      <c r="I4317" s="8">
        <f t="shared" si="132"/>
        <v>-19184.170000000009</v>
      </c>
      <c r="J4317" s="12"/>
    </row>
    <row r="4318" spans="3:10" x14ac:dyDescent="0.3">
      <c r="C4318" s="9"/>
      <c r="D4318" s="10">
        <v>45870</v>
      </c>
      <c r="E4318" t="s">
        <v>2899</v>
      </c>
      <c r="F4318" s="11" t="s">
        <v>1793</v>
      </c>
      <c r="G4318" s="8">
        <v>0</v>
      </c>
      <c r="H4318" s="8">
        <v>-2142.9499999999998</v>
      </c>
      <c r="I4318" s="8">
        <f t="shared" si="132"/>
        <v>-17041.220000000008</v>
      </c>
      <c r="J4318" s="12"/>
    </row>
    <row r="4319" spans="3:10" x14ac:dyDescent="0.3">
      <c r="C4319" s="9"/>
      <c r="D4319" s="10">
        <v>45873</v>
      </c>
      <c r="E4319" t="s">
        <v>2926</v>
      </c>
      <c r="F4319" s="11" t="s">
        <v>2310</v>
      </c>
      <c r="G4319" s="8">
        <v>0</v>
      </c>
      <c r="H4319" s="8">
        <v>39.9</v>
      </c>
      <c r="I4319" s="8">
        <f t="shared" si="132"/>
        <v>-17081.12000000001</v>
      </c>
      <c r="J4319" s="12"/>
    </row>
    <row r="4320" spans="3:10" x14ac:dyDescent="0.3">
      <c r="C4320" s="9"/>
      <c r="D4320" s="10">
        <v>45873</v>
      </c>
      <c r="E4320" t="s">
        <v>2784</v>
      </c>
      <c r="F4320" s="11" t="s">
        <v>1073</v>
      </c>
      <c r="G4320" s="8">
        <v>0</v>
      </c>
      <c r="H4320" s="8">
        <v>64.44</v>
      </c>
      <c r="I4320" s="8">
        <f t="shared" si="132"/>
        <v>-17145.560000000009</v>
      </c>
      <c r="J4320" s="12"/>
    </row>
    <row r="4321" spans="3:10" x14ac:dyDescent="0.3">
      <c r="C4321" s="9"/>
      <c r="D4321" s="10">
        <v>45873</v>
      </c>
      <c r="E4321" t="s">
        <v>2967</v>
      </c>
      <c r="F4321" s="11" t="s">
        <v>2003</v>
      </c>
      <c r="G4321" s="8">
        <v>0</v>
      </c>
      <c r="H4321" s="8">
        <v>104.72</v>
      </c>
      <c r="I4321" s="8">
        <f t="shared" si="132"/>
        <v>-17250.28000000001</v>
      </c>
      <c r="J4321" s="12"/>
    </row>
    <row r="4322" spans="3:10" x14ac:dyDescent="0.3">
      <c r="C4322" s="9"/>
      <c r="D4322" s="10">
        <v>45874</v>
      </c>
      <c r="E4322" t="s">
        <v>2847</v>
      </c>
      <c r="F4322" s="11" t="s">
        <v>1122</v>
      </c>
      <c r="G4322" s="8">
        <v>0</v>
      </c>
      <c r="H4322" s="8">
        <v>28.59</v>
      </c>
      <c r="I4322" s="8">
        <f t="shared" si="132"/>
        <v>-17278.87000000001</v>
      </c>
      <c r="J4322" s="12"/>
    </row>
    <row r="4323" spans="3:10" x14ac:dyDescent="0.3">
      <c r="C4323" s="9"/>
      <c r="D4323" s="10">
        <v>45874</v>
      </c>
      <c r="E4323" t="s">
        <v>2783</v>
      </c>
      <c r="F4323" s="11" t="s">
        <v>1319</v>
      </c>
      <c r="G4323" s="8">
        <v>0</v>
      </c>
      <c r="H4323" s="8">
        <v>937.66</v>
      </c>
      <c r="I4323" s="8">
        <f t="shared" si="132"/>
        <v>-18216.53000000001</v>
      </c>
      <c r="J4323" s="12"/>
    </row>
    <row r="4324" spans="3:10" x14ac:dyDescent="0.3">
      <c r="C4324" s="9"/>
      <c r="D4324" s="10">
        <v>45874</v>
      </c>
      <c r="E4324" t="s">
        <v>2771</v>
      </c>
      <c r="F4324" s="11" t="s">
        <v>1447</v>
      </c>
      <c r="G4324" s="8">
        <v>0</v>
      </c>
      <c r="H4324" s="8">
        <v>234.01</v>
      </c>
      <c r="I4324" s="8">
        <f t="shared" si="132"/>
        <v>-18450.540000000008</v>
      </c>
      <c r="J4324" s="12"/>
    </row>
    <row r="4325" spans="3:10" x14ac:dyDescent="0.3">
      <c r="C4325" s="9"/>
      <c r="D4325" s="10">
        <v>45874</v>
      </c>
      <c r="E4325" t="s">
        <v>2794</v>
      </c>
      <c r="F4325" s="11" t="s">
        <v>1483</v>
      </c>
      <c r="G4325" s="8">
        <v>0</v>
      </c>
      <c r="H4325" s="8">
        <v>331.67</v>
      </c>
      <c r="I4325" s="8">
        <f t="shared" si="132"/>
        <v>-18782.210000000006</v>
      </c>
      <c r="J4325" s="12"/>
    </row>
    <row r="4326" spans="3:10" x14ac:dyDescent="0.3">
      <c r="C4326" s="9"/>
      <c r="D4326" s="10">
        <v>45874</v>
      </c>
      <c r="E4326" t="s">
        <v>3307</v>
      </c>
      <c r="F4326" s="11" t="s">
        <v>2184</v>
      </c>
      <c r="G4326" s="8">
        <v>0</v>
      </c>
      <c r="H4326" s="8">
        <v>23.1</v>
      </c>
      <c r="I4326" s="8">
        <f t="shared" si="132"/>
        <v>-18805.310000000005</v>
      </c>
      <c r="J4326" s="12"/>
    </row>
    <row r="4327" spans="3:10" x14ac:dyDescent="0.3">
      <c r="C4327" s="9"/>
      <c r="D4327" s="10">
        <v>45874</v>
      </c>
      <c r="E4327" t="s">
        <v>3156</v>
      </c>
      <c r="F4327" s="11" t="s">
        <v>1340</v>
      </c>
      <c r="G4327" s="8">
        <v>0</v>
      </c>
      <c r="H4327" s="8">
        <v>62.09</v>
      </c>
      <c r="I4327" s="8">
        <f t="shared" si="132"/>
        <v>-18867.400000000005</v>
      </c>
      <c r="J4327" s="12"/>
    </row>
    <row r="4328" spans="3:10" x14ac:dyDescent="0.3">
      <c r="C4328" s="9"/>
      <c r="D4328" s="10">
        <v>45874</v>
      </c>
      <c r="E4328" t="s">
        <v>3253</v>
      </c>
      <c r="F4328" s="11" t="s">
        <v>430</v>
      </c>
      <c r="G4328" s="8">
        <v>0</v>
      </c>
      <c r="H4328" s="8">
        <v>20.46</v>
      </c>
      <c r="I4328" s="8">
        <f t="shared" si="132"/>
        <v>-18887.860000000004</v>
      </c>
      <c r="J4328" s="12"/>
    </row>
    <row r="4329" spans="3:10" x14ac:dyDescent="0.3">
      <c r="C4329" s="9"/>
      <c r="D4329" s="10">
        <v>45875</v>
      </c>
      <c r="E4329" t="s">
        <v>3251</v>
      </c>
      <c r="F4329" s="11" t="s">
        <v>2272</v>
      </c>
      <c r="G4329" s="8">
        <v>0</v>
      </c>
      <c r="H4329" s="8">
        <v>209.41</v>
      </c>
      <c r="I4329" s="8">
        <f t="shared" si="132"/>
        <v>-19097.270000000004</v>
      </c>
      <c r="J4329" s="12"/>
    </row>
    <row r="4330" spans="3:10" x14ac:dyDescent="0.3">
      <c r="C4330" s="9"/>
      <c r="D4330" s="10">
        <v>45875</v>
      </c>
      <c r="E4330" t="s">
        <v>2952</v>
      </c>
      <c r="F4330" s="11" t="s">
        <v>3379</v>
      </c>
      <c r="G4330" s="8">
        <v>0</v>
      </c>
      <c r="H4330" s="8">
        <v>23.1</v>
      </c>
      <c r="I4330" s="8">
        <f t="shared" si="132"/>
        <v>-19120.370000000003</v>
      </c>
      <c r="J4330" s="12"/>
    </row>
    <row r="4331" spans="3:10" x14ac:dyDescent="0.3">
      <c r="C4331" s="9"/>
      <c r="D4331" s="10">
        <v>45875</v>
      </c>
      <c r="E4331" t="s">
        <v>2828</v>
      </c>
      <c r="F4331" s="11" t="s">
        <v>2111</v>
      </c>
      <c r="G4331" s="8">
        <v>0</v>
      </c>
      <c r="H4331" s="8">
        <v>398.84</v>
      </c>
      <c r="I4331" s="8">
        <f t="shared" si="132"/>
        <v>-19519.210000000003</v>
      </c>
      <c r="J4331" s="12"/>
    </row>
    <row r="4332" spans="3:10" x14ac:dyDescent="0.3">
      <c r="C4332" s="9"/>
      <c r="D4332" s="10">
        <v>45876</v>
      </c>
      <c r="E4332" t="s">
        <v>2899</v>
      </c>
      <c r="F4332" s="11" t="s">
        <v>1796</v>
      </c>
      <c r="G4332" s="8">
        <v>0</v>
      </c>
      <c r="H4332" s="8">
        <v>63.47</v>
      </c>
      <c r="I4332" s="8">
        <f t="shared" si="132"/>
        <v>-19582.680000000004</v>
      </c>
      <c r="J4332" s="12"/>
    </row>
    <row r="4333" spans="3:10" x14ac:dyDescent="0.3">
      <c r="C4333" s="9"/>
      <c r="D4333" s="10">
        <v>45876</v>
      </c>
      <c r="E4333" t="s">
        <v>2899</v>
      </c>
      <c r="F4333" s="11" t="s">
        <v>1798</v>
      </c>
      <c r="G4333" s="8">
        <v>0</v>
      </c>
      <c r="H4333" s="8">
        <v>120.31</v>
      </c>
      <c r="I4333" s="8">
        <f t="shared" si="132"/>
        <v>-19702.990000000005</v>
      </c>
      <c r="J4333" s="12"/>
    </row>
    <row r="4334" spans="3:10" x14ac:dyDescent="0.3">
      <c r="C4334" s="9"/>
      <c r="D4334" s="10">
        <v>45876</v>
      </c>
      <c r="E4334" t="s">
        <v>2871</v>
      </c>
      <c r="F4334" s="11" t="s">
        <v>1374</v>
      </c>
      <c r="G4334" s="8">
        <v>0</v>
      </c>
      <c r="H4334" s="8">
        <v>79.239999999999995</v>
      </c>
      <c r="I4334" s="8">
        <f t="shared" si="132"/>
        <v>-19782.230000000007</v>
      </c>
      <c r="J4334" s="12"/>
    </row>
    <row r="4335" spans="3:10" x14ac:dyDescent="0.3">
      <c r="C4335" s="9"/>
      <c r="D4335" s="10">
        <v>45876</v>
      </c>
      <c r="E4335" t="s">
        <v>2771</v>
      </c>
      <c r="F4335" s="11" t="s">
        <v>1449</v>
      </c>
      <c r="G4335" s="8">
        <v>0</v>
      </c>
      <c r="H4335" s="8">
        <v>150.15</v>
      </c>
      <c r="I4335" s="8">
        <f t="shared" si="132"/>
        <v>-19932.380000000008</v>
      </c>
      <c r="J4335" s="12"/>
    </row>
    <row r="4336" spans="3:10" x14ac:dyDescent="0.3">
      <c r="C4336" s="9"/>
      <c r="D4336" s="10">
        <v>45876</v>
      </c>
      <c r="E4336" t="s">
        <v>2784</v>
      </c>
      <c r="F4336" s="11" t="s">
        <v>1075</v>
      </c>
      <c r="G4336" s="8">
        <v>0</v>
      </c>
      <c r="H4336" s="8">
        <v>28.35</v>
      </c>
      <c r="I4336" s="8">
        <f t="shared" si="132"/>
        <v>-19960.730000000007</v>
      </c>
      <c r="J4336" s="12"/>
    </row>
    <row r="4337" spans="3:10" x14ac:dyDescent="0.3">
      <c r="C4337" s="9"/>
      <c r="D4337" s="10">
        <v>45876</v>
      </c>
      <c r="E4337" t="s">
        <v>2783</v>
      </c>
      <c r="F4337" s="11" t="s">
        <v>1321</v>
      </c>
      <c r="G4337" s="8">
        <v>0</v>
      </c>
      <c r="H4337" s="8">
        <v>79.47</v>
      </c>
      <c r="I4337" s="8">
        <f t="shared" si="132"/>
        <v>-20040.200000000008</v>
      </c>
      <c r="J4337" s="12"/>
    </row>
    <row r="4338" spans="3:10" x14ac:dyDescent="0.3">
      <c r="C4338" s="9"/>
      <c r="D4338" s="10">
        <v>45876</v>
      </c>
      <c r="E4338" t="s">
        <v>2956</v>
      </c>
      <c r="F4338" s="11" t="s">
        <v>1099</v>
      </c>
      <c r="G4338" s="8">
        <v>0</v>
      </c>
      <c r="H4338" s="8">
        <v>70.81</v>
      </c>
      <c r="I4338" s="8">
        <f t="shared" si="132"/>
        <v>-20111.010000000009</v>
      </c>
      <c r="J4338" s="12"/>
    </row>
    <row r="4339" spans="3:10" x14ac:dyDescent="0.3">
      <c r="C4339" s="9"/>
      <c r="D4339" s="10">
        <v>45877</v>
      </c>
      <c r="E4339" t="s">
        <v>2846</v>
      </c>
      <c r="F4339" s="11" t="s">
        <v>1526</v>
      </c>
      <c r="G4339" s="8">
        <v>0</v>
      </c>
      <c r="H4339" s="8">
        <v>52.37</v>
      </c>
      <c r="I4339" s="8">
        <f t="shared" si="132"/>
        <v>-20163.380000000008</v>
      </c>
      <c r="J4339" s="12"/>
    </row>
    <row r="4340" spans="3:10" x14ac:dyDescent="0.3">
      <c r="C4340" s="9"/>
      <c r="D4340" s="10">
        <v>45877</v>
      </c>
      <c r="E4340" t="s">
        <v>3380</v>
      </c>
      <c r="F4340" s="11" t="s">
        <v>3381</v>
      </c>
      <c r="G4340" s="8">
        <v>0</v>
      </c>
      <c r="H4340" s="8">
        <v>64.92</v>
      </c>
      <c r="I4340" s="8">
        <f t="shared" si="132"/>
        <v>-20228.300000000007</v>
      </c>
      <c r="J4340" s="12"/>
    </row>
    <row r="4341" spans="3:10" x14ac:dyDescent="0.3">
      <c r="C4341" s="9"/>
      <c r="D4341" s="10">
        <v>45877</v>
      </c>
      <c r="E4341" t="s">
        <v>3079</v>
      </c>
      <c r="F4341" s="11" t="s">
        <v>3382</v>
      </c>
      <c r="G4341" s="8">
        <v>0</v>
      </c>
      <c r="H4341" s="8">
        <v>65.099999999999994</v>
      </c>
      <c r="I4341" s="8">
        <f t="shared" si="132"/>
        <v>-20293.400000000005</v>
      </c>
      <c r="J4341" s="12"/>
    </row>
    <row r="4342" spans="3:10" x14ac:dyDescent="0.3">
      <c r="C4342" s="9"/>
      <c r="D4342" s="10">
        <v>45880</v>
      </c>
      <c r="E4342" t="s">
        <v>2871</v>
      </c>
      <c r="F4342" s="11" t="s">
        <v>1376</v>
      </c>
      <c r="G4342" s="8">
        <v>0</v>
      </c>
      <c r="H4342" s="8">
        <v>33.6</v>
      </c>
      <c r="I4342" s="8">
        <f t="shared" si="132"/>
        <v>-20327.000000000004</v>
      </c>
      <c r="J4342" s="12"/>
    </row>
    <row r="4343" spans="3:10" x14ac:dyDescent="0.3">
      <c r="C4343" s="9"/>
      <c r="D4343" s="10">
        <v>45880</v>
      </c>
      <c r="E4343" t="s">
        <v>3291</v>
      </c>
      <c r="F4343" s="11" t="s">
        <v>3383</v>
      </c>
      <c r="G4343" s="8">
        <v>0</v>
      </c>
      <c r="H4343" s="8">
        <v>27.46</v>
      </c>
      <c r="I4343" s="8">
        <f t="shared" si="132"/>
        <v>-20354.460000000003</v>
      </c>
      <c r="J4343" s="12"/>
    </row>
    <row r="4344" spans="3:10" x14ac:dyDescent="0.3">
      <c r="C4344" s="9"/>
      <c r="D4344" s="10">
        <v>45880</v>
      </c>
      <c r="E4344" t="s">
        <v>3151</v>
      </c>
      <c r="F4344" s="11" t="s">
        <v>3384</v>
      </c>
      <c r="G4344" s="8">
        <v>0</v>
      </c>
      <c r="H4344" s="8">
        <v>77.239999999999995</v>
      </c>
      <c r="I4344" s="8">
        <f t="shared" si="132"/>
        <v>-20431.700000000004</v>
      </c>
      <c r="J4344" s="12"/>
    </row>
    <row r="4345" spans="3:10" x14ac:dyDescent="0.3">
      <c r="C4345" s="9"/>
      <c r="D4345" s="10">
        <v>45880</v>
      </c>
      <c r="E4345" t="s">
        <v>2738</v>
      </c>
      <c r="F4345" s="11" t="s">
        <v>3385</v>
      </c>
      <c r="G4345" s="8">
        <v>0</v>
      </c>
      <c r="H4345" s="8">
        <v>23.1</v>
      </c>
      <c r="I4345" s="8">
        <f t="shared" si="132"/>
        <v>-20454.800000000003</v>
      </c>
      <c r="J4345" s="12"/>
    </row>
    <row r="4346" spans="3:10" x14ac:dyDescent="0.3">
      <c r="C4346" s="9"/>
      <c r="D4346" s="10">
        <v>45880</v>
      </c>
      <c r="E4346" t="s">
        <v>2748</v>
      </c>
      <c r="F4346" s="11" t="s">
        <v>1582</v>
      </c>
      <c r="G4346" s="8">
        <v>0</v>
      </c>
      <c r="H4346" s="8">
        <v>73.989999999999995</v>
      </c>
      <c r="I4346" s="8">
        <f t="shared" si="132"/>
        <v>-20528.790000000005</v>
      </c>
      <c r="J4346" s="12"/>
    </row>
    <row r="4347" spans="3:10" x14ac:dyDescent="0.3">
      <c r="C4347" s="9"/>
      <c r="D4347" s="10">
        <v>45880</v>
      </c>
      <c r="E4347" t="s">
        <v>2831</v>
      </c>
      <c r="F4347" s="11" t="s">
        <v>2335</v>
      </c>
      <c r="G4347" s="8">
        <v>0</v>
      </c>
      <c r="H4347" s="8">
        <v>6.23</v>
      </c>
      <c r="I4347" s="8">
        <f t="shared" si="132"/>
        <v>-20535.020000000004</v>
      </c>
      <c r="J4347" s="12"/>
    </row>
    <row r="4348" spans="3:10" x14ac:dyDescent="0.3">
      <c r="C4348" s="9"/>
      <c r="D4348" s="10">
        <v>45880</v>
      </c>
      <c r="E4348" t="s">
        <v>2855</v>
      </c>
      <c r="F4348" s="11" t="s">
        <v>1921</v>
      </c>
      <c r="G4348" s="8">
        <v>0</v>
      </c>
      <c r="H4348" s="8">
        <v>40.659999999999997</v>
      </c>
      <c r="I4348" s="8">
        <f t="shared" si="132"/>
        <v>-20575.680000000004</v>
      </c>
      <c r="J4348" s="12"/>
    </row>
    <row r="4349" spans="3:10" x14ac:dyDescent="0.3">
      <c r="C4349" s="9"/>
      <c r="D4349" s="10">
        <v>45880</v>
      </c>
      <c r="E4349" t="s">
        <v>3037</v>
      </c>
      <c r="F4349" s="11" t="s">
        <v>2243</v>
      </c>
      <c r="G4349" s="8">
        <v>0</v>
      </c>
      <c r="H4349" s="8">
        <v>373.08</v>
      </c>
      <c r="I4349" s="8">
        <f t="shared" si="132"/>
        <v>-20948.760000000006</v>
      </c>
      <c r="J4349" s="12"/>
    </row>
    <row r="4350" spans="3:10" x14ac:dyDescent="0.3">
      <c r="C4350" s="9"/>
      <c r="D4350" s="10">
        <v>45881</v>
      </c>
      <c r="E4350" t="s">
        <v>3312</v>
      </c>
      <c r="F4350" s="11" t="s">
        <v>1173</v>
      </c>
      <c r="G4350" s="8">
        <v>0</v>
      </c>
      <c r="H4350" s="8">
        <v>-42.68</v>
      </c>
      <c r="I4350" s="8">
        <f t="shared" si="132"/>
        <v>-20906.080000000005</v>
      </c>
      <c r="J4350" s="12"/>
    </row>
    <row r="4351" spans="3:10" x14ac:dyDescent="0.3">
      <c r="C4351" s="9"/>
      <c r="D4351" s="10">
        <v>45881</v>
      </c>
      <c r="E4351" t="s">
        <v>3156</v>
      </c>
      <c r="F4351" s="11" t="s">
        <v>1342</v>
      </c>
      <c r="G4351" s="8">
        <v>0</v>
      </c>
      <c r="H4351" s="8">
        <v>33.6</v>
      </c>
      <c r="I4351" s="8">
        <f t="shared" si="132"/>
        <v>-20939.680000000004</v>
      </c>
      <c r="J4351" s="12"/>
    </row>
    <row r="4352" spans="3:10" x14ac:dyDescent="0.3">
      <c r="C4352" s="9"/>
      <c r="D4352" s="10">
        <v>45881</v>
      </c>
      <c r="E4352" t="s">
        <v>2783</v>
      </c>
      <c r="F4352" s="11" t="s">
        <v>1323</v>
      </c>
      <c r="G4352" s="8">
        <v>0</v>
      </c>
      <c r="H4352" s="8">
        <v>23.1</v>
      </c>
      <c r="I4352" s="8">
        <f t="shared" si="132"/>
        <v>-20962.780000000002</v>
      </c>
      <c r="J4352" s="12"/>
    </row>
    <row r="4353" spans="3:10" x14ac:dyDescent="0.3">
      <c r="C4353" s="9"/>
      <c r="D4353" s="10">
        <v>45881</v>
      </c>
      <c r="E4353" t="s">
        <v>2853</v>
      </c>
      <c r="F4353" s="11" t="s">
        <v>1206</v>
      </c>
      <c r="G4353" s="8">
        <v>0</v>
      </c>
      <c r="H4353" s="8">
        <v>42.68</v>
      </c>
      <c r="I4353" s="8">
        <f t="shared" si="132"/>
        <v>-21005.460000000003</v>
      </c>
      <c r="J4353" s="12"/>
    </row>
    <row r="4354" spans="3:10" x14ac:dyDescent="0.3">
      <c r="C4354" s="9"/>
      <c r="D4354" s="10">
        <v>45882</v>
      </c>
      <c r="E4354" t="s">
        <v>2743</v>
      </c>
      <c r="F4354" s="11" t="s">
        <v>2174</v>
      </c>
      <c r="G4354" s="8">
        <v>0</v>
      </c>
      <c r="H4354" s="8">
        <v>33.130000000000003</v>
      </c>
      <c r="I4354" s="8">
        <f t="shared" si="132"/>
        <v>-21038.590000000004</v>
      </c>
      <c r="J4354" s="12"/>
    </row>
    <row r="4355" spans="3:10" x14ac:dyDescent="0.3">
      <c r="C4355" s="9"/>
      <c r="D4355" s="10">
        <v>45882</v>
      </c>
      <c r="E4355" t="s">
        <v>2748</v>
      </c>
      <c r="F4355" s="11" t="s">
        <v>1584</v>
      </c>
      <c r="G4355" s="8">
        <v>0</v>
      </c>
      <c r="H4355" s="8">
        <v>50.66</v>
      </c>
      <c r="I4355" s="8">
        <f t="shared" si="132"/>
        <v>-21089.250000000004</v>
      </c>
      <c r="J4355" s="12"/>
    </row>
    <row r="4356" spans="3:10" x14ac:dyDescent="0.3">
      <c r="C4356" s="9"/>
      <c r="D4356" s="10">
        <v>45883</v>
      </c>
      <c r="E4356" t="s">
        <v>2748</v>
      </c>
      <c r="F4356" s="11" t="s">
        <v>1586</v>
      </c>
      <c r="G4356" s="8">
        <v>0</v>
      </c>
      <c r="H4356" s="8">
        <v>-73.989999999999995</v>
      </c>
      <c r="I4356" s="8">
        <f t="shared" si="132"/>
        <v>-21015.260000000002</v>
      </c>
      <c r="J4356" s="12"/>
    </row>
    <row r="4357" spans="3:10" x14ac:dyDescent="0.3">
      <c r="C4357" s="9"/>
      <c r="D4357" s="10">
        <v>45883</v>
      </c>
      <c r="E4357" t="s">
        <v>3386</v>
      </c>
      <c r="F4357" s="11" t="s">
        <v>3387</v>
      </c>
      <c r="G4357" s="8">
        <v>0</v>
      </c>
      <c r="H4357" s="8">
        <v>23.1</v>
      </c>
      <c r="I4357" s="8">
        <f t="shared" si="132"/>
        <v>-21038.36</v>
      </c>
      <c r="J4357" s="12"/>
    </row>
    <row r="4358" spans="3:10" x14ac:dyDescent="0.3">
      <c r="C4358" s="9"/>
      <c r="D4358" s="10">
        <v>45883</v>
      </c>
      <c r="E4358" t="s">
        <v>2811</v>
      </c>
      <c r="F4358" s="11" t="s">
        <v>1168</v>
      </c>
      <c r="G4358" s="8">
        <v>0</v>
      </c>
      <c r="H4358" s="8">
        <v>67.650000000000006</v>
      </c>
      <c r="I4358" s="8">
        <f t="shared" si="132"/>
        <v>-21106.010000000002</v>
      </c>
      <c r="J4358" s="12"/>
    </row>
    <row r="4359" spans="3:10" x14ac:dyDescent="0.3">
      <c r="C4359" s="9"/>
      <c r="D4359" s="10">
        <v>45883</v>
      </c>
      <c r="E4359" t="s">
        <v>3015</v>
      </c>
      <c r="F4359" s="11" t="s">
        <v>1870</v>
      </c>
      <c r="G4359" s="8">
        <v>0</v>
      </c>
      <c r="H4359" s="8">
        <v>27.3</v>
      </c>
      <c r="I4359" s="8">
        <f t="shared" si="132"/>
        <v>-21133.31</v>
      </c>
      <c r="J4359" s="12"/>
    </row>
    <row r="4360" spans="3:10" x14ac:dyDescent="0.3">
      <c r="C4360" s="9"/>
      <c r="D4360" s="10">
        <v>45883</v>
      </c>
      <c r="E4360" t="s">
        <v>2899</v>
      </c>
      <c r="F4360" s="11" t="s">
        <v>1800</v>
      </c>
      <c r="G4360" s="8">
        <v>0</v>
      </c>
      <c r="H4360" s="8">
        <v>52.99</v>
      </c>
      <c r="I4360" s="8">
        <f t="shared" si="132"/>
        <v>-21186.300000000003</v>
      </c>
      <c r="J4360" s="12"/>
    </row>
    <row r="4361" spans="3:10" x14ac:dyDescent="0.3">
      <c r="C4361" s="9"/>
      <c r="D4361" s="10">
        <v>45883</v>
      </c>
      <c r="E4361" t="s">
        <v>3388</v>
      </c>
      <c r="F4361" s="11" t="s">
        <v>1138</v>
      </c>
      <c r="G4361" s="8">
        <v>0</v>
      </c>
      <c r="H4361" s="8">
        <v>23.1</v>
      </c>
      <c r="I4361" s="8">
        <f t="shared" si="132"/>
        <v>-21209.4</v>
      </c>
      <c r="J4361" s="12"/>
    </row>
    <row r="4362" spans="3:10" x14ac:dyDescent="0.3">
      <c r="C4362" s="9"/>
      <c r="D4362" s="10">
        <v>45883</v>
      </c>
      <c r="E4362" t="s">
        <v>2877</v>
      </c>
      <c r="F4362" s="11" t="s">
        <v>2094</v>
      </c>
      <c r="G4362" s="8">
        <v>0</v>
      </c>
      <c r="H4362" s="8">
        <v>73.989999999999995</v>
      </c>
      <c r="I4362" s="8">
        <f t="shared" si="132"/>
        <v>-21283.390000000003</v>
      </c>
      <c r="J4362" s="12"/>
    </row>
    <row r="4363" spans="3:10" x14ac:dyDescent="0.3">
      <c r="C4363" s="9"/>
      <c r="D4363" s="10">
        <v>45883</v>
      </c>
      <c r="E4363" t="s">
        <v>2877</v>
      </c>
      <c r="F4363" s="11" t="s">
        <v>2096</v>
      </c>
      <c r="G4363" s="8">
        <v>0</v>
      </c>
      <c r="H4363" s="8">
        <v>33.85</v>
      </c>
      <c r="I4363" s="8">
        <f t="shared" ref="I4363:I4426" si="133">G4363-H4363+I4362</f>
        <v>-21317.24</v>
      </c>
      <c r="J4363" s="12"/>
    </row>
    <row r="4364" spans="3:10" x14ac:dyDescent="0.3">
      <c r="C4364" s="9"/>
      <c r="D4364" s="10">
        <v>45883</v>
      </c>
      <c r="E4364" t="s">
        <v>3316</v>
      </c>
      <c r="F4364" s="11" t="s">
        <v>1714</v>
      </c>
      <c r="G4364" s="8">
        <v>0</v>
      </c>
      <c r="H4364" s="8">
        <v>125.69</v>
      </c>
      <c r="I4364" s="8">
        <f t="shared" si="133"/>
        <v>-21442.93</v>
      </c>
      <c r="J4364" s="12"/>
    </row>
    <row r="4365" spans="3:10" x14ac:dyDescent="0.3">
      <c r="C4365" s="9"/>
      <c r="D4365" s="10">
        <v>45883</v>
      </c>
      <c r="E4365" t="s">
        <v>2785</v>
      </c>
      <c r="F4365" s="11" t="s">
        <v>3389</v>
      </c>
      <c r="G4365" s="8">
        <v>0</v>
      </c>
      <c r="H4365" s="8">
        <v>23.1</v>
      </c>
      <c r="I4365" s="8">
        <f t="shared" si="133"/>
        <v>-21466.03</v>
      </c>
      <c r="J4365" s="12"/>
    </row>
    <row r="4366" spans="3:10" x14ac:dyDescent="0.3">
      <c r="C4366" s="9"/>
      <c r="D4366" s="10">
        <v>45883</v>
      </c>
      <c r="E4366" t="s">
        <v>3199</v>
      </c>
      <c r="F4366" s="11" t="s">
        <v>3390</v>
      </c>
      <c r="G4366" s="8">
        <v>0</v>
      </c>
      <c r="H4366" s="8">
        <v>87.15</v>
      </c>
      <c r="I4366" s="8">
        <f t="shared" si="133"/>
        <v>-21553.18</v>
      </c>
      <c r="J4366" s="12"/>
    </row>
    <row r="4367" spans="3:10" x14ac:dyDescent="0.3">
      <c r="C4367" s="9"/>
      <c r="D4367" s="10">
        <v>45883</v>
      </c>
      <c r="E4367" t="s">
        <v>2770</v>
      </c>
      <c r="F4367" s="11" t="s">
        <v>2135</v>
      </c>
      <c r="G4367" s="8">
        <v>0</v>
      </c>
      <c r="H4367" s="8">
        <v>35.130000000000003</v>
      </c>
      <c r="I4367" s="8">
        <f t="shared" si="133"/>
        <v>-21588.31</v>
      </c>
      <c r="J4367" s="12"/>
    </row>
    <row r="4368" spans="3:10" x14ac:dyDescent="0.3">
      <c r="C4368" s="9"/>
      <c r="D4368" s="10">
        <v>45883</v>
      </c>
      <c r="E4368" t="s">
        <v>3391</v>
      </c>
      <c r="F4368" s="11" t="s">
        <v>3392</v>
      </c>
      <c r="G4368" s="8">
        <v>0</v>
      </c>
      <c r="H4368" s="8">
        <v>73.989999999999995</v>
      </c>
      <c r="I4368" s="8">
        <f t="shared" si="133"/>
        <v>-21662.300000000003</v>
      </c>
      <c r="J4368" s="12"/>
    </row>
    <row r="4369" spans="3:10" x14ac:dyDescent="0.3">
      <c r="C4369" s="9"/>
      <c r="D4369" s="10">
        <v>45888</v>
      </c>
      <c r="E4369" t="s">
        <v>3307</v>
      </c>
      <c r="F4369" s="11" t="s">
        <v>2186</v>
      </c>
      <c r="G4369" s="8">
        <v>0</v>
      </c>
      <c r="H4369" s="8">
        <v>23.1</v>
      </c>
      <c r="I4369" s="8">
        <f t="shared" si="133"/>
        <v>-21685.4</v>
      </c>
      <c r="J4369" s="12"/>
    </row>
    <row r="4370" spans="3:10" x14ac:dyDescent="0.3">
      <c r="C4370" s="9"/>
      <c r="D4370" s="10">
        <v>45888</v>
      </c>
      <c r="E4370" t="s">
        <v>2907</v>
      </c>
      <c r="F4370" s="11" t="s">
        <v>1936</v>
      </c>
      <c r="G4370" s="8">
        <v>0</v>
      </c>
      <c r="H4370" s="8">
        <v>67.42</v>
      </c>
      <c r="I4370" s="8">
        <f t="shared" si="133"/>
        <v>-21752.82</v>
      </c>
      <c r="J4370" s="12"/>
    </row>
    <row r="4371" spans="3:10" x14ac:dyDescent="0.3">
      <c r="C4371" s="9"/>
      <c r="D4371" s="10">
        <v>45888</v>
      </c>
      <c r="E4371" t="s">
        <v>3388</v>
      </c>
      <c r="F4371" s="11" t="s">
        <v>1140</v>
      </c>
      <c r="G4371" s="8">
        <v>0</v>
      </c>
      <c r="H4371" s="8">
        <v>23.1</v>
      </c>
      <c r="I4371" s="8">
        <f t="shared" si="133"/>
        <v>-21775.919999999998</v>
      </c>
      <c r="J4371" s="12"/>
    </row>
    <row r="4372" spans="3:10" x14ac:dyDescent="0.3">
      <c r="C4372" s="9"/>
      <c r="D4372" s="10">
        <v>45888</v>
      </c>
      <c r="E4372" t="s">
        <v>3393</v>
      </c>
      <c r="F4372" s="11" t="s">
        <v>1185</v>
      </c>
      <c r="G4372" s="8">
        <v>0</v>
      </c>
      <c r="H4372" s="8">
        <v>82.14</v>
      </c>
      <c r="I4372" s="8">
        <f t="shared" si="133"/>
        <v>-21858.059999999998</v>
      </c>
      <c r="J4372" s="12"/>
    </row>
    <row r="4373" spans="3:10" x14ac:dyDescent="0.3">
      <c r="C4373" s="9"/>
      <c r="D4373" s="10">
        <v>45889</v>
      </c>
      <c r="E4373" t="s">
        <v>3196</v>
      </c>
      <c r="F4373" s="11" t="s">
        <v>2205</v>
      </c>
      <c r="G4373" s="8">
        <v>0</v>
      </c>
      <c r="H4373" s="8">
        <v>423.92</v>
      </c>
      <c r="I4373" s="8">
        <f t="shared" si="133"/>
        <v>-22281.979999999996</v>
      </c>
      <c r="J4373" s="12"/>
    </row>
    <row r="4374" spans="3:10" x14ac:dyDescent="0.3">
      <c r="C4374" s="9"/>
      <c r="D4374" s="10">
        <v>45890</v>
      </c>
      <c r="E4374" t="s">
        <v>2794</v>
      </c>
      <c r="F4374" s="11" t="s">
        <v>1485</v>
      </c>
      <c r="G4374" s="8">
        <v>0</v>
      </c>
      <c r="H4374" s="8">
        <v>308.39999999999998</v>
      </c>
      <c r="I4374" s="8">
        <f t="shared" si="133"/>
        <v>-22590.379999999997</v>
      </c>
      <c r="J4374" s="12"/>
    </row>
    <row r="4375" spans="3:10" x14ac:dyDescent="0.3">
      <c r="C4375" s="9"/>
      <c r="D4375" s="10">
        <v>45890</v>
      </c>
      <c r="E4375" t="s">
        <v>2748</v>
      </c>
      <c r="F4375" s="11" t="s">
        <v>1588</v>
      </c>
      <c r="G4375" s="8">
        <v>0</v>
      </c>
      <c r="H4375" s="8">
        <v>73.989999999999995</v>
      </c>
      <c r="I4375" s="8">
        <f t="shared" si="133"/>
        <v>-22664.37</v>
      </c>
      <c r="J4375" s="12"/>
    </row>
    <row r="4376" spans="3:10" x14ac:dyDescent="0.3">
      <c r="C4376" s="9"/>
      <c r="D4376" s="10">
        <v>45890</v>
      </c>
      <c r="E4376" t="s">
        <v>2738</v>
      </c>
      <c r="F4376" s="11" t="s">
        <v>3394</v>
      </c>
      <c r="G4376" s="8">
        <v>0</v>
      </c>
      <c r="H4376" s="8">
        <v>23.1</v>
      </c>
      <c r="I4376" s="8">
        <f t="shared" si="133"/>
        <v>-22687.469999999998</v>
      </c>
      <c r="J4376" s="12"/>
    </row>
    <row r="4377" spans="3:10" x14ac:dyDescent="0.3">
      <c r="C4377" s="9"/>
      <c r="D4377" s="10">
        <v>45890</v>
      </c>
      <c r="E4377" t="s">
        <v>2780</v>
      </c>
      <c r="F4377" s="11" t="s">
        <v>1631</v>
      </c>
      <c r="G4377" s="8">
        <v>0</v>
      </c>
      <c r="H4377" s="8">
        <v>23.1</v>
      </c>
      <c r="I4377" s="8">
        <f t="shared" si="133"/>
        <v>-22710.569999999996</v>
      </c>
      <c r="J4377" s="12"/>
    </row>
    <row r="4378" spans="3:10" x14ac:dyDescent="0.3">
      <c r="C4378" s="9"/>
      <c r="D4378" s="10">
        <v>45894</v>
      </c>
      <c r="E4378" t="s">
        <v>3395</v>
      </c>
      <c r="F4378" s="11" t="s">
        <v>1683</v>
      </c>
      <c r="G4378" s="8">
        <v>0</v>
      </c>
      <c r="H4378" s="8">
        <v>210</v>
      </c>
      <c r="I4378" s="8">
        <f t="shared" si="133"/>
        <v>-22920.569999999996</v>
      </c>
      <c r="J4378" s="12"/>
    </row>
    <row r="4379" spans="3:10" x14ac:dyDescent="0.3">
      <c r="C4379" s="9"/>
      <c r="D4379" s="10">
        <v>45895</v>
      </c>
      <c r="E4379" t="s">
        <v>3207</v>
      </c>
      <c r="F4379" s="11" t="s">
        <v>1541</v>
      </c>
      <c r="G4379" s="8">
        <v>0</v>
      </c>
      <c r="H4379" s="8">
        <v>73.989999999999995</v>
      </c>
      <c r="I4379" s="8">
        <f t="shared" si="133"/>
        <v>-22994.559999999998</v>
      </c>
      <c r="J4379" s="12"/>
    </row>
    <row r="4380" spans="3:10" x14ac:dyDescent="0.3">
      <c r="C4380" s="9"/>
      <c r="D4380" s="10">
        <v>45895</v>
      </c>
      <c r="E4380" t="s">
        <v>2794</v>
      </c>
      <c r="F4380" s="11" t="s">
        <v>1487</v>
      </c>
      <c r="G4380" s="8">
        <v>0</v>
      </c>
      <c r="H4380" s="8">
        <v>438.06</v>
      </c>
      <c r="I4380" s="8">
        <f t="shared" si="133"/>
        <v>-23432.62</v>
      </c>
      <c r="J4380" s="12"/>
    </row>
    <row r="4381" spans="3:10" x14ac:dyDescent="0.3">
      <c r="C4381" s="9"/>
      <c r="D4381" s="10">
        <v>45895</v>
      </c>
      <c r="E4381" t="s">
        <v>2784</v>
      </c>
      <c r="F4381" s="11" t="s">
        <v>1077</v>
      </c>
      <c r="G4381" s="8">
        <v>0</v>
      </c>
      <c r="H4381" s="8">
        <v>53.15</v>
      </c>
      <c r="I4381" s="8">
        <f t="shared" si="133"/>
        <v>-23485.77</v>
      </c>
      <c r="J4381" s="12"/>
    </row>
    <row r="4382" spans="3:10" x14ac:dyDescent="0.3">
      <c r="C4382" s="9"/>
      <c r="D4382" s="10">
        <v>45895</v>
      </c>
      <c r="E4382" t="s">
        <v>3396</v>
      </c>
      <c r="F4382" s="11" t="s">
        <v>3397</v>
      </c>
      <c r="G4382" s="8">
        <v>0</v>
      </c>
      <c r="H4382" s="8">
        <v>45.15</v>
      </c>
      <c r="I4382" s="8">
        <f t="shared" si="133"/>
        <v>-23530.920000000002</v>
      </c>
      <c r="J4382" s="12"/>
    </row>
    <row r="4383" spans="3:10" x14ac:dyDescent="0.3">
      <c r="C4383" s="9"/>
      <c r="D4383" s="10">
        <v>45895</v>
      </c>
      <c r="E4383" t="s">
        <v>2771</v>
      </c>
      <c r="F4383" s="11" t="s">
        <v>1451</v>
      </c>
      <c r="G4383" s="8">
        <v>0</v>
      </c>
      <c r="H4383" s="8">
        <v>56.7</v>
      </c>
      <c r="I4383" s="8">
        <f t="shared" si="133"/>
        <v>-23587.620000000003</v>
      </c>
      <c r="J4383" s="12"/>
    </row>
    <row r="4384" spans="3:10" x14ac:dyDescent="0.3">
      <c r="C4384" s="9"/>
      <c r="D4384" s="10">
        <v>45895</v>
      </c>
      <c r="E4384" t="s">
        <v>3117</v>
      </c>
      <c r="F4384" s="11" t="s">
        <v>1512</v>
      </c>
      <c r="G4384" s="8">
        <v>0</v>
      </c>
      <c r="H4384" s="8">
        <v>23.1</v>
      </c>
      <c r="I4384" s="8">
        <f t="shared" si="133"/>
        <v>-23610.720000000001</v>
      </c>
      <c r="J4384" s="12"/>
    </row>
    <row r="4385" spans="3:10" x14ac:dyDescent="0.3">
      <c r="C4385" s="9"/>
      <c r="D4385" s="10">
        <v>45895</v>
      </c>
      <c r="E4385" t="s">
        <v>2956</v>
      </c>
      <c r="F4385" s="11" t="s">
        <v>1101</v>
      </c>
      <c r="G4385" s="8">
        <v>0</v>
      </c>
      <c r="H4385" s="8">
        <v>70.97</v>
      </c>
      <c r="I4385" s="8">
        <f t="shared" si="133"/>
        <v>-23681.690000000002</v>
      </c>
      <c r="J4385" s="12"/>
    </row>
    <row r="4386" spans="3:10" x14ac:dyDescent="0.3">
      <c r="C4386" s="9"/>
      <c r="D4386" s="10">
        <v>45895</v>
      </c>
      <c r="E4386" t="s">
        <v>3019</v>
      </c>
      <c r="F4386" s="11" t="s">
        <v>1745</v>
      </c>
      <c r="G4386" s="8">
        <v>0</v>
      </c>
      <c r="H4386" s="8">
        <v>23.1</v>
      </c>
      <c r="I4386" s="8">
        <f t="shared" si="133"/>
        <v>-23704.79</v>
      </c>
      <c r="J4386" s="12"/>
    </row>
    <row r="4387" spans="3:10" x14ac:dyDescent="0.3">
      <c r="C4387" s="9"/>
      <c r="D4387" s="10">
        <v>45895</v>
      </c>
      <c r="E4387" t="s">
        <v>2753</v>
      </c>
      <c r="F4387" s="11" t="s">
        <v>2214</v>
      </c>
      <c r="G4387" s="8">
        <v>0</v>
      </c>
      <c r="H4387" s="8">
        <v>43.29</v>
      </c>
      <c r="I4387" s="8">
        <f t="shared" si="133"/>
        <v>-23748.080000000002</v>
      </c>
      <c r="J4387" s="12"/>
    </row>
    <row r="4388" spans="3:10" x14ac:dyDescent="0.3">
      <c r="C4388" s="9"/>
      <c r="D4388" s="10">
        <v>45895</v>
      </c>
      <c r="E4388" t="s">
        <v>2794</v>
      </c>
      <c r="F4388" s="11" t="s">
        <v>1489</v>
      </c>
      <c r="G4388" s="8">
        <v>0</v>
      </c>
      <c r="H4388" s="8">
        <v>62.8</v>
      </c>
      <c r="I4388" s="8">
        <f t="shared" si="133"/>
        <v>-23810.880000000001</v>
      </c>
      <c r="J4388" s="12"/>
    </row>
    <row r="4389" spans="3:10" x14ac:dyDescent="0.3">
      <c r="C4389" s="9"/>
      <c r="D4389" s="10">
        <v>45895</v>
      </c>
      <c r="E4389" t="s">
        <v>2979</v>
      </c>
      <c r="F4389" s="11" t="s">
        <v>1888</v>
      </c>
      <c r="G4389" s="8">
        <v>0</v>
      </c>
      <c r="H4389" s="8">
        <v>520.92999999999995</v>
      </c>
      <c r="I4389" s="8">
        <f t="shared" si="133"/>
        <v>-24331.81</v>
      </c>
      <c r="J4389" s="12"/>
    </row>
    <row r="4390" spans="3:10" x14ac:dyDescent="0.3">
      <c r="C4390" s="9"/>
      <c r="D4390" s="10">
        <v>45895</v>
      </c>
      <c r="E4390" t="s">
        <v>3398</v>
      </c>
      <c r="F4390" s="11" t="s">
        <v>3399</v>
      </c>
      <c r="G4390" s="8">
        <v>0</v>
      </c>
      <c r="H4390" s="8">
        <v>24.54</v>
      </c>
      <c r="I4390" s="8">
        <f t="shared" si="133"/>
        <v>-24356.350000000002</v>
      </c>
      <c r="J4390" s="12"/>
    </row>
    <row r="4391" spans="3:10" x14ac:dyDescent="0.3">
      <c r="C4391" s="9"/>
      <c r="D4391" s="10">
        <v>45895</v>
      </c>
      <c r="E4391" t="s">
        <v>2803</v>
      </c>
      <c r="F4391" s="11" t="s">
        <v>1415</v>
      </c>
      <c r="G4391" s="8">
        <v>0</v>
      </c>
      <c r="H4391" s="8">
        <v>32.090000000000003</v>
      </c>
      <c r="I4391" s="8">
        <f t="shared" si="133"/>
        <v>-24388.440000000002</v>
      </c>
      <c r="J4391" s="12"/>
    </row>
    <row r="4392" spans="3:10" x14ac:dyDescent="0.3">
      <c r="C4392" s="9"/>
      <c r="D4392" s="10">
        <v>45895</v>
      </c>
      <c r="E4392" t="s">
        <v>2806</v>
      </c>
      <c r="F4392" s="11" t="s">
        <v>1260</v>
      </c>
      <c r="G4392" s="8">
        <v>0</v>
      </c>
      <c r="H4392" s="8">
        <v>53.68</v>
      </c>
      <c r="I4392" s="8">
        <f t="shared" si="133"/>
        <v>-24442.120000000003</v>
      </c>
      <c r="J4392" s="12"/>
    </row>
    <row r="4393" spans="3:10" x14ac:dyDescent="0.3">
      <c r="C4393" s="9"/>
      <c r="D4393" s="10">
        <v>45896</v>
      </c>
      <c r="E4393" t="s">
        <v>3398</v>
      </c>
      <c r="F4393" s="11" t="s">
        <v>3400</v>
      </c>
      <c r="G4393" s="8">
        <v>0</v>
      </c>
      <c r="H4393" s="8">
        <v>-24.54</v>
      </c>
      <c r="I4393" s="8">
        <f t="shared" si="133"/>
        <v>-24417.58</v>
      </c>
      <c r="J4393" s="12"/>
    </row>
    <row r="4394" spans="3:10" x14ac:dyDescent="0.3">
      <c r="C4394" s="9"/>
      <c r="D4394" s="10">
        <v>45896</v>
      </c>
      <c r="E4394" t="s">
        <v>2887</v>
      </c>
      <c r="F4394" s="11" t="s">
        <v>1221</v>
      </c>
      <c r="G4394" s="8">
        <v>0</v>
      </c>
      <c r="H4394" s="8">
        <v>243.93</v>
      </c>
      <c r="I4394" s="8">
        <f t="shared" si="133"/>
        <v>-24661.510000000002</v>
      </c>
      <c r="J4394" s="12"/>
    </row>
    <row r="4395" spans="3:10" x14ac:dyDescent="0.3">
      <c r="C4395" s="9"/>
      <c r="D4395" s="10">
        <v>45896</v>
      </c>
      <c r="E4395" t="s">
        <v>3367</v>
      </c>
      <c r="F4395" s="11" t="s">
        <v>3401</v>
      </c>
      <c r="G4395" s="8">
        <v>0</v>
      </c>
      <c r="H4395" s="8">
        <v>383.64</v>
      </c>
      <c r="I4395" s="8">
        <f t="shared" si="133"/>
        <v>-25045.15</v>
      </c>
      <c r="J4395" s="12"/>
    </row>
    <row r="4396" spans="3:10" x14ac:dyDescent="0.3">
      <c r="C4396" s="9"/>
      <c r="D4396" s="10">
        <v>45896</v>
      </c>
      <c r="E4396" t="s">
        <v>2926</v>
      </c>
      <c r="F4396" s="11" t="s">
        <v>2312</v>
      </c>
      <c r="G4396" s="8">
        <v>0</v>
      </c>
      <c r="H4396" s="8">
        <v>428.04</v>
      </c>
      <c r="I4396" s="8">
        <f t="shared" si="133"/>
        <v>-25473.190000000002</v>
      </c>
      <c r="J4396" s="12"/>
    </row>
    <row r="4397" spans="3:10" x14ac:dyDescent="0.3">
      <c r="C4397" s="9"/>
      <c r="D4397" s="10">
        <v>45896</v>
      </c>
      <c r="E4397" t="s">
        <v>2960</v>
      </c>
      <c r="F4397" s="11" t="s">
        <v>2407</v>
      </c>
      <c r="G4397" s="8">
        <v>0</v>
      </c>
      <c r="H4397" s="8">
        <v>24.54</v>
      </c>
      <c r="I4397" s="8">
        <f t="shared" si="133"/>
        <v>-25497.730000000003</v>
      </c>
      <c r="J4397" s="12"/>
    </row>
    <row r="4398" spans="3:10" x14ac:dyDescent="0.3">
      <c r="C4398" s="9"/>
      <c r="D4398" s="10">
        <v>45896</v>
      </c>
      <c r="E4398" t="s">
        <v>2766</v>
      </c>
      <c r="F4398" s="11" t="s">
        <v>3402</v>
      </c>
      <c r="G4398" s="8">
        <v>0</v>
      </c>
      <c r="H4398" s="8">
        <v>44.1</v>
      </c>
      <c r="I4398" s="8">
        <f t="shared" si="133"/>
        <v>-25541.83</v>
      </c>
      <c r="J4398" s="12"/>
    </row>
    <row r="4399" spans="3:10" x14ac:dyDescent="0.3">
      <c r="C4399" s="9"/>
      <c r="D4399" s="10">
        <v>45897</v>
      </c>
      <c r="E4399" t="s">
        <v>3403</v>
      </c>
      <c r="F4399" s="11" t="s">
        <v>2158</v>
      </c>
      <c r="G4399" s="8">
        <v>0</v>
      </c>
      <c r="H4399" s="8">
        <v>23.1</v>
      </c>
      <c r="I4399" s="8">
        <f t="shared" si="133"/>
        <v>-25564.93</v>
      </c>
      <c r="J4399" s="12"/>
    </row>
    <row r="4400" spans="3:10" x14ac:dyDescent="0.3">
      <c r="C4400" s="9"/>
      <c r="D4400" s="10">
        <v>45898</v>
      </c>
      <c r="E4400" t="s">
        <v>3201</v>
      </c>
      <c r="F4400" s="11" t="s">
        <v>1658</v>
      </c>
      <c r="G4400" s="8">
        <v>0</v>
      </c>
      <c r="H4400" s="8">
        <v>1017.45</v>
      </c>
      <c r="I4400" s="8">
        <f t="shared" si="133"/>
        <v>-26582.38</v>
      </c>
      <c r="J4400" s="12"/>
    </row>
    <row r="4401" spans="3:10" x14ac:dyDescent="0.3">
      <c r="C4401" s="9"/>
      <c r="D4401" s="10">
        <v>45900</v>
      </c>
      <c r="E4401" t="s">
        <v>3404</v>
      </c>
      <c r="F4401" s="11" t="s">
        <v>3405</v>
      </c>
      <c r="G4401" s="8">
        <v>0</v>
      </c>
      <c r="H4401" s="8">
        <v>39.9</v>
      </c>
      <c r="I4401" s="8">
        <f t="shared" si="133"/>
        <v>-26622.280000000002</v>
      </c>
      <c r="J4401" s="12"/>
    </row>
    <row r="4402" spans="3:10" x14ac:dyDescent="0.3">
      <c r="C4402" s="9"/>
      <c r="D4402" s="10">
        <v>45900</v>
      </c>
      <c r="E4402" t="s">
        <v>2887</v>
      </c>
      <c r="F4402" s="11" t="s">
        <v>1223</v>
      </c>
      <c r="G4402" s="8">
        <v>0</v>
      </c>
      <c r="H4402" s="8">
        <v>35.57</v>
      </c>
      <c r="I4402" s="8">
        <f t="shared" si="133"/>
        <v>-26657.850000000002</v>
      </c>
      <c r="J4402" s="12"/>
    </row>
    <row r="4403" spans="3:10" x14ac:dyDescent="0.3">
      <c r="C4403" s="9"/>
      <c r="D4403" s="10">
        <v>45900</v>
      </c>
      <c r="E4403" t="s">
        <v>2783</v>
      </c>
      <c r="F4403" s="11" t="s">
        <v>1325</v>
      </c>
      <c r="G4403" s="8">
        <v>0</v>
      </c>
      <c r="H4403" s="8">
        <v>244.81</v>
      </c>
      <c r="I4403" s="8">
        <f t="shared" si="133"/>
        <v>-26902.660000000003</v>
      </c>
      <c r="J4403" s="12"/>
    </row>
    <row r="4404" spans="3:10" x14ac:dyDescent="0.3">
      <c r="C4404" s="9"/>
      <c r="D4404" s="10">
        <v>45900</v>
      </c>
      <c r="E4404" t="s">
        <v>2907</v>
      </c>
      <c r="F4404" s="11" t="s">
        <v>1938</v>
      </c>
      <c r="G4404" s="8">
        <v>0</v>
      </c>
      <c r="H4404" s="8">
        <v>52.62</v>
      </c>
      <c r="I4404" s="8">
        <f t="shared" si="133"/>
        <v>-26955.280000000002</v>
      </c>
      <c r="J4404" s="12"/>
    </row>
    <row r="4405" spans="3:10" x14ac:dyDescent="0.3">
      <c r="C4405" s="9"/>
      <c r="D4405" s="10">
        <v>45900</v>
      </c>
      <c r="E4405" t="s">
        <v>2828</v>
      </c>
      <c r="F4405" s="11" t="s">
        <v>2113</v>
      </c>
      <c r="G4405" s="8">
        <v>0</v>
      </c>
      <c r="H4405" s="8">
        <v>38.67</v>
      </c>
      <c r="I4405" s="8">
        <f t="shared" si="133"/>
        <v>-26993.95</v>
      </c>
      <c r="J4405" s="12"/>
    </row>
    <row r="4406" spans="3:10" x14ac:dyDescent="0.3">
      <c r="C4406" s="9"/>
      <c r="D4406" s="10">
        <v>45900</v>
      </c>
      <c r="E4406" t="s">
        <v>2790</v>
      </c>
      <c r="F4406" s="11" t="s">
        <v>1983</v>
      </c>
      <c r="G4406" s="8">
        <v>0</v>
      </c>
      <c r="H4406" s="8">
        <v>79.3</v>
      </c>
      <c r="I4406" s="8">
        <f t="shared" si="133"/>
        <v>-27073.25</v>
      </c>
      <c r="J4406" s="12"/>
    </row>
    <row r="4407" spans="3:10" x14ac:dyDescent="0.3">
      <c r="C4407" s="9"/>
      <c r="D4407" s="10">
        <v>45900</v>
      </c>
      <c r="E4407" t="s">
        <v>3251</v>
      </c>
      <c r="F4407" s="11" t="s">
        <v>2274</v>
      </c>
      <c r="G4407" s="8">
        <v>0</v>
      </c>
      <c r="H4407" s="8">
        <v>231.53</v>
      </c>
      <c r="I4407" s="8">
        <f t="shared" si="133"/>
        <v>-27304.78</v>
      </c>
      <c r="J4407" s="12"/>
    </row>
    <row r="4408" spans="3:10" x14ac:dyDescent="0.3">
      <c r="C4408" s="9"/>
      <c r="D4408" s="10">
        <v>45900</v>
      </c>
      <c r="E4408" t="s">
        <v>3266</v>
      </c>
      <c r="F4408" s="11" t="s">
        <v>1856</v>
      </c>
      <c r="G4408" s="8">
        <v>0</v>
      </c>
      <c r="H4408" s="8">
        <v>23.1</v>
      </c>
      <c r="I4408" s="8">
        <f t="shared" si="133"/>
        <v>-27327.879999999997</v>
      </c>
      <c r="J4408" s="12"/>
    </row>
    <row r="4409" spans="3:10" x14ac:dyDescent="0.3">
      <c r="C4409" s="9"/>
      <c r="D4409" s="10">
        <v>45900</v>
      </c>
      <c r="E4409" t="s">
        <v>2975</v>
      </c>
      <c r="F4409" s="11" t="s">
        <v>2073</v>
      </c>
      <c r="G4409" s="8">
        <v>0</v>
      </c>
      <c r="H4409" s="8">
        <v>74.05</v>
      </c>
      <c r="I4409" s="8">
        <f t="shared" si="133"/>
        <v>-27401.929999999997</v>
      </c>
      <c r="J4409" s="12"/>
    </row>
    <row r="4410" spans="3:10" x14ac:dyDescent="0.3">
      <c r="C4410" s="9"/>
      <c r="D4410" s="10">
        <v>45900</v>
      </c>
      <c r="E4410" t="s">
        <v>2937</v>
      </c>
      <c r="F4410" s="11" t="s">
        <v>1879</v>
      </c>
      <c r="G4410" s="8">
        <v>0</v>
      </c>
      <c r="H4410" s="8">
        <v>44.61</v>
      </c>
      <c r="I4410" s="8">
        <f t="shared" si="133"/>
        <v>-27446.539999999997</v>
      </c>
      <c r="J4410" s="12"/>
    </row>
    <row r="4411" spans="3:10" x14ac:dyDescent="0.3">
      <c r="C4411" s="9"/>
      <c r="D4411" s="10">
        <v>45900</v>
      </c>
      <c r="E4411" t="s">
        <v>3234</v>
      </c>
      <c r="F4411" s="11" t="s">
        <v>1992</v>
      </c>
      <c r="G4411" s="8">
        <v>0</v>
      </c>
      <c r="H4411" s="8">
        <v>74.06</v>
      </c>
      <c r="I4411" s="8">
        <f t="shared" si="133"/>
        <v>-27520.6</v>
      </c>
      <c r="J4411" s="12"/>
    </row>
    <row r="4412" spans="3:10" x14ac:dyDescent="0.3">
      <c r="C4412" s="9"/>
      <c r="D4412" s="10">
        <v>45900</v>
      </c>
      <c r="E4412" t="s">
        <v>2898</v>
      </c>
      <c r="F4412" s="11" t="s">
        <v>2227</v>
      </c>
      <c r="G4412" s="8">
        <v>0</v>
      </c>
      <c r="H4412" s="8">
        <v>34.65</v>
      </c>
      <c r="I4412" s="8">
        <f t="shared" si="133"/>
        <v>-27555.25</v>
      </c>
      <c r="J4412" s="12"/>
    </row>
    <row r="4413" spans="3:10" x14ac:dyDescent="0.3">
      <c r="C4413" s="9"/>
      <c r="D4413" s="10">
        <v>45900</v>
      </c>
      <c r="E4413" t="s">
        <v>2749</v>
      </c>
      <c r="F4413" s="11" t="s">
        <v>3406</v>
      </c>
      <c r="G4413" s="8">
        <v>0</v>
      </c>
      <c r="H4413" s="8">
        <v>32.729999999999997</v>
      </c>
      <c r="I4413" s="8">
        <f t="shared" si="133"/>
        <v>-27587.98</v>
      </c>
      <c r="J4413" s="12"/>
    </row>
    <row r="4414" spans="3:10" x14ac:dyDescent="0.3">
      <c r="C4414" s="9"/>
      <c r="D4414" s="10">
        <v>45900</v>
      </c>
      <c r="E4414" t="s">
        <v>2862</v>
      </c>
      <c r="F4414" s="11" t="s">
        <v>2261</v>
      </c>
      <c r="G4414" s="8">
        <v>0</v>
      </c>
      <c r="H4414" s="8">
        <v>22.05</v>
      </c>
      <c r="I4414" s="8">
        <f t="shared" si="133"/>
        <v>-27610.03</v>
      </c>
      <c r="J4414" s="12"/>
    </row>
    <row r="4415" spans="3:10" x14ac:dyDescent="0.3">
      <c r="C4415" s="9"/>
      <c r="D4415" s="10">
        <v>45900</v>
      </c>
      <c r="E4415" t="s">
        <v>3207</v>
      </c>
      <c r="F4415" s="11" t="s">
        <v>1543</v>
      </c>
      <c r="G4415" s="8">
        <v>0</v>
      </c>
      <c r="H4415" s="8">
        <v>33.130000000000003</v>
      </c>
      <c r="I4415" s="8">
        <f t="shared" si="133"/>
        <v>-27643.16</v>
      </c>
      <c r="J4415" s="12"/>
    </row>
    <row r="4416" spans="3:10" x14ac:dyDescent="0.3">
      <c r="C4416" s="9"/>
      <c r="D4416" s="10">
        <v>45900</v>
      </c>
      <c r="E4416" t="s">
        <v>2735</v>
      </c>
      <c r="F4416" s="11" t="s">
        <v>1774</v>
      </c>
      <c r="G4416" s="8">
        <v>0</v>
      </c>
      <c r="H4416" s="8">
        <v>23.1</v>
      </c>
      <c r="I4416" s="8">
        <f t="shared" si="133"/>
        <v>-27666.26</v>
      </c>
      <c r="J4416" s="12"/>
    </row>
    <row r="4417" spans="3:10" x14ac:dyDescent="0.3">
      <c r="C4417" s="9"/>
      <c r="D4417" s="10">
        <v>45900</v>
      </c>
      <c r="E4417" t="s">
        <v>3019</v>
      </c>
      <c r="F4417" s="11" t="s">
        <v>1747</v>
      </c>
      <c r="G4417" s="8">
        <v>0</v>
      </c>
      <c r="H4417" s="8">
        <v>44.07</v>
      </c>
      <c r="I4417" s="8">
        <f t="shared" si="133"/>
        <v>-27710.329999999998</v>
      </c>
      <c r="J4417" s="12"/>
    </row>
    <row r="4418" spans="3:10" x14ac:dyDescent="0.3">
      <c r="C4418" s="9"/>
      <c r="D4418" s="10">
        <v>45900</v>
      </c>
      <c r="E4418" t="s">
        <v>2831</v>
      </c>
      <c r="F4418" s="11" t="s">
        <v>2337</v>
      </c>
      <c r="G4418" s="8">
        <v>0</v>
      </c>
      <c r="H4418" s="8">
        <v>57.25</v>
      </c>
      <c r="I4418" s="8">
        <f t="shared" si="133"/>
        <v>-27767.579999999998</v>
      </c>
      <c r="J4418" s="12"/>
    </row>
    <row r="4419" spans="3:10" x14ac:dyDescent="0.3">
      <c r="C4419" s="9"/>
      <c r="D4419" s="10">
        <v>45901</v>
      </c>
      <c r="E4419" t="s">
        <v>3038</v>
      </c>
      <c r="F4419" s="11" t="s">
        <v>2123</v>
      </c>
      <c r="G4419" s="8">
        <v>0</v>
      </c>
      <c r="H4419" s="8">
        <v>23.1</v>
      </c>
      <c r="I4419" s="8">
        <f t="shared" si="133"/>
        <v>-27790.679999999997</v>
      </c>
      <c r="J4419" s="12"/>
    </row>
    <row r="4420" spans="3:10" x14ac:dyDescent="0.3">
      <c r="C4420" s="9"/>
      <c r="D4420" s="10">
        <v>45901</v>
      </c>
      <c r="E4420" t="s">
        <v>2854</v>
      </c>
      <c r="F4420" s="11" t="s">
        <v>1236</v>
      </c>
      <c r="G4420" s="8">
        <v>0</v>
      </c>
      <c r="H4420" s="8">
        <v>29.4</v>
      </c>
      <c r="I4420" s="8">
        <f t="shared" si="133"/>
        <v>-27820.079999999998</v>
      </c>
      <c r="J4420" s="12"/>
    </row>
    <row r="4421" spans="3:10" x14ac:dyDescent="0.3">
      <c r="C4421" s="9"/>
      <c r="D4421" s="10">
        <v>45902</v>
      </c>
      <c r="E4421" t="s">
        <v>2952</v>
      </c>
      <c r="F4421" s="11" t="s">
        <v>3407</v>
      </c>
      <c r="G4421" s="8">
        <v>0</v>
      </c>
      <c r="H4421" s="8">
        <v>177.77</v>
      </c>
      <c r="I4421" s="8">
        <f t="shared" si="133"/>
        <v>-27997.85</v>
      </c>
      <c r="J4421" s="12"/>
    </row>
    <row r="4422" spans="3:10" x14ac:dyDescent="0.3">
      <c r="C4422" s="9"/>
      <c r="D4422" s="10">
        <v>45902</v>
      </c>
      <c r="E4422" t="s">
        <v>3151</v>
      </c>
      <c r="F4422" s="11" t="s">
        <v>3408</v>
      </c>
      <c r="G4422" s="8">
        <v>0</v>
      </c>
      <c r="H4422" s="8">
        <v>35</v>
      </c>
      <c r="I4422" s="8">
        <f t="shared" si="133"/>
        <v>-28032.85</v>
      </c>
      <c r="J4422" s="12"/>
    </row>
    <row r="4423" spans="3:10" x14ac:dyDescent="0.3">
      <c r="C4423" s="9"/>
      <c r="D4423" s="10">
        <v>45902</v>
      </c>
      <c r="E4423" t="s">
        <v>2803</v>
      </c>
      <c r="F4423" s="11" t="s">
        <v>1417</v>
      </c>
      <c r="G4423" s="8">
        <v>0</v>
      </c>
      <c r="H4423" s="8">
        <v>35.69</v>
      </c>
      <c r="I4423" s="8">
        <f t="shared" si="133"/>
        <v>-28068.539999999997</v>
      </c>
      <c r="J4423" s="12"/>
    </row>
    <row r="4424" spans="3:10" x14ac:dyDescent="0.3">
      <c r="C4424" s="9"/>
      <c r="D4424" s="10">
        <v>45902</v>
      </c>
      <c r="E4424" t="s">
        <v>2931</v>
      </c>
      <c r="F4424" s="11" t="s">
        <v>3409</v>
      </c>
      <c r="G4424" s="8">
        <v>0</v>
      </c>
      <c r="H4424" s="8">
        <v>23.1</v>
      </c>
      <c r="I4424" s="8">
        <f t="shared" si="133"/>
        <v>-28091.639999999996</v>
      </c>
      <c r="J4424" s="12"/>
    </row>
    <row r="4425" spans="3:10" x14ac:dyDescent="0.3">
      <c r="C4425" s="9"/>
      <c r="D4425" s="10">
        <v>45903</v>
      </c>
      <c r="E4425" t="s">
        <v>3092</v>
      </c>
      <c r="F4425" s="11" t="s">
        <v>1641</v>
      </c>
      <c r="G4425" s="8">
        <v>0</v>
      </c>
      <c r="H4425" s="8">
        <v>28.74</v>
      </c>
      <c r="I4425" s="8">
        <f t="shared" si="133"/>
        <v>-28120.379999999997</v>
      </c>
      <c r="J4425" s="12"/>
    </row>
    <row r="4426" spans="3:10" x14ac:dyDescent="0.3">
      <c r="C4426" s="9"/>
      <c r="D4426" s="10">
        <v>45903</v>
      </c>
      <c r="E4426" t="s">
        <v>2975</v>
      </c>
      <c r="F4426" s="11" t="s">
        <v>2075</v>
      </c>
      <c r="G4426" s="8">
        <v>0</v>
      </c>
      <c r="H4426" s="8">
        <v>26.49</v>
      </c>
      <c r="I4426" s="8">
        <f t="shared" si="133"/>
        <v>-28146.87</v>
      </c>
      <c r="J4426" s="12"/>
    </row>
    <row r="4427" spans="3:10" x14ac:dyDescent="0.3">
      <c r="C4427" s="9"/>
      <c r="D4427" s="10">
        <v>45903</v>
      </c>
      <c r="E4427" t="s">
        <v>2899</v>
      </c>
      <c r="F4427" s="11" t="s">
        <v>1802</v>
      </c>
      <c r="G4427" s="8">
        <v>0</v>
      </c>
      <c r="H4427" s="8">
        <v>95.32</v>
      </c>
      <c r="I4427" s="8">
        <f t="shared" ref="I4427:I4490" si="134">G4427-H4427+I4426</f>
        <v>-28242.19</v>
      </c>
      <c r="J4427" s="12"/>
    </row>
    <row r="4428" spans="3:10" x14ac:dyDescent="0.3">
      <c r="C4428" s="9"/>
      <c r="D4428" s="10">
        <v>45903</v>
      </c>
      <c r="E4428" t="s">
        <v>2937</v>
      </c>
      <c r="F4428" s="11" t="s">
        <v>1881</v>
      </c>
      <c r="G4428" s="8">
        <v>0</v>
      </c>
      <c r="H4428" s="8">
        <v>164.72</v>
      </c>
      <c r="I4428" s="8">
        <f t="shared" si="134"/>
        <v>-28406.91</v>
      </c>
      <c r="J4428" s="12"/>
    </row>
    <row r="4429" spans="3:10" x14ac:dyDescent="0.3">
      <c r="C4429" s="9"/>
      <c r="D4429" s="10">
        <v>45904</v>
      </c>
      <c r="E4429" t="s">
        <v>3042</v>
      </c>
      <c r="F4429" s="11" t="s">
        <v>1599</v>
      </c>
      <c r="G4429" s="8">
        <v>0</v>
      </c>
      <c r="H4429" s="8">
        <v>51.23</v>
      </c>
      <c r="I4429" s="8">
        <f t="shared" si="134"/>
        <v>-28458.14</v>
      </c>
      <c r="J4429" s="12"/>
    </row>
    <row r="4430" spans="3:10" x14ac:dyDescent="0.3">
      <c r="C4430" s="9"/>
      <c r="D4430" s="10">
        <v>45904</v>
      </c>
      <c r="E4430" t="s">
        <v>2975</v>
      </c>
      <c r="F4430" s="11" t="s">
        <v>2077</v>
      </c>
      <c r="G4430" s="8">
        <v>0</v>
      </c>
      <c r="H4430" s="8">
        <v>26.49</v>
      </c>
      <c r="I4430" s="8">
        <f t="shared" si="134"/>
        <v>-28484.63</v>
      </c>
      <c r="J4430" s="12"/>
    </row>
    <row r="4431" spans="3:10" x14ac:dyDescent="0.3">
      <c r="C4431" s="9"/>
      <c r="D4431" s="10">
        <v>45904</v>
      </c>
      <c r="E4431" t="s">
        <v>3410</v>
      </c>
      <c r="F4431" s="11" t="s">
        <v>3411</v>
      </c>
      <c r="G4431" s="8">
        <v>0</v>
      </c>
      <c r="H4431" s="8">
        <v>23.1</v>
      </c>
      <c r="I4431" s="8">
        <f t="shared" si="134"/>
        <v>-28507.73</v>
      </c>
      <c r="J4431" s="12"/>
    </row>
    <row r="4432" spans="3:10" x14ac:dyDescent="0.3">
      <c r="C4432" s="9"/>
      <c r="D4432" s="10">
        <v>45905</v>
      </c>
      <c r="E4432" t="s">
        <v>3253</v>
      </c>
      <c r="F4432" s="11" t="s">
        <v>432</v>
      </c>
      <c r="G4432" s="8">
        <v>0</v>
      </c>
      <c r="H4432" s="8">
        <v>20.37</v>
      </c>
      <c r="I4432" s="8">
        <f t="shared" si="134"/>
        <v>-28528.1</v>
      </c>
      <c r="J4432" s="12"/>
    </row>
    <row r="4433" spans="3:10" x14ac:dyDescent="0.3">
      <c r="C4433" s="9"/>
      <c r="D4433" s="10">
        <v>45905</v>
      </c>
      <c r="E4433" t="s">
        <v>2847</v>
      </c>
      <c r="F4433" s="11" t="s">
        <v>1124</v>
      </c>
      <c r="G4433" s="8">
        <v>0</v>
      </c>
      <c r="H4433" s="8">
        <v>108.75</v>
      </c>
      <c r="I4433" s="8">
        <f t="shared" si="134"/>
        <v>-28636.85</v>
      </c>
      <c r="J4433" s="12"/>
    </row>
    <row r="4434" spans="3:10" x14ac:dyDescent="0.3">
      <c r="C4434" s="9"/>
      <c r="D4434" s="10">
        <v>45905</v>
      </c>
      <c r="E4434" t="s">
        <v>2790</v>
      </c>
      <c r="F4434" s="11" t="s">
        <v>1985</v>
      </c>
      <c r="G4434" s="8">
        <v>0</v>
      </c>
      <c r="H4434" s="8">
        <v>23.1</v>
      </c>
      <c r="I4434" s="8">
        <f t="shared" si="134"/>
        <v>-28659.949999999997</v>
      </c>
      <c r="J4434" s="12"/>
    </row>
    <row r="4435" spans="3:10" x14ac:dyDescent="0.3">
      <c r="C4435" s="9"/>
      <c r="D4435" s="10">
        <v>45905</v>
      </c>
      <c r="E4435" t="s">
        <v>3163</v>
      </c>
      <c r="F4435" s="11" t="s">
        <v>1133</v>
      </c>
      <c r="G4435" s="8">
        <v>0</v>
      </c>
      <c r="H4435" s="8">
        <v>42.77</v>
      </c>
      <c r="I4435" s="8">
        <f t="shared" si="134"/>
        <v>-28702.719999999998</v>
      </c>
      <c r="J4435" s="12"/>
    </row>
    <row r="4436" spans="3:10" x14ac:dyDescent="0.3">
      <c r="C4436" s="9"/>
      <c r="D4436" s="10">
        <v>45905</v>
      </c>
      <c r="E4436" t="s">
        <v>3412</v>
      </c>
      <c r="F4436" s="11" t="s">
        <v>2410</v>
      </c>
      <c r="G4436" s="8">
        <v>0</v>
      </c>
      <c r="H4436" s="8">
        <v>59.41</v>
      </c>
      <c r="I4436" s="8">
        <f t="shared" si="134"/>
        <v>-28762.129999999997</v>
      </c>
      <c r="J4436" s="12"/>
    </row>
    <row r="4437" spans="3:10" x14ac:dyDescent="0.3">
      <c r="C4437" s="9"/>
      <c r="D4437" s="10">
        <v>45905</v>
      </c>
      <c r="E4437" t="s">
        <v>2784</v>
      </c>
      <c r="F4437" s="11" t="s">
        <v>1079</v>
      </c>
      <c r="G4437" s="8">
        <v>0</v>
      </c>
      <c r="H4437" s="8">
        <v>107.38</v>
      </c>
      <c r="I4437" s="8">
        <f t="shared" si="134"/>
        <v>-28869.51</v>
      </c>
      <c r="J4437" s="12"/>
    </row>
    <row r="4438" spans="3:10" x14ac:dyDescent="0.3">
      <c r="C4438" s="9"/>
      <c r="D4438" s="10">
        <v>45905</v>
      </c>
      <c r="E4438" t="s">
        <v>2783</v>
      </c>
      <c r="F4438" s="11" t="s">
        <v>1327</v>
      </c>
      <c r="G4438" s="8">
        <v>0</v>
      </c>
      <c r="H4438" s="8">
        <v>6.09</v>
      </c>
      <c r="I4438" s="8">
        <f t="shared" si="134"/>
        <v>-28875.599999999999</v>
      </c>
      <c r="J4438" s="12"/>
    </row>
    <row r="4439" spans="3:10" x14ac:dyDescent="0.3">
      <c r="C4439" s="9"/>
      <c r="D4439" s="10">
        <v>45905</v>
      </c>
      <c r="E4439" t="s">
        <v>2907</v>
      </c>
      <c r="F4439" s="11" t="s">
        <v>1940</v>
      </c>
      <c r="G4439" s="8">
        <v>0</v>
      </c>
      <c r="H4439" s="8">
        <v>56.29</v>
      </c>
      <c r="I4439" s="8">
        <f t="shared" si="134"/>
        <v>-28931.89</v>
      </c>
      <c r="J4439" s="12"/>
    </row>
    <row r="4440" spans="3:10" x14ac:dyDescent="0.3">
      <c r="C4440" s="9"/>
      <c r="D4440" s="10">
        <v>45905</v>
      </c>
      <c r="E4440" t="s">
        <v>3413</v>
      </c>
      <c r="F4440" s="11" t="s">
        <v>3414</v>
      </c>
      <c r="G4440" s="8">
        <v>0</v>
      </c>
      <c r="H4440" s="8">
        <v>45.33</v>
      </c>
      <c r="I4440" s="8">
        <f t="shared" si="134"/>
        <v>-28977.22</v>
      </c>
      <c r="J4440" s="12"/>
    </row>
    <row r="4441" spans="3:10" x14ac:dyDescent="0.3">
      <c r="C4441" s="9"/>
      <c r="D4441" s="10">
        <v>45905</v>
      </c>
      <c r="E4441" t="s">
        <v>2975</v>
      </c>
      <c r="F4441" s="11" t="s">
        <v>2079</v>
      </c>
      <c r="G4441" s="8">
        <v>0</v>
      </c>
      <c r="H4441" s="8">
        <v>-26.49</v>
      </c>
      <c r="I4441" s="8">
        <f t="shared" si="134"/>
        <v>-28950.73</v>
      </c>
      <c r="J4441" s="12"/>
    </row>
    <row r="4442" spans="3:10" x14ac:dyDescent="0.3">
      <c r="C4442" s="9"/>
      <c r="D4442" s="10">
        <v>45909</v>
      </c>
      <c r="E4442" t="s">
        <v>2871</v>
      </c>
      <c r="F4442" s="11" t="s">
        <v>1379</v>
      </c>
      <c r="G4442" s="8">
        <v>0</v>
      </c>
      <c r="H4442" s="8">
        <v>-45.84</v>
      </c>
      <c r="I4442" s="8">
        <f t="shared" si="134"/>
        <v>-28904.89</v>
      </c>
      <c r="J4442" s="12"/>
    </row>
    <row r="4443" spans="3:10" x14ac:dyDescent="0.3">
      <c r="C4443" s="9"/>
      <c r="D4443" s="10">
        <v>45909</v>
      </c>
      <c r="E4443" t="s">
        <v>2871</v>
      </c>
      <c r="F4443" s="11" t="s">
        <v>1381</v>
      </c>
      <c r="G4443" s="8">
        <v>0</v>
      </c>
      <c r="H4443" s="8">
        <v>45.84</v>
      </c>
      <c r="I4443" s="8">
        <f t="shared" si="134"/>
        <v>-28950.73</v>
      </c>
      <c r="J4443" s="12"/>
    </row>
    <row r="4444" spans="3:10" x14ac:dyDescent="0.3">
      <c r="C4444" s="9"/>
      <c r="D4444" s="10">
        <v>45909</v>
      </c>
      <c r="E4444" t="s">
        <v>2905</v>
      </c>
      <c r="F4444" s="11" t="s">
        <v>3415</v>
      </c>
      <c r="G4444" s="8">
        <v>0</v>
      </c>
      <c r="H4444" s="8">
        <v>315.82</v>
      </c>
      <c r="I4444" s="8">
        <f t="shared" si="134"/>
        <v>-29266.55</v>
      </c>
      <c r="J4444" s="12"/>
    </row>
    <row r="4445" spans="3:10" x14ac:dyDescent="0.3">
      <c r="C4445" s="9"/>
      <c r="D4445" s="10">
        <v>45909</v>
      </c>
      <c r="E4445" t="s">
        <v>2871</v>
      </c>
      <c r="F4445" s="11" t="s">
        <v>1383</v>
      </c>
      <c r="G4445" s="8">
        <v>0</v>
      </c>
      <c r="H4445" s="8">
        <v>45.84</v>
      </c>
      <c r="I4445" s="8">
        <f t="shared" si="134"/>
        <v>-29312.39</v>
      </c>
      <c r="J4445" s="12"/>
    </row>
    <row r="4446" spans="3:10" x14ac:dyDescent="0.3">
      <c r="C4446" s="9"/>
      <c r="D4446" s="10">
        <v>45909</v>
      </c>
      <c r="E4446" t="s">
        <v>2735</v>
      </c>
      <c r="F4446" s="11" t="s">
        <v>1776</v>
      </c>
      <c r="G4446" s="8">
        <v>0</v>
      </c>
      <c r="H4446" s="8">
        <v>88.23</v>
      </c>
      <c r="I4446" s="8">
        <f t="shared" si="134"/>
        <v>-29400.62</v>
      </c>
      <c r="J4446" s="12"/>
    </row>
    <row r="4447" spans="3:10" x14ac:dyDescent="0.3">
      <c r="C4447" s="9"/>
      <c r="D4447" s="10">
        <v>45909</v>
      </c>
      <c r="E4447" t="s">
        <v>2926</v>
      </c>
      <c r="F4447" s="11" t="s">
        <v>2314</v>
      </c>
      <c r="G4447" s="8">
        <v>0</v>
      </c>
      <c r="H4447" s="8">
        <v>30.79</v>
      </c>
      <c r="I4447" s="8">
        <f t="shared" si="134"/>
        <v>-29431.41</v>
      </c>
      <c r="J4447" s="12"/>
    </row>
    <row r="4448" spans="3:10" x14ac:dyDescent="0.3">
      <c r="C4448" s="9"/>
      <c r="D4448" s="10">
        <v>45909</v>
      </c>
      <c r="E4448" t="s">
        <v>2771</v>
      </c>
      <c r="F4448" s="11" t="s">
        <v>1454</v>
      </c>
      <c r="G4448" s="8">
        <v>0</v>
      </c>
      <c r="H4448" s="8">
        <v>114.32</v>
      </c>
      <c r="I4448" s="8">
        <f t="shared" si="134"/>
        <v>-29545.73</v>
      </c>
      <c r="J4448" s="12"/>
    </row>
    <row r="4449" spans="3:10" x14ac:dyDescent="0.3">
      <c r="C4449" s="9"/>
      <c r="D4449" s="10">
        <v>45909</v>
      </c>
      <c r="E4449" t="s">
        <v>3256</v>
      </c>
      <c r="F4449" s="11" t="s">
        <v>1861</v>
      </c>
      <c r="G4449" s="8">
        <v>0</v>
      </c>
      <c r="H4449" s="8">
        <v>68.25</v>
      </c>
      <c r="I4449" s="8">
        <f t="shared" si="134"/>
        <v>-29613.98</v>
      </c>
      <c r="J4449" s="12"/>
    </row>
    <row r="4450" spans="3:10" x14ac:dyDescent="0.3">
      <c r="C4450" s="9"/>
      <c r="D4450" s="10">
        <v>45910</v>
      </c>
      <c r="E4450" t="s">
        <v>2914</v>
      </c>
      <c r="F4450" s="11" t="s">
        <v>2177</v>
      </c>
      <c r="G4450" s="8">
        <v>0</v>
      </c>
      <c r="H4450" s="8">
        <v>23.1</v>
      </c>
      <c r="I4450" s="8">
        <f t="shared" si="134"/>
        <v>-29637.079999999998</v>
      </c>
      <c r="J4450" s="12"/>
    </row>
    <row r="4451" spans="3:10" x14ac:dyDescent="0.3">
      <c r="C4451" s="9"/>
      <c r="D4451" s="10">
        <v>45912</v>
      </c>
      <c r="E4451" t="s">
        <v>3416</v>
      </c>
      <c r="F4451" s="11" t="s">
        <v>2246</v>
      </c>
      <c r="G4451" s="8">
        <v>0</v>
      </c>
      <c r="H4451" s="8">
        <v>27.3</v>
      </c>
      <c r="I4451" s="8">
        <f t="shared" si="134"/>
        <v>-29664.379999999997</v>
      </c>
      <c r="J4451" s="12"/>
    </row>
    <row r="4452" spans="3:10" x14ac:dyDescent="0.3">
      <c r="C4452" s="9"/>
      <c r="D4452" s="10">
        <v>45912</v>
      </c>
      <c r="E4452" t="s">
        <v>2840</v>
      </c>
      <c r="F4452" s="11" t="s">
        <v>1843</v>
      </c>
      <c r="G4452" s="8">
        <v>0</v>
      </c>
      <c r="H4452" s="8">
        <v>58.8</v>
      </c>
      <c r="I4452" s="8">
        <f t="shared" si="134"/>
        <v>-29723.179999999997</v>
      </c>
      <c r="J4452" s="12"/>
    </row>
    <row r="4453" spans="3:10" x14ac:dyDescent="0.3">
      <c r="C4453" s="9"/>
      <c r="D4453" s="10">
        <v>45912</v>
      </c>
      <c r="E4453" t="s">
        <v>2789</v>
      </c>
      <c r="F4453" s="11" t="s">
        <v>2371</v>
      </c>
      <c r="G4453" s="8">
        <v>0</v>
      </c>
      <c r="H4453" s="8">
        <v>23.1</v>
      </c>
      <c r="I4453" s="8">
        <f t="shared" si="134"/>
        <v>-29746.279999999995</v>
      </c>
      <c r="J4453" s="12"/>
    </row>
    <row r="4454" spans="3:10" x14ac:dyDescent="0.3">
      <c r="C4454" s="9"/>
      <c r="D4454" s="10">
        <v>45912</v>
      </c>
      <c r="E4454" t="s">
        <v>2748</v>
      </c>
      <c r="F4454" s="11" t="s">
        <v>1590</v>
      </c>
      <c r="G4454" s="8">
        <v>0</v>
      </c>
      <c r="H4454" s="8">
        <v>38.590000000000003</v>
      </c>
      <c r="I4454" s="8">
        <f t="shared" si="134"/>
        <v>-29784.869999999995</v>
      </c>
      <c r="J4454" s="12"/>
    </row>
    <row r="4455" spans="3:10" x14ac:dyDescent="0.3">
      <c r="C4455" s="9"/>
      <c r="D4455" s="10">
        <v>45912</v>
      </c>
      <c r="E4455" t="s">
        <v>2825</v>
      </c>
      <c r="F4455" s="11" t="s">
        <v>1396</v>
      </c>
      <c r="G4455" s="8">
        <v>0</v>
      </c>
      <c r="H4455" s="8">
        <v>23.1</v>
      </c>
      <c r="I4455" s="8">
        <f t="shared" si="134"/>
        <v>-29807.969999999994</v>
      </c>
      <c r="J4455" s="12"/>
    </row>
    <row r="4456" spans="3:10" x14ac:dyDescent="0.3">
      <c r="C4456" s="9"/>
      <c r="D4456" s="10">
        <v>45912</v>
      </c>
      <c r="E4456" t="s">
        <v>2828</v>
      </c>
      <c r="F4456" s="11" t="s">
        <v>2115</v>
      </c>
      <c r="G4456" s="8">
        <v>0</v>
      </c>
      <c r="H4456" s="8">
        <v>67.06</v>
      </c>
      <c r="I4456" s="8">
        <f t="shared" si="134"/>
        <v>-29875.029999999995</v>
      </c>
      <c r="J4456" s="12"/>
    </row>
    <row r="4457" spans="3:10" x14ac:dyDescent="0.3">
      <c r="C4457" s="9"/>
      <c r="D4457" s="10">
        <v>45912</v>
      </c>
      <c r="E4457" t="s">
        <v>2795</v>
      </c>
      <c r="F4457" s="11" t="s">
        <v>2390</v>
      </c>
      <c r="G4457" s="8">
        <v>0</v>
      </c>
      <c r="H4457" s="8">
        <v>23.69</v>
      </c>
      <c r="I4457" s="8">
        <f t="shared" si="134"/>
        <v>-29898.719999999994</v>
      </c>
      <c r="J4457" s="12"/>
    </row>
    <row r="4458" spans="3:10" x14ac:dyDescent="0.3">
      <c r="C4458" s="9"/>
      <c r="D4458" s="10">
        <v>45912</v>
      </c>
      <c r="E4458" t="s">
        <v>2967</v>
      </c>
      <c r="F4458" s="11" t="s">
        <v>2005</v>
      </c>
      <c r="G4458" s="8">
        <v>0</v>
      </c>
      <c r="H4458" s="8">
        <v>63.56</v>
      </c>
      <c r="I4458" s="8">
        <f t="shared" si="134"/>
        <v>-29962.279999999995</v>
      </c>
      <c r="J4458" s="12"/>
    </row>
    <row r="4459" spans="3:10" x14ac:dyDescent="0.3">
      <c r="C4459" s="9"/>
      <c r="D4459" s="10">
        <v>45912</v>
      </c>
      <c r="E4459" t="s">
        <v>3417</v>
      </c>
      <c r="F4459" s="11" t="s">
        <v>1145</v>
      </c>
      <c r="G4459" s="8">
        <v>0</v>
      </c>
      <c r="H4459" s="8">
        <v>44.05</v>
      </c>
      <c r="I4459" s="8">
        <f t="shared" si="134"/>
        <v>-30006.329999999994</v>
      </c>
      <c r="J4459" s="12"/>
    </row>
    <row r="4460" spans="3:10" x14ac:dyDescent="0.3">
      <c r="C4460" s="9"/>
      <c r="D4460" s="10">
        <v>45912</v>
      </c>
      <c r="E4460" t="s">
        <v>3418</v>
      </c>
      <c r="F4460" s="11" t="s">
        <v>2249</v>
      </c>
      <c r="G4460" s="8">
        <v>0</v>
      </c>
      <c r="H4460" s="8">
        <v>60.97</v>
      </c>
      <c r="I4460" s="8">
        <f t="shared" si="134"/>
        <v>-30067.299999999996</v>
      </c>
      <c r="J4460" s="12"/>
    </row>
    <row r="4461" spans="3:10" x14ac:dyDescent="0.3">
      <c r="C4461" s="9"/>
      <c r="D4461" s="10">
        <v>45912</v>
      </c>
      <c r="E4461" t="s">
        <v>3251</v>
      </c>
      <c r="F4461" s="11" t="s">
        <v>2276</v>
      </c>
      <c r="G4461" s="8">
        <v>0</v>
      </c>
      <c r="H4461" s="8">
        <v>420.29</v>
      </c>
      <c r="I4461" s="8">
        <f t="shared" si="134"/>
        <v>-30487.589999999997</v>
      </c>
      <c r="J4461" s="12"/>
    </row>
    <row r="4462" spans="3:10" x14ac:dyDescent="0.3">
      <c r="C4462" s="9"/>
      <c r="D4462" s="10">
        <v>45912</v>
      </c>
      <c r="E4462" t="s">
        <v>2784</v>
      </c>
      <c r="F4462" s="11" t="s">
        <v>1081</v>
      </c>
      <c r="G4462" s="8">
        <v>0</v>
      </c>
      <c r="H4462" s="8">
        <v>87.79</v>
      </c>
      <c r="I4462" s="8">
        <f t="shared" si="134"/>
        <v>-30575.379999999997</v>
      </c>
      <c r="J4462" s="12"/>
    </row>
    <row r="4463" spans="3:10" x14ac:dyDescent="0.3">
      <c r="C4463" s="9"/>
      <c r="D4463" s="10">
        <v>45912</v>
      </c>
      <c r="E4463" t="s">
        <v>3091</v>
      </c>
      <c r="F4463" s="11" t="s">
        <v>2165</v>
      </c>
      <c r="G4463" s="8">
        <v>0</v>
      </c>
      <c r="H4463" s="8">
        <v>102.92</v>
      </c>
      <c r="I4463" s="8">
        <f t="shared" si="134"/>
        <v>-30678.299999999996</v>
      </c>
      <c r="J4463" s="12"/>
    </row>
    <row r="4464" spans="3:10" x14ac:dyDescent="0.3">
      <c r="C4464" s="9"/>
      <c r="D4464" s="10">
        <v>45912</v>
      </c>
      <c r="E4464" t="s">
        <v>3419</v>
      </c>
      <c r="F4464" s="11" t="s">
        <v>1686</v>
      </c>
      <c r="G4464" s="8">
        <v>0</v>
      </c>
      <c r="H4464" s="8">
        <v>1618.69</v>
      </c>
      <c r="I4464" s="8">
        <f t="shared" si="134"/>
        <v>-32296.989999999994</v>
      </c>
      <c r="J4464" s="12"/>
    </row>
    <row r="4465" spans="3:10" x14ac:dyDescent="0.3">
      <c r="C4465" s="9"/>
      <c r="D4465" s="10">
        <v>45912</v>
      </c>
      <c r="E4465" t="s">
        <v>3419</v>
      </c>
      <c r="F4465" s="11" t="s">
        <v>1688</v>
      </c>
      <c r="G4465" s="8">
        <v>0</v>
      </c>
      <c r="H4465" s="8">
        <v>1294.95</v>
      </c>
      <c r="I4465" s="8">
        <f t="shared" si="134"/>
        <v>-33591.939999999995</v>
      </c>
      <c r="J4465" s="12"/>
    </row>
    <row r="4466" spans="3:10" x14ac:dyDescent="0.3">
      <c r="C4466" s="9"/>
      <c r="D4466" s="10">
        <v>45912</v>
      </c>
      <c r="E4466" t="s">
        <v>3015</v>
      </c>
      <c r="F4466" s="11" t="s">
        <v>1872</v>
      </c>
      <c r="G4466" s="8">
        <v>0</v>
      </c>
      <c r="H4466" s="8">
        <v>17.850000000000001</v>
      </c>
      <c r="I4466" s="8">
        <f t="shared" si="134"/>
        <v>-33609.789999999994</v>
      </c>
      <c r="J4466" s="12"/>
    </row>
    <row r="4467" spans="3:10" x14ac:dyDescent="0.3">
      <c r="C4467" s="9"/>
      <c r="D4467" s="10">
        <v>45912</v>
      </c>
      <c r="E4467" t="s">
        <v>2871</v>
      </c>
      <c r="F4467" s="11" t="s">
        <v>1385</v>
      </c>
      <c r="G4467" s="8">
        <v>0</v>
      </c>
      <c r="H4467" s="8">
        <v>23.1</v>
      </c>
      <c r="I4467" s="8">
        <f t="shared" si="134"/>
        <v>-33632.889999999992</v>
      </c>
      <c r="J4467" s="12"/>
    </row>
    <row r="4468" spans="3:10" x14ac:dyDescent="0.3">
      <c r="C4468" s="9"/>
      <c r="D4468" s="10">
        <v>45915</v>
      </c>
      <c r="E4468" t="s">
        <v>2796</v>
      </c>
      <c r="F4468" s="11" t="s">
        <v>1247</v>
      </c>
      <c r="G4468" s="8">
        <v>0</v>
      </c>
      <c r="H4468" s="8">
        <v>38.020000000000003</v>
      </c>
      <c r="I4468" s="8">
        <f t="shared" si="134"/>
        <v>-33670.909999999989</v>
      </c>
      <c r="J4468" s="12"/>
    </row>
    <row r="4469" spans="3:10" x14ac:dyDescent="0.3">
      <c r="C4469" s="9"/>
      <c r="D4469" s="10">
        <v>45915</v>
      </c>
      <c r="E4469" t="s">
        <v>3201</v>
      </c>
      <c r="F4469" s="11" t="s">
        <v>1660</v>
      </c>
      <c r="G4469" s="8">
        <v>0</v>
      </c>
      <c r="H4469" s="8">
        <v>2894.85</v>
      </c>
      <c r="I4469" s="8">
        <f t="shared" si="134"/>
        <v>-36565.759999999987</v>
      </c>
      <c r="J4469" s="12"/>
    </row>
    <row r="4470" spans="3:10" x14ac:dyDescent="0.3">
      <c r="C4470" s="9"/>
      <c r="D4470" s="10">
        <v>45916</v>
      </c>
      <c r="E4470" t="s">
        <v>2846</v>
      </c>
      <c r="F4470" s="11" t="s">
        <v>1528</v>
      </c>
      <c r="G4470" s="8">
        <v>0</v>
      </c>
      <c r="H4470" s="8">
        <v>42.37</v>
      </c>
      <c r="I4470" s="8">
        <f t="shared" si="134"/>
        <v>-36608.12999999999</v>
      </c>
      <c r="J4470" s="12"/>
    </row>
    <row r="4471" spans="3:10" x14ac:dyDescent="0.3">
      <c r="C4471" s="9"/>
      <c r="D4471" s="10">
        <v>45917</v>
      </c>
      <c r="E4471" t="s">
        <v>3320</v>
      </c>
      <c r="F4471" s="11" t="s">
        <v>1669</v>
      </c>
      <c r="G4471" s="8">
        <v>0</v>
      </c>
      <c r="H4471" s="8">
        <v>-1568.91</v>
      </c>
      <c r="I4471" s="8">
        <f t="shared" si="134"/>
        <v>-35039.219999999987</v>
      </c>
      <c r="J4471" s="12"/>
    </row>
    <row r="4472" spans="3:10" x14ac:dyDescent="0.3">
      <c r="C4472" s="9"/>
      <c r="D4472" s="10">
        <v>45917</v>
      </c>
      <c r="E4472" t="s">
        <v>2783</v>
      </c>
      <c r="F4472" s="11" t="s">
        <v>1329</v>
      </c>
      <c r="G4472" s="8">
        <v>0</v>
      </c>
      <c r="H4472" s="8">
        <v>63.08</v>
      </c>
      <c r="I4472" s="8">
        <f t="shared" si="134"/>
        <v>-35102.299999999988</v>
      </c>
      <c r="J4472" s="12"/>
    </row>
    <row r="4473" spans="3:10" x14ac:dyDescent="0.3">
      <c r="C4473" s="9"/>
      <c r="D4473" s="10">
        <v>45917</v>
      </c>
      <c r="E4473" t="s">
        <v>2929</v>
      </c>
      <c r="F4473" s="11" t="s">
        <v>2344</v>
      </c>
      <c r="G4473" s="8">
        <v>0</v>
      </c>
      <c r="H4473" s="8">
        <v>23.1</v>
      </c>
      <c r="I4473" s="8">
        <f t="shared" si="134"/>
        <v>-35125.399999999987</v>
      </c>
      <c r="J4473" s="12"/>
    </row>
    <row r="4474" spans="3:10" x14ac:dyDescent="0.3">
      <c r="C4474" s="9"/>
      <c r="D4474" s="10">
        <v>45917</v>
      </c>
      <c r="E4474" t="s">
        <v>2898</v>
      </c>
      <c r="F4474" s="11" t="s">
        <v>2229</v>
      </c>
      <c r="G4474" s="8">
        <v>0</v>
      </c>
      <c r="H4474" s="8">
        <v>34.65</v>
      </c>
      <c r="I4474" s="8">
        <f t="shared" si="134"/>
        <v>-35160.049999999988</v>
      </c>
      <c r="J4474" s="12"/>
    </row>
    <row r="4475" spans="3:10" x14ac:dyDescent="0.3">
      <c r="C4475" s="9"/>
      <c r="D4475" s="10">
        <v>45917</v>
      </c>
      <c r="E4475" t="s">
        <v>2783</v>
      </c>
      <c r="F4475" s="11" t="s">
        <v>1331</v>
      </c>
      <c r="G4475" s="8">
        <v>0</v>
      </c>
      <c r="H4475" s="8">
        <v>34.32</v>
      </c>
      <c r="I4475" s="8">
        <f t="shared" si="134"/>
        <v>-35194.369999999988</v>
      </c>
      <c r="J4475" s="12"/>
    </row>
    <row r="4476" spans="3:10" x14ac:dyDescent="0.3">
      <c r="C4476" s="9"/>
      <c r="D4476" s="10">
        <v>45917</v>
      </c>
      <c r="E4476" t="s">
        <v>3163</v>
      </c>
      <c r="F4476" s="11" t="s">
        <v>1135</v>
      </c>
      <c r="G4476" s="8">
        <v>0</v>
      </c>
      <c r="H4476" s="8">
        <v>166.83</v>
      </c>
      <c r="I4476" s="8">
        <f t="shared" si="134"/>
        <v>-35361.19999999999</v>
      </c>
      <c r="J4476" s="12"/>
    </row>
    <row r="4477" spans="3:10" x14ac:dyDescent="0.3">
      <c r="C4477" s="9"/>
      <c r="D4477" s="10">
        <v>45917</v>
      </c>
      <c r="E4477" t="s">
        <v>3420</v>
      </c>
      <c r="F4477" s="11" t="s">
        <v>1691</v>
      </c>
      <c r="G4477" s="8">
        <v>0</v>
      </c>
      <c r="H4477" s="8">
        <v>214.06</v>
      </c>
      <c r="I4477" s="8">
        <f t="shared" si="134"/>
        <v>-35575.259999999987</v>
      </c>
      <c r="J4477" s="12"/>
    </row>
    <row r="4478" spans="3:10" x14ac:dyDescent="0.3">
      <c r="C4478" s="9"/>
      <c r="D4478" s="10">
        <v>45917</v>
      </c>
      <c r="E4478" t="s">
        <v>2860</v>
      </c>
      <c r="F4478" s="11" t="s">
        <v>1823</v>
      </c>
      <c r="G4478" s="8">
        <v>0</v>
      </c>
      <c r="H4478" s="8">
        <v>19.100000000000001</v>
      </c>
      <c r="I4478" s="8">
        <f t="shared" si="134"/>
        <v>-35594.359999999986</v>
      </c>
      <c r="J4478" s="12"/>
    </row>
    <row r="4479" spans="3:10" x14ac:dyDescent="0.3">
      <c r="C4479" s="9"/>
      <c r="D4479" s="10">
        <v>45917</v>
      </c>
      <c r="E4479" t="s">
        <v>3256</v>
      </c>
      <c r="F4479" s="11" t="s">
        <v>1863</v>
      </c>
      <c r="G4479" s="8">
        <v>0</v>
      </c>
      <c r="H4479" s="8">
        <v>466.44</v>
      </c>
      <c r="I4479" s="8">
        <f t="shared" si="134"/>
        <v>-36060.799999999988</v>
      </c>
      <c r="J4479" s="12"/>
    </row>
    <row r="4480" spans="3:10" x14ac:dyDescent="0.3">
      <c r="C4480" s="9"/>
      <c r="D4480" s="10">
        <v>45917</v>
      </c>
      <c r="E4480" t="s">
        <v>3223</v>
      </c>
      <c r="F4480" s="11" t="s">
        <v>3421</v>
      </c>
      <c r="G4480" s="8">
        <v>0</v>
      </c>
      <c r="H4480" s="8">
        <v>23.1</v>
      </c>
      <c r="I4480" s="8">
        <f t="shared" si="134"/>
        <v>-36083.899999999987</v>
      </c>
      <c r="J4480" s="12"/>
    </row>
    <row r="4481" spans="1:10" x14ac:dyDescent="0.3">
      <c r="C4481" s="9"/>
      <c r="D4481" s="10">
        <v>45917</v>
      </c>
      <c r="E4481" t="s">
        <v>3361</v>
      </c>
      <c r="F4481" s="11" t="s">
        <v>2010</v>
      </c>
      <c r="G4481" s="8">
        <v>0</v>
      </c>
      <c r="H4481" s="8">
        <v>53.67</v>
      </c>
      <c r="I4481" s="8">
        <f t="shared" si="134"/>
        <v>-36137.569999999985</v>
      </c>
      <c r="J4481" s="12"/>
    </row>
    <row r="4482" spans="1:10" x14ac:dyDescent="0.3">
      <c r="C4482" s="9"/>
      <c r="D4482" s="10">
        <v>45917</v>
      </c>
      <c r="E4482" t="s">
        <v>2876</v>
      </c>
      <c r="F4482" s="11" t="s">
        <v>1273</v>
      </c>
      <c r="G4482" s="8">
        <v>0</v>
      </c>
      <c r="H4482" s="8">
        <v>39.51</v>
      </c>
      <c r="I4482" s="8">
        <f t="shared" si="134"/>
        <v>-36177.079999999987</v>
      </c>
      <c r="J4482" s="12"/>
    </row>
    <row r="4483" spans="1:10" x14ac:dyDescent="0.3">
      <c r="C4483" s="9"/>
      <c r="D4483" s="10">
        <v>45917</v>
      </c>
      <c r="E4483" t="s">
        <v>3320</v>
      </c>
      <c r="F4483" s="11" t="s">
        <v>1671</v>
      </c>
      <c r="G4483" s="8">
        <v>0</v>
      </c>
      <c r="H4483" s="8">
        <v>1446.61</v>
      </c>
      <c r="I4483" s="8">
        <f t="shared" si="134"/>
        <v>-37623.689999999988</v>
      </c>
      <c r="J4483" s="12"/>
    </row>
    <row r="4484" spans="1:10" x14ac:dyDescent="0.3">
      <c r="C4484" s="9"/>
      <c r="D4484" s="10">
        <v>45917</v>
      </c>
      <c r="E4484" t="s">
        <v>3261</v>
      </c>
      <c r="F4484" s="11" t="s">
        <v>1740</v>
      </c>
      <c r="G4484" s="8">
        <v>0</v>
      </c>
      <c r="H4484" s="8">
        <v>34.65</v>
      </c>
      <c r="I4484" s="8">
        <f t="shared" si="134"/>
        <v>-37658.339999999989</v>
      </c>
      <c r="J4484" s="12"/>
    </row>
    <row r="4485" spans="1:10" x14ac:dyDescent="0.3">
      <c r="C4485" s="9"/>
      <c r="D4485" s="10">
        <v>45919</v>
      </c>
      <c r="E4485" t="s">
        <v>3422</v>
      </c>
      <c r="F4485" s="11" t="s">
        <v>1694</v>
      </c>
      <c r="G4485" s="8">
        <v>0</v>
      </c>
      <c r="H4485" s="8">
        <v>2680.86</v>
      </c>
      <c r="I4485" s="8">
        <f t="shared" si="134"/>
        <v>-40339.19999999999</v>
      </c>
      <c r="J4485" s="12"/>
    </row>
    <row r="4486" spans="1:10" x14ac:dyDescent="0.3">
      <c r="C4486" s="9"/>
      <c r="D4486" s="10">
        <v>45919</v>
      </c>
      <c r="E4486" t="s">
        <v>3423</v>
      </c>
      <c r="F4486" s="11" t="s">
        <v>1697</v>
      </c>
      <c r="G4486" s="8">
        <v>0</v>
      </c>
      <c r="H4486" s="8">
        <v>23.1</v>
      </c>
      <c r="I4486" s="8">
        <f t="shared" si="134"/>
        <v>-40362.299999999988</v>
      </c>
      <c r="J4486" s="12"/>
    </row>
    <row r="4487" spans="1:10" x14ac:dyDescent="0.3">
      <c r="C4487" s="9"/>
      <c r="D4487" s="10">
        <v>45919</v>
      </c>
      <c r="E4487" t="s">
        <v>3176</v>
      </c>
      <c r="F4487" s="11" t="s">
        <v>2322</v>
      </c>
      <c r="G4487" s="8">
        <v>0</v>
      </c>
      <c r="H4487" s="8">
        <v>58.47</v>
      </c>
      <c r="I4487" s="8">
        <f t="shared" si="134"/>
        <v>-40420.76999999999</v>
      </c>
      <c r="J4487" s="12"/>
    </row>
    <row r="4488" spans="1:10" x14ac:dyDescent="0.3">
      <c r="C4488" s="9"/>
      <c r="D4488" s="10">
        <v>45919</v>
      </c>
      <c r="E4488" t="s">
        <v>2904</v>
      </c>
      <c r="F4488" s="11" t="s">
        <v>1157</v>
      </c>
      <c r="G4488" s="8">
        <v>0</v>
      </c>
      <c r="H4488" s="8">
        <v>182.41</v>
      </c>
      <c r="I4488" s="8">
        <f t="shared" si="134"/>
        <v>-40603.179999999993</v>
      </c>
      <c r="J4488" s="12"/>
    </row>
    <row r="4489" spans="1:10" x14ac:dyDescent="0.3">
      <c r="C4489" s="9"/>
      <c r="D4489" s="10">
        <v>45919</v>
      </c>
      <c r="E4489" t="s">
        <v>3207</v>
      </c>
      <c r="F4489" s="11" t="s">
        <v>1545</v>
      </c>
      <c r="G4489" s="8">
        <v>0</v>
      </c>
      <c r="H4489" s="8">
        <v>80.02</v>
      </c>
      <c r="I4489" s="8">
        <f t="shared" si="134"/>
        <v>-40683.19999999999</v>
      </c>
      <c r="J4489" s="12"/>
    </row>
    <row r="4490" spans="1:10" x14ac:dyDescent="0.3">
      <c r="C4490" s="9"/>
      <c r="D4490" s="10">
        <v>45919</v>
      </c>
      <c r="E4490" t="s">
        <v>3207</v>
      </c>
      <c r="F4490" s="11" t="s">
        <v>1547</v>
      </c>
      <c r="G4490" s="8">
        <v>0</v>
      </c>
      <c r="H4490" s="8">
        <v>17.850000000000001</v>
      </c>
      <c r="I4490" s="8">
        <f t="shared" si="134"/>
        <v>-40701.049999999988</v>
      </c>
      <c r="J4490" s="12"/>
    </row>
    <row r="4491" spans="1:10" x14ac:dyDescent="0.3">
      <c r="E4491" s="4" t="s">
        <v>116</v>
      </c>
      <c r="G4491" s="8">
        <f>SUM(G3466:G4490)</f>
        <v>80395.11</v>
      </c>
      <c r="H4491" s="8">
        <f>SUM(H3466:H4490)</f>
        <v>121096.16000000022</v>
      </c>
      <c r="I4491" s="8">
        <f>G4491-H4491</f>
        <v>-40701.050000000221</v>
      </c>
    </row>
    <row r="4493" spans="1:10" x14ac:dyDescent="0.3">
      <c r="A4493" s="5">
        <v>520000101</v>
      </c>
      <c r="B4493" s="6" t="s">
        <v>3424</v>
      </c>
      <c r="C4493" s="7"/>
      <c r="D4493" s="7"/>
      <c r="E4493" s="7"/>
      <c r="F4493" s="7"/>
      <c r="G4493" s="7"/>
      <c r="H4493" s="7"/>
      <c r="I4493" s="7"/>
      <c r="J4493" s="7"/>
    </row>
    <row r="4494" spans="1:10" x14ac:dyDescent="0.3">
      <c r="C4494" s="9"/>
      <c r="D4494" s="10">
        <v>45790</v>
      </c>
      <c r="E4494" t="s">
        <v>426</v>
      </c>
      <c r="F4494" s="11" t="s">
        <v>14</v>
      </c>
      <c r="G4494" s="8">
        <v>100</v>
      </c>
      <c r="H4494" s="8">
        <v>0</v>
      </c>
      <c r="I4494" s="8">
        <f>G4494-H4494</f>
        <v>100</v>
      </c>
      <c r="J4494" s="12">
        <v>572000007</v>
      </c>
    </row>
    <row r="4495" spans="1:10" x14ac:dyDescent="0.3">
      <c r="C4495" s="9"/>
      <c r="D4495" s="10">
        <v>45798</v>
      </c>
      <c r="E4495" t="s">
        <v>3425</v>
      </c>
      <c r="F4495" s="11" t="s">
        <v>3426</v>
      </c>
      <c r="G4495" s="8">
        <v>500</v>
      </c>
      <c r="H4495" s="8">
        <v>0</v>
      </c>
      <c r="I4495" s="8">
        <f t="shared" ref="I4495:I4507" si="135">G4495-H4495+I4494</f>
        <v>600</v>
      </c>
      <c r="J4495" s="12">
        <v>572000002</v>
      </c>
    </row>
    <row r="4496" spans="1:10" x14ac:dyDescent="0.3">
      <c r="C4496" s="9"/>
      <c r="D4496" s="10">
        <v>45805</v>
      </c>
      <c r="E4496" t="s">
        <v>3427</v>
      </c>
      <c r="F4496" s="11" t="s">
        <v>14</v>
      </c>
      <c r="G4496" s="8">
        <v>1000</v>
      </c>
      <c r="H4496" s="8">
        <v>0</v>
      </c>
      <c r="I4496" s="8">
        <f t="shared" si="135"/>
        <v>1600</v>
      </c>
      <c r="J4496" s="12">
        <v>572000007</v>
      </c>
    </row>
    <row r="4497" spans="1:10" x14ac:dyDescent="0.3">
      <c r="C4497" s="9"/>
      <c r="D4497" s="10">
        <v>45824</v>
      </c>
      <c r="E4497" t="s">
        <v>108</v>
      </c>
      <c r="F4497" s="11" t="s">
        <v>14</v>
      </c>
      <c r="G4497" s="8">
        <v>1000</v>
      </c>
      <c r="H4497" s="8">
        <v>0</v>
      </c>
      <c r="I4497" s="8">
        <f t="shared" si="135"/>
        <v>2600</v>
      </c>
      <c r="J4497" s="12">
        <v>572000007</v>
      </c>
    </row>
    <row r="4498" spans="1:10" x14ac:dyDescent="0.3">
      <c r="C4498" s="9"/>
      <c r="D4498" s="10">
        <v>45838</v>
      </c>
      <c r="E4498" t="s">
        <v>3428</v>
      </c>
      <c r="F4498" s="11" t="s">
        <v>14</v>
      </c>
      <c r="G4498" s="8">
        <v>0</v>
      </c>
      <c r="H4498" s="8">
        <v>1403.74</v>
      </c>
      <c r="I4498" s="8">
        <f t="shared" si="135"/>
        <v>1196.26</v>
      </c>
      <c r="J4498" s="12"/>
    </row>
    <row r="4499" spans="1:10" x14ac:dyDescent="0.3">
      <c r="C4499" s="9"/>
      <c r="D4499" s="10">
        <v>45839</v>
      </c>
      <c r="E4499" t="s">
        <v>3429</v>
      </c>
      <c r="F4499" s="11" t="s">
        <v>14</v>
      </c>
      <c r="G4499" s="8">
        <v>1000</v>
      </c>
      <c r="H4499" s="8">
        <v>0</v>
      </c>
      <c r="I4499" s="8">
        <f t="shared" si="135"/>
        <v>2196.2600000000002</v>
      </c>
      <c r="J4499" s="12">
        <v>572000005</v>
      </c>
    </row>
    <row r="4500" spans="1:10" x14ac:dyDescent="0.3">
      <c r="C4500" s="9"/>
      <c r="D4500" s="10">
        <v>45846</v>
      </c>
      <c r="E4500" t="s">
        <v>108</v>
      </c>
      <c r="F4500" s="11" t="s">
        <v>14</v>
      </c>
      <c r="G4500" s="8">
        <v>500</v>
      </c>
      <c r="H4500" s="8">
        <v>0</v>
      </c>
      <c r="I4500" s="8">
        <f t="shared" si="135"/>
        <v>2696.26</v>
      </c>
      <c r="J4500" s="12">
        <v>572000007</v>
      </c>
    </row>
    <row r="4501" spans="1:10" x14ac:dyDescent="0.3">
      <c r="C4501" s="9"/>
      <c r="D4501" s="10">
        <v>45854</v>
      </c>
      <c r="E4501" t="s">
        <v>108</v>
      </c>
      <c r="F4501" s="11" t="s">
        <v>14</v>
      </c>
      <c r="G4501" s="8">
        <v>1000</v>
      </c>
      <c r="H4501" s="8">
        <v>0</v>
      </c>
      <c r="I4501" s="8">
        <f t="shared" si="135"/>
        <v>3696.26</v>
      </c>
      <c r="J4501" s="12">
        <v>572000007</v>
      </c>
    </row>
    <row r="4502" spans="1:10" x14ac:dyDescent="0.3">
      <c r="C4502" s="9"/>
      <c r="D4502" s="10">
        <v>45866</v>
      </c>
      <c r="E4502" t="s">
        <v>3430</v>
      </c>
      <c r="F4502" s="11" t="s">
        <v>14</v>
      </c>
      <c r="G4502" s="8">
        <v>1000</v>
      </c>
      <c r="H4502" s="8">
        <v>0</v>
      </c>
      <c r="I4502" s="8">
        <f t="shared" si="135"/>
        <v>4696.26</v>
      </c>
      <c r="J4502" s="12">
        <v>572000007</v>
      </c>
    </row>
    <row r="4503" spans="1:10" x14ac:dyDescent="0.3">
      <c r="C4503" s="9"/>
      <c r="D4503" s="10">
        <v>45883</v>
      </c>
      <c r="E4503" t="s">
        <v>305</v>
      </c>
      <c r="F4503" s="11" t="s">
        <v>14</v>
      </c>
      <c r="G4503" s="8">
        <v>1000</v>
      </c>
      <c r="H4503" s="8">
        <v>0</v>
      </c>
      <c r="I4503" s="8">
        <f t="shared" si="135"/>
        <v>5696.26</v>
      </c>
      <c r="J4503" s="12">
        <v>572000007</v>
      </c>
    </row>
    <row r="4504" spans="1:10" x14ac:dyDescent="0.3">
      <c r="C4504" s="9"/>
      <c r="D4504" s="10">
        <v>45895</v>
      </c>
      <c r="E4504" t="s">
        <v>305</v>
      </c>
      <c r="F4504" s="11" t="s">
        <v>14</v>
      </c>
      <c r="G4504" s="8">
        <v>1000</v>
      </c>
      <c r="H4504" s="8">
        <v>0</v>
      </c>
      <c r="I4504" s="8">
        <f t="shared" si="135"/>
        <v>6696.26</v>
      </c>
      <c r="J4504" s="12">
        <v>572000007</v>
      </c>
    </row>
    <row r="4505" spans="1:10" x14ac:dyDescent="0.3">
      <c r="C4505" s="9"/>
      <c r="D4505" s="10">
        <v>45905</v>
      </c>
      <c r="E4505" t="s">
        <v>305</v>
      </c>
      <c r="F4505" s="11" t="s">
        <v>14</v>
      </c>
      <c r="G4505" s="8">
        <v>1000</v>
      </c>
      <c r="H4505" s="8">
        <v>0</v>
      </c>
      <c r="I4505" s="8">
        <f t="shared" si="135"/>
        <v>7696.26</v>
      </c>
      <c r="J4505" s="12">
        <v>572000007</v>
      </c>
    </row>
    <row r="4506" spans="1:10" x14ac:dyDescent="0.3">
      <c r="C4506" s="9"/>
      <c r="D4506" s="10">
        <v>45912</v>
      </c>
      <c r="E4506" t="s">
        <v>305</v>
      </c>
      <c r="F4506" s="11" t="s">
        <v>14</v>
      </c>
      <c r="G4506" s="8">
        <v>1000</v>
      </c>
      <c r="H4506" s="8">
        <v>0</v>
      </c>
      <c r="I4506" s="8">
        <f t="shared" si="135"/>
        <v>8696.26</v>
      </c>
      <c r="J4506" s="12">
        <v>572000007</v>
      </c>
    </row>
    <row r="4507" spans="1:10" x14ac:dyDescent="0.3">
      <c r="C4507" s="9"/>
      <c r="D4507" s="10">
        <v>45922</v>
      </c>
      <c r="E4507" t="s">
        <v>305</v>
      </c>
      <c r="F4507" s="11" t="s">
        <v>14</v>
      </c>
      <c r="G4507" s="8">
        <v>1000</v>
      </c>
      <c r="H4507" s="8">
        <v>0</v>
      </c>
      <c r="I4507" s="8">
        <f t="shared" si="135"/>
        <v>9696.26</v>
      </c>
      <c r="J4507" s="12">
        <v>572000007</v>
      </c>
    </row>
    <row r="4508" spans="1:10" x14ac:dyDescent="0.3">
      <c r="E4508" s="4" t="s">
        <v>116</v>
      </c>
      <c r="G4508" s="8">
        <f>SUM(G4494:G4507)</f>
        <v>11100</v>
      </c>
      <c r="H4508" s="8">
        <f>SUM(H4494:H4507)</f>
        <v>1403.74</v>
      </c>
      <c r="I4508" s="8">
        <f>G4508-H4508</f>
        <v>9696.26</v>
      </c>
    </row>
    <row r="4510" spans="1:10" x14ac:dyDescent="0.3">
      <c r="A4510" s="5">
        <v>551000000</v>
      </c>
      <c r="B4510" s="6" t="s">
        <v>3431</v>
      </c>
      <c r="C4510" s="7"/>
      <c r="D4510" s="7"/>
      <c r="E4510" s="7"/>
      <c r="F4510" s="7"/>
      <c r="G4510" s="7"/>
      <c r="H4510" s="7"/>
      <c r="I4510" s="7"/>
      <c r="J4510" s="7"/>
    </row>
    <row r="4511" spans="1:10" x14ac:dyDescent="0.3">
      <c r="E4511" s="4" t="s">
        <v>11</v>
      </c>
      <c r="G4511" s="8">
        <v>70567.320000000007</v>
      </c>
      <c r="H4511" s="8">
        <v>0</v>
      </c>
      <c r="I4511" s="8">
        <f>G4511-H4511</f>
        <v>70567.320000000007</v>
      </c>
    </row>
    <row r="4512" spans="1:10" x14ac:dyDescent="0.3">
      <c r="C4512" s="9"/>
      <c r="D4512" s="10">
        <v>45659</v>
      </c>
      <c r="E4512" t="s">
        <v>3432</v>
      </c>
      <c r="F4512" s="11" t="s">
        <v>14</v>
      </c>
      <c r="G4512" s="8">
        <v>4000</v>
      </c>
      <c r="H4512" s="8">
        <v>0</v>
      </c>
      <c r="I4512" s="8">
        <f>G4512-H4512+I4511</f>
        <v>74567.320000000007</v>
      </c>
      <c r="J4512" s="12">
        <v>570000000</v>
      </c>
    </row>
    <row r="4513" spans="1:10" x14ac:dyDescent="0.3">
      <c r="C4513" s="9"/>
      <c r="D4513" s="10">
        <v>45882</v>
      </c>
      <c r="E4513" t="s">
        <v>3433</v>
      </c>
      <c r="F4513" s="11" t="s">
        <v>14</v>
      </c>
      <c r="G4513" s="8">
        <v>0</v>
      </c>
      <c r="H4513" s="8">
        <v>607.04</v>
      </c>
      <c r="I4513" s="8">
        <f>G4513-H4513+I4512</f>
        <v>73960.280000000013</v>
      </c>
      <c r="J4513" s="12">
        <v>572000001</v>
      </c>
    </row>
    <row r="4514" spans="1:10" x14ac:dyDescent="0.3">
      <c r="C4514" s="9"/>
      <c r="D4514" s="10">
        <v>45912</v>
      </c>
      <c r="E4514" t="s">
        <v>3433</v>
      </c>
      <c r="F4514" s="11" t="s">
        <v>14</v>
      </c>
      <c r="G4514" s="8">
        <v>0</v>
      </c>
      <c r="H4514" s="8">
        <v>607.04</v>
      </c>
      <c r="I4514" s="8">
        <f>G4514-H4514+I4513</f>
        <v>73353.24000000002</v>
      </c>
      <c r="J4514" s="12">
        <v>572000001</v>
      </c>
    </row>
    <row r="4515" spans="1:10" x14ac:dyDescent="0.3">
      <c r="E4515" s="4" t="s">
        <v>116</v>
      </c>
      <c r="G4515" s="8">
        <f>SUM(G4511:G4514)</f>
        <v>74567.320000000007</v>
      </c>
      <c r="H4515" s="8">
        <f>SUM(H4511:H4514)</f>
        <v>1214.08</v>
      </c>
      <c r="I4515" s="8">
        <f>G4515-H4515</f>
        <v>73353.240000000005</v>
      </c>
    </row>
    <row r="4517" spans="1:10" x14ac:dyDescent="0.3">
      <c r="A4517" s="5">
        <v>551000002</v>
      </c>
      <c r="B4517" s="6" t="s">
        <v>3434</v>
      </c>
      <c r="C4517" s="7"/>
      <c r="D4517" s="7"/>
      <c r="E4517" s="7"/>
      <c r="F4517" s="7"/>
      <c r="G4517" s="7"/>
      <c r="H4517" s="7"/>
      <c r="I4517" s="7"/>
      <c r="J4517" s="7"/>
    </row>
    <row r="4518" spans="1:10" x14ac:dyDescent="0.3">
      <c r="E4518" s="4" t="s">
        <v>11</v>
      </c>
      <c r="G4518" s="8">
        <v>4600</v>
      </c>
      <c r="H4518" s="8">
        <v>0</v>
      </c>
      <c r="I4518" s="8">
        <f>G4518-H4518</f>
        <v>4600</v>
      </c>
    </row>
    <row r="4519" spans="1:10" x14ac:dyDescent="0.3">
      <c r="E4519" s="4" t="s">
        <v>116</v>
      </c>
      <c r="G4519" s="8">
        <f>G4518</f>
        <v>4600</v>
      </c>
      <c r="H4519" s="8">
        <f>H4518</f>
        <v>0</v>
      </c>
      <c r="I4519" s="8">
        <f>G4519-H4519</f>
        <v>4600</v>
      </c>
    </row>
    <row r="4521" spans="1:10" x14ac:dyDescent="0.3">
      <c r="A4521" s="5">
        <v>555000000</v>
      </c>
      <c r="B4521" s="6" t="s">
        <v>3435</v>
      </c>
      <c r="C4521" s="7"/>
      <c r="D4521" s="7"/>
      <c r="E4521" s="7"/>
      <c r="F4521" s="7"/>
      <c r="G4521" s="7"/>
      <c r="H4521" s="7"/>
      <c r="I4521" s="7"/>
      <c r="J4521" s="7"/>
    </row>
    <row r="4522" spans="1:10" x14ac:dyDescent="0.3">
      <c r="E4522" s="4" t="s">
        <v>11</v>
      </c>
      <c r="G4522" s="8">
        <v>105.5</v>
      </c>
      <c r="H4522" s="8">
        <v>0</v>
      </c>
      <c r="I4522" s="8">
        <f>G4522-H4522</f>
        <v>105.5</v>
      </c>
    </row>
    <row r="4523" spans="1:10" x14ac:dyDescent="0.3">
      <c r="C4523" s="9" t="s">
        <v>12</v>
      </c>
      <c r="D4523" s="10">
        <v>45659</v>
      </c>
      <c r="E4523" t="s">
        <v>859</v>
      </c>
      <c r="F4523" s="11" t="s">
        <v>14</v>
      </c>
      <c r="G4523" s="8">
        <v>0</v>
      </c>
      <c r="H4523" s="8">
        <v>17.55</v>
      </c>
      <c r="I4523" s="8">
        <f t="shared" ref="I4523:I4554" si="136">G4523-H4523+I4522</f>
        <v>87.95</v>
      </c>
      <c r="J4523" s="12"/>
    </row>
    <row r="4524" spans="1:10" x14ac:dyDescent="0.3">
      <c r="C4524" s="9" t="s">
        <v>12</v>
      </c>
      <c r="D4524" s="10">
        <v>45659</v>
      </c>
      <c r="E4524" t="s">
        <v>859</v>
      </c>
      <c r="F4524" s="11" t="s">
        <v>14</v>
      </c>
      <c r="G4524" s="8">
        <v>0</v>
      </c>
      <c r="H4524" s="8">
        <v>28.05</v>
      </c>
      <c r="I4524" s="8">
        <f t="shared" si="136"/>
        <v>59.900000000000006</v>
      </c>
      <c r="J4524" s="12"/>
    </row>
    <row r="4525" spans="1:10" x14ac:dyDescent="0.3">
      <c r="C4525" s="9" t="s">
        <v>12</v>
      </c>
      <c r="D4525" s="10">
        <v>45659</v>
      </c>
      <c r="E4525" t="s">
        <v>859</v>
      </c>
      <c r="F4525" s="11" t="s">
        <v>14</v>
      </c>
      <c r="G4525" s="8">
        <v>0</v>
      </c>
      <c r="H4525" s="8">
        <v>59.9</v>
      </c>
      <c r="I4525" s="8">
        <f t="shared" si="136"/>
        <v>0</v>
      </c>
      <c r="J4525" s="12"/>
    </row>
    <row r="4526" spans="1:10" x14ac:dyDescent="0.3">
      <c r="C4526" s="9"/>
      <c r="D4526" s="10">
        <v>45706</v>
      </c>
      <c r="E4526" t="s">
        <v>3436</v>
      </c>
      <c r="F4526" s="11" t="s">
        <v>14</v>
      </c>
      <c r="G4526" s="8">
        <v>1215</v>
      </c>
      <c r="H4526" s="8">
        <v>0</v>
      </c>
      <c r="I4526" s="8">
        <f t="shared" si="136"/>
        <v>1215</v>
      </c>
      <c r="J4526" s="12">
        <v>572000005</v>
      </c>
    </row>
    <row r="4527" spans="1:10" x14ac:dyDescent="0.3">
      <c r="C4527" s="9"/>
      <c r="D4527" s="10">
        <v>45708</v>
      </c>
      <c r="E4527" t="s">
        <v>1038</v>
      </c>
      <c r="F4527" s="11" t="s">
        <v>14</v>
      </c>
      <c r="G4527" s="8">
        <v>937.81</v>
      </c>
      <c r="H4527" s="8">
        <v>0</v>
      </c>
      <c r="I4527" s="8">
        <f t="shared" si="136"/>
        <v>2152.81</v>
      </c>
      <c r="J4527" s="12">
        <v>572000007</v>
      </c>
    </row>
    <row r="4528" spans="1:10" x14ac:dyDescent="0.3">
      <c r="C4528" s="9"/>
      <c r="D4528" s="10">
        <v>45713</v>
      </c>
      <c r="E4528" t="s">
        <v>1038</v>
      </c>
      <c r="F4528" s="11" t="s">
        <v>14</v>
      </c>
      <c r="G4528" s="8">
        <v>496.39</v>
      </c>
      <c r="H4528" s="8">
        <v>0</v>
      </c>
      <c r="I4528" s="8">
        <f t="shared" si="136"/>
        <v>2649.2</v>
      </c>
      <c r="J4528" s="12">
        <v>572000007</v>
      </c>
    </row>
    <row r="4529" spans="3:10" x14ac:dyDescent="0.3">
      <c r="C4529" s="9"/>
      <c r="D4529" s="10">
        <v>45741</v>
      </c>
      <c r="E4529" t="s">
        <v>1028</v>
      </c>
      <c r="F4529" s="11" t="s">
        <v>14</v>
      </c>
      <c r="G4529" s="8">
        <v>455.88</v>
      </c>
      <c r="H4529" s="8">
        <v>0</v>
      </c>
      <c r="I4529" s="8">
        <f t="shared" si="136"/>
        <v>3105.08</v>
      </c>
      <c r="J4529" s="12">
        <v>572000007</v>
      </c>
    </row>
    <row r="4530" spans="3:10" x14ac:dyDescent="0.3">
      <c r="C4530" s="9"/>
      <c r="D4530" s="10">
        <v>45748</v>
      </c>
      <c r="E4530" t="s">
        <v>3437</v>
      </c>
      <c r="F4530" s="11" t="s">
        <v>14</v>
      </c>
      <c r="G4530" s="8">
        <v>0</v>
      </c>
      <c r="H4530" s="8">
        <v>75000</v>
      </c>
      <c r="I4530" s="8">
        <f t="shared" si="136"/>
        <v>-71894.92</v>
      </c>
      <c r="J4530" s="12">
        <v>572000007</v>
      </c>
    </row>
    <row r="4531" spans="3:10" x14ac:dyDescent="0.3">
      <c r="C4531" s="9"/>
      <c r="D4531" s="10">
        <v>45813</v>
      </c>
      <c r="E4531" t="s">
        <v>3438</v>
      </c>
      <c r="F4531" s="11" t="s">
        <v>14</v>
      </c>
      <c r="G4531" s="8">
        <v>231.27</v>
      </c>
      <c r="H4531" s="8">
        <v>0</v>
      </c>
      <c r="I4531" s="8">
        <f t="shared" si="136"/>
        <v>-71663.649999999994</v>
      </c>
      <c r="J4531" s="12"/>
    </row>
    <row r="4532" spans="3:10" x14ac:dyDescent="0.3">
      <c r="C4532" s="9"/>
      <c r="D4532" s="10">
        <v>45813</v>
      </c>
      <c r="E4532" t="s">
        <v>3438</v>
      </c>
      <c r="F4532" s="11" t="s">
        <v>14</v>
      </c>
      <c r="G4532" s="8">
        <v>-153</v>
      </c>
      <c r="H4532" s="8">
        <v>0</v>
      </c>
      <c r="I4532" s="8">
        <f t="shared" si="136"/>
        <v>-71816.649999999994</v>
      </c>
      <c r="J4532" s="12"/>
    </row>
    <row r="4533" spans="3:10" x14ac:dyDescent="0.3">
      <c r="C4533" s="9"/>
      <c r="D4533" s="10">
        <v>45817</v>
      </c>
      <c r="E4533" t="s">
        <v>3439</v>
      </c>
      <c r="F4533" s="11" t="s">
        <v>14</v>
      </c>
      <c r="G4533" s="8">
        <v>0</v>
      </c>
      <c r="H4533" s="8">
        <v>380.28</v>
      </c>
      <c r="I4533" s="8">
        <f t="shared" si="136"/>
        <v>-72196.929999999993</v>
      </c>
      <c r="J4533" s="12">
        <v>572000007</v>
      </c>
    </row>
    <row r="4534" spans="3:10" x14ac:dyDescent="0.3">
      <c r="C4534" s="9"/>
      <c r="D4534" s="10">
        <v>45818</v>
      </c>
      <c r="E4534" t="s">
        <v>3440</v>
      </c>
      <c r="F4534" s="11" t="s">
        <v>14</v>
      </c>
      <c r="G4534" s="8">
        <v>13392.09</v>
      </c>
      <c r="H4534" s="8">
        <v>0</v>
      </c>
      <c r="I4534" s="8">
        <f t="shared" si="136"/>
        <v>-58804.84</v>
      </c>
      <c r="J4534" s="12">
        <v>572000007</v>
      </c>
    </row>
    <row r="4535" spans="3:10" x14ac:dyDescent="0.3">
      <c r="C4535" s="9"/>
      <c r="D4535" s="10">
        <v>45838</v>
      </c>
      <c r="E4535" t="s">
        <v>3441</v>
      </c>
      <c r="F4535" s="11" t="s">
        <v>3442</v>
      </c>
      <c r="G4535" s="8">
        <v>94.99</v>
      </c>
      <c r="H4535" s="8">
        <v>0</v>
      </c>
      <c r="I4535" s="8">
        <f t="shared" si="136"/>
        <v>-58709.85</v>
      </c>
      <c r="J4535" s="12"/>
    </row>
    <row r="4536" spans="3:10" x14ac:dyDescent="0.3">
      <c r="C4536" s="9"/>
      <c r="D4536" s="10">
        <v>45838</v>
      </c>
      <c r="E4536" t="s">
        <v>3443</v>
      </c>
      <c r="F4536" s="11" t="s">
        <v>3444</v>
      </c>
      <c r="G4536" s="8">
        <v>315.32</v>
      </c>
      <c r="H4536" s="8">
        <v>0</v>
      </c>
      <c r="I4536" s="8">
        <f t="shared" si="136"/>
        <v>-58394.53</v>
      </c>
      <c r="J4536" s="12"/>
    </row>
    <row r="4537" spans="3:10" x14ac:dyDescent="0.3">
      <c r="C4537" s="9"/>
      <c r="D4537" s="10">
        <v>45838</v>
      </c>
      <c r="E4537" t="s">
        <v>488</v>
      </c>
      <c r="F4537" s="11" t="s">
        <v>3445</v>
      </c>
      <c r="G4537" s="8">
        <v>6</v>
      </c>
      <c r="H4537" s="8">
        <v>0</v>
      </c>
      <c r="I4537" s="8">
        <f t="shared" si="136"/>
        <v>-58388.53</v>
      </c>
      <c r="J4537" s="12"/>
    </row>
    <row r="4538" spans="3:10" x14ac:dyDescent="0.3">
      <c r="C4538" s="9"/>
      <c r="D4538" s="10">
        <v>45855</v>
      </c>
      <c r="E4538" t="s">
        <v>3446</v>
      </c>
      <c r="F4538" s="11" t="s">
        <v>14</v>
      </c>
      <c r="G4538" s="8">
        <v>0</v>
      </c>
      <c r="H4538" s="8">
        <v>4200</v>
      </c>
      <c r="I4538" s="8">
        <f t="shared" si="136"/>
        <v>-62588.53</v>
      </c>
      <c r="J4538" s="12">
        <v>572000007</v>
      </c>
    </row>
    <row r="4539" spans="3:10" x14ac:dyDescent="0.3">
      <c r="C4539" s="9"/>
      <c r="D4539" s="10">
        <v>45860</v>
      </c>
      <c r="E4539" t="s">
        <v>3447</v>
      </c>
      <c r="F4539" s="11" t="s">
        <v>14</v>
      </c>
      <c r="G4539" s="8">
        <v>0</v>
      </c>
      <c r="H4539" s="8">
        <v>944.6</v>
      </c>
      <c r="I4539" s="8">
        <f t="shared" si="136"/>
        <v>-63533.13</v>
      </c>
      <c r="J4539" s="12">
        <v>572000007</v>
      </c>
    </row>
    <row r="4540" spans="3:10" x14ac:dyDescent="0.3">
      <c r="C4540" s="9"/>
      <c r="D4540" s="10">
        <v>45869</v>
      </c>
      <c r="E4540" t="s">
        <v>3448</v>
      </c>
      <c r="F4540" s="11" t="s">
        <v>14</v>
      </c>
      <c r="G4540" s="8">
        <v>44.01</v>
      </c>
      <c r="H4540" s="8">
        <v>0</v>
      </c>
      <c r="I4540" s="8">
        <f t="shared" si="136"/>
        <v>-63489.119999999995</v>
      </c>
      <c r="J4540" s="12">
        <v>572000005</v>
      </c>
    </row>
    <row r="4541" spans="3:10" x14ac:dyDescent="0.3">
      <c r="C4541" s="9"/>
      <c r="D4541" s="10">
        <v>45869</v>
      </c>
      <c r="E4541" t="s">
        <v>3448</v>
      </c>
      <c r="F4541" s="11" t="s">
        <v>14</v>
      </c>
      <c r="G4541" s="8">
        <v>41.22</v>
      </c>
      <c r="H4541" s="8">
        <v>0</v>
      </c>
      <c r="I4541" s="8">
        <f t="shared" si="136"/>
        <v>-63447.899999999994</v>
      </c>
      <c r="J4541" s="12">
        <v>572000005</v>
      </c>
    </row>
    <row r="4542" spans="3:10" x14ac:dyDescent="0.3">
      <c r="C4542" s="9"/>
      <c r="D4542" s="10">
        <v>45869</v>
      </c>
      <c r="E4542" t="s">
        <v>3449</v>
      </c>
      <c r="F4542" s="11" t="s">
        <v>14</v>
      </c>
      <c r="G4542" s="8">
        <v>11.67</v>
      </c>
      <c r="H4542" s="8">
        <v>0</v>
      </c>
      <c r="I4542" s="8">
        <f t="shared" si="136"/>
        <v>-63436.229999999996</v>
      </c>
      <c r="J4542" s="12">
        <v>572000005</v>
      </c>
    </row>
    <row r="4543" spans="3:10" x14ac:dyDescent="0.3">
      <c r="C4543" s="9"/>
      <c r="D4543" s="10">
        <v>45869</v>
      </c>
      <c r="E4543" t="s">
        <v>3447</v>
      </c>
      <c r="F4543" s="11" t="s">
        <v>14</v>
      </c>
      <c r="G4543" s="8">
        <v>0</v>
      </c>
      <c r="H4543" s="8">
        <v>835.32</v>
      </c>
      <c r="I4543" s="8">
        <f t="shared" si="136"/>
        <v>-64271.549999999996</v>
      </c>
      <c r="J4543" s="12">
        <v>572000007</v>
      </c>
    </row>
    <row r="4544" spans="3:10" x14ac:dyDescent="0.3">
      <c r="C4544" s="9"/>
      <c r="D4544" s="10">
        <v>45870</v>
      </c>
      <c r="E4544" t="s">
        <v>3450</v>
      </c>
      <c r="F4544" s="11" t="s">
        <v>14</v>
      </c>
      <c r="G4544" s="8">
        <v>0</v>
      </c>
      <c r="H4544" s="8">
        <v>4198.7</v>
      </c>
      <c r="I4544" s="8">
        <f t="shared" si="136"/>
        <v>-68470.25</v>
      </c>
      <c r="J4544" s="12">
        <v>572000007</v>
      </c>
    </row>
    <row r="4545" spans="3:10" x14ac:dyDescent="0.3">
      <c r="C4545" s="9"/>
      <c r="D4545" s="10">
        <v>45873</v>
      </c>
      <c r="E4545" t="s">
        <v>1605</v>
      </c>
      <c r="F4545" s="11" t="s">
        <v>14</v>
      </c>
      <c r="G4545" s="8">
        <v>400</v>
      </c>
      <c r="H4545" s="8">
        <v>0</v>
      </c>
      <c r="I4545" s="8">
        <f t="shared" si="136"/>
        <v>-68070.25</v>
      </c>
      <c r="J4545" s="12">
        <v>572000007</v>
      </c>
    </row>
    <row r="4546" spans="3:10" x14ac:dyDescent="0.3">
      <c r="C4546" s="9"/>
      <c r="D4546" s="10">
        <v>45873</v>
      </c>
      <c r="E4546" t="s">
        <v>1605</v>
      </c>
      <c r="F4546" s="11" t="s">
        <v>14</v>
      </c>
      <c r="G4546" s="8">
        <v>0</v>
      </c>
      <c r="H4546" s="8">
        <v>100000</v>
      </c>
      <c r="I4546" s="8">
        <f t="shared" si="136"/>
        <v>-168070.25</v>
      </c>
      <c r="J4546" s="12">
        <v>572000007</v>
      </c>
    </row>
    <row r="4547" spans="3:10" x14ac:dyDescent="0.3">
      <c r="C4547" s="9"/>
      <c r="D4547" s="10">
        <v>45873</v>
      </c>
      <c r="E4547" t="s">
        <v>3440</v>
      </c>
      <c r="F4547" s="11" t="s">
        <v>14</v>
      </c>
      <c r="G4547" s="8">
        <v>34103.07</v>
      </c>
      <c r="H4547" s="8">
        <v>0</v>
      </c>
      <c r="I4547" s="8">
        <f t="shared" si="136"/>
        <v>-133967.18</v>
      </c>
      <c r="J4547" s="12">
        <v>572000007</v>
      </c>
    </row>
    <row r="4548" spans="3:10" x14ac:dyDescent="0.3">
      <c r="C4548" s="9"/>
      <c r="D4548" s="10">
        <v>45874</v>
      </c>
      <c r="E4548" t="s">
        <v>3451</v>
      </c>
      <c r="F4548" s="11" t="s">
        <v>14</v>
      </c>
      <c r="G4548" s="8">
        <v>778.57</v>
      </c>
      <c r="H4548" s="8">
        <v>0</v>
      </c>
      <c r="I4548" s="8">
        <f t="shared" si="136"/>
        <v>-133188.60999999999</v>
      </c>
      <c r="J4548" s="12">
        <v>572000001</v>
      </c>
    </row>
    <row r="4549" spans="3:10" x14ac:dyDescent="0.3">
      <c r="C4549" s="9"/>
      <c r="D4549" s="10">
        <v>45874</v>
      </c>
      <c r="E4549" t="s">
        <v>3451</v>
      </c>
      <c r="F4549" s="11" t="s">
        <v>14</v>
      </c>
      <c r="G4549" s="8">
        <v>12.47</v>
      </c>
      <c r="H4549" s="8">
        <v>0</v>
      </c>
      <c r="I4549" s="8">
        <f t="shared" si="136"/>
        <v>-133176.13999999998</v>
      </c>
      <c r="J4549" s="12">
        <v>572000001</v>
      </c>
    </row>
    <row r="4550" spans="3:10" x14ac:dyDescent="0.3">
      <c r="C4550" s="9"/>
      <c r="D4550" s="10">
        <v>45874</v>
      </c>
      <c r="E4550" t="s">
        <v>3451</v>
      </c>
      <c r="F4550" s="11" t="s">
        <v>14</v>
      </c>
      <c r="G4550" s="8">
        <v>65.3</v>
      </c>
      <c r="H4550" s="8">
        <v>0</v>
      </c>
      <c r="I4550" s="8">
        <f t="shared" si="136"/>
        <v>-133110.84</v>
      </c>
      <c r="J4550" s="12">
        <v>572000001</v>
      </c>
    </row>
    <row r="4551" spans="3:10" x14ac:dyDescent="0.3">
      <c r="C4551" s="9"/>
      <c r="D4551" s="10">
        <v>45875</v>
      </c>
      <c r="E4551" t="s">
        <v>3452</v>
      </c>
      <c r="F4551" s="11" t="s">
        <v>14</v>
      </c>
      <c r="G4551" s="8">
        <v>0</v>
      </c>
      <c r="H4551" s="8">
        <v>489.72</v>
      </c>
      <c r="I4551" s="8">
        <f t="shared" si="136"/>
        <v>-133600.56</v>
      </c>
      <c r="J4551" s="12">
        <v>572000007</v>
      </c>
    </row>
    <row r="4552" spans="3:10" x14ac:dyDescent="0.3">
      <c r="C4552" s="9"/>
      <c r="D4552" s="10">
        <v>45891</v>
      </c>
      <c r="E4552" t="s">
        <v>3453</v>
      </c>
      <c r="F4552" s="11" t="s">
        <v>14</v>
      </c>
      <c r="G4552" s="8">
        <v>0</v>
      </c>
      <c r="H4552" s="8">
        <v>60</v>
      </c>
      <c r="I4552" s="8">
        <f t="shared" si="136"/>
        <v>-133660.56</v>
      </c>
      <c r="J4552" s="12">
        <v>572000007</v>
      </c>
    </row>
    <row r="4553" spans="3:10" x14ac:dyDescent="0.3">
      <c r="C4553" s="9"/>
      <c r="D4553" s="10">
        <v>45891</v>
      </c>
      <c r="E4553" t="s">
        <v>3454</v>
      </c>
      <c r="F4553" s="11" t="s">
        <v>14</v>
      </c>
      <c r="G4553" s="8">
        <v>46.02</v>
      </c>
      <c r="H4553" s="8">
        <v>0</v>
      </c>
      <c r="I4553" s="8">
        <f t="shared" si="136"/>
        <v>-133614.54</v>
      </c>
      <c r="J4553" s="12">
        <v>572000007</v>
      </c>
    </row>
    <row r="4554" spans="3:10" x14ac:dyDescent="0.3">
      <c r="C4554" s="9"/>
      <c r="D4554" s="10">
        <v>45894</v>
      </c>
      <c r="E4554" t="s">
        <v>168</v>
      </c>
      <c r="F4554" s="11" t="s">
        <v>14</v>
      </c>
      <c r="G4554" s="8">
        <v>176.32</v>
      </c>
      <c r="H4554" s="8">
        <v>0</v>
      </c>
      <c r="I4554" s="8">
        <f t="shared" si="136"/>
        <v>-133438.22</v>
      </c>
      <c r="J4554" s="12">
        <v>572000007</v>
      </c>
    </row>
    <row r="4555" spans="3:10" x14ac:dyDescent="0.3">
      <c r="C4555" s="9"/>
      <c r="D4555" s="10">
        <v>45894</v>
      </c>
      <c r="E4555" t="s">
        <v>3455</v>
      </c>
      <c r="F4555" s="11" t="s">
        <v>14</v>
      </c>
      <c r="G4555" s="8">
        <v>3292.87</v>
      </c>
      <c r="H4555" s="8">
        <v>0</v>
      </c>
      <c r="I4555" s="8">
        <f t="shared" ref="I4555:I4586" si="137">G4555-H4555+I4554</f>
        <v>-130145.35</v>
      </c>
      <c r="J4555" s="12">
        <v>572000007</v>
      </c>
    </row>
    <row r="4556" spans="3:10" x14ac:dyDescent="0.3">
      <c r="C4556" s="9"/>
      <c r="D4556" s="10">
        <v>45898</v>
      </c>
      <c r="E4556" t="s">
        <v>3448</v>
      </c>
      <c r="F4556" s="11" t="s">
        <v>14</v>
      </c>
      <c r="G4556" s="8">
        <v>85.2</v>
      </c>
      <c r="H4556" s="8">
        <v>0</v>
      </c>
      <c r="I4556" s="8">
        <f t="shared" si="137"/>
        <v>-130060.15000000001</v>
      </c>
      <c r="J4556" s="12">
        <v>572000005</v>
      </c>
    </row>
    <row r="4557" spans="3:10" x14ac:dyDescent="0.3">
      <c r="C4557" s="9"/>
      <c r="D4557" s="10">
        <v>45898</v>
      </c>
      <c r="E4557" t="s">
        <v>3448</v>
      </c>
      <c r="F4557" s="11" t="s">
        <v>14</v>
      </c>
      <c r="G4557" s="8">
        <v>126.71</v>
      </c>
      <c r="H4557" s="8">
        <v>0</v>
      </c>
      <c r="I4557" s="8">
        <f t="shared" si="137"/>
        <v>-129933.44</v>
      </c>
      <c r="J4557" s="12">
        <v>572000005</v>
      </c>
    </row>
    <row r="4558" spans="3:10" x14ac:dyDescent="0.3">
      <c r="C4558" s="9"/>
      <c r="D4558" s="10">
        <v>45898</v>
      </c>
      <c r="E4558" t="s">
        <v>3449</v>
      </c>
      <c r="F4558" s="11" t="s">
        <v>14</v>
      </c>
      <c r="G4558" s="8">
        <v>71.27</v>
      </c>
      <c r="H4558" s="8">
        <v>0</v>
      </c>
      <c r="I4558" s="8">
        <f t="shared" si="137"/>
        <v>-129862.17</v>
      </c>
      <c r="J4558" s="12">
        <v>572000005</v>
      </c>
    </row>
    <row r="4559" spans="3:10" x14ac:dyDescent="0.3">
      <c r="C4559" s="9"/>
      <c r="D4559" s="10">
        <v>45905</v>
      </c>
      <c r="E4559" t="s">
        <v>3456</v>
      </c>
      <c r="F4559" s="11" t="s">
        <v>14</v>
      </c>
      <c r="G4559" s="8">
        <v>98.42</v>
      </c>
      <c r="H4559" s="8">
        <v>0</v>
      </c>
      <c r="I4559" s="8">
        <f t="shared" si="137"/>
        <v>-129763.75</v>
      </c>
      <c r="J4559" s="12">
        <v>572000005</v>
      </c>
    </row>
    <row r="4560" spans="3:10" x14ac:dyDescent="0.3">
      <c r="C4560" s="9"/>
      <c r="D4560" s="10">
        <v>45905</v>
      </c>
      <c r="E4560" t="s">
        <v>3451</v>
      </c>
      <c r="F4560" s="11" t="s">
        <v>14</v>
      </c>
      <c r="G4560" s="8">
        <v>1565.85</v>
      </c>
      <c r="H4560" s="8">
        <v>0</v>
      </c>
      <c r="I4560" s="8">
        <f t="shared" si="137"/>
        <v>-128197.9</v>
      </c>
      <c r="J4560" s="12">
        <v>572000001</v>
      </c>
    </row>
    <row r="4561" spans="3:10" x14ac:dyDescent="0.3">
      <c r="C4561" s="9"/>
      <c r="D4561" s="10">
        <v>45905</v>
      </c>
      <c r="E4561" t="s">
        <v>3451</v>
      </c>
      <c r="F4561" s="11" t="s">
        <v>14</v>
      </c>
      <c r="G4561" s="8">
        <v>1.94</v>
      </c>
      <c r="H4561" s="8">
        <v>0</v>
      </c>
      <c r="I4561" s="8">
        <f t="shared" si="137"/>
        <v>-128195.95999999999</v>
      </c>
      <c r="J4561" s="12">
        <v>572000001</v>
      </c>
    </row>
    <row r="4562" spans="3:10" x14ac:dyDescent="0.3">
      <c r="C4562" s="9"/>
      <c r="D4562" s="10">
        <v>45905</v>
      </c>
      <c r="E4562" t="s">
        <v>3451</v>
      </c>
      <c r="F4562" s="11" t="s">
        <v>14</v>
      </c>
      <c r="G4562" s="8">
        <v>24.82</v>
      </c>
      <c r="H4562" s="8">
        <v>0</v>
      </c>
      <c r="I4562" s="8">
        <f t="shared" si="137"/>
        <v>-128171.13999999998</v>
      </c>
      <c r="J4562" s="12">
        <v>572000001</v>
      </c>
    </row>
    <row r="4563" spans="3:10" x14ac:dyDescent="0.3">
      <c r="C4563" s="9"/>
      <c r="D4563" s="10">
        <v>45917</v>
      </c>
      <c r="E4563" t="s">
        <v>3457</v>
      </c>
      <c r="F4563" s="11" t="s">
        <v>14</v>
      </c>
      <c r="G4563" s="8">
        <v>0</v>
      </c>
      <c r="H4563" s="8">
        <v>244.11</v>
      </c>
      <c r="I4563" s="8">
        <f t="shared" si="137"/>
        <v>-128415.24999999999</v>
      </c>
      <c r="J4563" s="12">
        <v>572000007</v>
      </c>
    </row>
    <row r="4564" spans="3:10" x14ac:dyDescent="0.3">
      <c r="C4564" s="9"/>
      <c r="D4564" s="10">
        <v>45918</v>
      </c>
      <c r="E4564" t="s">
        <v>3458</v>
      </c>
      <c r="F4564" s="11" t="s">
        <v>14</v>
      </c>
      <c r="G4564" s="8">
        <v>0</v>
      </c>
      <c r="H4564" s="8">
        <v>133.1</v>
      </c>
      <c r="I4564" s="8">
        <f t="shared" si="137"/>
        <v>-128548.34999999999</v>
      </c>
      <c r="J4564" s="12">
        <v>572000007</v>
      </c>
    </row>
    <row r="4565" spans="3:10" x14ac:dyDescent="0.3">
      <c r="C4565" s="9"/>
      <c r="D4565" s="10">
        <v>45922</v>
      </c>
      <c r="E4565" t="s">
        <v>1059</v>
      </c>
      <c r="F4565" s="11" t="s">
        <v>14</v>
      </c>
      <c r="G4565" s="8">
        <v>0</v>
      </c>
      <c r="H4565" s="8">
        <v>3430.65</v>
      </c>
      <c r="I4565" s="8">
        <f t="shared" si="137"/>
        <v>-131979</v>
      </c>
      <c r="J4565" s="12">
        <v>572000005</v>
      </c>
    </row>
    <row r="4566" spans="3:10" x14ac:dyDescent="0.3">
      <c r="C4566" s="9"/>
      <c r="D4566" s="10">
        <v>45922</v>
      </c>
      <c r="E4566" t="s">
        <v>3459</v>
      </c>
      <c r="F4566" s="11" t="s">
        <v>14</v>
      </c>
      <c r="G4566" s="8">
        <v>0</v>
      </c>
      <c r="H4566" s="8">
        <v>15446.86</v>
      </c>
      <c r="I4566" s="8">
        <f t="shared" si="137"/>
        <v>-147425.85999999999</v>
      </c>
      <c r="J4566" s="12">
        <v>572000007</v>
      </c>
    </row>
    <row r="4567" spans="3:10" x14ac:dyDescent="0.3">
      <c r="C4567" s="9"/>
      <c r="D4567" s="10">
        <v>45923</v>
      </c>
      <c r="E4567" t="s">
        <v>1059</v>
      </c>
      <c r="F4567" s="11" t="s">
        <v>14</v>
      </c>
      <c r="G4567" s="8">
        <v>0</v>
      </c>
      <c r="H4567" s="8">
        <v>2442.62</v>
      </c>
      <c r="I4567" s="8">
        <f t="shared" si="137"/>
        <v>-149868.47999999998</v>
      </c>
      <c r="J4567" s="12">
        <v>572000005</v>
      </c>
    </row>
    <row r="4568" spans="3:10" x14ac:dyDescent="0.3">
      <c r="C4568" s="9"/>
      <c r="D4568" s="10">
        <v>45923</v>
      </c>
      <c r="E4568" t="s">
        <v>305</v>
      </c>
      <c r="F4568" s="11" t="s">
        <v>14</v>
      </c>
      <c r="G4568" s="8">
        <v>0</v>
      </c>
      <c r="H4568" s="8">
        <v>133.1</v>
      </c>
      <c r="I4568" s="8">
        <f t="shared" si="137"/>
        <v>-150001.57999999999</v>
      </c>
      <c r="J4568" s="12">
        <v>572000007</v>
      </c>
    </row>
    <row r="4569" spans="3:10" x14ac:dyDescent="0.3">
      <c r="C4569" s="9"/>
      <c r="D4569" s="10">
        <v>45925</v>
      </c>
      <c r="E4569" t="s">
        <v>1059</v>
      </c>
      <c r="F4569" s="11" t="s">
        <v>14</v>
      </c>
      <c r="G4569" s="8">
        <v>0</v>
      </c>
      <c r="H4569" s="8">
        <v>5896.56</v>
      </c>
      <c r="I4569" s="8">
        <f t="shared" si="137"/>
        <v>-155898.13999999998</v>
      </c>
      <c r="J4569" s="12">
        <v>572000005</v>
      </c>
    </row>
    <row r="4570" spans="3:10" x14ac:dyDescent="0.3">
      <c r="C4570" s="9"/>
      <c r="D4570" s="10">
        <v>45926</v>
      </c>
      <c r="E4570" t="s">
        <v>1059</v>
      </c>
      <c r="F4570" s="11" t="s">
        <v>14</v>
      </c>
      <c r="G4570" s="8">
        <v>0</v>
      </c>
      <c r="H4570" s="8">
        <v>2249.37</v>
      </c>
      <c r="I4570" s="8">
        <f t="shared" si="137"/>
        <v>-158147.50999999998</v>
      </c>
      <c r="J4570" s="12">
        <v>572000005</v>
      </c>
    </row>
    <row r="4571" spans="3:10" x14ac:dyDescent="0.3">
      <c r="C4571" s="9"/>
      <c r="D4571" s="10">
        <v>45926</v>
      </c>
      <c r="E4571" t="s">
        <v>3460</v>
      </c>
      <c r="F4571" s="11" t="s">
        <v>14</v>
      </c>
      <c r="G4571" s="8">
        <v>0</v>
      </c>
      <c r="H4571" s="8">
        <v>35.090000000000003</v>
      </c>
      <c r="I4571" s="8">
        <f t="shared" si="137"/>
        <v>-158182.59999999998</v>
      </c>
      <c r="J4571" s="12">
        <v>572000007</v>
      </c>
    </row>
    <row r="4572" spans="3:10" x14ac:dyDescent="0.3">
      <c r="E4572" s="4" t="s">
        <v>116</v>
      </c>
      <c r="G4572" s="8">
        <f>SUM(G4522:G4571)</f>
        <v>58042.979999999996</v>
      </c>
      <c r="H4572" s="8">
        <f>SUM(H4522:H4571)</f>
        <v>216225.58000000002</v>
      </c>
      <c r="I4572" s="8">
        <f>G4572-H4572</f>
        <v>-158182.60000000003</v>
      </c>
    </row>
  </sheetData>
  <pageMargins left="0.75" right="0.75" top="1" bottom="1" header="0.5" footer="0.5"/>
  <pageSetup paperSize="9" fitToHeight="1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Cuentas corrientes</vt:lpstr>
      <vt:lpstr>'Cuentas corrientes'!Área_de_impresión</vt:lpstr>
      <vt:lpstr>'Cuentas corrientes'!Títulos_a_imprimir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dcterms:created xsi:type="dcterms:W3CDTF">2025-10-03T08:16:09Z</dcterms:created>
  <dcterms:modified xsi:type="dcterms:W3CDTF">2025-10-03T08:16:36Z</dcterms:modified>
  <cp:category/>
</cp:coreProperties>
</file>
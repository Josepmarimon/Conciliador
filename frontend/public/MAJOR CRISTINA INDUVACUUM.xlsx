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D:\Documentos c\PROGRAMES\DOCUMENTOS\listados marimon IA\"/>
    </mc:Choice>
  </mc:AlternateContent>
  <xr:revisionPtr revIDLastSave="0" documentId="8_{B421403B-EB5C-4956-9815-9D200FF31372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Cuentas corrientes" sheetId="2" r:id="rId1"/>
  </sheets>
  <definedNames>
    <definedName name="_xlnm.Print_Area" localSheetId="0">'Cuentas corrientes'!$A$1:$J$2254</definedName>
    <definedName name="_xlnm.Print_Titles" localSheetId="0">'Cuentas corrientes'!$1:$8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2" l="1"/>
  <c r="H2254" i="2"/>
  <c r="G2254" i="2"/>
  <c r="I2254" i="2" s="1"/>
  <c r="I2252" i="2"/>
  <c r="I2253" i="2" s="1"/>
  <c r="I2249" i="2"/>
  <c r="H2249" i="2"/>
  <c r="G2249" i="2"/>
  <c r="I2248" i="2"/>
  <c r="H2245" i="2"/>
  <c r="G2245" i="2"/>
  <c r="I2245" i="2" s="1"/>
  <c r="I1951" i="2"/>
  <c r="I1952" i="2" s="1"/>
  <c r="I1953" i="2" s="1"/>
  <c r="I1954" i="2" s="1"/>
  <c r="I1955" i="2" s="1"/>
  <c r="I1956" i="2" s="1"/>
  <c r="I1957" i="2" s="1"/>
  <c r="I1958" i="2" s="1"/>
  <c r="I1959" i="2" s="1"/>
  <c r="I1960" i="2" s="1"/>
  <c r="I1961" i="2" s="1"/>
  <c r="I1962" i="2" s="1"/>
  <c r="I1963" i="2" s="1"/>
  <c r="I1964" i="2" s="1"/>
  <c r="I1965" i="2" s="1"/>
  <c r="I1966" i="2" s="1"/>
  <c r="I1967" i="2" s="1"/>
  <c r="I1968" i="2" s="1"/>
  <c r="I1969" i="2" s="1"/>
  <c r="I1970" i="2" s="1"/>
  <c r="I1971" i="2" s="1"/>
  <c r="I1972" i="2" s="1"/>
  <c r="I1973" i="2" s="1"/>
  <c r="I1974" i="2" s="1"/>
  <c r="I1975" i="2" s="1"/>
  <c r="I1976" i="2" s="1"/>
  <c r="I1977" i="2" s="1"/>
  <c r="I1978" i="2" s="1"/>
  <c r="I1979" i="2" s="1"/>
  <c r="I1980" i="2" s="1"/>
  <c r="I1981" i="2" s="1"/>
  <c r="I1982" i="2" s="1"/>
  <c r="I1983" i="2" s="1"/>
  <c r="I1984" i="2" s="1"/>
  <c r="I1985" i="2" s="1"/>
  <c r="I1986" i="2" s="1"/>
  <c r="I1987" i="2" s="1"/>
  <c r="I1988" i="2" s="1"/>
  <c r="I1989" i="2" s="1"/>
  <c r="I1990" i="2" s="1"/>
  <c r="I1991" i="2" s="1"/>
  <c r="I1992" i="2" s="1"/>
  <c r="I1993" i="2" s="1"/>
  <c r="I1994" i="2" s="1"/>
  <c r="I1995" i="2" s="1"/>
  <c r="I1996" i="2" s="1"/>
  <c r="I1997" i="2" s="1"/>
  <c r="I1998" i="2" s="1"/>
  <c r="I1999" i="2" s="1"/>
  <c r="I2000" i="2" s="1"/>
  <c r="I2001" i="2" s="1"/>
  <c r="I2002" i="2" s="1"/>
  <c r="I2003" i="2" s="1"/>
  <c r="I2004" i="2" s="1"/>
  <c r="I2005" i="2" s="1"/>
  <c r="I2006" i="2" s="1"/>
  <c r="I2007" i="2" s="1"/>
  <c r="I2008" i="2" s="1"/>
  <c r="I2009" i="2" s="1"/>
  <c r="I2010" i="2" s="1"/>
  <c r="I2011" i="2" s="1"/>
  <c r="I2012" i="2" s="1"/>
  <c r="I2013" i="2" s="1"/>
  <c r="I2014" i="2" s="1"/>
  <c r="I2015" i="2" s="1"/>
  <c r="I2016" i="2" s="1"/>
  <c r="I2017" i="2" s="1"/>
  <c r="I2018" i="2" s="1"/>
  <c r="I2019" i="2" s="1"/>
  <c r="I2020" i="2" s="1"/>
  <c r="I2021" i="2" s="1"/>
  <c r="I2022" i="2" s="1"/>
  <c r="I2023" i="2" s="1"/>
  <c r="I2024" i="2" s="1"/>
  <c r="I2025" i="2" s="1"/>
  <c r="I2026" i="2" s="1"/>
  <c r="I2027" i="2" s="1"/>
  <c r="I2028" i="2" s="1"/>
  <c r="I2029" i="2" s="1"/>
  <c r="I2030" i="2" s="1"/>
  <c r="I2031" i="2" s="1"/>
  <c r="I2032" i="2" s="1"/>
  <c r="I2033" i="2" s="1"/>
  <c r="I2034" i="2" s="1"/>
  <c r="I2035" i="2" s="1"/>
  <c r="I2036" i="2" s="1"/>
  <c r="I2037" i="2" s="1"/>
  <c r="I2038" i="2" s="1"/>
  <c r="I2039" i="2" s="1"/>
  <c r="I2040" i="2" s="1"/>
  <c r="I2041" i="2" s="1"/>
  <c r="I2042" i="2" s="1"/>
  <c r="I2043" i="2" s="1"/>
  <c r="I2044" i="2" s="1"/>
  <c r="I2045" i="2" s="1"/>
  <c r="I2046" i="2" s="1"/>
  <c r="I2047" i="2" s="1"/>
  <c r="I2048" i="2" s="1"/>
  <c r="I2049" i="2" s="1"/>
  <c r="I2050" i="2" s="1"/>
  <c r="I2051" i="2" s="1"/>
  <c r="I2052" i="2" s="1"/>
  <c r="I2053" i="2" s="1"/>
  <c r="I2054" i="2" s="1"/>
  <c r="I2055" i="2" s="1"/>
  <c r="I2056" i="2" s="1"/>
  <c r="I2057" i="2" s="1"/>
  <c r="I2058" i="2" s="1"/>
  <c r="I2059" i="2" s="1"/>
  <c r="I2060" i="2" s="1"/>
  <c r="I2061" i="2" s="1"/>
  <c r="I2062" i="2" s="1"/>
  <c r="I2063" i="2" s="1"/>
  <c r="I2064" i="2" s="1"/>
  <c r="I2065" i="2" s="1"/>
  <c r="I2066" i="2" s="1"/>
  <c r="I2067" i="2" s="1"/>
  <c r="I2068" i="2" s="1"/>
  <c r="I2069" i="2" s="1"/>
  <c r="I2070" i="2" s="1"/>
  <c r="I2071" i="2" s="1"/>
  <c r="I2072" i="2" s="1"/>
  <c r="I2073" i="2" s="1"/>
  <c r="I2074" i="2" s="1"/>
  <c r="I2075" i="2" s="1"/>
  <c r="I2076" i="2" s="1"/>
  <c r="I2077" i="2" s="1"/>
  <c r="I2078" i="2" s="1"/>
  <c r="I2079" i="2" s="1"/>
  <c r="I2080" i="2" s="1"/>
  <c r="I2081" i="2" s="1"/>
  <c r="I2082" i="2" s="1"/>
  <c r="I2083" i="2" s="1"/>
  <c r="I2084" i="2" s="1"/>
  <c r="I2085" i="2" s="1"/>
  <c r="I2086" i="2" s="1"/>
  <c r="I2087" i="2" s="1"/>
  <c r="I2088" i="2" s="1"/>
  <c r="I2089" i="2" s="1"/>
  <c r="I2090" i="2" s="1"/>
  <c r="I2091" i="2" s="1"/>
  <c r="I2092" i="2" s="1"/>
  <c r="I2093" i="2" s="1"/>
  <c r="I2094" i="2" s="1"/>
  <c r="I2095" i="2" s="1"/>
  <c r="I2096" i="2" s="1"/>
  <c r="I2097" i="2" s="1"/>
  <c r="I2098" i="2" s="1"/>
  <c r="I2099" i="2" s="1"/>
  <c r="I2100" i="2" s="1"/>
  <c r="I2101" i="2" s="1"/>
  <c r="I2102" i="2" s="1"/>
  <c r="I2103" i="2" s="1"/>
  <c r="I2104" i="2" s="1"/>
  <c r="I2105" i="2" s="1"/>
  <c r="I2106" i="2" s="1"/>
  <c r="I2107" i="2" s="1"/>
  <c r="I2108" i="2" s="1"/>
  <c r="I2109" i="2" s="1"/>
  <c r="I2110" i="2" s="1"/>
  <c r="I2111" i="2" s="1"/>
  <c r="I2112" i="2" s="1"/>
  <c r="I2113" i="2" s="1"/>
  <c r="I2114" i="2" s="1"/>
  <c r="I2115" i="2" s="1"/>
  <c r="I2116" i="2" s="1"/>
  <c r="I2117" i="2" s="1"/>
  <c r="I2118" i="2" s="1"/>
  <c r="I2119" i="2" s="1"/>
  <c r="I2120" i="2" s="1"/>
  <c r="I2121" i="2" s="1"/>
  <c r="I2122" i="2" s="1"/>
  <c r="I2123" i="2" s="1"/>
  <c r="I2124" i="2" s="1"/>
  <c r="I2125" i="2" s="1"/>
  <c r="I2126" i="2" s="1"/>
  <c r="I2127" i="2" s="1"/>
  <c r="I2128" i="2" s="1"/>
  <c r="I2129" i="2" s="1"/>
  <c r="I2130" i="2" s="1"/>
  <c r="I2131" i="2" s="1"/>
  <c r="I2132" i="2" s="1"/>
  <c r="I2133" i="2" s="1"/>
  <c r="I2134" i="2" s="1"/>
  <c r="I2135" i="2" s="1"/>
  <c r="I2136" i="2" s="1"/>
  <c r="I2137" i="2" s="1"/>
  <c r="I2138" i="2" s="1"/>
  <c r="I2139" i="2" s="1"/>
  <c r="I2140" i="2" s="1"/>
  <c r="I2141" i="2" s="1"/>
  <c r="I2142" i="2" s="1"/>
  <c r="I2143" i="2" s="1"/>
  <c r="I2144" i="2" s="1"/>
  <c r="I2145" i="2" s="1"/>
  <c r="I2146" i="2" s="1"/>
  <c r="I2147" i="2" s="1"/>
  <c r="I2148" i="2" s="1"/>
  <c r="I2149" i="2" s="1"/>
  <c r="I2150" i="2" s="1"/>
  <c r="I2151" i="2" s="1"/>
  <c r="I2152" i="2" s="1"/>
  <c r="I2153" i="2" s="1"/>
  <c r="I2154" i="2" s="1"/>
  <c r="I2155" i="2" s="1"/>
  <c r="I2156" i="2" s="1"/>
  <c r="I2157" i="2" s="1"/>
  <c r="I2158" i="2" s="1"/>
  <c r="I2159" i="2" s="1"/>
  <c r="I2160" i="2" s="1"/>
  <c r="I2161" i="2" s="1"/>
  <c r="I2162" i="2" s="1"/>
  <c r="I2163" i="2" s="1"/>
  <c r="I2164" i="2" s="1"/>
  <c r="I2165" i="2" s="1"/>
  <c r="I2166" i="2" s="1"/>
  <c r="I2167" i="2" s="1"/>
  <c r="I2168" i="2" s="1"/>
  <c r="I2169" i="2" s="1"/>
  <c r="I2170" i="2" s="1"/>
  <c r="I2171" i="2" s="1"/>
  <c r="I2172" i="2" s="1"/>
  <c r="I2173" i="2" s="1"/>
  <c r="I2174" i="2" s="1"/>
  <c r="I2175" i="2" s="1"/>
  <c r="I2176" i="2" s="1"/>
  <c r="I2177" i="2" s="1"/>
  <c r="I2178" i="2" s="1"/>
  <c r="I2179" i="2" s="1"/>
  <c r="I2180" i="2" s="1"/>
  <c r="I2181" i="2" s="1"/>
  <c r="I2182" i="2" s="1"/>
  <c r="I2183" i="2" s="1"/>
  <c r="I2184" i="2" s="1"/>
  <c r="I2185" i="2" s="1"/>
  <c r="I2186" i="2" s="1"/>
  <c r="I2187" i="2" s="1"/>
  <c r="I2188" i="2" s="1"/>
  <c r="I2189" i="2" s="1"/>
  <c r="I2190" i="2" s="1"/>
  <c r="I2191" i="2" s="1"/>
  <c r="I2192" i="2" s="1"/>
  <c r="I2193" i="2" s="1"/>
  <c r="I2194" i="2" s="1"/>
  <c r="I2195" i="2" s="1"/>
  <c r="I2196" i="2" s="1"/>
  <c r="I2197" i="2" s="1"/>
  <c r="I2198" i="2" s="1"/>
  <c r="I2199" i="2" s="1"/>
  <c r="I2200" i="2" s="1"/>
  <c r="I2201" i="2" s="1"/>
  <c r="I2202" i="2" s="1"/>
  <c r="I2203" i="2" s="1"/>
  <c r="I2204" i="2" s="1"/>
  <c r="I2205" i="2" s="1"/>
  <c r="I2206" i="2" s="1"/>
  <c r="I2207" i="2" s="1"/>
  <c r="I2208" i="2" s="1"/>
  <c r="I2209" i="2" s="1"/>
  <c r="I2210" i="2" s="1"/>
  <c r="I2211" i="2" s="1"/>
  <c r="I2212" i="2" s="1"/>
  <c r="I2213" i="2" s="1"/>
  <c r="I2214" i="2" s="1"/>
  <c r="I2215" i="2" s="1"/>
  <c r="I2216" i="2" s="1"/>
  <c r="I2217" i="2" s="1"/>
  <c r="I2218" i="2" s="1"/>
  <c r="I2219" i="2" s="1"/>
  <c r="I2220" i="2" s="1"/>
  <c r="I2221" i="2" s="1"/>
  <c r="I2222" i="2" s="1"/>
  <c r="I2223" i="2" s="1"/>
  <c r="I2224" i="2" s="1"/>
  <c r="I2225" i="2" s="1"/>
  <c r="I2226" i="2" s="1"/>
  <c r="I2227" i="2" s="1"/>
  <c r="I2228" i="2" s="1"/>
  <c r="I2229" i="2" s="1"/>
  <c r="I2230" i="2" s="1"/>
  <c r="I2231" i="2" s="1"/>
  <c r="I2232" i="2" s="1"/>
  <c r="I2233" i="2" s="1"/>
  <c r="I2234" i="2" s="1"/>
  <c r="I2235" i="2" s="1"/>
  <c r="I2236" i="2" s="1"/>
  <c r="I2237" i="2" s="1"/>
  <c r="I2238" i="2" s="1"/>
  <c r="I2239" i="2" s="1"/>
  <c r="I2240" i="2" s="1"/>
  <c r="I2241" i="2" s="1"/>
  <c r="I2242" i="2" s="1"/>
  <c r="I2243" i="2" s="1"/>
  <c r="I2244" i="2" s="1"/>
  <c r="I1940" i="2"/>
  <c r="I1941" i="2" s="1"/>
  <c r="I1942" i="2" s="1"/>
  <c r="I1943" i="2" s="1"/>
  <c r="I1944" i="2" s="1"/>
  <c r="I1945" i="2" s="1"/>
  <c r="I1946" i="2" s="1"/>
  <c r="I1947" i="2" s="1"/>
  <c r="I1948" i="2" s="1"/>
  <c r="I1949" i="2" s="1"/>
  <c r="I1950" i="2" s="1"/>
  <c r="I1939" i="2"/>
  <c r="I1937" i="2"/>
  <c r="I1938" i="2" s="1"/>
  <c r="I1936" i="2"/>
  <c r="I1933" i="2"/>
  <c r="H1933" i="2"/>
  <c r="G1933" i="2"/>
  <c r="I1916" i="2"/>
  <c r="I1917" i="2" s="1"/>
  <c r="I1918" i="2" s="1"/>
  <c r="I1919" i="2" s="1"/>
  <c r="I1920" i="2" s="1"/>
  <c r="I1921" i="2" s="1"/>
  <c r="I1922" i="2" s="1"/>
  <c r="I1923" i="2" s="1"/>
  <c r="I1924" i="2" s="1"/>
  <c r="I1925" i="2" s="1"/>
  <c r="I1926" i="2" s="1"/>
  <c r="I1927" i="2" s="1"/>
  <c r="I1928" i="2" s="1"/>
  <c r="I1929" i="2" s="1"/>
  <c r="I1930" i="2" s="1"/>
  <c r="I1931" i="2" s="1"/>
  <c r="I1932" i="2" s="1"/>
  <c r="I1915" i="2"/>
  <c r="I1914" i="2"/>
  <c r="H1911" i="2"/>
  <c r="G1911" i="2"/>
  <c r="I1911" i="2" s="1"/>
  <c r="I1863" i="2"/>
  <c r="I1864" i="2" s="1"/>
  <c r="I1865" i="2" s="1"/>
  <c r="I1866" i="2" s="1"/>
  <c r="I1867" i="2" s="1"/>
  <c r="I1868" i="2" s="1"/>
  <c r="I1869" i="2" s="1"/>
  <c r="I1870" i="2" s="1"/>
  <c r="I1871" i="2" s="1"/>
  <c r="I1872" i="2" s="1"/>
  <c r="I1873" i="2" s="1"/>
  <c r="I1874" i="2" s="1"/>
  <c r="I1875" i="2" s="1"/>
  <c r="I1876" i="2" s="1"/>
  <c r="I1877" i="2" s="1"/>
  <c r="I1878" i="2" s="1"/>
  <c r="I1879" i="2" s="1"/>
  <c r="I1880" i="2" s="1"/>
  <c r="I1881" i="2" s="1"/>
  <c r="I1882" i="2" s="1"/>
  <c r="I1883" i="2" s="1"/>
  <c r="I1884" i="2" s="1"/>
  <c r="I1885" i="2" s="1"/>
  <c r="I1886" i="2" s="1"/>
  <c r="I1887" i="2" s="1"/>
  <c r="I1888" i="2" s="1"/>
  <c r="I1889" i="2" s="1"/>
  <c r="I1890" i="2" s="1"/>
  <c r="I1891" i="2" s="1"/>
  <c r="I1892" i="2" s="1"/>
  <c r="I1893" i="2" s="1"/>
  <c r="I1894" i="2" s="1"/>
  <c r="I1895" i="2" s="1"/>
  <c r="I1896" i="2" s="1"/>
  <c r="I1897" i="2" s="1"/>
  <c r="I1898" i="2" s="1"/>
  <c r="I1899" i="2" s="1"/>
  <c r="I1900" i="2" s="1"/>
  <c r="I1901" i="2" s="1"/>
  <c r="I1902" i="2" s="1"/>
  <c r="I1903" i="2" s="1"/>
  <c r="I1904" i="2" s="1"/>
  <c r="I1905" i="2" s="1"/>
  <c r="I1906" i="2" s="1"/>
  <c r="I1907" i="2" s="1"/>
  <c r="I1908" i="2" s="1"/>
  <c r="I1909" i="2" s="1"/>
  <c r="I1910" i="2" s="1"/>
  <c r="H1860" i="2"/>
  <c r="I1860" i="2" s="1"/>
  <c r="G1860" i="2"/>
  <c r="I1853" i="2"/>
  <c r="I1854" i="2" s="1"/>
  <c r="I1855" i="2" s="1"/>
  <c r="I1856" i="2" s="1"/>
  <c r="I1857" i="2" s="1"/>
  <c r="I1858" i="2" s="1"/>
  <c r="I1859" i="2" s="1"/>
  <c r="I1852" i="2"/>
  <c r="H1849" i="2"/>
  <c r="G1849" i="2"/>
  <c r="I1849" i="2" s="1"/>
  <c r="I1848" i="2"/>
  <c r="H1845" i="2"/>
  <c r="G1845" i="2"/>
  <c r="I1845" i="2" s="1"/>
  <c r="I1347" i="2"/>
  <c r="I1348" i="2" s="1"/>
  <c r="I1349" i="2" s="1"/>
  <c r="I1350" i="2" s="1"/>
  <c r="I1351" i="2" s="1"/>
  <c r="I1352" i="2" s="1"/>
  <c r="I1353" i="2" s="1"/>
  <c r="I1354" i="2" s="1"/>
  <c r="I1355" i="2" s="1"/>
  <c r="I1356" i="2" s="1"/>
  <c r="I1357" i="2" s="1"/>
  <c r="I1358" i="2" s="1"/>
  <c r="I1359" i="2" s="1"/>
  <c r="I1360" i="2" s="1"/>
  <c r="I1361" i="2" s="1"/>
  <c r="I1362" i="2" s="1"/>
  <c r="I1363" i="2" s="1"/>
  <c r="I1364" i="2" s="1"/>
  <c r="I1365" i="2" s="1"/>
  <c r="I1366" i="2" s="1"/>
  <c r="I1367" i="2" s="1"/>
  <c r="I1368" i="2" s="1"/>
  <c r="I1369" i="2" s="1"/>
  <c r="I1370" i="2" s="1"/>
  <c r="I1371" i="2" s="1"/>
  <c r="I1372" i="2" s="1"/>
  <c r="I1373" i="2" s="1"/>
  <c r="I1374" i="2" s="1"/>
  <c r="I1375" i="2" s="1"/>
  <c r="I1376" i="2" s="1"/>
  <c r="I1377" i="2" s="1"/>
  <c r="I1378" i="2" s="1"/>
  <c r="I1379" i="2" s="1"/>
  <c r="I1380" i="2" s="1"/>
  <c r="I1381" i="2" s="1"/>
  <c r="I1382" i="2" s="1"/>
  <c r="I1383" i="2" s="1"/>
  <c r="I1384" i="2" s="1"/>
  <c r="I1385" i="2" s="1"/>
  <c r="I1386" i="2" s="1"/>
  <c r="I1387" i="2" s="1"/>
  <c r="I1388" i="2" s="1"/>
  <c r="I1389" i="2" s="1"/>
  <c r="I1390" i="2" s="1"/>
  <c r="I1391" i="2" s="1"/>
  <c r="I1392" i="2" s="1"/>
  <c r="I1393" i="2" s="1"/>
  <c r="I1394" i="2" s="1"/>
  <c r="I1395" i="2" s="1"/>
  <c r="I1396" i="2" s="1"/>
  <c r="I1397" i="2" s="1"/>
  <c r="I1398" i="2" s="1"/>
  <c r="I1399" i="2" s="1"/>
  <c r="I1400" i="2" s="1"/>
  <c r="I1401" i="2" s="1"/>
  <c r="I1402" i="2" s="1"/>
  <c r="I1403" i="2" s="1"/>
  <c r="I1404" i="2" s="1"/>
  <c r="I1405" i="2" s="1"/>
  <c r="I1406" i="2" s="1"/>
  <c r="I1407" i="2" s="1"/>
  <c r="I1408" i="2" s="1"/>
  <c r="I1409" i="2" s="1"/>
  <c r="I1410" i="2" s="1"/>
  <c r="I1411" i="2" s="1"/>
  <c r="I1412" i="2" s="1"/>
  <c r="I1413" i="2" s="1"/>
  <c r="I1414" i="2" s="1"/>
  <c r="I1415" i="2" s="1"/>
  <c r="I1416" i="2" s="1"/>
  <c r="I1417" i="2" s="1"/>
  <c r="I1418" i="2" s="1"/>
  <c r="I1419" i="2" s="1"/>
  <c r="I1420" i="2" s="1"/>
  <c r="I1421" i="2" s="1"/>
  <c r="I1422" i="2" s="1"/>
  <c r="I1423" i="2" s="1"/>
  <c r="I1424" i="2" s="1"/>
  <c r="I1425" i="2" s="1"/>
  <c r="I1426" i="2" s="1"/>
  <c r="I1427" i="2" s="1"/>
  <c r="I1428" i="2" s="1"/>
  <c r="I1429" i="2" s="1"/>
  <c r="I1430" i="2" s="1"/>
  <c r="I1431" i="2" s="1"/>
  <c r="I1432" i="2" s="1"/>
  <c r="I1433" i="2" s="1"/>
  <c r="I1434" i="2" s="1"/>
  <c r="I1435" i="2" s="1"/>
  <c r="I1436" i="2" s="1"/>
  <c r="I1437" i="2" s="1"/>
  <c r="I1438" i="2" s="1"/>
  <c r="I1439" i="2" s="1"/>
  <c r="I1440" i="2" s="1"/>
  <c r="I1441" i="2" s="1"/>
  <c r="I1442" i="2" s="1"/>
  <c r="I1443" i="2" s="1"/>
  <c r="I1444" i="2" s="1"/>
  <c r="I1445" i="2" s="1"/>
  <c r="I1446" i="2" s="1"/>
  <c r="I1447" i="2" s="1"/>
  <c r="I1448" i="2" s="1"/>
  <c r="I1449" i="2" s="1"/>
  <c r="I1450" i="2" s="1"/>
  <c r="I1451" i="2" s="1"/>
  <c r="I1452" i="2" s="1"/>
  <c r="I1453" i="2" s="1"/>
  <c r="I1454" i="2" s="1"/>
  <c r="I1455" i="2" s="1"/>
  <c r="I1456" i="2" s="1"/>
  <c r="I1457" i="2" s="1"/>
  <c r="I1458" i="2" s="1"/>
  <c r="I1459" i="2" s="1"/>
  <c r="I1460" i="2" s="1"/>
  <c r="I1461" i="2" s="1"/>
  <c r="I1462" i="2" s="1"/>
  <c r="I1463" i="2" s="1"/>
  <c r="I1464" i="2" s="1"/>
  <c r="I1465" i="2" s="1"/>
  <c r="I1466" i="2" s="1"/>
  <c r="I1467" i="2" s="1"/>
  <c r="I1468" i="2" s="1"/>
  <c r="I1469" i="2" s="1"/>
  <c r="I1470" i="2" s="1"/>
  <c r="I1471" i="2" s="1"/>
  <c r="I1472" i="2" s="1"/>
  <c r="I1473" i="2" s="1"/>
  <c r="I1474" i="2" s="1"/>
  <c r="I1475" i="2" s="1"/>
  <c r="I1476" i="2" s="1"/>
  <c r="I1477" i="2" s="1"/>
  <c r="I1478" i="2" s="1"/>
  <c r="I1479" i="2" s="1"/>
  <c r="I1480" i="2" s="1"/>
  <c r="I1481" i="2" s="1"/>
  <c r="I1482" i="2" s="1"/>
  <c r="I1483" i="2" s="1"/>
  <c r="I1484" i="2" s="1"/>
  <c r="I1485" i="2" s="1"/>
  <c r="I1486" i="2" s="1"/>
  <c r="I1487" i="2" s="1"/>
  <c r="I1488" i="2" s="1"/>
  <c r="I1489" i="2" s="1"/>
  <c r="I1490" i="2" s="1"/>
  <c r="I1491" i="2" s="1"/>
  <c r="I1492" i="2" s="1"/>
  <c r="I1493" i="2" s="1"/>
  <c r="I1494" i="2" s="1"/>
  <c r="I1495" i="2" s="1"/>
  <c r="I1496" i="2" s="1"/>
  <c r="I1497" i="2" s="1"/>
  <c r="I1498" i="2" s="1"/>
  <c r="I1499" i="2" s="1"/>
  <c r="I1500" i="2" s="1"/>
  <c r="I1501" i="2" s="1"/>
  <c r="I1502" i="2" s="1"/>
  <c r="I1503" i="2" s="1"/>
  <c r="I1504" i="2" s="1"/>
  <c r="I1505" i="2" s="1"/>
  <c r="I1506" i="2" s="1"/>
  <c r="I1507" i="2" s="1"/>
  <c r="I1508" i="2" s="1"/>
  <c r="I1509" i="2" s="1"/>
  <c r="I1510" i="2" s="1"/>
  <c r="I1511" i="2" s="1"/>
  <c r="I1512" i="2" s="1"/>
  <c r="I1513" i="2" s="1"/>
  <c r="I1514" i="2" s="1"/>
  <c r="I1515" i="2" s="1"/>
  <c r="I1516" i="2" s="1"/>
  <c r="I1517" i="2" s="1"/>
  <c r="I1518" i="2" s="1"/>
  <c r="I1519" i="2" s="1"/>
  <c r="I1520" i="2" s="1"/>
  <c r="I1521" i="2" s="1"/>
  <c r="I1522" i="2" s="1"/>
  <c r="I1523" i="2" s="1"/>
  <c r="I1524" i="2" s="1"/>
  <c r="I1525" i="2" s="1"/>
  <c r="I1526" i="2" s="1"/>
  <c r="I1527" i="2" s="1"/>
  <c r="I1528" i="2" s="1"/>
  <c r="I1529" i="2" s="1"/>
  <c r="I1530" i="2" s="1"/>
  <c r="I1531" i="2" s="1"/>
  <c r="I1532" i="2" s="1"/>
  <c r="I1533" i="2" s="1"/>
  <c r="I1534" i="2" s="1"/>
  <c r="I1535" i="2" s="1"/>
  <c r="I1536" i="2" s="1"/>
  <c r="I1537" i="2" s="1"/>
  <c r="I1538" i="2" s="1"/>
  <c r="I1539" i="2" s="1"/>
  <c r="I1540" i="2" s="1"/>
  <c r="I1541" i="2" s="1"/>
  <c r="I1542" i="2" s="1"/>
  <c r="I1543" i="2" s="1"/>
  <c r="I1544" i="2" s="1"/>
  <c r="I1545" i="2" s="1"/>
  <c r="I1546" i="2" s="1"/>
  <c r="I1547" i="2" s="1"/>
  <c r="I1548" i="2" s="1"/>
  <c r="I1549" i="2" s="1"/>
  <c r="I1550" i="2" s="1"/>
  <c r="I1551" i="2" s="1"/>
  <c r="I1552" i="2" s="1"/>
  <c r="I1553" i="2" s="1"/>
  <c r="I1554" i="2" s="1"/>
  <c r="I1555" i="2" s="1"/>
  <c r="I1556" i="2" s="1"/>
  <c r="I1557" i="2" s="1"/>
  <c r="I1558" i="2" s="1"/>
  <c r="I1559" i="2" s="1"/>
  <c r="I1560" i="2" s="1"/>
  <c r="I1561" i="2" s="1"/>
  <c r="I1562" i="2" s="1"/>
  <c r="I1563" i="2" s="1"/>
  <c r="I1564" i="2" s="1"/>
  <c r="I1565" i="2" s="1"/>
  <c r="I1566" i="2" s="1"/>
  <c r="I1567" i="2" s="1"/>
  <c r="I1568" i="2" s="1"/>
  <c r="I1569" i="2" s="1"/>
  <c r="I1570" i="2" s="1"/>
  <c r="I1571" i="2" s="1"/>
  <c r="I1572" i="2" s="1"/>
  <c r="I1573" i="2" s="1"/>
  <c r="I1574" i="2" s="1"/>
  <c r="I1575" i="2" s="1"/>
  <c r="I1576" i="2" s="1"/>
  <c r="I1577" i="2" s="1"/>
  <c r="I1578" i="2" s="1"/>
  <c r="I1579" i="2" s="1"/>
  <c r="I1580" i="2" s="1"/>
  <c r="I1581" i="2" s="1"/>
  <c r="I1582" i="2" s="1"/>
  <c r="I1583" i="2" s="1"/>
  <c r="I1584" i="2" s="1"/>
  <c r="I1585" i="2" s="1"/>
  <c r="I1586" i="2" s="1"/>
  <c r="I1587" i="2" s="1"/>
  <c r="I1588" i="2" s="1"/>
  <c r="I1589" i="2" s="1"/>
  <c r="I1590" i="2" s="1"/>
  <c r="I1591" i="2" s="1"/>
  <c r="I1592" i="2" s="1"/>
  <c r="I1593" i="2" s="1"/>
  <c r="I1594" i="2" s="1"/>
  <c r="I1595" i="2" s="1"/>
  <c r="I1596" i="2" s="1"/>
  <c r="I1597" i="2" s="1"/>
  <c r="I1598" i="2" s="1"/>
  <c r="I1599" i="2" s="1"/>
  <c r="I1600" i="2" s="1"/>
  <c r="I1601" i="2" s="1"/>
  <c r="I1602" i="2" s="1"/>
  <c r="I1603" i="2" s="1"/>
  <c r="I1604" i="2" s="1"/>
  <c r="I1605" i="2" s="1"/>
  <c r="I1606" i="2" s="1"/>
  <c r="I1607" i="2" s="1"/>
  <c r="I1608" i="2" s="1"/>
  <c r="I1609" i="2" s="1"/>
  <c r="I1610" i="2" s="1"/>
  <c r="I1611" i="2" s="1"/>
  <c r="I1612" i="2" s="1"/>
  <c r="I1613" i="2" s="1"/>
  <c r="I1614" i="2" s="1"/>
  <c r="I1615" i="2" s="1"/>
  <c r="I1616" i="2" s="1"/>
  <c r="I1617" i="2" s="1"/>
  <c r="I1618" i="2" s="1"/>
  <c r="I1619" i="2" s="1"/>
  <c r="I1620" i="2" s="1"/>
  <c r="I1621" i="2" s="1"/>
  <c r="I1622" i="2" s="1"/>
  <c r="I1623" i="2" s="1"/>
  <c r="I1624" i="2" s="1"/>
  <c r="I1625" i="2" s="1"/>
  <c r="I1626" i="2" s="1"/>
  <c r="I1627" i="2" s="1"/>
  <c r="I1628" i="2" s="1"/>
  <c r="I1629" i="2" s="1"/>
  <c r="I1630" i="2" s="1"/>
  <c r="I1631" i="2" s="1"/>
  <c r="I1632" i="2" s="1"/>
  <c r="I1633" i="2" s="1"/>
  <c r="I1634" i="2" s="1"/>
  <c r="I1635" i="2" s="1"/>
  <c r="I1636" i="2" s="1"/>
  <c r="I1637" i="2" s="1"/>
  <c r="I1638" i="2" s="1"/>
  <c r="I1639" i="2" s="1"/>
  <c r="I1640" i="2" s="1"/>
  <c r="I1641" i="2" s="1"/>
  <c r="I1642" i="2" s="1"/>
  <c r="I1643" i="2" s="1"/>
  <c r="I1644" i="2" s="1"/>
  <c r="I1645" i="2" s="1"/>
  <c r="I1646" i="2" s="1"/>
  <c r="I1647" i="2" s="1"/>
  <c r="I1648" i="2" s="1"/>
  <c r="I1649" i="2" s="1"/>
  <c r="I1650" i="2" s="1"/>
  <c r="I1651" i="2" s="1"/>
  <c r="I1652" i="2" s="1"/>
  <c r="I1653" i="2" s="1"/>
  <c r="I1654" i="2" s="1"/>
  <c r="I1655" i="2" s="1"/>
  <c r="I1656" i="2" s="1"/>
  <c r="I1657" i="2" s="1"/>
  <c r="I1658" i="2" s="1"/>
  <c r="I1659" i="2" s="1"/>
  <c r="I1660" i="2" s="1"/>
  <c r="I1661" i="2" s="1"/>
  <c r="I1662" i="2" s="1"/>
  <c r="I1663" i="2" s="1"/>
  <c r="I1664" i="2" s="1"/>
  <c r="I1665" i="2" s="1"/>
  <c r="I1666" i="2" s="1"/>
  <c r="I1667" i="2" s="1"/>
  <c r="I1668" i="2" s="1"/>
  <c r="I1669" i="2" s="1"/>
  <c r="I1670" i="2" s="1"/>
  <c r="I1671" i="2" s="1"/>
  <c r="I1672" i="2" s="1"/>
  <c r="I1673" i="2" s="1"/>
  <c r="I1674" i="2" s="1"/>
  <c r="I1675" i="2" s="1"/>
  <c r="I1676" i="2" s="1"/>
  <c r="I1677" i="2" s="1"/>
  <c r="I1678" i="2" s="1"/>
  <c r="I1679" i="2" s="1"/>
  <c r="I1680" i="2" s="1"/>
  <c r="I1681" i="2" s="1"/>
  <c r="I1682" i="2" s="1"/>
  <c r="I1683" i="2" s="1"/>
  <c r="I1684" i="2" s="1"/>
  <c r="I1685" i="2" s="1"/>
  <c r="I1686" i="2" s="1"/>
  <c r="I1687" i="2" s="1"/>
  <c r="I1688" i="2" s="1"/>
  <c r="I1689" i="2" s="1"/>
  <c r="I1690" i="2" s="1"/>
  <c r="I1691" i="2" s="1"/>
  <c r="I1692" i="2" s="1"/>
  <c r="I1693" i="2" s="1"/>
  <c r="I1694" i="2" s="1"/>
  <c r="I1695" i="2" s="1"/>
  <c r="I1696" i="2" s="1"/>
  <c r="I1697" i="2" s="1"/>
  <c r="I1698" i="2" s="1"/>
  <c r="I1699" i="2" s="1"/>
  <c r="I1700" i="2" s="1"/>
  <c r="I1701" i="2" s="1"/>
  <c r="I1702" i="2" s="1"/>
  <c r="I1703" i="2" s="1"/>
  <c r="I1704" i="2" s="1"/>
  <c r="I1705" i="2" s="1"/>
  <c r="I1706" i="2" s="1"/>
  <c r="I1707" i="2" s="1"/>
  <c r="I1708" i="2" s="1"/>
  <c r="I1709" i="2" s="1"/>
  <c r="I1710" i="2" s="1"/>
  <c r="I1711" i="2" s="1"/>
  <c r="I1712" i="2" s="1"/>
  <c r="I1713" i="2" s="1"/>
  <c r="I1714" i="2" s="1"/>
  <c r="I1715" i="2" s="1"/>
  <c r="I1716" i="2" s="1"/>
  <c r="I1717" i="2" s="1"/>
  <c r="I1718" i="2" s="1"/>
  <c r="I1719" i="2" s="1"/>
  <c r="I1720" i="2" s="1"/>
  <c r="I1721" i="2" s="1"/>
  <c r="I1722" i="2" s="1"/>
  <c r="I1723" i="2" s="1"/>
  <c r="I1724" i="2" s="1"/>
  <c r="I1725" i="2" s="1"/>
  <c r="I1726" i="2" s="1"/>
  <c r="I1727" i="2" s="1"/>
  <c r="I1728" i="2" s="1"/>
  <c r="I1729" i="2" s="1"/>
  <c r="I1730" i="2" s="1"/>
  <c r="I1731" i="2" s="1"/>
  <c r="I1732" i="2" s="1"/>
  <c r="I1733" i="2" s="1"/>
  <c r="I1734" i="2" s="1"/>
  <c r="I1735" i="2" s="1"/>
  <c r="I1736" i="2" s="1"/>
  <c r="I1737" i="2" s="1"/>
  <c r="I1738" i="2" s="1"/>
  <c r="I1739" i="2" s="1"/>
  <c r="I1740" i="2" s="1"/>
  <c r="I1741" i="2" s="1"/>
  <c r="I1742" i="2" s="1"/>
  <c r="I1743" i="2" s="1"/>
  <c r="I1744" i="2" s="1"/>
  <c r="I1745" i="2" s="1"/>
  <c r="I1746" i="2" s="1"/>
  <c r="I1747" i="2" s="1"/>
  <c r="I1748" i="2" s="1"/>
  <c r="I1749" i="2" s="1"/>
  <c r="I1750" i="2" s="1"/>
  <c r="I1751" i="2" s="1"/>
  <c r="I1752" i="2" s="1"/>
  <c r="I1753" i="2" s="1"/>
  <c r="I1754" i="2" s="1"/>
  <c r="I1755" i="2" s="1"/>
  <c r="I1756" i="2" s="1"/>
  <c r="I1757" i="2" s="1"/>
  <c r="I1758" i="2" s="1"/>
  <c r="I1759" i="2" s="1"/>
  <c r="I1760" i="2" s="1"/>
  <c r="I1761" i="2" s="1"/>
  <c r="I1762" i="2" s="1"/>
  <c r="I1763" i="2" s="1"/>
  <c r="I1764" i="2" s="1"/>
  <c r="I1765" i="2" s="1"/>
  <c r="I1766" i="2" s="1"/>
  <c r="I1767" i="2" s="1"/>
  <c r="I1768" i="2" s="1"/>
  <c r="I1769" i="2" s="1"/>
  <c r="I1770" i="2" s="1"/>
  <c r="I1771" i="2" s="1"/>
  <c r="I1772" i="2" s="1"/>
  <c r="I1773" i="2" s="1"/>
  <c r="I1774" i="2" s="1"/>
  <c r="I1775" i="2" s="1"/>
  <c r="I1776" i="2" s="1"/>
  <c r="I1777" i="2" s="1"/>
  <c r="I1778" i="2" s="1"/>
  <c r="I1779" i="2" s="1"/>
  <c r="I1780" i="2" s="1"/>
  <c r="I1781" i="2" s="1"/>
  <c r="I1782" i="2" s="1"/>
  <c r="I1783" i="2" s="1"/>
  <c r="I1784" i="2" s="1"/>
  <c r="I1785" i="2" s="1"/>
  <c r="I1786" i="2" s="1"/>
  <c r="I1787" i="2" s="1"/>
  <c r="I1788" i="2" s="1"/>
  <c r="I1789" i="2" s="1"/>
  <c r="I1790" i="2" s="1"/>
  <c r="I1791" i="2" s="1"/>
  <c r="I1792" i="2" s="1"/>
  <c r="I1793" i="2" s="1"/>
  <c r="I1794" i="2" s="1"/>
  <c r="I1795" i="2" s="1"/>
  <c r="I1796" i="2" s="1"/>
  <c r="I1797" i="2" s="1"/>
  <c r="I1798" i="2" s="1"/>
  <c r="I1799" i="2" s="1"/>
  <c r="I1800" i="2" s="1"/>
  <c r="I1801" i="2" s="1"/>
  <c r="I1802" i="2" s="1"/>
  <c r="I1803" i="2" s="1"/>
  <c r="I1804" i="2" s="1"/>
  <c r="I1805" i="2" s="1"/>
  <c r="I1806" i="2" s="1"/>
  <c r="I1807" i="2" s="1"/>
  <c r="I1808" i="2" s="1"/>
  <c r="I1809" i="2" s="1"/>
  <c r="I1810" i="2" s="1"/>
  <c r="I1811" i="2" s="1"/>
  <c r="I1812" i="2" s="1"/>
  <c r="I1813" i="2" s="1"/>
  <c r="I1814" i="2" s="1"/>
  <c r="I1815" i="2" s="1"/>
  <c r="I1816" i="2" s="1"/>
  <c r="I1817" i="2" s="1"/>
  <c r="I1818" i="2" s="1"/>
  <c r="I1819" i="2" s="1"/>
  <c r="I1820" i="2" s="1"/>
  <c r="I1821" i="2" s="1"/>
  <c r="I1822" i="2" s="1"/>
  <c r="I1823" i="2" s="1"/>
  <c r="I1824" i="2" s="1"/>
  <c r="I1825" i="2" s="1"/>
  <c r="I1826" i="2" s="1"/>
  <c r="I1827" i="2" s="1"/>
  <c r="I1828" i="2" s="1"/>
  <c r="I1829" i="2" s="1"/>
  <c r="I1830" i="2" s="1"/>
  <c r="I1831" i="2" s="1"/>
  <c r="I1832" i="2" s="1"/>
  <c r="I1833" i="2" s="1"/>
  <c r="I1834" i="2" s="1"/>
  <c r="I1835" i="2" s="1"/>
  <c r="I1836" i="2" s="1"/>
  <c r="I1837" i="2" s="1"/>
  <c r="I1838" i="2" s="1"/>
  <c r="I1839" i="2" s="1"/>
  <c r="I1840" i="2" s="1"/>
  <c r="I1841" i="2" s="1"/>
  <c r="I1842" i="2" s="1"/>
  <c r="I1843" i="2" s="1"/>
  <c r="I1844" i="2" s="1"/>
  <c r="I1346" i="2"/>
  <c r="I1345" i="2"/>
  <c r="H1342" i="2"/>
  <c r="G1342" i="2"/>
  <c r="I1342" i="2" s="1"/>
  <c r="I1341" i="2"/>
  <c r="I1338" i="2"/>
  <c r="H1338" i="2"/>
  <c r="G1338" i="2"/>
  <c r="I1313" i="2"/>
  <c r="I1314" i="2" s="1"/>
  <c r="I1315" i="2" s="1"/>
  <c r="I1316" i="2" s="1"/>
  <c r="I1317" i="2" s="1"/>
  <c r="I1318" i="2" s="1"/>
  <c r="I1319" i="2" s="1"/>
  <c r="I1320" i="2" s="1"/>
  <c r="I1321" i="2" s="1"/>
  <c r="I1322" i="2" s="1"/>
  <c r="I1323" i="2" s="1"/>
  <c r="I1324" i="2" s="1"/>
  <c r="I1325" i="2" s="1"/>
  <c r="I1326" i="2" s="1"/>
  <c r="I1327" i="2" s="1"/>
  <c r="I1328" i="2" s="1"/>
  <c r="I1329" i="2" s="1"/>
  <c r="I1330" i="2" s="1"/>
  <c r="I1331" i="2" s="1"/>
  <c r="I1332" i="2" s="1"/>
  <c r="I1333" i="2" s="1"/>
  <c r="I1334" i="2" s="1"/>
  <c r="I1335" i="2" s="1"/>
  <c r="I1336" i="2" s="1"/>
  <c r="I1337" i="2" s="1"/>
  <c r="H1310" i="2"/>
  <c r="G1310" i="2"/>
  <c r="I1277" i="2"/>
  <c r="I1278" i="2" s="1"/>
  <c r="I1279" i="2" s="1"/>
  <c r="I1280" i="2" s="1"/>
  <c r="I1281" i="2" s="1"/>
  <c r="I1282" i="2" s="1"/>
  <c r="I1283" i="2" s="1"/>
  <c r="I1284" i="2" s="1"/>
  <c r="I1285" i="2" s="1"/>
  <c r="I1286" i="2" s="1"/>
  <c r="I1287" i="2" s="1"/>
  <c r="I1288" i="2" s="1"/>
  <c r="I1289" i="2" s="1"/>
  <c r="I1290" i="2" s="1"/>
  <c r="I1291" i="2" s="1"/>
  <c r="I1292" i="2" s="1"/>
  <c r="I1293" i="2" s="1"/>
  <c r="I1294" i="2" s="1"/>
  <c r="I1295" i="2" s="1"/>
  <c r="I1296" i="2" s="1"/>
  <c r="I1297" i="2" s="1"/>
  <c r="I1298" i="2" s="1"/>
  <c r="I1299" i="2" s="1"/>
  <c r="I1300" i="2" s="1"/>
  <c r="I1301" i="2" s="1"/>
  <c r="I1302" i="2" s="1"/>
  <c r="I1303" i="2" s="1"/>
  <c r="I1304" i="2" s="1"/>
  <c r="I1305" i="2" s="1"/>
  <c r="I1306" i="2" s="1"/>
  <c r="I1307" i="2" s="1"/>
  <c r="I1308" i="2" s="1"/>
  <c r="I1309" i="2" s="1"/>
  <c r="I1227" i="2"/>
  <c r="I1228" i="2" s="1"/>
  <c r="I1229" i="2" s="1"/>
  <c r="I1230" i="2" s="1"/>
  <c r="I1231" i="2" s="1"/>
  <c r="I1232" i="2" s="1"/>
  <c r="I1233" i="2" s="1"/>
  <c r="I1234" i="2" s="1"/>
  <c r="I1235" i="2" s="1"/>
  <c r="I1236" i="2" s="1"/>
  <c r="I1237" i="2" s="1"/>
  <c r="I1238" i="2" s="1"/>
  <c r="I1239" i="2" s="1"/>
  <c r="I1240" i="2" s="1"/>
  <c r="I1241" i="2" s="1"/>
  <c r="I1242" i="2" s="1"/>
  <c r="I1243" i="2" s="1"/>
  <c r="I1244" i="2" s="1"/>
  <c r="I1245" i="2" s="1"/>
  <c r="I1246" i="2" s="1"/>
  <c r="I1247" i="2" s="1"/>
  <c r="I1248" i="2" s="1"/>
  <c r="I1249" i="2" s="1"/>
  <c r="I1250" i="2" s="1"/>
  <c r="I1251" i="2" s="1"/>
  <c r="I1252" i="2" s="1"/>
  <c r="I1253" i="2" s="1"/>
  <c r="I1254" i="2" s="1"/>
  <c r="I1255" i="2" s="1"/>
  <c r="I1256" i="2" s="1"/>
  <c r="I1257" i="2" s="1"/>
  <c r="I1258" i="2" s="1"/>
  <c r="I1259" i="2" s="1"/>
  <c r="I1260" i="2" s="1"/>
  <c r="I1261" i="2" s="1"/>
  <c r="I1262" i="2" s="1"/>
  <c r="I1263" i="2" s="1"/>
  <c r="I1264" i="2" s="1"/>
  <c r="I1265" i="2" s="1"/>
  <c r="I1266" i="2" s="1"/>
  <c r="I1267" i="2" s="1"/>
  <c r="I1268" i="2" s="1"/>
  <c r="I1269" i="2" s="1"/>
  <c r="I1270" i="2" s="1"/>
  <c r="I1271" i="2" s="1"/>
  <c r="I1272" i="2" s="1"/>
  <c r="I1273" i="2" s="1"/>
  <c r="I1274" i="2" s="1"/>
  <c r="I1275" i="2" s="1"/>
  <c r="I1276" i="2" s="1"/>
  <c r="H1224" i="2"/>
  <c r="I1224" i="2" s="1"/>
  <c r="G1224" i="2"/>
  <c r="I1223" i="2"/>
  <c r="H1220" i="2"/>
  <c r="G1220" i="2"/>
  <c r="I1220" i="2" s="1"/>
  <c r="I1219" i="2"/>
  <c r="I1217" i="2"/>
  <c r="I1218" i="2" s="1"/>
  <c r="H1214" i="2"/>
  <c r="G1214" i="2"/>
  <c r="I1214" i="2" s="1"/>
  <c r="I1213" i="2"/>
  <c r="H1210" i="2"/>
  <c r="G1210" i="2"/>
  <c r="I1210" i="2" s="1"/>
  <c r="I1205" i="2"/>
  <c r="I1206" i="2" s="1"/>
  <c r="I1207" i="2" s="1"/>
  <c r="I1208" i="2" s="1"/>
  <c r="I1209" i="2" s="1"/>
  <c r="I1203" i="2"/>
  <c r="I1204" i="2" s="1"/>
  <c r="I1200" i="2"/>
  <c r="H1200" i="2"/>
  <c r="G1200" i="2"/>
  <c r="I1195" i="2"/>
  <c r="I1196" i="2" s="1"/>
  <c r="I1197" i="2" s="1"/>
  <c r="I1198" i="2" s="1"/>
  <c r="I1199" i="2" s="1"/>
  <c r="I1194" i="2"/>
  <c r="I1193" i="2"/>
  <c r="H1190" i="2"/>
  <c r="G1190" i="2"/>
  <c r="I1190" i="2" s="1"/>
  <c r="I1189" i="2"/>
  <c r="I1186" i="2"/>
  <c r="H1186" i="2"/>
  <c r="G1186" i="2"/>
  <c r="I1164" i="2"/>
  <c r="I1165" i="2" s="1"/>
  <c r="I1166" i="2" s="1"/>
  <c r="I1167" i="2" s="1"/>
  <c r="I1168" i="2" s="1"/>
  <c r="I1169" i="2" s="1"/>
  <c r="I1170" i="2" s="1"/>
  <c r="I1171" i="2" s="1"/>
  <c r="I1172" i="2" s="1"/>
  <c r="I1173" i="2" s="1"/>
  <c r="I1174" i="2" s="1"/>
  <c r="I1175" i="2" s="1"/>
  <c r="I1176" i="2" s="1"/>
  <c r="I1177" i="2" s="1"/>
  <c r="I1178" i="2" s="1"/>
  <c r="I1179" i="2" s="1"/>
  <c r="I1180" i="2" s="1"/>
  <c r="I1181" i="2" s="1"/>
  <c r="I1182" i="2" s="1"/>
  <c r="I1183" i="2" s="1"/>
  <c r="I1184" i="2" s="1"/>
  <c r="I1185" i="2" s="1"/>
  <c r="I1162" i="2"/>
  <c r="I1163" i="2" s="1"/>
  <c r="H1159" i="2"/>
  <c r="I1159" i="2" s="1"/>
  <c r="G1159" i="2"/>
  <c r="I1157" i="2"/>
  <c r="I1158" i="2" s="1"/>
  <c r="I1156" i="2"/>
  <c r="H1153" i="2"/>
  <c r="G1153" i="2"/>
  <c r="I1153" i="2" s="1"/>
  <c r="I1140" i="2"/>
  <c r="I1141" i="2" s="1"/>
  <c r="I1142" i="2" s="1"/>
  <c r="I1143" i="2" s="1"/>
  <c r="I1144" i="2" s="1"/>
  <c r="I1145" i="2" s="1"/>
  <c r="I1146" i="2" s="1"/>
  <c r="I1147" i="2" s="1"/>
  <c r="I1148" i="2" s="1"/>
  <c r="I1149" i="2" s="1"/>
  <c r="I1150" i="2" s="1"/>
  <c r="I1151" i="2" s="1"/>
  <c r="I1152" i="2" s="1"/>
  <c r="H1137" i="2"/>
  <c r="G1137" i="2"/>
  <c r="I1137" i="2" s="1"/>
  <c r="I1136" i="2"/>
  <c r="H1133" i="2"/>
  <c r="G1133" i="2"/>
  <c r="I1133" i="2" s="1"/>
  <c r="I1109" i="2"/>
  <c r="I1110" i="2" s="1"/>
  <c r="I1111" i="2" s="1"/>
  <c r="I1112" i="2" s="1"/>
  <c r="I1113" i="2" s="1"/>
  <c r="I1114" i="2" s="1"/>
  <c r="I1115" i="2" s="1"/>
  <c r="I1116" i="2" s="1"/>
  <c r="I1117" i="2" s="1"/>
  <c r="I1118" i="2" s="1"/>
  <c r="I1119" i="2" s="1"/>
  <c r="I1120" i="2" s="1"/>
  <c r="I1121" i="2" s="1"/>
  <c r="I1122" i="2" s="1"/>
  <c r="I1123" i="2" s="1"/>
  <c r="I1124" i="2" s="1"/>
  <c r="I1125" i="2" s="1"/>
  <c r="I1126" i="2" s="1"/>
  <c r="I1127" i="2" s="1"/>
  <c r="I1128" i="2" s="1"/>
  <c r="I1129" i="2" s="1"/>
  <c r="I1130" i="2" s="1"/>
  <c r="I1131" i="2" s="1"/>
  <c r="I1132" i="2" s="1"/>
  <c r="I1107" i="2"/>
  <c r="I1108" i="2" s="1"/>
  <c r="H1104" i="2"/>
  <c r="G1104" i="2"/>
  <c r="I1104" i="2" s="1"/>
  <c r="I1098" i="2"/>
  <c r="I1099" i="2" s="1"/>
  <c r="I1100" i="2" s="1"/>
  <c r="I1101" i="2" s="1"/>
  <c r="I1102" i="2" s="1"/>
  <c r="I1103" i="2" s="1"/>
  <c r="I1097" i="2"/>
  <c r="H1094" i="2"/>
  <c r="G1094" i="2"/>
  <c r="I1094" i="2" s="1"/>
  <c r="I1093" i="2"/>
  <c r="I1090" i="2"/>
  <c r="H1090" i="2"/>
  <c r="G1090" i="2"/>
  <c r="I1089" i="2"/>
  <c r="I1086" i="2"/>
  <c r="H1086" i="2"/>
  <c r="G1086" i="2"/>
  <c r="I1078" i="2"/>
  <c r="I1079" i="2" s="1"/>
  <c r="I1080" i="2" s="1"/>
  <c r="I1081" i="2" s="1"/>
  <c r="I1082" i="2" s="1"/>
  <c r="I1083" i="2" s="1"/>
  <c r="I1084" i="2" s="1"/>
  <c r="I1085" i="2" s="1"/>
  <c r="H1075" i="2"/>
  <c r="I1075" i="2" s="1"/>
  <c r="G1075" i="2"/>
  <c r="I1066" i="2"/>
  <c r="I1067" i="2" s="1"/>
  <c r="I1068" i="2" s="1"/>
  <c r="I1069" i="2" s="1"/>
  <c r="I1070" i="2" s="1"/>
  <c r="I1071" i="2" s="1"/>
  <c r="I1072" i="2" s="1"/>
  <c r="I1073" i="2" s="1"/>
  <c r="I1074" i="2" s="1"/>
  <c r="I1063" i="2"/>
  <c r="H1063" i="2"/>
  <c r="G1063" i="2"/>
  <c r="I1062" i="2"/>
  <c r="I1059" i="2"/>
  <c r="H1059" i="2"/>
  <c r="G1059" i="2"/>
  <c r="I1050" i="2"/>
  <c r="I1051" i="2" s="1"/>
  <c r="I1052" i="2" s="1"/>
  <c r="I1053" i="2" s="1"/>
  <c r="I1054" i="2" s="1"/>
  <c r="I1055" i="2" s="1"/>
  <c r="I1056" i="2" s="1"/>
  <c r="I1057" i="2" s="1"/>
  <c r="I1058" i="2" s="1"/>
  <c r="I1049" i="2"/>
  <c r="I1047" i="2"/>
  <c r="I1048" i="2" s="1"/>
  <c r="H1044" i="2"/>
  <c r="G1044" i="2"/>
  <c r="I1044" i="2" s="1"/>
  <c r="I1041" i="2"/>
  <c r="I1042" i="2" s="1"/>
  <c r="I1043" i="2" s="1"/>
  <c r="I1032" i="2"/>
  <c r="I1033" i="2" s="1"/>
  <c r="I1034" i="2" s="1"/>
  <c r="I1035" i="2" s="1"/>
  <c r="I1036" i="2" s="1"/>
  <c r="I1037" i="2" s="1"/>
  <c r="I1038" i="2" s="1"/>
  <c r="I1039" i="2" s="1"/>
  <c r="I1040" i="2" s="1"/>
  <c r="I1027" i="2"/>
  <c r="I1028" i="2" s="1"/>
  <c r="I1029" i="2" s="1"/>
  <c r="I1030" i="2" s="1"/>
  <c r="I1031" i="2" s="1"/>
  <c r="I1025" i="2"/>
  <c r="I1026" i="2" s="1"/>
  <c r="I1023" i="2"/>
  <c r="I1024" i="2" s="1"/>
  <c r="H1020" i="2"/>
  <c r="G1020" i="2"/>
  <c r="I1020" i="2" s="1"/>
  <c r="I1010" i="2"/>
  <c r="I1011" i="2" s="1"/>
  <c r="I1012" i="2" s="1"/>
  <c r="I1013" i="2" s="1"/>
  <c r="I1014" i="2" s="1"/>
  <c r="I1015" i="2" s="1"/>
  <c r="I1016" i="2" s="1"/>
  <c r="I1017" i="2" s="1"/>
  <c r="I1018" i="2" s="1"/>
  <c r="I1019" i="2" s="1"/>
  <c r="I1002" i="2"/>
  <c r="I1003" i="2" s="1"/>
  <c r="I1004" i="2" s="1"/>
  <c r="I1005" i="2" s="1"/>
  <c r="I1006" i="2" s="1"/>
  <c r="I1007" i="2" s="1"/>
  <c r="I1008" i="2" s="1"/>
  <c r="I1009" i="2" s="1"/>
  <c r="I999" i="2"/>
  <c r="H999" i="2"/>
  <c r="G999" i="2"/>
  <c r="I996" i="2"/>
  <c r="I997" i="2" s="1"/>
  <c r="I998" i="2" s="1"/>
  <c r="I984" i="2"/>
  <c r="I985" i="2" s="1"/>
  <c r="I986" i="2" s="1"/>
  <c r="I987" i="2" s="1"/>
  <c r="I988" i="2" s="1"/>
  <c r="I989" i="2" s="1"/>
  <c r="I990" i="2" s="1"/>
  <c r="I991" i="2" s="1"/>
  <c r="I992" i="2" s="1"/>
  <c r="I993" i="2" s="1"/>
  <c r="I994" i="2" s="1"/>
  <c r="I995" i="2" s="1"/>
  <c r="H981" i="2"/>
  <c r="G981" i="2"/>
  <c r="I981" i="2" s="1"/>
  <c r="I977" i="2"/>
  <c r="I978" i="2" s="1"/>
  <c r="I979" i="2" s="1"/>
  <c r="I980" i="2" s="1"/>
  <c r="I976" i="2"/>
  <c r="H973" i="2"/>
  <c r="G973" i="2"/>
  <c r="I973" i="2" s="1"/>
  <c r="I972" i="2"/>
  <c r="I967" i="2"/>
  <c r="I968" i="2" s="1"/>
  <c r="I969" i="2" s="1"/>
  <c r="I970" i="2" s="1"/>
  <c r="I971" i="2" s="1"/>
  <c r="H964" i="2"/>
  <c r="I964" i="2" s="1"/>
  <c r="G964" i="2"/>
  <c r="I961" i="2"/>
  <c r="I962" i="2" s="1"/>
  <c r="I963" i="2" s="1"/>
  <c r="I958" i="2"/>
  <c r="I959" i="2" s="1"/>
  <c r="I960" i="2" s="1"/>
  <c r="H955" i="2"/>
  <c r="I955" i="2" s="1"/>
  <c r="G955" i="2"/>
  <c r="I954" i="2"/>
  <c r="I953" i="2"/>
  <c r="H950" i="2"/>
  <c r="G950" i="2"/>
  <c r="I950" i="2" s="1"/>
  <c r="I949" i="2"/>
  <c r="I946" i="2"/>
  <c r="H946" i="2"/>
  <c r="G946" i="2"/>
  <c r="I944" i="2"/>
  <c r="I945" i="2" s="1"/>
  <c r="I943" i="2"/>
  <c r="H940" i="2"/>
  <c r="I940" i="2" s="1"/>
  <c r="G940" i="2"/>
  <c r="I929" i="2"/>
  <c r="I930" i="2" s="1"/>
  <c r="I931" i="2" s="1"/>
  <c r="I932" i="2" s="1"/>
  <c r="I933" i="2" s="1"/>
  <c r="I934" i="2" s="1"/>
  <c r="I935" i="2" s="1"/>
  <c r="I936" i="2" s="1"/>
  <c r="I937" i="2" s="1"/>
  <c r="I938" i="2" s="1"/>
  <c r="I939" i="2" s="1"/>
  <c r="I928" i="2"/>
  <c r="H925" i="2"/>
  <c r="G925" i="2"/>
  <c r="I925" i="2" s="1"/>
  <c r="I906" i="2"/>
  <c r="I907" i="2" s="1"/>
  <c r="I908" i="2" s="1"/>
  <c r="I909" i="2" s="1"/>
  <c r="I910" i="2" s="1"/>
  <c r="I911" i="2" s="1"/>
  <c r="I912" i="2" s="1"/>
  <c r="I913" i="2" s="1"/>
  <c r="I914" i="2" s="1"/>
  <c r="I915" i="2" s="1"/>
  <c r="I916" i="2" s="1"/>
  <c r="I917" i="2" s="1"/>
  <c r="I918" i="2" s="1"/>
  <c r="I919" i="2" s="1"/>
  <c r="I920" i="2" s="1"/>
  <c r="I921" i="2" s="1"/>
  <c r="I922" i="2" s="1"/>
  <c r="I923" i="2" s="1"/>
  <c r="I924" i="2" s="1"/>
  <c r="I905" i="2"/>
  <c r="H902" i="2"/>
  <c r="G902" i="2"/>
  <c r="I902" i="2" s="1"/>
  <c r="I901" i="2"/>
  <c r="I898" i="2"/>
  <c r="H898" i="2"/>
  <c r="G898" i="2"/>
  <c r="I893" i="2"/>
  <c r="I894" i="2" s="1"/>
  <c r="I895" i="2" s="1"/>
  <c r="I896" i="2" s="1"/>
  <c r="I897" i="2" s="1"/>
  <c r="I891" i="2"/>
  <c r="I892" i="2" s="1"/>
  <c r="H888" i="2"/>
  <c r="G888" i="2"/>
  <c r="I888" i="2" s="1"/>
  <c r="I885" i="2"/>
  <c r="I886" i="2" s="1"/>
  <c r="I887" i="2" s="1"/>
  <c r="H882" i="2"/>
  <c r="G882" i="2"/>
  <c r="I882" i="2" s="1"/>
  <c r="I881" i="2"/>
  <c r="I878" i="2"/>
  <c r="I879" i="2" s="1"/>
  <c r="I880" i="2" s="1"/>
  <c r="I875" i="2"/>
  <c r="H875" i="2"/>
  <c r="G875" i="2"/>
  <c r="I872" i="2"/>
  <c r="I873" i="2" s="1"/>
  <c r="I874" i="2" s="1"/>
  <c r="I871" i="2"/>
  <c r="I868" i="2"/>
  <c r="H868" i="2"/>
  <c r="G868" i="2"/>
  <c r="I847" i="2"/>
  <c r="I848" i="2" s="1"/>
  <c r="I849" i="2" s="1"/>
  <c r="I850" i="2" s="1"/>
  <c r="I851" i="2" s="1"/>
  <c r="I852" i="2" s="1"/>
  <c r="I853" i="2" s="1"/>
  <c r="I854" i="2" s="1"/>
  <c r="I855" i="2" s="1"/>
  <c r="I856" i="2" s="1"/>
  <c r="I857" i="2" s="1"/>
  <c r="I858" i="2" s="1"/>
  <c r="I859" i="2" s="1"/>
  <c r="I860" i="2" s="1"/>
  <c r="I861" i="2" s="1"/>
  <c r="I862" i="2" s="1"/>
  <c r="I863" i="2" s="1"/>
  <c r="I864" i="2" s="1"/>
  <c r="I865" i="2" s="1"/>
  <c r="I866" i="2" s="1"/>
  <c r="I867" i="2" s="1"/>
  <c r="I846" i="2"/>
  <c r="I843" i="2"/>
  <c r="H843" i="2"/>
  <c r="G843" i="2"/>
  <c r="I816" i="2"/>
  <c r="I817" i="2" s="1"/>
  <c r="I818" i="2" s="1"/>
  <c r="I819" i="2" s="1"/>
  <c r="I820" i="2" s="1"/>
  <c r="I821" i="2" s="1"/>
  <c r="I822" i="2" s="1"/>
  <c r="I823" i="2" s="1"/>
  <c r="I824" i="2" s="1"/>
  <c r="I825" i="2" s="1"/>
  <c r="I826" i="2" s="1"/>
  <c r="I827" i="2" s="1"/>
  <c r="I828" i="2" s="1"/>
  <c r="I829" i="2" s="1"/>
  <c r="I830" i="2" s="1"/>
  <c r="I831" i="2" s="1"/>
  <c r="I832" i="2" s="1"/>
  <c r="I833" i="2" s="1"/>
  <c r="I834" i="2" s="1"/>
  <c r="I835" i="2" s="1"/>
  <c r="I836" i="2" s="1"/>
  <c r="I837" i="2" s="1"/>
  <c r="I838" i="2" s="1"/>
  <c r="I839" i="2" s="1"/>
  <c r="I840" i="2" s="1"/>
  <c r="I841" i="2" s="1"/>
  <c r="I842" i="2" s="1"/>
  <c r="H813" i="2"/>
  <c r="G813" i="2"/>
  <c r="I813" i="2" s="1"/>
  <c r="I809" i="2"/>
  <c r="I810" i="2" s="1"/>
  <c r="I811" i="2" s="1"/>
  <c r="I812" i="2" s="1"/>
  <c r="I808" i="2"/>
  <c r="H805" i="2"/>
  <c r="G805" i="2"/>
  <c r="I805" i="2" s="1"/>
  <c r="I773" i="2"/>
  <c r="I774" i="2" s="1"/>
  <c r="I775" i="2" s="1"/>
  <c r="I776" i="2" s="1"/>
  <c r="I777" i="2" s="1"/>
  <c r="I778" i="2" s="1"/>
  <c r="I779" i="2" s="1"/>
  <c r="I780" i="2" s="1"/>
  <c r="I781" i="2" s="1"/>
  <c r="I782" i="2" s="1"/>
  <c r="I783" i="2" s="1"/>
  <c r="I784" i="2" s="1"/>
  <c r="I785" i="2" s="1"/>
  <c r="I786" i="2" s="1"/>
  <c r="I787" i="2" s="1"/>
  <c r="I788" i="2" s="1"/>
  <c r="I789" i="2" s="1"/>
  <c r="I790" i="2" s="1"/>
  <c r="I791" i="2" s="1"/>
  <c r="I792" i="2" s="1"/>
  <c r="I793" i="2" s="1"/>
  <c r="I794" i="2" s="1"/>
  <c r="I795" i="2" s="1"/>
  <c r="I796" i="2" s="1"/>
  <c r="I797" i="2" s="1"/>
  <c r="I798" i="2" s="1"/>
  <c r="I799" i="2" s="1"/>
  <c r="I800" i="2" s="1"/>
  <c r="I801" i="2" s="1"/>
  <c r="I802" i="2" s="1"/>
  <c r="I803" i="2" s="1"/>
  <c r="I804" i="2" s="1"/>
  <c r="I769" i="2"/>
  <c r="I770" i="2" s="1"/>
  <c r="I771" i="2" s="1"/>
  <c r="I772" i="2" s="1"/>
  <c r="I764" i="2"/>
  <c r="I765" i="2" s="1"/>
  <c r="I766" i="2" s="1"/>
  <c r="I767" i="2" s="1"/>
  <c r="I768" i="2" s="1"/>
  <c r="H761" i="2"/>
  <c r="G761" i="2"/>
  <c r="I761" i="2" s="1"/>
  <c r="I753" i="2"/>
  <c r="I754" i="2" s="1"/>
  <c r="I755" i="2" s="1"/>
  <c r="I756" i="2" s="1"/>
  <c r="I757" i="2" s="1"/>
  <c r="I758" i="2" s="1"/>
  <c r="I759" i="2" s="1"/>
  <c r="I760" i="2" s="1"/>
  <c r="I751" i="2"/>
  <c r="I752" i="2" s="1"/>
  <c r="I750" i="2"/>
  <c r="I749" i="2"/>
  <c r="I748" i="2"/>
  <c r="H745" i="2"/>
  <c r="G745" i="2"/>
  <c r="I744" i="2"/>
  <c r="I743" i="2"/>
  <c r="H740" i="2"/>
  <c r="G740" i="2"/>
  <c r="I737" i="2"/>
  <c r="I738" i="2" s="1"/>
  <c r="I739" i="2" s="1"/>
  <c r="I735" i="2"/>
  <c r="I736" i="2" s="1"/>
  <c r="H732" i="2"/>
  <c r="G732" i="2"/>
  <c r="I732" i="2" s="1"/>
  <c r="I727" i="2"/>
  <c r="I728" i="2" s="1"/>
  <c r="I729" i="2" s="1"/>
  <c r="I730" i="2" s="1"/>
  <c r="I731" i="2" s="1"/>
  <c r="I722" i="2"/>
  <c r="I723" i="2" s="1"/>
  <c r="I724" i="2" s="1"/>
  <c r="I725" i="2" s="1"/>
  <c r="I726" i="2" s="1"/>
  <c r="I720" i="2"/>
  <c r="I721" i="2" s="1"/>
  <c r="H717" i="2"/>
  <c r="G717" i="2"/>
  <c r="I717" i="2" s="1"/>
  <c r="I715" i="2"/>
  <c r="I716" i="2" s="1"/>
  <c r="I713" i="2"/>
  <c r="I714" i="2" s="1"/>
  <c r="I701" i="2"/>
  <c r="I702" i="2" s="1"/>
  <c r="I703" i="2" s="1"/>
  <c r="I704" i="2" s="1"/>
  <c r="I705" i="2" s="1"/>
  <c r="I706" i="2" s="1"/>
  <c r="I707" i="2" s="1"/>
  <c r="I708" i="2" s="1"/>
  <c r="I709" i="2" s="1"/>
  <c r="I710" i="2" s="1"/>
  <c r="I711" i="2" s="1"/>
  <c r="I712" i="2" s="1"/>
  <c r="I700" i="2"/>
  <c r="H697" i="2"/>
  <c r="G697" i="2"/>
  <c r="I696" i="2"/>
  <c r="I695" i="2"/>
  <c r="H692" i="2"/>
  <c r="G692" i="2"/>
  <c r="I691" i="2"/>
  <c r="H688" i="2"/>
  <c r="I688" i="2" s="1"/>
  <c r="G688" i="2"/>
  <c r="I656" i="2"/>
  <c r="I657" i="2" s="1"/>
  <c r="I658" i="2" s="1"/>
  <c r="I659" i="2" s="1"/>
  <c r="I660" i="2" s="1"/>
  <c r="I661" i="2" s="1"/>
  <c r="I662" i="2" s="1"/>
  <c r="I663" i="2" s="1"/>
  <c r="I664" i="2" s="1"/>
  <c r="I665" i="2" s="1"/>
  <c r="I666" i="2" s="1"/>
  <c r="I667" i="2" s="1"/>
  <c r="I668" i="2" s="1"/>
  <c r="I669" i="2" s="1"/>
  <c r="I670" i="2" s="1"/>
  <c r="I671" i="2" s="1"/>
  <c r="I672" i="2" s="1"/>
  <c r="I673" i="2" s="1"/>
  <c r="I674" i="2" s="1"/>
  <c r="I675" i="2" s="1"/>
  <c r="I676" i="2" s="1"/>
  <c r="I677" i="2" s="1"/>
  <c r="I678" i="2" s="1"/>
  <c r="I679" i="2" s="1"/>
  <c r="I680" i="2" s="1"/>
  <c r="I681" i="2" s="1"/>
  <c r="I682" i="2" s="1"/>
  <c r="I683" i="2" s="1"/>
  <c r="I684" i="2" s="1"/>
  <c r="I685" i="2" s="1"/>
  <c r="I686" i="2" s="1"/>
  <c r="I687" i="2" s="1"/>
  <c r="I655" i="2"/>
  <c r="I654" i="2"/>
  <c r="I653" i="2"/>
  <c r="I652" i="2"/>
  <c r="H649" i="2"/>
  <c r="G649" i="2"/>
  <c r="I641" i="2"/>
  <c r="I642" i="2" s="1"/>
  <c r="I643" i="2" s="1"/>
  <c r="I644" i="2" s="1"/>
  <c r="I645" i="2" s="1"/>
  <c r="I646" i="2" s="1"/>
  <c r="I647" i="2" s="1"/>
  <c r="I648" i="2" s="1"/>
  <c r="H638" i="2"/>
  <c r="G638" i="2"/>
  <c r="I638" i="2" s="1"/>
  <c r="I637" i="2"/>
  <c r="I636" i="2"/>
  <c r="H633" i="2"/>
  <c r="G633" i="2"/>
  <c r="I633" i="2" s="1"/>
  <c r="I606" i="2"/>
  <c r="I607" i="2" s="1"/>
  <c r="I608" i="2" s="1"/>
  <c r="I609" i="2" s="1"/>
  <c r="I610" i="2" s="1"/>
  <c r="I611" i="2" s="1"/>
  <c r="I612" i="2" s="1"/>
  <c r="I613" i="2" s="1"/>
  <c r="I614" i="2" s="1"/>
  <c r="I615" i="2" s="1"/>
  <c r="I616" i="2" s="1"/>
  <c r="I617" i="2" s="1"/>
  <c r="I618" i="2" s="1"/>
  <c r="I619" i="2" s="1"/>
  <c r="I620" i="2" s="1"/>
  <c r="I621" i="2" s="1"/>
  <c r="I622" i="2" s="1"/>
  <c r="I623" i="2" s="1"/>
  <c r="I624" i="2" s="1"/>
  <c r="I625" i="2" s="1"/>
  <c r="I626" i="2" s="1"/>
  <c r="I627" i="2" s="1"/>
  <c r="I628" i="2" s="1"/>
  <c r="I629" i="2" s="1"/>
  <c r="I630" i="2" s="1"/>
  <c r="I631" i="2" s="1"/>
  <c r="I632" i="2" s="1"/>
  <c r="I605" i="2"/>
  <c r="I603" i="2"/>
  <c r="I604" i="2" s="1"/>
  <c r="H600" i="2"/>
  <c r="G600" i="2"/>
  <c r="I600" i="2" s="1"/>
  <c r="I581" i="2"/>
  <c r="I582" i="2" s="1"/>
  <c r="I583" i="2" s="1"/>
  <c r="I584" i="2" s="1"/>
  <c r="I585" i="2" s="1"/>
  <c r="I586" i="2" s="1"/>
  <c r="I587" i="2" s="1"/>
  <c r="I588" i="2" s="1"/>
  <c r="I589" i="2" s="1"/>
  <c r="I590" i="2" s="1"/>
  <c r="I591" i="2" s="1"/>
  <c r="I592" i="2" s="1"/>
  <c r="I593" i="2" s="1"/>
  <c r="I594" i="2" s="1"/>
  <c r="I595" i="2" s="1"/>
  <c r="I596" i="2" s="1"/>
  <c r="I597" i="2" s="1"/>
  <c r="I598" i="2" s="1"/>
  <c r="I599" i="2" s="1"/>
  <c r="H578" i="2"/>
  <c r="G578" i="2"/>
  <c r="I578" i="2" s="1"/>
  <c r="I565" i="2"/>
  <c r="I566" i="2" s="1"/>
  <c r="I567" i="2" s="1"/>
  <c r="I568" i="2" s="1"/>
  <c r="I569" i="2" s="1"/>
  <c r="I570" i="2" s="1"/>
  <c r="I571" i="2" s="1"/>
  <c r="I572" i="2" s="1"/>
  <c r="I573" i="2" s="1"/>
  <c r="I574" i="2" s="1"/>
  <c r="I575" i="2" s="1"/>
  <c r="I576" i="2" s="1"/>
  <c r="I577" i="2" s="1"/>
  <c r="I564" i="2"/>
  <c r="I562" i="2"/>
  <c r="I563" i="2" s="1"/>
  <c r="I561" i="2"/>
  <c r="H558" i="2"/>
  <c r="G558" i="2"/>
  <c r="I558" i="2" s="1"/>
  <c r="I557" i="2"/>
  <c r="H554" i="2"/>
  <c r="G554" i="2"/>
  <c r="I554" i="2" s="1"/>
  <c r="I550" i="2"/>
  <c r="I551" i="2" s="1"/>
  <c r="I552" i="2" s="1"/>
  <c r="I553" i="2" s="1"/>
  <c r="I549" i="2"/>
  <c r="H546" i="2"/>
  <c r="G546" i="2"/>
  <c r="I546" i="2" s="1"/>
  <c r="I537" i="2"/>
  <c r="I538" i="2" s="1"/>
  <c r="I539" i="2" s="1"/>
  <c r="I540" i="2" s="1"/>
  <c r="I541" i="2" s="1"/>
  <c r="I542" i="2" s="1"/>
  <c r="I543" i="2" s="1"/>
  <c r="I544" i="2" s="1"/>
  <c r="I545" i="2" s="1"/>
  <c r="I534" i="2"/>
  <c r="H534" i="2"/>
  <c r="G534" i="2"/>
  <c r="I518" i="2"/>
  <c r="I519" i="2" s="1"/>
  <c r="I520" i="2" s="1"/>
  <c r="I521" i="2" s="1"/>
  <c r="I522" i="2" s="1"/>
  <c r="I523" i="2" s="1"/>
  <c r="I524" i="2" s="1"/>
  <c r="I525" i="2" s="1"/>
  <c r="I526" i="2" s="1"/>
  <c r="I527" i="2" s="1"/>
  <c r="I528" i="2" s="1"/>
  <c r="I529" i="2" s="1"/>
  <c r="I530" i="2" s="1"/>
  <c r="I531" i="2" s="1"/>
  <c r="I532" i="2" s="1"/>
  <c r="I533" i="2" s="1"/>
  <c r="I517" i="2"/>
  <c r="I514" i="2"/>
  <c r="H514" i="2"/>
  <c r="G514" i="2"/>
  <c r="I497" i="2"/>
  <c r="I498" i="2" s="1"/>
  <c r="I499" i="2" s="1"/>
  <c r="I500" i="2" s="1"/>
  <c r="I501" i="2" s="1"/>
  <c r="I502" i="2" s="1"/>
  <c r="I503" i="2" s="1"/>
  <c r="I504" i="2" s="1"/>
  <c r="I505" i="2" s="1"/>
  <c r="I506" i="2" s="1"/>
  <c r="I507" i="2" s="1"/>
  <c r="I508" i="2" s="1"/>
  <c r="I509" i="2" s="1"/>
  <c r="I510" i="2" s="1"/>
  <c r="I511" i="2" s="1"/>
  <c r="I512" i="2" s="1"/>
  <c r="I513" i="2" s="1"/>
  <c r="H494" i="2"/>
  <c r="G494" i="2"/>
  <c r="I494" i="2" s="1"/>
  <c r="I493" i="2"/>
  <c r="I490" i="2"/>
  <c r="H490" i="2"/>
  <c r="G490" i="2"/>
  <c r="I473" i="2"/>
  <c r="I474" i="2" s="1"/>
  <c r="I475" i="2" s="1"/>
  <c r="I476" i="2" s="1"/>
  <c r="I477" i="2" s="1"/>
  <c r="I478" i="2" s="1"/>
  <c r="I479" i="2" s="1"/>
  <c r="I480" i="2" s="1"/>
  <c r="I481" i="2" s="1"/>
  <c r="I482" i="2" s="1"/>
  <c r="I483" i="2" s="1"/>
  <c r="I484" i="2" s="1"/>
  <c r="I485" i="2" s="1"/>
  <c r="I486" i="2" s="1"/>
  <c r="I487" i="2" s="1"/>
  <c r="I488" i="2" s="1"/>
  <c r="I489" i="2" s="1"/>
  <c r="H470" i="2"/>
  <c r="G470" i="2"/>
  <c r="I470" i="2" s="1"/>
  <c r="I465" i="2"/>
  <c r="I466" i="2" s="1"/>
  <c r="I467" i="2" s="1"/>
  <c r="I468" i="2" s="1"/>
  <c r="I469" i="2" s="1"/>
  <c r="H462" i="2"/>
  <c r="G462" i="2"/>
  <c r="I462" i="2" s="1"/>
  <c r="I456" i="2"/>
  <c r="I457" i="2" s="1"/>
  <c r="I458" i="2" s="1"/>
  <c r="I459" i="2" s="1"/>
  <c r="I460" i="2" s="1"/>
  <c r="I461" i="2" s="1"/>
  <c r="I453" i="2"/>
  <c r="I454" i="2" s="1"/>
  <c r="I455" i="2" s="1"/>
  <c r="I449" i="2"/>
  <c r="I450" i="2" s="1"/>
  <c r="I451" i="2" s="1"/>
  <c r="I452" i="2" s="1"/>
  <c r="I448" i="2"/>
  <c r="H445" i="2"/>
  <c r="G445" i="2"/>
  <c r="I445" i="2" s="1"/>
  <c r="I438" i="2"/>
  <c r="I439" i="2" s="1"/>
  <c r="I440" i="2" s="1"/>
  <c r="I441" i="2" s="1"/>
  <c r="I442" i="2" s="1"/>
  <c r="I443" i="2" s="1"/>
  <c r="I444" i="2" s="1"/>
  <c r="I437" i="2"/>
  <c r="H434" i="2"/>
  <c r="G434" i="2"/>
  <c r="I434" i="2" s="1"/>
  <c r="I433" i="2"/>
  <c r="I430" i="2"/>
  <c r="H430" i="2"/>
  <c r="G430" i="2"/>
  <c r="I429" i="2"/>
  <c r="H426" i="2"/>
  <c r="G426" i="2"/>
  <c r="I426" i="2" s="1"/>
  <c r="I405" i="2"/>
  <c r="I406" i="2" s="1"/>
  <c r="I407" i="2" s="1"/>
  <c r="I408" i="2" s="1"/>
  <c r="I409" i="2" s="1"/>
  <c r="I410" i="2" s="1"/>
  <c r="I411" i="2" s="1"/>
  <c r="I412" i="2" s="1"/>
  <c r="I413" i="2" s="1"/>
  <c r="I414" i="2" s="1"/>
  <c r="I415" i="2" s="1"/>
  <c r="I416" i="2" s="1"/>
  <c r="I417" i="2" s="1"/>
  <c r="I418" i="2" s="1"/>
  <c r="I419" i="2" s="1"/>
  <c r="I420" i="2" s="1"/>
  <c r="I421" i="2" s="1"/>
  <c r="I422" i="2" s="1"/>
  <c r="I423" i="2" s="1"/>
  <c r="I424" i="2" s="1"/>
  <c r="I425" i="2" s="1"/>
  <c r="H402" i="2"/>
  <c r="G402" i="2"/>
  <c r="I402" i="2" s="1"/>
  <c r="I392" i="2"/>
  <c r="I393" i="2" s="1"/>
  <c r="I394" i="2" s="1"/>
  <c r="I395" i="2" s="1"/>
  <c r="I396" i="2" s="1"/>
  <c r="I397" i="2" s="1"/>
  <c r="I398" i="2" s="1"/>
  <c r="I399" i="2" s="1"/>
  <c r="I400" i="2" s="1"/>
  <c r="I401" i="2" s="1"/>
  <c r="H389" i="2"/>
  <c r="G389" i="2"/>
  <c r="I380" i="2"/>
  <c r="I381" i="2" s="1"/>
  <c r="I382" i="2" s="1"/>
  <c r="I383" i="2" s="1"/>
  <c r="I384" i="2" s="1"/>
  <c r="I385" i="2" s="1"/>
  <c r="I386" i="2" s="1"/>
  <c r="I387" i="2" s="1"/>
  <c r="I388" i="2" s="1"/>
  <c r="I377" i="2"/>
  <c r="H377" i="2"/>
  <c r="G377" i="2"/>
  <c r="I365" i="2"/>
  <c r="I366" i="2" s="1"/>
  <c r="I367" i="2" s="1"/>
  <c r="I368" i="2" s="1"/>
  <c r="I369" i="2" s="1"/>
  <c r="I370" i="2" s="1"/>
  <c r="I371" i="2" s="1"/>
  <c r="I372" i="2" s="1"/>
  <c r="I373" i="2" s="1"/>
  <c r="I374" i="2" s="1"/>
  <c r="I375" i="2" s="1"/>
  <c r="I376" i="2" s="1"/>
  <c r="H362" i="2"/>
  <c r="G362" i="2"/>
  <c r="I362" i="2" s="1"/>
  <c r="I338" i="2"/>
  <c r="I339" i="2" s="1"/>
  <c r="I340" i="2" s="1"/>
  <c r="I341" i="2" s="1"/>
  <c r="I342" i="2" s="1"/>
  <c r="I343" i="2" s="1"/>
  <c r="I344" i="2" s="1"/>
  <c r="I345" i="2" s="1"/>
  <c r="I346" i="2" s="1"/>
  <c r="I347" i="2" s="1"/>
  <c r="I348" i="2" s="1"/>
  <c r="I349" i="2" s="1"/>
  <c r="I350" i="2" s="1"/>
  <c r="I351" i="2" s="1"/>
  <c r="I352" i="2" s="1"/>
  <c r="I353" i="2" s="1"/>
  <c r="I354" i="2" s="1"/>
  <c r="I355" i="2" s="1"/>
  <c r="I356" i="2" s="1"/>
  <c r="I357" i="2" s="1"/>
  <c r="I358" i="2" s="1"/>
  <c r="I359" i="2" s="1"/>
  <c r="I360" i="2" s="1"/>
  <c r="I361" i="2" s="1"/>
  <c r="H335" i="2"/>
  <c r="I335" i="2" s="1"/>
  <c r="G335" i="2"/>
  <c r="I319" i="2"/>
  <c r="I320" i="2" s="1"/>
  <c r="I321" i="2" s="1"/>
  <c r="I322" i="2" s="1"/>
  <c r="I323" i="2" s="1"/>
  <c r="I324" i="2" s="1"/>
  <c r="I325" i="2" s="1"/>
  <c r="I326" i="2" s="1"/>
  <c r="I327" i="2" s="1"/>
  <c r="I328" i="2" s="1"/>
  <c r="I329" i="2" s="1"/>
  <c r="I330" i="2" s="1"/>
  <c r="I331" i="2" s="1"/>
  <c r="I332" i="2" s="1"/>
  <c r="I333" i="2" s="1"/>
  <c r="I334" i="2" s="1"/>
  <c r="I318" i="2"/>
  <c r="I315" i="2"/>
  <c r="H315" i="2"/>
  <c r="G315" i="2"/>
  <c r="I295" i="2"/>
  <c r="I296" i="2" s="1"/>
  <c r="I297" i="2" s="1"/>
  <c r="I298" i="2" s="1"/>
  <c r="I299" i="2" s="1"/>
  <c r="I300" i="2" s="1"/>
  <c r="I301" i="2" s="1"/>
  <c r="I302" i="2" s="1"/>
  <c r="I303" i="2" s="1"/>
  <c r="I304" i="2" s="1"/>
  <c r="I305" i="2" s="1"/>
  <c r="I306" i="2" s="1"/>
  <c r="I307" i="2" s="1"/>
  <c r="I308" i="2" s="1"/>
  <c r="I309" i="2" s="1"/>
  <c r="I310" i="2" s="1"/>
  <c r="I311" i="2" s="1"/>
  <c r="I312" i="2" s="1"/>
  <c r="I313" i="2" s="1"/>
  <c r="I314" i="2" s="1"/>
  <c r="I294" i="2"/>
  <c r="I288" i="2"/>
  <c r="I289" i="2" s="1"/>
  <c r="I290" i="2" s="1"/>
  <c r="I291" i="2" s="1"/>
  <c r="I292" i="2" s="1"/>
  <c r="I293" i="2" s="1"/>
  <c r="I287" i="2"/>
  <c r="I286" i="2"/>
  <c r="H283" i="2"/>
  <c r="G283" i="2"/>
  <c r="I283" i="2" s="1"/>
  <c r="I265" i="2"/>
  <c r="I266" i="2" s="1"/>
  <c r="I267" i="2" s="1"/>
  <c r="I268" i="2" s="1"/>
  <c r="I269" i="2" s="1"/>
  <c r="I270" i="2" s="1"/>
  <c r="I271" i="2" s="1"/>
  <c r="I272" i="2" s="1"/>
  <c r="I273" i="2" s="1"/>
  <c r="I274" i="2" s="1"/>
  <c r="I275" i="2" s="1"/>
  <c r="I276" i="2" s="1"/>
  <c r="I277" i="2" s="1"/>
  <c r="I278" i="2" s="1"/>
  <c r="I279" i="2" s="1"/>
  <c r="I280" i="2" s="1"/>
  <c r="I281" i="2" s="1"/>
  <c r="I282" i="2" s="1"/>
  <c r="I262" i="2"/>
  <c r="H262" i="2"/>
  <c r="G262" i="2"/>
  <c r="I228" i="2"/>
  <c r="I229" i="2" s="1"/>
  <c r="I230" i="2" s="1"/>
  <c r="I231" i="2" s="1"/>
  <c r="I232" i="2" s="1"/>
  <c r="I233" i="2" s="1"/>
  <c r="I234" i="2" s="1"/>
  <c r="I235" i="2" s="1"/>
  <c r="I236" i="2" s="1"/>
  <c r="I237" i="2" s="1"/>
  <c r="I238" i="2" s="1"/>
  <c r="I239" i="2" s="1"/>
  <c r="I240" i="2" s="1"/>
  <c r="I241" i="2" s="1"/>
  <c r="I242" i="2" s="1"/>
  <c r="I243" i="2" s="1"/>
  <c r="I244" i="2" s="1"/>
  <c r="I245" i="2" s="1"/>
  <c r="I246" i="2" s="1"/>
  <c r="I247" i="2" s="1"/>
  <c r="I248" i="2" s="1"/>
  <c r="I249" i="2" s="1"/>
  <c r="I250" i="2" s="1"/>
  <c r="I251" i="2" s="1"/>
  <c r="I252" i="2" s="1"/>
  <c r="I253" i="2" s="1"/>
  <c r="I254" i="2" s="1"/>
  <c r="I255" i="2" s="1"/>
  <c r="I256" i="2" s="1"/>
  <c r="I257" i="2" s="1"/>
  <c r="I258" i="2" s="1"/>
  <c r="I259" i="2" s="1"/>
  <c r="I260" i="2" s="1"/>
  <c r="I261" i="2" s="1"/>
  <c r="I226" i="2"/>
  <c r="I227" i="2" s="1"/>
  <c r="H223" i="2"/>
  <c r="G223" i="2"/>
  <c r="I223" i="2" s="1"/>
  <c r="I205" i="2"/>
  <c r="I206" i="2" s="1"/>
  <c r="I207" i="2" s="1"/>
  <c r="I208" i="2" s="1"/>
  <c r="I209" i="2" s="1"/>
  <c r="I210" i="2" s="1"/>
  <c r="I211" i="2" s="1"/>
  <c r="I212" i="2" s="1"/>
  <c r="I213" i="2" s="1"/>
  <c r="I214" i="2" s="1"/>
  <c r="I215" i="2" s="1"/>
  <c r="I216" i="2" s="1"/>
  <c r="I217" i="2" s="1"/>
  <c r="I218" i="2" s="1"/>
  <c r="I219" i="2" s="1"/>
  <c r="I220" i="2" s="1"/>
  <c r="I221" i="2" s="1"/>
  <c r="I222" i="2" s="1"/>
  <c r="I204" i="2"/>
  <c r="H201" i="2"/>
  <c r="G201" i="2"/>
  <c r="I201" i="2" s="1"/>
  <c r="I198" i="2"/>
  <c r="I199" i="2" s="1"/>
  <c r="I200" i="2" s="1"/>
  <c r="I197" i="2"/>
  <c r="I196" i="2"/>
  <c r="H193" i="2"/>
  <c r="G193" i="2"/>
  <c r="I193" i="2" s="1"/>
  <c r="I182" i="2"/>
  <c r="I183" i="2" s="1"/>
  <c r="I184" i="2" s="1"/>
  <c r="I185" i="2" s="1"/>
  <c r="I186" i="2" s="1"/>
  <c r="I187" i="2" s="1"/>
  <c r="I188" i="2" s="1"/>
  <c r="I189" i="2" s="1"/>
  <c r="I190" i="2" s="1"/>
  <c r="I191" i="2" s="1"/>
  <c r="I192" i="2" s="1"/>
  <c r="I181" i="2"/>
  <c r="I178" i="2"/>
  <c r="H178" i="2"/>
  <c r="G178" i="2"/>
  <c r="I175" i="2"/>
  <c r="I176" i="2" s="1"/>
  <c r="I177" i="2" s="1"/>
  <c r="I172" i="2"/>
  <c r="H172" i="2"/>
  <c r="G172" i="2"/>
  <c r="I144" i="2"/>
  <c r="I145" i="2" s="1"/>
  <c r="I146" i="2" s="1"/>
  <c r="I147" i="2" s="1"/>
  <c r="I148" i="2" s="1"/>
  <c r="I149" i="2" s="1"/>
  <c r="I150" i="2" s="1"/>
  <c r="I151" i="2" s="1"/>
  <c r="I152" i="2" s="1"/>
  <c r="I153" i="2" s="1"/>
  <c r="I154" i="2" s="1"/>
  <c r="I155" i="2" s="1"/>
  <c r="I156" i="2" s="1"/>
  <c r="I157" i="2" s="1"/>
  <c r="I158" i="2" s="1"/>
  <c r="I159" i="2" s="1"/>
  <c r="I160" i="2" s="1"/>
  <c r="I161" i="2" s="1"/>
  <c r="I162" i="2" s="1"/>
  <c r="I163" i="2" s="1"/>
  <c r="I164" i="2" s="1"/>
  <c r="I165" i="2" s="1"/>
  <c r="I166" i="2" s="1"/>
  <c r="I167" i="2" s="1"/>
  <c r="I168" i="2" s="1"/>
  <c r="I169" i="2" s="1"/>
  <c r="I170" i="2" s="1"/>
  <c r="I171" i="2" s="1"/>
  <c r="H141" i="2"/>
  <c r="G141" i="2"/>
  <c r="I141" i="2" s="1"/>
  <c r="I127" i="2"/>
  <c r="I128" i="2" s="1"/>
  <c r="I129" i="2" s="1"/>
  <c r="I130" i="2" s="1"/>
  <c r="I131" i="2" s="1"/>
  <c r="I132" i="2" s="1"/>
  <c r="I133" i="2" s="1"/>
  <c r="I134" i="2" s="1"/>
  <c r="I135" i="2" s="1"/>
  <c r="I136" i="2" s="1"/>
  <c r="I137" i="2" s="1"/>
  <c r="I138" i="2" s="1"/>
  <c r="I139" i="2" s="1"/>
  <c r="I140" i="2" s="1"/>
  <c r="H124" i="2"/>
  <c r="I124" i="2" s="1"/>
  <c r="G124" i="2"/>
  <c r="I114" i="2"/>
  <c r="I115" i="2" s="1"/>
  <c r="I116" i="2" s="1"/>
  <c r="I117" i="2" s="1"/>
  <c r="I118" i="2" s="1"/>
  <c r="I119" i="2" s="1"/>
  <c r="I120" i="2" s="1"/>
  <c r="I121" i="2" s="1"/>
  <c r="I122" i="2" s="1"/>
  <c r="I123" i="2" s="1"/>
  <c r="I111" i="2"/>
  <c r="H111" i="2"/>
  <c r="G111" i="2"/>
  <c r="I98" i="2"/>
  <c r="I99" i="2" s="1"/>
  <c r="I100" i="2" s="1"/>
  <c r="I101" i="2" s="1"/>
  <c r="I102" i="2" s="1"/>
  <c r="I103" i="2" s="1"/>
  <c r="I104" i="2" s="1"/>
  <c r="I105" i="2" s="1"/>
  <c r="I106" i="2" s="1"/>
  <c r="I107" i="2" s="1"/>
  <c r="I108" i="2" s="1"/>
  <c r="I109" i="2" s="1"/>
  <c r="I110" i="2" s="1"/>
  <c r="H95" i="2"/>
  <c r="I95" i="2" s="1"/>
  <c r="G95" i="2"/>
  <c r="I89" i="2"/>
  <c r="I90" i="2" s="1"/>
  <c r="I91" i="2" s="1"/>
  <c r="I92" i="2" s="1"/>
  <c r="I93" i="2" s="1"/>
  <c r="I94" i="2" s="1"/>
  <c r="I88" i="2"/>
  <c r="H85" i="2"/>
  <c r="G85" i="2"/>
  <c r="I85" i="2" s="1"/>
  <c r="I60" i="2"/>
  <c r="I61" i="2" s="1"/>
  <c r="I62" i="2" s="1"/>
  <c r="I63" i="2" s="1"/>
  <c r="I64" i="2" s="1"/>
  <c r="I65" i="2" s="1"/>
  <c r="I66" i="2" s="1"/>
  <c r="I67" i="2" s="1"/>
  <c r="I68" i="2" s="1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57" i="2"/>
  <c r="I58" i="2" s="1"/>
  <c r="I59" i="2" s="1"/>
  <c r="I53" i="2"/>
  <c r="I54" i="2" s="1"/>
  <c r="I55" i="2" s="1"/>
  <c r="I56" i="2" s="1"/>
  <c r="H50" i="2"/>
  <c r="G50" i="2"/>
  <c r="I50" i="2" s="1"/>
  <c r="I19" i="2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18" i="2"/>
  <c r="I15" i="2"/>
  <c r="H15" i="2"/>
  <c r="G15" i="2"/>
  <c r="I12" i="2"/>
  <c r="I13" i="2" s="1"/>
  <c r="I14" i="2" s="1"/>
  <c r="I11" i="2"/>
  <c r="I389" i="2" l="1"/>
  <c r="I649" i="2"/>
  <c r="I697" i="2"/>
  <c r="I692" i="2"/>
  <c r="I740" i="2"/>
  <c r="I745" i="2"/>
  <c r="I1310" i="2"/>
</calcChain>
</file>

<file path=xl/sharedStrings.xml><?xml version="1.0" encoding="utf-8"?>
<sst xmlns="http://schemas.openxmlformats.org/spreadsheetml/2006/main" count="5539" uniqueCount="1673">
  <si>
    <t>Cuenta</t>
  </si>
  <si>
    <t>Descripción</t>
  </si>
  <si>
    <t>Punt.</t>
  </si>
  <si>
    <t>Fecha</t>
  </si>
  <si>
    <t>Concepto</t>
  </si>
  <si>
    <t>Documento</t>
  </si>
  <si>
    <t>Debe</t>
  </si>
  <si>
    <t>Haber</t>
  </si>
  <si>
    <t>Saldo</t>
  </si>
  <si>
    <t>Contrapartida</t>
  </si>
  <si>
    <t>FERROS GUMA, SL</t>
  </si>
  <si>
    <t>Sí</t>
  </si>
  <si>
    <t>FERROS GUMA, SL_25002424_27-</t>
  </si>
  <si>
    <t>25002424</t>
  </si>
  <si>
    <t>FERROS GUMA, SL_25003071_15-</t>
  </si>
  <si>
    <t>25003071</t>
  </si>
  <si>
    <t>TRANSFERENCIA INDUVACUUM S.L</t>
  </si>
  <si>
    <t/>
  </si>
  <si>
    <t>FERROS GUMA, SL_25008079_15-</t>
  </si>
  <si>
    <t>25008079</t>
  </si>
  <si>
    <t>Total cuenta</t>
  </si>
  <si>
    <t>SUMRRASSA, SL</t>
  </si>
  <si>
    <t>Saldos anteriores</t>
  </si>
  <si>
    <t>SUMRRASSA, SL_160546_14-01-2</t>
  </si>
  <si>
    <t>160546</t>
  </si>
  <si>
    <t>PAGO PROVEEDORES</t>
  </si>
  <si>
    <t>SUMRRASSA, SL_161028_31-01-2</t>
  </si>
  <si>
    <t>161028</t>
  </si>
  <si>
    <t>SUMRRASSA, SL_161559_14-02-2</t>
  </si>
  <si>
    <t>161559</t>
  </si>
  <si>
    <t>SUMRRASSA, SL_162043_28-02-2</t>
  </si>
  <si>
    <t>162043</t>
  </si>
  <si>
    <t>SUMRRASSA, SL_162514_14-03-2</t>
  </si>
  <si>
    <t>162514</t>
  </si>
  <si>
    <t>SUMRRASSA, SL_162989_31-03-2</t>
  </si>
  <si>
    <t>162989</t>
  </si>
  <si>
    <t>SUMRRASSA, SL_163479_14-04-2</t>
  </si>
  <si>
    <t>163479</t>
  </si>
  <si>
    <t>SUMRRASSA, SL_163939_30-04-2</t>
  </si>
  <si>
    <t>163939</t>
  </si>
  <si>
    <t>SUMRRASSA, SL_164380_14-05-2</t>
  </si>
  <si>
    <t>164380</t>
  </si>
  <si>
    <t>SUMRRASSA, SL_164884_30-05-2</t>
  </si>
  <si>
    <t>164884</t>
  </si>
  <si>
    <t>SUMRRASSA, SL_165407_13-06-2</t>
  </si>
  <si>
    <t>165407</t>
  </si>
  <si>
    <t>SUMRRASSA, SL_165873_30-06-2</t>
  </si>
  <si>
    <t>165873</t>
  </si>
  <si>
    <t>SUMRRASSA, SL_166322_14-07-2</t>
  </si>
  <si>
    <t>166322</t>
  </si>
  <si>
    <t>SUMRRASSA, SL_166866_31-07-2</t>
  </si>
  <si>
    <t>166866</t>
  </si>
  <si>
    <t>SUMRRASSA, SL_167226_14-08-2</t>
  </si>
  <si>
    <t>167226</t>
  </si>
  <si>
    <t>BUSCH IBERICA, SA</t>
  </si>
  <si>
    <t>BUSCH IBERICA, _60837_17-01-</t>
  </si>
  <si>
    <t>60837</t>
  </si>
  <si>
    <t>BUSCH IBERICA, _60922_21-01-</t>
  </si>
  <si>
    <t>60922</t>
  </si>
  <si>
    <t>ADEUDO RECIBO Busch lberica</t>
  </si>
  <si>
    <t>BUSCH IBERICA, _61162_28-01-</t>
  </si>
  <si>
    <t>61162</t>
  </si>
  <si>
    <t>BUSCH IBERICA, _61814_25-02-</t>
  </si>
  <si>
    <t>61814</t>
  </si>
  <si>
    <t>BUSCH IBERICA, _61958_03-03-</t>
  </si>
  <si>
    <t>61958</t>
  </si>
  <si>
    <t>BUSCH IBERICA, _62040_05-03-</t>
  </si>
  <si>
    <t>62040</t>
  </si>
  <si>
    <t>BUSCH IBERICA, _62297_12-03-</t>
  </si>
  <si>
    <t>62297</t>
  </si>
  <si>
    <t>BUSCH IBERICA, _62695_24-03-</t>
  </si>
  <si>
    <t>62695</t>
  </si>
  <si>
    <t>BUSCH IBERICA, _63084_02-04-</t>
  </si>
  <si>
    <t>63084</t>
  </si>
  <si>
    <t>BUSCH IBERICA, _63085_02-04-</t>
  </si>
  <si>
    <t>63085</t>
  </si>
  <si>
    <t>BUSCH IBERICA, _63086_02-04-</t>
  </si>
  <si>
    <t>63086</t>
  </si>
  <si>
    <t>BUSCH IBERICA, _3558_23-04-2</t>
  </si>
  <si>
    <t>3558</t>
  </si>
  <si>
    <t>BUSCH IBERICA, _4132_13-05-2</t>
  </si>
  <si>
    <t>4132</t>
  </si>
  <si>
    <t>BUSCH IBERICA, _4133_13-05-2</t>
  </si>
  <si>
    <t>4133</t>
  </si>
  <si>
    <t>BUSCH IBERICA, _4328_19-05-2</t>
  </si>
  <si>
    <t>4328</t>
  </si>
  <si>
    <t>BUSCH IBERICA, _65111_13-06-</t>
  </si>
  <si>
    <t>65111</t>
  </si>
  <si>
    <t>BUSCH IBERICA, _65110_13-06-</t>
  </si>
  <si>
    <t>65110</t>
  </si>
  <si>
    <t>BUSCH IBERICA, _5229_20-06-2</t>
  </si>
  <si>
    <t>5229</t>
  </si>
  <si>
    <t>BUSCH IBERICA, _65663_02-07-</t>
  </si>
  <si>
    <t>65663</t>
  </si>
  <si>
    <t>BUSCH IBERICA, _65767_05-07-</t>
  </si>
  <si>
    <t>65767</t>
  </si>
  <si>
    <t>BUSCH IBERICA, _65664_05-07-</t>
  </si>
  <si>
    <t>65664</t>
  </si>
  <si>
    <t>BUSCH IBERICA, _66697_13-08-</t>
  </si>
  <si>
    <t>66697</t>
  </si>
  <si>
    <t>BUSCH IBERICA, _67110_02-09-</t>
  </si>
  <si>
    <t>67110</t>
  </si>
  <si>
    <t>INDESTAN NORMASEAL, SL</t>
  </si>
  <si>
    <t>INDESTAN NORMAS_198_11-02-20</t>
  </si>
  <si>
    <t>198</t>
  </si>
  <si>
    <t>INDESTAN NORMAS_788_29-05-20</t>
  </si>
  <si>
    <t>788</t>
  </si>
  <si>
    <t>INDESTAN NORMAS_1162_18-08-2</t>
  </si>
  <si>
    <t>1162</t>
  </si>
  <si>
    <t>COMPANIA GENERAL DE LUBRICANTE</t>
  </si>
  <si>
    <t>COMPANIA GENERA_572908_15-02</t>
  </si>
  <si>
    <t>572908</t>
  </si>
  <si>
    <t>COMPANIA GENERA_578521_15-05</t>
  </si>
  <si>
    <t>578521</t>
  </si>
  <si>
    <t>COMPANIA GENERA_579655_30-05</t>
  </si>
  <si>
    <t>579655</t>
  </si>
  <si>
    <t>COMPANIA GENERA_580474_10-06</t>
  </si>
  <si>
    <t>580474</t>
  </si>
  <si>
    <t>COMPANIA GENERA_581245_20-06</t>
  </si>
  <si>
    <t>581245</t>
  </si>
  <si>
    <t>COMPANIA GENERA_582903_15-07</t>
  </si>
  <si>
    <t>582903</t>
  </si>
  <si>
    <t>TALLERES CRISANTO, SL</t>
  </si>
  <si>
    <t>TALLERES CRISAN_10287_25-01-</t>
  </si>
  <si>
    <t>10287</t>
  </si>
  <si>
    <t>TALLERES CRISAN_10322_25-02-</t>
  </si>
  <si>
    <t>10322</t>
  </si>
  <si>
    <t>TALLERES CRISAN_10415_25-05-</t>
  </si>
  <si>
    <t>10415</t>
  </si>
  <si>
    <t>TALLERES CRISAN_10470_25-07-</t>
  </si>
  <si>
    <t>10470</t>
  </si>
  <si>
    <t>ESTEBAN MARTI, SA</t>
  </si>
  <si>
    <t>ESTEBAN MARTI, _25-00031_31-</t>
  </si>
  <si>
    <t>25-00031</t>
  </si>
  <si>
    <t>ESTEBAN MARTI, _120_15-03-20</t>
  </si>
  <si>
    <t>120</t>
  </si>
  <si>
    <t>ESTEBAN MARTI, _171_15-04-20</t>
  </si>
  <si>
    <t>171</t>
  </si>
  <si>
    <t>ESTEBAN MARTI, _289_30-06-20</t>
  </si>
  <si>
    <t>289</t>
  </si>
  <si>
    <t>ESTEBAN MARTI, _341_15-08-20</t>
  </si>
  <si>
    <t>341</t>
  </si>
  <si>
    <t>ESTEBAN MARTI, _369_30-08-20</t>
  </si>
  <si>
    <t>369</t>
  </si>
  <si>
    <t>ROEIRA SA</t>
  </si>
  <si>
    <t>SALDO INICIAL 2025</t>
  </si>
  <si>
    <t>SALDO INICIAL 2025 FRA 31-12</t>
  </si>
  <si>
    <t>46817</t>
  </si>
  <si>
    <t>ROEIRA SA_570_15-01-2025</t>
  </si>
  <si>
    <t>570</t>
  </si>
  <si>
    <t>ROEIRA SA_3152_31-01-2025</t>
  </si>
  <si>
    <t>3152</t>
  </si>
  <si>
    <t>ROEIRA SA_5442_14-02-2025</t>
  </si>
  <si>
    <t>5442</t>
  </si>
  <si>
    <t>ROEIRA SA_8495_28-02-2025</t>
  </si>
  <si>
    <t>8495</t>
  </si>
  <si>
    <t>ROEIRA SA_10903_14-03-2025</t>
  </si>
  <si>
    <t>10903</t>
  </si>
  <si>
    <t>ROEIRA SA_13873_31-03-2025</t>
  </si>
  <si>
    <t>13873</t>
  </si>
  <si>
    <t>ROEIRA SA_16788_15-04-2025</t>
  </si>
  <si>
    <t>16788</t>
  </si>
  <si>
    <t>ROEIRA SA_19266_30-04-2025</t>
  </si>
  <si>
    <t>19266</t>
  </si>
  <si>
    <t>ROEIRA SA_21668_15-05-2025</t>
  </si>
  <si>
    <t>21668</t>
  </si>
  <si>
    <t>ROEIRA SA_24757_30-05-2025</t>
  </si>
  <si>
    <t>24757</t>
  </si>
  <si>
    <t>ROEIRA SA_27788_13-06-2025</t>
  </si>
  <si>
    <t>27788</t>
  </si>
  <si>
    <t>ROEIRA SA_30482_30-06-2025</t>
  </si>
  <si>
    <t>30482</t>
  </si>
  <si>
    <t>ROEIRA SA_33007_15-07-2025</t>
  </si>
  <si>
    <t>33007</t>
  </si>
  <si>
    <t>ROEIRA SA_36120_31-07-2025</t>
  </si>
  <si>
    <t>36120</t>
  </si>
  <si>
    <t>ROEIRA SA_38654_18-08-2025</t>
  </si>
  <si>
    <t>38654</t>
  </si>
  <si>
    <t>ROEIRA SA_40700_29-08-2025</t>
  </si>
  <si>
    <t>40700</t>
  </si>
  <si>
    <t>TG FILTER SRL</t>
  </si>
  <si>
    <t>TG FILTER SRL_827_17-07-2025</t>
  </si>
  <si>
    <t>827</t>
  </si>
  <si>
    <t>DAUNIS, SA</t>
  </si>
  <si>
    <t>DAUNIS, SA_929980_28-02-2025</t>
  </si>
  <si>
    <t>929980</t>
  </si>
  <si>
    <t>DAUNIS, SA_934507_30-04-2025</t>
  </si>
  <si>
    <t>934507</t>
  </si>
  <si>
    <t>DAUNIS, SA_935438_02-05-2025</t>
  </si>
  <si>
    <t>935438</t>
  </si>
  <si>
    <t>DAUNIS, SA_939948_01-07-2025</t>
  </si>
  <si>
    <t>939948</t>
  </si>
  <si>
    <t>DAUNIS, SA_941160_31-07-2025</t>
  </si>
  <si>
    <t>941160</t>
  </si>
  <si>
    <t>DAUNIS, SA_942333_14-08-2025</t>
  </si>
  <si>
    <t>942333</t>
  </si>
  <si>
    <t>MINA PUBLICA AIGUES TERRASSA,</t>
  </si>
  <si>
    <t>MINA PUBLICA AI_651_10-03-20</t>
  </si>
  <si>
    <t>651</t>
  </si>
  <si>
    <t>ADEUDO RECIBO MINA PUBLICA D</t>
  </si>
  <si>
    <t>MINA PUBLICA AI_4022_04-07-2</t>
  </si>
  <si>
    <t>4022</t>
  </si>
  <si>
    <t>TELEFONICA DE ESPANA, S.A.U.</t>
  </si>
  <si>
    <t>Importe fra recibida 13-12-2</t>
  </si>
  <si>
    <t>3625</t>
  </si>
  <si>
    <t>TELEFONICA DE E_13354_13-01-</t>
  </si>
  <si>
    <t>13354</t>
  </si>
  <si>
    <t>TELEFONICA DE E_13134_13-02-</t>
  </si>
  <si>
    <t>13134</t>
  </si>
  <si>
    <t>TELEFONOS TELEFONICA DE ESPA</t>
  </si>
  <si>
    <t>TELEFONICA DE E_12914_13-03-</t>
  </si>
  <si>
    <t>12914</t>
  </si>
  <si>
    <t>TELEFONICA DE E_14924_13-04-</t>
  </si>
  <si>
    <t>14924</t>
  </si>
  <si>
    <t>TELEFONICA DE E_2305_13-05-2</t>
  </si>
  <si>
    <t>2305</t>
  </si>
  <si>
    <t>TELEFONICA DE E_12152_13-06-</t>
  </si>
  <si>
    <t>12152</t>
  </si>
  <si>
    <t>TELEFONICA DE E_12023_13-07-</t>
  </si>
  <si>
    <t>12023</t>
  </si>
  <si>
    <t>TELEFONICA DE E_11870_13-08-</t>
  </si>
  <si>
    <t>11870</t>
  </si>
  <si>
    <t>BLOWAIR, SL</t>
  </si>
  <si>
    <t>BLOWAIR, SL_31243_24-01-2025</t>
  </si>
  <si>
    <t>31243</t>
  </si>
  <si>
    <t>BLOWAIR, SL_31339_06-02-2025</t>
  </si>
  <si>
    <t>31339</t>
  </si>
  <si>
    <t>BLOWAIR, SL_31366_10-02-2025</t>
  </si>
  <si>
    <t>31366</t>
  </si>
  <si>
    <t>BLOWAIR, SL_31470_24-02-2025</t>
  </si>
  <si>
    <t>31470</t>
  </si>
  <si>
    <t>BLOWAIR, SL_31503_26-02-2025</t>
  </si>
  <si>
    <t>31503</t>
  </si>
  <si>
    <t>BLOWAIR, SL_31539_05-03-2025</t>
  </si>
  <si>
    <t>31539</t>
  </si>
  <si>
    <t>BLOWAIR, SL_31556_07-03-2025</t>
  </si>
  <si>
    <t>31556</t>
  </si>
  <si>
    <t>BLOWAIR, SL_31593_12-03-2025</t>
  </si>
  <si>
    <t>31593</t>
  </si>
  <si>
    <t>BLOWAIR, SL_31682_21-03-2025</t>
  </si>
  <si>
    <t>31682</t>
  </si>
  <si>
    <t>BLOWAIR, SL_31698_24-03-2025</t>
  </si>
  <si>
    <t>31698</t>
  </si>
  <si>
    <t>BLOWAIR, SL_31741_27-03-2025</t>
  </si>
  <si>
    <t>31741</t>
  </si>
  <si>
    <t>BLOWAIR, SL_31766_31-03-2025</t>
  </si>
  <si>
    <t>31766</t>
  </si>
  <si>
    <t>BLOWAIR, SL_31793_02-04-2025</t>
  </si>
  <si>
    <t>31793</t>
  </si>
  <si>
    <t>BLOWAIR, SL_31797_03-04-2025</t>
  </si>
  <si>
    <t>31797</t>
  </si>
  <si>
    <t>BLOWAIR, SL_1880_14-04-2025</t>
  </si>
  <si>
    <t>1880</t>
  </si>
  <si>
    <t>BLOWAIR, SL_1887_15-04-2025</t>
  </si>
  <si>
    <t>1887</t>
  </si>
  <si>
    <t>BLOWAIR, SL_32187_29-05-2025</t>
  </si>
  <si>
    <t>32187</t>
  </si>
  <si>
    <t>BLOWAIR, SL_32206_30-05-2025</t>
  </si>
  <si>
    <t>32206</t>
  </si>
  <si>
    <t>BLOWAIR, SL_32464_07-07-2025</t>
  </si>
  <si>
    <t>32464</t>
  </si>
  <si>
    <t>BLOWAIR, SL_32486_08-07-2025</t>
  </si>
  <si>
    <t>32486</t>
  </si>
  <si>
    <t>BLOWAIR, SL_32499_10-07-2025</t>
  </si>
  <si>
    <t>32499</t>
  </si>
  <si>
    <t>BLOWAIR, SL_32511_11-07-2025</t>
  </si>
  <si>
    <t>32511</t>
  </si>
  <si>
    <t>BLOWAIR SL_32521_14-07-25</t>
  </si>
  <si>
    <t>32521</t>
  </si>
  <si>
    <t>BLOWAIR, SL_32629_24-07-2025</t>
  </si>
  <si>
    <t>32629</t>
  </si>
  <si>
    <t>BLOWAIR, SL_32689_31-07-2025</t>
  </si>
  <si>
    <t>32689</t>
  </si>
  <si>
    <t>BLOWAIR, SL_32779_08-08-2025</t>
  </si>
  <si>
    <t>32779</t>
  </si>
  <si>
    <t>BLOWAIR, SL_32860_04-09-2025</t>
  </si>
  <si>
    <t>32860</t>
  </si>
  <si>
    <t>JR TECH SARL</t>
  </si>
  <si>
    <t>TRANSFERENCIA A JR TECH SARL</t>
  </si>
  <si>
    <t>JR TECH SARL_35219_16-01-202</t>
  </si>
  <si>
    <t>35219</t>
  </si>
  <si>
    <t>JR TECH SARL_35277_23-01-202</t>
  </si>
  <si>
    <t>35277</t>
  </si>
  <si>
    <t>JR TECH SARL_35357_03-02-202</t>
  </si>
  <si>
    <t>35357</t>
  </si>
  <si>
    <t>JR TECH SARL_35637_04-03-202</t>
  </si>
  <si>
    <t>35637</t>
  </si>
  <si>
    <t>JR TECH SARL_26131_29-04-202</t>
  </si>
  <si>
    <t>26131</t>
  </si>
  <si>
    <t>JR TECH SARL_36257_15-05-202</t>
  </si>
  <si>
    <t>36257</t>
  </si>
  <si>
    <t>JR TECH SARL_36420_12-06-202</t>
  </si>
  <si>
    <t>36420</t>
  </si>
  <si>
    <t>JR TECH SARL_2536494_24-06-2</t>
  </si>
  <si>
    <t>2536494</t>
  </si>
  <si>
    <t>TRANSFERENCIA A JR TECH SAS</t>
  </si>
  <si>
    <t>JR TECH SARL_2537039_02-09-2</t>
  </si>
  <si>
    <t>2537039</t>
  </si>
  <si>
    <t>BECKER IBERICA BOMBAS VACIO Y</t>
  </si>
  <si>
    <t>BECKER IBERICA _10471_12-02-</t>
  </si>
  <si>
    <t>10471</t>
  </si>
  <si>
    <t>BECKER IBERICA _10481_13-02-</t>
  </si>
  <si>
    <t>10481</t>
  </si>
  <si>
    <t>BECKER IBERICA _25010814_06-</t>
  </si>
  <si>
    <t>25010814</t>
  </si>
  <si>
    <t>BECKER IBERICA _25010935_18-</t>
  </si>
  <si>
    <t>25010935</t>
  </si>
  <si>
    <t>BECKER IBERICA _25011002_24-</t>
  </si>
  <si>
    <t>25011002</t>
  </si>
  <si>
    <t>BECKER IBERICA _25020065_16-</t>
  </si>
  <si>
    <t>25020065</t>
  </si>
  <si>
    <t>BECKER IBERICA _25011294_17-</t>
  </si>
  <si>
    <t>25011294</t>
  </si>
  <si>
    <t>ADEUDO RECIBO BECKER IBERICA</t>
  </si>
  <si>
    <t>BECKER IBERICA _25011765_03-</t>
  </si>
  <si>
    <t>25011765</t>
  </si>
  <si>
    <t>BECKER IBERICA _25011879_11-</t>
  </si>
  <si>
    <t>25011879</t>
  </si>
  <si>
    <t>BECKER IBERICA _25011962_18-</t>
  </si>
  <si>
    <t>25011962</t>
  </si>
  <si>
    <t>BECKER IBERICA _25011993_20-</t>
  </si>
  <si>
    <t>25011993</t>
  </si>
  <si>
    <t>BECKER IBERICA _25012003_25-</t>
  </si>
  <si>
    <t>25012003</t>
  </si>
  <si>
    <t>BECKER IBERICA _25012109_02-</t>
  </si>
  <si>
    <t>25012109</t>
  </si>
  <si>
    <t>BECKER IBERICA _25012126_03-</t>
  </si>
  <si>
    <t>25012126</t>
  </si>
  <si>
    <t>BECKER IBERICA _25012244_15-</t>
  </si>
  <si>
    <t>25012244</t>
  </si>
  <si>
    <t>BECKER IBERICA _25012334_22-</t>
  </si>
  <si>
    <t>25012334</t>
  </si>
  <si>
    <t>CR2EGARA, SL</t>
  </si>
  <si>
    <t>CR2EGARA, SL_26_31-01-2025</t>
  </si>
  <si>
    <t>26</t>
  </si>
  <si>
    <t>CR2EGARA, SL_49_14-02-2025</t>
  </si>
  <si>
    <t>49</t>
  </si>
  <si>
    <t>CR2EGARA, SL_93_14-03-2025</t>
  </si>
  <si>
    <t>93</t>
  </si>
  <si>
    <t>CR2EGARA, SL_119_31-03-2025</t>
  </si>
  <si>
    <t>119</t>
  </si>
  <si>
    <t>CR2EGARA, SL_170_30-04-2025</t>
  </si>
  <si>
    <t>170</t>
  </si>
  <si>
    <t>ADEUDO RECIBO CR2EGARA, S.L.</t>
  </si>
  <si>
    <t>CR2EGARA, SL_216_30-05-2025</t>
  </si>
  <si>
    <t>216</t>
  </si>
  <si>
    <t>CR2EGARA, SL_334_31-07-2025</t>
  </si>
  <si>
    <t>334</t>
  </si>
  <si>
    <t>CR2EGARA, SL_355_08-08-2025</t>
  </si>
  <si>
    <t>355</t>
  </si>
  <si>
    <t>SUBMINISTRAMENTS IND. MUNTADA,</t>
  </si>
  <si>
    <t>ADEUDO RECIBO SUBMIN.IND.MUN</t>
  </si>
  <si>
    <t>SUBMINISTRAMENT_741675_14-02</t>
  </si>
  <si>
    <t>741675</t>
  </si>
  <si>
    <t>SUBMINISTRAMENT_742275_28-02</t>
  </si>
  <si>
    <t>742275</t>
  </si>
  <si>
    <t>SUBMINISTRAMENT_743950_15-04</t>
  </si>
  <si>
    <t>743950</t>
  </si>
  <si>
    <t>SUBMINISTRAMENT_744466_30-04</t>
  </si>
  <si>
    <t>744466</t>
  </si>
  <si>
    <t>SUBMINISTRAMENT_744947_15-05</t>
  </si>
  <si>
    <t>744947</t>
  </si>
  <si>
    <t>SUBMINISTRAMENT_745541_30-05</t>
  </si>
  <si>
    <t>745541</t>
  </si>
  <si>
    <t>SUBMINISTRAMENT_746023_15-06</t>
  </si>
  <si>
    <t>746023</t>
  </si>
  <si>
    <t>ADEUDO RECIBO SUBMINISTRES I</t>
  </si>
  <si>
    <t>SUBMINISTRAMENT_746572_30-06</t>
  </si>
  <si>
    <t>746572</t>
  </si>
  <si>
    <t>SUBMINISTRAMENT_747023_15-07</t>
  </si>
  <si>
    <t>747023</t>
  </si>
  <si>
    <t>SUBMINISTRAMENT_747732_31-07</t>
  </si>
  <si>
    <t>747732</t>
  </si>
  <si>
    <t>SUBMINISTRAMENT_747733_31-07</t>
  </si>
  <si>
    <t>747733</t>
  </si>
  <si>
    <t>SUBMINISTRAMENT_748248_29-08</t>
  </si>
  <si>
    <t>748248</t>
  </si>
  <si>
    <t>GRINO ROTAMIK, SA</t>
  </si>
  <si>
    <t>ADEUDO RECIBO GRINO ROTAMIK</t>
  </si>
  <si>
    <t>GRINO ROTAMIK, _250521_27-05</t>
  </si>
  <si>
    <t>250521</t>
  </si>
  <si>
    <t>GRINO ROTAMIK, _250562_02-06</t>
  </si>
  <si>
    <t>250562</t>
  </si>
  <si>
    <t>GRINO ROTAMIK, _250594_10-06</t>
  </si>
  <si>
    <t>250594</t>
  </si>
  <si>
    <t>GRINO ROTAMIK, _250645_25-06</t>
  </si>
  <si>
    <t>250645</t>
  </si>
  <si>
    <t>GRINO ROTAMIK, _250675_03-07</t>
  </si>
  <si>
    <t>250675</t>
  </si>
  <si>
    <t>GRINO ROTAMIK, _250700_09-07</t>
  </si>
  <si>
    <t>250700</t>
  </si>
  <si>
    <t>GRINO ROTAMIK, _250756_30-07</t>
  </si>
  <si>
    <t>250756</t>
  </si>
  <si>
    <t>ADEUDO RECIBO GRINO ROTAMIK,</t>
  </si>
  <si>
    <t>OFFICE24 SOLUTIONS, SL</t>
  </si>
  <si>
    <t>OFFICE24 SOLUTI_1884_25-01-2</t>
  </si>
  <si>
    <t>1884</t>
  </si>
  <si>
    <t>OFFICE24 SOLUTI_3000_30-01-2</t>
  </si>
  <si>
    <t>3000</t>
  </si>
  <si>
    <t>OFFICE24 SOLUTI_1597_23-04-2</t>
  </si>
  <si>
    <t>1597</t>
  </si>
  <si>
    <t>OFFICE24 SOLUTI_2464_26-06-2</t>
  </si>
  <si>
    <t>2464</t>
  </si>
  <si>
    <t>AERZEN IBERICA, SA</t>
  </si>
  <si>
    <t>AERZEN IBERICA,_236_24-02-20</t>
  </si>
  <si>
    <t>236</t>
  </si>
  <si>
    <t>AERZEN IBERICA,_474_11-04-20</t>
  </si>
  <si>
    <t>474</t>
  </si>
  <si>
    <t>AERZEN IBERICA,_4450_30-06-2</t>
  </si>
  <si>
    <t>4450</t>
  </si>
  <si>
    <t>AERZEN IBERICA,_4450_22-07-2</t>
  </si>
  <si>
    <t>AERZEN IBERICA,_1164_07-08-2</t>
  </si>
  <si>
    <t>1164</t>
  </si>
  <si>
    <t>DECASA I DECORACION, SL</t>
  </si>
  <si>
    <t>DECASA I DECORA_149_15-01-20</t>
  </si>
  <si>
    <t>149</t>
  </si>
  <si>
    <t>DECASA I DECORA_384_31-01-20</t>
  </si>
  <si>
    <t>384</t>
  </si>
  <si>
    <t>DECASA I DECORA_854_28-02-20</t>
  </si>
  <si>
    <t>854</t>
  </si>
  <si>
    <t>DECASA I DECORA_1099_15-03-2</t>
  </si>
  <si>
    <t>1099</t>
  </si>
  <si>
    <t>DECASA I DECORA_1337_31-03-2</t>
  </si>
  <si>
    <t>1337</t>
  </si>
  <si>
    <t>DECASA I DECORA_1792_30-04-2</t>
  </si>
  <si>
    <t>1792</t>
  </si>
  <si>
    <t>DECASA I DECORA_2547_15-06-2</t>
  </si>
  <si>
    <t>2547</t>
  </si>
  <si>
    <t>DECASA I DECORA_3012_15-07-2</t>
  </si>
  <si>
    <t>3012</t>
  </si>
  <si>
    <t>DECASA I DECORA_3266_31-07-2</t>
  </si>
  <si>
    <t>3266</t>
  </si>
  <si>
    <t>DECASA I DECORA_3618_31-08-2</t>
  </si>
  <si>
    <t>3618</t>
  </si>
  <si>
    <t>MOELCO TECNICAS APLICADAS, SL</t>
  </si>
  <si>
    <t>MOELCO TECNICAS_725142_25-07</t>
  </si>
  <si>
    <t>725142</t>
  </si>
  <si>
    <t>SOFTWARE DEL SOL, S.A.</t>
  </si>
  <si>
    <t>QUILINOX, SL</t>
  </si>
  <si>
    <t>QUILINOX, SL_6691_15-02-2025</t>
  </si>
  <si>
    <t>6691</t>
  </si>
  <si>
    <t>QUILINOX, SL_6691_31-05-2025</t>
  </si>
  <si>
    <t>QUILINOX, SL_8202_31-07-2025</t>
  </si>
  <si>
    <t>8202</t>
  </si>
  <si>
    <t>SEITRANS, SA</t>
  </si>
  <si>
    <t>SEITRANS, SA_453/VE/10_15-01</t>
  </si>
  <si>
    <t>453/VE/10</t>
  </si>
  <si>
    <t>SEITRANS, SA_13562_15-04-202</t>
  </si>
  <si>
    <t>13562</t>
  </si>
  <si>
    <t>SEITRANS, SA_573/VE/10/2025_</t>
  </si>
  <si>
    <t>VE/10/2025</t>
  </si>
  <si>
    <t>SEITRANS, SA_22578_15-06-202</t>
  </si>
  <si>
    <t>22578</t>
  </si>
  <si>
    <t>SEITRANS, SA_22979_20-06-202</t>
  </si>
  <si>
    <t>22979</t>
  </si>
  <si>
    <t>SEITRANS, SA_23447_25-06-202</t>
  </si>
  <si>
    <t>23447</t>
  </si>
  <si>
    <t>SEITRANS, SA_27908_25-07-202</t>
  </si>
  <si>
    <t>27908</t>
  </si>
  <si>
    <t>SEITRANS, SA_28623_30-07-202</t>
  </si>
  <si>
    <t>28623</t>
  </si>
  <si>
    <t>INDUBOMBAS SL</t>
  </si>
  <si>
    <t>INDUBOMBAS SL_250375_20-06-2</t>
  </si>
  <si>
    <t>250375</t>
  </si>
  <si>
    <t>INDUBOMBAS SL_250445_29-07-2</t>
  </si>
  <si>
    <t>250445</t>
  </si>
  <si>
    <t>AV RAMSAN, CB</t>
  </si>
  <si>
    <t>AV RAMSAN, CB_25001_01-01-20</t>
  </si>
  <si>
    <t>25001</t>
  </si>
  <si>
    <t>AV RAMSAN, CB_25002_01-02-20</t>
  </si>
  <si>
    <t>25002</t>
  </si>
  <si>
    <t>AV RAMSAN, CB_25003_01-03-20</t>
  </si>
  <si>
    <t>25003</t>
  </si>
  <si>
    <t>AV RAMSAN, CB_25005_01-04-20</t>
  </si>
  <si>
    <t>25005</t>
  </si>
  <si>
    <t>AV RAMSAN, CB_25006_01-05-20</t>
  </si>
  <si>
    <t>25006</t>
  </si>
  <si>
    <t>AV RAMSAN, CB_25007_01-06-20</t>
  </si>
  <si>
    <t>25007</t>
  </si>
  <si>
    <t>AV RAMSAN, CB_25009_01-07-20</t>
  </si>
  <si>
    <t>25009</t>
  </si>
  <si>
    <t>AV RAMSAN, CB_25010_01-08-20</t>
  </si>
  <si>
    <t>25010</t>
  </si>
  <si>
    <t>AV RAMSAN, CB_25011_01-09-20</t>
  </si>
  <si>
    <t>25011</t>
  </si>
  <si>
    <t>MAQUINARIA ELECTRICA BILBAO SA</t>
  </si>
  <si>
    <t>MAQUINARIA ELEC_6450_24-07-2</t>
  </si>
  <si>
    <t>6450</t>
  </si>
  <si>
    <t>MORENO MRO SL</t>
  </si>
  <si>
    <t>MORENO MRO SL_101016_15-01-2</t>
  </si>
  <si>
    <t>101016</t>
  </si>
  <si>
    <t>MORENO MRO SL_102827_15-02-2</t>
  </si>
  <si>
    <t>102827</t>
  </si>
  <si>
    <t>MORENO MRO SL_103773_28-02-2</t>
  </si>
  <si>
    <t>103773</t>
  </si>
  <si>
    <t>MORENO MRO SL_104699_15-03-2</t>
  </si>
  <si>
    <t>104699</t>
  </si>
  <si>
    <t>MORENO MRO SL_6532_15-04-202</t>
  </si>
  <si>
    <t>6532</t>
  </si>
  <si>
    <t>MORENO MRO SL_8198_15-05-202</t>
  </si>
  <si>
    <t>8198</t>
  </si>
  <si>
    <t>MORENO MRO SL_110074_15-06-2</t>
  </si>
  <si>
    <t>110074</t>
  </si>
  <si>
    <t>MORENO MRO SL_111883_15-07-2</t>
  </si>
  <si>
    <t>111883</t>
  </si>
  <si>
    <t>TALLERES ELECTRICOS BRIM, SL</t>
  </si>
  <si>
    <t>TALLERES ELECTR_25064_30-01-</t>
  </si>
  <si>
    <t>25064</t>
  </si>
  <si>
    <t>TALLERES ELECTR_25092_15-02-</t>
  </si>
  <si>
    <t>25092</t>
  </si>
  <si>
    <t>TALLERES ELECTR_25166_15-03-</t>
  </si>
  <si>
    <t>25166</t>
  </si>
  <si>
    <t>TALLERES ELECTR_25239_15-04-</t>
  </si>
  <si>
    <t>25239</t>
  </si>
  <si>
    <t>TALLERES ELECTR_25348_30-05-</t>
  </si>
  <si>
    <t>25348</t>
  </si>
  <si>
    <t>TALLERES ELECTR_25383_15-06-</t>
  </si>
  <si>
    <t>25383</t>
  </si>
  <si>
    <t>TALLERES ELECTR_25464_15-07-</t>
  </si>
  <si>
    <t>25464</t>
  </si>
  <si>
    <t>TALLERES ELECTR_25500_30-07-</t>
  </si>
  <si>
    <t>25500</t>
  </si>
  <si>
    <t>TAFOR SA</t>
  </si>
  <si>
    <t>TAFOR SA_100_03-04-2025</t>
  </si>
  <si>
    <t>100</t>
  </si>
  <si>
    <t>TAFOR SA_132_30-04-2025</t>
  </si>
  <si>
    <t>132</t>
  </si>
  <si>
    <t>TAFOR SA_191_17-06-2025</t>
  </si>
  <si>
    <t>191</t>
  </si>
  <si>
    <t>TAFOR SA_231_24-07-2025</t>
  </si>
  <si>
    <t>231</t>
  </si>
  <si>
    <t>TAFOR SA_248_06-08-2025</t>
  </si>
  <si>
    <t>248</t>
  </si>
  <si>
    <t>MILS SAS</t>
  </si>
  <si>
    <t>TRANSFERENCIA A MIL'S</t>
  </si>
  <si>
    <t>MILS SAS_4439_29-07-2025</t>
  </si>
  <si>
    <t>4439</t>
  </si>
  <si>
    <t>TRANSFERENCIA A MIL'S SAS</t>
  </si>
  <si>
    <t>MILS SAS_5091_02-09-2025</t>
  </si>
  <si>
    <t>5091</t>
  </si>
  <si>
    <t>SANTANDER FACTORING Y CONFIRMI</t>
  </si>
  <si>
    <t>SANTANDER FACTO_25/02/005636</t>
  </si>
  <si>
    <t>2/00563669</t>
  </si>
  <si>
    <t>NETEGES CORAL, SL</t>
  </si>
  <si>
    <t>NETEGES CORAL, _25/64_20-01-</t>
  </si>
  <si>
    <t>25/64</t>
  </si>
  <si>
    <t>NETEGES CORAL, _608_20-02-20</t>
  </si>
  <si>
    <t>608</t>
  </si>
  <si>
    <t>NETEGES CORAL, _1159_20-03-2</t>
  </si>
  <si>
    <t>1159</t>
  </si>
  <si>
    <t>NETEGES CORAL, _1767_20-04-2</t>
  </si>
  <si>
    <t>1767</t>
  </si>
  <si>
    <t>NETEGES CORAL, _2345_20-05-2</t>
  </si>
  <si>
    <t>2345</t>
  </si>
  <si>
    <t>NETEGES CORAL, _2894_20-06-2</t>
  </si>
  <si>
    <t>2894</t>
  </si>
  <si>
    <t>NETEGES CORAL, _3468_20-07-2</t>
  </si>
  <si>
    <t>3468</t>
  </si>
  <si>
    <t>NETEGES CORAL, _4031_20-08-2</t>
  </si>
  <si>
    <t>4031</t>
  </si>
  <si>
    <t>ASSESSORIA EGARA, SL</t>
  </si>
  <si>
    <t>Su Fra. 0000075</t>
  </si>
  <si>
    <t>1/0000075</t>
  </si>
  <si>
    <t>Su Fra. 0000244</t>
  </si>
  <si>
    <t>1/0000244</t>
  </si>
  <si>
    <t>Su Fra. 0000405</t>
  </si>
  <si>
    <t>1/0000405</t>
  </si>
  <si>
    <t>Su Fra. 0000543</t>
  </si>
  <si>
    <t>1/0000543</t>
  </si>
  <si>
    <t>Su Fra. 0000678</t>
  </si>
  <si>
    <t>1/0000678</t>
  </si>
  <si>
    <t>Su Fra. 0000760</t>
  </si>
  <si>
    <t>1/0000760</t>
  </si>
  <si>
    <t>Su Fra. 0000940</t>
  </si>
  <si>
    <t>1/0000940</t>
  </si>
  <si>
    <t>Su Fra. 0001085</t>
  </si>
  <si>
    <t>1/0001085</t>
  </si>
  <si>
    <t>Su Fra. 0001224</t>
  </si>
  <si>
    <t>1/0001224</t>
  </si>
  <si>
    <t>Su Fra. 0001363</t>
  </si>
  <si>
    <t>1/0001363</t>
  </si>
  <si>
    <t>SECURITAS DIRECT ESPANA, SA</t>
  </si>
  <si>
    <t>SECURITAS DIREC_2501C0073004</t>
  </si>
  <si>
    <t>1C00730045</t>
  </si>
  <si>
    <t>FACTURA PENDIENTE 2024</t>
  </si>
  <si>
    <t>39928</t>
  </si>
  <si>
    <t>SECURITAS DIREC_2502C0067491</t>
  </si>
  <si>
    <t>2C00674911</t>
  </si>
  <si>
    <t>SECURITAS DIREC_74740_10-02-</t>
  </si>
  <si>
    <t>74740</t>
  </si>
  <si>
    <t>SECURITAS DIREC_77722_11-02-</t>
  </si>
  <si>
    <t>77722</t>
  </si>
  <si>
    <t>SECURITAS DIREC_83347_13-02-</t>
  </si>
  <si>
    <t>83347</t>
  </si>
  <si>
    <t>SECURITAS DIREC_2503C0000918</t>
  </si>
  <si>
    <t>3C00009189</t>
  </si>
  <si>
    <t>SECURITAS DIREC_2504C0070026</t>
  </si>
  <si>
    <t>4C00700261</t>
  </si>
  <si>
    <t>SEGUROS SECURITAS DIRECT ESP</t>
  </si>
  <si>
    <t>PAGO INSTALACIÓN</t>
  </si>
  <si>
    <t>SECURITAS DIREC_2505C0075692</t>
  </si>
  <si>
    <t>5C00756922</t>
  </si>
  <si>
    <t>PAGO INSTALACION</t>
  </si>
  <si>
    <t>SECURITAS DIREC_29951_01-06-</t>
  </si>
  <si>
    <t>29951</t>
  </si>
  <si>
    <t>SECURITAS DIREC_5325_01-07-2</t>
  </si>
  <si>
    <t>5325</t>
  </si>
  <si>
    <t>SECURITAS DIREC_9660_01-08-2</t>
  </si>
  <si>
    <t>9660</t>
  </si>
  <si>
    <t>SECURITAS DIREC_74800_01-09-</t>
  </si>
  <si>
    <t>74800</t>
  </si>
  <si>
    <t>REGISTRO MERCANTIL DE BARCELON</t>
  </si>
  <si>
    <t>Importe factura recibida.</t>
  </si>
  <si>
    <t>31337</t>
  </si>
  <si>
    <t>58101</t>
  </si>
  <si>
    <t>LEYBOLD HISPANICA, SA</t>
  </si>
  <si>
    <t>LEYBOLD HISPANI_6006_07-02-2</t>
  </si>
  <si>
    <t>6006</t>
  </si>
  <si>
    <t>LEYBOLD HISPANI_6457_31-03-2</t>
  </si>
  <si>
    <t>6457</t>
  </si>
  <si>
    <t>LEYBOLD HISPANI_7143_26-06-2</t>
  </si>
  <si>
    <t>7143</t>
  </si>
  <si>
    <t>LEYBOLD HISPANI_7370_28-07-2</t>
  </si>
  <si>
    <t>7370</t>
  </si>
  <si>
    <t>LEYBOLD HISPANI_7404_01-08-2</t>
  </si>
  <si>
    <t>7404</t>
  </si>
  <si>
    <t>SABATER NURI CARBURANTS SAU</t>
  </si>
  <si>
    <t>Importe fra recibida 02-12-2</t>
  </si>
  <si>
    <t>5251</t>
  </si>
  <si>
    <t>Importe fra recibida 11-12-2</t>
  </si>
  <si>
    <t>5392</t>
  </si>
  <si>
    <t>Importe fra recibida 14-11-2</t>
  </si>
  <si>
    <t>4962</t>
  </si>
  <si>
    <t>SABATER NURI CA_2024_17-10-2</t>
  </si>
  <si>
    <t>4545</t>
  </si>
  <si>
    <t>SABATER NURI CA_4669_02-01-2</t>
  </si>
  <si>
    <t>4669</t>
  </si>
  <si>
    <t>GASTO SIN FACTURA 2024</t>
  </si>
  <si>
    <t>ES NUROIL</t>
  </si>
  <si>
    <t>02-12</t>
  </si>
  <si>
    <t>11-12</t>
  </si>
  <si>
    <t>264</t>
  </si>
  <si>
    <t>SABATER NURI CA_275_22-01-20</t>
  </si>
  <si>
    <t>275</t>
  </si>
  <si>
    <t>21-01</t>
  </si>
  <si>
    <t>22-01</t>
  </si>
  <si>
    <t>24-01</t>
  </si>
  <si>
    <t>TARJETA CREDITO ANTONIO SALA</t>
  </si>
  <si>
    <t>10-02</t>
  </si>
  <si>
    <t>19-02</t>
  </si>
  <si>
    <t>Importe fra recibida 10-02-2</t>
  </si>
  <si>
    <t>547</t>
  </si>
  <si>
    <t>Importe fra recibida 24-01-2</t>
  </si>
  <si>
    <t>308</t>
  </si>
  <si>
    <t>Importe fra recibida 19-02-2</t>
  </si>
  <si>
    <t>690</t>
  </si>
  <si>
    <t>Importe fra recibida 07-03-2</t>
  </si>
  <si>
    <t>945</t>
  </si>
  <si>
    <t>Importe fra recibida 17-03-2</t>
  </si>
  <si>
    <t>1108</t>
  </si>
  <si>
    <t>Importe fra recibida 31-03-2</t>
  </si>
  <si>
    <t>1315</t>
  </si>
  <si>
    <t>07-03</t>
  </si>
  <si>
    <t>17-03</t>
  </si>
  <si>
    <t>31-03</t>
  </si>
  <si>
    <t>1889</t>
  </si>
  <si>
    <t>SABATER NURI CA_2064_15-05-2</t>
  </si>
  <si>
    <t>2064</t>
  </si>
  <si>
    <t>15-05</t>
  </si>
  <si>
    <t>27-05</t>
  </si>
  <si>
    <t>09-06</t>
  </si>
  <si>
    <t>10-07</t>
  </si>
  <si>
    <t>21-07</t>
  </si>
  <si>
    <t>31-07</t>
  </si>
  <si>
    <t>21-08</t>
  </si>
  <si>
    <t>25-08</t>
  </si>
  <si>
    <t>28-08</t>
  </si>
  <si>
    <t>Q8 ENERGY RED SL</t>
  </si>
  <si>
    <t>Q8 ENERGY RED S_4007I22884_0</t>
  </si>
  <si>
    <t>4007I22884</t>
  </si>
  <si>
    <t>MEDIA MARKT SATURN SA BARCELON</t>
  </si>
  <si>
    <t>MEDIA MARKT 06-06-25</t>
  </si>
  <si>
    <t>60905654</t>
  </si>
  <si>
    <t>SA METALOGRAFICA</t>
  </si>
  <si>
    <t>COBRO CLIENTES</t>
  </si>
  <si>
    <t>SA METALOGRAFIC_350038_31-01</t>
  </si>
  <si>
    <t>350038</t>
  </si>
  <si>
    <t>SA METALOGRAFIC_350071_28-02</t>
  </si>
  <si>
    <t>350071</t>
  </si>
  <si>
    <t>SA METALOGRAFIC_350112_31-03</t>
  </si>
  <si>
    <t>350112</t>
  </si>
  <si>
    <t>SA METALOGRAFIC_350146_30-04</t>
  </si>
  <si>
    <t>350146</t>
  </si>
  <si>
    <t>SA METALOGRAFIC_350182_30-05</t>
  </si>
  <si>
    <t>350182</t>
  </si>
  <si>
    <t>SA METALOGRAFIC_350219_30-06</t>
  </si>
  <si>
    <t>350219</t>
  </si>
  <si>
    <t>SA METALOGRAFIC_350241_31-07</t>
  </si>
  <si>
    <t>350241</t>
  </si>
  <si>
    <t>SA METALOGRAFIC_350272_31-08</t>
  </si>
  <si>
    <t>350272</t>
  </si>
  <si>
    <t>FLOW VACUUM, SL</t>
  </si>
  <si>
    <t>FLOW VACUUM, SL_350003_15-01</t>
  </si>
  <si>
    <t>350003</t>
  </si>
  <si>
    <t>FLOW VACUUM, SL_350050_14-02</t>
  </si>
  <si>
    <t>350050</t>
  </si>
  <si>
    <t>TRANSFERENCIA FLOW VACUUM SL</t>
  </si>
  <si>
    <t>FLOW VACUUM, SL_350122_14-04</t>
  </si>
  <si>
    <t>350122</t>
  </si>
  <si>
    <t>FLOW VACUUM, SL_350163_30-05</t>
  </si>
  <si>
    <t>350163</t>
  </si>
  <si>
    <t>FLOW VACUUM, SL_350239_16-07</t>
  </si>
  <si>
    <t>350239</t>
  </si>
  <si>
    <t>FLOW VACUUM, SL_350282_15-09</t>
  </si>
  <si>
    <t>350282</t>
  </si>
  <si>
    <t>TRATAMIENTO TERMICOS TTT, SA</t>
  </si>
  <si>
    <t>REMESA DÉBITOS DIRECTOS SEPA</t>
  </si>
  <si>
    <t>TRATAMIENTO TER_350043_14-02</t>
  </si>
  <si>
    <t>350043</t>
  </si>
  <si>
    <t>TRATAMIENTO TER_350257_31-07</t>
  </si>
  <si>
    <t>350257</t>
  </si>
  <si>
    <t>METALOGRAFICA DE LEVANTE, SA</t>
  </si>
  <si>
    <t>METALOGRAFICA D_350227_15-07</t>
  </si>
  <si>
    <t>350227</t>
  </si>
  <si>
    <t>METALOGRAFICA D_350254_31-07</t>
  </si>
  <si>
    <t>350254</t>
  </si>
  <si>
    <t>SONOWAT, SL</t>
  </si>
  <si>
    <t>SONOWAT, SL_350016_15-01-202</t>
  </si>
  <si>
    <t>350016</t>
  </si>
  <si>
    <t>SONOWAT, SL_350020_31-01-202</t>
  </si>
  <si>
    <t>350020</t>
  </si>
  <si>
    <t>ABONO TRANSFERENCIA DE SONOW</t>
  </si>
  <si>
    <t>SONOWAT, SL_350138_30-04-202</t>
  </si>
  <si>
    <t>350138</t>
  </si>
  <si>
    <t>SONOWAT, SL_350166_30-05-202</t>
  </si>
  <si>
    <t>350166</t>
  </si>
  <si>
    <t>SONOWAT, SL_350213_30-06-202</t>
  </si>
  <si>
    <t>350213</t>
  </si>
  <si>
    <t>SONOWAT, SL_350238_16-07-202</t>
  </si>
  <si>
    <t>350238</t>
  </si>
  <si>
    <t>RUBIX IBERIA SA</t>
  </si>
  <si>
    <t>TRANSFERENCIA SANTANDER FACT</t>
  </si>
  <si>
    <t>RUBIX IBERIA SA_350004_15-01</t>
  </si>
  <si>
    <t>350004</t>
  </si>
  <si>
    <t>RUBIX IBERIA SA_350010_15-01</t>
  </si>
  <si>
    <t>350010</t>
  </si>
  <si>
    <t>TRANSFERENCIA BANCO BILBAO V</t>
  </si>
  <si>
    <t>RUBIX IBERIA SA_350026_31-01</t>
  </si>
  <si>
    <t>350026</t>
  </si>
  <si>
    <t>RUBIX IBERIA SA_350027_31-01</t>
  </si>
  <si>
    <t>350027</t>
  </si>
  <si>
    <t>RUBIX IBERIA SA_350028_31-01</t>
  </si>
  <si>
    <t>350028</t>
  </si>
  <si>
    <t>RUBIX IBERIA SA_350031_31-01</t>
  </si>
  <si>
    <t>350031</t>
  </si>
  <si>
    <t>RUBIX IBERIA SA_350063_28-02</t>
  </si>
  <si>
    <t>350063</t>
  </si>
  <si>
    <t>RUBIX IBERIA SA_350059_28-02</t>
  </si>
  <si>
    <t>350059</t>
  </si>
  <si>
    <t>RUBIX IBERIA SA_350078_14-03</t>
  </si>
  <si>
    <t>350078</t>
  </si>
  <si>
    <t>RUBIX IBERIA SA_350108_31-03</t>
  </si>
  <si>
    <t>350108</t>
  </si>
  <si>
    <t>RUBIX IBERIA SA_350107_31-03</t>
  </si>
  <si>
    <t>350107</t>
  </si>
  <si>
    <t>RUBIX IBERIA SA_350106_31-03</t>
  </si>
  <si>
    <t>350106</t>
  </si>
  <si>
    <t>TRANSFERENCIA RUBIX IBERIA S</t>
  </si>
  <si>
    <t>RUBIX IBERIA SA_350127_14-04</t>
  </si>
  <si>
    <t>350127</t>
  </si>
  <si>
    <t>TRANSFERENCIA ARQUIMEA SPACE</t>
  </si>
  <si>
    <t>RUBIX IBERIA SA_350133_30-04</t>
  </si>
  <si>
    <t>350133</t>
  </si>
  <si>
    <t>RUBIX IBERIA SA_350132_30-04</t>
  </si>
  <si>
    <t>350132</t>
  </si>
  <si>
    <t>RUBIX IBERIA SA_350131_30-04</t>
  </si>
  <si>
    <t>350131</t>
  </si>
  <si>
    <t>RUBIX IBERIA SA_350158_15-05</t>
  </si>
  <si>
    <t>350158</t>
  </si>
  <si>
    <t>RUBIX IBERIA SA_350157_15-05</t>
  </si>
  <si>
    <t>350157</t>
  </si>
  <si>
    <t>RUBIX IBERIA SA_350229_15-07</t>
  </si>
  <si>
    <t>350229</t>
  </si>
  <si>
    <t>RUBIX IBERIA SA_350228_15-07</t>
  </si>
  <si>
    <t>350228</t>
  </si>
  <si>
    <t>RUBIX IBERIA SA_350220_15-07</t>
  </si>
  <si>
    <t>350220</t>
  </si>
  <si>
    <t>RUBIX IBERIA SA_350252_31-07</t>
  </si>
  <si>
    <t>350252</t>
  </si>
  <si>
    <t>RUBIX IBERIA SA_350288_15-09</t>
  </si>
  <si>
    <t>350288</t>
  </si>
  <si>
    <t>RUBIX IBERIA SA_350285_15-09</t>
  </si>
  <si>
    <t>350285</t>
  </si>
  <si>
    <t>RUBIX IBERIA SA_350292_17-09</t>
  </si>
  <si>
    <t>350292</t>
  </si>
  <si>
    <t>RUBIX IBERIA SA_350291_17-09</t>
  </si>
  <si>
    <t>350291</t>
  </si>
  <si>
    <t>INDCRE, SA</t>
  </si>
  <si>
    <t>INDCRE, SA_350271_31-08-2025</t>
  </si>
  <si>
    <t>350271</t>
  </si>
  <si>
    <t>INDCRE, SA_350270_31-08-2025</t>
  </si>
  <si>
    <t>350270</t>
  </si>
  <si>
    <t>BUSCH IBERICA, _350013_15-01</t>
  </si>
  <si>
    <t>350013</t>
  </si>
  <si>
    <t>TRANSFERENCIA BANCO DE SABAD</t>
  </si>
  <si>
    <t>BUSCH IBERICA, _350042_14-02</t>
  </si>
  <si>
    <t>350042</t>
  </si>
  <si>
    <t>PTE DETALLE CONFIRMING</t>
  </si>
  <si>
    <t>BUSCH IBERICA, _350069_28-02</t>
  </si>
  <si>
    <t>350069</t>
  </si>
  <si>
    <t>CONFIRMING SABADELL</t>
  </si>
  <si>
    <t>BUSCH IBERICA, _350093_31-03</t>
  </si>
  <si>
    <t>350093</t>
  </si>
  <si>
    <t>BUSCH IBERICA, _350124_14-04</t>
  </si>
  <si>
    <t>350124</t>
  </si>
  <si>
    <t>BUSCH IBERICA, _350128_30-04</t>
  </si>
  <si>
    <t>350128</t>
  </si>
  <si>
    <t>BUSCH IBERICA, _350156_15-05</t>
  </si>
  <si>
    <t>350156</t>
  </si>
  <si>
    <t>BUSCH IBERICA, _350165_30-05</t>
  </si>
  <si>
    <t>350165</t>
  </si>
  <si>
    <t>BUSCH IBERICA, _350186_13-06</t>
  </si>
  <si>
    <t>350186</t>
  </si>
  <si>
    <t>BUSCH IBERICA, _350201_30-06</t>
  </si>
  <si>
    <t>350201</t>
  </si>
  <si>
    <t>BUSCH IBERICA, _350225_15-07</t>
  </si>
  <si>
    <t>350225</t>
  </si>
  <si>
    <t>BUSCH IBERICA, _350246_31-07</t>
  </si>
  <si>
    <t>350246</t>
  </si>
  <si>
    <t>BUSCH IBERICA, _350266_31-08</t>
  </si>
  <si>
    <t>350266</t>
  </si>
  <si>
    <t>BUSCH IBERICA, _350290_16-09</t>
  </si>
  <si>
    <t>350290</t>
  </si>
  <si>
    <t>VIROSPACK, SL</t>
  </si>
  <si>
    <t>VIROSPACK, SL_350022_31-01-2</t>
  </si>
  <si>
    <t>350022</t>
  </si>
  <si>
    <t>VIROSPACK, SL_350023_31-01-2</t>
  </si>
  <si>
    <t>350023</t>
  </si>
  <si>
    <t>ABONO TRANSFERENCIA DE VIROS</t>
  </si>
  <si>
    <t>VIROSPACK, SL_350097_31-03-2</t>
  </si>
  <si>
    <t>350097</t>
  </si>
  <si>
    <t>TRANSFERENCIA VIROSPACK, S.L</t>
  </si>
  <si>
    <t>VIROSPACK, SL_350141_30-04-2</t>
  </si>
  <si>
    <t>350141</t>
  </si>
  <si>
    <t>VIROSPACK, SL_350183_09-05-2</t>
  </si>
  <si>
    <t>350183</t>
  </si>
  <si>
    <t>VIROSPACK, SL_350175_30-05-2</t>
  </si>
  <si>
    <t>350175</t>
  </si>
  <si>
    <t>VIROSPACK, SL_350184_13-06-2</t>
  </si>
  <si>
    <t>350184</t>
  </si>
  <si>
    <t>TRANSFERENCIA VIROSPACK S L</t>
  </si>
  <si>
    <t>VIROSPACK, SL_350222_15-07-2</t>
  </si>
  <si>
    <t>350222</t>
  </si>
  <si>
    <t>VIROSPACK, SL_350221_15-07-2</t>
  </si>
  <si>
    <t>350221</t>
  </si>
  <si>
    <t>VIROSPACK, SL_350247_31-07-2</t>
  </si>
  <si>
    <t>350247</t>
  </si>
  <si>
    <t>VIROSPACK, SL_350262_31-08-2</t>
  </si>
  <si>
    <t>350262</t>
  </si>
  <si>
    <t>VIROSPACK, SL_350261_31-08-2</t>
  </si>
  <si>
    <t>350261</t>
  </si>
  <si>
    <t>LABORATORIOS INIBSA, SA</t>
  </si>
  <si>
    <t>LABORATORIOS IN_350032_31-01</t>
  </si>
  <si>
    <t>350032</t>
  </si>
  <si>
    <t>LABORATORIOS IN_350237_16-07</t>
  </si>
  <si>
    <t>350237</t>
  </si>
  <si>
    <t>LABORATORIOS IN_350279_15-09</t>
  </si>
  <si>
    <t>350279</t>
  </si>
  <si>
    <t>ARGAL ALIMENTACION, SA</t>
  </si>
  <si>
    <t>ARGAL ALIMENTAC_350218_30-06</t>
  </si>
  <si>
    <t>350218</t>
  </si>
  <si>
    <t>ARGAL ALIMENTAC_350251_31-07</t>
  </si>
  <si>
    <t>350251</t>
  </si>
  <si>
    <t>KERN PHARMA, SL</t>
  </si>
  <si>
    <t>KERN PHARMA, SL_350200_13-06</t>
  </si>
  <si>
    <t>350200</t>
  </si>
  <si>
    <t>KERN PHARMA, SL_350205_30-06</t>
  </si>
  <si>
    <t>350205</t>
  </si>
  <si>
    <t>SALA DE DESFE I MAGAT.FRIGOR.J</t>
  </si>
  <si>
    <t>SALA DE DESFE I_350046_14-02</t>
  </si>
  <si>
    <t>350046</t>
  </si>
  <si>
    <t>SALA DE DESFE I_350087_14-03</t>
  </si>
  <si>
    <t>350087</t>
  </si>
  <si>
    <t>SALA DE DESFE I_350109_31-03</t>
  </si>
  <si>
    <t>350109</t>
  </si>
  <si>
    <t>SALA DE DESFE I_350286_15-09</t>
  </si>
  <si>
    <t>350286</t>
  </si>
  <si>
    <t>KAMAX GALOL COATINGS, SA</t>
  </si>
  <si>
    <t>KAMAX GALOL COA_350210_30-06</t>
  </si>
  <si>
    <t>350210</t>
  </si>
  <si>
    <t>BIOQUIM, SA</t>
  </si>
  <si>
    <t>BIOQUIM, SA_350030_31-01-202</t>
  </si>
  <si>
    <t>350030</t>
  </si>
  <si>
    <t>BIOQUIM, SA_350053_14-02-202</t>
  </si>
  <si>
    <t>350053</t>
  </si>
  <si>
    <t>BIOQUIM, SA_350052_14-02-202</t>
  </si>
  <si>
    <t>350052</t>
  </si>
  <si>
    <t>BIOQUIM, SA_350090_14-03-202</t>
  </si>
  <si>
    <t>350090</t>
  </si>
  <si>
    <t>BIOQUIM, SA_350111_31-03-202</t>
  </si>
  <si>
    <t>350111</t>
  </si>
  <si>
    <t>BIOQUIM, SA_350123_14-04-202</t>
  </si>
  <si>
    <t>350123</t>
  </si>
  <si>
    <t>BIOQUIM, SA_350140_30-04-202</t>
  </si>
  <si>
    <t>350140</t>
  </si>
  <si>
    <t>BIOQUIM, SA_350188_13-06-202</t>
  </si>
  <si>
    <t>350188</t>
  </si>
  <si>
    <t>BIOQUIM, SA_350206_30-06-202</t>
  </si>
  <si>
    <t>350206</t>
  </si>
  <si>
    <t>BIOQUIM, SA_350243_31-07-202</t>
  </si>
  <si>
    <t>350243</t>
  </si>
  <si>
    <t>BIOQUIM, SA_350260_31-08-202</t>
  </si>
  <si>
    <t>350260</t>
  </si>
  <si>
    <t>CARBUROS METALICOS, SA</t>
  </si>
  <si>
    <t>CARBUROS METALI_350075_28-02</t>
  </si>
  <si>
    <t>350075</t>
  </si>
  <si>
    <t>CARBUROS METALI_350074_28-02</t>
  </si>
  <si>
    <t>350074</t>
  </si>
  <si>
    <t>CARBUROS METALI_350073_28-02</t>
  </si>
  <si>
    <t>350073</t>
  </si>
  <si>
    <t>CARBUROS METALI_350072_28-02</t>
  </si>
  <si>
    <t>350072</t>
  </si>
  <si>
    <t>ABONO TRANSFERENCIA DE AIR P</t>
  </si>
  <si>
    <t>CARBUROS METALI_350145_30-04</t>
  </si>
  <si>
    <t>350145</t>
  </si>
  <si>
    <t>CARBUROS METALI_350149_15-05</t>
  </si>
  <si>
    <t>350149</t>
  </si>
  <si>
    <t>CARBUROS METALI_350277_15-09</t>
  </si>
  <si>
    <t>350277</t>
  </si>
  <si>
    <t>CARBUROS METALI_350276_15-09</t>
  </si>
  <si>
    <t>350276</t>
  </si>
  <si>
    <t>CARBUROS METALI_350275_15-09</t>
  </si>
  <si>
    <t>350275</t>
  </si>
  <si>
    <t>CARBUROS METALI_350274_15-09</t>
  </si>
  <si>
    <t>350274</t>
  </si>
  <si>
    <t>CARBUROS METALI_350273_15-09</t>
  </si>
  <si>
    <t>350273</t>
  </si>
  <si>
    <t>FLAMAGAS LLINARS, SL</t>
  </si>
  <si>
    <t>FLAMAGAS LLINAR_350177_30-05</t>
  </si>
  <si>
    <t>350177</t>
  </si>
  <si>
    <t>FLAMAGAS LLINAR_350265_31-08</t>
  </si>
  <si>
    <t>350265</t>
  </si>
  <si>
    <t>NEURAXPHARM PHARMACEUTICALS, S</t>
  </si>
  <si>
    <t>NEURAXPHARM PHA_350230_15-07</t>
  </si>
  <si>
    <t>350230</t>
  </si>
  <si>
    <t>NESTLE ESPANA, S.A.</t>
  </si>
  <si>
    <t>NESTLE ESPANA, _350234_15-07</t>
  </si>
  <si>
    <t>350234</t>
  </si>
  <si>
    <t>NESTLE ESPANA, _350253_31-07</t>
  </si>
  <si>
    <t>350253</t>
  </si>
  <si>
    <t>GRIFOLS, SA</t>
  </si>
  <si>
    <t>GRIFOLS, SA_350034_31-01-202</t>
  </si>
  <si>
    <t>350034</t>
  </si>
  <si>
    <t>GRIFOLS, SA_350209_30-06-202</t>
  </si>
  <si>
    <t>350209</t>
  </si>
  <si>
    <t>PLASTICOS JUAREZ, SA</t>
  </si>
  <si>
    <t>PLASTICOS JUARE_350143_30-04</t>
  </si>
  <si>
    <t>350143</t>
  </si>
  <si>
    <t>PLASTICOS JUARE_350250_31-07</t>
  </si>
  <si>
    <t>350250</t>
  </si>
  <si>
    <t>TECNIPLASTIC 2MIL, SL</t>
  </si>
  <si>
    <t>TECNIPLASTIC 2M_350081_14-03</t>
  </si>
  <si>
    <t>350081</t>
  </si>
  <si>
    <t>TECNIPLASTIC 2M_350240_31-07</t>
  </si>
  <si>
    <t>350240</t>
  </si>
  <si>
    <t>ENVIROTECNICS GLOBAL SERVICE,</t>
  </si>
  <si>
    <t>ENVIROTECNICS G_350017_31-01</t>
  </si>
  <si>
    <t>350017</t>
  </si>
  <si>
    <t>ENVIROTECNICS G_350056_28-02</t>
  </si>
  <si>
    <t>350056</t>
  </si>
  <si>
    <t>ENVIROTECNICS G_350101_31-03</t>
  </si>
  <si>
    <t>350101</t>
  </si>
  <si>
    <t>ENVIROTECNICS G_350159_15-05</t>
  </si>
  <si>
    <t>350159</t>
  </si>
  <si>
    <t>ENVIROTECNICS G_350193_13-06</t>
  </si>
  <si>
    <t>350193</t>
  </si>
  <si>
    <t>ENVIROTECNICS G_350268_31-08</t>
  </si>
  <si>
    <t>350268</t>
  </si>
  <si>
    <t>ENVIROTECNICS G_350289_16-09</t>
  </si>
  <si>
    <t>350289</t>
  </si>
  <si>
    <t>COOLVACUUM TECHNOLOGIES, SL</t>
  </si>
  <si>
    <t>COOLVACUUM TECH_350014_15-01</t>
  </si>
  <si>
    <t>350014</t>
  </si>
  <si>
    <t>COOLVACUUM TECH_350025_31-01</t>
  </si>
  <si>
    <t>350025</t>
  </si>
  <si>
    <t>COOLVACUUM TECH_350033_31-01</t>
  </si>
  <si>
    <t>350033</t>
  </si>
  <si>
    <t>COOLVACUUM TECH_350083_14-03</t>
  </si>
  <si>
    <t>350083</t>
  </si>
  <si>
    <t>TRANSFERENCIA COOLVACUUM TEC</t>
  </si>
  <si>
    <t>COOLVACUUM TECH_350135_30-04</t>
  </si>
  <si>
    <t>350135</t>
  </si>
  <si>
    <t>COOLVACUUM TECH_350171_30-05</t>
  </si>
  <si>
    <t>350171</t>
  </si>
  <si>
    <t>COOLVACUUM TECH_350170_30-05</t>
  </si>
  <si>
    <t>350170</t>
  </si>
  <si>
    <t>COOLVACUUM TECH_350287_15-09</t>
  </si>
  <si>
    <t>350287</t>
  </si>
  <si>
    <t>CR2EGARA, SL_350011_15-01-20</t>
  </si>
  <si>
    <t>350011</t>
  </si>
  <si>
    <t>CR2EGARA, SL_350018_31-01-20</t>
  </si>
  <si>
    <t>350018</t>
  </si>
  <si>
    <t>CR2EGARA, SL_350040_14-02-20</t>
  </si>
  <si>
    <t>350040</t>
  </si>
  <si>
    <t>CR2EGARA, SL_350091_31-03-20</t>
  </si>
  <si>
    <t>350091</t>
  </si>
  <si>
    <t>CR2EGARA, SL_350129_30-04-20</t>
  </si>
  <si>
    <t>350129</t>
  </si>
  <si>
    <t>CR2EGARA, SL_350161_15-05-20</t>
  </si>
  <si>
    <t>350161</t>
  </si>
  <si>
    <t>CR2EGARA, SL_350167_30-05-20</t>
  </si>
  <si>
    <t>350167</t>
  </si>
  <si>
    <t>CR2EGARA, SL_350185_13-06-20</t>
  </si>
  <si>
    <t>350185</t>
  </si>
  <si>
    <t>CR2EGARA, SL_350216_30-06-20</t>
  </si>
  <si>
    <t>350216</t>
  </si>
  <si>
    <t>CR2EGARA, SL_350242_31-07-20</t>
  </si>
  <si>
    <t>350242</t>
  </si>
  <si>
    <t>CR2EGARA, SL_350267_31-08-20</t>
  </si>
  <si>
    <t>350267</t>
  </si>
  <si>
    <t>CR2EGARA, SL_350284_15-09-20</t>
  </si>
  <si>
    <t>350284</t>
  </si>
  <si>
    <t>TALLERES CRISAN_350047_14-02</t>
  </si>
  <si>
    <t>350047</t>
  </si>
  <si>
    <t>TALLERES CRISAN_350082_14-03</t>
  </si>
  <si>
    <t>350082</t>
  </si>
  <si>
    <t>TALLERES CRISAN_350092_31-03</t>
  </si>
  <si>
    <t>350092</t>
  </si>
  <si>
    <t>TALLERES CRISAN_350136_30-04</t>
  </si>
  <si>
    <t>350136</t>
  </si>
  <si>
    <t>TALLERES CRISAN_350153_15-05</t>
  </si>
  <si>
    <t>350153</t>
  </si>
  <si>
    <t>TALLERES CRISAN_350212_30-06</t>
  </si>
  <si>
    <t>350212</t>
  </si>
  <si>
    <t>TALLERES CRISAN_350248_31-07</t>
  </si>
  <si>
    <t>350248</t>
  </si>
  <si>
    <t>INDUSTRIAS CARNICAS BLANC AFOR</t>
  </si>
  <si>
    <t>LABIANA PHARMACEUTICAS, SLU</t>
  </si>
  <si>
    <t>LABIANA PHARMAC_350079_14-03</t>
  </si>
  <si>
    <t>350079</t>
  </si>
  <si>
    <t>LABIANA PHARMAC_350105_31-03</t>
  </si>
  <si>
    <t>350105</t>
  </si>
  <si>
    <t>LABIANA PHARMAC_350179_30-05</t>
  </si>
  <si>
    <t>350179</t>
  </si>
  <si>
    <t>LABIANA PHARMAC_350174_30-05</t>
  </si>
  <si>
    <t>350174</t>
  </si>
  <si>
    <t>LABIANA PHARMAC_350191_13-06</t>
  </si>
  <si>
    <t>350191</t>
  </si>
  <si>
    <t>TRANSFERENCIA LABIANA PHARMA</t>
  </si>
  <si>
    <t>INDUBOMBAS SL_350099_31-03-2</t>
  </si>
  <si>
    <t>350099</t>
  </si>
  <si>
    <t>INDUBOMBAS SL_350152_15-05-2</t>
  </si>
  <si>
    <t>350152</t>
  </si>
  <si>
    <t>INDUBOMBAS SL_350223_15-07-2</t>
  </si>
  <si>
    <t>350223</t>
  </si>
  <si>
    <t>INDUBOMBAS SL_350258_31-07-2</t>
  </si>
  <si>
    <t>350258</t>
  </si>
  <si>
    <t>INDUBOMBAS SL_350281_15-09-2</t>
  </si>
  <si>
    <t>350281</t>
  </si>
  <si>
    <t>SERVICOM GIRONA 95 INSTAL.LACI</t>
  </si>
  <si>
    <t>SERVICOM GIRONA_350255_31-07</t>
  </si>
  <si>
    <t>350255</t>
  </si>
  <si>
    <t>GEOAMBIENT CONSULTORIA GEOLOGI</t>
  </si>
  <si>
    <t>GEOAMBIENT CONS_350283_15-09</t>
  </si>
  <si>
    <t>350283</t>
  </si>
  <si>
    <t>BADATEC, SCP</t>
  </si>
  <si>
    <t>BADATEC, SCP_350089_14-03-20</t>
  </si>
  <si>
    <t>350089</t>
  </si>
  <si>
    <t>BADATEC, SCP_350178_30-05-20</t>
  </si>
  <si>
    <t>350178</t>
  </si>
  <si>
    <t>BADATEC, SCP_350245_31-07-20</t>
  </si>
  <si>
    <t>350245</t>
  </si>
  <si>
    <t>MAHLE BEHR SPAIN, SAU</t>
  </si>
  <si>
    <t>ABONO TRANSFERENCIA DE MAHLE</t>
  </si>
  <si>
    <t>MAHLE BEHR SPAI_350058_28-02</t>
  </si>
  <si>
    <t>350058</t>
  </si>
  <si>
    <t>MAHLE BEHR SPAI_350098_31-03</t>
  </si>
  <si>
    <t>350098</t>
  </si>
  <si>
    <t>MAHLE BEHR SPAI_350120_14-04</t>
  </si>
  <si>
    <t>350120</t>
  </si>
  <si>
    <t>MAHLE BEHR SPAI_350119_14-04</t>
  </si>
  <si>
    <t>350119</t>
  </si>
  <si>
    <t>MAHLE BEHR SPAI_350118_14-04</t>
  </si>
  <si>
    <t>350118</t>
  </si>
  <si>
    <t>MAHLE BEHR SPAI_350147_05-05</t>
  </si>
  <si>
    <t>350147</t>
  </si>
  <si>
    <t>MAHLE BEHR SPAI_350169_30-05</t>
  </si>
  <si>
    <t>350169</t>
  </si>
  <si>
    <t>MAHLE BEHR SPAI_350168_30-05</t>
  </si>
  <si>
    <t>350168</t>
  </si>
  <si>
    <t>MAHLE BEHR SPAI_350198_13-06</t>
  </si>
  <si>
    <t>350198</t>
  </si>
  <si>
    <t>MAHLE BEHR SPAI_350197_13-06</t>
  </si>
  <si>
    <t>350197</t>
  </si>
  <si>
    <t>MAHLE BEHR SPAI_350208_30-06</t>
  </si>
  <si>
    <t>350208</t>
  </si>
  <si>
    <t>MAHLE BEHR SPAI_350233_15-07</t>
  </si>
  <si>
    <t>350233</t>
  </si>
  <si>
    <t>MAHLE BEHR SPAI_350232_15-07</t>
  </si>
  <si>
    <t>350232</t>
  </si>
  <si>
    <t>MAHLE BEHR SPAI_350231_15-07</t>
  </si>
  <si>
    <t>350231</t>
  </si>
  <si>
    <t>MAHLE BEHR SPAI_350259_31-07</t>
  </si>
  <si>
    <t>350259</t>
  </si>
  <si>
    <t>INADEXA-INDUSTRIA AUXILIAR EXT</t>
  </si>
  <si>
    <t>INADEXA-INDUSTR_350203_30-06</t>
  </si>
  <si>
    <t>350203</t>
  </si>
  <si>
    <t>FAURECIA INTERIOR SYSTEMS ESPA</t>
  </si>
  <si>
    <t>FAURECIA INTERI_350008_15-01</t>
  </si>
  <si>
    <t>350008</t>
  </si>
  <si>
    <t>FAURECIA INTERI_350039_14-02</t>
  </si>
  <si>
    <t>350039</t>
  </si>
  <si>
    <t>ABONO TRANSFERENCIA DE FAURE</t>
  </si>
  <si>
    <t>FAURECIA INTERI_350116_14-04</t>
  </si>
  <si>
    <t>350116</t>
  </si>
  <si>
    <t>FAURECIA INTERI_350181_30-05</t>
  </si>
  <si>
    <t>350181</t>
  </si>
  <si>
    <t>FAURECIA INTERI_350278_15-09</t>
  </si>
  <si>
    <t>350278</t>
  </si>
  <si>
    <t>PARNOPLAST S.L.U.</t>
  </si>
  <si>
    <t>PARNOPLAST S.L._350126_14-04</t>
  </si>
  <si>
    <t>350126</t>
  </si>
  <si>
    <t>PARNOPLAST S.L._350244_31-07</t>
  </si>
  <si>
    <t>350244</t>
  </si>
  <si>
    <t>BOMBASAT SL</t>
  </si>
  <si>
    <t>BOMBASAT SL_350007_15-01-202</t>
  </si>
  <si>
    <t>350007</t>
  </si>
  <si>
    <t>BOMBASAT SL_350035_31-01-202</t>
  </si>
  <si>
    <t>350035</t>
  </si>
  <si>
    <t>BOMBASAT SL_350041_14-02-202</t>
  </si>
  <si>
    <t>350041</t>
  </si>
  <si>
    <t>TRANSFERENCIA BOMBASAT S.L</t>
  </si>
  <si>
    <t>BOMBASAT SL_350066_28-02-202</t>
  </si>
  <si>
    <t>350066</t>
  </si>
  <si>
    <t>BOMBASAT SL_350084_14-03-202</t>
  </si>
  <si>
    <t>350084</t>
  </si>
  <si>
    <t>ABONO TRANSFERENCIA DE BOMBA</t>
  </si>
  <si>
    <t>BOMBASAT SL_350115_14-04-202</t>
  </si>
  <si>
    <t>350115</t>
  </si>
  <si>
    <t>BOMBASAT SL_350114_14-04-202</t>
  </si>
  <si>
    <t>350114</t>
  </si>
  <si>
    <t>BOMBASAT SL_350113_14-04-202</t>
  </si>
  <si>
    <t>350113</t>
  </si>
  <si>
    <t>BOMBASAT SL_350134_30-04-202</t>
  </si>
  <si>
    <t>350134</t>
  </si>
  <si>
    <t>BOMBASAT SL_350154_15-05-202</t>
  </si>
  <si>
    <t>350154</t>
  </si>
  <si>
    <t>BOMBASAT SL_350164_30-05-202</t>
  </si>
  <si>
    <t>350164</t>
  </si>
  <si>
    <t>BOMBASAT SL_350187_13-06-202</t>
  </si>
  <si>
    <t>350187</t>
  </si>
  <si>
    <t>BOMBASAT SL_350214_30-06-202</t>
  </si>
  <si>
    <t>350214</t>
  </si>
  <si>
    <t>BOMBASAT SL_350236_16-07-202</t>
  </si>
  <si>
    <t>350236</t>
  </si>
  <si>
    <t>BOMBASAT SL_350256_31-07-202</t>
  </si>
  <si>
    <t>350256</t>
  </si>
  <si>
    <t>BRUDY TECHNOLOGY SL</t>
  </si>
  <si>
    <t>BRUDY TECHNOLOG_350280_15-09</t>
  </si>
  <si>
    <t>350280</t>
  </si>
  <si>
    <t>FRIME, S.A.U</t>
  </si>
  <si>
    <t>FRIME, S.A.U_350015_15-01-20</t>
  </si>
  <si>
    <t>350015</t>
  </si>
  <si>
    <t>FRIME, S.A.U_350049_14-02-20</t>
  </si>
  <si>
    <t>350049</t>
  </si>
  <si>
    <t>FRIME, S.A.U_350235_16-07-20</t>
  </si>
  <si>
    <t>350235</t>
  </si>
  <si>
    <t>BI-YAK SL</t>
  </si>
  <si>
    <t>BI-YAK SL_350051_14-02-2025</t>
  </si>
  <si>
    <t>350051</t>
  </si>
  <si>
    <t>BI-YAK SL_350062_28-02-2025</t>
  </si>
  <si>
    <t>350062</t>
  </si>
  <si>
    <t>BI-YAK SL_350125_14-04-2025</t>
  </si>
  <si>
    <t>350125</t>
  </si>
  <si>
    <t>TRANSFERENCIA BI-YAK, S.L.</t>
  </si>
  <si>
    <t>BI-YAK SL_350226_15-07-2025</t>
  </si>
  <si>
    <t>350226</t>
  </si>
  <si>
    <t>BI-YAK SL_350264_31-08-2025</t>
  </si>
  <si>
    <t>350264</t>
  </si>
  <si>
    <t>VILADOMAT ARTIGAS, RAMON</t>
  </si>
  <si>
    <t>VILADOMAT ARTIG_350263_31-08</t>
  </si>
  <si>
    <t>350263</t>
  </si>
  <si>
    <t>MIDO GRUP SL</t>
  </si>
  <si>
    <t>MIDO GRUP SL_350068_28-02-20</t>
  </si>
  <si>
    <t>350068</t>
  </si>
  <si>
    <t>TRANSFERENCIA DE MIDOGRUP S.</t>
  </si>
  <si>
    <t>MIDO GRUP SL_350269_31-08-20</t>
  </si>
  <si>
    <t>350269</t>
  </si>
  <si>
    <t>ACSA OBRAS E INFRAESTRUCTURAS</t>
  </si>
  <si>
    <t>ACSA OBRAS E IN_350199_13-06</t>
  </si>
  <si>
    <t>350199</t>
  </si>
  <si>
    <t>REMUNERACIONES PENDIENTES DE P</t>
  </si>
  <si>
    <t>Importe Líquido</t>
  </si>
  <si>
    <t>NOMINA A YASSER GRAINE</t>
  </si>
  <si>
    <t>NOMINA A RUBEN CABRERA MALO</t>
  </si>
  <si>
    <t>NOMINA A MANUEL LAZARO MARTI</t>
  </si>
  <si>
    <t>NOMINA A IVAN RAMOS SALMERON</t>
  </si>
  <si>
    <t>NOMINA A ELISABETH SANCHEZ P</t>
  </si>
  <si>
    <t>NOMINA A ANTONIO SALAZAR SAN</t>
  </si>
  <si>
    <t>NOMINA A VLADIMIR RAMOS SALM</t>
  </si>
  <si>
    <t>NOMINA A IZAN MORENO SANCHEZ</t>
  </si>
  <si>
    <t>RETRIBUCIÓN EN ESPECIE</t>
  </si>
  <si>
    <t>RETRIB. ESPECIE</t>
  </si>
  <si>
    <t>SEGUROS SOCIALES TGSS. COTIZ</t>
  </si>
  <si>
    <t>HP, DEUDORA DEVOLUC. IMPUESTOS</t>
  </si>
  <si>
    <t>H.P. IVA SOPORTADO</t>
  </si>
  <si>
    <t>IVA S./AV RAMSAN, CB</t>
  </si>
  <si>
    <t>IVA S./SAFETY KLEEN ESPANA S</t>
  </si>
  <si>
    <t>2893012</t>
  </si>
  <si>
    <t>IVA S./SECURITAS DIRECT ESPA</t>
  </si>
  <si>
    <t>IVA S./TELEFONICA MOVILES ES</t>
  </si>
  <si>
    <t>40054</t>
  </si>
  <si>
    <t>IVA S./TELEFONICA DE ESPANA,</t>
  </si>
  <si>
    <t>IVA S./SABATER NURI CARBURAN</t>
  </si>
  <si>
    <t>IVA S./REPSOL COMERCIAL DE P</t>
  </si>
  <si>
    <t>278</t>
  </si>
  <si>
    <t>IVA S./BANCO DE SABADELL, SA</t>
  </si>
  <si>
    <t>3655</t>
  </si>
  <si>
    <t>IVA S./CLARIS LOPEZ, MIGUEL</t>
  </si>
  <si>
    <t>758</t>
  </si>
  <si>
    <t>IVA S./DISTRIBUCIONES DEL JA</t>
  </si>
  <si>
    <t>67585</t>
  </si>
  <si>
    <t>IVA S./ORTIZ RUIZ, JUAN JOSE</t>
  </si>
  <si>
    <t>3</t>
  </si>
  <si>
    <t>IVA S./ACSOL ENERGIA GLOBAL</t>
  </si>
  <si>
    <t>25/000471</t>
  </si>
  <si>
    <t>IVA S./SIEMENS RENTING,SA</t>
  </si>
  <si>
    <t>0105334394</t>
  </si>
  <si>
    <t>IVA S./CORBAN HOTELES SL</t>
  </si>
  <si>
    <t>772</t>
  </si>
  <si>
    <t>IVA S./SUMRRASSA, SL</t>
  </si>
  <si>
    <t>IVA S./ASSESSORIA EGARA, SL</t>
  </si>
  <si>
    <t>IVA S./DECASA I DECORACION,</t>
  </si>
  <si>
    <t>IVA S./MORENO MRO SL</t>
  </si>
  <si>
    <t>IVA S./PRODUCTOS QUIMICOS IL</t>
  </si>
  <si>
    <t>25 94</t>
  </si>
  <si>
    <t>IVA S./ROEIRA SA</t>
  </si>
  <si>
    <t>IVA S./SEITRANS, SA</t>
  </si>
  <si>
    <t>IVA S./IONOS CLOUD SLU</t>
  </si>
  <si>
    <t>2781725475</t>
  </si>
  <si>
    <t>IVA S./JR TECH SARL</t>
  </si>
  <si>
    <t>7802980</t>
  </si>
  <si>
    <t>IVA S./BUSCH IBERICA, SA</t>
  </si>
  <si>
    <t>IVA S./LABORAL RISK, SLU</t>
  </si>
  <si>
    <t>25000396-R</t>
  </si>
  <si>
    <t>8516</t>
  </si>
  <si>
    <t>IVA S./NETEGES CORAL, SL</t>
  </si>
  <si>
    <t>IVA S./PROLUTEC,SA</t>
  </si>
  <si>
    <t>1205</t>
  </si>
  <si>
    <t>IVA S./WURTH ESPANA, SA</t>
  </si>
  <si>
    <t>4733461901</t>
  </si>
  <si>
    <t>IVA S./BLOWAIR, SL</t>
  </si>
  <si>
    <t>IVA S./OFFICE24 SOLUTIONS, S</t>
  </si>
  <si>
    <t>IVA S./TALLERES CRISANTO, SL</t>
  </si>
  <si>
    <t>IVA S./BANCO BILBAO VIZCAYA</t>
  </si>
  <si>
    <t>32465</t>
  </si>
  <si>
    <t>7824338</t>
  </si>
  <si>
    <t>IVA S./RECTIFICADORA DEL VAL</t>
  </si>
  <si>
    <t>77</t>
  </si>
  <si>
    <t>IVA S./TALLERES ELECTRICOS B</t>
  </si>
  <si>
    <t>IVA S./BELMONTE LORENTE, FRA</t>
  </si>
  <si>
    <t>450</t>
  </si>
  <si>
    <t>IVA S./CORPORACION KYRAI 1,</t>
  </si>
  <si>
    <t>FCR25</t>
  </si>
  <si>
    <t>IVA S./CR2EGARA, SL</t>
  </si>
  <si>
    <t>IVA S./ESTEBAN MARTI, SA</t>
  </si>
  <si>
    <t>IVA S./MANN+HUMMEL IBERICA,</t>
  </si>
  <si>
    <t>181311</t>
  </si>
  <si>
    <t>181035</t>
  </si>
  <si>
    <t>IVA S./MENDIA RODRIGUEZ NIL</t>
  </si>
  <si>
    <t>A1/2025</t>
  </si>
  <si>
    <t>IVA S./SERVEI D'ENTREGA DIT</t>
  </si>
  <si>
    <t>75386</t>
  </si>
  <si>
    <t>IVA S./SOLRED, SA</t>
  </si>
  <si>
    <t>50628</t>
  </si>
  <si>
    <t>IVA S./TESYS INTERNET, SLU</t>
  </si>
  <si>
    <t>025A008430</t>
  </si>
  <si>
    <t>IVA S./TA COMUNICACIONS IP S</t>
  </si>
  <si>
    <t>40</t>
  </si>
  <si>
    <t>39822</t>
  </si>
  <si>
    <t>22235</t>
  </si>
  <si>
    <t>2903404</t>
  </si>
  <si>
    <t>25/001846</t>
  </si>
  <si>
    <t>0105407575</t>
  </si>
  <si>
    <t>IVA S./APARCA AND GO SL</t>
  </si>
  <si>
    <t>C5-239541</t>
  </si>
  <si>
    <t>IVA S./LEYBOLD HISPANICA, SA</t>
  </si>
  <si>
    <t>IVA S./INDESTAN NORMASEAL, S</t>
  </si>
  <si>
    <t>IVA S./BECKER IBERICA BOMBAS</t>
  </si>
  <si>
    <t>IVA S./SUBMINISTRAMENTS IND.</t>
  </si>
  <si>
    <t>IVA S./QUILINOX, SL</t>
  </si>
  <si>
    <t>IVA S./AISLAMIENTO Y ESTANQU</t>
  </si>
  <si>
    <t>2500777</t>
  </si>
  <si>
    <t>IVA S./COMPANIA GENERAL DE L</t>
  </si>
  <si>
    <t>2782040076</t>
  </si>
  <si>
    <t>25003433-R</t>
  </si>
  <si>
    <t>IVA S./VUELING AIRLINES, SA</t>
  </si>
  <si>
    <t>0000116522</t>
  </si>
  <si>
    <t>0000116499</t>
  </si>
  <si>
    <t>1669</t>
  </si>
  <si>
    <t>7858954</t>
  </si>
  <si>
    <t>IVA S./AERZEN IBERICA, SA</t>
  </si>
  <si>
    <t>04000</t>
  </si>
  <si>
    <t>IVA S./CALIBRE SCIENTIFIC SP</t>
  </si>
  <si>
    <t>1771</t>
  </si>
  <si>
    <t>IVA S./MAQUINAS PNEUMATICAS</t>
  </si>
  <si>
    <t>227</t>
  </si>
  <si>
    <t>IVA S./FERROS GUMA, SL</t>
  </si>
  <si>
    <t>164</t>
  </si>
  <si>
    <t>IVA S./DAUNIS, SA</t>
  </si>
  <si>
    <t>183102</t>
  </si>
  <si>
    <t>183329</t>
  </si>
  <si>
    <t>5655</t>
  </si>
  <si>
    <t>71082</t>
  </si>
  <si>
    <t>IVA S./SUBMINISTRAM. SUMHIFL</t>
  </si>
  <si>
    <t>2500371</t>
  </si>
  <si>
    <t>265</t>
  </si>
  <si>
    <t>IVA S./TRANSCOTO, SA</t>
  </si>
  <si>
    <t>A-25001651</t>
  </si>
  <si>
    <t>453</t>
  </si>
  <si>
    <t>IVA S./MORA MERCADAL EDUARD</t>
  </si>
  <si>
    <t>2502</t>
  </si>
  <si>
    <t>40481</t>
  </si>
  <si>
    <t>2913479</t>
  </si>
  <si>
    <t>IVA S./AZBIL TELSTAR TECHNOL</t>
  </si>
  <si>
    <t>30944</t>
  </si>
  <si>
    <t>0105481644</t>
  </si>
  <si>
    <t>IVA S./WISSEL GMBH</t>
  </si>
  <si>
    <t>6549</t>
  </si>
  <si>
    <t>88538</t>
  </si>
  <si>
    <t>IVA S./MINA PUBLICA AIGUES T</t>
  </si>
  <si>
    <t>85</t>
  </si>
  <si>
    <t>2782349428</t>
  </si>
  <si>
    <t>25/003486</t>
  </si>
  <si>
    <t>IVA S./CASTILLA SIGLO XXI, S</t>
  </si>
  <si>
    <t>1974</t>
  </si>
  <si>
    <t>IVA S./MADRID CARVAJAL, ANTO</t>
  </si>
  <si>
    <t>515</t>
  </si>
  <si>
    <t>IVA S./TALLER FARRES JA SL</t>
  </si>
  <si>
    <t>99</t>
  </si>
  <si>
    <t>C5-244508</t>
  </si>
  <si>
    <t>IVA S./PREYVA, SL</t>
  </si>
  <si>
    <t>151</t>
  </si>
  <si>
    <t>378</t>
  </si>
  <si>
    <t>IVA S./AGILITAT EN FILTRACIO</t>
  </si>
  <si>
    <t>634</t>
  </si>
  <si>
    <t>75920</t>
  </si>
  <si>
    <t>493</t>
  </si>
  <si>
    <t>456</t>
  </si>
  <si>
    <t>8086</t>
  </si>
  <si>
    <t>47401</t>
  </si>
  <si>
    <t>Modelo 303 1 Trimestre</t>
  </si>
  <si>
    <t>1</t>
  </si>
  <si>
    <t>627</t>
  </si>
  <si>
    <t>39780</t>
  </si>
  <si>
    <t>IVA S./OLID CANTERO, RAFAEL</t>
  </si>
  <si>
    <t>C1-2025OK</t>
  </si>
  <si>
    <t>2924449</t>
  </si>
  <si>
    <t>8123</t>
  </si>
  <si>
    <t>IVA S./APLICACIONS I SERVEIS</t>
  </si>
  <si>
    <t>573</t>
  </si>
  <si>
    <t>IVA S./TAFOR SA</t>
  </si>
  <si>
    <t>25/004160</t>
  </si>
  <si>
    <t>0105556212</t>
  </si>
  <si>
    <t>25-658</t>
  </si>
  <si>
    <t>IVA S./AIRMATIC, SA</t>
  </si>
  <si>
    <t>40009</t>
  </si>
  <si>
    <t>IVA S./CEPSA COMERCIAL PETRO</t>
  </si>
  <si>
    <t>993</t>
  </si>
  <si>
    <t>IVA S./AB ENERGIA 1903 SLU</t>
  </si>
  <si>
    <t>2250</t>
  </si>
  <si>
    <t>IVA S./SISTEMES D'OFICINA DE</t>
  </si>
  <si>
    <t>4448</t>
  </si>
  <si>
    <t>IVA S./PEDRO GIL, SL</t>
  </si>
  <si>
    <t>71689</t>
  </si>
  <si>
    <t>1054</t>
  </si>
  <si>
    <t>2782661152</t>
  </si>
  <si>
    <t>39181</t>
  </si>
  <si>
    <t>025C003638</t>
  </si>
  <si>
    <t>60590</t>
  </si>
  <si>
    <t>1115</t>
  </si>
  <si>
    <t>IVA S./REGISTRO MERCANTIL DE</t>
  </si>
  <si>
    <t>14274</t>
  </si>
  <si>
    <t>IVA S./IBVC VACUUM ,SL</t>
  </si>
  <si>
    <t>2848</t>
  </si>
  <si>
    <t>1368</t>
  </si>
  <si>
    <t>857</t>
  </si>
  <si>
    <t>458</t>
  </si>
  <si>
    <t>C2-2025</t>
  </si>
  <si>
    <t>6169</t>
  </si>
  <si>
    <t>A-25004034</t>
  </si>
  <si>
    <t>721</t>
  </si>
  <si>
    <t>88018</t>
  </si>
  <si>
    <t>2935087</t>
  </si>
  <si>
    <t>557</t>
  </si>
  <si>
    <t>0105630907</t>
  </si>
  <si>
    <t>51645</t>
  </si>
  <si>
    <t>IVA S./TORRES GARCIA SUSANA</t>
  </si>
  <si>
    <t>2025-0023</t>
  </si>
  <si>
    <t>960</t>
  </si>
  <si>
    <t>2633</t>
  </si>
  <si>
    <t>88054</t>
  </si>
  <si>
    <t>88321</t>
  </si>
  <si>
    <t>2782960660</t>
  </si>
  <si>
    <t>55627</t>
  </si>
  <si>
    <t>A-25005241</t>
  </si>
  <si>
    <t>5451</t>
  </si>
  <si>
    <t>IVA S./GRINO ROTAMIK, SA</t>
  </si>
  <si>
    <t>132870</t>
  </si>
  <si>
    <t>244</t>
  </si>
  <si>
    <t>459</t>
  </si>
  <si>
    <t>189185</t>
  </si>
  <si>
    <t>189422</t>
  </si>
  <si>
    <t>A2/2025</t>
  </si>
  <si>
    <t>76455</t>
  </si>
  <si>
    <t>9308</t>
  </si>
  <si>
    <t>950</t>
  </si>
  <si>
    <t>9218</t>
  </si>
  <si>
    <t>IVA S./Q8 ENERGY RED SL</t>
  </si>
  <si>
    <t>IVA S./ODYSSEY LOIRA, S.L.</t>
  </si>
  <si>
    <t>3199</t>
  </si>
  <si>
    <t>32076</t>
  </si>
  <si>
    <t>0105706745</t>
  </si>
  <si>
    <t>7194</t>
  </si>
  <si>
    <t>62784</t>
  </si>
  <si>
    <t>1181</t>
  </si>
  <si>
    <t>190373</t>
  </si>
  <si>
    <t>190172</t>
  </si>
  <si>
    <t>2783258018</t>
  </si>
  <si>
    <t>7201</t>
  </si>
  <si>
    <t>7334</t>
  </si>
  <si>
    <t>A-25006460</t>
  </si>
  <si>
    <t>IVA S./HOTEL JEREZ EXPLOTACI</t>
  </si>
  <si>
    <t>5587</t>
  </si>
  <si>
    <t>776</t>
  </si>
  <si>
    <t>1172</t>
  </si>
  <si>
    <t>59926</t>
  </si>
  <si>
    <t>IVA S./INDUBOMBAS SL</t>
  </si>
  <si>
    <t>0000403841</t>
  </si>
  <si>
    <t>462</t>
  </si>
  <si>
    <t>IVA S./GOLDCAR SPAIN SL</t>
  </si>
  <si>
    <t>P250424592</t>
  </si>
  <si>
    <t>625</t>
  </si>
  <si>
    <t>2752</t>
  </si>
  <si>
    <t>76710</t>
  </si>
  <si>
    <t>1191</t>
  </si>
  <si>
    <t>Modelo 303 2 Trimestre</t>
  </si>
  <si>
    <t>2</t>
  </si>
  <si>
    <t>IVA S./MEDIA MARKT SATURN SA</t>
  </si>
  <si>
    <t>39003</t>
  </si>
  <si>
    <t>7313</t>
  </si>
  <si>
    <t>2395</t>
  </si>
  <si>
    <t>0105779021</t>
  </si>
  <si>
    <t>94</t>
  </si>
  <si>
    <t>3126</t>
  </si>
  <si>
    <t>IVA S./JOSE GRAELLS E HIJOS</t>
  </si>
  <si>
    <t>22000</t>
  </si>
  <si>
    <t>9987</t>
  </si>
  <si>
    <t>8920</t>
  </si>
  <si>
    <t>C5-255314</t>
  </si>
  <si>
    <t>1161241</t>
  </si>
  <si>
    <t>268192201</t>
  </si>
  <si>
    <t>268192435</t>
  </si>
  <si>
    <t>2783548283</t>
  </si>
  <si>
    <t>IVA S./TG FILTER SRL</t>
  </si>
  <si>
    <t>IVA S./CERTIO ITV, SL</t>
  </si>
  <si>
    <t>O000845633</t>
  </si>
  <si>
    <t>8421746</t>
  </si>
  <si>
    <t>IVA S./SANTANDER FACTORING Y</t>
  </si>
  <si>
    <t>A-25007640</t>
  </si>
  <si>
    <t>IVA S./MAQUINARIA ELECTRICA</t>
  </si>
  <si>
    <t>IVA S./MOELCO TECNICAS APLIC</t>
  </si>
  <si>
    <t>80091</t>
  </si>
  <si>
    <t>IVA S./MILS SAS</t>
  </si>
  <si>
    <t>465</t>
  </si>
  <si>
    <t>280734</t>
  </si>
  <si>
    <t>76970</t>
  </si>
  <si>
    <t>1421</t>
  </si>
  <si>
    <t>IVA S./SEVILLA RTC SL</t>
  </si>
  <si>
    <t>310725</t>
  </si>
  <si>
    <t>18601</t>
  </si>
  <si>
    <t>81463</t>
  </si>
  <si>
    <t>8513</t>
  </si>
  <si>
    <t>025B091837</t>
  </si>
  <si>
    <t>0105855441</t>
  </si>
  <si>
    <t>84055</t>
  </si>
  <si>
    <t>40210</t>
  </si>
  <si>
    <t>2783831105</t>
  </si>
  <si>
    <t>55640</t>
  </si>
  <si>
    <t>55639</t>
  </si>
  <si>
    <t>421</t>
  </si>
  <si>
    <t>280747</t>
  </si>
  <si>
    <t>1658</t>
  </si>
  <si>
    <t>428</t>
  </si>
  <si>
    <t>34080</t>
  </si>
  <si>
    <t>0105931883</t>
  </si>
  <si>
    <t>95469</t>
  </si>
  <si>
    <t>H.P. PAGOS Y RETENC. A CUENTA</t>
  </si>
  <si>
    <t>IMPUESTOS</t>
  </si>
  <si>
    <t>APLAZAMIENTO IVA</t>
  </si>
  <si>
    <t>CONCESIÓN APLAZAMIENTO</t>
  </si>
  <si>
    <t>CONCESION APLAZAMIENTO</t>
  </si>
  <si>
    <t>H.P. ACREE. RETEN. PRACTICADAS</t>
  </si>
  <si>
    <t>Reten./AV RAMSAN, CB</t>
  </si>
  <si>
    <t>TRIBUTACION I.R.P.F.</t>
  </si>
  <si>
    <t>Reten./BELMONTE LORENTE, FRA</t>
  </si>
  <si>
    <t>Reten./MENDIA RODRIGUEZ NIL</t>
  </si>
  <si>
    <t>Reten./MORA MERCADAL EDUARD</t>
  </si>
  <si>
    <t>Reten./OLID CANTERO, RAFAEL</t>
  </si>
  <si>
    <t>C1-2025</t>
  </si>
  <si>
    <t>C1-25</t>
  </si>
  <si>
    <t>Reten./REGISTRO MERCANTIL DE</t>
  </si>
  <si>
    <t>ORGANISMOS S.S. ACREEDORES</t>
  </si>
  <si>
    <t>Total TC1</t>
  </si>
  <si>
    <t>H.P. IVA REPERCUTIDO</t>
  </si>
  <si>
    <t>IVA R./METALOGRAFICA DE ARAG</t>
  </si>
  <si>
    <t>350001</t>
  </si>
  <si>
    <t>IVA R./COMPANIA GENERAL CARN</t>
  </si>
  <si>
    <t>350002</t>
  </si>
  <si>
    <t>IVA R./FLOW VACUUM, SL</t>
  </si>
  <si>
    <t>IVA R./RUBIX IBERIA SA</t>
  </si>
  <si>
    <t>IVA R./COMPILANCE CONSULT AN</t>
  </si>
  <si>
    <t>350005</t>
  </si>
  <si>
    <t>IVA R./MAES INDUSTRIAL 2016</t>
  </si>
  <si>
    <t>350006</t>
  </si>
  <si>
    <t>IVA R./BOMBASAT SL</t>
  </si>
  <si>
    <t>IVA R./FAURECIA INTERIOR SYS</t>
  </si>
  <si>
    <t>IVA R./IBERCA DEL ESPACIO SA</t>
  </si>
  <si>
    <t>350009</t>
  </si>
  <si>
    <t>IVA R./CR2EGARA, SL</t>
  </si>
  <si>
    <t>IVA R./HINEUTRA, SL</t>
  </si>
  <si>
    <t>350012</t>
  </si>
  <si>
    <t>IVA R./BUSCH IBERICA, SA</t>
  </si>
  <si>
    <t>IVA R./COOLVACUUM TECHNOLOGI</t>
  </si>
  <si>
    <t>IVA R./FRIME, S.A.U</t>
  </si>
  <si>
    <t>IVA R./SONOWAT, SL</t>
  </si>
  <si>
    <t>IVA R./JR TECH SARL</t>
  </si>
  <si>
    <t>IVA R./ENVIROTECNICS GLOBAL</t>
  </si>
  <si>
    <t>350019</t>
  </si>
  <si>
    <t>IVA R./SUMRRASSA, SL</t>
  </si>
  <si>
    <t>350021</t>
  </si>
  <si>
    <t>IVA R./VIROSPACK, SL</t>
  </si>
  <si>
    <t>IVA R./ALZAMORA CARTON PACKA</t>
  </si>
  <si>
    <t>350024</t>
  </si>
  <si>
    <t>350029</t>
  </si>
  <si>
    <t>IVA R./BIOQUIM, SA</t>
  </si>
  <si>
    <t>IVA R./LABORATORIOS INIBSA,</t>
  </si>
  <si>
    <t>IVA R./GRIFOLS, SA</t>
  </si>
  <si>
    <t>IVA R./SANCHEZ Y CARBO SL</t>
  </si>
  <si>
    <t>350036</t>
  </si>
  <si>
    <t>IVA R./FLUBETECH, SL</t>
  </si>
  <si>
    <t>350037</t>
  </si>
  <si>
    <t>IVA R./SA METALOGRAFICA</t>
  </si>
  <si>
    <t>IVA R./BI-YAK SL</t>
  </si>
  <si>
    <t>IVA R./CARNIQUES ILLA JULI S</t>
  </si>
  <si>
    <t>350048</t>
  </si>
  <si>
    <t>IVA R./TALLERES CRISANTO, SL</t>
  </si>
  <si>
    <t>IVA R./SALA DE DESFE I MAGAT</t>
  </si>
  <si>
    <t>IVA R./PAGANI UGARTE, ALFRED</t>
  </si>
  <si>
    <t>350045</t>
  </si>
  <si>
    <t>IVA R./CAMACHO INSTALLACIONS</t>
  </si>
  <si>
    <t>350044</t>
  </si>
  <si>
    <t>IVA R./TRATAMIENTO TERMICOS</t>
  </si>
  <si>
    <t>IVA R./CARBUROS METALICOS, S</t>
  </si>
  <si>
    <t>IVA R./SOC. GRAL. AGUAS DE B</t>
  </si>
  <si>
    <t>350070</t>
  </si>
  <si>
    <t>IVA R./MIDO GRUP SL</t>
  </si>
  <si>
    <t>IVA R./TRATAMIENTOS TERMICOS</t>
  </si>
  <si>
    <t>350067</t>
  </si>
  <si>
    <t>IVA R./PMS TECHNICAL SOLUTIO</t>
  </si>
  <si>
    <t>350065</t>
  </si>
  <si>
    <t>IVA R./SAPLEX, S.A.</t>
  </si>
  <si>
    <t>350064</t>
  </si>
  <si>
    <t>IVA R./AUXILIAR Y SERVICIOS</t>
  </si>
  <si>
    <t>350061</t>
  </si>
  <si>
    <t>350060</t>
  </si>
  <si>
    <t>IVA R./MAHLE BEHR SPAIN, SAU</t>
  </si>
  <si>
    <t>IVA R./VIDRIERIA JEREZANA SL</t>
  </si>
  <si>
    <t>350057</t>
  </si>
  <si>
    <t>350055</t>
  </si>
  <si>
    <t>IVA R./MENTOR MOTORES SL</t>
  </si>
  <si>
    <t>350076</t>
  </si>
  <si>
    <t>IVA R./WISSEL GMBH</t>
  </si>
  <si>
    <t>IVA R./BADATEC, SCP</t>
  </si>
  <si>
    <t>IVA R./VACIO COLOR SL</t>
  </si>
  <si>
    <t>350088</t>
  </si>
  <si>
    <t>350086</t>
  </si>
  <si>
    <t>IVA R./REGULACION Y TECNOLOG</t>
  </si>
  <si>
    <t>350085</t>
  </si>
  <si>
    <t>IVA R./TECNIPLASTIC 2MIL, SL</t>
  </si>
  <si>
    <t>IVA R./DERMOFARM, S.A.</t>
  </si>
  <si>
    <t>350080</t>
  </si>
  <si>
    <t>IVA R./LABIANA PHARMACEUTICA</t>
  </si>
  <si>
    <t>350077</t>
  </si>
  <si>
    <t>350110</t>
  </si>
  <si>
    <t>350104</t>
  </si>
  <si>
    <t>IVA R./TERMI RUBISAN SL</t>
  </si>
  <si>
    <t>350103</t>
  </si>
  <si>
    <t>350102</t>
  </si>
  <si>
    <t>350100</t>
  </si>
  <si>
    <t>IVA R./INDUBOMBAS SL</t>
  </si>
  <si>
    <t>IVA R./TALLERS GUINARDO SCCL</t>
  </si>
  <si>
    <t>350096</t>
  </si>
  <si>
    <t>IVA R./EUROKLEE SL</t>
  </si>
  <si>
    <t>350095</t>
  </si>
  <si>
    <t>350094</t>
  </si>
  <si>
    <t>IVA R./PARNOPLAST S.L.U.</t>
  </si>
  <si>
    <t>IVA R./SOC ESPANOLA DESARROL</t>
  </si>
  <si>
    <t>350121</t>
  </si>
  <si>
    <t>IVA R./BIOMAR IBERIA,  SA</t>
  </si>
  <si>
    <t>350117</t>
  </si>
  <si>
    <t>IVA R./AZBIL TELSTAR TECHNOL</t>
  </si>
  <si>
    <t>350144</t>
  </si>
  <si>
    <t>IVA R./PLASTICOS JUAREZ, SA</t>
  </si>
  <si>
    <t>350142</t>
  </si>
  <si>
    <t>350139</t>
  </si>
  <si>
    <t>IVA R./CATOR, SA</t>
  </si>
  <si>
    <t>350137</t>
  </si>
  <si>
    <t>350130</t>
  </si>
  <si>
    <t>IVA R./INSOLUTIONS PRO TECH</t>
  </si>
  <si>
    <t>350148</t>
  </si>
  <si>
    <t>350160</t>
  </si>
  <si>
    <t>IVA R./GARDNER DENVER IBERIC</t>
  </si>
  <si>
    <t>350155</t>
  </si>
  <si>
    <t>350151</t>
  </si>
  <si>
    <t>IVA R./INDUSTRIA TECNOLOGICA</t>
  </si>
  <si>
    <t>350150</t>
  </si>
  <si>
    <t>IVA R./SP QUIMICA, SA</t>
  </si>
  <si>
    <t>350180</t>
  </si>
  <si>
    <t>IVA R./FLAMAGAS LLINARS, SL</t>
  </si>
  <si>
    <t>350176</t>
  </si>
  <si>
    <t>350173</t>
  </si>
  <si>
    <t>350172</t>
  </si>
  <si>
    <t>IVA R./REGENERACION Y TRATAM</t>
  </si>
  <si>
    <t>350162</t>
  </si>
  <si>
    <t>IVA R./KERN PHARMA, SL</t>
  </si>
  <si>
    <t>IVA R./ACSA OBRAS E INFRAEST</t>
  </si>
  <si>
    <t>350196</t>
  </si>
  <si>
    <t>350195</t>
  </si>
  <si>
    <t>350194</t>
  </si>
  <si>
    <t>350192</t>
  </si>
  <si>
    <t>350190</t>
  </si>
  <si>
    <t>350189</t>
  </si>
  <si>
    <t>IVA R./ARGAL ALIMENTACION, S</t>
  </si>
  <si>
    <t>350217</t>
  </si>
  <si>
    <t>350215</t>
  </si>
  <si>
    <t>350211</t>
  </si>
  <si>
    <t>IVA R./KAMAX GALOL COATINGS,</t>
  </si>
  <si>
    <t>350207</t>
  </si>
  <si>
    <t>IVA R./ESPECIALIDADES FARMAC</t>
  </si>
  <si>
    <t>350204</t>
  </si>
  <si>
    <t>IVA R./INADEXA-INDUSTRIA AUX</t>
  </si>
  <si>
    <t>350202</t>
  </si>
  <si>
    <t>IVA R./NESTLE ESPANA, S.A.</t>
  </si>
  <si>
    <t>IVA R./NEURAXPHARM PHARMACEU</t>
  </si>
  <si>
    <t>IVA R./METALOGRAFICA DE LEVA</t>
  </si>
  <si>
    <t>350224</t>
  </si>
  <si>
    <t>IVA R./TG FILTER SRL</t>
  </si>
  <si>
    <t>IVA R./MILS SAS</t>
  </si>
  <si>
    <t>IVA R./SERVICOM GIRONA 95 IN</t>
  </si>
  <si>
    <t>350249</t>
  </si>
  <si>
    <t>IVA R./INDCRE, SA</t>
  </si>
  <si>
    <t>IVA R./VILADOMAT ARTIGAS, RA</t>
  </si>
  <si>
    <t>IVA R./GEOAMBIENT CONSULTORI</t>
  </si>
  <si>
    <t>IVA R./BRUDY TECHNOLOGY SL</t>
  </si>
  <si>
    <t>CUENTA CON SOCIOS</t>
  </si>
  <si>
    <t>PARTIDAS PENDIENTES DE APLICAC</t>
  </si>
  <si>
    <t>GASTOS INTERVENCION NOTARIAL</t>
  </si>
  <si>
    <t>SODITEC SPAIN CAUCHO</t>
  </si>
  <si>
    <t>Cuentas corrientes.</t>
  </si>
  <si>
    <t>Empresa: INDUVACUUM SL</t>
  </si>
  <si>
    <t>Período: de 01/01/2025 a 31/12/2025</t>
  </si>
  <si>
    <t>Fecha: 03/10/2025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</si>
</sst>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"/>
    <numFmt numFmtId="165" formatCode="#,##0.00;[Red]\-#,##0.00;0"/>
    <numFmt numFmtId="166" formatCode="dd/mm/yyyy;dd/mm/yyyy;"/>
  </numFmts>
  <fonts count="4" x14ac:knownFonts="1">
    <font>
      <sz val="11"/>
      <color theme="1"/>
      <name val="Calibri"/>
      <family val="2"/>
    </font>
    <font>
      <b/>
      <i/>
      <sz val="18"/>
      <color theme="1"/>
      <name val="Arial"/>
      <family val="2"/>
    </font>
    <font>
      <b/>
      <sz val="11"/>
      <color theme="1"/>
      <name val="Calibri"/>
      <family val="2"/>
    </font>
    <font>
      <i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0"/>
        <bgColor indexed="64"/>
      </patternFill>
    </fill>
    <fill>
      <patternFill patternType="solid">
        <fgColor rgb="FFD0D0D0"/>
        <bgColor indexed="64"/>
      </patternFill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right"/>
    </xf>
    <xf numFmtId="0" fontId="2" fillId="0" borderId="0" xfId="0" applyFont="1"/>
    <xf numFmtId="164" fontId="2" fillId="3" borderId="0" xfId="0" applyNumberFormat="1" applyFont="1" applyFill="1"/>
    <xf numFmtId="0" fontId="2" fillId="3" borderId="0" xfId="0" applyFont="1" applyFill="1"/>
    <xf numFmtId="0" fontId="0" fillId="3" borderId="0" xfId="0" applyFill="1"/>
    <xf numFmtId="0" fontId="0" fillId="0" borderId="0" xfId="0" applyAlignment="1">
      <alignment horizontal="center"/>
    </xf>
    <xf numFmtId="166" fontId="0" fillId="0" borderId="0" xfId="0" applyNumberFormat="1"/>
    <xf numFmtId="0" fontId="0" fillId="0" borderId="0" xfId="0" quotePrefix="1" applyAlignment="1">
      <alignment horizontal="left"/>
    </xf>
    <xf numFmtId="165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87BD0-26D6-4E13-B7D9-8BA54DAF0724}">
  <sheetPr>
    <pageSetUpPr fitToPage="1"/>
  </sheetPr>
  <dimension ref="A1:J2254"/>
  <sheetViews>
    <sheetView tabSelected="1" workbookViewId="0">
      <pane xSplit="2" topLeftCell="C1" activePane="topRight" state="frozen"/>
      <selection pane="topRight" activeCell="C1" sqref="C1"/>
    </sheetView>
  </sheetViews>
  <sheetFormatPr baseColWidth="10" defaultColWidth="8.88671875" defaultRowHeight="14.4" x14ac:dyDescent="0.3"/>
  <cols>
    <col min="1" max="1" width="8.33203125" customWidth="1"/>
    <col min="2" max="2" width="35.33203125" customWidth="1"/>
    <col min="3" max="3" width="5.6640625" customWidth="1"/>
    <col min="4" max="4" width="11" customWidth="1"/>
    <col min="5" max="5" width="31.5546875" customWidth="1"/>
    <col min="6" max="6" width="11.44140625" customWidth="1"/>
    <col min="7" max="8" width="9.44140625" customWidth="1"/>
    <col min="9" max="9" width="6" customWidth="1"/>
    <col min="10" max="10" width="12.33203125" customWidth="1"/>
  </cols>
  <sheetData>
    <row r="1" spans="1:10" ht="22.8" x14ac:dyDescent="0.4">
      <c r="A1" s="13" t="s">
        <v>1669</v>
      </c>
    </row>
    <row r="3" spans="1:10" x14ac:dyDescent="0.3">
      <c r="A3" s="4" t="s">
        <v>1670</v>
      </c>
    </row>
    <row r="4" spans="1:10" x14ac:dyDescent="0.3">
      <c r="A4" s="4" t="s">
        <v>1671</v>
      </c>
    </row>
    <row r="5" spans="1:10" x14ac:dyDescent="0.3">
      <c r="A5" s="4" t="s">
        <v>1672</v>
      </c>
    </row>
    <row r="7" spans="1:10" ht="15.6" thickTop="1" thickBot="1" x14ac:dyDescent="0.35">
      <c r="A7" s="1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3" t="s">
        <v>6</v>
      </c>
      <c r="H7" s="3" t="s">
        <v>7</v>
      </c>
      <c r="I7" s="3" t="s">
        <v>8</v>
      </c>
      <c r="J7" s="2" t="s">
        <v>9</v>
      </c>
    </row>
    <row r="9" spans="1:10" x14ac:dyDescent="0.3">
      <c r="A9" s="5">
        <v>4000008</v>
      </c>
      <c r="B9" s="6" t="s">
        <v>10</v>
      </c>
      <c r="C9" s="7"/>
      <c r="D9" s="7"/>
      <c r="E9" s="7"/>
      <c r="F9" s="7"/>
      <c r="G9" s="7"/>
      <c r="H9" s="7"/>
      <c r="I9" s="7"/>
      <c r="J9" s="7"/>
    </row>
    <row r="10" spans="1:10" x14ac:dyDescent="0.3">
      <c r="C10" s="8" t="s">
        <v>11</v>
      </c>
      <c r="D10" s="9">
        <v>45715</v>
      </c>
      <c r="E10" t="s">
        <v>12</v>
      </c>
      <c r="F10" s="10" t="s">
        <v>13</v>
      </c>
      <c r="G10" s="11">
        <v>0</v>
      </c>
      <c r="H10" s="11">
        <v>26.31</v>
      </c>
      <c r="I10" s="11">
        <f>G10-H10</f>
        <v>-26.31</v>
      </c>
      <c r="J10" s="12"/>
    </row>
    <row r="11" spans="1:10" x14ac:dyDescent="0.3">
      <c r="C11" s="8" t="s">
        <v>11</v>
      </c>
      <c r="D11" s="9">
        <v>45731</v>
      </c>
      <c r="E11" t="s">
        <v>14</v>
      </c>
      <c r="F11" s="10" t="s">
        <v>15</v>
      </c>
      <c r="G11" s="11">
        <v>0</v>
      </c>
      <c r="H11" s="11">
        <v>23.81</v>
      </c>
      <c r="I11" s="11">
        <f>G11-H11+I10</f>
        <v>-50.12</v>
      </c>
      <c r="J11" s="12"/>
    </row>
    <row r="12" spans="1:10" x14ac:dyDescent="0.3">
      <c r="C12" s="8" t="s">
        <v>11</v>
      </c>
      <c r="D12" s="9">
        <v>45776</v>
      </c>
      <c r="E12" t="s">
        <v>16</v>
      </c>
      <c r="F12" s="10" t="s">
        <v>17</v>
      </c>
      <c r="G12" s="11">
        <v>26.31</v>
      </c>
      <c r="H12" s="11">
        <v>0</v>
      </c>
      <c r="I12" s="11">
        <f>G12-H12+I11</f>
        <v>-23.81</v>
      </c>
      <c r="J12" s="12"/>
    </row>
    <row r="13" spans="1:10" x14ac:dyDescent="0.3">
      <c r="C13" s="8" t="s">
        <v>11</v>
      </c>
      <c r="D13" s="9">
        <v>45803</v>
      </c>
      <c r="E13" t="s">
        <v>16</v>
      </c>
      <c r="F13" s="10" t="s">
        <v>17</v>
      </c>
      <c r="G13" s="11">
        <v>23.81</v>
      </c>
      <c r="H13" s="11">
        <v>0</v>
      </c>
      <c r="I13" s="11">
        <f>G13-H13+I12</f>
        <v>0</v>
      </c>
      <c r="J13" s="12"/>
    </row>
    <row r="14" spans="1:10" x14ac:dyDescent="0.3">
      <c r="C14" s="8"/>
      <c r="D14" s="9">
        <v>45853</v>
      </c>
      <c r="E14" t="s">
        <v>18</v>
      </c>
      <c r="F14" s="10" t="s">
        <v>19</v>
      </c>
      <c r="G14" s="11">
        <v>0</v>
      </c>
      <c r="H14" s="11">
        <v>17.010000000000002</v>
      </c>
      <c r="I14" s="11">
        <f>G14-H14+I13</f>
        <v>-17.010000000000002</v>
      </c>
      <c r="J14" s="12"/>
    </row>
    <row r="15" spans="1:10" x14ac:dyDescent="0.3">
      <c r="E15" s="4" t="s">
        <v>20</v>
      </c>
      <c r="G15" s="11">
        <f>SUM(G10:G14)</f>
        <v>50.12</v>
      </c>
      <c r="H15" s="11">
        <f>SUM(H10:H14)</f>
        <v>67.13</v>
      </c>
      <c r="I15" s="11">
        <f>G15-H15</f>
        <v>-17.009999999999998</v>
      </c>
    </row>
    <row r="17" spans="1:10" x14ac:dyDescent="0.3">
      <c r="A17" s="5">
        <v>4000017</v>
      </c>
      <c r="B17" s="6" t="s">
        <v>21</v>
      </c>
      <c r="C17" s="7"/>
      <c r="D17" s="7"/>
      <c r="E17" s="7"/>
      <c r="F17" s="7"/>
      <c r="G17" s="7"/>
      <c r="H17" s="7"/>
      <c r="I17" s="7"/>
      <c r="J17" s="7"/>
    </row>
    <row r="18" spans="1:10" x14ac:dyDescent="0.3">
      <c r="E18" s="4" t="s">
        <v>22</v>
      </c>
      <c r="G18" s="11">
        <v>0</v>
      </c>
      <c r="H18" s="11">
        <v>1207.55</v>
      </c>
      <c r="I18" s="11">
        <f>G18-H18</f>
        <v>-1207.55</v>
      </c>
    </row>
    <row r="19" spans="1:10" x14ac:dyDescent="0.3">
      <c r="C19" s="8" t="s">
        <v>11</v>
      </c>
      <c r="D19" s="9">
        <v>45671</v>
      </c>
      <c r="E19" t="s">
        <v>23</v>
      </c>
      <c r="F19" s="10" t="s">
        <v>24</v>
      </c>
      <c r="G19" s="11">
        <v>0</v>
      </c>
      <c r="H19" s="11">
        <v>156.91999999999999</v>
      </c>
      <c r="I19" s="11">
        <f t="shared" ref="I19:I49" si="0">G19-H19+I18</f>
        <v>-1364.47</v>
      </c>
      <c r="J19" s="12"/>
    </row>
    <row r="20" spans="1:10" x14ac:dyDescent="0.3">
      <c r="C20" s="8" t="s">
        <v>11</v>
      </c>
      <c r="D20" s="9">
        <v>45684</v>
      </c>
      <c r="E20" t="s">
        <v>25</v>
      </c>
      <c r="F20" s="10" t="s">
        <v>17</v>
      </c>
      <c r="G20" s="11">
        <v>407.06</v>
      </c>
      <c r="H20" s="11">
        <v>0</v>
      </c>
      <c r="I20" s="11">
        <f t="shared" si="0"/>
        <v>-957.41000000000008</v>
      </c>
      <c r="J20" s="12">
        <v>5720001</v>
      </c>
    </row>
    <row r="21" spans="1:10" x14ac:dyDescent="0.3">
      <c r="C21" s="8" t="s">
        <v>11</v>
      </c>
      <c r="D21" s="9">
        <v>45684</v>
      </c>
      <c r="E21" t="s">
        <v>25</v>
      </c>
      <c r="F21" s="10" t="s">
        <v>17</v>
      </c>
      <c r="G21" s="11">
        <v>101.41</v>
      </c>
      <c r="H21" s="11">
        <v>0</v>
      </c>
      <c r="I21" s="11">
        <f t="shared" si="0"/>
        <v>-856.00000000000011</v>
      </c>
      <c r="J21" s="12">
        <v>5720001</v>
      </c>
    </row>
    <row r="22" spans="1:10" x14ac:dyDescent="0.3">
      <c r="C22" s="8" t="s">
        <v>11</v>
      </c>
      <c r="D22" s="9">
        <v>45688</v>
      </c>
      <c r="E22" t="s">
        <v>26</v>
      </c>
      <c r="F22" s="10" t="s">
        <v>27</v>
      </c>
      <c r="G22" s="11">
        <v>0</v>
      </c>
      <c r="H22" s="11">
        <v>371.4</v>
      </c>
      <c r="I22" s="11">
        <f t="shared" si="0"/>
        <v>-1227.4000000000001</v>
      </c>
      <c r="J22" s="12"/>
    </row>
    <row r="23" spans="1:10" x14ac:dyDescent="0.3">
      <c r="C23" s="8" t="s">
        <v>11</v>
      </c>
      <c r="D23" s="9">
        <v>45702</v>
      </c>
      <c r="E23" t="s">
        <v>28</v>
      </c>
      <c r="F23" s="10" t="s">
        <v>29</v>
      </c>
      <c r="G23" s="11">
        <v>0</v>
      </c>
      <c r="H23" s="11">
        <v>187.55</v>
      </c>
      <c r="I23" s="11">
        <f t="shared" si="0"/>
        <v>-1414.95</v>
      </c>
      <c r="J23" s="12"/>
    </row>
    <row r="24" spans="1:10" x14ac:dyDescent="0.3">
      <c r="C24" s="8" t="s">
        <v>11</v>
      </c>
      <c r="D24" s="9">
        <v>45713</v>
      </c>
      <c r="E24" t="s">
        <v>25</v>
      </c>
      <c r="F24" s="10" t="s">
        <v>17</v>
      </c>
      <c r="G24" s="11">
        <v>132.12</v>
      </c>
      <c r="H24" s="11">
        <v>0</v>
      </c>
      <c r="I24" s="11">
        <f t="shared" si="0"/>
        <v>-1282.83</v>
      </c>
      <c r="J24" s="12">
        <v>5720001</v>
      </c>
    </row>
    <row r="25" spans="1:10" x14ac:dyDescent="0.3">
      <c r="C25" s="8" t="s">
        <v>11</v>
      </c>
      <c r="D25" s="9">
        <v>45713</v>
      </c>
      <c r="E25" t="s">
        <v>25</v>
      </c>
      <c r="F25" s="10" t="s">
        <v>17</v>
      </c>
      <c r="G25" s="11">
        <v>326.16000000000003</v>
      </c>
      <c r="H25" s="11">
        <v>0</v>
      </c>
      <c r="I25" s="11">
        <f t="shared" si="0"/>
        <v>-956.66999999999985</v>
      </c>
      <c r="J25" s="12">
        <v>5720001</v>
      </c>
    </row>
    <row r="26" spans="1:10" x14ac:dyDescent="0.3">
      <c r="C26" s="8" t="s">
        <v>11</v>
      </c>
      <c r="D26" s="9">
        <v>45716</v>
      </c>
      <c r="E26" t="s">
        <v>30</v>
      </c>
      <c r="F26" s="10" t="s">
        <v>31</v>
      </c>
      <c r="G26" s="11">
        <v>0</v>
      </c>
      <c r="H26" s="11">
        <v>221.53</v>
      </c>
      <c r="I26" s="11">
        <f t="shared" si="0"/>
        <v>-1178.1999999999998</v>
      </c>
      <c r="J26" s="12"/>
    </row>
    <row r="27" spans="1:10" x14ac:dyDescent="0.3">
      <c r="C27" s="8" t="s">
        <v>11</v>
      </c>
      <c r="D27" s="9">
        <v>45730</v>
      </c>
      <c r="E27" t="s">
        <v>32</v>
      </c>
      <c r="F27" s="10" t="s">
        <v>33</v>
      </c>
      <c r="G27" s="11">
        <v>0</v>
      </c>
      <c r="H27" s="11">
        <v>198.83</v>
      </c>
      <c r="I27" s="11">
        <f t="shared" si="0"/>
        <v>-1377.0299999999997</v>
      </c>
      <c r="J27" s="12"/>
    </row>
    <row r="28" spans="1:10" x14ac:dyDescent="0.3">
      <c r="C28" s="8" t="s">
        <v>11</v>
      </c>
      <c r="D28" s="9">
        <v>45741</v>
      </c>
      <c r="E28" t="s">
        <v>25</v>
      </c>
      <c r="F28" s="10" t="s">
        <v>17</v>
      </c>
      <c r="G28" s="11">
        <v>156.91999999999999</v>
      </c>
      <c r="H28" s="11">
        <v>0</v>
      </c>
      <c r="I28" s="11">
        <f t="shared" si="0"/>
        <v>-1220.1099999999997</v>
      </c>
      <c r="J28" s="12">
        <v>5720001</v>
      </c>
    </row>
    <row r="29" spans="1:10" x14ac:dyDescent="0.3">
      <c r="C29" s="8" t="s">
        <v>11</v>
      </c>
      <c r="D29" s="9">
        <v>45741</v>
      </c>
      <c r="E29" t="s">
        <v>25</v>
      </c>
      <c r="F29" s="10" t="s">
        <v>17</v>
      </c>
      <c r="G29" s="11">
        <v>240.8</v>
      </c>
      <c r="H29" s="11">
        <v>0</v>
      </c>
      <c r="I29" s="11">
        <f t="shared" si="0"/>
        <v>-979.30999999999972</v>
      </c>
      <c r="J29" s="12">
        <v>5720001</v>
      </c>
    </row>
    <row r="30" spans="1:10" x14ac:dyDescent="0.3">
      <c r="C30" s="8" t="s">
        <v>11</v>
      </c>
      <c r="D30" s="9">
        <v>45747</v>
      </c>
      <c r="E30" t="s">
        <v>34</v>
      </c>
      <c r="F30" s="10" t="s">
        <v>35</v>
      </c>
      <c r="G30" s="11">
        <v>0</v>
      </c>
      <c r="H30" s="11">
        <v>216.8</v>
      </c>
      <c r="I30" s="11">
        <f t="shared" si="0"/>
        <v>-1196.1099999999997</v>
      </c>
      <c r="J30" s="12"/>
    </row>
    <row r="31" spans="1:10" x14ac:dyDescent="0.3">
      <c r="C31" s="8" t="s">
        <v>11</v>
      </c>
      <c r="D31" s="9">
        <v>45761</v>
      </c>
      <c r="E31" t="s">
        <v>36</v>
      </c>
      <c r="F31" s="10" t="s">
        <v>37</v>
      </c>
      <c r="G31" s="11">
        <v>0</v>
      </c>
      <c r="H31" s="11">
        <v>100.61</v>
      </c>
      <c r="I31" s="11">
        <f t="shared" si="0"/>
        <v>-1296.7199999999996</v>
      </c>
      <c r="J31" s="12"/>
    </row>
    <row r="32" spans="1:10" x14ac:dyDescent="0.3">
      <c r="C32" s="8" t="s">
        <v>11</v>
      </c>
      <c r="D32" s="9">
        <v>45772</v>
      </c>
      <c r="E32" t="s">
        <v>25</v>
      </c>
      <c r="F32" s="10" t="s">
        <v>17</v>
      </c>
      <c r="G32" s="11">
        <v>187.55</v>
      </c>
      <c r="H32" s="11">
        <v>0</v>
      </c>
      <c r="I32" s="11">
        <f t="shared" si="0"/>
        <v>-1109.1699999999996</v>
      </c>
      <c r="J32" s="12">
        <v>5720001</v>
      </c>
    </row>
    <row r="33" spans="3:10" x14ac:dyDescent="0.3">
      <c r="C33" s="8" t="s">
        <v>11</v>
      </c>
      <c r="D33" s="9">
        <v>45772</v>
      </c>
      <c r="E33" t="s">
        <v>25</v>
      </c>
      <c r="F33" s="10" t="s">
        <v>17</v>
      </c>
      <c r="G33" s="11">
        <v>371.4</v>
      </c>
      <c r="H33" s="11">
        <v>0</v>
      </c>
      <c r="I33" s="11">
        <f t="shared" si="0"/>
        <v>-737.76999999999964</v>
      </c>
      <c r="J33" s="12">
        <v>5720001</v>
      </c>
    </row>
    <row r="34" spans="3:10" x14ac:dyDescent="0.3">
      <c r="C34" s="8" t="s">
        <v>11</v>
      </c>
      <c r="D34" s="9">
        <v>45777</v>
      </c>
      <c r="E34" t="s">
        <v>38</v>
      </c>
      <c r="F34" s="10" t="s">
        <v>39</v>
      </c>
      <c r="G34" s="11">
        <v>0</v>
      </c>
      <c r="H34" s="11">
        <v>293.68</v>
      </c>
      <c r="I34" s="11">
        <f t="shared" si="0"/>
        <v>-1031.4499999999996</v>
      </c>
      <c r="J34" s="12"/>
    </row>
    <row r="35" spans="3:10" x14ac:dyDescent="0.3">
      <c r="C35" s="8" t="s">
        <v>11</v>
      </c>
      <c r="D35" s="9">
        <v>45791</v>
      </c>
      <c r="E35" t="s">
        <v>40</v>
      </c>
      <c r="F35" s="10" t="s">
        <v>41</v>
      </c>
      <c r="G35" s="11">
        <v>0</v>
      </c>
      <c r="H35" s="11">
        <v>329.6</v>
      </c>
      <c r="I35" s="11">
        <f t="shared" si="0"/>
        <v>-1361.0499999999997</v>
      </c>
      <c r="J35" s="12"/>
    </row>
    <row r="36" spans="3:10" x14ac:dyDescent="0.3">
      <c r="C36" s="8" t="s">
        <v>11</v>
      </c>
      <c r="D36" s="9">
        <v>45803</v>
      </c>
      <c r="E36" t="s">
        <v>25</v>
      </c>
      <c r="F36" s="10" t="s">
        <v>17</v>
      </c>
      <c r="G36" s="11">
        <v>198.83</v>
      </c>
      <c r="H36" s="11">
        <v>0</v>
      </c>
      <c r="I36" s="11">
        <f t="shared" si="0"/>
        <v>-1162.2199999999998</v>
      </c>
      <c r="J36" s="12">
        <v>5720001</v>
      </c>
    </row>
    <row r="37" spans="3:10" x14ac:dyDescent="0.3">
      <c r="C37" s="8" t="s">
        <v>11</v>
      </c>
      <c r="D37" s="9">
        <v>45803</v>
      </c>
      <c r="E37" t="s">
        <v>25</v>
      </c>
      <c r="F37" s="10" t="s">
        <v>17</v>
      </c>
      <c r="G37" s="11">
        <v>221.53</v>
      </c>
      <c r="H37" s="11">
        <v>0</v>
      </c>
      <c r="I37" s="11">
        <f t="shared" si="0"/>
        <v>-940.68999999999983</v>
      </c>
      <c r="J37" s="12">
        <v>5720001</v>
      </c>
    </row>
    <row r="38" spans="3:10" x14ac:dyDescent="0.3">
      <c r="C38" s="8" t="s">
        <v>11</v>
      </c>
      <c r="D38" s="9">
        <v>45807</v>
      </c>
      <c r="E38" t="s">
        <v>42</v>
      </c>
      <c r="F38" s="10" t="s">
        <v>43</v>
      </c>
      <c r="G38" s="11">
        <v>0</v>
      </c>
      <c r="H38" s="11">
        <v>238.88</v>
      </c>
      <c r="I38" s="11">
        <f t="shared" si="0"/>
        <v>-1179.5699999999997</v>
      </c>
      <c r="J38" s="12"/>
    </row>
    <row r="39" spans="3:10" x14ac:dyDescent="0.3">
      <c r="C39" s="8" t="s">
        <v>11</v>
      </c>
      <c r="D39" s="9">
        <v>45821</v>
      </c>
      <c r="E39" t="s">
        <v>44</v>
      </c>
      <c r="F39" s="10" t="s">
        <v>45</v>
      </c>
      <c r="G39" s="11">
        <v>0</v>
      </c>
      <c r="H39" s="11">
        <v>149.34</v>
      </c>
      <c r="I39" s="11">
        <f t="shared" si="0"/>
        <v>-1328.9099999999996</v>
      </c>
      <c r="J39" s="12"/>
    </row>
    <row r="40" spans="3:10" x14ac:dyDescent="0.3">
      <c r="C40" s="8" t="s">
        <v>11</v>
      </c>
      <c r="D40" s="9">
        <v>45833</v>
      </c>
      <c r="E40" t="s">
        <v>25</v>
      </c>
      <c r="F40" s="10" t="s">
        <v>17</v>
      </c>
      <c r="G40" s="11">
        <v>216.8</v>
      </c>
      <c r="H40" s="11">
        <v>0</v>
      </c>
      <c r="I40" s="11">
        <f t="shared" si="0"/>
        <v>-1112.1099999999997</v>
      </c>
      <c r="J40" s="12">
        <v>5720001</v>
      </c>
    </row>
    <row r="41" spans="3:10" x14ac:dyDescent="0.3">
      <c r="C41" s="8" t="s">
        <v>11</v>
      </c>
      <c r="D41" s="9">
        <v>45833</v>
      </c>
      <c r="E41" t="s">
        <v>25</v>
      </c>
      <c r="F41" s="10" t="s">
        <v>17</v>
      </c>
      <c r="G41" s="11">
        <v>100.61</v>
      </c>
      <c r="H41" s="11">
        <v>0</v>
      </c>
      <c r="I41" s="11">
        <f t="shared" si="0"/>
        <v>-1011.4999999999997</v>
      </c>
      <c r="J41" s="12">
        <v>5720001</v>
      </c>
    </row>
    <row r="42" spans="3:10" x14ac:dyDescent="0.3">
      <c r="C42" s="8"/>
      <c r="D42" s="9">
        <v>45838</v>
      </c>
      <c r="E42" t="s">
        <v>46</v>
      </c>
      <c r="F42" s="10" t="s">
        <v>47</v>
      </c>
      <c r="G42" s="11">
        <v>0</v>
      </c>
      <c r="H42" s="11">
        <v>243.67</v>
      </c>
      <c r="I42" s="11">
        <f t="shared" si="0"/>
        <v>-1255.1699999999996</v>
      </c>
      <c r="J42" s="12"/>
    </row>
    <row r="43" spans="3:10" x14ac:dyDescent="0.3">
      <c r="C43" s="8"/>
      <c r="D43" s="9">
        <v>45852</v>
      </c>
      <c r="E43" t="s">
        <v>48</v>
      </c>
      <c r="F43" s="10" t="s">
        <v>49</v>
      </c>
      <c r="G43" s="11">
        <v>0</v>
      </c>
      <c r="H43" s="11">
        <v>306.01</v>
      </c>
      <c r="I43" s="11">
        <f t="shared" si="0"/>
        <v>-1561.1799999999996</v>
      </c>
      <c r="J43" s="12"/>
    </row>
    <row r="44" spans="3:10" x14ac:dyDescent="0.3">
      <c r="C44" s="8" t="s">
        <v>11</v>
      </c>
      <c r="D44" s="9">
        <v>45863</v>
      </c>
      <c r="E44" t="s">
        <v>25</v>
      </c>
      <c r="F44" s="10" t="s">
        <v>17</v>
      </c>
      <c r="G44" s="11">
        <v>293.68</v>
      </c>
      <c r="H44" s="11">
        <v>0</v>
      </c>
      <c r="I44" s="11">
        <f t="shared" si="0"/>
        <v>-1267.4999999999995</v>
      </c>
      <c r="J44" s="12">
        <v>5720001</v>
      </c>
    </row>
    <row r="45" spans="3:10" x14ac:dyDescent="0.3">
      <c r="C45" s="8" t="s">
        <v>11</v>
      </c>
      <c r="D45" s="9">
        <v>45863</v>
      </c>
      <c r="E45" t="s">
        <v>25</v>
      </c>
      <c r="F45" s="10" t="s">
        <v>17</v>
      </c>
      <c r="G45" s="11">
        <v>329.6</v>
      </c>
      <c r="H45" s="11">
        <v>0</v>
      </c>
      <c r="I45" s="11">
        <f t="shared" si="0"/>
        <v>-937.89999999999952</v>
      </c>
      <c r="J45" s="12">
        <v>5720001</v>
      </c>
    </row>
    <row r="46" spans="3:10" x14ac:dyDescent="0.3">
      <c r="C46" s="8"/>
      <c r="D46" s="9">
        <v>45869</v>
      </c>
      <c r="E46" t="s">
        <v>50</v>
      </c>
      <c r="F46" s="10" t="s">
        <v>51</v>
      </c>
      <c r="G46" s="11">
        <v>0</v>
      </c>
      <c r="H46" s="11">
        <v>240.94</v>
      </c>
      <c r="I46" s="11">
        <f t="shared" si="0"/>
        <v>-1178.8399999999995</v>
      </c>
      <c r="J46" s="12"/>
    </row>
    <row r="47" spans="3:10" x14ac:dyDescent="0.3">
      <c r="C47" s="8"/>
      <c r="D47" s="9">
        <v>45883</v>
      </c>
      <c r="E47" t="s">
        <v>52</v>
      </c>
      <c r="F47" s="10" t="s">
        <v>53</v>
      </c>
      <c r="G47" s="11">
        <v>0</v>
      </c>
      <c r="H47" s="11">
        <v>415.95</v>
      </c>
      <c r="I47" s="11">
        <f t="shared" si="0"/>
        <v>-1594.7899999999995</v>
      </c>
      <c r="J47" s="12"/>
    </row>
    <row r="48" spans="3:10" x14ac:dyDescent="0.3">
      <c r="C48" s="8" t="s">
        <v>11</v>
      </c>
      <c r="D48" s="9">
        <v>45894</v>
      </c>
      <c r="E48" t="s">
        <v>25</v>
      </c>
      <c r="F48" s="10" t="s">
        <v>17</v>
      </c>
      <c r="G48" s="11">
        <v>149.34</v>
      </c>
      <c r="H48" s="11">
        <v>0</v>
      </c>
      <c r="I48" s="11">
        <f t="shared" si="0"/>
        <v>-1445.4499999999996</v>
      </c>
      <c r="J48" s="12">
        <v>5720001</v>
      </c>
    </row>
    <row r="49" spans="1:10" x14ac:dyDescent="0.3">
      <c r="C49" s="8" t="s">
        <v>11</v>
      </c>
      <c r="D49" s="9">
        <v>45894</v>
      </c>
      <c r="E49" t="s">
        <v>25</v>
      </c>
      <c r="F49" s="10" t="s">
        <v>17</v>
      </c>
      <c r="G49" s="11">
        <v>238.88</v>
      </c>
      <c r="H49" s="11">
        <v>0</v>
      </c>
      <c r="I49" s="11">
        <f t="shared" si="0"/>
        <v>-1206.5699999999997</v>
      </c>
      <c r="J49" s="12">
        <v>5720001</v>
      </c>
    </row>
    <row r="50" spans="1:10" x14ac:dyDescent="0.3">
      <c r="E50" s="4" t="s">
        <v>20</v>
      </c>
      <c r="G50" s="11">
        <f>SUM(G18:G49)</f>
        <v>3672.6900000000005</v>
      </c>
      <c r="H50" s="11">
        <f>SUM(H18:H49)</f>
        <v>4879.2599999999993</v>
      </c>
      <c r="I50" s="11">
        <f>G50-H50</f>
        <v>-1206.5699999999988</v>
      </c>
    </row>
    <row r="52" spans="1:10" x14ac:dyDescent="0.3">
      <c r="A52" s="5">
        <v>4000019</v>
      </c>
      <c r="B52" s="6" t="s">
        <v>54</v>
      </c>
      <c r="C52" s="7"/>
      <c r="D52" s="7"/>
      <c r="E52" s="7"/>
      <c r="F52" s="7"/>
      <c r="G52" s="7"/>
      <c r="H52" s="7"/>
      <c r="I52" s="7"/>
      <c r="J52" s="7"/>
    </row>
    <row r="53" spans="1:10" x14ac:dyDescent="0.3">
      <c r="E53" s="4" t="s">
        <v>22</v>
      </c>
      <c r="G53" s="11">
        <v>0</v>
      </c>
      <c r="H53" s="11">
        <v>7147.3</v>
      </c>
      <c r="I53" s="11">
        <f>G53-H53</f>
        <v>-7147.3</v>
      </c>
    </row>
    <row r="54" spans="1:10" x14ac:dyDescent="0.3">
      <c r="C54" s="8" t="s">
        <v>11</v>
      </c>
      <c r="D54" s="9">
        <v>45674</v>
      </c>
      <c r="E54" t="s">
        <v>55</v>
      </c>
      <c r="F54" s="10" t="s">
        <v>56</v>
      </c>
      <c r="G54" s="11">
        <v>0</v>
      </c>
      <c r="H54" s="11">
        <v>152.18</v>
      </c>
      <c r="I54" s="11">
        <f t="shared" ref="I54:I84" si="1">G54-H54+I53</f>
        <v>-7299.4800000000005</v>
      </c>
      <c r="J54" s="12"/>
    </row>
    <row r="55" spans="1:10" x14ac:dyDescent="0.3">
      <c r="C55" s="8" t="s">
        <v>11</v>
      </c>
      <c r="D55" s="9">
        <v>45678</v>
      </c>
      <c r="E55" t="s">
        <v>57</v>
      </c>
      <c r="F55" s="10" t="s">
        <v>58</v>
      </c>
      <c r="G55" s="11">
        <v>0</v>
      </c>
      <c r="H55" s="11">
        <v>772.91</v>
      </c>
      <c r="I55" s="11">
        <f t="shared" si="1"/>
        <v>-8072.39</v>
      </c>
      <c r="J55" s="12"/>
    </row>
    <row r="56" spans="1:10" x14ac:dyDescent="0.3">
      <c r="C56" s="8" t="s">
        <v>11</v>
      </c>
      <c r="D56" s="9">
        <v>45684</v>
      </c>
      <c r="E56" t="s">
        <v>59</v>
      </c>
      <c r="F56" s="10" t="s">
        <v>17</v>
      </c>
      <c r="G56" s="11">
        <v>3772.03</v>
      </c>
      <c r="H56" s="11">
        <v>0</v>
      </c>
      <c r="I56" s="11">
        <f t="shared" si="1"/>
        <v>-4300.3600000000006</v>
      </c>
      <c r="J56" s="12">
        <v>5720001</v>
      </c>
    </row>
    <row r="57" spans="1:10" x14ac:dyDescent="0.3">
      <c r="C57" s="8" t="s">
        <v>11</v>
      </c>
      <c r="D57" s="9">
        <v>45685</v>
      </c>
      <c r="E57" t="s">
        <v>60</v>
      </c>
      <c r="F57" s="10" t="s">
        <v>61</v>
      </c>
      <c r="G57" s="11">
        <v>0</v>
      </c>
      <c r="H57" s="11">
        <v>124.58</v>
      </c>
      <c r="I57" s="11">
        <f t="shared" si="1"/>
        <v>-4424.9400000000005</v>
      </c>
      <c r="J57" s="12"/>
    </row>
    <row r="58" spans="1:10" x14ac:dyDescent="0.3">
      <c r="C58" s="8" t="s">
        <v>11</v>
      </c>
      <c r="D58" s="9">
        <v>45713</v>
      </c>
      <c r="E58" t="s">
        <v>62</v>
      </c>
      <c r="F58" s="10" t="s">
        <v>63</v>
      </c>
      <c r="G58" s="11">
        <v>0</v>
      </c>
      <c r="H58" s="11">
        <v>1552.13</v>
      </c>
      <c r="I58" s="11">
        <f t="shared" si="1"/>
        <v>-5977.0700000000006</v>
      </c>
      <c r="J58" s="12"/>
    </row>
    <row r="59" spans="1:10" x14ac:dyDescent="0.3">
      <c r="C59" s="8" t="s">
        <v>11</v>
      </c>
      <c r="D59" s="9">
        <v>45713</v>
      </c>
      <c r="E59" t="s">
        <v>59</v>
      </c>
      <c r="F59" s="10" t="s">
        <v>17</v>
      </c>
      <c r="G59" s="11">
        <v>3375.27</v>
      </c>
      <c r="H59" s="11">
        <v>0</v>
      </c>
      <c r="I59" s="11">
        <f t="shared" si="1"/>
        <v>-2601.8000000000006</v>
      </c>
      <c r="J59" s="12">
        <v>5720001</v>
      </c>
    </row>
    <row r="60" spans="1:10" x14ac:dyDescent="0.3">
      <c r="C60" s="8" t="s">
        <v>11</v>
      </c>
      <c r="D60" s="9">
        <v>45719</v>
      </c>
      <c r="E60" t="s">
        <v>64</v>
      </c>
      <c r="F60" s="10" t="s">
        <v>65</v>
      </c>
      <c r="G60" s="11">
        <v>0</v>
      </c>
      <c r="H60" s="11">
        <v>197.41</v>
      </c>
      <c r="I60" s="11">
        <f t="shared" si="1"/>
        <v>-2799.2100000000005</v>
      </c>
      <c r="J60" s="12"/>
    </row>
    <row r="61" spans="1:10" x14ac:dyDescent="0.3">
      <c r="C61" s="8" t="s">
        <v>11</v>
      </c>
      <c r="D61" s="9">
        <v>45721</v>
      </c>
      <c r="E61" t="s">
        <v>66</v>
      </c>
      <c r="F61" s="10" t="s">
        <v>67</v>
      </c>
      <c r="G61" s="11">
        <v>0</v>
      </c>
      <c r="H61" s="11">
        <v>7468.98</v>
      </c>
      <c r="I61" s="11">
        <f t="shared" si="1"/>
        <v>-10268.19</v>
      </c>
      <c r="J61" s="12"/>
    </row>
    <row r="62" spans="1:10" x14ac:dyDescent="0.3">
      <c r="C62" s="8" t="s">
        <v>11</v>
      </c>
      <c r="D62" s="9">
        <v>45728</v>
      </c>
      <c r="E62" t="s">
        <v>68</v>
      </c>
      <c r="F62" s="10" t="s">
        <v>69</v>
      </c>
      <c r="G62" s="11">
        <v>0</v>
      </c>
      <c r="H62" s="11">
        <v>89.49</v>
      </c>
      <c r="I62" s="11">
        <f t="shared" si="1"/>
        <v>-10357.68</v>
      </c>
      <c r="J62" s="12"/>
    </row>
    <row r="63" spans="1:10" x14ac:dyDescent="0.3">
      <c r="C63" s="8" t="s">
        <v>11</v>
      </c>
      <c r="D63" s="9">
        <v>45740</v>
      </c>
      <c r="E63" t="s">
        <v>70</v>
      </c>
      <c r="F63" s="10" t="s">
        <v>71</v>
      </c>
      <c r="G63" s="11">
        <v>0</v>
      </c>
      <c r="H63" s="11">
        <v>338.61</v>
      </c>
      <c r="I63" s="11">
        <f t="shared" si="1"/>
        <v>-10696.29</v>
      </c>
      <c r="J63" s="12"/>
    </row>
    <row r="64" spans="1:10" x14ac:dyDescent="0.3">
      <c r="C64" s="8" t="s">
        <v>11</v>
      </c>
      <c r="D64" s="9">
        <v>45741</v>
      </c>
      <c r="E64" t="s">
        <v>59</v>
      </c>
      <c r="F64" s="10" t="s">
        <v>17</v>
      </c>
      <c r="G64" s="11">
        <v>1049.67</v>
      </c>
      <c r="H64" s="11">
        <v>0</v>
      </c>
      <c r="I64" s="11">
        <f t="shared" si="1"/>
        <v>-9646.6200000000008</v>
      </c>
      <c r="J64" s="12">
        <v>5720001</v>
      </c>
    </row>
    <row r="65" spans="3:10" x14ac:dyDescent="0.3">
      <c r="C65" s="8" t="s">
        <v>11</v>
      </c>
      <c r="D65" s="9">
        <v>45749</v>
      </c>
      <c r="E65" t="s">
        <v>72</v>
      </c>
      <c r="F65" s="10" t="s">
        <v>73</v>
      </c>
      <c r="G65" s="11">
        <v>0</v>
      </c>
      <c r="H65" s="11">
        <v>62.86</v>
      </c>
      <c r="I65" s="11">
        <f t="shared" si="1"/>
        <v>-9709.4800000000014</v>
      </c>
      <c r="J65" s="12"/>
    </row>
    <row r="66" spans="3:10" x14ac:dyDescent="0.3">
      <c r="C66" s="8" t="s">
        <v>11</v>
      </c>
      <c r="D66" s="9">
        <v>45749</v>
      </c>
      <c r="E66" t="s">
        <v>74</v>
      </c>
      <c r="F66" s="10" t="s">
        <v>75</v>
      </c>
      <c r="G66" s="11">
        <v>0</v>
      </c>
      <c r="H66" s="11">
        <v>2392.8000000000002</v>
      </c>
      <c r="I66" s="11">
        <f t="shared" si="1"/>
        <v>-12102.280000000002</v>
      </c>
      <c r="J66" s="12"/>
    </row>
    <row r="67" spans="3:10" x14ac:dyDescent="0.3">
      <c r="C67" s="8" t="s">
        <v>11</v>
      </c>
      <c r="D67" s="9">
        <v>45749</v>
      </c>
      <c r="E67" t="s">
        <v>76</v>
      </c>
      <c r="F67" s="10" t="s">
        <v>77</v>
      </c>
      <c r="G67" s="11">
        <v>0</v>
      </c>
      <c r="H67" s="11">
        <v>3133.55</v>
      </c>
      <c r="I67" s="11">
        <f t="shared" si="1"/>
        <v>-15235.830000000002</v>
      </c>
      <c r="J67" s="12"/>
    </row>
    <row r="68" spans="3:10" x14ac:dyDescent="0.3">
      <c r="C68" s="8" t="s">
        <v>11</v>
      </c>
      <c r="D68" s="9">
        <v>45770</v>
      </c>
      <c r="E68" t="s">
        <v>78</v>
      </c>
      <c r="F68" s="10" t="s">
        <v>79</v>
      </c>
      <c r="G68" s="11">
        <v>0</v>
      </c>
      <c r="H68" s="11">
        <v>338.61</v>
      </c>
      <c r="I68" s="11">
        <f t="shared" si="1"/>
        <v>-15574.440000000002</v>
      </c>
      <c r="J68" s="12"/>
    </row>
    <row r="69" spans="3:10" x14ac:dyDescent="0.3">
      <c r="C69" s="8" t="s">
        <v>11</v>
      </c>
      <c r="D69" s="9">
        <v>45772</v>
      </c>
      <c r="E69" t="s">
        <v>25</v>
      </c>
      <c r="F69" s="10" t="s">
        <v>17</v>
      </c>
      <c r="G69" s="11">
        <v>1552.13</v>
      </c>
      <c r="H69" s="11">
        <v>0</v>
      </c>
      <c r="I69" s="11">
        <f t="shared" si="1"/>
        <v>-14022.310000000001</v>
      </c>
      <c r="J69" s="12">
        <v>5720001</v>
      </c>
    </row>
    <row r="70" spans="3:10" x14ac:dyDescent="0.3">
      <c r="C70" s="8" t="s">
        <v>11</v>
      </c>
      <c r="D70" s="9">
        <v>45790</v>
      </c>
      <c r="E70" t="s">
        <v>80</v>
      </c>
      <c r="F70" s="10" t="s">
        <v>81</v>
      </c>
      <c r="G70" s="11">
        <v>0</v>
      </c>
      <c r="H70" s="11">
        <v>1396.32</v>
      </c>
      <c r="I70" s="11">
        <f t="shared" si="1"/>
        <v>-15418.630000000001</v>
      </c>
      <c r="J70" s="12"/>
    </row>
    <row r="71" spans="3:10" x14ac:dyDescent="0.3">
      <c r="C71" s="8" t="s">
        <v>11</v>
      </c>
      <c r="D71" s="9">
        <v>45790</v>
      </c>
      <c r="E71" t="s">
        <v>82</v>
      </c>
      <c r="F71" s="10" t="s">
        <v>83</v>
      </c>
      <c r="G71" s="11">
        <v>0</v>
      </c>
      <c r="H71" s="11">
        <v>107.13</v>
      </c>
      <c r="I71" s="11">
        <f t="shared" si="1"/>
        <v>-15525.76</v>
      </c>
      <c r="J71" s="12"/>
    </row>
    <row r="72" spans="3:10" x14ac:dyDescent="0.3">
      <c r="C72" s="8" t="s">
        <v>11</v>
      </c>
      <c r="D72" s="9">
        <v>45796</v>
      </c>
      <c r="E72" t="s">
        <v>84</v>
      </c>
      <c r="F72" s="10" t="s">
        <v>85</v>
      </c>
      <c r="G72" s="11">
        <v>0</v>
      </c>
      <c r="H72" s="11">
        <v>160.65</v>
      </c>
      <c r="I72" s="11">
        <f t="shared" si="1"/>
        <v>-15686.41</v>
      </c>
      <c r="J72" s="12"/>
    </row>
    <row r="73" spans="3:10" x14ac:dyDescent="0.3">
      <c r="C73" s="8" t="s">
        <v>11</v>
      </c>
      <c r="D73" s="9">
        <v>45803</v>
      </c>
      <c r="E73" t="s">
        <v>59</v>
      </c>
      <c r="F73" s="10" t="s">
        <v>17</v>
      </c>
      <c r="G73" s="11">
        <v>8094.49</v>
      </c>
      <c r="H73" s="11">
        <v>0</v>
      </c>
      <c r="I73" s="11">
        <f t="shared" si="1"/>
        <v>-7591.92</v>
      </c>
      <c r="J73" s="12">
        <v>5720001</v>
      </c>
    </row>
    <row r="74" spans="3:10" x14ac:dyDescent="0.3">
      <c r="C74" s="8" t="s">
        <v>11</v>
      </c>
      <c r="D74" s="9">
        <v>45821</v>
      </c>
      <c r="E74" t="s">
        <v>86</v>
      </c>
      <c r="F74" s="10" t="s">
        <v>87</v>
      </c>
      <c r="G74" s="11">
        <v>0</v>
      </c>
      <c r="H74" s="11">
        <v>3133.55</v>
      </c>
      <c r="I74" s="11">
        <f t="shared" si="1"/>
        <v>-10725.470000000001</v>
      </c>
      <c r="J74" s="12"/>
    </row>
    <row r="75" spans="3:10" x14ac:dyDescent="0.3">
      <c r="C75" s="8" t="s">
        <v>11</v>
      </c>
      <c r="D75" s="9">
        <v>45821</v>
      </c>
      <c r="E75" t="s">
        <v>88</v>
      </c>
      <c r="F75" s="10" t="s">
        <v>89</v>
      </c>
      <c r="G75" s="11">
        <v>0</v>
      </c>
      <c r="H75" s="11">
        <v>2297.1</v>
      </c>
      <c r="I75" s="11">
        <f t="shared" si="1"/>
        <v>-13022.570000000002</v>
      </c>
      <c r="J75" s="12"/>
    </row>
    <row r="76" spans="3:10" x14ac:dyDescent="0.3">
      <c r="C76" s="8" t="s">
        <v>11</v>
      </c>
      <c r="D76" s="9">
        <v>45828</v>
      </c>
      <c r="E76" t="s">
        <v>90</v>
      </c>
      <c r="F76" s="10" t="s">
        <v>91</v>
      </c>
      <c r="G76" s="11">
        <v>0</v>
      </c>
      <c r="H76" s="11">
        <v>2733.08</v>
      </c>
      <c r="I76" s="11">
        <f t="shared" si="1"/>
        <v>-15755.650000000001</v>
      </c>
      <c r="J76" s="12"/>
    </row>
    <row r="77" spans="3:10" x14ac:dyDescent="0.3">
      <c r="C77" s="8" t="s">
        <v>11</v>
      </c>
      <c r="D77" s="9">
        <v>45833</v>
      </c>
      <c r="E77" t="s">
        <v>59</v>
      </c>
      <c r="F77" s="10" t="s">
        <v>17</v>
      </c>
      <c r="G77" s="11">
        <v>5927.82</v>
      </c>
      <c r="H77" s="11">
        <v>0</v>
      </c>
      <c r="I77" s="11">
        <f t="shared" si="1"/>
        <v>-9827.8300000000017</v>
      </c>
      <c r="J77" s="12">
        <v>5720001</v>
      </c>
    </row>
    <row r="78" spans="3:10" x14ac:dyDescent="0.3">
      <c r="C78" s="8"/>
      <c r="D78" s="9">
        <v>45840</v>
      </c>
      <c r="E78" t="s">
        <v>92</v>
      </c>
      <c r="F78" s="10" t="s">
        <v>93</v>
      </c>
      <c r="G78" s="11">
        <v>0</v>
      </c>
      <c r="H78" s="11">
        <v>155.56</v>
      </c>
      <c r="I78" s="11">
        <f t="shared" si="1"/>
        <v>-9983.3900000000012</v>
      </c>
      <c r="J78" s="12"/>
    </row>
    <row r="79" spans="3:10" x14ac:dyDescent="0.3">
      <c r="C79" s="8"/>
      <c r="D79" s="9">
        <v>45843</v>
      </c>
      <c r="E79" t="s">
        <v>94</v>
      </c>
      <c r="F79" s="10" t="s">
        <v>95</v>
      </c>
      <c r="G79" s="11">
        <v>0</v>
      </c>
      <c r="H79" s="11">
        <v>133.12</v>
      </c>
      <c r="I79" s="11">
        <f t="shared" si="1"/>
        <v>-10116.510000000002</v>
      </c>
      <c r="J79" s="12"/>
    </row>
    <row r="80" spans="3:10" x14ac:dyDescent="0.3">
      <c r="C80" s="8"/>
      <c r="D80" s="9">
        <v>45843</v>
      </c>
      <c r="E80" t="s">
        <v>96</v>
      </c>
      <c r="F80" s="10" t="s">
        <v>97</v>
      </c>
      <c r="G80" s="11">
        <v>0</v>
      </c>
      <c r="H80" s="11">
        <v>197.77</v>
      </c>
      <c r="I80" s="11">
        <f t="shared" si="1"/>
        <v>-10314.280000000002</v>
      </c>
      <c r="J80" s="12"/>
    </row>
    <row r="81" spans="1:10" x14ac:dyDescent="0.3">
      <c r="C81" s="8" t="s">
        <v>11</v>
      </c>
      <c r="D81" s="9">
        <v>45863</v>
      </c>
      <c r="E81" t="s">
        <v>59</v>
      </c>
      <c r="F81" s="10" t="s">
        <v>17</v>
      </c>
      <c r="G81" s="11">
        <v>1664.1</v>
      </c>
      <c r="H81" s="11">
        <v>0</v>
      </c>
      <c r="I81" s="11">
        <f t="shared" si="1"/>
        <v>-8650.1800000000021</v>
      </c>
      <c r="J81" s="12">
        <v>5720001</v>
      </c>
    </row>
    <row r="82" spans="1:10" x14ac:dyDescent="0.3">
      <c r="C82" s="8"/>
      <c r="D82" s="9">
        <v>45882</v>
      </c>
      <c r="E82" t="s">
        <v>98</v>
      </c>
      <c r="F82" s="10" t="s">
        <v>99</v>
      </c>
      <c r="G82" s="11">
        <v>0</v>
      </c>
      <c r="H82" s="11">
        <v>4225.84</v>
      </c>
      <c r="I82" s="11">
        <f t="shared" si="1"/>
        <v>-12876.020000000002</v>
      </c>
      <c r="J82" s="12"/>
    </row>
    <row r="83" spans="1:10" x14ac:dyDescent="0.3">
      <c r="C83" s="8" t="s">
        <v>11</v>
      </c>
      <c r="D83" s="9">
        <v>45894</v>
      </c>
      <c r="E83" t="s">
        <v>59</v>
      </c>
      <c r="F83" s="10" t="s">
        <v>17</v>
      </c>
      <c r="G83" s="11">
        <v>8163.73</v>
      </c>
      <c r="H83" s="11">
        <v>0</v>
      </c>
      <c r="I83" s="11">
        <f t="shared" si="1"/>
        <v>-4712.2900000000027</v>
      </c>
      <c r="J83" s="12">
        <v>5720001</v>
      </c>
    </row>
    <row r="84" spans="1:10" x14ac:dyDescent="0.3">
      <c r="C84" s="8"/>
      <c r="D84" s="9">
        <v>45902</v>
      </c>
      <c r="E84" t="s">
        <v>100</v>
      </c>
      <c r="F84" s="10" t="s">
        <v>101</v>
      </c>
      <c r="G84" s="11">
        <v>0</v>
      </c>
      <c r="H84" s="11">
        <v>2056.67</v>
      </c>
      <c r="I84" s="11">
        <f t="shared" si="1"/>
        <v>-6768.9600000000028</v>
      </c>
      <c r="J84" s="12"/>
    </row>
    <row r="85" spans="1:10" x14ac:dyDescent="0.3">
      <c r="E85" s="4" t="s">
        <v>20</v>
      </c>
      <c r="G85" s="11">
        <f>SUM(G53:G84)</f>
        <v>33599.240000000005</v>
      </c>
      <c r="H85" s="11">
        <f>SUM(H53:H84)</f>
        <v>40368.199999999997</v>
      </c>
      <c r="I85" s="11">
        <f>G85-H85</f>
        <v>-6768.9599999999919</v>
      </c>
    </row>
    <row r="87" spans="1:10" x14ac:dyDescent="0.3">
      <c r="A87" s="5">
        <v>4000021</v>
      </c>
      <c r="B87" s="6" t="s">
        <v>102</v>
      </c>
      <c r="C87" s="7"/>
      <c r="D87" s="7"/>
      <c r="E87" s="7"/>
      <c r="F87" s="7"/>
      <c r="G87" s="7"/>
      <c r="H87" s="7"/>
      <c r="I87" s="7"/>
      <c r="J87" s="7"/>
    </row>
    <row r="88" spans="1:10" x14ac:dyDescent="0.3">
      <c r="E88" s="4" t="s">
        <v>22</v>
      </c>
      <c r="G88" s="11">
        <v>0</v>
      </c>
      <c r="H88" s="11">
        <v>149.87</v>
      </c>
      <c r="I88" s="11">
        <f>G88-H88</f>
        <v>-149.87</v>
      </c>
    </row>
    <row r="89" spans="1:10" x14ac:dyDescent="0.3">
      <c r="C89" s="8" t="s">
        <v>11</v>
      </c>
      <c r="D89" s="9">
        <v>45699</v>
      </c>
      <c r="E89" t="s">
        <v>103</v>
      </c>
      <c r="F89" s="10" t="s">
        <v>104</v>
      </c>
      <c r="G89" s="11">
        <v>0</v>
      </c>
      <c r="H89" s="11">
        <v>147.75</v>
      </c>
      <c r="I89" s="11">
        <f t="shared" ref="I89:I94" si="2">G89-H89+I88</f>
        <v>-297.62</v>
      </c>
      <c r="J89" s="12"/>
    </row>
    <row r="90" spans="1:10" x14ac:dyDescent="0.3">
      <c r="C90" s="8" t="s">
        <v>11</v>
      </c>
      <c r="D90" s="9">
        <v>45743</v>
      </c>
      <c r="E90" t="s">
        <v>16</v>
      </c>
      <c r="F90" s="10" t="s">
        <v>17</v>
      </c>
      <c r="G90" s="11">
        <v>149.87</v>
      </c>
      <c r="H90" s="11">
        <v>0</v>
      </c>
      <c r="I90" s="11">
        <f t="shared" si="2"/>
        <v>-147.75</v>
      </c>
      <c r="J90" s="12"/>
    </row>
    <row r="91" spans="1:10" x14ac:dyDescent="0.3">
      <c r="C91" s="8" t="s">
        <v>11</v>
      </c>
      <c r="D91" s="9">
        <v>45776</v>
      </c>
      <c r="E91" t="s">
        <v>16</v>
      </c>
      <c r="F91" s="10" t="s">
        <v>17</v>
      </c>
      <c r="G91" s="11">
        <v>147.75</v>
      </c>
      <c r="H91" s="11">
        <v>0</v>
      </c>
      <c r="I91" s="11">
        <f t="shared" si="2"/>
        <v>0</v>
      </c>
      <c r="J91" s="12"/>
    </row>
    <row r="92" spans="1:10" x14ac:dyDescent="0.3">
      <c r="C92" s="8" t="s">
        <v>11</v>
      </c>
      <c r="D92" s="9">
        <v>45806</v>
      </c>
      <c r="E92" t="s">
        <v>105</v>
      </c>
      <c r="F92" s="10" t="s">
        <v>106</v>
      </c>
      <c r="G92" s="11">
        <v>0</v>
      </c>
      <c r="H92" s="11">
        <v>5.66</v>
      </c>
      <c r="I92" s="11">
        <f t="shared" si="2"/>
        <v>-5.66</v>
      </c>
      <c r="J92" s="12"/>
    </row>
    <row r="93" spans="1:10" x14ac:dyDescent="0.3">
      <c r="C93" s="8"/>
      <c r="D93" s="9">
        <v>45887</v>
      </c>
      <c r="E93" t="s">
        <v>107</v>
      </c>
      <c r="F93" s="10" t="s">
        <v>108</v>
      </c>
      <c r="G93" s="11">
        <v>0</v>
      </c>
      <c r="H93" s="11">
        <v>125.2</v>
      </c>
      <c r="I93" s="11">
        <f t="shared" si="2"/>
        <v>-130.86000000000001</v>
      </c>
      <c r="J93" s="12"/>
    </row>
    <row r="94" spans="1:10" x14ac:dyDescent="0.3">
      <c r="C94" s="8" t="s">
        <v>11</v>
      </c>
      <c r="D94" s="9">
        <v>45901</v>
      </c>
      <c r="E94" t="s">
        <v>16</v>
      </c>
      <c r="F94" s="10" t="s">
        <v>17</v>
      </c>
      <c r="G94" s="11">
        <v>5.66</v>
      </c>
      <c r="H94" s="11">
        <v>0</v>
      </c>
      <c r="I94" s="11">
        <f t="shared" si="2"/>
        <v>-125.20000000000002</v>
      </c>
      <c r="J94" s="12"/>
    </row>
    <row r="95" spans="1:10" x14ac:dyDescent="0.3">
      <c r="E95" s="4" t="s">
        <v>20</v>
      </c>
      <c r="G95" s="11">
        <f>SUM(G88:G94)</f>
        <v>303.28000000000003</v>
      </c>
      <c r="H95" s="11">
        <f>SUM(H88:H94)</f>
        <v>428.48</v>
      </c>
      <c r="I95" s="11">
        <f>G95-H95</f>
        <v>-125.19999999999999</v>
      </c>
    </row>
    <row r="97" spans="1:10" x14ac:dyDescent="0.3">
      <c r="A97" s="5">
        <v>4000022</v>
      </c>
      <c r="B97" s="6" t="s">
        <v>109</v>
      </c>
      <c r="C97" s="7"/>
      <c r="D97" s="7"/>
      <c r="E97" s="7"/>
      <c r="F97" s="7"/>
      <c r="G97" s="7"/>
      <c r="H97" s="7"/>
      <c r="I97" s="7"/>
      <c r="J97" s="7"/>
    </row>
    <row r="98" spans="1:10" x14ac:dyDescent="0.3">
      <c r="E98" s="4" t="s">
        <v>22</v>
      </c>
      <c r="G98" s="11">
        <v>0</v>
      </c>
      <c r="H98" s="11">
        <v>531.65</v>
      </c>
      <c r="I98" s="11">
        <f>G98-H98</f>
        <v>-531.65</v>
      </c>
    </row>
    <row r="99" spans="1:10" x14ac:dyDescent="0.3">
      <c r="C99" s="8" t="s">
        <v>11</v>
      </c>
      <c r="D99" s="9">
        <v>45703</v>
      </c>
      <c r="E99" t="s">
        <v>110</v>
      </c>
      <c r="F99" s="10" t="s">
        <v>111</v>
      </c>
      <c r="G99" s="11">
        <v>0</v>
      </c>
      <c r="H99" s="11">
        <v>296.87</v>
      </c>
      <c r="I99" s="11">
        <f t="shared" ref="I99:I110" si="3">G99-H99+I98</f>
        <v>-828.52</v>
      </c>
      <c r="J99" s="12"/>
    </row>
    <row r="100" spans="1:10" x14ac:dyDescent="0.3">
      <c r="C100" s="8" t="s">
        <v>11</v>
      </c>
      <c r="D100" s="9">
        <v>45713</v>
      </c>
      <c r="E100" t="s">
        <v>25</v>
      </c>
      <c r="F100" s="10" t="s">
        <v>17</v>
      </c>
      <c r="G100" s="11">
        <v>531.65</v>
      </c>
      <c r="H100" s="11">
        <v>0</v>
      </c>
      <c r="I100" s="11">
        <f t="shared" si="3"/>
        <v>-296.87</v>
      </c>
      <c r="J100" s="12">
        <v>5720001</v>
      </c>
    </row>
    <row r="101" spans="1:10" x14ac:dyDescent="0.3">
      <c r="C101" s="8" t="s">
        <v>11</v>
      </c>
      <c r="D101" s="9">
        <v>45772</v>
      </c>
      <c r="E101" t="s">
        <v>25</v>
      </c>
      <c r="F101" s="10" t="s">
        <v>17</v>
      </c>
      <c r="G101" s="11">
        <v>296.87</v>
      </c>
      <c r="H101" s="11">
        <v>0</v>
      </c>
      <c r="I101" s="11">
        <f t="shared" si="3"/>
        <v>0</v>
      </c>
      <c r="J101" s="12">
        <v>5720001</v>
      </c>
    </row>
    <row r="102" spans="1:10" x14ac:dyDescent="0.3">
      <c r="C102" s="8" t="s">
        <v>11</v>
      </c>
      <c r="D102" s="9">
        <v>45792</v>
      </c>
      <c r="E102" t="s">
        <v>112</v>
      </c>
      <c r="F102" s="10" t="s">
        <v>113</v>
      </c>
      <c r="G102" s="11">
        <v>0</v>
      </c>
      <c r="H102" s="11">
        <v>389.78</v>
      </c>
      <c r="I102" s="11">
        <f t="shared" si="3"/>
        <v>-389.78</v>
      </c>
      <c r="J102" s="12"/>
    </row>
    <row r="103" spans="1:10" x14ac:dyDescent="0.3">
      <c r="C103" s="8" t="s">
        <v>11</v>
      </c>
      <c r="D103" s="9">
        <v>45807</v>
      </c>
      <c r="E103" t="s">
        <v>114</v>
      </c>
      <c r="F103" s="10" t="s">
        <v>115</v>
      </c>
      <c r="G103" s="11">
        <v>0</v>
      </c>
      <c r="H103" s="11">
        <v>222.88</v>
      </c>
      <c r="I103" s="11">
        <f t="shared" si="3"/>
        <v>-612.66</v>
      </c>
      <c r="J103" s="12"/>
    </row>
    <row r="104" spans="1:10" x14ac:dyDescent="0.3">
      <c r="C104" s="8" t="s">
        <v>11</v>
      </c>
      <c r="D104" s="9">
        <v>45818</v>
      </c>
      <c r="E104" t="s">
        <v>116</v>
      </c>
      <c r="F104" s="10" t="s">
        <v>117</v>
      </c>
      <c r="G104" s="11">
        <v>0</v>
      </c>
      <c r="H104" s="11">
        <v>1901.38</v>
      </c>
      <c r="I104" s="11">
        <f t="shared" si="3"/>
        <v>-2514.04</v>
      </c>
      <c r="J104" s="12"/>
    </row>
    <row r="105" spans="1:10" x14ac:dyDescent="0.3">
      <c r="C105" s="8" t="s">
        <v>11</v>
      </c>
      <c r="D105" s="9">
        <v>45828</v>
      </c>
      <c r="E105" t="s">
        <v>118</v>
      </c>
      <c r="F105" s="10" t="s">
        <v>119</v>
      </c>
      <c r="G105" s="11">
        <v>0</v>
      </c>
      <c r="H105" s="11">
        <v>366.68</v>
      </c>
      <c r="I105" s="11">
        <f t="shared" si="3"/>
        <v>-2880.72</v>
      </c>
      <c r="J105" s="12"/>
    </row>
    <row r="106" spans="1:10" x14ac:dyDescent="0.3">
      <c r="C106" s="8"/>
      <c r="D106" s="9">
        <v>45853</v>
      </c>
      <c r="E106" t="s">
        <v>120</v>
      </c>
      <c r="F106" s="10" t="s">
        <v>121</v>
      </c>
      <c r="G106" s="11">
        <v>0</v>
      </c>
      <c r="H106" s="11">
        <v>3813.65</v>
      </c>
      <c r="I106" s="11">
        <f t="shared" si="3"/>
        <v>-6694.37</v>
      </c>
      <c r="J106" s="12"/>
    </row>
    <row r="107" spans="1:10" x14ac:dyDescent="0.3">
      <c r="C107" s="8" t="s">
        <v>11</v>
      </c>
      <c r="D107" s="9">
        <v>45863</v>
      </c>
      <c r="E107" t="s">
        <v>25</v>
      </c>
      <c r="F107" s="10" t="s">
        <v>17</v>
      </c>
      <c r="G107" s="11">
        <v>389.78</v>
      </c>
      <c r="H107" s="11">
        <v>0</v>
      </c>
      <c r="I107" s="11">
        <f t="shared" si="3"/>
        <v>-6304.59</v>
      </c>
      <c r="J107" s="12">
        <v>5720001</v>
      </c>
    </row>
    <row r="108" spans="1:10" x14ac:dyDescent="0.3">
      <c r="C108" s="8" t="s">
        <v>11</v>
      </c>
      <c r="D108" s="9">
        <v>45894</v>
      </c>
      <c r="E108" t="s">
        <v>25</v>
      </c>
      <c r="F108" s="10" t="s">
        <v>17</v>
      </c>
      <c r="G108" s="11">
        <v>222.88</v>
      </c>
      <c r="H108" s="11">
        <v>0</v>
      </c>
      <c r="I108" s="11">
        <f t="shared" si="3"/>
        <v>-6081.71</v>
      </c>
      <c r="J108" s="12">
        <v>5720001</v>
      </c>
    </row>
    <row r="109" spans="1:10" x14ac:dyDescent="0.3">
      <c r="C109" s="8" t="s">
        <v>11</v>
      </c>
      <c r="D109" s="9">
        <v>45894</v>
      </c>
      <c r="E109" t="s">
        <v>25</v>
      </c>
      <c r="F109" s="10" t="s">
        <v>17</v>
      </c>
      <c r="G109" s="11">
        <v>1901.38</v>
      </c>
      <c r="H109" s="11">
        <v>0</v>
      </c>
      <c r="I109" s="11">
        <f t="shared" si="3"/>
        <v>-4180.33</v>
      </c>
      <c r="J109" s="12">
        <v>5720001</v>
      </c>
    </row>
    <row r="110" spans="1:10" x14ac:dyDescent="0.3">
      <c r="C110" s="8" t="s">
        <v>11</v>
      </c>
      <c r="D110" s="9">
        <v>45894</v>
      </c>
      <c r="E110" t="s">
        <v>25</v>
      </c>
      <c r="F110" s="10" t="s">
        <v>17</v>
      </c>
      <c r="G110" s="11">
        <v>366.68</v>
      </c>
      <c r="H110" s="11">
        <v>0</v>
      </c>
      <c r="I110" s="11">
        <f t="shared" si="3"/>
        <v>-3813.65</v>
      </c>
      <c r="J110" s="12">
        <v>5720001</v>
      </c>
    </row>
    <row r="111" spans="1:10" x14ac:dyDescent="0.3">
      <c r="E111" s="4" t="s">
        <v>20</v>
      </c>
      <c r="G111" s="11">
        <f>SUM(G98:G110)</f>
        <v>3709.24</v>
      </c>
      <c r="H111" s="11">
        <f>SUM(H98:H110)</f>
        <v>7522.8899999999994</v>
      </c>
      <c r="I111" s="11">
        <f>G111-H111</f>
        <v>-3813.6499999999996</v>
      </c>
    </row>
    <row r="113" spans="1:10" x14ac:dyDescent="0.3">
      <c r="A113" s="5">
        <v>4000047</v>
      </c>
      <c r="B113" s="6" t="s">
        <v>122</v>
      </c>
      <c r="C113" s="7"/>
      <c r="D113" s="7"/>
      <c r="E113" s="7"/>
      <c r="F113" s="7"/>
      <c r="G113" s="7"/>
      <c r="H113" s="7"/>
      <c r="I113" s="7"/>
      <c r="J113" s="7"/>
    </row>
    <row r="114" spans="1:10" x14ac:dyDescent="0.3">
      <c r="E114" s="4" t="s">
        <v>22</v>
      </c>
      <c r="G114" s="11">
        <v>0</v>
      </c>
      <c r="H114" s="11">
        <v>145.19999999999999</v>
      </c>
      <c r="I114" s="11">
        <f>G114-H114</f>
        <v>-145.19999999999999</v>
      </c>
    </row>
    <row r="115" spans="1:10" x14ac:dyDescent="0.3">
      <c r="C115" s="8" t="s">
        <v>11</v>
      </c>
      <c r="D115" s="9">
        <v>45682</v>
      </c>
      <c r="E115" t="s">
        <v>123</v>
      </c>
      <c r="F115" s="10" t="s">
        <v>124</v>
      </c>
      <c r="G115" s="11">
        <v>0</v>
      </c>
      <c r="H115" s="11">
        <v>90.75</v>
      </c>
      <c r="I115" s="11">
        <f t="shared" ref="I115:I123" si="4">G115-H115+I114</f>
        <v>-235.95</v>
      </c>
      <c r="J115" s="12"/>
    </row>
    <row r="116" spans="1:10" x14ac:dyDescent="0.3">
      <c r="C116" s="8" t="s">
        <v>11</v>
      </c>
      <c r="D116" s="9">
        <v>45684</v>
      </c>
      <c r="E116" t="s">
        <v>25</v>
      </c>
      <c r="F116" s="10" t="s">
        <v>17</v>
      </c>
      <c r="G116" s="11">
        <v>42.35</v>
      </c>
      <c r="H116" s="11">
        <v>0</v>
      </c>
      <c r="I116" s="11">
        <f t="shared" si="4"/>
        <v>-193.6</v>
      </c>
      <c r="J116" s="12">
        <v>5720001</v>
      </c>
    </row>
    <row r="117" spans="1:10" x14ac:dyDescent="0.3">
      <c r="C117" s="8" t="s">
        <v>11</v>
      </c>
      <c r="D117" s="9">
        <v>45713</v>
      </c>
      <c r="E117" t="s">
        <v>125</v>
      </c>
      <c r="F117" s="10" t="s">
        <v>126</v>
      </c>
      <c r="G117" s="11">
        <v>0</v>
      </c>
      <c r="H117" s="11">
        <v>72.599999999999994</v>
      </c>
      <c r="I117" s="11">
        <f t="shared" si="4"/>
        <v>-266.2</v>
      </c>
      <c r="J117" s="12"/>
    </row>
    <row r="118" spans="1:10" x14ac:dyDescent="0.3">
      <c r="C118" s="8" t="s">
        <v>11</v>
      </c>
      <c r="D118" s="9">
        <v>45713</v>
      </c>
      <c r="E118" t="s">
        <v>25</v>
      </c>
      <c r="F118" s="10" t="s">
        <v>17</v>
      </c>
      <c r="G118" s="11">
        <v>102.85</v>
      </c>
      <c r="H118" s="11">
        <v>0</v>
      </c>
      <c r="I118" s="11">
        <f t="shared" si="4"/>
        <v>-163.35</v>
      </c>
      <c r="J118" s="12">
        <v>5720001</v>
      </c>
    </row>
    <row r="119" spans="1:10" x14ac:dyDescent="0.3">
      <c r="C119" s="8" t="s">
        <v>11</v>
      </c>
      <c r="D119" s="9">
        <v>45741</v>
      </c>
      <c r="E119" t="s">
        <v>25</v>
      </c>
      <c r="F119" s="10" t="s">
        <v>17</v>
      </c>
      <c r="G119" s="11">
        <v>90.75</v>
      </c>
      <c r="H119" s="11">
        <v>0</v>
      </c>
      <c r="I119" s="11">
        <f t="shared" si="4"/>
        <v>-72.599999999999994</v>
      </c>
      <c r="J119" s="12">
        <v>5720001</v>
      </c>
    </row>
    <row r="120" spans="1:10" x14ac:dyDescent="0.3">
      <c r="C120" s="8" t="s">
        <v>11</v>
      </c>
      <c r="D120" s="9">
        <v>45772</v>
      </c>
      <c r="E120" t="s">
        <v>25</v>
      </c>
      <c r="F120" s="10" t="s">
        <v>17</v>
      </c>
      <c r="G120" s="11">
        <v>72.599999999999994</v>
      </c>
      <c r="H120" s="11">
        <v>0</v>
      </c>
      <c r="I120" s="11">
        <f t="shared" si="4"/>
        <v>0</v>
      </c>
      <c r="J120" s="12">
        <v>5720001</v>
      </c>
    </row>
    <row r="121" spans="1:10" x14ac:dyDescent="0.3">
      <c r="C121" s="8" t="s">
        <v>11</v>
      </c>
      <c r="D121" s="9">
        <v>45802</v>
      </c>
      <c r="E121" t="s">
        <v>127</v>
      </c>
      <c r="F121" s="10" t="s">
        <v>128</v>
      </c>
      <c r="G121" s="11">
        <v>0</v>
      </c>
      <c r="H121" s="11">
        <v>84.7</v>
      </c>
      <c r="I121" s="11">
        <f t="shared" si="4"/>
        <v>-84.7</v>
      </c>
      <c r="J121" s="12"/>
    </row>
    <row r="122" spans="1:10" x14ac:dyDescent="0.3">
      <c r="C122" s="8"/>
      <c r="D122" s="9">
        <v>45863</v>
      </c>
      <c r="E122" t="s">
        <v>129</v>
      </c>
      <c r="F122" s="10" t="s">
        <v>130</v>
      </c>
      <c r="G122" s="11">
        <v>0</v>
      </c>
      <c r="H122" s="11">
        <v>338.8</v>
      </c>
      <c r="I122" s="11">
        <f t="shared" si="4"/>
        <v>-423.5</v>
      </c>
      <c r="J122" s="12"/>
    </row>
    <row r="123" spans="1:10" x14ac:dyDescent="0.3">
      <c r="C123" s="8" t="s">
        <v>11</v>
      </c>
      <c r="D123" s="9">
        <v>45863</v>
      </c>
      <c r="E123" t="s">
        <v>25</v>
      </c>
      <c r="F123" s="10" t="s">
        <v>17</v>
      </c>
      <c r="G123" s="11">
        <v>84.7</v>
      </c>
      <c r="H123" s="11">
        <v>0</v>
      </c>
      <c r="I123" s="11">
        <f t="shared" si="4"/>
        <v>-338.8</v>
      </c>
      <c r="J123" s="12">
        <v>5720001</v>
      </c>
    </row>
    <row r="124" spans="1:10" x14ac:dyDescent="0.3">
      <c r="E124" s="4" t="s">
        <v>20</v>
      </c>
      <c r="G124" s="11">
        <f>SUM(G114:G123)</f>
        <v>393.24999999999994</v>
      </c>
      <c r="H124" s="11">
        <f>SUM(H114:H123)</f>
        <v>732.05</v>
      </c>
      <c r="I124" s="11">
        <f>G124-H124</f>
        <v>-338.8</v>
      </c>
    </row>
    <row r="126" spans="1:10" x14ac:dyDescent="0.3">
      <c r="A126" s="5">
        <v>4000049</v>
      </c>
      <c r="B126" s="6" t="s">
        <v>131</v>
      </c>
      <c r="C126" s="7"/>
      <c r="D126" s="7"/>
      <c r="E126" s="7"/>
      <c r="F126" s="7"/>
      <c r="G126" s="7"/>
      <c r="H126" s="7"/>
      <c r="I126" s="7"/>
      <c r="J126" s="7"/>
    </row>
    <row r="127" spans="1:10" x14ac:dyDescent="0.3">
      <c r="E127" s="4" t="s">
        <v>22</v>
      </c>
      <c r="G127" s="11">
        <v>0</v>
      </c>
      <c r="H127" s="11">
        <v>2713.72</v>
      </c>
      <c r="I127" s="11">
        <f>G127-H127</f>
        <v>-2713.72</v>
      </c>
    </row>
    <row r="128" spans="1:10" x14ac:dyDescent="0.3">
      <c r="C128" s="8" t="s">
        <v>11</v>
      </c>
      <c r="D128" s="9">
        <v>45659</v>
      </c>
      <c r="E128" t="s">
        <v>16</v>
      </c>
      <c r="F128" s="10" t="s">
        <v>17</v>
      </c>
      <c r="G128" s="11">
        <v>812.29</v>
      </c>
      <c r="H128" s="11">
        <v>0</v>
      </c>
      <c r="I128" s="11">
        <f t="shared" ref="I128:I140" si="5">G128-H128+I127</f>
        <v>-1901.4299999999998</v>
      </c>
      <c r="J128" s="12"/>
    </row>
    <row r="129" spans="1:10" x14ac:dyDescent="0.3">
      <c r="C129" s="8" t="s">
        <v>11</v>
      </c>
      <c r="D129" s="9">
        <v>45686</v>
      </c>
      <c r="E129" t="s">
        <v>16</v>
      </c>
      <c r="F129" s="10" t="s">
        <v>17</v>
      </c>
      <c r="G129" s="11">
        <v>801.43</v>
      </c>
      <c r="H129" s="11">
        <v>0</v>
      </c>
      <c r="I129" s="11">
        <f t="shared" si="5"/>
        <v>-1100</v>
      </c>
      <c r="J129" s="12"/>
    </row>
    <row r="130" spans="1:10" x14ac:dyDescent="0.3">
      <c r="C130" s="8" t="s">
        <v>11</v>
      </c>
      <c r="D130" s="9">
        <v>45688</v>
      </c>
      <c r="E130" t="s">
        <v>132</v>
      </c>
      <c r="F130" s="10" t="s">
        <v>133</v>
      </c>
      <c r="G130" s="11">
        <v>0</v>
      </c>
      <c r="H130" s="11">
        <v>339.04</v>
      </c>
      <c r="I130" s="11">
        <f t="shared" si="5"/>
        <v>-1439.04</v>
      </c>
      <c r="J130" s="12"/>
    </row>
    <row r="131" spans="1:10" x14ac:dyDescent="0.3">
      <c r="C131" s="8" t="s">
        <v>11</v>
      </c>
      <c r="D131" s="9">
        <v>45716</v>
      </c>
      <c r="E131" t="s">
        <v>16</v>
      </c>
      <c r="F131" s="10" t="s">
        <v>17</v>
      </c>
      <c r="G131" s="11">
        <v>751.71</v>
      </c>
      <c r="H131" s="11">
        <v>0</v>
      </c>
      <c r="I131" s="11">
        <f t="shared" si="5"/>
        <v>-687.32999999999993</v>
      </c>
      <c r="J131" s="12"/>
    </row>
    <row r="132" spans="1:10" x14ac:dyDescent="0.3">
      <c r="C132" s="8" t="s">
        <v>11</v>
      </c>
      <c r="D132" s="9">
        <v>45731</v>
      </c>
      <c r="E132" t="s">
        <v>134</v>
      </c>
      <c r="F132" s="10" t="s">
        <v>135</v>
      </c>
      <c r="G132" s="11">
        <v>0</v>
      </c>
      <c r="H132" s="11">
        <v>366.81</v>
      </c>
      <c r="I132" s="11">
        <f t="shared" si="5"/>
        <v>-1054.1399999999999</v>
      </c>
      <c r="J132" s="12"/>
    </row>
    <row r="133" spans="1:10" x14ac:dyDescent="0.3">
      <c r="C133" s="8" t="s">
        <v>11</v>
      </c>
      <c r="D133" s="9">
        <v>45743</v>
      </c>
      <c r="E133" t="s">
        <v>16</v>
      </c>
      <c r="F133" s="10" t="s">
        <v>17</v>
      </c>
      <c r="G133" s="11">
        <v>348.29</v>
      </c>
      <c r="H133" s="11">
        <v>0</v>
      </c>
      <c r="I133" s="11">
        <f t="shared" si="5"/>
        <v>-705.84999999999991</v>
      </c>
      <c r="J133" s="12"/>
    </row>
    <row r="134" spans="1:10" x14ac:dyDescent="0.3">
      <c r="C134" s="8" t="s">
        <v>11</v>
      </c>
      <c r="D134" s="9">
        <v>45762</v>
      </c>
      <c r="E134" t="s">
        <v>136</v>
      </c>
      <c r="F134" s="10" t="s">
        <v>137</v>
      </c>
      <c r="G134" s="11">
        <v>0</v>
      </c>
      <c r="H134" s="11">
        <v>846</v>
      </c>
      <c r="I134" s="11">
        <f t="shared" si="5"/>
        <v>-1551.85</v>
      </c>
      <c r="J134" s="12"/>
    </row>
    <row r="135" spans="1:10" x14ac:dyDescent="0.3">
      <c r="C135" s="8" t="s">
        <v>11</v>
      </c>
      <c r="D135" s="9">
        <v>45776</v>
      </c>
      <c r="E135" t="s">
        <v>16</v>
      </c>
      <c r="F135" s="10" t="s">
        <v>17</v>
      </c>
      <c r="G135" s="11">
        <v>339.04</v>
      </c>
      <c r="H135" s="11">
        <v>0</v>
      </c>
      <c r="I135" s="11">
        <f t="shared" si="5"/>
        <v>-1212.81</v>
      </c>
      <c r="J135" s="12"/>
    </row>
    <row r="136" spans="1:10" x14ac:dyDescent="0.3">
      <c r="C136" s="8" t="s">
        <v>11</v>
      </c>
      <c r="D136" s="9">
        <v>45803</v>
      </c>
      <c r="E136" t="s">
        <v>16</v>
      </c>
      <c r="F136" s="10" t="s">
        <v>17</v>
      </c>
      <c r="G136" s="11">
        <v>366.81</v>
      </c>
      <c r="H136" s="11">
        <v>0</v>
      </c>
      <c r="I136" s="11">
        <f t="shared" si="5"/>
        <v>-846</v>
      </c>
      <c r="J136" s="12"/>
    </row>
    <row r="137" spans="1:10" x14ac:dyDescent="0.3">
      <c r="C137" s="8" t="s">
        <v>11</v>
      </c>
      <c r="D137" s="9">
        <v>45834</v>
      </c>
      <c r="E137" t="s">
        <v>16</v>
      </c>
      <c r="F137" s="10" t="s">
        <v>17</v>
      </c>
      <c r="G137" s="11">
        <v>846</v>
      </c>
      <c r="H137" s="11">
        <v>0</v>
      </c>
      <c r="I137" s="11">
        <f t="shared" si="5"/>
        <v>0</v>
      </c>
      <c r="J137" s="12"/>
    </row>
    <row r="138" spans="1:10" x14ac:dyDescent="0.3">
      <c r="C138" s="8"/>
      <c r="D138" s="9">
        <v>45838</v>
      </c>
      <c r="E138" t="s">
        <v>138</v>
      </c>
      <c r="F138" s="10" t="s">
        <v>139</v>
      </c>
      <c r="G138" s="11">
        <v>0</v>
      </c>
      <c r="H138" s="11">
        <v>169.8</v>
      </c>
      <c r="I138" s="11">
        <f t="shared" si="5"/>
        <v>-169.8</v>
      </c>
      <c r="J138" s="12"/>
    </row>
    <row r="139" spans="1:10" x14ac:dyDescent="0.3">
      <c r="C139" s="8"/>
      <c r="D139" s="9">
        <v>45884</v>
      </c>
      <c r="E139" t="s">
        <v>140</v>
      </c>
      <c r="F139" s="10" t="s">
        <v>141</v>
      </c>
      <c r="G139" s="11">
        <v>0</v>
      </c>
      <c r="H139" s="11">
        <v>268.31</v>
      </c>
      <c r="I139" s="11">
        <f t="shared" si="5"/>
        <v>-438.11</v>
      </c>
      <c r="J139" s="12"/>
    </row>
    <row r="140" spans="1:10" x14ac:dyDescent="0.3">
      <c r="C140" s="8"/>
      <c r="D140" s="9">
        <v>45899</v>
      </c>
      <c r="E140" t="s">
        <v>142</v>
      </c>
      <c r="F140" s="10" t="s">
        <v>143</v>
      </c>
      <c r="G140" s="11">
        <v>0</v>
      </c>
      <c r="H140" s="11">
        <v>1375.18</v>
      </c>
      <c r="I140" s="11">
        <f t="shared" si="5"/>
        <v>-1813.29</v>
      </c>
      <c r="J140" s="12"/>
    </row>
    <row r="141" spans="1:10" x14ac:dyDescent="0.3">
      <c r="E141" s="4" t="s">
        <v>20</v>
      </c>
      <c r="G141" s="11">
        <f>SUM(G127:G140)</f>
        <v>4265.57</v>
      </c>
      <c r="H141" s="11">
        <f>SUM(H127:H140)</f>
        <v>6078.8600000000006</v>
      </c>
      <c r="I141" s="11">
        <f>G141-H141</f>
        <v>-1813.2900000000009</v>
      </c>
    </row>
    <row r="143" spans="1:10" x14ac:dyDescent="0.3">
      <c r="A143" s="5">
        <v>4000055</v>
      </c>
      <c r="B143" s="6" t="s">
        <v>144</v>
      </c>
      <c r="C143" s="7"/>
      <c r="D143" s="7"/>
      <c r="E143" s="7"/>
      <c r="F143" s="7"/>
      <c r="G143" s="7"/>
      <c r="H143" s="7"/>
      <c r="I143" s="7"/>
      <c r="J143" s="7"/>
    </row>
    <row r="144" spans="1:10" x14ac:dyDescent="0.3">
      <c r="E144" s="4" t="s">
        <v>22</v>
      </c>
      <c r="G144" s="11">
        <v>0</v>
      </c>
      <c r="H144" s="11">
        <v>5312.06</v>
      </c>
      <c r="I144" s="11">
        <f>G144-H144</f>
        <v>-5312.06</v>
      </c>
    </row>
    <row r="145" spans="3:10" x14ac:dyDescent="0.3">
      <c r="C145" s="8" t="s">
        <v>11</v>
      </c>
      <c r="D145" s="9">
        <v>45659</v>
      </c>
      <c r="E145" t="s">
        <v>16</v>
      </c>
      <c r="F145" s="10" t="s">
        <v>17</v>
      </c>
      <c r="G145" s="11">
        <v>1571.66</v>
      </c>
      <c r="H145" s="11">
        <v>0</v>
      </c>
      <c r="I145" s="11">
        <f t="shared" ref="I145:I171" si="6">G145-H145+I144</f>
        <v>-3740.4000000000005</v>
      </c>
      <c r="J145" s="12"/>
    </row>
    <row r="146" spans="3:10" x14ac:dyDescent="0.3">
      <c r="C146" s="8" t="s">
        <v>11</v>
      </c>
      <c r="D146" s="9">
        <v>45659</v>
      </c>
      <c r="E146" t="s">
        <v>145</v>
      </c>
      <c r="F146" s="10" t="s">
        <v>17</v>
      </c>
      <c r="G146" s="11">
        <v>316.27</v>
      </c>
      <c r="H146" s="11">
        <v>0</v>
      </c>
      <c r="I146" s="11">
        <f t="shared" si="6"/>
        <v>-3424.1300000000006</v>
      </c>
      <c r="J146" s="12">
        <v>4000055</v>
      </c>
    </row>
    <row r="147" spans="3:10" x14ac:dyDescent="0.3">
      <c r="C147" s="8" t="s">
        <v>11</v>
      </c>
      <c r="D147" s="9">
        <v>45659</v>
      </c>
      <c r="E147" t="s">
        <v>146</v>
      </c>
      <c r="F147" s="10" t="s">
        <v>147</v>
      </c>
      <c r="G147" s="11">
        <v>0</v>
      </c>
      <c r="H147" s="11">
        <v>316.27</v>
      </c>
      <c r="I147" s="11">
        <f t="shared" si="6"/>
        <v>-3740.4000000000005</v>
      </c>
      <c r="J147" s="12">
        <v>4000055</v>
      </c>
    </row>
    <row r="148" spans="3:10" x14ac:dyDescent="0.3">
      <c r="C148" s="8" t="s">
        <v>11</v>
      </c>
      <c r="D148" s="9">
        <v>45672</v>
      </c>
      <c r="E148" t="s">
        <v>148</v>
      </c>
      <c r="F148" s="10" t="s">
        <v>149</v>
      </c>
      <c r="G148" s="11">
        <v>0</v>
      </c>
      <c r="H148" s="11">
        <v>286.76</v>
      </c>
      <c r="I148" s="11">
        <f t="shared" si="6"/>
        <v>-4027.1600000000008</v>
      </c>
      <c r="J148" s="12"/>
    </row>
    <row r="149" spans="3:10" x14ac:dyDescent="0.3">
      <c r="C149" s="8" t="s">
        <v>11</v>
      </c>
      <c r="D149" s="9">
        <v>45686</v>
      </c>
      <c r="E149" t="s">
        <v>16</v>
      </c>
      <c r="F149" s="10" t="s">
        <v>17</v>
      </c>
      <c r="G149" s="11">
        <v>1810.39</v>
      </c>
      <c r="H149" s="11">
        <v>0</v>
      </c>
      <c r="I149" s="11">
        <f t="shared" si="6"/>
        <v>-2216.7700000000004</v>
      </c>
      <c r="J149" s="12"/>
    </row>
    <row r="150" spans="3:10" x14ac:dyDescent="0.3">
      <c r="C150" s="8" t="s">
        <v>11</v>
      </c>
      <c r="D150" s="9">
        <v>45688</v>
      </c>
      <c r="E150" t="s">
        <v>150</v>
      </c>
      <c r="F150" s="10" t="s">
        <v>151</v>
      </c>
      <c r="G150" s="11">
        <v>0</v>
      </c>
      <c r="H150" s="11">
        <v>1277.01</v>
      </c>
      <c r="I150" s="11">
        <f t="shared" si="6"/>
        <v>-3493.7800000000007</v>
      </c>
      <c r="J150" s="12"/>
    </row>
    <row r="151" spans="3:10" x14ac:dyDescent="0.3">
      <c r="C151" s="8" t="s">
        <v>11</v>
      </c>
      <c r="D151" s="9">
        <v>45702</v>
      </c>
      <c r="E151" t="s">
        <v>152</v>
      </c>
      <c r="F151" s="10" t="s">
        <v>153</v>
      </c>
      <c r="G151" s="11">
        <v>0</v>
      </c>
      <c r="H151" s="11">
        <v>437.83</v>
      </c>
      <c r="I151" s="11">
        <f t="shared" si="6"/>
        <v>-3931.6100000000006</v>
      </c>
      <c r="J151" s="12"/>
    </row>
    <row r="152" spans="3:10" x14ac:dyDescent="0.3">
      <c r="C152" s="8" t="s">
        <v>11</v>
      </c>
      <c r="D152" s="9">
        <v>45716</v>
      </c>
      <c r="E152" t="s">
        <v>154</v>
      </c>
      <c r="F152" s="10" t="s">
        <v>155</v>
      </c>
      <c r="G152" s="11">
        <v>0</v>
      </c>
      <c r="H152" s="11">
        <v>298.8</v>
      </c>
      <c r="I152" s="11">
        <f t="shared" si="6"/>
        <v>-4230.4100000000008</v>
      </c>
      <c r="J152" s="12"/>
    </row>
    <row r="153" spans="3:10" x14ac:dyDescent="0.3">
      <c r="C153" s="8" t="s">
        <v>11</v>
      </c>
      <c r="D153" s="9">
        <v>45716</v>
      </c>
      <c r="E153" t="s">
        <v>16</v>
      </c>
      <c r="F153" s="10" t="s">
        <v>17</v>
      </c>
      <c r="G153" s="11">
        <v>1613.74</v>
      </c>
      <c r="H153" s="11">
        <v>0</v>
      </c>
      <c r="I153" s="11">
        <f t="shared" si="6"/>
        <v>-2616.670000000001</v>
      </c>
      <c r="J153" s="12"/>
    </row>
    <row r="154" spans="3:10" x14ac:dyDescent="0.3">
      <c r="C154" s="8" t="s">
        <v>11</v>
      </c>
      <c r="D154" s="9">
        <v>45730</v>
      </c>
      <c r="E154" t="s">
        <v>156</v>
      </c>
      <c r="F154" s="10" t="s">
        <v>157</v>
      </c>
      <c r="G154" s="11">
        <v>0</v>
      </c>
      <c r="H154" s="11">
        <v>1252.6600000000001</v>
      </c>
      <c r="I154" s="11">
        <f t="shared" si="6"/>
        <v>-3869.3300000000008</v>
      </c>
      <c r="J154" s="12"/>
    </row>
    <row r="155" spans="3:10" x14ac:dyDescent="0.3">
      <c r="C155" s="8" t="s">
        <v>11</v>
      </c>
      <c r="D155" s="9">
        <v>45743</v>
      </c>
      <c r="E155" t="s">
        <v>16</v>
      </c>
      <c r="F155" s="10" t="s">
        <v>17</v>
      </c>
      <c r="G155" s="11">
        <v>603.03</v>
      </c>
      <c r="H155" s="11">
        <v>0</v>
      </c>
      <c r="I155" s="11">
        <f t="shared" si="6"/>
        <v>-3266.3000000000011</v>
      </c>
      <c r="J155" s="12"/>
    </row>
    <row r="156" spans="3:10" x14ac:dyDescent="0.3">
      <c r="C156" s="8" t="s">
        <v>11</v>
      </c>
      <c r="D156" s="9">
        <v>45747</v>
      </c>
      <c r="E156" t="s">
        <v>158</v>
      </c>
      <c r="F156" s="10" t="s">
        <v>159</v>
      </c>
      <c r="G156" s="11">
        <v>0</v>
      </c>
      <c r="H156" s="11">
        <v>964.27</v>
      </c>
      <c r="I156" s="11">
        <f t="shared" si="6"/>
        <v>-4230.5700000000015</v>
      </c>
      <c r="J156" s="12"/>
    </row>
    <row r="157" spans="3:10" x14ac:dyDescent="0.3">
      <c r="C157" s="8" t="s">
        <v>11</v>
      </c>
      <c r="D157" s="9">
        <v>45762</v>
      </c>
      <c r="E157" t="s">
        <v>160</v>
      </c>
      <c r="F157" s="10" t="s">
        <v>161</v>
      </c>
      <c r="G157" s="11">
        <v>0</v>
      </c>
      <c r="H157" s="11">
        <v>1377.62</v>
      </c>
      <c r="I157" s="11">
        <f t="shared" si="6"/>
        <v>-5608.1900000000014</v>
      </c>
      <c r="J157" s="12"/>
    </row>
    <row r="158" spans="3:10" x14ac:dyDescent="0.3">
      <c r="C158" s="8" t="s">
        <v>11</v>
      </c>
      <c r="D158" s="9">
        <v>45776</v>
      </c>
      <c r="E158" t="s">
        <v>16</v>
      </c>
      <c r="F158" s="10" t="s">
        <v>17</v>
      </c>
      <c r="G158" s="11">
        <v>1714.84</v>
      </c>
      <c r="H158" s="11">
        <v>0</v>
      </c>
      <c r="I158" s="11">
        <f t="shared" si="6"/>
        <v>-3893.3500000000013</v>
      </c>
      <c r="J158" s="12"/>
    </row>
    <row r="159" spans="3:10" x14ac:dyDescent="0.3">
      <c r="C159" s="8" t="s">
        <v>11</v>
      </c>
      <c r="D159" s="9">
        <v>45777</v>
      </c>
      <c r="E159" t="s">
        <v>162</v>
      </c>
      <c r="F159" s="10" t="s">
        <v>163</v>
      </c>
      <c r="G159" s="11">
        <v>0</v>
      </c>
      <c r="H159" s="11">
        <v>552.69000000000005</v>
      </c>
      <c r="I159" s="11">
        <f t="shared" si="6"/>
        <v>-4446.0400000000009</v>
      </c>
      <c r="J159" s="12"/>
    </row>
    <row r="160" spans="3:10" x14ac:dyDescent="0.3">
      <c r="C160" s="8" t="s">
        <v>11</v>
      </c>
      <c r="D160" s="9">
        <v>45792</v>
      </c>
      <c r="E160" t="s">
        <v>164</v>
      </c>
      <c r="F160" s="10" t="s">
        <v>165</v>
      </c>
      <c r="G160" s="11">
        <v>0</v>
      </c>
      <c r="H160" s="11">
        <v>342.39</v>
      </c>
      <c r="I160" s="11">
        <f t="shared" si="6"/>
        <v>-4788.4300000000012</v>
      </c>
      <c r="J160" s="12"/>
    </row>
    <row r="161" spans="1:10" x14ac:dyDescent="0.3">
      <c r="C161" s="8" t="s">
        <v>11</v>
      </c>
      <c r="D161" s="9">
        <v>45803</v>
      </c>
      <c r="E161" t="s">
        <v>16</v>
      </c>
      <c r="F161" s="10" t="s">
        <v>17</v>
      </c>
      <c r="G161" s="11">
        <v>1551.46</v>
      </c>
      <c r="H161" s="11">
        <v>0</v>
      </c>
      <c r="I161" s="11">
        <f t="shared" si="6"/>
        <v>-3236.9700000000012</v>
      </c>
      <c r="J161" s="12"/>
    </row>
    <row r="162" spans="1:10" x14ac:dyDescent="0.3">
      <c r="C162" s="8" t="s">
        <v>11</v>
      </c>
      <c r="D162" s="9">
        <v>45807</v>
      </c>
      <c r="E162" t="s">
        <v>166</v>
      </c>
      <c r="F162" s="10" t="s">
        <v>167</v>
      </c>
      <c r="G162" s="11">
        <v>0</v>
      </c>
      <c r="H162" s="11">
        <v>905.9</v>
      </c>
      <c r="I162" s="11">
        <f t="shared" si="6"/>
        <v>-4142.8700000000008</v>
      </c>
      <c r="J162" s="12"/>
    </row>
    <row r="163" spans="1:10" x14ac:dyDescent="0.3">
      <c r="C163" s="8" t="s">
        <v>11</v>
      </c>
      <c r="D163" s="9">
        <v>45821</v>
      </c>
      <c r="E163" t="s">
        <v>168</v>
      </c>
      <c r="F163" s="10" t="s">
        <v>169</v>
      </c>
      <c r="G163" s="11">
        <v>0</v>
      </c>
      <c r="H163" s="11">
        <v>1349.03</v>
      </c>
      <c r="I163" s="11">
        <f t="shared" si="6"/>
        <v>-5491.9000000000005</v>
      </c>
      <c r="J163" s="12"/>
    </row>
    <row r="164" spans="1:10" x14ac:dyDescent="0.3">
      <c r="C164" s="8" t="s">
        <v>11</v>
      </c>
      <c r="D164" s="9">
        <v>45834</v>
      </c>
      <c r="E164" t="s">
        <v>16</v>
      </c>
      <c r="F164" s="10" t="s">
        <v>17</v>
      </c>
      <c r="G164" s="11">
        <v>2341.89</v>
      </c>
      <c r="H164" s="11">
        <v>0</v>
      </c>
      <c r="I164" s="11">
        <f t="shared" si="6"/>
        <v>-3150.0100000000007</v>
      </c>
      <c r="J164" s="12"/>
    </row>
    <row r="165" spans="1:10" x14ac:dyDescent="0.3">
      <c r="C165" s="8"/>
      <c r="D165" s="9">
        <v>45838</v>
      </c>
      <c r="E165" t="s">
        <v>170</v>
      </c>
      <c r="F165" s="10" t="s">
        <v>171</v>
      </c>
      <c r="G165" s="11">
        <v>0</v>
      </c>
      <c r="H165" s="11">
        <v>936.13</v>
      </c>
      <c r="I165" s="11">
        <f t="shared" si="6"/>
        <v>-4086.1400000000008</v>
      </c>
      <c r="J165" s="12"/>
    </row>
    <row r="166" spans="1:10" x14ac:dyDescent="0.3">
      <c r="C166" s="8"/>
      <c r="D166" s="9">
        <v>45853</v>
      </c>
      <c r="E166" t="s">
        <v>172</v>
      </c>
      <c r="F166" s="10" t="s">
        <v>173</v>
      </c>
      <c r="G166" s="11">
        <v>0</v>
      </c>
      <c r="H166" s="11">
        <v>1241.3599999999999</v>
      </c>
      <c r="I166" s="11">
        <f t="shared" si="6"/>
        <v>-5327.5000000000009</v>
      </c>
      <c r="J166" s="12"/>
    </row>
    <row r="167" spans="1:10" x14ac:dyDescent="0.3">
      <c r="C167" s="8" t="s">
        <v>11</v>
      </c>
      <c r="D167" s="9">
        <v>45863</v>
      </c>
      <c r="E167" t="s">
        <v>16</v>
      </c>
      <c r="F167" s="10" t="s">
        <v>17</v>
      </c>
      <c r="G167" s="11">
        <v>895.08</v>
      </c>
      <c r="H167" s="11">
        <v>0</v>
      </c>
      <c r="I167" s="11">
        <f t="shared" si="6"/>
        <v>-4432.420000000001</v>
      </c>
      <c r="J167" s="12"/>
    </row>
    <row r="168" spans="1:10" x14ac:dyDescent="0.3">
      <c r="C168" s="8"/>
      <c r="D168" s="9">
        <v>45869</v>
      </c>
      <c r="E168" t="s">
        <v>174</v>
      </c>
      <c r="F168" s="10" t="s">
        <v>175</v>
      </c>
      <c r="G168" s="11">
        <v>0</v>
      </c>
      <c r="H168" s="11">
        <v>968.47</v>
      </c>
      <c r="I168" s="11">
        <f t="shared" si="6"/>
        <v>-5400.8900000000012</v>
      </c>
      <c r="J168" s="12"/>
    </row>
    <row r="169" spans="1:10" x14ac:dyDescent="0.3">
      <c r="C169" s="8"/>
      <c r="D169" s="9">
        <v>45887</v>
      </c>
      <c r="E169" t="s">
        <v>176</v>
      </c>
      <c r="F169" s="10" t="s">
        <v>177</v>
      </c>
      <c r="G169" s="11">
        <v>0</v>
      </c>
      <c r="H169" s="11">
        <v>780.84</v>
      </c>
      <c r="I169" s="11">
        <f t="shared" si="6"/>
        <v>-6181.7300000000014</v>
      </c>
      <c r="J169" s="12"/>
    </row>
    <row r="170" spans="1:10" x14ac:dyDescent="0.3">
      <c r="C170" s="8"/>
      <c r="D170" s="9">
        <v>45898</v>
      </c>
      <c r="E170" t="s">
        <v>178</v>
      </c>
      <c r="F170" s="10" t="s">
        <v>179</v>
      </c>
      <c r="G170" s="11">
        <v>0</v>
      </c>
      <c r="H170" s="11">
        <v>125.92</v>
      </c>
      <c r="I170" s="11">
        <f t="shared" si="6"/>
        <v>-6307.6500000000015</v>
      </c>
      <c r="J170" s="12"/>
    </row>
    <row r="171" spans="1:10" x14ac:dyDescent="0.3">
      <c r="C171" s="8" t="s">
        <v>11</v>
      </c>
      <c r="D171" s="9">
        <v>45901</v>
      </c>
      <c r="E171" t="s">
        <v>16</v>
      </c>
      <c r="F171" s="10" t="s">
        <v>17</v>
      </c>
      <c r="G171" s="11">
        <v>2254.9299999999998</v>
      </c>
      <c r="H171" s="11">
        <v>0</v>
      </c>
      <c r="I171" s="11">
        <f t="shared" si="6"/>
        <v>-4052.7200000000016</v>
      </c>
      <c r="J171" s="12"/>
    </row>
    <row r="172" spans="1:10" x14ac:dyDescent="0.3">
      <c r="E172" s="4" t="s">
        <v>20</v>
      </c>
      <c r="G172" s="11">
        <f>SUM(G144:G171)</f>
        <v>14673.289999999999</v>
      </c>
      <c r="H172" s="11">
        <f>SUM(H144:H171)</f>
        <v>18726.010000000002</v>
      </c>
      <c r="I172" s="11">
        <f>G172-H172</f>
        <v>-4052.720000000003</v>
      </c>
    </row>
    <row r="174" spans="1:10" x14ac:dyDescent="0.3">
      <c r="A174" s="5">
        <v>4000058</v>
      </c>
      <c r="B174" s="6" t="s">
        <v>180</v>
      </c>
      <c r="C174" s="7"/>
      <c r="D174" s="7"/>
      <c r="E174" s="7"/>
      <c r="F174" s="7"/>
      <c r="G174" s="7"/>
      <c r="H174" s="7"/>
      <c r="I174" s="7"/>
      <c r="J174" s="7"/>
    </row>
    <row r="175" spans="1:10" x14ac:dyDescent="0.3">
      <c r="E175" s="4" t="s">
        <v>22</v>
      </c>
      <c r="G175" s="11">
        <v>0</v>
      </c>
      <c r="H175" s="11">
        <v>384.21</v>
      </c>
      <c r="I175" s="11">
        <f>G175-H175</f>
        <v>-384.21</v>
      </c>
    </row>
    <row r="176" spans="1:10" x14ac:dyDescent="0.3">
      <c r="C176" s="8" t="s">
        <v>11</v>
      </c>
      <c r="D176" s="9">
        <v>45691</v>
      </c>
      <c r="E176" t="s">
        <v>25</v>
      </c>
      <c r="F176" s="10" t="s">
        <v>17</v>
      </c>
      <c r="G176" s="11">
        <v>384.21</v>
      </c>
      <c r="H176" s="11">
        <v>0</v>
      </c>
      <c r="I176" s="11">
        <f>G176-H176+I175</f>
        <v>0</v>
      </c>
      <c r="J176" s="12">
        <v>5720001</v>
      </c>
    </row>
    <row r="177" spans="1:10" x14ac:dyDescent="0.3">
      <c r="C177" s="8"/>
      <c r="D177" s="9">
        <v>45855</v>
      </c>
      <c r="E177" t="s">
        <v>181</v>
      </c>
      <c r="F177" s="10" t="s">
        <v>182</v>
      </c>
      <c r="G177" s="11">
        <v>0</v>
      </c>
      <c r="H177" s="11">
        <v>1486.9</v>
      </c>
      <c r="I177" s="11">
        <f>G177-H177+I176</f>
        <v>-1486.9</v>
      </c>
      <c r="J177" s="12"/>
    </row>
    <row r="178" spans="1:10" x14ac:dyDescent="0.3">
      <c r="E178" s="4" t="s">
        <v>20</v>
      </c>
      <c r="G178" s="11">
        <f>SUM(G175:G177)</f>
        <v>384.21</v>
      </c>
      <c r="H178" s="11">
        <f>SUM(H175:H177)</f>
        <v>1871.1100000000001</v>
      </c>
      <c r="I178" s="11">
        <f>G178-H178</f>
        <v>-1486.9</v>
      </c>
    </row>
    <row r="180" spans="1:10" x14ac:dyDescent="0.3">
      <c r="A180" s="5">
        <v>4000069</v>
      </c>
      <c r="B180" s="6" t="s">
        <v>183</v>
      </c>
      <c r="C180" s="7"/>
      <c r="D180" s="7"/>
      <c r="E180" s="7"/>
      <c r="F180" s="7"/>
      <c r="G180" s="7"/>
      <c r="H180" s="7"/>
      <c r="I180" s="7"/>
      <c r="J180" s="7"/>
    </row>
    <row r="181" spans="1:10" x14ac:dyDescent="0.3">
      <c r="E181" s="4" t="s">
        <v>22</v>
      </c>
      <c r="G181" s="11">
        <v>0</v>
      </c>
      <c r="H181" s="11">
        <v>56.8</v>
      </c>
      <c r="I181" s="11">
        <f>G181-H181</f>
        <v>-56.8</v>
      </c>
    </row>
    <row r="182" spans="1:10" x14ac:dyDescent="0.3">
      <c r="C182" s="8" t="s">
        <v>11</v>
      </c>
      <c r="D182" s="9">
        <v>45659</v>
      </c>
      <c r="E182" t="s">
        <v>16</v>
      </c>
      <c r="F182" s="10" t="s">
        <v>17</v>
      </c>
      <c r="G182" s="11">
        <v>44.49</v>
      </c>
      <c r="H182" s="11">
        <v>0</v>
      </c>
      <c r="I182" s="11">
        <f t="shared" ref="I182:I192" si="7">G182-H182+I181</f>
        <v>-12.309999999999995</v>
      </c>
      <c r="J182" s="12"/>
    </row>
    <row r="183" spans="1:10" x14ac:dyDescent="0.3">
      <c r="C183" s="8" t="s">
        <v>11</v>
      </c>
      <c r="D183" s="9">
        <v>45686</v>
      </c>
      <c r="E183" t="s">
        <v>16</v>
      </c>
      <c r="F183" s="10" t="s">
        <v>17</v>
      </c>
      <c r="G183" s="11">
        <v>4.92</v>
      </c>
      <c r="H183" s="11">
        <v>0</v>
      </c>
      <c r="I183" s="11">
        <f t="shared" si="7"/>
        <v>-7.3899999999999952</v>
      </c>
      <c r="J183" s="12"/>
    </row>
    <row r="184" spans="1:10" x14ac:dyDescent="0.3">
      <c r="C184" s="8" t="s">
        <v>11</v>
      </c>
      <c r="D184" s="9">
        <v>45716</v>
      </c>
      <c r="E184" t="s">
        <v>184</v>
      </c>
      <c r="F184" s="10" t="s">
        <v>185</v>
      </c>
      <c r="G184" s="11">
        <v>0</v>
      </c>
      <c r="H184" s="11">
        <v>25.14</v>
      </c>
      <c r="I184" s="11">
        <f t="shared" si="7"/>
        <v>-32.529999999999994</v>
      </c>
      <c r="J184" s="12"/>
    </row>
    <row r="185" spans="1:10" x14ac:dyDescent="0.3">
      <c r="C185" s="8" t="s">
        <v>11</v>
      </c>
      <c r="D185" s="9">
        <v>45716</v>
      </c>
      <c r="E185" t="s">
        <v>16</v>
      </c>
      <c r="F185" s="10" t="s">
        <v>17</v>
      </c>
      <c r="G185" s="11">
        <v>7.39</v>
      </c>
      <c r="H185" s="11">
        <v>0</v>
      </c>
      <c r="I185" s="11">
        <f t="shared" si="7"/>
        <v>-25.139999999999993</v>
      </c>
      <c r="J185" s="12"/>
    </row>
    <row r="186" spans="1:10" x14ac:dyDescent="0.3">
      <c r="C186" s="8" t="s">
        <v>11</v>
      </c>
      <c r="D186" s="9">
        <v>45777</v>
      </c>
      <c r="E186" t="s">
        <v>186</v>
      </c>
      <c r="F186" s="10" t="s">
        <v>187</v>
      </c>
      <c r="G186" s="11">
        <v>0</v>
      </c>
      <c r="H186" s="11">
        <v>61.59</v>
      </c>
      <c r="I186" s="11">
        <f t="shared" si="7"/>
        <v>-86.72999999999999</v>
      </c>
      <c r="J186" s="12"/>
    </row>
    <row r="187" spans="1:10" x14ac:dyDescent="0.3">
      <c r="C187" s="8" t="s">
        <v>11</v>
      </c>
      <c r="D187" s="9">
        <v>45779</v>
      </c>
      <c r="E187" t="s">
        <v>188</v>
      </c>
      <c r="F187" s="10" t="s">
        <v>189</v>
      </c>
      <c r="G187" s="11">
        <v>0</v>
      </c>
      <c r="H187" s="11">
        <v>64.44</v>
      </c>
      <c r="I187" s="11">
        <f t="shared" si="7"/>
        <v>-151.16999999999999</v>
      </c>
      <c r="J187" s="12"/>
    </row>
    <row r="188" spans="1:10" x14ac:dyDescent="0.3">
      <c r="C188" s="8" t="s">
        <v>11</v>
      </c>
      <c r="D188" s="9">
        <v>45803</v>
      </c>
      <c r="E188" t="s">
        <v>16</v>
      </c>
      <c r="F188" s="10" t="s">
        <v>17</v>
      </c>
      <c r="G188" s="11">
        <v>25.14</v>
      </c>
      <c r="H188" s="11">
        <v>0</v>
      </c>
      <c r="I188" s="11">
        <f t="shared" si="7"/>
        <v>-126.02999999999999</v>
      </c>
      <c r="J188" s="12"/>
    </row>
    <row r="189" spans="1:10" x14ac:dyDescent="0.3">
      <c r="C189" s="8"/>
      <c r="D189" s="9">
        <v>45839</v>
      </c>
      <c r="E189" t="s">
        <v>190</v>
      </c>
      <c r="F189" s="10" t="s">
        <v>191</v>
      </c>
      <c r="G189" s="11">
        <v>0</v>
      </c>
      <c r="H189" s="11">
        <v>12.04</v>
      </c>
      <c r="I189" s="11">
        <f t="shared" si="7"/>
        <v>-138.07</v>
      </c>
      <c r="J189" s="12"/>
    </row>
    <row r="190" spans="1:10" x14ac:dyDescent="0.3">
      <c r="C190" s="8" t="s">
        <v>11</v>
      </c>
      <c r="D190" s="9">
        <v>45863</v>
      </c>
      <c r="E190" t="s">
        <v>16</v>
      </c>
      <c r="F190" s="10" t="s">
        <v>17</v>
      </c>
      <c r="G190" s="11">
        <v>126.03</v>
      </c>
      <c r="H190" s="11">
        <v>0</v>
      </c>
      <c r="I190" s="11">
        <f t="shared" si="7"/>
        <v>-12.039999999999992</v>
      </c>
      <c r="J190" s="12"/>
    </row>
    <row r="191" spans="1:10" x14ac:dyDescent="0.3">
      <c r="C191" s="8"/>
      <c r="D191" s="9">
        <v>45869</v>
      </c>
      <c r="E191" t="s">
        <v>192</v>
      </c>
      <c r="F191" s="10" t="s">
        <v>193</v>
      </c>
      <c r="G191" s="11">
        <v>0</v>
      </c>
      <c r="H191" s="11">
        <v>16.899999999999999</v>
      </c>
      <c r="I191" s="11">
        <f t="shared" si="7"/>
        <v>-28.939999999999991</v>
      </c>
      <c r="J191" s="12"/>
    </row>
    <row r="192" spans="1:10" x14ac:dyDescent="0.3">
      <c r="C192" s="8"/>
      <c r="D192" s="9">
        <v>45883</v>
      </c>
      <c r="E192" t="s">
        <v>194</v>
      </c>
      <c r="F192" s="10" t="s">
        <v>195</v>
      </c>
      <c r="G192" s="11">
        <v>0</v>
      </c>
      <c r="H192" s="11">
        <v>49.67</v>
      </c>
      <c r="I192" s="11">
        <f t="shared" si="7"/>
        <v>-78.609999999999985</v>
      </c>
      <c r="J192" s="12"/>
    </row>
    <row r="193" spans="1:10" x14ac:dyDescent="0.3">
      <c r="E193" s="4" t="s">
        <v>20</v>
      </c>
      <c r="G193" s="11">
        <f>SUM(G181:G192)</f>
        <v>207.97</v>
      </c>
      <c r="H193" s="11">
        <f>SUM(H181:H192)</f>
        <v>286.58</v>
      </c>
      <c r="I193" s="11">
        <f>G193-H193</f>
        <v>-78.609999999999985</v>
      </c>
    </row>
    <row r="195" spans="1:10" x14ac:dyDescent="0.3">
      <c r="A195" s="5">
        <v>4000078</v>
      </c>
      <c r="B195" s="6" t="s">
        <v>196</v>
      </c>
      <c r="C195" s="7"/>
      <c r="D195" s="7"/>
      <c r="E195" s="7"/>
      <c r="F195" s="7"/>
      <c r="G195" s="7"/>
      <c r="H195" s="7"/>
      <c r="I195" s="7"/>
      <c r="J195" s="7"/>
    </row>
    <row r="196" spans="1:10" x14ac:dyDescent="0.3">
      <c r="C196" s="8" t="s">
        <v>11</v>
      </c>
      <c r="D196" s="9">
        <v>45726</v>
      </c>
      <c r="E196" t="s">
        <v>197</v>
      </c>
      <c r="F196" s="10" t="s">
        <v>198</v>
      </c>
      <c r="G196" s="11">
        <v>0</v>
      </c>
      <c r="H196" s="11">
        <v>97.55</v>
      </c>
      <c r="I196" s="11">
        <f>G196-H196</f>
        <v>-97.55</v>
      </c>
      <c r="J196" s="12"/>
    </row>
    <row r="197" spans="1:10" x14ac:dyDescent="0.3">
      <c r="C197" s="8" t="s">
        <v>11</v>
      </c>
      <c r="D197" s="9">
        <v>45727</v>
      </c>
      <c r="E197" t="s">
        <v>199</v>
      </c>
      <c r="F197" s="10" t="s">
        <v>17</v>
      </c>
      <c r="G197" s="11">
        <v>97.55</v>
      </c>
      <c r="H197" s="11">
        <v>0</v>
      </c>
      <c r="I197" s="11">
        <f>G197-H197+I196</f>
        <v>0</v>
      </c>
      <c r="J197" s="12">
        <v>5720001</v>
      </c>
    </row>
    <row r="198" spans="1:10" x14ac:dyDescent="0.3">
      <c r="C198" s="8" t="s">
        <v>11</v>
      </c>
      <c r="D198" s="9">
        <v>45842</v>
      </c>
      <c r="E198" t="s">
        <v>200</v>
      </c>
      <c r="F198" s="10" t="s">
        <v>201</v>
      </c>
      <c r="G198" s="11">
        <v>0</v>
      </c>
      <c r="H198" s="11">
        <v>75.59</v>
      </c>
      <c r="I198" s="11">
        <f>G198-H198+I197</f>
        <v>-75.59</v>
      </c>
      <c r="J198" s="12"/>
    </row>
    <row r="199" spans="1:10" x14ac:dyDescent="0.3">
      <c r="C199" s="8" t="s">
        <v>11</v>
      </c>
      <c r="D199" s="9">
        <v>45845</v>
      </c>
      <c r="E199" t="s">
        <v>25</v>
      </c>
      <c r="F199" s="10" t="s">
        <v>17</v>
      </c>
      <c r="G199" s="11">
        <v>75.59</v>
      </c>
      <c r="H199" s="11">
        <v>0</v>
      </c>
      <c r="I199" s="11">
        <f>G199-H199+I198</f>
        <v>0</v>
      </c>
      <c r="J199" s="12">
        <v>5720001</v>
      </c>
    </row>
    <row r="200" spans="1:10" x14ac:dyDescent="0.3">
      <c r="C200" s="8"/>
      <c r="D200" s="9">
        <v>45911</v>
      </c>
      <c r="E200" t="s">
        <v>199</v>
      </c>
      <c r="F200" s="10" t="s">
        <v>17</v>
      </c>
      <c r="G200" s="11">
        <v>86.17</v>
      </c>
      <c r="H200" s="11">
        <v>0</v>
      </c>
      <c r="I200" s="11">
        <f>G200-H200+I199</f>
        <v>86.17</v>
      </c>
      <c r="J200" s="12">
        <v>5720001</v>
      </c>
    </row>
    <row r="201" spans="1:10" x14ac:dyDescent="0.3">
      <c r="E201" s="4" t="s">
        <v>20</v>
      </c>
      <c r="G201" s="11">
        <f>SUM(G196:G200)</f>
        <v>259.31</v>
      </c>
      <c r="H201" s="11">
        <f>SUM(H196:H200)</f>
        <v>173.14</v>
      </c>
      <c r="I201" s="11">
        <f>G201-H201</f>
        <v>86.170000000000016</v>
      </c>
    </row>
    <row r="203" spans="1:10" x14ac:dyDescent="0.3">
      <c r="A203" s="5">
        <v>4000079</v>
      </c>
      <c r="B203" s="6" t="s">
        <v>202</v>
      </c>
      <c r="C203" s="7"/>
      <c r="D203" s="7"/>
      <c r="E203" s="7"/>
      <c r="F203" s="7"/>
      <c r="G203" s="7"/>
      <c r="H203" s="7"/>
      <c r="I203" s="7"/>
      <c r="J203" s="7"/>
    </row>
    <row r="204" spans="1:10" x14ac:dyDescent="0.3">
      <c r="E204" s="4" t="s">
        <v>22</v>
      </c>
      <c r="G204" s="11">
        <v>130.06</v>
      </c>
      <c r="H204" s="11">
        <v>0</v>
      </c>
      <c r="I204" s="11">
        <f>G204-H204</f>
        <v>130.06</v>
      </c>
    </row>
    <row r="205" spans="1:10" x14ac:dyDescent="0.3">
      <c r="C205" s="8" t="s">
        <v>11</v>
      </c>
      <c r="D205" s="9">
        <v>45659</v>
      </c>
      <c r="E205" t="s">
        <v>203</v>
      </c>
      <c r="F205" s="10" t="s">
        <v>204</v>
      </c>
      <c r="G205" s="11">
        <v>0</v>
      </c>
      <c r="H205" s="11">
        <v>130.06</v>
      </c>
      <c r="I205" s="11">
        <f t="shared" ref="I205:I222" si="8">G205-H205+I204</f>
        <v>0</v>
      </c>
      <c r="J205" s="12"/>
    </row>
    <row r="206" spans="1:10" x14ac:dyDescent="0.3">
      <c r="C206" s="8" t="s">
        <v>11</v>
      </c>
      <c r="D206" s="9">
        <v>45670</v>
      </c>
      <c r="E206" t="s">
        <v>205</v>
      </c>
      <c r="F206" s="10" t="s">
        <v>206</v>
      </c>
      <c r="G206" s="11">
        <v>0</v>
      </c>
      <c r="H206" s="11">
        <v>130.05000000000001</v>
      </c>
      <c r="I206" s="11">
        <f t="shared" si="8"/>
        <v>-130.05000000000001</v>
      </c>
      <c r="J206" s="12"/>
    </row>
    <row r="207" spans="1:10" x14ac:dyDescent="0.3">
      <c r="C207" s="8" t="s">
        <v>11</v>
      </c>
      <c r="D207" s="9">
        <v>45670</v>
      </c>
      <c r="E207" t="s">
        <v>25</v>
      </c>
      <c r="F207" s="10" t="s">
        <v>17</v>
      </c>
      <c r="G207" s="11">
        <v>130.05000000000001</v>
      </c>
      <c r="H207" s="11">
        <v>0</v>
      </c>
      <c r="I207" s="11">
        <f t="shared" si="8"/>
        <v>0</v>
      </c>
      <c r="J207" s="12">
        <v>5720001</v>
      </c>
    </row>
    <row r="208" spans="1:10" x14ac:dyDescent="0.3">
      <c r="C208" s="8" t="s">
        <v>11</v>
      </c>
      <c r="D208" s="9">
        <v>45701</v>
      </c>
      <c r="E208" t="s">
        <v>207</v>
      </c>
      <c r="F208" s="10" t="s">
        <v>208</v>
      </c>
      <c r="G208" s="11">
        <v>0</v>
      </c>
      <c r="H208" s="11">
        <v>132.04</v>
      </c>
      <c r="I208" s="11">
        <f t="shared" si="8"/>
        <v>-132.04</v>
      </c>
      <c r="J208" s="12"/>
    </row>
    <row r="209" spans="3:10" x14ac:dyDescent="0.3">
      <c r="C209" s="8" t="s">
        <v>11</v>
      </c>
      <c r="D209" s="9">
        <v>45701</v>
      </c>
      <c r="E209" t="s">
        <v>25</v>
      </c>
      <c r="F209" s="10" t="s">
        <v>17</v>
      </c>
      <c r="G209" s="11">
        <v>132.04</v>
      </c>
      <c r="H209" s="11">
        <v>0</v>
      </c>
      <c r="I209" s="11">
        <f t="shared" si="8"/>
        <v>0</v>
      </c>
      <c r="J209" s="12">
        <v>5720001</v>
      </c>
    </row>
    <row r="210" spans="3:10" x14ac:dyDescent="0.3">
      <c r="C210" s="8" t="s">
        <v>11</v>
      </c>
      <c r="D210" s="9">
        <v>45729</v>
      </c>
      <c r="E210" t="s">
        <v>209</v>
      </c>
      <c r="F210" s="10" t="s">
        <v>17</v>
      </c>
      <c r="G210" s="11">
        <v>133.68</v>
      </c>
      <c r="H210" s="11">
        <v>0</v>
      </c>
      <c r="I210" s="11">
        <f t="shared" si="8"/>
        <v>133.68</v>
      </c>
      <c r="J210" s="12">
        <v>5720001</v>
      </c>
    </row>
    <row r="211" spans="3:10" x14ac:dyDescent="0.3">
      <c r="C211" s="8" t="s">
        <v>11</v>
      </c>
      <c r="D211" s="9">
        <v>45729</v>
      </c>
      <c r="E211" t="s">
        <v>210</v>
      </c>
      <c r="F211" s="10" t="s">
        <v>211</v>
      </c>
      <c r="G211" s="11">
        <v>0</v>
      </c>
      <c r="H211" s="11">
        <v>133.68</v>
      </c>
      <c r="I211" s="11">
        <f t="shared" si="8"/>
        <v>0</v>
      </c>
      <c r="J211" s="12"/>
    </row>
    <row r="212" spans="3:10" x14ac:dyDescent="0.3">
      <c r="C212" s="8" t="s">
        <v>11</v>
      </c>
      <c r="D212" s="9">
        <v>45760</v>
      </c>
      <c r="E212" t="s">
        <v>212</v>
      </c>
      <c r="F212" s="10" t="s">
        <v>213</v>
      </c>
      <c r="G212" s="11">
        <v>0</v>
      </c>
      <c r="H212" s="11">
        <v>151.68</v>
      </c>
      <c r="I212" s="11">
        <f t="shared" si="8"/>
        <v>-151.68</v>
      </c>
      <c r="J212" s="12"/>
    </row>
    <row r="213" spans="3:10" x14ac:dyDescent="0.3">
      <c r="C213" s="8" t="s">
        <v>11</v>
      </c>
      <c r="D213" s="9">
        <v>45761</v>
      </c>
      <c r="E213" t="s">
        <v>25</v>
      </c>
      <c r="F213" s="10" t="s">
        <v>17</v>
      </c>
      <c r="G213" s="11">
        <v>151.68</v>
      </c>
      <c r="H213" s="11">
        <v>0</v>
      </c>
      <c r="I213" s="11">
        <f t="shared" si="8"/>
        <v>0</v>
      </c>
      <c r="J213" s="12">
        <v>5720001</v>
      </c>
    </row>
    <row r="214" spans="3:10" x14ac:dyDescent="0.3">
      <c r="C214" s="8" t="s">
        <v>11</v>
      </c>
      <c r="D214" s="9">
        <v>45790</v>
      </c>
      <c r="E214" t="s">
        <v>209</v>
      </c>
      <c r="F214" s="10" t="s">
        <v>17</v>
      </c>
      <c r="G214" s="11">
        <v>133.68</v>
      </c>
      <c r="H214" s="11">
        <v>0</v>
      </c>
      <c r="I214" s="11">
        <f t="shared" si="8"/>
        <v>133.68</v>
      </c>
      <c r="J214" s="12">
        <v>5720001</v>
      </c>
    </row>
    <row r="215" spans="3:10" x14ac:dyDescent="0.3">
      <c r="C215" s="8" t="s">
        <v>11</v>
      </c>
      <c r="D215" s="9">
        <v>45790</v>
      </c>
      <c r="E215" t="s">
        <v>214</v>
      </c>
      <c r="F215" s="10" t="s">
        <v>215</v>
      </c>
      <c r="G215" s="11">
        <v>0</v>
      </c>
      <c r="H215" s="11">
        <v>133.68</v>
      </c>
      <c r="I215" s="11">
        <f t="shared" si="8"/>
        <v>0</v>
      </c>
      <c r="J215" s="12"/>
    </row>
    <row r="216" spans="3:10" x14ac:dyDescent="0.3">
      <c r="C216" s="8" t="s">
        <v>11</v>
      </c>
      <c r="D216" s="9">
        <v>45821</v>
      </c>
      <c r="E216" t="s">
        <v>216</v>
      </c>
      <c r="F216" s="10" t="s">
        <v>217</v>
      </c>
      <c r="G216" s="11">
        <v>0</v>
      </c>
      <c r="H216" s="11">
        <v>133.68</v>
      </c>
      <c r="I216" s="11">
        <f t="shared" si="8"/>
        <v>-133.68</v>
      </c>
      <c r="J216" s="12"/>
    </row>
    <row r="217" spans="3:10" x14ac:dyDescent="0.3">
      <c r="C217" s="8" t="s">
        <v>11</v>
      </c>
      <c r="D217" s="9">
        <v>45821</v>
      </c>
      <c r="E217" t="s">
        <v>209</v>
      </c>
      <c r="F217" s="10" t="s">
        <v>17</v>
      </c>
      <c r="G217" s="11">
        <v>133.68</v>
      </c>
      <c r="H217" s="11">
        <v>0</v>
      </c>
      <c r="I217" s="11">
        <f t="shared" si="8"/>
        <v>0</v>
      </c>
      <c r="J217" s="12">
        <v>5720001</v>
      </c>
    </row>
    <row r="218" spans="3:10" x14ac:dyDescent="0.3">
      <c r="C218" s="8" t="s">
        <v>11</v>
      </c>
      <c r="D218" s="9">
        <v>45851</v>
      </c>
      <c r="E218" t="s">
        <v>218</v>
      </c>
      <c r="F218" s="10" t="s">
        <v>219</v>
      </c>
      <c r="G218" s="11">
        <v>0</v>
      </c>
      <c r="H218" s="11">
        <v>133.68</v>
      </c>
      <c r="I218" s="11">
        <f t="shared" si="8"/>
        <v>-133.68</v>
      </c>
      <c r="J218" s="12"/>
    </row>
    <row r="219" spans="3:10" x14ac:dyDescent="0.3">
      <c r="C219" s="8" t="s">
        <v>11</v>
      </c>
      <c r="D219" s="9">
        <v>45852</v>
      </c>
      <c r="E219" t="s">
        <v>209</v>
      </c>
      <c r="F219" s="10" t="s">
        <v>17</v>
      </c>
      <c r="G219" s="11">
        <v>133.68</v>
      </c>
      <c r="H219" s="11">
        <v>0</v>
      </c>
      <c r="I219" s="11">
        <f t="shared" si="8"/>
        <v>0</v>
      </c>
      <c r="J219" s="12">
        <v>5720001</v>
      </c>
    </row>
    <row r="220" spans="3:10" x14ac:dyDescent="0.3">
      <c r="C220" s="8" t="s">
        <v>11</v>
      </c>
      <c r="D220" s="9">
        <v>45882</v>
      </c>
      <c r="E220" t="s">
        <v>220</v>
      </c>
      <c r="F220" s="10" t="s">
        <v>221</v>
      </c>
      <c r="G220" s="11">
        <v>0</v>
      </c>
      <c r="H220" s="11">
        <v>86.69</v>
      </c>
      <c r="I220" s="11">
        <f t="shared" si="8"/>
        <v>-86.69</v>
      </c>
      <c r="J220" s="12"/>
    </row>
    <row r="221" spans="3:10" x14ac:dyDescent="0.3">
      <c r="C221" s="8" t="s">
        <v>11</v>
      </c>
      <c r="D221" s="9">
        <v>45882</v>
      </c>
      <c r="E221" t="s">
        <v>209</v>
      </c>
      <c r="F221" s="10" t="s">
        <v>17</v>
      </c>
      <c r="G221" s="11">
        <v>86.69</v>
      </c>
      <c r="H221" s="11">
        <v>0</v>
      </c>
      <c r="I221" s="11">
        <f t="shared" si="8"/>
        <v>0</v>
      </c>
      <c r="J221" s="12">
        <v>5720001</v>
      </c>
    </row>
    <row r="222" spans="3:10" x14ac:dyDescent="0.3">
      <c r="C222" s="8"/>
      <c r="D222" s="9">
        <v>45915</v>
      </c>
      <c r="E222" t="s">
        <v>25</v>
      </c>
      <c r="F222" s="10" t="s">
        <v>17</v>
      </c>
      <c r="G222" s="11">
        <v>66.55</v>
      </c>
      <c r="H222" s="11">
        <v>0</v>
      </c>
      <c r="I222" s="11">
        <f t="shared" si="8"/>
        <v>66.55</v>
      </c>
      <c r="J222" s="12">
        <v>5720001</v>
      </c>
    </row>
    <row r="223" spans="3:10" x14ac:dyDescent="0.3">
      <c r="E223" s="4" t="s">
        <v>20</v>
      </c>
      <c r="G223" s="11">
        <f>SUM(G204:G222)</f>
        <v>1231.7900000000002</v>
      </c>
      <c r="H223" s="11">
        <f>SUM(H204:H222)</f>
        <v>1165.2400000000002</v>
      </c>
      <c r="I223" s="11">
        <f>G223-H223</f>
        <v>66.549999999999955</v>
      </c>
    </row>
    <row r="225" spans="1:10" x14ac:dyDescent="0.3">
      <c r="A225" s="5">
        <v>4000085</v>
      </c>
      <c r="B225" s="6" t="s">
        <v>222</v>
      </c>
      <c r="C225" s="7"/>
      <c r="D225" s="7"/>
      <c r="E225" s="7"/>
      <c r="F225" s="7"/>
      <c r="G225" s="7"/>
      <c r="H225" s="7"/>
      <c r="I225" s="7"/>
      <c r="J225" s="7"/>
    </row>
    <row r="226" spans="1:10" x14ac:dyDescent="0.3">
      <c r="E226" s="4" t="s">
        <v>22</v>
      </c>
      <c r="G226" s="11">
        <v>0</v>
      </c>
      <c r="H226" s="11">
        <v>9427.6299999999992</v>
      </c>
      <c r="I226" s="11">
        <f>G226-H226</f>
        <v>-9427.6299999999992</v>
      </c>
    </row>
    <row r="227" spans="1:10" x14ac:dyDescent="0.3">
      <c r="C227" s="8" t="s">
        <v>11</v>
      </c>
      <c r="D227" s="9">
        <v>45659</v>
      </c>
      <c r="E227" t="s">
        <v>16</v>
      </c>
      <c r="F227" s="10" t="s">
        <v>17</v>
      </c>
      <c r="G227" s="11">
        <v>5261.91</v>
      </c>
      <c r="H227" s="11">
        <v>0</v>
      </c>
      <c r="I227" s="11">
        <f t="shared" ref="I227:I261" si="9">G227-H227+I226</f>
        <v>-4165.7199999999993</v>
      </c>
      <c r="J227" s="12"/>
    </row>
    <row r="228" spans="1:10" x14ac:dyDescent="0.3">
      <c r="C228" s="8" t="s">
        <v>11</v>
      </c>
      <c r="D228" s="9">
        <v>45681</v>
      </c>
      <c r="E228" t="s">
        <v>223</v>
      </c>
      <c r="F228" s="10" t="s">
        <v>224</v>
      </c>
      <c r="G228" s="11">
        <v>0</v>
      </c>
      <c r="H228" s="11">
        <v>108.74</v>
      </c>
      <c r="I228" s="11">
        <f t="shared" si="9"/>
        <v>-4274.4599999999991</v>
      </c>
      <c r="J228" s="12"/>
    </row>
    <row r="229" spans="1:10" x14ac:dyDescent="0.3">
      <c r="C229" s="8" t="s">
        <v>11</v>
      </c>
      <c r="D229" s="9">
        <v>45686</v>
      </c>
      <c r="E229" t="s">
        <v>16</v>
      </c>
      <c r="F229" s="10" t="s">
        <v>17</v>
      </c>
      <c r="G229" s="11">
        <v>1250.1400000000001</v>
      </c>
      <c r="H229" s="11">
        <v>0</v>
      </c>
      <c r="I229" s="11">
        <f t="shared" si="9"/>
        <v>-3024.3199999999988</v>
      </c>
      <c r="J229" s="12"/>
    </row>
    <row r="230" spans="1:10" x14ac:dyDescent="0.3">
      <c r="C230" s="8" t="s">
        <v>11</v>
      </c>
      <c r="D230" s="9">
        <v>45694</v>
      </c>
      <c r="E230" t="s">
        <v>225</v>
      </c>
      <c r="F230" s="10" t="s">
        <v>226</v>
      </c>
      <c r="G230" s="11">
        <v>0</v>
      </c>
      <c r="H230" s="11">
        <v>80.2</v>
      </c>
      <c r="I230" s="11">
        <f t="shared" si="9"/>
        <v>-3104.5199999999986</v>
      </c>
      <c r="J230" s="12"/>
    </row>
    <row r="231" spans="1:10" x14ac:dyDescent="0.3">
      <c r="C231" s="8" t="s">
        <v>11</v>
      </c>
      <c r="D231" s="9">
        <v>45698</v>
      </c>
      <c r="E231" t="s">
        <v>227</v>
      </c>
      <c r="F231" s="10" t="s">
        <v>228</v>
      </c>
      <c r="G231" s="11">
        <v>0</v>
      </c>
      <c r="H231" s="11">
        <v>167.16</v>
      </c>
      <c r="I231" s="11">
        <f t="shared" si="9"/>
        <v>-3271.6799999999985</v>
      </c>
      <c r="J231" s="12"/>
    </row>
    <row r="232" spans="1:10" x14ac:dyDescent="0.3">
      <c r="C232" s="8" t="s">
        <v>11</v>
      </c>
      <c r="D232" s="9">
        <v>45712</v>
      </c>
      <c r="E232" t="s">
        <v>229</v>
      </c>
      <c r="F232" s="10" t="s">
        <v>230</v>
      </c>
      <c r="G232" s="11">
        <v>0</v>
      </c>
      <c r="H232" s="11">
        <v>168.41</v>
      </c>
      <c r="I232" s="11">
        <f t="shared" si="9"/>
        <v>-3440.0899999999983</v>
      </c>
      <c r="J232" s="12"/>
    </row>
    <row r="233" spans="1:10" x14ac:dyDescent="0.3">
      <c r="C233" s="8" t="s">
        <v>11</v>
      </c>
      <c r="D233" s="9">
        <v>45714</v>
      </c>
      <c r="E233" t="s">
        <v>231</v>
      </c>
      <c r="F233" s="10" t="s">
        <v>232</v>
      </c>
      <c r="G233" s="11">
        <v>0</v>
      </c>
      <c r="H233" s="11">
        <v>83.14</v>
      </c>
      <c r="I233" s="11">
        <f t="shared" si="9"/>
        <v>-3523.2299999999982</v>
      </c>
      <c r="J233" s="12"/>
    </row>
    <row r="234" spans="1:10" x14ac:dyDescent="0.3">
      <c r="C234" s="8" t="s">
        <v>11</v>
      </c>
      <c r="D234" s="9">
        <v>45716</v>
      </c>
      <c r="E234" t="s">
        <v>16</v>
      </c>
      <c r="F234" s="10" t="s">
        <v>17</v>
      </c>
      <c r="G234" s="11">
        <v>2915.58</v>
      </c>
      <c r="H234" s="11">
        <v>0</v>
      </c>
      <c r="I234" s="11">
        <f t="shared" si="9"/>
        <v>-607.64999999999827</v>
      </c>
      <c r="J234" s="12"/>
    </row>
    <row r="235" spans="1:10" x14ac:dyDescent="0.3">
      <c r="C235" s="8" t="s">
        <v>11</v>
      </c>
      <c r="D235" s="9">
        <v>45721</v>
      </c>
      <c r="E235" t="s">
        <v>233</v>
      </c>
      <c r="F235" s="10" t="s">
        <v>234</v>
      </c>
      <c r="G235" s="11">
        <v>0</v>
      </c>
      <c r="H235" s="11">
        <v>159.51</v>
      </c>
      <c r="I235" s="11">
        <f t="shared" si="9"/>
        <v>-767.15999999999826</v>
      </c>
      <c r="J235" s="12"/>
    </row>
    <row r="236" spans="1:10" x14ac:dyDescent="0.3">
      <c r="C236" s="8" t="s">
        <v>11</v>
      </c>
      <c r="D236" s="9">
        <v>45723</v>
      </c>
      <c r="E236" t="s">
        <v>235</v>
      </c>
      <c r="F236" s="10" t="s">
        <v>236</v>
      </c>
      <c r="G236" s="11">
        <v>0</v>
      </c>
      <c r="H236" s="11">
        <v>177.34</v>
      </c>
      <c r="I236" s="11">
        <f t="shared" si="9"/>
        <v>-944.49999999999829</v>
      </c>
      <c r="J236" s="12"/>
    </row>
    <row r="237" spans="1:10" x14ac:dyDescent="0.3">
      <c r="C237" s="8" t="s">
        <v>11</v>
      </c>
      <c r="D237" s="9">
        <v>45728</v>
      </c>
      <c r="E237" t="s">
        <v>237</v>
      </c>
      <c r="F237" s="10" t="s">
        <v>238</v>
      </c>
      <c r="G237" s="11">
        <v>0</v>
      </c>
      <c r="H237" s="11">
        <v>72.239999999999995</v>
      </c>
      <c r="I237" s="11">
        <f t="shared" si="9"/>
        <v>-1016.7399999999983</v>
      </c>
      <c r="J237" s="12"/>
    </row>
    <row r="238" spans="1:10" x14ac:dyDescent="0.3">
      <c r="C238" s="8" t="s">
        <v>11</v>
      </c>
      <c r="D238" s="9">
        <v>45737</v>
      </c>
      <c r="E238" t="s">
        <v>239</v>
      </c>
      <c r="F238" s="10" t="s">
        <v>240</v>
      </c>
      <c r="G238" s="11">
        <v>0</v>
      </c>
      <c r="H238" s="11">
        <v>718.74</v>
      </c>
      <c r="I238" s="11">
        <f t="shared" si="9"/>
        <v>-1735.4799999999982</v>
      </c>
      <c r="J238" s="12"/>
    </row>
    <row r="239" spans="1:10" x14ac:dyDescent="0.3">
      <c r="C239" s="8" t="s">
        <v>11</v>
      </c>
      <c r="D239" s="9">
        <v>45740</v>
      </c>
      <c r="E239" t="s">
        <v>241</v>
      </c>
      <c r="F239" s="10" t="s">
        <v>242</v>
      </c>
      <c r="G239" s="11">
        <v>0</v>
      </c>
      <c r="H239" s="11">
        <v>334.89</v>
      </c>
      <c r="I239" s="11">
        <f t="shared" si="9"/>
        <v>-2070.3699999999981</v>
      </c>
      <c r="J239" s="12"/>
    </row>
    <row r="240" spans="1:10" x14ac:dyDescent="0.3">
      <c r="C240" s="8" t="s">
        <v>11</v>
      </c>
      <c r="D240" s="9">
        <v>45743</v>
      </c>
      <c r="E240" t="s">
        <v>243</v>
      </c>
      <c r="F240" s="10" t="s">
        <v>244</v>
      </c>
      <c r="G240" s="11">
        <v>0</v>
      </c>
      <c r="H240" s="11">
        <v>205.39</v>
      </c>
      <c r="I240" s="11">
        <f t="shared" si="9"/>
        <v>-2275.7599999999979</v>
      </c>
      <c r="J240" s="12"/>
    </row>
    <row r="241" spans="3:10" x14ac:dyDescent="0.3">
      <c r="C241" s="8" t="s">
        <v>11</v>
      </c>
      <c r="D241" s="9">
        <v>45743</v>
      </c>
      <c r="E241" t="s">
        <v>16</v>
      </c>
      <c r="F241" s="10" t="s">
        <v>17</v>
      </c>
      <c r="G241" s="11">
        <v>108.74</v>
      </c>
      <c r="H241" s="11">
        <v>0</v>
      </c>
      <c r="I241" s="11">
        <f t="shared" si="9"/>
        <v>-2167.0199999999982</v>
      </c>
      <c r="J241" s="12"/>
    </row>
    <row r="242" spans="3:10" x14ac:dyDescent="0.3">
      <c r="C242" s="8" t="s">
        <v>11</v>
      </c>
      <c r="D242" s="9">
        <v>45747</v>
      </c>
      <c r="E242" t="s">
        <v>245</v>
      </c>
      <c r="F242" s="10" t="s">
        <v>246</v>
      </c>
      <c r="G242" s="11">
        <v>0</v>
      </c>
      <c r="H242" s="11">
        <v>2049.67</v>
      </c>
      <c r="I242" s="11">
        <f t="shared" si="9"/>
        <v>-4216.6899999999987</v>
      </c>
      <c r="J242" s="12"/>
    </row>
    <row r="243" spans="3:10" x14ac:dyDescent="0.3">
      <c r="C243" s="8"/>
      <c r="D243" s="9">
        <v>45749</v>
      </c>
      <c r="E243" t="s">
        <v>247</v>
      </c>
      <c r="F243" s="10" t="s">
        <v>248</v>
      </c>
      <c r="G243" s="11">
        <v>0</v>
      </c>
      <c r="H243" s="11">
        <v>9726.5400000000009</v>
      </c>
      <c r="I243" s="11">
        <f t="shared" si="9"/>
        <v>-13943.23</v>
      </c>
      <c r="J243" s="12"/>
    </row>
    <row r="244" spans="3:10" x14ac:dyDescent="0.3">
      <c r="C244" s="8" t="s">
        <v>11</v>
      </c>
      <c r="D244" s="9">
        <v>45750</v>
      </c>
      <c r="E244" t="s">
        <v>249</v>
      </c>
      <c r="F244" s="10" t="s">
        <v>250</v>
      </c>
      <c r="G244" s="11">
        <v>0</v>
      </c>
      <c r="H244" s="11">
        <v>541.78</v>
      </c>
      <c r="I244" s="11">
        <f t="shared" si="9"/>
        <v>-14485.01</v>
      </c>
      <c r="J244" s="12"/>
    </row>
    <row r="245" spans="3:10" x14ac:dyDescent="0.3">
      <c r="C245" s="8" t="s">
        <v>11</v>
      </c>
      <c r="D245" s="9">
        <v>45761</v>
      </c>
      <c r="E245" t="s">
        <v>251</v>
      </c>
      <c r="F245" s="10" t="s">
        <v>252</v>
      </c>
      <c r="G245" s="11">
        <v>0</v>
      </c>
      <c r="H245" s="11">
        <v>399.09</v>
      </c>
      <c r="I245" s="11">
        <f t="shared" si="9"/>
        <v>-14884.1</v>
      </c>
      <c r="J245" s="12"/>
    </row>
    <row r="246" spans="3:10" x14ac:dyDescent="0.3">
      <c r="C246" s="8" t="s">
        <v>11</v>
      </c>
      <c r="D246" s="9">
        <v>45762</v>
      </c>
      <c r="E246" t="s">
        <v>253</v>
      </c>
      <c r="F246" s="10" t="s">
        <v>254</v>
      </c>
      <c r="G246" s="11">
        <v>0</v>
      </c>
      <c r="H246" s="11">
        <v>269.93</v>
      </c>
      <c r="I246" s="11">
        <f t="shared" si="9"/>
        <v>-15154.03</v>
      </c>
      <c r="J246" s="12"/>
    </row>
    <row r="247" spans="3:10" x14ac:dyDescent="0.3">
      <c r="C247" s="8" t="s">
        <v>11</v>
      </c>
      <c r="D247" s="9">
        <v>45776</v>
      </c>
      <c r="E247" t="s">
        <v>16</v>
      </c>
      <c r="F247" s="10" t="s">
        <v>17</v>
      </c>
      <c r="G247" s="11">
        <v>415.77</v>
      </c>
      <c r="H247" s="11">
        <v>0</v>
      </c>
      <c r="I247" s="11">
        <f t="shared" si="9"/>
        <v>-14738.26</v>
      </c>
      <c r="J247" s="12"/>
    </row>
    <row r="248" spans="3:10" x14ac:dyDescent="0.3">
      <c r="C248" s="8" t="s">
        <v>11</v>
      </c>
      <c r="D248" s="9">
        <v>45803</v>
      </c>
      <c r="E248" t="s">
        <v>16</v>
      </c>
      <c r="F248" s="10" t="s">
        <v>17</v>
      </c>
      <c r="G248" s="11">
        <v>1545.86</v>
      </c>
      <c r="H248" s="11">
        <v>0</v>
      </c>
      <c r="I248" s="11">
        <f t="shared" si="9"/>
        <v>-13192.4</v>
      </c>
      <c r="J248" s="12"/>
    </row>
    <row r="249" spans="3:10" x14ac:dyDescent="0.3">
      <c r="C249" s="8" t="s">
        <v>11</v>
      </c>
      <c r="D249" s="9">
        <v>45806</v>
      </c>
      <c r="E249" t="s">
        <v>255</v>
      </c>
      <c r="F249" s="10" t="s">
        <v>256</v>
      </c>
      <c r="G249" s="11">
        <v>0</v>
      </c>
      <c r="H249" s="11">
        <v>395.16</v>
      </c>
      <c r="I249" s="11">
        <f t="shared" si="9"/>
        <v>-13587.56</v>
      </c>
      <c r="J249" s="12"/>
    </row>
    <row r="250" spans="3:10" x14ac:dyDescent="0.3">
      <c r="C250" s="8" t="s">
        <v>11</v>
      </c>
      <c r="D250" s="9">
        <v>45807</v>
      </c>
      <c r="E250" t="s">
        <v>257</v>
      </c>
      <c r="F250" s="10" t="s">
        <v>258</v>
      </c>
      <c r="G250" s="11">
        <v>0</v>
      </c>
      <c r="H250" s="11">
        <v>1626.24</v>
      </c>
      <c r="I250" s="11">
        <f t="shared" si="9"/>
        <v>-15213.8</v>
      </c>
      <c r="J250" s="12"/>
    </row>
    <row r="251" spans="3:10" x14ac:dyDescent="0.3">
      <c r="C251" s="8" t="s">
        <v>11</v>
      </c>
      <c r="D251" s="9">
        <v>45834</v>
      </c>
      <c r="E251" t="s">
        <v>16</v>
      </c>
      <c r="F251" s="10" t="s">
        <v>17</v>
      </c>
      <c r="G251" s="11">
        <v>3465.86</v>
      </c>
      <c r="H251" s="11">
        <v>0</v>
      </c>
      <c r="I251" s="11">
        <f t="shared" si="9"/>
        <v>-11747.939999999999</v>
      </c>
      <c r="J251" s="12"/>
    </row>
    <row r="252" spans="3:10" x14ac:dyDescent="0.3">
      <c r="C252" s="8"/>
      <c r="D252" s="9">
        <v>45845</v>
      </c>
      <c r="E252" t="s">
        <v>259</v>
      </c>
      <c r="F252" s="10" t="s">
        <v>260</v>
      </c>
      <c r="G252" s="11">
        <v>0</v>
      </c>
      <c r="H252" s="11">
        <v>94.27</v>
      </c>
      <c r="I252" s="11">
        <f t="shared" si="9"/>
        <v>-11842.21</v>
      </c>
      <c r="J252" s="12"/>
    </row>
    <row r="253" spans="3:10" x14ac:dyDescent="0.3">
      <c r="C253" s="8"/>
      <c r="D253" s="9">
        <v>45846</v>
      </c>
      <c r="E253" t="s">
        <v>261</v>
      </c>
      <c r="F253" s="10" t="s">
        <v>262</v>
      </c>
      <c r="G253" s="11">
        <v>0</v>
      </c>
      <c r="H253" s="11">
        <v>19945.04</v>
      </c>
      <c r="I253" s="11">
        <f t="shared" si="9"/>
        <v>-31787.25</v>
      </c>
      <c r="J253" s="12"/>
    </row>
    <row r="254" spans="3:10" x14ac:dyDescent="0.3">
      <c r="C254" s="8"/>
      <c r="D254" s="9">
        <v>45848</v>
      </c>
      <c r="E254" t="s">
        <v>263</v>
      </c>
      <c r="F254" s="10" t="s">
        <v>264</v>
      </c>
      <c r="G254" s="11">
        <v>0</v>
      </c>
      <c r="H254" s="11">
        <v>1393.92</v>
      </c>
      <c r="I254" s="11">
        <f t="shared" si="9"/>
        <v>-33181.17</v>
      </c>
      <c r="J254" s="12"/>
    </row>
    <row r="255" spans="3:10" x14ac:dyDescent="0.3">
      <c r="C255" s="8"/>
      <c r="D255" s="9">
        <v>45849</v>
      </c>
      <c r="E255" t="s">
        <v>265</v>
      </c>
      <c r="F255" s="10" t="s">
        <v>266</v>
      </c>
      <c r="G255" s="11">
        <v>0</v>
      </c>
      <c r="H255" s="11">
        <v>401.09</v>
      </c>
      <c r="I255" s="11">
        <f t="shared" si="9"/>
        <v>-33582.259999999995</v>
      </c>
      <c r="J255" s="12"/>
    </row>
    <row r="256" spans="3:10" x14ac:dyDescent="0.3">
      <c r="C256" s="8"/>
      <c r="D256" s="9">
        <v>45852</v>
      </c>
      <c r="E256" t="s">
        <v>267</v>
      </c>
      <c r="F256" s="10" t="s">
        <v>268</v>
      </c>
      <c r="G256" s="11">
        <v>0</v>
      </c>
      <c r="H256" s="11">
        <v>732.45</v>
      </c>
      <c r="I256" s="11">
        <f t="shared" si="9"/>
        <v>-34314.709999999992</v>
      </c>
      <c r="J256" s="12"/>
    </row>
    <row r="257" spans="1:10" x14ac:dyDescent="0.3">
      <c r="C257" s="8"/>
      <c r="D257" s="9">
        <v>45862</v>
      </c>
      <c r="E257" t="s">
        <v>269</v>
      </c>
      <c r="F257" s="10" t="s">
        <v>270</v>
      </c>
      <c r="G257" s="11">
        <v>0</v>
      </c>
      <c r="H257" s="11">
        <v>4238.9799999999996</v>
      </c>
      <c r="I257" s="11">
        <f t="shared" si="9"/>
        <v>-38553.689999999988</v>
      </c>
      <c r="J257" s="12"/>
    </row>
    <row r="258" spans="1:10" x14ac:dyDescent="0.3">
      <c r="C258" s="8"/>
      <c r="D258" s="9">
        <v>45869</v>
      </c>
      <c r="E258" t="s">
        <v>271</v>
      </c>
      <c r="F258" s="10" t="s">
        <v>272</v>
      </c>
      <c r="G258" s="11">
        <v>0</v>
      </c>
      <c r="H258" s="11">
        <v>448.95</v>
      </c>
      <c r="I258" s="11">
        <f t="shared" si="9"/>
        <v>-39002.639999999985</v>
      </c>
      <c r="J258" s="12"/>
    </row>
    <row r="259" spans="1:10" x14ac:dyDescent="0.3">
      <c r="C259" s="8"/>
      <c r="D259" s="9">
        <v>45877</v>
      </c>
      <c r="E259" t="s">
        <v>273</v>
      </c>
      <c r="F259" s="10" t="s">
        <v>274</v>
      </c>
      <c r="G259" s="11">
        <v>0</v>
      </c>
      <c r="H259" s="11">
        <v>167.03</v>
      </c>
      <c r="I259" s="11">
        <f t="shared" si="9"/>
        <v>-39169.669999999984</v>
      </c>
      <c r="J259" s="12"/>
    </row>
    <row r="260" spans="1:10" x14ac:dyDescent="0.3">
      <c r="C260" s="8" t="s">
        <v>11</v>
      </c>
      <c r="D260" s="9">
        <v>45901</v>
      </c>
      <c r="E260" t="s">
        <v>16</v>
      </c>
      <c r="F260" s="10" t="s">
        <v>17</v>
      </c>
      <c r="G260" s="11">
        <v>2021.4</v>
      </c>
      <c r="H260" s="11">
        <v>0</v>
      </c>
      <c r="I260" s="11">
        <f t="shared" si="9"/>
        <v>-37148.269999999982</v>
      </c>
      <c r="J260" s="12"/>
    </row>
    <row r="261" spans="1:10" x14ac:dyDescent="0.3">
      <c r="C261" s="8"/>
      <c r="D261" s="9">
        <v>45904</v>
      </c>
      <c r="E261" t="s">
        <v>275</v>
      </c>
      <c r="F261" s="10" t="s">
        <v>276</v>
      </c>
      <c r="G261" s="11">
        <v>0</v>
      </c>
      <c r="H261" s="11">
        <v>1791.26</v>
      </c>
      <c r="I261" s="11">
        <f t="shared" si="9"/>
        <v>-38939.529999999984</v>
      </c>
      <c r="J261" s="12"/>
    </row>
    <row r="262" spans="1:10" x14ac:dyDescent="0.3">
      <c r="E262" s="4" t="s">
        <v>20</v>
      </c>
      <c r="G262" s="11">
        <f>SUM(G226:G261)</f>
        <v>16985.260000000002</v>
      </c>
      <c r="H262" s="11">
        <f>SUM(H226:H261)</f>
        <v>55924.789999999986</v>
      </c>
      <c r="I262" s="11">
        <f>G262-H262</f>
        <v>-38939.529999999984</v>
      </c>
    </row>
    <row r="264" spans="1:10" x14ac:dyDescent="0.3">
      <c r="A264" s="5">
        <v>4000086</v>
      </c>
      <c r="B264" s="6" t="s">
        <v>277</v>
      </c>
      <c r="C264" s="7"/>
      <c r="D264" s="7"/>
      <c r="E264" s="7"/>
      <c r="F264" s="7"/>
      <c r="G264" s="7"/>
      <c r="H264" s="7"/>
      <c r="I264" s="7"/>
      <c r="J264" s="7"/>
    </row>
    <row r="265" spans="1:10" x14ac:dyDescent="0.3">
      <c r="E265" s="4" t="s">
        <v>22</v>
      </c>
      <c r="G265" s="11">
        <v>0</v>
      </c>
      <c r="H265" s="11">
        <v>1036</v>
      </c>
      <c r="I265" s="11">
        <f>G265-H265</f>
        <v>-1036</v>
      </c>
    </row>
    <row r="266" spans="1:10" x14ac:dyDescent="0.3">
      <c r="C266" s="8" t="s">
        <v>11</v>
      </c>
      <c r="D266" s="9">
        <v>45670</v>
      </c>
      <c r="E266" t="s">
        <v>278</v>
      </c>
      <c r="F266" s="10" t="s">
        <v>17</v>
      </c>
      <c r="G266" s="11">
        <v>348</v>
      </c>
      <c r="H266" s="11">
        <v>0</v>
      </c>
      <c r="I266" s="11">
        <f t="shared" ref="I266:I282" si="10">G266-H266+I265</f>
        <v>-688</v>
      </c>
      <c r="J266" s="12">
        <v>5720001</v>
      </c>
    </row>
    <row r="267" spans="1:10" x14ac:dyDescent="0.3">
      <c r="C267" s="8" t="s">
        <v>11</v>
      </c>
      <c r="D267" s="9">
        <v>45673</v>
      </c>
      <c r="E267" t="s">
        <v>279</v>
      </c>
      <c r="F267" s="10" t="s">
        <v>280</v>
      </c>
      <c r="G267" s="11">
        <v>0</v>
      </c>
      <c r="H267" s="11">
        <v>638.4</v>
      </c>
      <c r="I267" s="11">
        <f t="shared" si="10"/>
        <v>-1326.4</v>
      </c>
      <c r="J267" s="12"/>
    </row>
    <row r="268" spans="1:10" x14ac:dyDescent="0.3">
      <c r="C268" s="8" t="s">
        <v>11</v>
      </c>
      <c r="D268" s="9">
        <v>45680</v>
      </c>
      <c r="E268" t="s">
        <v>281</v>
      </c>
      <c r="F268" s="10" t="s">
        <v>282</v>
      </c>
      <c r="G268" s="11">
        <v>0</v>
      </c>
      <c r="H268" s="11">
        <v>382.8</v>
      </c>
      <c r="I268" s="11">
        <f t="shared" si="10"/>
        <v>-1709.2</v>
      </c>
      <c r="J268" s="12"/>
    </row>
    <row r="269" spans="1:10" x14ac:dyDescent="0.3">
      <c r="C269" s="8" t="s">
        <v>11</v>
      </c>
      <c r="D269" s="9">
        <v>45691</v>
      </c>
      <c r="E269" t="s">
        <v>283</v>
      </c>
      <c r="F269" s="10" t="s">
        <v>284</v>
      </c>
      <c r="G269" s="11">
        <v>0</v>
      </c>
      <c r="H269" s="11">
        <v>788.4</v>
      </c>
      <c r="I269" s="11">
        <f t="shared" si="10"/>
        <v>-2497.6</v>
      </c>
      <c r="J269" s="12"/>
    </row>
    <row r="270" spans="1:10" x14ac:dyDescent="0.3">
      <c r="C270" s="8" t="s">
        <v>11</v>
      </c>
      <c r="D270" s="9">
        <v>45691</v>
      </c>
      <c r="E270" t="s">
        <v>278</v>
      </c>
      <c r="F270" s="10" t="s">
        <v>17</v>
      </c>
      <c r="G270" s="11">
        <v>688</v>
      </c>
      <c r="H270" s="11">
        <v>0</v>
      </c>
      <c r="I270" s="11">
        <f t="shared" si="10"/>
        <v>-1809.6</v>
      </c>
      <c r="J270" s="12">
        <v>5720001</v>
      </c>
    </row>
    <row r="271" spans="1:10" x14ac:dyDescent="0.3">
      <c r="C271" s="8" t="s">
        <v>11</v>
      </c>
      <c r="D271" s="9">
        <v>45716</v>
      </c>
      <c r="E271" t="s">
        <v>278</v>
      </c>
      <c r="F271" s="10" t="s">
        <v>17</v>
      </c>
      <c r="G271" s="11">
        <v>1021.2</v>
      </c>
      <c r="H271" s="11">
        <v>0</v>
      </c>
      <c r="I271" s="11">
        <f t="shared" si="10"/>
        <v>-788.39999999999986</v>
      </c>
      <c r="J271" s="12">
        <v>5720001</v>
      </c>
    </row>
    <row r="272" spans="1:10" x14ac:dyDescent="0.3">
      <c r="C272" s="8" t="s">
        <v>11</v>
      </c>
      <c r="D272" s="9">
        <v>45720</v>
      </c>
      <c r="E272" t="s">
        <v>285</v>
      </c>
      <c r="F272" s="10" t="s">
        <v>286</v>
      </c>
      <c r="G272" s="11">
        <v>0</v>
      </c>
      <c r="H272" s="11">
        <v>597</v>
      </c>
      <c r="I272" s="11">
        <f t="shared" si="10"/>
        <v>-1385.3999999999999</v>
      </c>
      <c r="J272" s="12"/>
    </row>
    <row r="273" spans="1:10" x14ac:dyDescent="0.3">
      <c r="C273" s="8" t="s">
        <v>11</v>
      </c>
      <c r="D273" s="9">
        <v>45743</v>
      </c>
      <c r="E273" t="s">
        <v>25</v>
      </c>
      <c r="F273" s="10" t="s">
        <v>17</v>
      </c>
      <c r="G273" s="11">
        <v>788.4</v>
      </c>
      <c r="H273" s="11">
        <v>0</v>
      </c>
      <c r="I273" s="11">
        <f t="shared" si="10"/>
        <v>-596.99999999999989</v>
      </c>
      <c r="J273" s="12">
        <v>5720001</v>
      </c>
    </row>
    <row r="274" spans="1:10" x14ac:dyDescent="0.3">
      <c r="C274" s="8" t="s">
        <v>11</v>
      </c>
      <c r="D274" s="9">
        <v>45776</v>
      </c>
      <c r="E274" t="s">
        <v>287</v>
      </c>
      <c r="F274" s="10" t="s">
        <v>288</v>
      </c>
      <c r="G274" s="11">
        <v>0</v>
      </c>
      <c r="H274" s="11">
        <v>425</v>
      </c>
      <c r="I274" s="11">
        <f t="shared" si="10"/>
        <v>-1021.9999999999999</v>
      </c>
      <c r="J274" s="12"/>
    </row>
    <row r="275" spans="1:10" x14ac:dyDescent="0.3">
      <c r="C275" s="8" t="s">
        <v>11</v>
      </c>
      <c r="D275" s="9">
        <v>45777</v>
      </c>
      <c r="E275" t="s">
        <v>25</v>
      </c>
      <c r="F275" s="10" t="s">
        <v>17</v>
      </c>
      <c r="G275" s="11">
        <v>597</v>
      </c>
      <c r="H275" s="11">
        <v>0</v>
      </c>
      <c r="I275" s="11">
        <f t="shared" si="10"/>
        <v>-424.99999999999989</v>
      </c>
      <c r="J275" s="12">
        <v>5720001</v>
      </c>
    </row>
    <row r="276" spans="1:10" x14ac:dyDescent="0.3">
      <c r="C276" s="8" t="s">
        <v>11</v>
      </c>
      <c r="D276" s="9">
        <v>45792</v>
      </c>
      <c r="E276" t="s">
        <v>289</v>
      </c>
      <c r="F276" s="10" t="s">
        <v>290</v>
      </c>
      <c r="G276" s="11">
        <v>0</v>
      </c>
      <c r="H276" s="11">
        <v>638.4</v>
      </c>
      <c r="I276" s="11">
        <f t="shared" si="10"/>
        <v>-1063.3999999999999</v>
      </c>
      <c r="J276" s="12"/>
    </row>
    <row r="277" spans="1:10" x14ac:dyDescent="0.3">
      <c r="C277" s="8" t="s">
        <v>11</v>
      </c>
      <c r="D277" s="9">
        <v>45803</v>
      </c>
      <c r="E277" t="s">
        <v>25</v>
      </c>
      <c r="F277" s="10" t="s">
        <v>17</v>
      </c>
      <c r="G277" s="11">
        <v>425</v>
      </c>
      <c r="H277" s="11">
        <v>0</v>
      </c>
      <c r="I277" s="11">
        <f t="shared" si="10"/>
        <v>-638.39999999999986</v>
      </c>
      <c r="J277" s="12">
        <v>5720001</v>
      </c>
    </row>
    <row r="278" spans="1:10" x14ac:dyDescent="0.3">
      <c r="C278" s="8" t="s">
        <v>11</v>
      </c>
      <c r="D278" s="9">
        <v>45820</v>
      </c>
      <c r="E278" t="s">
        <v>291</v>
      </c>
      <c r="F278" s="10" t="s">
        <v>292</v>
      </c>
      <c r="G278" s="11">
        <v>0</v>
      </c>
      <c r="H278" s="11">
        <v>314</v>
      </c>
      <c r="I278" s="11">
        <f t="shared" si="10"/>
        <v>-952.39999999999986</v>
      </c>
      <c r="J278" s="12"/>
    </row>
    <row r="279" spans="1:10" x14ac:dyDescent="0.3">
      <c r="C279" s="8" t="s">
        <v>11</v>
      </c>
      <c r="D279" s="9">
        <v>45832</v>
      </c>
      <c r="E279" t="s">
        <v>293</v>
      </c>
      <c r="F279" s="10" t="s">
        <v>294</v>
      </c>
      <c r="G279" s="11">
        <v>0</v>
      </c>
      <c r="H279" s="11">
        <v>654</v>
      </c>
      <c r="I279" s="11">
        <f t="shared" si="10"/>
        <v>-1606.3999999999999</v>
      </c>
      <c r="J279" s="12"/>
    </row>
    <row r="280" spans="1:10" x14ac:dyDescent="0.3">
      <c r="C280" s="8" t="s">
        <v>11</v>
      </c>
      <c r="D280" s="9">
        <v>45834</v>
      </c>
      <c r="E280" t="s">
        <v>25</v>
      </c>
      <c r="F280" s="10" t="s">
        <v>17</v>
      </c>
      <c r="G280" s="11">
        <v>638.4</v>
      </c>
      <c r="H280" s="11">
        <v>0</v>
      </c>
      <c r="I280" s="11">
        <f t="shared" si="10"/>
        <v>-967.99999999999989</v>
      </c>
      <c r="J280" s="12">
        <v>5720001</v>
      </c>
    </row>
    <row r="281" spans="1:10" x14ac:dyDescent="0.3">
      <c r="C281" s="8" t="s">
        <v>11</v>
      </c>
      <c r="D281" s="9">
        <v>45863</v>
      </c>
      <c r="E281" t="s">
        <v>295</v>
      </c>
      <c r="F281" s="10" t="s">
        <v>17</v>
      </c>
      <c r="G281" s="11">
        <v>968</v>
      </c>
      <c r="H281" s="11">
        <v>0</v>
      </c>
      <c r="I281" s="11">
        <f t="shared" si="10"/>
        <v>0</v>
      </c>
      <c r="J281" s="12">
        <v>5720001</v>
      </c>
    </row>
    <row r="282" spans="1:10" x14ac:dyDescent="0.3">
      <c r="C282" s="8"/>
      <c r="D282" s="9">
        <v>45902</v>
      </c>
      <c r="E282" t="s">
        <v>296</v>
      </c>
      <c r="F282" s="10" t="s">
        <v>297</v>
      </c>
      <c r="G282" s="11">
        <v>0</v>
      </c>
      <c r="H282" s="11">
        <v>1160</v>
      </c>
      <c r="I282" s="11">
        <f t="shared" si="10"/>
        <v>-1160</v>
      </c>
      <c r="J282" s="12"/>
    </row>
    <row r="283" spans="1:10" x14ac:dyDescent="0.3">
      <c r="E283" s="4" t="s">
        <v>20</v>
      </c>
      <c r="G283" s="11">
        <f>SUM(G265:G282)</f>
        <v>5474</v>
      </c>
      <c r="H283" s="11">
        <f>SUM(H265:H282)</f>
        <v>6634</v>
      </c>
      <c r="I283" s="11">
        <f>G283-H283</f>
        <v>-1160</v>
      </c>
    </row>
    <row r="285" spans="1:10" x14ac:dyDescent="0.3">
      <c r="A285" s="5">
        <v>4000099</v>
      </c>
      <c r="B285" s="6" t="s">
        <v>298</v>
      </c>
      <c r="C285" s="7"/>
      <c r="D285" s="7"/>
      <c r="E285" s="7"/>
      <c r="F285" s="7"/>
      <c r="G285" s="7"/>
      <c r="H285" s="7"/>
      <c r="I285" s="7"/>
      <c r="J285" s="7"/>
    </row>
    <row r="286" spans="1:10" x14ac:dyDescent="0.3">
      <c r="E286" s="4" t="s">
        <v>22</v>
      </c>
      <c r="G286" s="11">
        <v>0</v>
      </c>
      <c r="H286" s="11">
        <v>2792.74</v>
      </c>
      <c r="I286" s="11">
        <f>G286-H286</f>
        <v>-2792.74</v>
      </c>
    </row>
    <row r="287" spans="1:10" x14ac:dyDescent="0.3">
      <c r="C287" s="8" t="s">
        <v>11</v>
      </c>
      <c r="D287" s="9">
        <v>45684</v>
      </c>
      <c r="E287" t="s">
        <v>25</v>
      </c>
      <c r="F287" s="10" t="s">
        <v>17</v>
      </c>
      <c r="G287" s="11">
        <v>807.49</v>
      </c>
      <c r="H287" s="11">
        <v>0</v>
      </c>
      <c r="I287" s="11">
        <f t="shared" ref="I287:I314" si="11">G287-H287+I286</f>
        <v>-1985.2499999999998</v>
      </c>
      <c r="J287" s="12">
        <v>5720001</v>
      </c>
    </row>
    <row r="288" spans="1:10" x14ac:dyDescent="0.3">
      <c r="C288" s="8" t="s">
        <v>11</v>
      </c>
      <c r="D288" s="9">
        <v>45684</v>
      </c>
      <c r="E288" t="s">
        <v>25</v>
      </c>
      <c r="F288" s="10" t="s">
        <v>17</v>
      </c>
      <c r="G288" s="11">
        <v>935.33</v>
      </c>
      <c r="H288" s="11">
        <v>0</v>
      </c>
      <c r="I288" s="11">
        <f t="shared" si="11"/>
        <v>-1049.9199999999996</v>
      </c>
      <c r="J288" s="12">
        <v>5720001</v>
      </c>
    </row>
    <row r="289" spans="3:10" x14ac:dyDescent="0.3">
      <c r="C289" s="8" t="s">
        <v>11</v>
      </c>
      <c r="D289" s="9">
        <v>45684</v>
      </c>
      <c r="E289" t="s">
        <v>25</v>
      </c>
      <c r="F289" s="10" t="s">
        <v>17</v>
      </c>
      <c r="G289" s="11">
        <v>243.9</v>
      </c>
      <c r="H289" s="11">
        <v>0</v>
      </c>
      <c r="I289" s="11">
        <f t="shared" si="11"/>
        <v>-806.01999999999964</v>
      </c>
      <c r="J289" s="12">
        <v>5720001</v>
      </c>
    </row>
    <row r="290" spans="3:10" x14ac:dyDescent="0.3">
      <c r="C290" s="8" t="s">
        <v>11</v>
      </c>
      <c r="D290" s="9">
        <v>45684</v>
      </c>
      <c r="E290" t="s">
        <v>25</v>
      </c>
      <c r="F290" s="10" t="s">
        <v>17</v>
      </c>
      <c r="G290" s="11">
        <v>300.31</v>
      </c>
      <c r="H290" s="11">
        <v>0</v>
      </c>
      <c r="I290" s="11">
        <f t="shared" si="11"/>
        <v>-505.70999999999964</v>
      </c>
      <c r="J290" s="12">
        <v>5720001</v>
      </c>
    </row>
    <row r="291" spans="3:10" x14ac:dyDescent="0.3">
      <c r="C291" s="8" t="s">
        <v>11</v>
      </c>
      <c r="D291" s="9">
        <v>45684</v>
      </c>
      <c r="E291" t="s">
        <v>25</v>
      </c>
      <c r="F291" s="10" t="s">
        <v>17</v>
      </c>
      <c r="G291" s="11">
        <v>505.71</v>
      </c>
      <c r="H291" s="11">
        <v>0</v>
      </c>
      <c r="I291" s="11">
        <f t="shared" si="11"/>
        <v>0</v>
      </c>
      <c r="J291" s="12">
        <v>5720001</v>
      </c>
    </row>
    <row r="292" spans="3:10" x14ac:dyDescent="0.3">
      <c r="C292" s="8" t="s">
        <v>11</v>
      </c>
      <c r="D292" s="9">
        <v>45700</v>
      </c>
      <c r="E292" t="s">
        <v>299</v>
      </c>
      <c r="F292" s="10" t="s">
        <v>300</v>
      </c>
      <c r="G292" s="11">
        <v>0</v>
      </c>
      <c r="H292" s="11">
        <v>148.38</v>
      </c>
      <c r="I292" s="11">
        <f t="shared" si="11"/>
        <v>-148.38</v>
      </c>
      <c r="J292" s="12"/>
    </row>
    <row r="293" spans="3:10" x14ac:dyDescent="0.3">
      <c r="C293" s="8" t="s">
        <v>11</v>
      </c>
      <c r="D293" s="9">
        <v>45701</v>
      </c>
      <c r="E293" t="s">
        <v>301</v>
      </c>
      <c r="F293" s="10" t="s">
        <v>302</v>
      </c>
      <c r="G293" s="11">
        <v>0</v>
      </c>
      <c r="H293" s="11">
        <v>940.11</v>
      </c>
      <c r="I293" s="11">
        <f t="shared" si="11"/>
        <v>-1088.49</v>
      </c>
      <c r="J293" s="12"/>
    </row>
    <row r="294" spans="3:10" x14ac:dyDescent="0.3">
      <c r="C294" s="8" t="s">
        <v>11</v>
      </c>
      <c r="D294" s="9">
        <v>45722</v>
      </c>
      <c r="E294" t="s">
        <v>303</v>
      </c>
      <c r="F294" s="10" t="s">
        <v>304</v>
      </c>
      <c r="G294" s="11">
        <v>0</v>
      </c>
      <c r="H294" s="11">
        <v>76.010000000000005</v>
      </c>
      <c r="I294" s="11">
        <f t="shared" si="11"/>
        <v>-1164.5</v>
      </c>
      <c r="J294" s="12"/>
    </row>
    <row r="295" spans="3:10" x14ac:dyDescent="0.3">
      <c r="C295" s="8" t="s">
        <v>11</v>
      </c>
      <c r="D295" s="9">
        <v>45734</v>
      </c>
      <c r="E295" t="s">
        <v>305</v>
      </c>
      <c r="F295" s="10" t="s">
        <v>306</v>
      </c>
      <c r="G295" s="11">
        <v>0</v>
      </c>
      <c r="H295" s="11">
        <v>202.18</v>
      </c>
      <c r="I295" s="11">
        <f t="shared" si="11"/>
        <v>-1366.68</v>
      </c>
      <c r="J295" s="12"/>
    </row>
    <row r="296" spans="3:10" x14ac:dyDescent="0.3">
      <c r="C296" s="8"/>
      <c r="D296" s="9">
        <v>45740</v>
      </c>
      <c r="E296" t="s">
        <v>307</v>
      </c>
      <c r="F296" s="10" t="s">
        <v>308</v>
      </c>
      <c r="G296" s="11">
        <v>0</v>
      </c>
      <c r="H296" s="11">
        <v>126.58</v>
      </c>
      <c r="I296" s="11">
        <f t="shared" si="11"/>
        <v>-1493.26</v>
      </c>
      <c r="J296" s="12"/>
    </row>
    <row r="297" spans="3:10" x14ac:dyDescent="0.3">
      <c r="C297" s="8"/>
      <c r="D297" s="9">
        <v>45763</v>
      </c>
      <c r="E297" t="s">
        <v>309</v>
      </c>
      <c r="F297" s="10" t="s">
        <v>310</v>
      </c>
      <c r="G297" s="11">
        <v>0</v>
      </c>
      <c r="H297" s="11">
        <v>-35.340000000000003</v>
      </c>
      <c r="I297" s="11">
        <f t="shared" si="11"/>
        <v>-1457.92</v>
      </c>
      <c r="J297" s="12"/>
    </row>
    <row r="298" spans="3:10" x14ac:dyDescent="0.3">
      <c r="C298" s="8" t="s">
        <v>11</v>
      </c>
      <c r="D298" s="9">
        <v>45764</v>
      </c>
      <c r="E298" t="s">
        <v>311</v>
      </c>
      <c r="F298" s="10" t="s">
        <v>312</v>
      </c>
      <c r="G298" s="11">
        <v>0</v>
      </c>
      <c r="H298" s="11">
        <v>18.27</v>
      </c>
      <c r="I298" s="11">
        <f t="shared" si="11"/>
        <v>-1476.19</v>
      </c>
      <c r="J298" s="12"/>
    </row>
    <row r="299" spans="3:10" x14ac:dyDescent="0.3">
      <c r="C299" s="8" t="s">
        <v>11</v>
      </c>
      <c r="D299" s="9">
        <v>45772</v>
      </c>
      <c r="E299" t="s">
        <v>25</v>
      </c>
      <c r="F299" s="10" t="s">
        <v>17</v>
      </c>
      <c r="G299" s="11">
        <v>940.11</v>
      </c>
      <c r="H299" s="11">
        <v>0</v>
      </c>
      <c r="I299" s="11">
        <f t="shared" si="11"/>
        <v>-536.08000000000004</v>
      </c>
      <c r="J299" s="12">
        <v>5720001</v>
      </c>
    </row>
    <row r="300" spans="3:10" x14ac:dyDescent="0.3">
      <c r="C300" s="8" t="s">
        <v>11</v>
      </c>
      <c r="D300" s="9">
        <v>45772</v>
      </c>
      <c r="E300" t="s">
        <v>25</v>
      </c>
      <c r="F300" s="10" t="s">
        <v>17</v>
      </c>
      <c r="G300" s="11">
        <v>148.38</v>
      </c>
      <c r="H300" s="11">
        <v>0</v>
      </c>
      <c r="I300" s="11">
        <f t="shared" si="11"/>
        <v>-387.70000000000005</v>
      </c>
      <c r="J300" s="12">
        <v>5720001</v>
      </c>
    </row>
    <row r="301" spans="3:10" x14ac:dyDescent="0.3">
      <c r="C301" s="8" t="s">
        <v>11</v>
      </c>
      <c r="D301" s="9">
        <v>45805</v>
      </c>
      <c r="E301" t="s">
        <v>25</v>
      </c>
      <c r="F301" s="10" t="s">
        <v>17</v>
      </c>
      <c r="G301" s="11">
        <v>76.010000000000005</v>
      </c>
      <c r="H301" s="11">
        <v>0</v>
      </c>
      <c r="I301" s="11">
        <f t="shared" si="11"/>
        <v>-311.69000000000005</v>
      </c>
      <c r="J301" s="12">
        <v>5720001</v>
      </c>
    </row>
    <row r="302" spans="3:10" x14ac:dyDescent="0.3">
      <c r="C302" s="8" t="s">
        <v>11</v>
      </c>
      <c r="D302" s="9">
        <v>45805</v>
      </c>
      <c r="E302" t="s">
        <v>25</v>
      </c>
      <c r="F302" s="10" t="s">
        <v>17</v>
      </c>
      <c r="G302" s="11">
        <v>202.18</v>
      </c>
      <c r="H302" s="11">
        <v>0</v>
      </c>
      <c r="I302" s="11">
        <f t="shared" si="11"/>
        <v>-109.51000000000005</v>
      </c>
      <c r="J302" s="12">
        <v>5720001</v>
      </c>
    </row>
    <row r="303" spans="3:10" x14ac:dyDescent="0.3">
      <c r="C303" s="8"/>
      <c r="D303" s="9">
        <v>45805</v>
      </c>
      <c r="E303" t="s">
        <v>313</v>
      </c>
      <c r="F303" s="10" t="s">
        <v>17</v>
      </c>
      <c r="G303" s="11">
        <v>91</v>
      </c>
      <c r="H303" s="11">
        <v>0</v>
      </c>
      <c r="I303" s="11">
        <f t="shared" si="11"/>
        <v>-18.510000000000048</v>
      </c>
      <c r="J303" s="12">
        <v>5720001</v>
      </c>
    </row>
    <row r="304" spans="3:10" x14ac:dyDescent="0.3">
      <c r="C304" s="8" t="s">
        <v>11</v>
      </c>
      <c r="D304" s="9">
        <v>45811</v>
      </c>
      <c r="E304" t="s">
        <v>314</v>
      </c>
      <c r="F304" s="10" t="s">
        <v>315</v>
      </c>
      <c r="G304" s="11">
        <v>0</v>
      </c>
      <c r="H304" s="11">
        <v>69.819999999999993</v>
      </c>
      <c r="I304" s="11">
        <f t="shared" si="11"/>
        <v>-88.330000000000041</v>
      </c>
      <c r="J304" s="12"/>
    </row>
    <row r="305" spans="1:10" x14ac:dyDescent="0.3">
      <c r="C305" s="8"/>
      <c r="D305" s="9">
        <v>45819</v>
      </c>
      <c r="E305" t="s">
        <v>316</v>
      </c>
      <c r="F305" s="10" t="s">
        <v>317</v>
      </c>
      <c r="G305" s="11">
        <v>0</v>
      </c>
      <c r="H305" s="11">
        <v>720.99</v>
      </c>
      <c r="I305" s="11">
        <f t="shared" si="11"/>
        <v>-809.32</v>
      </c>
      <c r="J305" s="12"/>
    </row>
    <row r="306" spans="1:10" x14ac:dyDescent="0.3">
      <c r="C306" s="8"/>
      <c r="D306" s="9">
        <v>45826</v>
      </c>
      <c r="E306" t="s">
        <v>318</v>
      </c>
      <c r="F306" s="10" t="s">
        <v>319</v>
      </c>
      <c r="G306" s="11">
        <v>0</v>
      </c>
      <c r="H306" s="11">
        <v>1182.8399999999999</v>
      </c>
      <c r="I306" s="11">
        <f t="shared" si="11"/>
        <v>-1992.1599999999999</v>
      </c>
      <c r="J306" s="12"/>
    </row>
    <row r="307" spans="1:10" x14ac:dyDescent="0.3">
      <c r="C307" s="8"/>
      <c r="D307" s="9">
        <v>45828</v>
      </c>
      <c r="E307" t="s">
        <v>320</v>
      </c>
      <c r="F307" s="10" t="s">
        <v>321</v>
      </c>
      <c r="G307" s="11">
        <v>0</v>
      </c>
      <c r="H307" s="11">
        <v>630.97</v>
      </c>
      <c r="I307" s="11">
        <f t="shared" si="11"/>
        <v>-2623.13</v>
      </c>
      <c r="J307" s="12"/>
    </row>
    <row r="308" spans="1:10" x14ac:dyDescent="0.3">
      <c r="C308" s="8"/>
      <c r="D308" s="9">
        <v>45833</v>
      </c>
      <c r="E308" t="s">
        <v>322</v>
      </c>
      <c r="F308" s="10" t="s">
        <v>323</v>
      </c>
      <c r="G308" s="11">
        <v>0</v>
      </c>
      <c r="H308" s="11">
        <v>62.92</v>
      </c>
      <c r="I308" s="11">
        <f t="shared" si="11"/>
        <v>-2686.05</v>
      </c>
      <c r="J308" s="12"/>
    </row>
    <row r="309" spans="1:10" x14ac:dyDescent="0.3">
      <c r="C309" s="8" t="s">
        <v>11</v>
      </c>
      <c r="D309" s="9">
        <v>45833</v>
      </c>
      <c r="E309" t="s">
        <v>25</v>
      </c>
      <c r="F309" s="10" t="s">
        <v>17</v>
      </c>
      <c r="G309" s="11">
        <v>18.27</v>
      </c>
      <c r="H309" s="11">
        <v>0</v>
      </c>
      <c r="I309" s="11">
        <f t="shared" si="11"/>
        <v>-2667.78</v>
      </c>
      <c r="J309" s="12">
        <v>5720001</v>
      </c>
    </row>
    <row r="310" spans="1:10" x14ac:dyDescent="0.3">
      <c r="C310" s="8"/>
      <c r="D310" s="9">
        <v>45840</v>
      </c>
      <c r="E310" t="s">
        <v>324</v>
      </c>
      <c r="F310" s="10" t="s">
        <v>325</v>
      </c>
      <c r="G310" s="11">
        <v>0</v>
      </c>
      <c r="H310" s="11">
        <v>904.54</v>
      </c>
      <c r="I310" s="11">
        <f t="shared" si="11"/>
        <v>-3572.32</v>
      </c>
      <c r="J310" s="12"/>
    </row>
    <row r="311" spans="1:10" x14ac:dyDescent="0.3">
      <c r="C311" s="8"/>
      <c r="D311" s="9">
        <v>45841</v>
      </c>
      <c r="E311" t="s">
        <v>326</v>
      </c>
      <c r="F311" s="10" t="s">
        <v>327</v>
      </c>
      <c r="G311" s="11">
        <v>0</v>
      </c>
      <c r="H311" s="11">
        <v>95.8</v>
      </c>
      <c r="I311" s="11">
        <f t="shared" si="11"/>
        <v>-3668.1200000000003</v>
      </c>
      <c r="J311" s="12"/>
    </row>
    <row r="312" spans="1:10" x14ac:dyDescent="0.3">
      <c r="C312" s="8"/>
      <c r="D312" s="9">
        <v>45853</v>
      </c>
      <c r="E312" t="s">
        <v>328</v>
      </c>
      <c r="F312" s="10" t="s">
        <v>329</v>
      </c>
      <c r="G312" s="11">
        <v>0</v>
      </c>
      <c r="H312" s="11">
        <v>630.97</v>
      </c>
      <c r="I312" s="11">
        <f t="shared" si="11"/>
        <v>-4299.09</v>
      </c>
      <c r="J312" s="12"/>
    </row>
    <row r="313" spans="1:10" x14ac:dyDescent="0.3">
      <c r="C313" s="8"/>
      <c r="D313" s="9">
        <v>45860</v>
      </c>
      <c r="E313" t="s">
        <v>330</v>
      </c>
      <c r="F313" s="10" t="s">
        <v>331</v>
      </c>
      <c r="G313" s="11">
        <v>0</v>
      </c>
      <c r="H313" s="11">
        <v>1318</v>
      </c>
      <c r="I313" s="11">
        <f t="shared" si="11"/>
        <v>-5617.09</v>
      </c>
      <c r="J313" s="12"/>
    </row>
    <row r="314" spans="1:10" x14ac:dyDescent="0.3">
      <c r="C314" s="8" t="s">
        <v>11</v>
      </c>
      <c r="D314" s="9">
        <v>45894</v>
      </c>
      <c r="E314" t="s">
        <v>25</v>
      </c>
      <c r="F314" s="10" t="s">
        <v>17</v>
      </c>
      <c r="G314" s="11">
        <v>69.819999999999993</v>
      </c>
      <c r="H314" s="11">
        <v>0</v>
      </c>
      <c r="I314" s="11">
        <f t="shared" si="11"/>
        <v>-5547.27</v>
      </c>
      <c r="J314" s="12">
        <v>5720001</v>
      </c>
    </row>
    <row r="315" spans="1:10" x14ac:dyDescent="0.3">
      <c r="E315" s="4" t="s">
        <v>20</v>
      </c>
      <c r="G315" s="11">
        <f>SUM(G286:G314)</f>
        <v>4338.5100000000011</v>
      </c>
      <c r="H315" s="11">
        <f>SUM(H286:H314)</f>
        <v>9885.7800000000007</v>
      </c>
      <c r="I315" s="11">
        <f>G315-H315</f>
        <v>-5547.2699999999995</v>
      </c>
    </row>
    <row r="317" spans="1:10" x14ac:dyDescent="0.3">
      <c r="A317" s="5">
        <v>4000110</v>
      </c>
      <c r="B317" s="6" t="s">
        <v>332</v>
      </c>
      <c r="C317" s="7"/>
      <c r="D317" s="7"/>
      <c r="E317" s="7"/>
      <c r="F317" s="7"/>
      <c r="G317" s="7"/>
      <c r="H317" s="7"/>
      <c r="I317" s="7"/>
      <c r="J317" s="7"/>
    </row>
    <row r="318" spans="1:10" x14ac:dyDescent="0.3">
      <c r="E318" s="4" t="s">
        <v>22</v>
      </c>
      <c r="G318" s="11">
        <v>0</v>
      </c>
      <c r="H318" s="11">
        <v>278.48</v>
      </c>
      <c r="I318" s="11">
        <f>G318-H318</f>
        <v>-278.48</v>
      </c>
    </row>
    <row r="319" spans="1:10" x14ac:dyDescent="0.3">
      <c r="C319" s="8" t="s">
        <v>11</v>
      </c>
      <c r="D319" s="9">
        <v>45684</v>
      </c>
      <c r="E319" t="s">
        <v>25</v>
      </c>
      <c r="F319" s="10" t="s">
        <v>17</v>
      </c>
      <c r="G319" s="11">
        <v>29.04</v>
      </c>
      <c r="H319" s="11">
        <v>0</v>
      </c>
      <c r="I319" s="11">
        <f t="shared" ref="I319:I334" si="12">G319-H319+I318</f>
        <v>-249.44000000000003</v>
      </c>
      <c r="J319" s="12">
        <v>5720001</v>
      </c>
    </row>
    <row r="320" spans="1:10" x14ac:dyDescent="0.3">
      <c r="C320" s="8" t="s">
        <v>11</v>
      </c>
      <c r="D320" s="9">
        <v>45684</v>
      </c>
      <c r="E320" t="s">
        <v>25</v>
      </c>
      <c r="F320" s="10" t="s">
        <v>17</v>
      </c>
      <c r="G320" s="11">
        <v>138.85</v>
      </c>
      <c r="H320" s="11">
        <v>0</v>
      </c>
      <c r="I320" s="11">
        <f t="shared" si="12"/>
        <v>-110.59000000000003</v>
      </c>
      <c r="J320" s="12">
        <v>5720001</v>
      </c>
    </row>
    <row r="321" spans="3:10" x14ac:dyDescent="0.3">
      <c r="C321" s="8" t="s">
        <v>11</v>
      </c>
      <c r="D321" s="9">
        <v>45684</v>
      </c>
      <c r="E321" t="s">
        <v>25</v>
      </c>
      <c r="F321" s="10" t="s">
        <v>17</v>
      </c>
      <c r="G321" s="11">
        <v>110.59</v>
      </c>
      <c r="H321" s="11">
        <v>0</v>
      </c>
      <c r="I321" s="11">
        <f t="shared" si="12"/>
        <v>0</v>
      </c>
      <c r="J321" s="12">
        <v>5720001</v>
      </c>
    </row>
    <row r="322" spans="3:10" x14ac:dyDescent="0.3">
      <c r="C322" s="8" t="s">
        <v>11</v>
      </c>
      <c r="D322" s="9">
        <v>45688</v>
      </c>
      <c r="E322" t="s">
        <v>333</v>
      </c>
      <c r="F322" s="10" t="s">
        <v>334</v>
      </c>
      <c r="G322" s="11">
        <v>0</v>
      </c>
      <c r="H322" s="11">
        <v>106.9</v>
      </c>
      <c r="I322" s="11">
        <f t="shared" si="12"/>
        <v>-106.9</v>
      </c>
      <c r="J322" s="12"/>
    </row>
    <row r="323" spans="3:10" x14ac:dyDescent="0.3">
      <c r="C323" s="8" t="s">
        <v>11</v>
      </c>
      <c r="D323" s="9">
        <v>45702</v>
      </c>
      <c r="E323" t="s">
        <v>335</v>
      </c>
      <c r="F323" s="10" t="s">
        <v>336</v>
      </c>
      <c r="G323" s="11">
        <v>0</v>
      </c>
      <c r="H323" s="11">
        <v>327.27999999999997</v>
      </c>
      <c r="I323" s="11">
        <f t="shared" si="12"/>
        <v>-434.17999999999995</v>
      </c>
      <c r="J323" s="12"/>
    </row>
    <row r="324" spans="3:10" x14ac:dyDescent="0.3">
      <c r="C324" s="8" t="s">
        <v>11</v>
      </c>
      <c r="D324" s="9">
        <v>45730</v>
      </c>
      <c r="E324" t="s">
        <v>337</v>
      </c>
      <c r="F324" s="10" t="s">
        <v>338</v>
      </c>
      <c r="G324" s="11">
        <v>0</v>
      </c>
      <c r="H324" s="11">
        <v>5.52</v>
      </c>
      <c r="I324" s="11">
        <f t="shared" si="12"/>
        <v>-439.69999999999993</v>
      </c>
      <c r="J324" s="12"/>
    </row>
    <row r="325" spans="3:10" x14ac:dyDescent="0.3">
      <c r="C325" s="8" t="s">
        <v>11</v>
      </c>
      <c r="D325" s="9">
        <v>45741</v>
      </c>
      <c r="E325" t="s">
        <v>25</v>
      </c>
      <c r="F325" s="10" t="s">
        <v>17</v>
      </c>
      <c r="G325" s="11">
        <v>106.9</v>
      </c>
      <c r="H325" s="11">
        <v>0</v>
      </c>
      <c r="I325" s="11">
        <f t="shared" si="12"/>
        <v>-332.79999999999995</v>
      </c>
      <c r="J325" s="12">
        <v>5720001</v>
      </c>
    </row>
    <row r="326" spans="3:10" x14ac:dyDescent="0.3">
      <c r="C326" s="8" t="s">
        <v>11</v>
      </c>
      <c r="D326" s="9">
        <v>45741</v>
      </c>
      <c r="E326" t="s">
        <v>25</v>
      </c>
      <c r="F326" s="10" t="s">
        <v>17</v>
      </c>
      <c r="G326" s="11">
        <v>327.27999999999997</v>
      </c>
      <c r="H326" s="11">
        <v>0</v>
      </c>
      <c r="I326" s="11">
        <f t="shared" si="12"/>
        <v>-5.5199999999999818</v>
      </c>
      <c r="J326" s="12">
        <v>5720001</v>
      </c>
    </row>
    <row r="327" spans="3:10" x14ac:dyDescent="0.3">
      <c r="C327" s="8" t="s">
        <v>11</v>
      </c>
      <c r="D327" s="9">
        <v>45747</v>
      </c>
      <c r="E327" t="s">
        <v>339</v>
      </c>
      <c r="F327" s="10" t="s">
        <v>340</v>
      </c>
      <c r="G327" s="11">
        <v>0</v>
      </c>
      <c r="H327" s="11">
        <v>271.33999999999997</v>
      </c>
      <c r="I327" s="11">
        <f t="shared" si="12"/>
        <v>-276.85999999999996</v>
      </c>
      <c r="J327" s="12"/>
    </row>
    <row r="328" spans="3:10" x14ac:dyDescent="0.3">
      <c r="C328" s="8" t="s">
        <v>11</v>
      </c>
      <c r="D328" s="9">
        <v>45777</v>
      </c>
      <c r="E328" t="s">
        <v>341</v>
      </c>
      <c r="F328" s="10" t="s">
        <v>342</v>
      </c>
      <c r="G328" s="11">
        <v>0</v>
      </c>
      <c r="H328" s="11">
        <v>141.57</v>
      </c>
      <c r="I328" s="11">
        <f t="shared" si="12"/>
        <v>-418.42999999999995</v>
      </c>
      <c r="J328" s="12"/>
    </row>
    <row r="329" spans="3:10" x14ac:dyDescent="0.3">
      <c r="C329" s="8" t="s">
        <v>11</v>
      </c>
      <c r="D329" s="9">
        <v>45803</v>
      </c>
      <c r="E329" t="s">
        <v>343</v>
      </c>
      <c r="F329" s="10" t="s">
        <v>17</v>
      </c>
      <c r="G329" s="11">
        <v>276.86</v>
      </c>
      <c r="H329" s="11">
        <v>0</v>
      </c>
      <c r="I329" s="11">
        <f t="shared" si="12"/>
        <v>-141.56999999999994</v>
      </c>
      <c r="J329" s="12">
        <v>5720001</v>
      </c>
    </row>
    <row r="330" spans="3:10" x14ac:dyDescent="0.3">
      <c r="C330" s="8" t="s">
        <v>11</v>
      </c>
      <c r="D330" s="9">
        <v>45807</v>
      </c>
      <c r="E330" t="s">
        <v>344</v>
      </c>
      <c r="F330" s="10" t="s">
        <v>345</v>
      </c>
      <c r="G330" s="11">
        <v>0</v>
      </c>
      <c r="H330" s="11">
        <v>902.42</v>
      </c>
      <c r="I330" s="11">
        <f t="shared" si="12"/>
        <v>-1043.9899999999998</v>
      </c>
      <c r="J330" s="12"/>
    </row>
    <row r="331" spans="3:10" x14ac:dyDescent="0.3">
      <c r="C331" s="8" t="s">
        <v>11</v>
      </c>
      <c r="D331" s="9">
        <v>45833</v>
      </c>
      <c r="E331" t="s">
        <v>25</v>
      </c>
      <c r="F331" s="10" t="s">
        <v>17</v>
      </c>
      <c r="G331" s="11">
        <v>141.57</v>
      </c>
      <c r="H331" s="11">
        <v>0</v>
      </c>
      <c r="I331" s="11">
        <f t="shared" si="12"/>
        <v>-902.41999999999985</v>
      </c>
      <c r="J331" s="12">
        <v>5720001</v>
      </c>
    </row>
    <row r="332" spans="3:10" x14ac:dyDescent="0.3">
      <c r="C332" s="8" t="s">
        <v>11</v>
      </c>
      <c r="D332" s="9">
        <v>45863</v>
      </c>
      <c r="E332" t="s">
        <v>25</v>
      </c>
      <c r="F332" s="10" t="s">
        <v>17</v>
      </c>
      <c r="G332" s="11">
        <v>902.42</v>
      </c>
      <c r="H332" s="11">
        <v>0</v>
      </c>
      <c r="I332" s="11">
        <f t="shared" si="12"/>
        <v>0</v>
      </c>
      <c r="J332" s="12">
        <v>5720001</v>
      </c>
    </row>
    <row r="333" spans="3:10" x14ac:dyDescent="0.3">
      <c r="C333" s="8"/>
      <c r="D333" s="9">
        <v>45869</v>
      </c>
      <c r="E333" t="s">
        <v>346</v>
      </c>
      <c r="F333" s="10" t="s">
        <v>347</v>
      </c>
      <c r="G333" s="11">
        <v>0</v>
      </c>
      <c r="H333" s="11">
        <v>278.77</v>
      </c>
      <c r="I333" s="11">
        <f t="shared" si="12"/>
        <v>-278.77</v>
      </c>
      <c r="J333" s="12"/>
    </row>
    <row r="334" spans="3:10" x14ac:dyDescent="0.3">
      <c r="C334" s="8"/>
      <c r="D334" s="9">
        <v>45877</v>
      </c>
      <c r="E334" t="s">
        <v>348</v>
      </c>
      <c r="F334" s="10" t="s">
        <v>349</v>
      </c>
      <c r="G334" s="11">
        <v>0</v>
      </c>
      <c r="H334" s="11">
        <v>73.17</v>
      </c>
      <c r="I334" s="11">
        <f t="shared" si="12"/>
        <v>-351.94</v>
      </c>
      <c r="J334" s="12"/>
    </row>
    <row r="335" spans="3:10" x14ac:dyDescent="0.3">
      <c r="E335" s="4" t="s">
        <v>20</v>
      </c>
      <c r="G335" s="11">
        <f>SUM(G318:G334)</f>
        <v>2033.5099999999998</v>
      </c>
      <c r="H335" s="11">
        <f>SUM(H318:H334)</f>
        <v>2385.4499999999998</v>
      </c>
      <c r="I335" s="11">
        <f>G335-H335</f>
        <v>-351.94000000000005</v>
      </c>
    </row>
    <row r="337" spans="1:10" x14ac:dyDescent="0.3">
      <c r="A337" s="5">
        <v>4000112</v>
      </c>
      <c r="B337" s="6" t="s">
        <v>350</v>
      </c>
      <c r="C337" s="7"/>
      <c r="D337" s="7"/>
      <c r="E337" s="7"/>
      <c r="F337" s="7"/>
      <c r="G337" s="7"/>
      <c r="H337" s="7"/>
      <c r="I337" s="7"/>
      <c r="J337" s="7"/>
    </row>
    <row r="338" spans="1:10" x14ac:dyDescent="0.3">
      <c r="E338" s="4" t="s">
        <v>22</v>
      </c>
      <c r="G338" s="11">
        <v>0</v>
      </c>
      <c r="H338" s="11">
        <v>690.14</v>
      </c>
      <c r="I338" s="11">
        <f>G338-H338</f>
        <v>-690.14</v>
      </c>
    </row>
    <row r="339" spans="1:10" x14ac:dyDescent="0.3">
      <c r="C339" s="8" t="s">
        <v>11</v>
      </c>
      <c r="D339" s="9">
        <v>45684</v>
      </c>
      <c r="E339" t="s">
        <v>351</v>
      </c>
      <c r="F339" s="10" t="s">
        <v>17</v>
      </c>
      <c r="G339" s="11">
        <v>370.22</v>
      </c>
      <c r="H339" s="11">
        <v>0</v>
      </c>
      <c r="I339" s="11">
        <f t="shared" ref="I339:I361" si="13">G339-H339+I338</f>
        <v>-319.91999999999996</v>
      </c>
      <c r="J339" s="12">
        <v>5720001</v>
      </c>
    </row>
    <row r="340" spans="1:10" x14ac:dyDescent="0.3">
      <c r="C340" s="8" t="s">
        <v>11</v>
      </c>
      <c r="D340" s="9">
        <v>45702</v>
      </c>
      <c r="E340" t="s">
        <v>352</v>
      </c>
      <c r="F340" s="10" t="s">
        <v>353</v>
      </c>
      <c r="G340" s="11">
        <v>0</v>
      </c>
      <c r="H340" s="11">
        <v>675.79</v>
      </c>
      <c r="I340" s="11">
        <f t="shared" si="13"/>
        <v>-995.70999999999992</v>
      </c>
      <c r="J340" s="12"/>
    </row>
    <row r="341" spans="1:10" x14ac:dyDescent="0.3">
      <c r="C341" s="8" t="s">
        <v>11</v>
      </c>
      <c r="D341" s="9">
        <v>45713</v>
      </c>
      <c r="E341" t="s">
        <v>351</v>
      </c>
      <c r="F341" s="10" t="s">
        <v>17</v>
      </c>
      <c r="G341" s="11">
        <v>319.92</v>
      </c>
      <c r="H341" s="11">
        <v>0</v>
      </c>
      <c r="I341" s="11">
        <f t="shared" si="13"/>
        <v>-675.79</v>
      </c>
      <c r="J341" s="12">
        <v>5720001</v>
      </c>
    </row>
    <row r="342" spans="1:10" x14ac:dyDescent="0.3">
      <c r="C342" s="8" t="s">
        <v>11</v>
      </c>
      <c r="D342" s="9">
        <v>45716</v>
      </c>
      <c r="E342" t="s">
        <v>354</v>
      </c>
      <c r="F342" s="10" t="s">
        <v>355</v>
      </c>
      <c r="G342" s="11">
        <v>0</v>
      </c>
      <c r="H342" s="11">
        <v>125.14</v>
      </c>
      <c r="I342" s="11">
        <f t="shared" si="13"/>
        <v>-800.93</v>
      </c>
      <c r="J342" s="12"/>
    </row>
    <row r="343" spans="1:10" x14ac:dyDescent="0.3">
      <c r="C343" s="8" t="s">
        <v>11</v>
      </c>
      <c r="D343" s="9">
        <v>45741</v>
      </c>
      <c r="E343" t="s">
        <v>25</v>
      </c>
      <c r="F343" s="10" t="s">
        <v>17</v>
      </c>
      <c r="G343" s="11">
        <v>675.79</v>
      </c>
      <c r="H343" s="11">
        <v>0</v>
      </c>
      <c r="I343" s="11">
        <f t="shared" si="13"/>
        <v>-125.13999999999999</v>
      </c>
      <c r="J343" s="12">
        <v>5720001</v>
      </c>
    </row>
    <row r="344" spans="1:10" x14ac:dyDescent="0.3">
      <c r="C344" s="8" t="s">
        <v>11</v>
      </c>
      <c r="D344" s="9">
        <v>45762</v>
      </c>
      <c r="E344" t="s">
        <v>356</v>
      </c>
      <c r="F344" s="10" t="s">
        <v>357</v>
      </c>
      <c r="G344" s="11">
        <v>0</v>
      </c>
      <c r="H344" s="11">
        <v>137.69</v>
      </c>
      <c r="I344" s="11">
        <f t="shared" si="13"/>
        <v>-262.83</v>
      </c>
      <c r="J344" s="12"/>
    </row>
    <row r="345" spans="1:10" x14ac:dyDescent="0.3">
      <c r="C345" s="8" t="s">
        <v>11</v>
      </c>
      <c r="D345" s="9">
        <v>45772</v>
      </c>
      <c r="E345" t="s">
        <v>25</v>
      </c>
      <c r="F345" s="10" t="s">
        <v>17</v>
      </c>
      <c r="G345" s="11">
        <v>125.14</v>
      </c>
      <c r="H345" s="11">
        <v>0</v>
      </c>
      <c r="I345" s="11">
        <f t="shared" si="13"/>
        <v>-137.69</v>
      </c>
      <c r="J345" s="12">
        <v>5720001</v>
      </c>
    </row>
    <row r="346" spans="1:10" x14ac:dyDescent="0.3">
      <c r="C346" s="8" t="s">
        <v>11</v>
      </c>
      <c r="D346" s="9">
        <v>45777</v>
      </c>
      <c r="E346" t="s">
        <v>358</v>
      </c>
      <c r="F346" s="10" t="s">
        <v>359</v>
      </c>
      <c r="G346" s="11">
        <v>0</v>
      </c>
      <c r="H346" s="11">
        <v>78.8</v>
      </c>
      <c r="I346" s="11">
        <f t="shared" si="13"/>
        <v>-216.49</v>
      </c>
      <c r="J346" s="12"/>
    </row>
    <row r="347" spans="1:10" x14ac:dyDescent="0.3">
      <c r="C347" s="8" t="s">
        <v>11</v>
      </c>
      <c r="D347" s="9">
        <v>45792</v>
      </c>
      <c r="E347" t="s">
        <v>360</v>
      </c>
      <c r="F347" s="10" t="s">
        <v>361</v>
      </c>
      <c r="G347" s="11">
        <v>0</v>
      </c>
      <c r="H347" s="11">
        <v>1517.17</v>
      </c>
      <c r="I347" s="11">
        <f t="shared" si="13"/>
        <v>-1733.66</v>
      </c>
      <c r="J347" s="12"/>
    </row>
    <row r="348" spans="1:10" x14ac:dyDescent="0.3">
      <c r="C348" s="8" t="s">
        <v>11</v>
      </c>
      <c r="D348" s="9">
        <v>45803</v>
      </c>
      <c r="E348" t="s">
        <v>25</v>
      </c>
      <c r="F348" s="10" t="s">
        <v>17</v>
      </c>
      <c r="G348" s="11">
        <v>137.69</v>
      </c>
      <c r="H348" s="11">
        <v>0</v>
      </c>
      <c r="I348" s="11">
        <f t="shared" si="13"/>
        <v>-1595.97</v>
      </c>
      <c r="J348" s="12">
        <v>5720001</v>
      </c>
    </row>
    <row r="349" spans="1:10" x14ac:dyDescent="0.3">
      <c r="C349" s="8" t="s">
        <v>11</v>
      </c>
      <c r="D349" s="9">
        <v>45807</v>
      </c>
      <c r="E349" t="s">
        <v>362</v>
      </c>
      <c r="F349" s="10" t="s">
        <v>363</v>
      </c>
      <c r="G349" s="11">
        <v>0</v>
      </c>
      <c r="H349" s="11">
        <v>901.32</v>
      </c>
      <c r="I349" s="11">
        <f t="shared" si="13"/>
        <v>-2497.29</v>
      </c>
      <c r="J349" s="12"/>
    </row>
    <row r="350" spans="1:10" x14ac:dyDescent="0.3">
      <c r="C350" s="8" t="s">
        <v>11</v>
      </c>
      <c r="D350" s="9">
        <v>45823</v>
      </c>
      <c r="E350" t="s">
        <v>364</v>
      </c>
      <c r="F350" s="10" t="s">
        <v>365</v>
      </c>
      <c r="G350" s="11">
        <v>0</v>
      </c>
      <c r="H350" s="11">
        <v>1303.3599999999999</v>
      </c>
      <c r="I350" s="11">
        <f t="shared" si="13"/>
        <v>-3800.6499999999996</v>
      </c>
      <c r="J350" s="12"/>
    </row>
    <row r="351" spans="1:10" x14ac:dyDescent="0.3">
      <c r="C351" s="8" t="s">
        <v>11</v>
      </c>
      <c r="D351" s="9">
        <v>45833</v>
      </c>
      <c r="E351" t="s">
        <v>366</v>
      </c>
      <c r="F351" s="10" t="s">
        <v>17</v>
      </c>
      <c r="G351" s="11">
        <v>1595.97</v>
      </c>
      <c r="H351" s="11">
        <v>0</v>
      </c>
      <c r="I351" s="11">
        <f t="shared" si="13"/>
        <v>-2204.6799999999994</v>
      </c>
      <c r="J351" s="12">
        <v>5720001</v>
      </c>
    </row>
    <row r="352" spans="1:10" x14ac:dyDescent="0.3">
      <c r="C352" s="8" t="s">
        <v>11</v>
      </c>
      <c r="D352" s="9">
        <v>45838</v>
      </c>
      <c r="E352" t="s">
        <v>367</v>
      </c>
      <c r="F352" s="10" t="s">
        <v>368</v>
      </c>
      <c r="G352" s="11">
        <v>0</v>
      </c>
      <c r="H352" s="11">
        <v>178.73</v>
      </c>
      <c r="I352" s="11">
        <f t="shared" si="13"/>
        <v>-2383.4099999999994</v>
      </c>
      <c r="J352" s="12"/>
    </row>
    <row r="353" spans="1:10" x14ac:dyDescent="0.3">
      <c r="C353" s="8" t="s">
        <v>11</v>
      </c>
      <c r="D353" s="9">
        <v>45853</v>
      </c>
      <c r="E353" t="s">
        <v>369</v>
      </c>
      <c r="F353" s="10" t="s">
        <v>370</v>
      </c>
      <c r="G353" s="11">
        <v>0</v>
      </c>
      <c r="H353" s="11">
        <v>115.74</v>
      </c>
      <c r="I353" s="11">
        <f t="shared" si="13"/>
        <v>-2499.1499999999992</v>
      </c>
      <c r="J353" s="12"/>
    </row>
    <row r="354" spans="1:10" x14ac:dyDescent="0.3">
      <c r="C354" s="8" t="s">
        <v>11</v>
      </c>
      <c r="D354" s="9">
        <v>45863</v>
      </c>
      <c r="E354" t="s">
        <v>351</v>
      </c>
      <c r="F354" s="10" t="s">
        <v>17</v>
      </c>
      <c r="G354" s="11">
        <v>450.66</v>
      </c>
      <c r="H354" s="11">
        <v>0</v>
      </c>
      <c r="I354" s="11">
        <f t="shared" si="13"/>
        <v>-2048.4899999999993</v>
      </c>
      <c r="J354" s="12">
        <v>5720001</v>
      </c>
    </row>
    <row r="355" spans="1:10" x14ac:dyDescent="0.3">
      <c r="C355" s="8" t="s">
        <v>11</v>
      </c>
      <c r="D355" s="9">
        <v>45863</v>
      </c>
      <c r="E355" t="s">
        <v>351</v>
      </c>
      <c r="F355" s="10" t="s">
        <v>17</v>
      </c>
      <c r="G355" s="11">
        <v>651.67999999999995</v>
      </c>
      <c r="H355" s="11">
        <v>0</v>
      </c>
      <c r="I355" s="11">
        <f t="shared" si="13"/>
        <v>-1396.8099999999995</v>
      </c>
      <c r="J355" s="12">
        <v>5720001</v>
      </c>
    </row>
    <row r="356" spans="1:10" x14ac:dyDescent="0.3">
      <c r="C356" s="8"/>
      <c r="D356" s="9">
        <v>45869</v>
      </c>
      <c r="E356" t="s">
        <v>371</v>
      </c>
      <c r="F356" s="10" t="s">
        <v>372</v>
      </c>
      <c r="G356" s="11">
        <v>0</v>
      </c>
      <c r="H356" s="11">
        <v>1303.3599999999999</v>
      </c>
      <c r="I356" s="11">
        <f t="shared" si="13"/>
        <v>-2700.1699999999992</v>
      </c>
      <c r="J356" s="12"/>
    </row>
    <row r="357" spans="1:10" x14ac:dyDescent="0.3">
      <c r="C357" s="8"/>
      <c r="D357" s="9">
        <v>45869</v>
      </c>
      <c r="E357" t="s">
        <v>373</v>
      </c>
      <c r="F357" s="10" t="s">
        <v>374</v>
      </c>
      <c r="G357" s="11">
        <v>0</v>
      </c>
      <c r="H357" s="11">
        <v>36.99</v>
      </c>
      <c r="I357" s="11">
        <f t="shared" si="13"/>
        <v>-2737.1599999999989</v>
      </c>
      <c r="J357" s="12"/>
    </row>
    <row r="358" spans="1:10" x14ac:dyDescent="0.3">
      <c r="C358" s="8" t="s">
        <v>11</v>
      </c>
      <c r="D358" s="9">
        <v>45894</v>
      </c>
      <c r="E358" t="s">
        <v>351</v>
      </c>
      <c r="F358" s="10" t="s">
        <v>17</v>
      </c>
      <c r="G358" s="11">
        <v>651.67999999999995</v>
      </c>
      <c r="H358" s="11">
        <v>0</v>
      </c>
      <c r="I358" s="11">
        <f t="shared" si="13"/>
        <v>-2085.4799999999991</v>
      </c>
      <c r="J358" s="12">
        <v>5720001</v>
      </c>
    </row>
    <row r="359" spans="1:10" x14ac:dyDescent="0.3">
      <c r="C359" s="8" t="s">
        <v>11</v>
      </c>
      <c r="D359" s="9">
        <v>45894</v>
      </c>
      <c r="E359" t="s">
        <v>351</v>
      </c>
      <c r="F359" s="10" t="s">
        <v>17</v>
      </c>
      <c r="G359" s="11">
        <v>294.47000000000003</v>
      </c>
      <c r="H359" s="11">
        <v>0</v>
      </c>
      <c r="I359" s="11">
        <f t="shared" si="13"/>
        <v>-1791.0099999999991</v>
      </c>
      <c r="J359" s="12">
        <v>5720001</v>
      </c>
    </row>
    <row r="360" spans="1:10" x14ac:dyDescent="0.3">
      <c r="C360" s="8" t="s">
        <v>11</v>
      </c>
      <c r="D360" s="9">
        <v>45894</v>
      </c>
      <c r="E360" t="s">
        <v>351</v>
      </c>
      <c r="F360" s="10" t="s">
        <v>17</v>
      </c>
      <c r="G360" s="11">
        <v>450.66</v>
      </c>
      <c r="H360" s="11">
        <v>0</v>
      </c>
      <c r="I360" s="11">
        <f t="shared" si="13"/>
        <v>-1340.349999999999</v>
      </c>
      <c r="J360" s="12">
        <v>5720001</v>
      </c>
    </row>
    <row r="361" spans="1:10" x14ac:dyDescent="0.3">
      <c r="C361" s="8"/>
      <c r="D361" s="9">
        <v>45898</v>
      </c>
      <c r="E361" t="s">
        <v>375</v>
      </c>
      <c r="F361" s="10" t="s">
        <v>376</v>
      </c>
      <c r="G361" s="11">
        <v>0</v>
      </c>
      <c r="H361" s="11">
        <v>110.11</v>
      </c>
      <c r="I361" s="11">
        <f t="shared" si="13"/>
        <v>-1450.4599999999989</v>
      </c>
      <c r="J361" s="12"/>
    </row>
    <row r="362" spans="1:10" x14ac:dyDescent="0.3">
      <c r="E362" s="4" t="s">
        <v>20</v>
      </c>
      <c r="G362" s="11">
        <f>SUM(G338:G361)</f>
        <v>5723.880000000001</v>
      </c>
      <c r="H362" s="11">
        <f>SUM(H338:H361)</f>
        <v>7174.3399999999983</v>
      </c>
      <c r="I362" s="11">
        <f>G362-H362</f>
        <v>-1450.4599999999973</v>
      </c>
    </row>
    <row r="364" spans="1:10" x14ac:dyDescent="0.3">
      <c r="A364" s="5">
        <v>4000116</v>
      </c>
      <c r="B364" s="6" t="s">
        <v>377</v>
      </c>
      <c r="C364" s="7"/>
      <c r="D364" s="7"/>
      <c r="E364" s="7"/>
      <c r="F364" s="7"/>
      <c r="G364" s="7"/>
      <c r="H364" s="7"/>
      <c r="I364" s="7"/>
      <c r="J364" s="7"/>
    </row>
    <row r="365" spans="1:10" x14ac:dyDescent="0.3">
      <c r="E365" s="4" t="s">
        <v>22</v>
      </c>
      <c r="G365" s="11">
        <v>0</v>
      </c>
      <c r="H365" s="11">
        <v>11137.08</v>
      </c>
      <c r="I365" s="11">
        <f>G365-H365</f>
        <v>-11137.08</v>
      </c>
    </row>
    <row r="366" spans="1:10" x14ac:dyDescent="0.3">
      <c r="C366" s="8" t="s">
        <v>11</v>
      </c>
      <c r="D366" s="9">
        <v>45684</v>
      </c>
      <c r="E366" t="s">
        <v>25</v>
      </c>
      <c r="F366" s="10" t="s">
        <v>17</v>
      </c>
      <c r="G366" s="11">
        <v>1742.4</v>
      </c>
      <c r="H366" s="11">
        <v>0</v>
      </c>
      <c r="I366" s="11">
        <f t="shared" ref="I366:I376" si="14">G366-H366+I365</f>
        <v>-9394.68</v>
      </c>
      <c r="J366" s="12">
        <v>5720001</v>
      </c>
    </row>
    <row r="367" spans="1:10" x14ac:dyDescent="0.3">
      <c r="C367" s="8" t="s">
        <v>11</v>
      </c>
      <c r="D367" s="9">
        <v>45684</v>
      </c>
      <c r="E367" t="s">
        <v>25</v>
      </c>
      <c r="F367" s="10" t="s">
        <v>17</v>
      </c>
      <c r="G367" s="11">
        <v>2613.6</v>
      </c>
      <c r="H367" s="11">
        <v>0</v>
      </c>
      <c r="I367" s="11">
        <f t="shared" si="14"/>
        <v>-6781.08</v>
      </c>
      <c r="J367" s="12">
        <v>5720001</v>
      </c>
    </row>
    <row r="368" spans="1:10" x14ac:dyDescent="0.3">
      <c r="C368" s="8" t="s">
        <v>11</v>
      </c>
      <c r="D368" s="9">
        <v>45713</v>
      </c>
      <c r="E368" t="s">
        <v>378</v>
      </c>
      <c r="F368" s="10" t="s">
        <v>17</v>
      </c>
      <c r="G368" s="11">
        <v>6781.08</v>
      </c>
      <c r="H368" s="11">
        <v>0</v>
      </c>
      <c r="I368" s="11">
        <f t="shared" si="14"/>
        <v>0</v>
      </c>
      <c r="J368" s="12">
        <v>5720001</v>
      </c>
    </row>
    <row r="369" spans="1:10" x14ac:dyDescent="0.3">
      <c r="C369" s="8" t="s">
        <v>11</v>
      </c>
      <c r="D369" s="9">
        <v>45804</v>
      </c>
      <c r="E369" t="s">
        <v>379</v>
      </c>
      <c r="F369" s="10" t="s">
        <v>380</v>
      </c>
      <c r="G369" s="11">
        <v>0</v>
      </c>
      <c r="H369" s="11">
        <v>1660.73</v>
      </c>
      <c r="I369" s="11">
        <f t="shared" si="14"/>
        <v>-1660.73</v>
      </c>
      <c r="J369" s="12"/>
    </row>
    <row r="370" spans="1:10" x14ac:dyDescent="0.3">
      <c r="C370" s="8" t="s">
        <v>11</v>
      </c>
      <c r="D370" s="9">
        <v>45810</v>
      </c>
      <c r="E370" t="s">
        <v>381</v>
      </c>
      <c r="F370" s="10" t="s">
        <v>382</v>
      </c>
      <c r="G370" s="11">
        <v>0</v>
      </c>
      <c r="H370" s="11">
        <v>589.88</v>
      </c>
      <c r="I370" s="11">
        <f t="shared" si="14"/>
        <v>-2250.61</v>
      </c>
      <c r="J370" s="12"/>
    </row>
    <row r="371" spans="1:10" x14ac:dyDescent="0.3">
      <c r="C371" s="8" t="s">
        <v>11</v>
      </c>
      <c r="D371" s="9">
        <v>45818</v>
      </c>
      <c r="E371" t="s">
        <v>383</v>
      </c>
      <c r="F371" s="10" t="s">
        <v>384</v>
      </c>
      <c r="G371" s="11">
        <v>0</v>
      </c>
      <c r="H371" s="11">
        <v>1607.12</v>
      </c>
      <c r="I371" s="11">
        <f t="shared" si="14"/>
        <v>-3857.73</v>
      </c>
      <c r="J371" s="12"/>
    </row>
    <row r="372" spans="1:10" x14ac:dyDescent="0.3">
      <c r="C372" s="8"/>
      <c r="D372" s="9">
        <v>45833</v>
      </c>
      <c r="E372" t="s">
        <v>385</v>
      </c>
      <c r="F372" s="10" t="s">
        <v>386</v>
      </c>
      <c r="G372" s="11">
        <v>0</v>
      </c>
      <c r="H372" s="11">
        <v>225.3</v>
      </c>
      <c r="I372" s="11">
        <f t="shared" si="14"/>
        <v>-4083.03</v>
      </c>
      <c r="J372" s="12"/>
    </row>
    <row r="373" spans="1:10" x14ac:dyDescent="0.3">
      <c r="C373" s="8"/>
      <c r="D373" s="9">
        <v>45841</v>
      </c>
      <c r="E373" t="s">
        <v>387</v>
      </c>
      <c r="F373" s="10" t="s">
        <v>388</v>
      </c>
      <c r="G373" s="11">
        <v>0</v>
      </c>
      <c r="H373" s="11">
        <v>75.260000000000005</v>
      </c>
      <c r="I373" s="11">
        <f t="shared" si="14"/>
        <v>-4158.29</v>
      </c>
      <c r="J373" s="12"/>
    </row>
    <row r="374" spans="1:10" x14ac:dyDescent="0.3">
      <c r="C374" s="8"/>
      <c r="D374" s="9">
        <v>45847</v>
      </c>
      <c r="E374" t="s">
        <v>389</v>
      </c>
      <c r="F374" s="10" t="s">
        <v>390</v>
      </c>
      <c r="G374" s="11">
        <v>0</v>
      </c>
      <c r="H374" s="11">
        <v>562.16999999999996</v>
      </c>
      <c r="I374" s="11">
        <f t="shared" si="14"/>
        <v>-4720.46</v>
      </c>
      <c r="J374" s="12"/>
    </row>
    <row r="375" spans="1:10" x14ac:dyDescent="0.3">
      <c r="C375" s="8"/>
      <c r="D375" s="9">
        <v>45868</v>
      </c>
      <c r="E375" t="s">
        <v>391</v>
      </c>
      <c r="F375" s="10" t="s">
        <v>392</v>
      </c>
      <c r="G375" s="11">
        <v>0</v>
      </c>
      <c r="H375" s="11">
        <v>997.77</v>
      </c>
      <c r="I375" s="11">
        <f t="shared" si="14"/>
        <v>-5718.23</v>
      </c>
      <c r="J375" s="12"/>
    </row>
    <row r="376" spans="1:10" x14ac:dyDescent="0.3">
      <c r="C376" s="8" t="s">
        <v>11</v>
      </c>
      <c r="D376" s="9">
        <v>45894</v>
      </c>
      <c r="E376" t="s">
        <v>393</v>
      </c>
      <c r="F376" s="10" t="s">
        <v>17</v>
      </c>
      <c r="G376" s="11">
        <v>3857.73</v>
      </c>
      <c r="H376" s="11">
        <v>0</v>
      </c>
      <c r="I376" s="11">
        <f t="shared" si="14"/>
        <v>-1860.4999999999995</v>
      </c>
      <c r="J376" s="12">
        <v>5720001</v>
      </c>
    </row>
    <row r="377" spans="1:10" x14ac:dyDescent="0.3">
      <c r="E377" s="4" t="s">
        <v>20</v>
      </c>
      <c r="G377" s="11">
        <f>SUM(G365:G376)</f>
        <v>14994.81</v>
      </c>
      <c r="H377" s="11">
        <f>SUM(H365:H376)</f>
        <v>16855.309999999998</v>
      </c>
      <c r="I377" s="11">
        <f>G377-H377</f>
        <v>-1860.4999999999982</v>
      </c>
    </row>
    <row r="379" spans="1:10" x14ac:dyDescent="0.3">
      <c r="A379" s="5">
        <v>4000120</v>
      </c>
      <c r="B379" s="6" t="s">
        <v>394</v>
      </c>
      <c r="C379" s="7"/>
      <c r="D379" s="7"/>
      <c r="E379" s="7"/>
      <c r="F379" s="7"/>
      <c r="G379" s="7"/>
      <c r="H379" s="7"/>
      <c r="I379" s="7"/>
      <c r="J379" s="7"/>
    </row>
    <row r="380" spans="1:10" x14ac:dyDescent="0.3">
      <c r="E380" s="4" t="s">
        <v>22</v>
      </c>
      <c r="G380" s="11">
        <v>0</v>
      </c>
      <c r="H380" s="11">
        <v>94.99</v>
      </c>
      <c r="I380" s="11">
        <f>G380-H380</f>
        <v>-94.99</v>
      </c>
    </row>
    <row r="381" spans="1:10" x14ac:dyDescent="0.3">
      <c r="C381" s="8" t="s">
        <v>11</v>
      </c>
      <c r="D381" s="9">
        <v>45659</v>
      </c>
      <c r="E381" t="s">
        <v>16</v>
      </c>
      <c r="F381" s="10" t="s">
        <v>17</v>
      </c>
      <c r="G381" s="11">
        <v>94.99</v>
      </c>
      <c r="H381" s="11">
        <v>0</v>
      </c>
      <c r="I381" s="11">
        <f t="shared" ref="I381:I388" si="15">G381-H381+I380</f>
        <v>0</v>
      </c>
      <c r="J381" s="12"/>
    </row>
    <row r="382" spans="1:10" x14ac:dyDescent="0.3">
      <c r="C382" s="8" t="s">
        <v>11</v>
      </c>
      <c r="D382" s="9">
        <v>45682</v>
      </c>
      <c r="E382" t="s">
        <v>395</v>
      </c>
      <c r="F382" s="10" t="s">
        <v>396</v>
      </c>
      <c r="G382" s="11">
        <v>0</v>
      </c>
      <c r="H382" s="11">
        <v>25.83</v>
      </c>
      <c r="I382" s="11">
        <f t="shared" si="15"/>
        <v>-25.83</v>
      </c>
      <c r="J382" s="12"/>
    </row>
    <row r="383" spans="1:10" x14ac:dyDescent="0.3">
      <c r="C383" s="8" t="s">
        <v>11</v>
      </c>
      <c r="D383" s="9">
        <v>45687</v>
      </c>
      <c r="E383" t="s">
        <v>397</v>
      </c>
      <c r="F383" s="10" t="s">
        <v>398</v>
      </c>
      <c r="G383" s="11">
        <v>0</v>
      </c>
      <c r="H383" s="11">
        <v>229.59</v>
      </c>
      <c r="I383" s="11">
        <f t="shared" si="15"/>
        <v>-255.42000000000002</v>
      </c>
      <c r="J383" s="12"/>
    </row>
    <row r="384" spans="1:10" x14ac:dyDescent="0.3">
      <c r="C384" s="8" t="s">
        <v>11</v>
      </c>
      <c r="D384" s="9">
        <v>45743</v>
      </c>
      <c r="E384" t="s">
        <v>16</v>
      </c>
      <c r="F384" s="10" t="s">
        <v>17</v>
      </c>
      <c r="G384" s="11">
        <v>25.83</v>
      </c>
      <c r="H384" s="11">
        <v>0</v>
      </c>
      <c r="I384" s="11">
        <f t="shared" si="15"/>
        <v>-229.59000000000003</v>
      </c>
      <c r="J384" s="12"/>
    </row>
    <row r="385" spans="1:10" x14ac:dyDescent="0.3">
      <c r="C385" s="8" t="s">
        <v>11</v>
      </c>
      <c r="D385" s="9">
        <v>45770</v>
      </c>
      <c r="E385" t="s">
        <v>399</v>
      </c>
      <c r="F385" s="10" t="s">
        <v>400</v>
      </c>
      <c r="G385" s="11">
        <v>0</v>
      </c>
      <c r="H385" s="11">
        <v>208.52</v>
      </c>
      <c r="I385" s="11">
        <f t="shared" si="15"/>
        <v>-438.11</v>
      </c>
      <c r="J385" s="12"/>
    </row>
    <row r="386" spans="1:10" x14ac:dyDescent="0.3">
      <c r="C386" s="8" t="s">
        <v>11</v>
      </c>
      <c r="D386" s="9">
        <v>45776</v>
      </c>
      <c r="E386" t="s">
        <v>16</v>
      </c>
      <c r="F386" s="10" t="s">
        <v>17</v>
      </c>
      <c r="G386" s="11">
        <v>229.59</v>
      </c>
      <c r="H386" s="11">
        <v>0</v>
      </c>
      <c r="I386" s="11">
        <f t="shared" si="15"/>
        <v>-208.52</v>
      </c>
      <c r="J386" s="12"/>
    </row>
    <row r="387" spans="1:10" x14ac:dyDescent="0.3">
      <c r="C387" s="8"/>
      <c r="D387" s="9">
        <v>45834</v>
      </c>
      <c r="E387" t="s">
        <v>401</v>
      </c>
      <c r="F387" s="10" t="s">
        <v>402</v>
      </c>
      <c r="G387" s="11">
        <v>0</v>
      </c>
      <c r="H387" s="11">
        <v>84.01</v>
      </c>
      <c r="I387" s="11">
        <f t="shared" si="15"/>
        <v>-292.53000000000003</v>
      </c>
      <c r="J387" s="12"/>
    </row>
    <row r="388" spans="1:10" x14ac:dyDescent="0.3">
      <c r="C388" s="8" t="s">
        <v>11</v>
      </c>
      <c r="D388" s="9">
        <v>45834</v>
      </c>
      <c r="E388" t="s">
        <v>16</v>
      </c>
      <c r="F388" s="10" t="s">
        <v>17</v>
      </c>
      <c r="G388" s="11">
        <v>208.52</v>
      </c>
      <c r="H388" s="11">
        <v>0</v>
      </c>
      <c r="I388" s="11">
        <f t="shared" si="15"/>
        <v>-84.010000000000019</v>
      </c>
      <c r="J388" s="12"/>
    </row>
    <row r="389" spans="1:10" x14ac:dyDescent="0.3">
      <c r="E389" s="4" t="s">
        <v>20</v>
      </c>
      <c r="G389" s="11">
        <f>SUM(G380:G388)</f>
        <v>558.92999999999995</v>
      </c>
      <c r="H389" s="11">
        <f>SUM(H380:H388)</f>
        <v>642.93999999999994</v>
      </c>
      <c r="I389" s="11">
        <f>G389-H389</f>
        <v>-84.009999999999991</v>
      </c>
    </row>
    <row r="391" spans="1:10" x14ac:dyDescent="0.3">
      <c r="A391" s="5">
        <v>4000123</v>
      </c>
      <c r="B391" s="6" t="s">
        <v>403</v>
      </c>
      <c r="C391" s="7"/>
      <c r="D391" s="7"/>
      <c r="E391" s="7"/>
      <c r="F391" s="7"/>
      <c r="G391" s="7"/>
      <c r="H391" s="7"/>
      <c r="I391" s="7"/>
      <c r="J391" s="7"/>
    </row>
    <row r="392" spans="1:10" x14ac:dyDescent="0.3">
      <c r="E392" s="4" t="s">
        <v>22</v>
      </c>
      <c r="G392" s="11">
        <v>0</v>
      </c>
      <c r="H392" s="11">
        <v>1232.76</v>
      </c>
      <c r="I392" s="11">
        <f>G392-H392</f>
        <v>-1232.76</v>
      </c>
    </row>
    <row r="393" spans="1:10" x14ac:dyDescent="0.3">
      <c r="C393" s="8" t="s">
        <v>11</v>
      </c>
      <c r="D393" s="9">
        <v>45684</v>
      </c>
      <c r="E393" t="s">
        <v>25</v>
      </c>
      <c r="F393" s="10" t="s">
        <v>17</v>
      </c>
      <c r="G393" s="11">
        <v>714.63</v>
      </c>
      <c r="H393" s="11">
        <v>0</v>
      </c>
      <c r="I393" s="11">
        <f t="shared" ref="I393:I401" si="16">G393-H393+I392</f>
        <v>-518.13</v>
      </c>
      <c r="J393" s="12">
        <v>5720001</v>
      </c>
    </row>
    <row r="394" spans="1:10" x14ac:dyDescent="0.3">
      <c r="C394" s="8" t="s">
        <v>11</v>
      </c>
      <c r="D394" s="9">
        <v>45700</v>
      </c>
      <c r="E394" t="s">
        <v>25</v>
      </c>
      <c r="F394" s="10" t="s">
        <v>17</v>
      </c>
      <c r="G394" s="11">
        <v>518.13</v>
      </c>
      <c r="H394" s="11">
        <v>0</v>
      </c>
      <c r="I394" s="11">
        <f t="shared" si="16"/>
        <v>0</v>
      </c>
      <c r="J394" s="12">
        <v>5720001</v>
      </c>
    </row>
    <row r="395" spans="1:10" x14ac:dyDescent="0.3">
      <c r="C395" s="8" t="s">
        <v>11</v>
      </c>
      <c r="D395" s="9">
        <v>45712</v>
      </c>
      <c r="E395" t="s">
        <v>404</v>
      </c>
      <c r="F395" s="10" t="s">
        <v>405</v>
      </c>
      <c r="G395" s="11">
        <v>0</v>
      </c>
      <c r="H395" s="11">
        <v>564.51</v>
      </c>
      <c r="I395" s="11">
        <f t="shared" si="16"/>
        <v>-564.51</v>
      </c>
      <c r="J395" s="12"/>
    </row>
    <row r="396" spans="1:10" x14ac:dyDescent="0.3">
      <c r="C396" s="8" t="s">
        <v>11</v>
      </c>
      <c r="D396" s="9">
        <v>45758</v>
      </c>
      <c r="E396" t="s">
        <v>406</v>
      </c>
      <c r="F396" s="10" t="s">
        <v>407</v>
      </c>
      <c r="G396" s="11">
        <v>0</v>
      </c>
      <c r="H396" s="11">
        <v>1201.01</v>
      </c>
      <c r="I396" s="11">
        <f t="shared" si="16"/>
        <v>-1765.52</v>
      </c>
      <c r="J396" s="12"/>
    </row>
    <row r="397" spans="1:10" x14ac:dyDescent="0.3">
      <c r="C397" s="8" t="s">
        <v>11</v>
      </c>
      <c r="D397" s="9">
        <v>45798</v>
      </c>
      <c r="E397" t="s">
        <v>25</v>
      </c>
      <c r="F397" s="10" t="s">
        <v>17</v>
      </c>
      <c r="G397" s="11">
        <v>564.51</v>
      </c>
      <c r="H397" s="11">
        <v>0</v>
      </c>
      <c r="I397" s="11">
        <f t="shared" si="16"/>
        <v>-1201.01</v>
      </c>
      <c r="J397" s="12">
        <v>5720001</v>
      </c>
    </row>
    <row r="398" spans="1:10" x14ac:dyDescent="0.3">
      <c r="C398" s="8" t="s">
        <v>11</v>
      </c>
      <c r="D398" s="9">
        <v>45833</v>
      </c>
      <c r="E398" t="s">
        <v>25</v>
      </c>
      <c r="F398" s="10" t="s">
        <v>17</v>
      </c>
      <c r="G398" s="11">
        <v>1201.01</v>
      </c>
      <c r="H398" s="11">
        <v>0</v>
      </c>
      <c r="I398" s="11">
        <f t="shared" si="16"/>
        <v>0</v>
      </c>
      <c r="J398" s="12">
        <v>5720001</v>
      </c>
    </row>
    <row r="399" spans="1:10" x14ac:dyDescent="0.3">
      <c r="C399" s="8"/>
      <c r="D399" s="9">
        <v>45838</v>
      </c>
      <c r="E399" t="s">
        <v>408</v>
      </c>
      <c r="F399" s="10" t="s">
        <v>409</v>
      </c>
      <c r="G399" s="11">
        <v>0</v>
      </c>
      <c r="H399" s="11">
        <v>293.51</v>
      </c>
      <c r="I399" s="11">
        <f t="shared" si="16"/>
        <v>-293.51</v>
      </c>
      <c r="J399" s="12"/>
    </row>
    <row r="400" spans="1:10" x14ac:dyDescent="0.3">
      <c r="C400" s="8"/>
      <c r="D400" s="9">
        <v>45860</v>
      </c>
      <c r="E400" t="s">
        <v>410</v>
      </c>
      <c r="F400" s="10" t="s">
        <v>409</v>
      </c>
      <c r="G400" s="11">
        <v>0</v>
      </c>
      <c r="H400" s="11">
        <v>527.32000000000005</v>
      </c>
      <c r="I400" s="11">
        <f t="shared" si="16"/>
        <v>-820.83</v>
      </c>
      <c r="J400" s="12"/>
    </row>
    <row r="401" spans="1:10" x14ac:dyDescent="0.3">
      <c r="C401" s="8"/>
      <c r="D401" s="9">
        <v>45876</v>
      </c>
      <c r="E401" t="s">
        <v>411</v>
      </c>
      <c r="F401" s="10" t="s">
        <v>412</v>
      </c>
      <c r="G401" s="11">
        <v>0</v>
      </c>
      <c r="H401" s="11">
        <v>2707.67</v>
      </c>
      <c r="I401" s="11">
        <f t="shared" si="16"/>
        <v>-3528.5</v>
      </c>
      <c r="J401" s="12"/>
    </row>
    <row r="402" spans="1:10" x14ac:dyDescent="0.3">
      <c r="E402" s="4" t="s">
        <v>20</v>
      </c>
      <c r="G402" s="11">
        <f>SUM(G392:G401)</f>
        <v>2998.2799999999997</v>
      </c>
      <c r="H402" s="11">
        <f>SUM(H392:H401)</f>
        <v>6526.7800000000007</v>
      </c>
      <c r="I402" s="11">
        <f>G402-H402</f>
        <v>-3528.5000000000009</v>
      </c>
    </row>
    <row r="404" spans="1:10" x14ac:dyDescent="0.3">
      <c r="A404" s="5">
        <v>4000126</v>
      </c>
      <c r="B404" s="6" t="s">
        <v>413</v>
      </c>
      <c r="C404" s="7"/>
      <c r="D404" s="7"/>
      <c r="E404" s="7"/>
      <c r="F404" s="7"/>
      <c r="G404" s="7"/>
      <c r="H404" s="7"/>
      <c r="I404" s="7"/>
      <c r="J404" s="7"/>
    </row>
    <row r="405" spans="1:10" x14ac:dyDescent="0.3">
      <c r="E405" s="4" t="s">
        <v>22</v>
      </c>
      <c r="G405" s="11">
        <v>0</v>
      </c>
      <c r="H405" s="11">
        <v>50.64</v>
      </c>
      <c r="I405" s="11">
        <f>G405-H405</f>
        <v>-50.64</v>
      </c>
    </row>
    <row r="406" spans="1:10" x14ac:dyDescent="0.3">
      <c r="C406" s="8" t="s">
        <v>11</v>
      </c>
      <c r="D406" s="9">
        <v>45672</v>
      </c>
      <c r="E406" t="s">
        <v>414</v>
      </c>
      <c r="F406" s="10" t="s">
        <v>415</v>
      </c>
      <c r="G406" s="11">
        <v>0</v>
      </c>
      <c r="H406" s="11">
        <v>26.78</v>
      </c>
      <c r="I406" s="11">
        <f t="shared" ref="I406:I425" si="17">G406-H406+I405</f>
        <v>-77.42</v>
      </c>
      <c r="J406" s="12"/>
    </row>
    <row r="407" spans="1:10" x14ac:dyDescent="0.3">
      <c r="C407" s="8" t="s">
        <v>11</v>
      </c>
      <c r="D407" s="9">
        <v>45684</v>
      </c>
      <c r="E407" t="s">
        <v>25</v>
      </c>
      <c r="F407" s="10" t="s">
        <v>17</v>
      </c>
      <c r="G407" s="11">
        <v>35.6</v>
      </c>
      <c r="H407" s="11">
        <v>0</v>
      </c>
      <c r="I407" s="11">
        <f t="shared" si="17"/>
        <v>-41.82</v>
      </c>
      <c r="J407" s="12">
        <v>5720001</v>
      </c>
    </row>
    <row r="408" spans="1:10" x14ac:dyDescent="0.3">
      <c r="C408" s="8" t="s">
        <v>11</v>
      </c>
      <c r="D408" s="9">
        <v>45688</v>
      </c>
      <c r="E408" t="s">
        <v>416</v>
      </c>
      <c r="F408" s="10" t="s">
        <v>417</v>
      </c>
      <c r="G408" s="11">
        <v>0</v>
      </c>
      <c r="H408" s="11">
        <v>18.82</v>
      </c>
      <c r="I408" s="11">
        <f t="shared" si="17"/>
        <v>-60.64</v>
      </c>
      <c r="J408" s="12"/>
    </row>
    <row r="409" spans="1:10" x14ac:dyDescent="0.3">
      <c r="C409" s="8" t="s">
        <v>11</v>
      </c>
      <c r="D409" s="9">
        <v>45713</v>
      </c>
      <c r="E409" t="s">
        <v>25</v>
      </c>
      <c r="F409" s="10" t="s">
        <v>17</v>
      </c>
      <c r="G409" s="11">
        <v>15.04</v>
      </c>
      <c r="H409" s="11">
        <v>0</v>
      </c>
      <c r="I409" s="11">
        <f t="shared" si="17"/>
        <v>-45.6</v>
      </c>
      <c r="J409" s="12">
        <v>5720001</v>
      </c>
    </row>
    <row r="410" spans="1:10" x14ac:dyDescent="0.3">
      <c r="C410" s="8" t="s">
        <v>11</v>
      </c>
      <c r="D410" s="9">
        <v>45713</v>
      </c>
      <c r="E410" t="s">
        <v>25</v>
      </c>
      <c r="F410" s="10" t="s">
        <v>17</v>
      </c>
      <c r="G410" s="11">
        <v>26.78</v>
      </c>
      <c r="H410" s="11">
        <v>0</v>
      </c>
      <c r="I410" s="11">
        <f t="shared" si="17"/>
        <v>-18.82</v>
      </c>
      <c r="J410" s="12">
        <v>5720001</v>
      </c>
    </row>
    <row r="411" spans="1:10" x14ac:dyDescent="0.3">
      <c r="C411" s="8" t="s">
        <v>11</v>
      </c>
      <c r="D411" s="9">
        <v>45716</v>
      </c>
      <c r="E411" t="s">
        <v>418</v>
      </c>
      <c r="F411" s="10" t="s">
        <v>419</v>
      </c>
      <c r="G411" s="11">
        <v>0</v>
      </c>
      <c r="H411" s="11">
        <v>21.84</v>
      </c>
      <c r="I411" s="11">
        <f t="shared" si="17"/>
        <v>-40.659999999999997</v>
      </c>
      <c r="J411" s="12"/>
    </row>
    <row r="412" spans="1:10" x14ac:dyDescent="0.3">
      <c r="C412" s="8" t="s">
        <v>11</v>
      </c>
      <c r="D412" s="9">
        <v>45731</v>
      </c>
      <c r="E412" t="s">
        <v>420</v>
      </c>
      <c r="F412" s="10" t="s">
        <v>421</v>
      </c>
      <c r="G412" s="11">
        <v>0</v>
      </c>
      <c r="H412" s="11">
        <v>13.64</v>
      </c>
      <c r="I412" s="11">
        <f t="shared" si="17"/>
        <v>-54.3</v>
      </c>
      <c r="J412" s="12"/>
    </row>
    <row r="413" spans="1:10" x14ac:dyDescent="0.3">
      <c r="C413" s="8" t="s">
        <v>11</v>
      </c>
      <c r="D413" s="9">
        <v>45741</v>
      </c>
      <c r="E413" t="s">
        <v>25</v>
      </c>
      <c r="F413" s="10" t="s">
        <v>17</v>
      </c>
      <c r="G413" s="11">
        <v>18.82</v>
      </c>
      <c r="H413" s="11">
        <v>0</v>
      </c>
      <c r="I413" s="11">
        <f t="shared" si="17"/>
        <v>-35.479999999999997</v>
      </c>
      <c r="J413" s="12">
        <v>5720001</v>
      </c>
    </row>
    <row r="414" spans="1:10" x14ac:dyDescent="0.3">
      <c r="C414" s="8" t="s">
        <v>11</v>
      </c>
      <c r="D414" s="9">
        <v>45747</v>
      </c>
      <c r="E414" t="s">
        <v>422</v>
      </c>
      <c r="F414" s="10" t="s">
        <v>423</v>
      </c>
      <c r="G414" s="11">
        <v>0</v>
      </c>
      <c r="H414" s="11">
        <v>42.54</v>
      </c>
      <c r="I414" s="11">
        <f t="shared" si="17"/>
        <v>-78.02</v>
      </c>
      <c r="J414" s="12"/>
    </row>
    <row r="415" spans="1:10" x14ac:dyDescent="0.3">
      <c r="C415" s="8" t="s">
        <v>11</v>
      </c>
      <c r="D415" s="9">
        <v>45772</v>
      </c>
      <c r="E415" t="s">
        <v>25</v>
      </c>
      <c r="F415" s="10" t="s">
        <v>17</v>
      </c>
      <c r="G415" s="11">
        <v>21.84</v>
      </c>
      <c r="H415" s="11">
        <v>0</v>
      </c>
      <c r="I415" s="11">
        <f t="shared" si="17"/>
        <v>-56.179999999999993</v>
      </c>
      <c r="J415" s="12">
        <v>5720001</v>
      </c>
    </row>
    <row r="416" spans="1:10" x14ac:dyDescent="0.3">
      <c r="C416" s="8" t="s">
        <v>11</v>
      </c>
      <c r="D416" s="9">
        <v>45772</v>
      </c>
      <c r="E416" t="s">
        <v>25</v>
      </c>
      <c r="F416" s="10" t="s">
        <v>17</v>
      </c>
      <c r="G416" s="11">
        <v>13.64</v>
      </c>
      <c r="H416" s="11">
        <v>0</v>
      </c>
      <c r="I416" s="11">
        <f t="shared" si="17"/>
        <v>-42.539999999999992</v>
      </c>
      <c r="J416" s="12">
        <v>5720001</v>
      </c>
    </row>
    <row r="417" spans="1:10" x14ac:dyDescent="0.3">
      <c r="C417" s="8" t="s">
        <v>11</v>
      </c>
      <c r="D417" s="9">
        <v>45777</v>
      </c>
      <c r="E417" t="s">
        <v>424</v>
      </c>
      <c r="F417" s="10" t="s">
        <v>425</v>
      </c>
      <c r="G417" s="11">
        <v>0</v>
      </c>
      <c r="H417" s="11">
        <v>20.010000000000002</v>
      </c>
      <c r="I417" s="11">
        <f t="shared" si="17"/>
        <v>-62.55</v>
      </c>
      <c r="J417" s="12"/>
    </row>
    <row r="418" spans="1:10" x14ac:dyDescent="0.3">
      <c r="C418" s="8" t="s">
        <v>11</v>
      </c>
      <c r="D418" s="9">
        <v>45803</v>
      </c>
      <c r="E418" t="s">
        <v>25</v>
      </c>
      <c r="F418" s="10" t="s">
        <v>17</v>
      </c>
      <c r="G418" s="11">
        <v>42.54</v>
      </c>
      <c r="H418" s="11">
        <v>0</v>
      </c>
      <c r="I418" s="11">
        <f t="shared" si="17"/>
        <v>-20.009999999999998</v>
      </c>
      <c r="J418" s="12">
        <v>5720001</v>
      </c>
    </row>
    <row r="419" spans="1:10" x14ac:dyDescent="0.3">
      <c r="C419" s="8" t="s">
        <v>11</v>
      </c>
      <c r="D419" s="9">
        <v>45823</v>
      </c>
      <c r="E419" t="s">
        <v>426</v>
      </c>
      <c r="F419" s="10" t="s">
        <v>427</v>
      </c>
      <c r="G419" s="11">
        <v>0</v>
      </c>
      <c r="H419" s="11">
        <v>52.86</v>
      </c>
      <c r="I419" s="11">
        <f t="shared" si="17"/>
        <v>-72.87</v>
      </c>
      <c r="J419" s="12"/>
    </row>
    <row r="420" spans="1:10" x14ac:dyDescent="0.3">
      <c r="C420" s="8" t="s">
        <v>11</v>
      </c>
      <c r="D420" s="9">
        <v>45833</v>
      </c>
      <c r="E420" t="s">
        <v>25</v>
      </c>
      <c r="F420" s="10" t="s">
        <v>17</v>
      </c>
      <c r="G420" s="11">
        <v>20.010000000000002</v>
      </c>
      <c r="H420" s="11">
        <v>0</v>
      </c>
      <c r="I420" s="11">
        <f t="shared" si="17"/>
        <v>-52.86</v>
      </c>
      <c r="J420" s="12">
        <v>5720001</v>
      </c>
    </row>
    <row r="421" spans="1:10" x14ac:dyDescent="0.3">
      <c r="C421" s="8" t="s">
        <v>11</v>
      </c>
      <c r="D421" s="9">
        <v>45853</v>
      </c>
      <c r="E421" t="s">
        <v>428</v>
      </c>
      <c r="F421" s="10" t="s">
        <v>429</v>
      </c>
      <c r="G421" s="11">
        <v>0</v>
      </c>
      <c r="H421" s="11">
        <v>91.28</v>
      </c>
      <c r="I421" s="11">
        <f t="shared" si="17"/>
        <v>-144.13999999999999</v>
      </c>
      <c r="J421" s="12"/>
    </row>
    <row r="422" spans="1:10" x14ac:dyDescent="0.3">
      <c r="C422" s="8" t="s">
        <v>11</v>
      </c>
      <c r="D422" s="9">
        <v>45863</v>
      </c>
      <c r="E422" t="s">
        <v>25</v>
      </c>
      <c r="F422" s="10" t="s">
        <v>17</v>
      </c>
      <c r="G422" s="11">
        <v>52.86</v>
      </c>
      <c r="H422" s="11">
        <v>0</v>
      </c>
      <c r="I422" s="11">
        <f t="shared" si="17"/>
        <v>-91.279999999999987</v>
      </c>
      <c r="J422" s="12">
        <v>5720001</v>
      </c>
    </row>
    <row r="423" spans="1:10" x14ac:dyDescent="0.3">
      <c r="C423" s="8"/>
      <c r="D423" s="9">
        <v>45869</v>
      </c>
      <c r="E423" t="s">
        <v>430</v>
      </c>
      <c r="F423" s="10" t="s">
        <v>431</v>
      </c>
      <c r="G423" s="11">
        <v>0</v>
      </c>
      <c r="H423" s="11">
        <v>33.32</v>
      </c>
      <c r="I423" s="11">
        <f t="shared" si="17"/>
        <v>-124.6</v>
      </c>
      <c r="J423" s="12"/>
    </row>
    <row r="424" spans="1:10" x14ac:dyDescent="0.3">
      <c r="C424" s="8" t="s">
        <v>11</v>
      </c>
      <c r="D424" s="9">
        <v>45894</v>
      </c>
      <c r="E424" t="s">
        <v>25</v>
      </c>
      <c r="F424" s="10" t="s">
        <v>17</v>
      </c>
      <c r="G424" s="11">
        <v>91.28</v>
      </c>
      <c r="H424" s="11">
        <v>0</v>
      </c>
      <c r="I424" s="11">
        <f t="shared" si="17"/>
        <v>-33.319999999999993</v>
      </c>
      <c r="J424" s="12">
        <v>5720001</v>
      </c>
    </row>
    <row r="425" spans="1:10" x14ac:dyDescent="0.3">
      <c r="C425" s="8"/>
      <c r="D425" s="9">
        <v>45900</v>
      </c>
      <c r="E425" t="s">
        <v>432</v>
      </c>
      <c r="F425" s="10" t="s">
        <v>433</v>
      </c>
      <c r="G425" s="11">
        <v>0</v>
      </c>
      <c r="H425" s="11">
        <v>34.880000000000003</v>
      </c>
      <c r="I425" s="11">
        <f t="shared" si="17"/>
        <v>-68.199999999999989</v>
      </c>
      <c r="J425" s="12"/>
    </row>
    <row r="426" spans="1:10" x14ac:dyDescent="0.3">
      <c r="E426" s="4" t="s">
        <v>20</v>
      </c>
      <c r="G426" s="11">
        <f>SUM(G405:G425)</f>
        <v>338.40999999999997</v>
      </c>
      <c r="H426" s="11">
        <f>SUM(H405:H425)</f>
        <v>406.60999999999996</v>
      </c>
      <c r="I426" s="11">
        <f>G426-H426</f>
        <v>-68.199999999999989</v>
      </c>
    </row>
    <row r="428" spans="1:10" x14ac:dyDescent="0.3">
      <c r="A428" s="5">
        <v>4000147</v>
      </c>
      <c r="B428" s="6" t="s">
        <v>434</v>
      </c>
      <c r="C428" s="7"/>
      <c r="D428" s="7"/>
      <c r="E428" s="7"/>
      <c r="F428" s="7"/>
      <c r="G428" s="7"/>
      <c r="H428" s="7"/>
      <c r="I428" s="7"/>
      <c r="J428" s="7"/>
    </row>
    <row r="429" spans="1:10" x14ac:dyDescent="0.3">
      <c r="C429" s="8"/>
      <c r="D429" s="9">
        <v>45863</v>
      </c>
      <c r="E429" t="s">
        <v>435</v>
      </c>
      <c r="F429" s="10" t="s">
        <v>436</v>
      </c>
      <c r="G429" s="11">
        <v>0</v>
      </c>
      <c r="H429" s="11">
        <v>311.89999999999998</v>
      </c>
      <c r="I429" s="11">
        <f>G429-H429</f>
        <v>-311.89999999999998</v>
      </c>
      <c r="J429" s="12"/>
    </row>
    <row r="430" spans="1:10" x14ac:dyDescent="0.3">
      <c r="E430" s="4" t="s">
        <v>20</v>
      </c>
      <c r="G430" s="11">
        <f>G429</f>
        <v>0</v>
      </c>
      <c r="H430" s="11">
        <f>H429</f>
        <v>311.89999999999998</v>
      </c>
      <c r="I430" s="11">
        <f>G430-H430</f>
        <v>-311.89999999999998</v>
      </c>
    </row>
    <row r="432" spans="1:10" x14ac:dyDescent="0.3">
      <c r="A432" s="5">
        <v>4000165</v>
      </c>
      <c r="B432" s="6" t="s">
        <v>437</v>
      </c>
      <c r="C432" s="7"/>
      <c r="D432" s="7"/>
      <c r="E432" s="7"/>
      <c r="F432" s="7"/>
      <c r="G432" s="7"/>
      <c r="H432" s="7"/>
      <c r="I432" s="7"/>
      <c r="J432" s="7"/>
    </row>
    <row r="433" spans="1:10" x14ac:dyDescent="0.3">
      <c r="C433" s="8"/>
      <c r="D433" s="9">
        <v>45905</v>
      </c>
      <c r="E433" t="s">
        <v>25</v>
      </c>
      <c r="F433" s="10" t="s">
        <v>17</v>
      </c>
      <c r="G433" s="11">
        <v>457.38</v>
      </c>
      <c r="H433" s="11">
        <v>0</v>
      </c>
      <c r="I433" s="11">
        <f>G433-H433</f>
        <v>457.38</v>
      </c>
      <c r="J433" s="12">
        <v>5720001</v>
      </c>
    </row>
    <row r="434" spans="1:10" x14ac:dyDescent="0.3">
      <c r="E434" s="4" t="s">
        <v>20</v>
      </c>
      <c r="G434" s="11">
        <f>G433</f>
        <v>457.38</v>
      </c>
      <c r="H434" s="11">
        <f>H433</f>
        <v>0</v>
      </c>
      <c r="I434" s="11">
        <f>G434-H434</f>
        <v>457.38</v>
      </c>
    </row>
    <row r="436" spans="1:10" x14ac:dyDescent="0.3">
      <c r="A436" s="5">
        <v>4000184</v>
      </c>
      <c r="B436" s="6" t="s">
        <v>438</v>
      </c>
      <c r="C436" s="7"/>
      <c r="D436" s="7"/>
      <c r="E436" s="7"/>
      <c r="F436" s="7"/>
      <c r="G436" s="7"/>
      <c r="H436" s="7"/>
      <c r="I436" s="7"/>
      <c r="J436" s="7"/>
    </row>
    <row r="437" spans="1:10" x14ac:dyDescent="0.3">
      <c r="E437" s="4" t="s">
        <v>22</v>
      </c>
      <c r="G437" s="11">
        <v>0</v>
      </c>
      <c r="H437" s="11">
        <v>901.35</v>
      </c>
      <c r="I437" s="11">
        <f>G437-H437</f>
        <v>-901.35</v>
      </c>
    </row>
    <row r="438" spans="1:10" x14ac:dyDescent="0.3">
      <c r="C438" s="8" t="s">
        <v>11</v>
      </c>
      <c r="D438" s="9">
        <v>45703</v>
      </c>
      <c r="E438" t="s">
        <v>439</v>
      </c>
      <c r="F438" s="10" t="s">
        <v>440</v>
      </c>
      <c r="G438" s="11">
        <v>0</v>
      </c>
      <c r="H438" s="11">
        <v>1096.08</v>
      </c>
      <c r="I438" s="11">
        <f t="shared" ref="I438:I444" si="18">G438-H438+I437</f>
        <v>-1997.4299999999998</v>
      </c>
      <c r="J438" s="12"/>
    </row>
    <row r="439" spans="1:10" x14ac:dyDescent="0.3">
      <c r="C439" s="8" t="s">
        <v>11</v>
      </c>
      <c r="D439" s="9">
        <v>45743</v>
      </c>
      <c r="E439" t="s">
        <v>16</v>
      </c>
      <c r="F439" s="10" t="s">
        <v>17</v>
      </c>
      <c r="G439" s="11">
        <v>901.35</v>
      </c>
      <c r="H439" s="11">
        <v>0</v>
      </c>
      <c r="I439" s="11">
        <f t="shared" si="18"/>
        <v>-1096.08</v>
      </c>
      <c r="J439" s="12"/>
    </row>
    <row r="440" spans="1:10" x14ac:dyDescent="0.3">
      <c r="C440" s="8" t="s">
        <v>11</v>
      </c>
      <c r="D440" s="9">
        <v>45776</v>
      </c>
      <c r="E440" t="s">
        <v>16</v>
      </c>
      <c r="F440" s="10" t="s">
        <v>17</v>
      </c>
      <c r="G440" s="11">
        <v>1096.08</v>
      </c>
      <c r="H440" s="11">
        <v>0</v>
      </c>
      <c r="I440" s="11">
        <f t="shared" si="18"/>
        <v>0</v>
      </c>
      <c r="J440" s="12"/>
    </row>
    <row r="441" spans="1:10" x14ac:dyDescent="0.3">
      <c r="C441" s="8" t="s">
        <v>11</v>
      </c>
      <c r="D441" s="9">
        <v>45808</v>
      </c>
      <c r="E441" t="s">
        <v>441</v>
      </c>
      <c r="F441" s="10" t="s">
        <v>440</v>
      </c>
      <c r="G441" s="11">
        <v>0</v>
      </c>
      <c r="H441" s="11">
        <v>814.61</v>
      </c>
      <c r="I441" s="11">
        <f t="shared" si="18"/>
        <v>-814.61</v>
      </c>
      <c r="J441" s="12"/>
    </row>
    <row r="442" spans="1:10" x14ac:dyDescent="0.3">
      <c r="C442" s="8" t="s">
        <v>11</v>
      </c>
      <c r="D442" s="9">
        <v>45808</v>
      </c>
      <c r="E442" t="s">
        <v>441</v>
      </c>
      <c r="F442" s="10" t="s">
        <v>440</v>
      </c>
      <c r="G442" s="11">
        <v>0</v>
      </c>
      <c r="H442" s="11">
        <v>593.29</v>
      </c>
      <c r="I442" s="11">
        <f t="shared" si="18"/>
        <v>-1407.9</v>
      </c>
      <c r="J442" s="12"/>
    </row>
    <row r="443" spans="1:10" x14ac:dyDescent="0.3">
      <c r="C443" s="8"/>
      <c r="D443" s="9">
        <v>45869</v>
      </c>
      <c r="E443" t="s">
        <v>442</v>
      </c>
      <c r="F443" s="10" t="s">
        <v>443</v>
      </c>
      <c r="G443" s="11">
        <v>0</v>
      </c>
      <c r="H443" s="11">
        <v>2466.61</v>
      </c>
      <c r="I443" s="11">
        <f t="shared" si="18"/>
        <v>-3874.51</v>
      </c>
      <c r="J443" s="12"/>
    </row>
    <row r="444" spans="1:10" x14ac:dyDescent="0.3">
      <c r="C444" s="8" t="s">
        <v>11</v>
      </c>
      <c r="D444" s="9">
        <v>45901</v>
      </c>
      <c r="E444" t="s">
        <v>16</v>
      </c>
      <c r="F444" s="10" t="s">
        <v>17</v>
      </c>
      <c r="G444" s="11">
        <v>1407.9</v>
      </c>
      <c r="H444" s="11">
        <v>0</v>
      </c>
      <c r="I444" s="11">
        <f t="shared" si="18"/>
        <v>-2466.61</v>
      </c>
      <c r="J444" s="12"/>
    </row>
    <row r="445" spans="1:10" x14ac:dyDescent="0.3">
      <c r="E445" s="4" t="s">
        <v>20</v>
      </c>
      <c r="G445" s="11">
        <f>SUM(G437:G444)</f>
        <v>3405.33</v>
      </c>
      <c r="H445" s="11">
        <f>SUM(H437:H444)</f>
        <v>5871.9400000000005</v>
      </c>
      <c r="I445" s="11">
        <f>G445-H445</f>
        <v>-2466.6100000000006</v>
      </c>
    </row>
    <row r="447" spans="1:10" x14ac:dyDescent="0.3">
      <c r="A447" s="5">
        <v>4000187</v>
      </c>
      <c r="B447" s="6" t="s">
        <v>444</v>
      </c>
      <c r="C447" s="7"/>
      <c r="D447" s="7"/>
      <c r="E447" s="7"/>
      <c r="F447" s="7"/>
      <c r="G447" s="7"/>
      <c r="H447" s="7"/>
      <c r="I447" s="7"/>
      <c r="J447" s="7"/>
    </row>
    <row r="448" spans="1:10" x14ac:dyDescent="0.3">
      <c r="E448" s="4" t="s">
        <v>22</v>
      </c>
      <c r="G448" s="11">
        <v>0</v>
      </c>
      <c r="H448" s="11">
        <v>77.2</v>
      </c>
      <c r="I448" s="11">
        <f>G448-H448</f>
        <v>-77.2</v>
      </c>
    </row>
    <row r="449" spans="1:10" x14ac:dyDescent="0.3">
      <c r="C449" s="8" t="s">
        <v>11</v>
      </c>
      <c r="D449" s="9">
        <v>45672</v>
      </c>
      <c r="E449" t="s">
        <v>445</v>
      </c>
      <c r="F449" s="10" t="s">
        <v>446</v>
      </c>
      <c r="G449" s="11">
        <v>0</v>
      </c>
      <c r="H449" s="11">
        <v>40.450000000000003</v>
      </c>
      <c r="I449" s="11">
        <f t="shared" ref="I449:I461" si="19">G449-H449+I448</f>
        <v>-117.65</v>
      </c>
      <c r="J449" s="12"/>
    </row>
    <row r="450" spans="1:10" x14ac:dyDescent="0.3">
      <c r="C450" s="8" t="s">
        <v>11</v>
      </c>
      <c r="D450" s="9">
        <v>45686</v>
      </c>
      <c r="E450" t="s">
        <v>16</v>
      </c>
      <c r="F450" s="10" t="s">
        <v>17</v>
      </c>
      <c r="G450" s="11">
        <v>77.2</v>
      </c>
      <c r="H450" s="11">
        <v>0</v>
      </c>
      <c r="I450" s="11">
        <f t="shared" si="19"/>
        <v>-40.450000000000003</v>
      </c>
      <c r="J450" s="12"/>
    </row>
    <row r="451" spans="1:10" x14ac:dyDescent="0.3">
      <c r="C451" s="8" t="s">
        <v>11</v>
      </c>
      <c r="D451" s="9">
        <v>45743</v>
      </c>
      <c r="E451" t="s">
        <v>16</v>
      </c>
      <c r="F451" s="10" t="s">
        <v>17</v>
      </c>
      <c r="G451" s="11">
        <v>40.450000000000003</v>
      </c>
      <c r="H451" s="11">
        <v>0</v>
      </c>
      <c r="I451" s="11">
        <f t="shared" si="19"/>
        <v>0</v>
      </c>
      <c r="J451" s="12"/>
    </row>
    <row r="452" spans="1:10" x14ac:dyDescent="0.3">
      <c r="C452" s="8" t="s">
        <v>11</v>
      </c>
      <c r="D452" s="9">
        <v>45762</v>
      </c>
      <c r="E452" t="s">
        <v>447</v>
      </c>
      <c r="F452" s="10" t="s">
        <v>448</v>
      </c>
      <c r="G452" s="11">
        <v>0</v>
      </c>
      <c r="H452" s="11">
        <v>32.799999999999997</v>
      </c>
      <c r="I452" s="11">
        <f t="shared" si="19"/>
        <v>-32.799999999999997</v>
      </c>
      <c r="J452" s="12"/>
    </row>
    <row r="453" spans="1:10" x14ac:dyDescent="0.3">
      <c r="C453" s="8" t="s">
        <v>11</v>
      </c>
      <c r="D453" s="9">
        <v>45802</v>
      </c>
      <c r="E453" t="s">
        <v>449</v>
      </c>
      <c r="F453" s="10" t="s">
        <v>450</v>
      </c>
      <c r="G453" s="11">
        <v>0</v>
      </c>
      <c r="H453" s="11">
        <v>57.12</v>
      </c>
      <c r="I453" s="11">
        <f t="shared" si="19"/>
        <v>-89.919999999999987</v>
      </c>
      <c r="J453" s="12"/>
    </row>
    <row r="454" spans="1:10" x14ac:dyDescent="0.3">
      <c r="C454" s="8" t="s">
        <v>11</v>
      </c>
      <c r="D454" s="9">
        <v>45823</v>
      </c>
      <c r="E454" t="s">
        <v>451</v>
      </c>
      <c r="F454" s="10" t="s">
        <v>452</v>
      </c>
      <c r="G454" s="11">
        <v>0</v>
      </c>
      <c r="H454" s="11">
        <v>153.44999999999999</v>
      </c>
      <c r="I454" s="11">
        <f t="shared" si="19"/>
        <v>-243.36999999999998</v>
      </c>
      <c r="J454" s="12"/>
    </row>
    <row r="455" spans="1:10" x14ac:dyDescent="0.3">
      <c r="C455" s="8" t="s">
        <v>11</v>
      </c>
      <c r="D455" s="9">
        <v>45828</v>
      </c>
      <c r="E455" t="s">
        <v>453</v>
      </c>
      <c r="F455" s="10" t="s">
        <v>454</v>
      </c>
      <c r="G455" s="11">
        <v>0</v>
      </c>
      <c r="H455" s="11">
        <v>44.04</v>
      </c>
      <c r="I455" s="11">
        <f t="shared" si="19"/>
        <v>-287.40999999999997</v>
      </c>
      <c r="J455" s="12"/>
    </row>
    <row r="456" spans="1:10" x14ac:dyDescent="0.3">
      <c r="C456" s="8" t="s">
        <v>11</v>
      </c>
      <c r="D456" s="9">
        <v>45833</v>
      </c>
      <c r="E456" t="s">
        <v>455</v>
      </c>
      <c r="F456" s="10" t="s">
        <v>456</v>
      </c>
      <c r="G456" s="11">
        <v>0</v>
      </c>
      <c r="H456" s="11">
        <v>131.12</v>
      </c>
      <c r="I456" s="11">
        <f t="shared" si="19"/>
        <v>-418.53</v>
      </c>
      <c r="J456" s="12"/>
    </row>
    <row r="457" spans="1:10" x14ac:dyDescent="0.3">
      <c r="C457" s="8" t="s">
        <v>11</v>
      </c>
      <c r="D457" s="9">
        <v>45834</v>
      </c>
      <c r="E457" t="s">
        <v>16</v>
      </c>
      <c r="F457" s="10" t="s">
        <v>17</v>
      </c>
      <c r="G457" s="11">
        <v>32.799999999999997</v>
      </c>
      <c r="H457" s="11">
        <v>0</v>
      </c>
      <c r="I457" s="11">
        <f t="shared" si="19"/>
        <v>-385.72999999999996</v>
      </c>
      <c r="J457" s="12"/>
    </row>
    <row r="458" spans="1:10" x14ac:dyDescent="0.3">
      <c r="C458" s="8"/>
      <c r="D458" s="9">
        <v>45863</v>
      </c>
      <c r="E458" t="s">
        <v>457</v>
      </c>
      <c r="F458" s="10" t="s">
        <v>458</v>
      </c>
      <c r="G458" s="11">
        <v>0</v>
      </c>
      <c r="H458" s="11">
        <v>67.69</v>
      </c>
      <c r="I458" s="11">
        <f t="shared" si="19"/>
        <v>-453.41999999999996</v>
      </c>
      <c r="J458" s="12"/>
    </row>
    <row r="459" spans="1:10" x14ac:dyDescent="0.3">
      <c r="C459" s="8" t="s">
        <v>11</v>
      </c>
      <c r="D459" s="9">
        <v>45863</v>
      </c>
      <c r="E459" t="s">
        <v>16</v>
      </c>
      <c r="F459" s="10" t="s">
        <v>17</v>
      </c>
      <c r="G459" s="11">
        <v>57.12</v>
      </c>
      <c r="H459" s="11">
        <v>0</v>
      </c>
      <c r="I459" s="11">
        <f t="shared" si="19"/>
        <v>-396.29999999999995</v>
      </c>
      <c r="J459" s="12"/>
    </row>
    <row r="460" spans="1:10" x14ac:dyDescent="0.3">
      <c r="C460" s="8"/>
      <c r="D460" s="9">
        <v>45868</v>
      </c>
      <c r="E460" t="s">
        <v>459</v>
      </c>
      <c r="F460" s="10" t="s">
        <v>460</v>
      </c>
      <c r="G460" s="11">
        <v>0</v>
      </c>
      <c r="H460" s="11">
        <v>41.01</v>
      </c>
      <c r="I460" s="11">
        <f t="shared" si="19"/>
        <v>-437.30999999999995</v>
      </c>
      <c r="J460" s="12"/>
    </row>
    <row r="461" spans="1:10" x14ac:dyDescent="0.3">
      <c r="C461" s="8" t="s">
        <v>11</v>
      </c>
      <c r="D461" s="9">
        <v>45901</v>
      </c>
      <c r="E461" t="s">
        <v>16</v>
      </c>
      <c r="F461" s="10" t="s">
        <v>17</v>
      </c>
      <c r="G461" s="11">
        <v>328.61</v>
      </c>
      <c r="H461" s="11">
        <v>0</v>
      </c>
      <c r="I461" s="11">
        <f t="shared" si="19"/>
        <v>-108.69999999999993</v>
      </c>
      <c r="J461" s="12"/>
    </row>
    <row r="462" spans="1:10" x14ac:dyDescent="0.3">
      <c r="E462" s="4" t="s">
        <v>20</v>
      </c>
      <c r="G462" s="11">
        <f>SUM(G448:G461)</f>
        <v>536.18000000000006</v>
      </c>
      <c r="H462" s="11">
        <f>SUM(H448:H461)</f>
        <v>644.88000000000011</v>
      </c>
      <c r="I462" s="11">
        <f>G462-H462</f>
        <v>-108.70000000000005</v>
      </c>
    </row>
    <row r="464" spans="1:10" x14ac:dyDescent="0.3">
      <c r="A464" s="5">
        <v>4000241</v>
      </c>
      <c r="B464" s="6" t="s">
        <v>461</v>
      </c>
      <c r="C464" s="7"/>
      <c r="D464" s="7"/>
      <c r="E464" s="7"/>
      <c r="F464" s="7"/>
      <c r="G464" s="7"/>
      <c r="H464" s="7"/>
      <c r="I464" s="7"/>
      <c r="J464" s="7"/>
    </row>
    <row r="465" spans="1:10" x14ac:dyDescent="0.3">
      <c r="E465" s="4" t="s">
        <v>22</v>
      </c>
      <c r="G465" s="11">
        <v>0</v>
      </c>
      <c r="H465" s="11">
        <v>1003.09</v>
      </c>
      <c r="I465" s="11">
        <f>G465-H465</f>
        <v>-1003.09</v>
      </c>
    </row>
    <row r="466" spans="1:10" x14ac:dyDescent="0.3">
      <c r="C466" s="8" t="s">
        <v>11</v>
      </c>
      <c r="D466" s="9">
        <v>45686</v>
      </c>
      <c r="E466" t="s">
        <v>16</v>
      </c>
      <c r="F466" s="10" t="s">
        <v>17</v>
      </c>
      <c r="G466" s="11">
        <v>1003.09</v>
      </c>
      <c r="H466" s="11">
        <v>0</v>
      </c>
      <c r="I466" s="11">
        <f>G466-H466+I465</f>
        <v>0</v>
      </c>
      <c r="J466" s="12"/>
    </row>
    <row r="467" spans="1:10" x14ac:dyDescent="0.3">
      <c r="C467" s="8" t="s">
        <v>11</v>
      </c>
      <c r="D467" s="9">
        <v>45828</v>
      </c>
      <c r="E467" t="s">
        <v>462</v>
      </c>
      <c r="F467" s="10" t="s">
        <v>463</v>
      </c>
      <c r="G467" s="11">
        <v>0</v>
      </c>
      <c r="H467" s="11">
        <v>423.5</v>
      </c>
      <c r="I467" s="11">
        <f>G467-H467+I466</f>
        <v>-423.5</v>
      </c>
      <c r="J467" s="12"/>
    </row>
    <row r="468" spans="1:10" x14ac:dyDescent="0.3">
      <c r="C468" s="8" t="s">
        <v>11</v>
      </c>
      <c r="D468" s="9">
        <v>45863</v>
      </c>
      <c r="E468" t="s">
        <v>16</v>
      </c>
      <c r="F468" s="10" t="s">
        <v>17</v>
      </c>
      <c r="G468" s="11">
        <v>423.5</v>
      </c>
      <c r="H468" s="11">
        <v>0</v>
      </c>
      <c r="I468" s="11">
        <f>G468-H468+I467</f>
        <v>0</v>
      </c>
      <c r="J468" s="12"/>
    </row>
    <row r="469" spans="1:10" x14ac:dyDescent="0.3">
      <c r="C469" s="8"/>
      <c r="D469" s="9">
        <v>45867</v>
      </c>
      <c r="E469" t="s">
        <v>464</v>
      </c>
      <c r="F469" s="10" t="s">
        <v>465</v>
      </c>
      <c r="G469" s="11">
        <v>0</v>
      </c>
      <c r="H469" s="11">
        <v>3254.9</v>
      </c>
      <c r="I469" s="11">
        <f>G469-H469+I468</f>
        <v>-3254.9</v>
      </c>
      <c r="J469" s="12"/>
    </row>
    <row r="470" spans="1:10" x14ac:dyDescent="0.3">
      <c r="E470" s="4" t="s">
        <v>20</v>
      </c>
      <c r="G470" s="11">
        <f>SUM(G465:G469)</f>
        <v>1426.5900000000001</v>
      </c>
      <c r="H470" s="11">
        <f>SUM(H465:H469)</f>
        <v>4681.49</v>
      </c>
      <c r="I470" s="11">
        <f>G470-H470</f>
        <v>-3254.8999999999996</v>
      </c>
    </row>
    <row r="472" spans="1:10" x14ac:dyDescent="0.3">
      <c r="A472" s="5">
        <v>4000258</v>
      </c>
      <c r="B472" s="6" t="s">
        <v>466</v>
      </c>
      <c r="C472" s="7"/>
      <c r="D472" s="7"/>
      <c r="E472" s="7"/>
      <c r="F472" s="7"/>
      <c r="G472" s="7"/>
      <c r="H472" s="7"/>
      <c r="I472" s="7"/>
      <c r="J472" s="7"/>
    </row>
    <row r="473" spans="1:10" x14ac:dyDescent="0.3">
      <c r="C473" s="8" t="s">
        <v>11</v>
      </c>
      <c r="D473" s="9">
        <v>45658</v>
      </c>
      <c r="E473" t="s">
        <v>467</v>
      </c>
      <c r="F473" s="10" t="s">
        <v>468</v>
      </c>
      <c r="G473" s="11">
        <v>0</v>
      </c>
      <c r="H473" s="11">
        <v>2724.42</v>
      </c>
      <c r="I473" s="11">
        <f>G473-H473</f>
        <v>-2724.42</v>
      </c>
      <c r="J473" s="12"/>
    </row>
    <row r="474" spans="1:10" x14ac:dyDescent="0.3">
      <c r="C474" s="8" t="s">
        <v>11</v>
      </c>
      <c r="D474" s="9">
        <v>45684</v>
      </c>
      <c r="E474" t="s">
        <v>25</v>
      </c>
      <c r="F474" s="10" t="s">
        <v>17</v>
      </c>
      <c r="G474" s="11">
        <v>2724.42</v>
      </c>
      <c r="H474" s="11">
        <v>0</v>
      </c>
      <c r="I474" s="11">
        <f t="shared" ref="I474:I489" si="20">G474-H474+I473</f>
        <v>0</v>
      </c>
      <c r="J474" s="12">
        <v>5720001</v>
      </c>
    </row>
    <row r="475" spans="1:10" x14ac:dyDescent="0.3">
      <c r="C475" s="8" t="s">
        <v>11</v>
      </c>
      <c r="D475" s="9">
        <v>45689</v>
      </c>
      <c r="E475" t="s">
        <v>469</v>
      </c>
      <c r="F475" s="10" t="s">
        <v>470</v>
      </c>
      <c r="G475" s="11">
        <v>0</v>
      </c>
      <c r="H475" s="11">
        <v>2724.42</v>
      </c>
      <c r="I475" s="11">
        <f t="shared" si="20"/>
        <v>-2724.42</v>
      </c>
      <c r="J475" s="12"/>
    </row>
    <row r="476" spans="1:10" x14ac:dyDescent="0.3">
      <c r="C476" s="8" t="s">
        <v>11</v>
      </c>
      <c r="D476" s="9">
        <v>45714</v>
      </c>
      <c r="E476" t="s">
        <v>25</v>
      </c>
      <c r="F476" s="10" t="s">
        <v>17</v>
      </c>
      <c r="G476" s="11">
        <v>2724.42</v>
      </c>
      <c r="H476" s="11">
        <v>0</v>
      </c>
      <c r="I476" s="11">
        <f t="shared" si="20"/>
        <v>0</v>
      </c>
      <c r="J476" s="12">
        <v>5720001</v>
      </c>
    </row>
    <row r="477" spans="1:10" x14ac:dyDescent="0.3">
      <c r="C477" s="8" t="s">
        <v>11</v>
      </c>
      <c r="D477" s="9">
        <v>45717</v>
      </c>
      <c r="E477" t="s">
        <v>471</v>
      </c>
      <c r="F477" s="10" t="s">
        <v>472</v>
      </c>
      <c r="G477" s="11">
        <v>0</v>
      </c>
      <c r="H477" s="11">
        <v>2724.42</v>
      </c>
      <c r="I477" s="11">
        <f t="shared" si="20"/>
        <v>-2724.42</v>
      </c>
      <c r="J477" s="12"/>
    </row>
    <row r="478" spans="1:10" x14ac:dyDescent="0.3">
      <c r="C478" s="8" t="s">
        <v>11</v>
      </c>
      <c r="D478" s="9">
        <v>45741</v>
      </c>
      <c r="E478" t="s">
        <v>25</v>
      </c>
      <c r="F478" s="10" t="s">
        <v>17</v>
      </c>
      <c r="G478" s="11">
        <v>2724.42</v>
      </c>
      <c r="H478" s="11">
        <v>0</v>
      </c>
      <c r="I478" s="11">
        <f t="shared" si="20"/>
        <v>0</v>
      </c>
      <c r="J478" s="12">
        <v>5720001</v>
      </c>
    </row>
    <row r="479" spans="1:10" x14ac:dyDescent="0.3">
      <c r="C479" s="8" t="s">
        <v>11</v>
      </c>
      <c r="D479" s="9">
        <v>45748</v>
      </c>
      <c r="E479" t="s">
        <v>473</v>
      </c>
      <c r="F479" s="10" t="s">
        <v>474</v>
      </c>
      <c r="G479" s="11">
        <v>0</v>
      </c>
      <c r="H479" s="11">
        <v>2724.42</v>
      </c>
      <c r="I479" s="11">
        <f t="shared" si="20"/>
        <v>-2724.42</v>
      </c>
      <c r="J479" s="12"/>
    </row>
    <row r="480" spans="1:10" x14ac:dyDescent="0.3">
      <c r="C480" s="8" t="s">
        <v>11</v>
      </c>
      <c r="D480" s="9">
        <v>45775</v>
      </c>
      <c r="E480" t="s">
        <v>25</v>
      </c>
      <c r="F480" s="10" t="s">
        <v>17</v>
      </c>
      <c r="G480" s="11">
        <v>2724.42</v>
      </c>
      <c r="H480" s="11">
        <v>0</v>
      </c>
      <c r="I480" s="11">
        <f t="shared" si="20"/>
        <v>0</v>
      </c>
      <c r="J480" s="12">
        <v>5720001</v>
      </c>
    </row>
    <row r="481" spans="1:10" x14ac:dyDescent="0.3">
      <c r="C481" s="8" t="s">
        <v>11</v>
      </c>
      <c r="D481" s="9">
        <v>45778</v>
      </c>
      <c r="E481" t="s">
        <v>475</v>
      </c>
      <c r="F481" s="10" t="s">
        <v>476</v>
      </c>
      <c r="G481" s="11">
        <v>0</v>
      </c>
      <c r="H481" s="11">
        <v>2724.42</v>
      </c>
      <c r="I481" s="11">
        <f t="shared" si="20"/>
        <v>-2724.42</v>
      </c>
      <c r="J481" s="12"/>
    </row>
    <row r="482" spans="1:10" x14ac:dyDescent="0.3">
      <c r="C482" s="8" t="s">
        <v>11</v>
      </c>
      <c r="D482" s="9">
        <v>45803</v>
      </c>
      <c r="E482" t="s">
        <v>25</v>
      </c>
      <c r="F482" s="10" t="s">
        <v>17</v>
      </c>
      <c r="G482" s="11">
        <v>2724.42</v>
      </c>
      <c r="H482" s="11">
        <v>0</v>
      </c>
      <c r="I482" s="11">
        <f t="shared" si="20"/>
        <v>0</v>
      </c>
      <c r="J482" s="12">
        <v>5720001</v>
      </c>
    </row>
    <row r="483" spans="1:10" x14ac:dyDescent="0.3">
      <c r="C483" s="8" t="s">
        <v>11</v>
      </c>
      <c r="D483" s="9">
        <v>45809</v>
      </c>
      <c r="E483" t="s">
        <v>477</v>
      </c>
      <c r="F483" s="10" t="s">
        <v>478</v>
      </c>
      <c r="G483" s="11">
        <v>0</v>
      </c>
      <c r="H483" s="11">
        <v>2724.42</v>
      </c>
      <c r="I483" s="11">
        <f t="shared" si="20"/>
        <v>-2724.42</v>
      </c>
      <c r="J483" s="12"/>
    </row>
    <row r="484" spans="1:10" x14ac:dyDescent="0.3">
      <c r="C484" s="8" t="s">
        <v>11</v>
      </c>
      <c r="D484" s="9">
        <v>45833</v>
      </c>
      <c r="E484" t="s">
        <v>25</v>
      </c>
      <c r="F484" s="10" t="s">
        <v>17</v>
      </c>
      <c r="G484" s="11">
        <v>2724.42</v>
      </c>
      <c r="H484" s="11">
        <v>0</v>
      </c>
      <c r="I484" s="11">
        <f t="shared" si="20"/>
        <v>0</v>
      </c>
      <c r="J484" s="12">
        <v>5720001</v>
      </c>
    </row>
    <row r="485" spans="1:10" x14ac:dyDescent="0.3">
      <c r="C485" s="8" t="s">
        <v>11</v>
      </c>
      <c r="D485" s="9">
        <v>45839</v>
      </c>
      <c r="E485" t="s">
        <v>479</v>
      </c>
      <c r="F485" s="10" t="s">
        <v>480</v>
      </c>
      <c r="G485" s="11">
        <v>0</v>
      </c>
      <c r="H485" s="11">
        <v>2724.42</v>
      </c>
      <c r="I485" s="11">
        <f t="shared" si="20"/>
        <v>-2724.42</v>
      </c>
      <c r="J485" s="12"/>
    </row>
    <row r="486" spans="1:10" x14ac:dyDescent="0.3">
      <c r="C486" s="8" t="s">
        <v>11</v>
      </c>
      <c r="D486" s="9">
        <v>45863</v>
      </c>
      <c r="E486" t="s">
        <v>25</v>
      </c>
      <c r="F486" s="10" t="s">
        <v>17</v>
      </c>
      <c r="G486" s="11">
        <v>2724.42</v>
      </c>
      <c r="H486" s="11">
        <v>0</v>
      </c>
      <c r="I486" s="11">
        <f t="shared" si="20"/>
        <v>0</v>
      </c>
      <c r="J486" s="12">
        <v>5720001</v>
      </c>
    </row>
    <row r="487" spans="1:10" x14ac:dyDescent="0.3">
      <c r="C487" s="8" t="s">
        <v>11</v>
      </c>
      <c r="D487" s="9">
        <v>45870</v>
      </c>
      <c r="E487" t="s">
        <v>481</v>
      </c>
      <c r="F487" s="10" t="s">
        <v>482</v>
      </c>
      <c r="G487" s="11">
        <v>0</v>
      </c>
      <c r="H487" s="11">
        <v>2724.42</v>
      </c>
      <c r="I487" s="11">
        <f t="shared" si="20"/>
        <v>-2724.42</v>
      </c>
      <c r="J487" s="12"/>
    </row>
    <row r="488" spans="1:10" x14ac:dyDescent="0.3">
      <c r="C488" s="8" t="s">
        <v>11</v>
      </c>
      <c r="D488" s="9">
        <v>45898</v>
      </c>
      <c r="E488" t="s">
        <v>25</v>
      </c>
      <c r="F488" s="10" t="s">
        <v>17</v>
      </c>
      <c r="G488" s="11">
        <v>2724.42</v>
      </c>
      <c r="H488" s="11">
        <v>0</v>
      </c>
      <c r="I488" s="11">
        <f t="shared" si="20"/>
        <v>0</v>
      </c>
      <c r="J488" s="12">
        <v>5720001</v>
      </c>
    </row>
    <row r="489" spans="1:10" x14ac:dyDescent="0.3">
      <c r="C489" s="8"/>
      <c r="D489" s="9">
        <v>45901</v>
      </c>
      <c r="E489" t="s">
        <v>483</v>
      </c>
      <c r="F489" s="10" t="s">
        <v>484</v>
      </c>
      <c r="G489" s="11">
        <v>0</v>
      </c>
      <c r="H489" s="11">
        <v>2724.42</v>
      </c>
      <c r="I489" s="11">
        <f t="shared" si="20"/>
        <v>-2724.42</v>
      </c>
      <c r="J489" s="12"/>
    </row>
    <row r="490" spans="1:10" x14ac:dyDescent="0.3">
      <c r="E490" s="4" t="s">
        <v>20</v>
      </c>
      <c r="G490" s="11">
        <f>SUM(G473:G489)</f>
        <v>21795.360000000001</v>
      </c>
      <c r="H490" s="11">
        <f>SUM(H473:H489)</f>
        <v>24519.78</v>
      </c>
      <c r="I490" s="11">
        <f>G490-H490</f>
        <v>-2724.4199999999983</v>
      </c>
    </row>
    <row r="492" spans="1:10" x14ac:dyDescent="0.3">
      <c r="A492" s="5">
        <v>4000279</v>
      </c>
      <c r="B492" s="6" t="s">
        <v>485</v>
      </c>
      <c r="C492" s="7"/>
      <c r="D492" s="7"/>
      <c r="E492" s="7"/>
      <c r="F492" s="7"/>
      <c r="G492" s="7"/>
      <c r="H492" s="7"/>
      <c r="I492" s="7"/>
      <c r="J492" s="7"/>
    </row>
    <row r="493" spans="1:10" x14ac:dyDescent="0.3">
      <c r="C493" s="8"/>
      <c r="D493" s="9">
        <v>45862</v>
      </c>
      <c r="E493" t="s">
        <v>486</v>
      </c>
      <c r="F493" s="10" t="s">
        <v>487</v>
      </c>
      <c r="G493" s="11">
        <v>0</v>
      </c>
      <c r="H493" s="11">
        <v>382.41</v>
      </c>
      <c r="I493" s="11">
        <f>G493-H493</f>
        <v>-382.41</v>
      </c>
      <c r="J493" s="12"/>
    </row>
    <row r="494" spans="1:10" x14ac:dyDescent="0.3">
      <c r="E494" s="4" t="s">
        <v>20</v>
      </c>
      <c r="G494" s="11">
        <f>G493</f>
        <v>0</v>
      </c>
      <c r="H494" s="11">
        <f>H493</f>
        <v>382.41</v>
      </c>
      <c r="I494" s="11">
        <f>G494-H494</f>
        <v>-382.41</v>
      </c>
    </row>
    <row r="496" spans="1:10" x14ac:dyDescent="0.3">
      <c r="A496" s="5">
        <v>4000296</v>
      </c>
      <c r="B496" s="6" t="s">
        <v>488</v>
      </c>
      <c r="C496" s="7"/>
      <c r="D496" s="7"/>
      <c r="E496" s="7"/>
      <c r="F496" s="7"/>
      <c r="G496" s="7"/>
      <c r="H496" s="7"/>
      <c r="I496" s="7"/>
      <c r="J496" s="7"/>
    </row>
    <row r="497" spans="3:10" x14ac:dyDescent="0.3">
      <c r="E497" s="4" t="s">
        <v>22</v>
      </c>
      <c r="G497" s="11">
        <v>0</v>
      </c>
      <c r="H497" s="11">
        <v>579.75</v>
      </c>
      <c r="I497" s="11">
        <f>G497-H497</f>
        <v>-579.75</v>
      </c>
    </row>
    <row r="498" spans="3:10" x14ac:dyDescent="0.3">
      <c r="C498" s="8" t="s">
        <v>11</v>
      </c>
      <c r="D498" s="9">
        <v>45659</v>
      </c>
      <c r="E498" t="s">
        <v>16</v>
      </c>
      <c r="F498" s="10" t="s">
        <v>17</v>
      </c>
      <c r="G498" s="11">
        <v>273.27</v>
      </c>
      <c r="H498" s="11">
        <v>0</v>
      </c>
      <c r="I498" s="11">
        <f t="shared" ref="I498:I513" si="21">G498-H498+I497</f>
        <v>-306.48</v>
      </c>
      <c r="J498" s="12"/>
    </row>
    <row r="499" spans="3:10" x14ac:dyDescent="0.3">
      <c r="C499" s="8" t="s">
        <v>11</v>
      </c>
      <c r="D499" s="9">
        <v>45672</v>
      </c>
      <c r="E499" t="s">
        <v>489</v>
      </c>
      <c r="F499" s="10" t="s">
        <v>490</v>
      </c>
      <c r="G499" s="11">
        <v>0</v>
      </c>
      <c r="H499" s="11">
        <v>113.58</v>
      </c>
      <c r="I499" s="11">
        <f t="shared" si="21"/>
        <v>-420.06</v>
      </c>
      <c r="J499" s="12"/>
    </row>
    <row r="500" spans="3:10" x14ac:dyDescent="0.3">
      <c r="C500" s="8" t="s">
        <v>11</v>
      </c>
      <c r="D500" s="9">
        <v>45686</v>
      </c>
      <c r="E500" t="s">
        <v>16</v>
      </c>
      <c r="F500" s="10" t="s">
        <v>17</v>
      </c>
      <c r="G500" s="11">
        <v>306.48</v>
      </c>
      <c r="H500" s="11">
        <v>0</v>
      </c>
      <c r="I500" s="11">
        <f t="shared" si="21"/>
        <v>-113.57999999999998</v>
      </c>
      <c r="J500" s="12"/>
    </row>
    <row r="501" spans="3:10" x14ac:dyDescent="0.3">
      <c r="C501" s="8" t="s">
        <v>11</v>
      </c>
      <c r="D501" s="9">
        <v>45703</v>
      </c>
      <c r="E501" t="s">
        <v>491</v>
      </c>
      <c r="F501" s="10" t="s">
        <v>492</v>
      </c>
      <c r="G501" s="11">
        <v>0</v>
      </c>
      <c r="H501" s="11">
        <v>186.38</v>
      </c>
      <c r="I501" s="11">
        <f t="shared" si="21"/>
        <v>-299.95999999999998</v>
      </c>
      <c r="J501" s="12"/>
    </row>
    <row r="502" spans="3:10" x14ac:dyDescent="0.3">
      <c r="C502" s="8" t="s">
        <v>11</v>
      </c>
      <c r="D502" s="9">
        <v>45716</v>
      </c>
      <c r="E502" t="s">
        <v>493</v>
      </c>
      <c r="F502" s="10" t="s">
        <v>494</v>
      </c>
      <c r="G502" s="11">
        <v>0</v>
      </c>
      <c r="H502" s="11">
        <v>297.81</v>
      </c>
      <c r="I502" s="11">
        <f t="shared" si="21"/>
        <v>-597.77</v>
      </c>
      <c r="J502" s="12"/>
    </row>
    <row r="503" spans="3:10" x14ac:dyDescent="0.3">
      <c r="C503" s="8" t="s">
        <v>11</v>
      </c>
      <c r="D503" s="9">
        <v>45731</v>
      </c>
      <c r="E503" t="s">
        <v>495</v>
      </c>
      <c r="F503" s="10" t="s">
        <v>496</v>
      </c>
      <c r="G503" s="11">
        <v>0</v>
      </c>
      <c r="H503" s="11">
        <v>112.77</v>
      </c>
      <c r="I503" s="11">
        <f t="shared" si="21"/>
        <v>-710.54</v>
      </c>
      <c r="J503" s="12"/>
    </row>
    <row r="504" spans="3:10" x14ac:dyDescent="0.3">
      <c r="C504" s="8" t="s">
        <v>11</v>
      </c>
      <c r="D504" s="9">
        <v>45743</v>
      </c>
      <c r="E504" t="s">
        <v>16</v>
      </c>
      <c r="F504" s="10" t="s">
        <v>17</v>
      </c>
      <c r="G504" s="11">
        <v>113.58</v>
      </c>
      <c r="H504" s="11">
        <v>0</v>
      </c>
      <c r="I504" s="11">
        <f t="shared" si="21"/>
        <v>-596.95999999999992</v>
      </c>
      <c r="J504" s="12"/>
    </row>
    <row r="505" spans="3:10" x14ac:dyDescent="0.3">
      <c r="C505" s="8" t="s">
        <v>11</v>
      </c>
      <c r="D505" s="9">
        <v>45762</v>
      </c>
      <c r="E505" t="s">
        <v>497</v>
      </c>
      <c r="F505" s="10" t="s">
        <v>498</v>
      </c>
      <c r="G505" s="11">
        <v>0</v>
      </c>
      <c r="H505" s="11">
        <v>205.83</v>
      </c>
      <c r="I505" s="11">
        <f t="shared" si="21"/>
        <v>-802.79</v>
      </c>
      <c r="J505" s="12"/>
    </row>
    <row r="506" spans="3:10" x14ac:dyDescent="0.3">
      <c r="C506" s="8" t="s">
        <v>11</v>
      </c>
      <c r="D506" s="9">
        <v>45776</v>
      </c>
      <c r="E506" t="s">
        <v>16</v>
      </c>
      <c r="F506" s="10" t="s">
        <v>17</v>
      </c>
      <c r="G506" s="11">
        <v>186.38</v>
      </c>
      <c r="H506" s="11">
        <v>0</v>
      </c>
      <c r="I506" s="11">
        <f t="shared" si="21"/>
        <v>-616.41</v>
      </c>
      <c r="J506" s="12"/>
    </row>
    <row r="507" spans="3:10" x14ac:dyDescent="0.3">
      <c r="C507" s="8" t="s">
        <v>11</v>
      </c>
      <c r="D507" s="9">
        <v>45792</v>
      </c>
      <c r="E507" t="s">
        <v>499</v>
      </c>
      <c r="F507" s="10" t="s">
        <v>500</v>
      </c>
      <c r="G507" s="11">
        <v>0</v>
      </c>
      <c r="H507" s="11">
        <v>401.31</v>
      </c>
      <c r="I507" s="11">
        <f t="shared" si="21"/>
        <v>-1017.72</v>
      </c>
      <c r="J507" s="12"/>
    </row>
    <row r="508" spans="3:10" x14ac:dyDescent="0.3">
      <c r="C508" s="8" t="s">
        <v>11</v>
      </c>
      <c r="D508" s="9">
        <v>45803</v>
      </c>
      <c r="E508" t="s">
        <v>16</v>
      </c>
      <c r="F508" s="10" t="s">
        <v>17</v>
      </c>
      <c r="G508" s="11">
        <v>410.58</v>
      </c>
      <c r="H508" s="11">
        <v>0</v>
      </c>
      <c r="I508" s="11">
        <f t="shared" si="21"/>
        <v>-607.1400000000001</v>
      </c>
      <c r="J508" s="12"/>
    </row>
    <row r="509" spans="3:10" x14ac:dyDescent="0.3">
      <c r="C509" s="8" t="s">
        <v>11</v>
      </c>
      <c r="D509" s="9">
        <v>45823</v>
      </c>
      <c r="E509" t="s">
        <v>501</v>
      </c>
      <c r="F509" s="10" t="s">
        <v>502</v>
      </c>
      <c r="G509" s="11">
        <v>0</v>
      </c>
      <c r="H509" s="11">
        <v>212.19</v>
      </c>
      <c r="I509" s="11">
        <f t="shared" si="21"/>
        <v>-819.33000000000015</v>
      </c>
      <c r="J509" s="12"/>
    </row>
    <row r="510" spans="3:10" x14ac:dyDescent="0.3">
      <c r="C510" s="8" t="s">
        <v>11</v>
      </c>
      <c r="D510" s="9">
        <v>45834</v>
      </c>
      <c r="E510" t="s">
        <v>16</v>
      </c>
      <c r="F510" s="10" t="s">
        <v>17</v>
      </c>
      <c r="G510" s="11">
        <v>205.83</v>
      </c>
      <c r="H510" s="11">
        <v>0</v>
      </c>
      <c r="I510" s="11">
        <f t="shared" si="21"/>
        <v>-613.50000000000011</v>
      </c>
      <c r="J510" s="12"/>
    </row>
    <row r="511" spans="3:10" x14ac:dyDescent="0.3">
      <c r="C511" s="8"/>
      <c r="D511" s="9">
        <v>45853</v>
      </c>
      <c r="E511" t="s">
        <v>503</v>
      </c>
      <c r="F511" s="10" t="s">
        <v>504</v>
      </c>
      <c r="G511" s="11">
        <v>0</v>
      </c>
      <c r="H511" s="11">
        <v>389</v>
      </c>
      <c r="I511" s="11">
        <f t="shared" si="21"/>
        <v>-1002.5000000000001</v>
      </c>
      <c r="J511" s="12"/>
    </row>
    <row r="512" spans="3:10" x14ac:dyDescent="0.3">
      <c r="C512" s="8" t="s">
        <v>11</v>
      </c>
      <c r="D512" s="9">
        <v>45863</v>
      </c>
      <c r="E512" t="s">
        <v>16</v>
      </c>
      <c r="F512" s="10" t="s">
        <v>17</v>
      </c>
      <c r="G512" s="11">
        <v>401.31</v>
      </c>
      <c r="H512" s="11">
        <v>0</v>
      </c>
      <c r="I512" s="11">
        <f t="shared" si="21"/>
        <v>-601.19000000000005</v>
      </c>
      <c r="J512" s="12"/>
    </row>
    <row r="513" spans="1:10" x14ac:dyDescent="0.3">
      <c r="C513" s="8" t="s">
        <v>11</v>
      </c>
      <c r="D513" s="9">
        <v>45901</v>
      </c>
      <c r="E513" t="s">
        <v>16</v>
      </c>
      <c r="F513" s="10" t="s">
        <v>17</v>
      </c>
      <c r="G513" s="11">
        <v>212.19</v>
      </c>
      <c r="H513" s="11">
        <v>0</v>
      </c>
      <c r="I513" s="11">
        <f t="shared" si="21"/>
        <v>-389.00000000000006</v>
      </c>
      <c r="J513" s="12"/>
    </row>
    <row r="514" spans="1:10" x14ac:dyDescent="0.3">
      <c r="E514" s="4" t="s">
        <v>20</v>
      </c>
      <c r="G514" s="11">
        <f>SUM(G497:G513)</f>
        <v>2109.62</v>
      </c>
      <c r="H514" s="11">
        <f>SUM(H497:H513)</f>
        <v>2498.62</v>
      </c>
      <c r="I514" s="11">
        <f>G514-H514</f>
        <v>-389</v>
      </c>
    </row>
    <row r="516" spans="1:10" x14ac:dyDescent="0.3">
      <c r="A516" s="5">
        <v>4000298</v>
      </c>
      <c r="B516" s="6" t="s">
        <v>505</v>
      </c>
      <c r="C516" s="7"/>
      <c r="D516" s="7"/>
      <c r="E516" s="7"/>
      <c r="F516" s="7"/>
      <c r="G516" s="7"/>
      <c r="H516" s="7"/>
      <c r="I516" s="7"/>
      <c r="J516" s="7"/>
    </row>
    <row r="517" spans="1:10" x14ac:dyDescent="0.3">
      <c r="E517" s="4" t="s">
        <v>22</v>
      </c>
      <c r="G517" s="11">
        <v>0</v>
      </c>
      <c r="H517" s="11">
        <v>2292.9499999999998</v>
      </c>
      <c r="I517" s="11">
        <f>G517-H517</f>
        <v>-2292.9499999999998</v>
      </c>
    </row>
    <row r="518" spans="1:10" x14ac:dyDescent="0.3">
      <c r="C518" s="8" t="s">
        <v>11</v>
      </c>
      <c r="D518" s="9">
        <v>45659</v>
      </c>
      <c r="E518" t="s">
        <v>16</v>
      </c>
      <c r="F518" s="10" t="s">
        <v>17</v>
      </c>
      <c r="G518" s="11">
        <v>1118.04</v>
      </c>
      <c r="H518" s="11">
        <v>0</v>
      </c>
      <c r="I518" s="11">
        <f t="shared" ref="I518:I533" si="22">G518-H518+I517</f>
        <v>-1174.9099999999999</v>
      </c>
      <c r="J518" s="12"/>
    </row>
    <row r="519" spans="1:10" x14ac:dyDescent="0.3">
      <c r="C519" s="8" t="s">
        <v>11</v>
      </c>
      <c r="D519" s="9">
        <v>45686</v>
      </c>
      <c r="E519" t="s">
        <v>16</v>
      </c>
      <c r="F519" s="10" t="s">
        <v>17</v>
      </c>
      <c r="G519" s="11">
        <v>660.66</v>
      </c>
      <c r="H519" s="11">
        <v>0</v>
      </c>
      <c r="I519" s="11">
        <f t="shared" si="22"/>
        <v>-514.24999999999989</v>
      </c>
      <c r="J519" s="12"/>
    </row>
    <row r="520" spans="1:10" x14ac:dyDescent="0.3">
      <c r="C520" s="8" t="s">
        <v>11</v>
      </c>
      <c r="D520" s="9">
        <v>45687</v>
      </c>
      <c r="E520" t="s">
        <v>506</v>
      </c>
      <c r="F520" s="10" t="s">
        <v>507</v>
      </c>
      <c r="G520" s="11">
        <v>0</v>
      </c>
      <c r="H520" s="11">
        <v>1476.2</v>
      </c>
      <c r="I520" s="11">
        <f t="shared" si="22"/>
        <v>-1990.4499999999998</v>
      </c>
      <c r="J520" s="12"/>
    </row>
    <row r="521" spans="1:10" x14ac:dyDescent="0.3">
      <c r="C521" s="8" t="s">
        <v>11</v>
      </c>
      <c r="D521" s="9">
        <v>45703</v>
      </c>
      <c r="E521" t="s">
        <v>508</v>
      </c>
      <c r="F521" s="10" t="s">
        <v>509</v>
      </c>
      <c r="G521" s="11">
        <v>0</v>
      </c>
      <c r="H521" s="11">
        <v>210.54</v>
      </c>
      <c r="I521" s="11">
        <f t="shared" si="22"/>
        <v>-2200.9899999999998</v>
      </c>
      <c r="J521" s="12"/>
    </row>
    <row r="522" spans="1:10" x14ac:dyDescent="0.3">
      <c r="C522" s="8" t="s">
        <v>11</v>
      </c>
      <c r="D522" s="9">
        <v>45716</v>
      </c>
      <c r="E522" t="s">
        <v>16</v>
      </c>
      <c r="F522" s="10" t="s">
        <v>17</v>
      </c>
      <c r="G522" s="11">
        <v>514.25</v>
      </c>
      <c r="H522" s="11">
        <v>0</v>
      </c>
      <c r="I522" s="11">
        <f t="shared" si="22"/>
        <v>-1686.7399999999998</v>
      </c>
      <c r="J522" s="12"/>
    </row>
    <row r="523" spans="1:10" x14ac:dyDescent="0.3">
      <c r="C523" s="8" t="s">
        <v>11</v>
      </c>
      <c r="D523" s="9">
        <v>45731</v>
      </c>
      <c r="E523" t="s">
        <v>510</v>
      </c>
      <c r="F523" s="10" t="s">
        <v>511</v>
      </c>
      <c r="G523" s="11">
        <v>0</v>
      </c>
      <c r="H523" s="11">
        <v>188.76</v>
      </c>
      <c r="I523" s="11">
        <f t="shared" si="22"/>
        <v>-1875.4999999999998</v>
      </c>
      <c r="J523" s="12"/>
    </row>
    <row r="524" spans="1:10" x14ac:dyDescent="0.3">
      <c r="C524" s="8" t="s">
        <v>11</v>
      </c>
      <c r="D524" s="9">
        <v>45743</v>
      </c>
      <c r="E524" t="s">
        <v>16</v>
      </c>
      <c r="F524" s="10" t="s">
        <v>17</v>
      </c>
      <c r="G524" s="11">
        <v>1686.74</v>
      </c>
      <c r="H524" s="11">
        <v>0</v>
      </c>
      <c r="I524" s="11">
        <f t="shared" si="22"/>
        <v>-188.75999999999976</v>
      </c>
      <c r="J524" s="12"/>
    </row>
    <row r="525" spans="1:10" x14ac:dyDescent="0.3">
      <c r="C525" s="8" t="s">
        <v>11</v>
      </c>
      <c r="D525" s="9">
        <v>45762</v>
      </c>
      <c r="E525" t="s">
        <v>512</v>
      </c>
      <c r="F525" s="10" t="s">
        <v>513</v>
      </c>
      <c r="G525" s="11">
        <v>0</v>
      </c>
      <c r="H525" s="11">
        <v>242</v>
      </c>
      <c r="I525" s="11">
        <f t="shared" si="22"/>
        <v>-430.75999999999976</v>
      </c>
      <c r="J525" s="12"/>
    </row>
    <row r="526" spans="1:10" x14ac:dyDescent="0.3">
      <c r="C526" s="8" t="s">
        <v>11</v>
      </c>
      <c r="D526" s="9">
        <v>45776</v>
      </c>
      <c r="E526" t="s">
        <v>16</v>
      </c>
      <c r="F526" s="10" t="s">
        <v>17</v>
      </c>
      <c r="G526" s="11">
        <v>188.76</v>
      </c>
      <c r="H526" s="11">
        <v>0</v>
      </c>
      <c r="I526" s="11">
        <f t="shared" si="22"/>
        <v>-241.99999999999977</v>
      </c>
      <c r="J526" s="12"/>
    </row>
    <row r="527" spans="1:10" x14ac:dyDescent="0.3">
      <c r="C527" s="8" t="s">
        <v>11</v>
      </c>
      <c r="D527" s="9">
        <v>45803</v>
      </c>
      <c r="E527" t="s">
        <v>16</v>
      </c>
      <c r="F527" s="10" t="s">
        <v>17</v>
      </c>
      <c r="G527" s="11">
        <v>242</v>
      </c>
      <c r="H527" s="11">
        <v>0</v>
      </c>
      <c r="I527" s="11">
        <f t="shared" si="22"/>
        <v>2.2737367544323206E-13</v>
      </c>
      <c r="J527" s="12"/>
    </row>
    <row r="528" spans="1:10" x14ac:dyDescent="0.3">
      <c r="C528" s="8" t="s">
        <v>11</v>
      </c>
      <c r="D528" s="9">
        <v>45807</v>
      </c>
      <c r="E528" t="s">
        <v>514</v>
      </c>
      <c r="F528" s="10" t="s">
        <v>515</v>
      </c>
      <c r="G528" s="11">
        <v>0</v>
      </c>
      <c r="H528" s="11">
        <v>1618.98</v>
      </c>
      <c r="I528" s="11">
        <f t="shared" si="22"/>
        <v>-1618.9799999999998</v>
      </c>
      <c r="J528" s="12"/>
    </row>
    <row r="529" spans="1:10" x14ac:dyDescent="0.3">
      <c r="C529" s="8" t="s">
        <v>11</v>
      </c>
      <c r="D529" s="9">
        <v>45823</v>
      </c>
      <c r="E529" t="s">
        <v>516</v>
      </c>
      <c r="F529" s="10" t="s">
        <v>517</v>
      </c>
      <c r="G529" s="11">
        <v>0</v>
      </c>
      <c r="H529" s="11">
        <v>67.760000000000005</v>
      </c>
      <c r="I529" s="11">
        <f t="shared" si="22"/>
        <v>-1686.7399999999998</v>
      </c>
      <c r="J529" s="12"/>
    </row>
    <row r="530" spans="1:10" x14ac:dyDescent="0.3">
      <c r="C530" s="8" t="s">
        <v>11</v>
      </c>
      <c r="D530" s="9">
        <v>45853</v>
      </c>
      <c r="E530" t="s">
        <v>518</v>
      </c>
      <c r="F530" s="10" t="s">
        <v>519</v>
      </c>
      <c r="G530" s="11">
        <v>0</v>
      </c>
      <c r="H530" s="11">
        <v>359.25</v>
      </c>
      <c r="I530" s="11">
        <f t="shared" si="22"/>
        <v>-2045.9899999999998</v>
      </c>
      <c r="J530" s="12"/>
    </row>
    <row r="531" spans="1:10" x14ac:dyDescent="0.3">
      <c r="C531" s="8" t="s">
        <v>11</v>
      </c>
      <c r="D531" s="9">
        <v>45863</v>
      </c>
      <c r="E531" t="s">
        <v>16</v>
      </c>
      <c r="F531" s="10" t="s">
        <v>17</v>
      </c>
      <c r="G531" s="11">
        <v>1686.74</v>
      </c>
      <c r="H531" s="11">
        <v>0</v>
      </c>
      <c r="I531" s="11">
        <f t="shared" si="22"/>
        <v>-359.24999999999977</v>
      </c>
      <c r="J531" s="12"/>
    </row>
    <row r="532" spans="1:10" x14ac:dyDescent="0.3">
      <c r="C532" s="8"/>
      <c r="D532" s="9">
        <v>45868</v>
      </c>
      <c r="E532" t="s">
        <v>520</v>
      </c>
      <c r="F532" s="10" t="s">
        <v>521</v>
      </c>
      <c r="G532" s="11">
        <v>0</v>
      </c>
      <c r="H532" s="11">
        <v>336.38</v>
      </c>
      <c r="I532" s="11">
        <f t="shared" si="22"/>
        <v>-695.62999999999977</v>
      </c>
      <c r="J532" s="12"/>
    </row>
    <row r="533" spans="1:10" x14ac:dyDescent="0.3">
      <c r="C533" s="8" t="s">
        <v>11</v>
      </c>
      <c r="D533" s="9">
        <v>45901</v>
      </c>
      <c r="E533" t="s">
        <v>16</v>
      </c>
      <c r="F533" s="10" t="s">
        <v>17</v>
      </c>
      <c r="G533" s="11">
        <v>359.25</v>
      </c>
      <c r="H533" s="11">
        <v>0</v>
      </c>
      <c r="I533" s="11">
        <f t="shared" si="22"/>
        <v>-336.37999999999977</v>
      </c>
      <c r="J533" s="12"/>
    </row>
    <row r="534" spans="1:10" x14ac:dyDescent="0.3">
      <c r="E534" s="4" t="s">
        <v>20</v>
      </c>
      <c r="G534" s="11">
        <f>SUM(G517:G533)</f>
        <v>6456.44</v>
      </c>
      <c r="H534" s="11">
        <f>SUM(H517:H533)</f>
        <v>6792.8200000000006</v>
      </c>
      <c r="I534" s="11">
        <f>G534-H534</f>
        <v>-336.38000000000102</v>
      </c>
    </row>
    <row r="536" spans="1:10" x14ac:dyDescent="0.3">
      <c r="A536" s="5">
        <v>4000313</v>
      </c>
      <c r="B536" s="6" t="s">
        <v>522</v>
      </c>
      <c r="C536" s="7"/>
      <c r="D536" s="7"/>
      <c r="E536" s="7"/>
      <c r="F536" s="7"/>
      <c r="G536" s="7"/>
      <c r="H536" s="7"/>
      <c r="I536" s="7"/>
      <c r="J536" s="7"/>
    </row>
    <row r="537" spans="1:10" x14ac:dyDescent="0.3">
      <c r="C537" s="8" t="s">
        <v>11</v>
      </c>
      <c r="D537" s="9">
        <v>45750</v>
      </c>
      <c r="E537" t="s">
        <v>523</v>
      </c>
      <c r="F537" s="10" t="s">
        <v>524</v>
      </c>
      <c r="G537" s="11">
        <v>0</v>
      </c>
      <c r="H537" s="11">
        <v>1456.84</v>
      </c>
      <c r="I537" s="11">
        <f>G537-H537</f>
        <v>-1456.84</v>
      </c>
      <c r="J537" s="12"/>
    </row>
    <row r="538" spans="1:10" x14ac:dyDescent="0.3">
      <c r="C538" s="8" t="s">
        <v>11</v>
      </c>
      <c r="D538" s="9">
        <v>45750</v>
      </c>
      <c r="E538" t="s">
        <v>25</v>
      </c>
      <c r="F538" s="10" t="s">
        <v>17</v>
      </c>
      <c r="G538" s="11">
        <v>1456.84</v>
      </c>
      <c r="H538" s="11">
        <v>0</v>
      </c>
      <c r="I538" s="11">
        <f t="shared" ref="I538:I545" si="23">G538-H538+I537</f>
        <v>0</v>
      </c>
      <c r="J538" s="12">
        <v>5720001</v>
      </c>
    </row>
    <row r="539" spans="1:10" x14ac:dyDescent="0.3">
      <c r="C539" s="8" t="s">
        <v>11</v>
      </c>
      <c r="D539" s="9">
        <v>45777</v>
      </c>
      <c r="E539" t="s">
        <v>525</v>
      </c>
      <c r="F539" s="10" t="s">
        <v>526</v>
      </c>
      <c r="G539" s="11">
        <v>0</v>
      </c>
      <c r="H539" s="11">
        <v>418.66</v>
      </c>
      <c r="I539" s="11">
        <f t="shared" si="23"/>
        <v>-418.66</v>
      </c>
      <c r="J539" s="12"/>
    </row>
    <row r="540" spans="1:10" x14ac:dyDescent="0.3">
      <c r="C540" s="8" t="s">
        <v>11</v>
      </c>
      <c r="D540" s="9">
        <v>45803</v>
      </c>
      <c r="E540" t="s">
        <v>16</v>
      </c>
      <c r="F540" s="10" t="s">
        <v>17</v>
      </c>
      <c r="G540" s="11">
        <v>418.66</v>
      </c>
      <c r="H540" s="11">
        <v>0</v>
      </c>
      <c r="I540" s="11">
        <f t="shared" si="23"/>
        <v>0</v>
      </c>
      <c r="J540" s="12"/>
    </row>
    <row r="541" spans="1:10" x14ac:dyDescent="0.3">
      <c r="C541" s="8" t="s">
        <v>11</v>
      </c>
      <c r="D541" s="9">
        <v>45825</v>
      </c>
      <c r="E541" t="s">
        <v>527</v>
      </c>
      <c r="F541" s="10" t="s">
        <v>528</v>
      </c>
      <c r="G541" s="11">
        <v>0</v>
      </c>
      <c r="H541" s="11">
        <v>2083.62</v>
      </c>
      <c r="I541" s="11">
        <f t="shared" si="23"/>
        <v>-2083.62</v>
      </c>
      <c r="J541" s="12"/>
    </row>
    <row r="542" spans="1:10" x14ac:dyDescent="0.3">
      <c r="C542" s="8" t="s">
        <v>11</v>
      </c>
      <c r="D542" s="9">
        <v>45862</v>
      </c>
      <c r="E542" t="s">
        <v>529</v>
      </c>
      <c r="F542" s="10" t="s">
        <v>530</v>
      </c>
      <c r="G542" s="11">
        <v>0</v>
      </c>
      <c r="H542" s="11">
        <v>323.07</v>
      </c>
      <c r="I542" s="11">
        <f t="shared" si="23"/>
        <v>-2406.69</v>
      </c>
      <c r="J542" s="12"/>
    </row>
    <row r="543" spans="1:10" x14ac:dyDescent="0.3">
      <c r="C543" s="8" t="s">
        <v>11</v>
      </c>
      <c r="D543" s="9">
        <v>45863</v>
      </c>
      <c r="E543" t="s">
        <v>16</v>
      </c>
      <c r="F543" s="10" t="s">
        <v>17</v>
      </c>
      <c r="G543" s="11">
        <v>2083.62</v>
      </c>
      <c r="H543" s="11">
        <v>0</v>
      </c>
      <c r="I543" s="11">
        <f t="shared" si="23"/>
        <v>-323.07000000000016</v>
      </c>
      <c r="J543" s="12"/>
    </row>
    <row r="544" spans="1:10" x14ac:dyDescent="0.3">
      <c r="C544" s="8"/>
      <c r="D544" s="9">
        <v>45875</v>
      </c>
      <c r="E544" t="s">
        <v>531</v>
      </c>
      <c r="F544" s="10" t="s">
        <v>532</v>
      </c>
      <c r="G544" s="11">
        <v>0</v>
      </c>
      <c r="H544" s="11">
        <v>284.35000000000002</v>
      </c>
      <c r="I544" s="11">
        <f t="shared" si="23"/>
        <v>-607.42000000000019</v>
      </c>
      <c r="J544" s="12"/>
    </row>
    <row r="545" spans="1:10" x14ac:dyDescent="0.3">
      <c r="C545" s="8" t="s">
        <v>11</v>
      </c>
      <c r="D545" s="9">
        <v>45901</v>
      </c>
      <c r="E545" t="s">
        <v>16</v>
      </c>
      <c r="F545" s="10" t="s">
        <v>17</v>
      </c>
      <c r="G545" s="11">
        <v>323.07</v>
      </c>
      <c r="H545" s="11">
        <v>0</v>
      </c>
      <c r="I545" s="11">
        <f t="shared" si="23"/>
        <v>-284.35000000000019</v>
      </c>
      <c r="J545" s="12"/>
    </row>
    <row r="546" spans="1:10" x14ac:dyDescent="0.3">
      <c r="E546" s="4" t="s">
        <v>20</v>
      </c>
      <c r="G546" s="11">
        <f>SUM(G537:G545)</f>
        <v>4282.1899999999996</v>
      </c>
      <c r="H546" s="11">
        <f>SUM(H537:H545)</f>
        <v>4566.54</v>
      </c>
      <c r="I546" s="11">
        <f>G546-H546</f>
        <v>-284.35000000000036</v>
      </c>
    </row>
    <row r="548" spans="1:10" x14ac:dyDescent="0.3">
      <c r="A548" s="5">
        <v>4000315</v>
      </c>
      <c r="B548" s="6" t="s">
        <v>533</v>
      </c>
      <c r="C548" s="7"/>
      <c r="D548" s="7"/>
      <c r="E548" s="7"/>
      <c r="F548" s="7"/>
      <c r="G548" s="7"/>
      <c r="H548" s="7"/>
      <c r="I548" s="7"/>
      <c r="J548" s="7"/>
    </row>
    <row r="549" spans="1:10" x14ac:dyDescent="0.3">
      <c r="C549" s="8" t="s">
        <v>11</v>
      </c>
      <c r="D549" s="9">
        <v>45863</v>
      </c>
      <c r="E549" t="s">
        <v>534</v>
      </c>
      <c r="F549" s="10" t="s">
        <v>17</v>
      </c>
      <c r="G549" s="11">
        <v>852.04</v>
      </c>
      <c r="H549" s="11">
        <v>0</v>
      </c>
      <c r="I549" s="11">
        <f>G549-H549</f>
        <v>852.04</v>
      </c>
      <c r="J549" s="12">
        <v>5720001</v>
      </c>
    </row>
    <row r="550" spans="1:10" x14ac:dyDescent="0.3">
      <c r="C550" s="8" t="s">
        <v>11</v>
      </c>
      <c r="D550" s="9">
        <v>45867</v>
      </c>
      <c r="E550" t="s">
        <v>535</v>
      </c>
      <c r="F550" s="10" t="s">
        <v>536</v>
      </c>
      <c r="G550" s="11">
        <v>0</v>
      </c>
      <c r="H550" s="11">
        <v>852.04</v>
      </c>
      <c r="I550" s="11">
        <f>G550-H550+I549</f>
        <v>0</v>
      </c>
      <c r="J550" s="12"/>
    </row>
    <row r="551" spans="1:10" x14ac:dyDescent="0.3">
      <c r="C551" s="8"/>
      <c r="D551" s="9">
        <v>45901</v>
      </c>
      <c r="E551" t="s">
        <v>537</v>
      </c>
      <c r="F551" s="10" t="s">
        <v>17</v>
      </c>
      <c r="G551" s="11">
        <v>720.2</v>
      </c>
      <c r="H551" s="11">
        <v>0</v>
      </c>
      <c r="I551" s="11">
        <f>G551-H551+I550</f>
        <v>720.2</v>
      </c>
      <c r="J551" s="12">
        <v>5720001</v>
      </c>
    </row>
    <row r="552" spans="1:10" x14ac:dyDescent="0.3">
      <c r="C552" s="8"/>
      <c r="D552" s="9">
        <v>45902</v>
      </c>
      <c r="E552" t="s">
        <v>538</v>
      </c>
      <c r="F552" s="10" t="s">
        <v>539</v>
      </c>
      <c r="G552" s="11">
        <v>0</v>
      </c>
      <c r="H552" s="11">
        <v>719.2</v>
      </c>
      <c r="I552" s="11">
        <f>G552-H552+I551</f>
        <v>1</v>
      </c>
      <c r="J552" s="12"/>
    </row>
    <row r="553" spans="1:10" x14ac:dyDescent="0.3">
      <c r="C553" s="8"/>
      <c r="D553" s="9">
        <v>45910</v>
      </c>
      <c r="E553" t="s">
        <v>537</v>
      </c>
      <c r="F553" s="10" t="s">
        <v>17</v>
      </c>
      <c r="G553" s="11">
        <v>408.23</v>
      </c>
      <c r="H553" s="11">
        <v>0</v>
      </c>
      <c r="I553" s="11">
        <f>G553-H553+I552</f>
        <v>409.23</v>
      </c>
      <c r="J553" s="12">
        <v>5720001</v>
      </c>
    </row>
    <row r="554" spans="1:10" x14ac:dyDescent="0.3">
      <c r="E554" s="4" t="s">
        <v>20</v>
      </c>
      <c r="G554" s="11">
        <f>SUM(G549:G553)</f>
        <v>1980.47</v>
      </c>
      <c r="H554" s="11">
        <f>SUM(H549:H553)</f>
        <v>1571.24</v>
      </c>
      <c r="I554" s="11">
        <f>G554-H554</f>
        <v>409.23</v>
      </c>
    </row>
    <row r="556" spans="1:10" x14ac:dyDescent="0.3">
      <c r="A556" s="5">
        <v>4100007</v>
      </c>
      <c r="B556" s="6" t="s">
        <v>540</v>
      </c>
      <c r="C556" s="7"/>
      <c r="D556" s="7"/>
      <c r="E556" s="7"/>
      <c r="F556" s="7"/>
      <c r="G556" s="7"/>
      <c r="H556" s="7"/>
      <c r="I556" s="7"/>
      <c r="J556" s="7"/>
    </row>
    <row r="557" spans="1:10" x14ac:dyDescent="0.3">
      <c r="C557" s="8"/>
      <c r="D557" s="9">
        <v>45860</v>
      </c>
      <c r="E557" t="s">
        <v>541</v>
      </c>
      <c r="F557" s="10" t="s">
        <v>542</v>
      </c>
      <c r="G557" s="11">
        <v>0</v>
      </c>
      <c r="H557" s="11">
        <v>17.010000000000002</v>
      </c>
      <c r="I557" s="11">
        <f>G557-H557</f>
        <v>-17.010000000000002</v>
      </c>
      <c r="J557" s="12"/>
    </row>
    <row r="558" spans="1:10" x14ac:dyDescent="0.3">
      <c r="E558" s="4" t="s">
        <v>20</v>
      </c>
      <c r="G558" s="11">
        <f>G557</f>
        <v>0</v>
      </c>
      <c r="H558" s="11">
        <f>H557</f>
        <v>17.010000000000002</v>
      </c>
      <c r="I558" s="11">
        <f>G558-H558</f>
        <v>-17.010000000000002</v>
      </c>
    </row>
    <row r="560" spans="1:10" x14ac:dyDescent="0.3">
      <c r="A560" s="5">
        <v>4100011</v>
      </c>
      <c r="B560" s="6" t="s">
        <v>543</v>
      </c>
      <c r="C560" s="7"/>
      <c r="D560" s="7"/>
      <c r="E560" s="7"/>
      <c r="F560" s="7"/>
      <c r="G560" s="7"/>
      <c r="H560" s="7"/>
      <c r="I560" s="7"/>
      <c r="J560" s="7"/>
    </row>
    <row r="561" spans="3:10" x14ac:dyDescent="0.3">
      <c r="E561" s="4" t="s">
        <v>22</v>
      </c>
      <c r="G561" s="11">
        <v>0</v>
      </c>
      <c r="H561" s="11">
        <v>195.71</v>
      </c>
      <c r="I561" s="11">
        <f>G561-H561</f>
        <v>-195.71</v>
      </c>
    </row>
    <row r="562" spans="3:10" x14ac:dyDescent="0.3">
      <c r="C562" s="8" t="s">
        <v>11</v>
      </c>
      <c r="D562" s="9">
        <v>45677</v>
      </c>
      <c r="E562" t="s">
        <v>544</v>
      </c>
      <c r="F562" s="10" t="s">
        <v>545</v>
      </c>
      <c r="G562" s="11">
        <v>0</v>
      </c>
      <c r="H562" s="11">
        <v>205.48</v>
      </c>
      <c r="I562" s="11">
        <f t="shared" ref="I562:I577" si="24">G562-H562+I561</f>
        <v>-401.19</v>
      </c>
      <c r="J562" s="12"/>
    </row>
    <row r="563" spans="3:10" x14ac:dyDescent="0.3">
      <c r="C563" s="8" t="s">
        <v>11</v>
      </c>
      <c r="D563" s="9">
        <v>45684</v>
      </c>
      <c r="E563" t="s">
        <v>25</v>
      </c>
      <c r="F563" s="10" t="s">
        <v>17</v>
      </c>
      <c r="G563" s="11">
        <v>195.71</v>
      </c>
      <c r="H563" s="11">
        <v>0</v>
      </c>
      <c r="I563" s="11">
        <f t="shared" si="24"/>
        <v>-205.48</v>
      </c>
      <c r="J563" s="12">
        <v>5720001</v>
      </c>
    </row>
    <row r="564" spans="3:10" x14ac:dyDescent="0.3">
      <c r="C564" s="8" t="s">
        <v>11</v>
      </c>
      <c r="D564" s="9">
        <v>45708</v>
      </c>
      <c r="E564" t="s">
        <v>546</v>
      </c>
      <c r="F564" s="10" t="s">
        <v>547</v>
      </c>
      <c r="G564" s="11">
        <v>0</v>
      </c>
      <c r="H564" s="11">
        <v>205.48</v>
      </c>
      <c r="I564" s="11">
        <f t="shared" si="24"/>
        <v>-410.96</v>
      </c>
      <c r="J564" s="12"/>
    </row>
    <row r="565" spans="3:10" x14ac:dyDescent="0.3">
      <c r="C565" s="8" t="s">
        <v>11</v>
      </c>
      <c r="D565" s="9">
        <v>45713</v>
      </c>
      <c r="E565" t="s">
        <v>25</v>
      </c>
      <c r="F565" s="10" t="s">
        <v>17</v>
      </c>
      <c r="G565" s="11">
        <v>205.48</v>
      </c>
      <c r="H565" s="11">
        <v>0</v>
      </c>
      <c r="I565" s="11">
        <f t="shared" si="24"/>
        <v>-205.48</v>
      </c>
      <c r="J565" s="12">
        <v>5720001</v>
      </c>
    </row>
    <row r="566" spans="3:10" x14ac:dyDescent="0.3">
      <c r="C566" s="8" t="s">
        <v>11</v>
      </c>
      <c r="D566" s="9">
        <v>45736</v>
      </c>
      <c r="E566" t="s">
        <v>548</v>
      </c>
      <c r="F566" s="10" t="s">
        <v>549</v>
      </c>
      <c r="G566" s="11">
        <v>0</v>
      </c>
      <c r="H566" s="11">
        <v>205.48</v>
      </c>
      <c r="I566" s="11">
        <f t="shared" si="24"/>
        <v>-410.96</v>
      </c>
      <c r="J566" s="12"/>
    </row>
    <row r="567" spans="3:10" x14ac:dyDescent="0.3">
      <c r="C567" s="8" t="s">
        <v>11</v>
      </c>
      <c r="D567" s="9">
        <v>45741</v>
      </c>
      <c r="E567" t="s">
        <v>25</v>
      </c>
      <c r="F567" s="10" t="s">
        <v>17</v>
      </c>
      <c r="G567" s="11">
        <v>205.48</v>
      </c>
      <c r="H567" s="11">
        <v>0</v>
      </c>
      <c r="I567" s="11">
        <f t="shared" si="24"/>
        <v>-205.48</v>
      </c>
      <c r="J567" s="12">
        <v>5720001</v>
      </c>
    </row>
    <row r="568" spans="3:10" x14ac:dyDescent="0.3">
      <c r="C568" s="8" t="s">
        <v>11</v>
      </c>
      <c r="D568" s="9">
        <v>45767</v>
      </c>
      <c r="E568" t="s">
        <v>550</v>
      </c>
      <c r="F568" s="10" t="s">
        <v>551</v>
      </c>
      <c r="G568" s="11">
        <v>0</v>
      </c>
      <c r="H568" s="11">
        <v>205.48</v>
      </c>
      <c r="I568" s="11">
        <f t="shared" si="24"/>
        <v>-410.96</v>
      </c>
      <c r="J568" s="12"/>
    </row>
    <row r="569" spans="3:10" x14ac:dyDescent="0.3">
      <c r="C569" s="8" t="s">
        <v>11</v>
      </c>
      <c r="D569" s="9">
        <v>45772</v>
      </c>
      <c r="E569" t="s">
        <v>25</v>
      </c>
      <c r="F569" s="10" t="s">
        <v>17</v>
      </c>
      <c r="G569" s="11">
        <v>205.48</v>
      </c>
      <c r="H569" s="11">
        <v>0</v>
      </c>
      <c r="I569" s="11">
        <f t="shared" si="24"/>
        <v>-205.48</v>
      </c>
      <c r="J569" s="12">
        <v>5720001</v>
      </c>
    </row>
    <row r="570" spans="3:10" x14ac:dyDescent="0.3">
      <c r="C570" s="8" t="s">
        <v>11</v>
      </c>
      <c r="D570" s="9">
        <v>45797</v>
      </c>
      <c r="E570" t="s">
        <v>552</v>
      </c>
      <c r="F570" s="10" t="s">
        <v>553</v>
      </c>
      <c r="G570" s="11">
        <v>0</v>
      </c>
      <c r="H570" s="11">
        <v>205.48</v>
      </c>
      <c r="I570" s="11">
        <f t="shared" si="24"/>
        <v>-410.96</v>
      </c>
      <c r="J570" s="12"/>
    </row>
    <row r="571" spans="3:10" x14ac:dyDescent="0.3">
      <c r="C571" s="8" t="s">
        <v>11</v>
      </c>
      <c r="D571" s="9">
        <v>45803</v>
      </c>
      <c r="E571" t="s">
        <v>25</v>
      </c>
      <c r="F571" s="10" t="s">
        <v>17</v>
      </c>
      <c r="G571" s="11">
        <v>205.48</v>
      </c>
      <c r="H571" s="11">
        <v>0</v>
      </c>
      <c r="I571" s="11">
        <f t="shared" si="24"/>
        <v>-205.48</v>
      </c>
      <c r="J571" s="12">
        <v>5720001</v>
      </c>
    </row>
    <row r="572" spans="3:10" x14ac:dyDescent="0.3">
      <c r="C572" s="8" t="s">
        <v>11</v>
      </c>
      <c r="D572" s="9">
        <v>45828</v>
      </c>
      <c r="E572" t="s">
        <v>554</v>
      </c>
      <c r="F572" s="10" t="s">
        <v>555</v>
      </c>
      <c r="G572" s="11">
        <v>0</v>
      </c>
      <c r="H572" s="11">
        <v>205.48</v>
      </c>
      <c r="I572" s="11">
        <f t="shared" si="24"/>
        <v>-410.96</v>
      </c>
      <c r="J572" s="12"/>
    </row>
    <row r="573" spans="3:10" x14ac:dyDescent="0.3">
      <c r="C573" s="8" t="s">
        <v>11</v>
      </c>
      <c r="D573" s="9">
        <v>45833</v>
      </c>
      <c r="E573" t="s">
        <v>25</v>
      </c>
      <c r="F573" s="10" t="s">
        <v>17</v>
      </c>
      <c r="G573" s="11">
        <v>205.48</v>
      </c>
      <c r="H573" s="11">
        <v>0</v>
      </c>
      <c r="I573" s="11">
        <f t="shared" si="24"/>
        <v>-205.48</v>
      </c>
      <c r="J573" s="12">
        <v>5720001</v>
      </c>
    </row>
    <row r="574" spans="3:10" x14ac:dyDescent="0.3">
      <c r="C574" s="8" t="s">
        <v>11</v>
      </c>
      <c r="D574" s="9">
        <v>45858</v>
      </c>
      <c r="E574" t="s">
        <v>556</v>
      </c>
      <c r="F574" s="10" t="s">
        <v>557</v>
      </c>
      <c r="G574" s="11">
        <v>0</v>
      </c>
      <c r="H574" s="11">
        <v>205.48</v>
      </c>
      <c r="I574" s="11">
        <f t="shared" si="24"/>
        <v>-410.96</v>
      </c>
      <c r="J574" s="12"/>
    </row>
    <row r="575" spans="3:10" x14ac:dyDescent="0.3">
      <c r="C575" s="8" t="s">
        <v>11</v>
      </c>
      <c r="D575" s="9">
        <v>45863</v>
      </c>
      <c r="E575" t="s">
        <v>25</v>
      </c>
      <c r="F575" s="10" t="s">
        <v>17</v>
      </c>
      <c r="G575" s="11">
        <v>205.48</v>
      </c>
      <c r="H575" s="11">
        <v>0</v>
      </c>
      <c r="I575" s="11">
        <f t="shared" si="24"/>
        <v>-205.48</v>
      </c>
      <c r="J575" s="12">
        <v>5720001</v>
      </c>
    </row>
    <row r="576" spans="3:10" x14ac:dyDescent="0.3">
      <c r="C576" s="8"/>
      <c r="D576" s="9">
        <v>45889</v>
      </c>
      <c r="E576" t="s">
        <v>558</v>
      </c>
      <c r="F576" s="10" t="s">
        <v>559</v>
      </c>
      <c r="G576" s="11">
        <v>0</v>
      </c>
      <c r="H576" s="11">
        <v>205.48</v>
      </c>
      <c r="I576" s="11">
        <f t="shared" si="24"/>
        <v>-410.96</v>
      </c>
      <c r="J576" s="12"/>
    </row>
    <row r="577" spans="1:10" x14ac:dyDescent="0.3">
      <c r="C577" s="8" t="s">
        <v>11</v>
      </c>
      <c r="D577" s="9">
        <v>45894</v>
      </c>
      <c r="E577" t="s">
        <v>25</v>
      </c>
      <c r="F577" s="10" t="s">
        <v>17</v>
      </c>
      <c r="G577" s="11">
        <v>205.48</v>
      </c>
      <c r="H577" s="11">
        <v>0</v>
      </c>
      <c r="I577" s="11">
        <f t="shared" si="24"/>
        <v>-205.48</v>
      </c>
      <c r="J577" s="12">
        <v>5720001</v>
      </c>
    </row>
    <row r="578" spans="1:10" x14ac:dyDescent="0.3">
      <c r="E578" s="4" t="s">
        <v>20</v>
      </c>
      <c r="G578" s="11">
        <f>SUM(G561:G577)</f>
        <v>1634.07</v>
      </c>
      <c r="H578" s="11">
        <f>SUM(H561:H577)</f>
        <v>1839.55</v>
      </c>
      <c r="I578" s="11">
        <f>G578-H578</f>
        <v>-205.48000000000002</v>
      </c>
    </row>
    <row r="580" spans="1:10" x14ac:dyDescent="0.3">
      <c r="A580" s="5">
        <v>4100032</v>
      </c>
      <c r="B580" s="6" t="s">
        <v>560</v>
      </c>
      <c r="C580" s="7"/>
      <c r="D580" s="7"/>
      <c r="E580" s="7"/>
      <c r="F580" s="7"/>
      <c r="G580" s="7"/>
      <c r="H580" s="7"/>
      <c r="I580" s="7"/>
      <c r="J580" s="7"/>
    </row>
    <row r="581" spans="1:10" x14ac:dyDescent="0.3">
      <c r="C581" s="8" t="s">
        <v>11</v>
      </c>
      <c r="D581" s="9">
        <v>45672</v>
      </c>
      <c r="E581" t="s">
        <v>561</v>
      </c>
      <c r="F581" s="10" t="s">
        <v>562</v>
      </c>
      <c r="G581" s="11">
        <v>0</v>
      </c>
      <c r="H581" s="11">
        <v>520.29999999999995</v>
      </c>
      <c r="I581" s="11">
        <f>G581-H581</f>
        <v>-520.29999999999995</v>
      </c>
      <c r="J581" s="12"/>
    </row>
    <row r="582" spans="1:10" x14ac:dyDescent="0.3">
      <c r="C582" s="8" t="s">
        <v>11</v>
      </c>
      <c r="D582" s="9">
        <v>45677</v>
      </c>
      <c r="E582" t="s">
        <v>25</v>
      </c>
      <c r="F582" s="10" t="s">
        <v>17</v>
      </c>
      <c r="G582" s="11">
        <v>520.29999999999995</v>
      </c>
      <c r="H582" s="11">
        <v>0</v>
      </c>
      <c r="I582" s="11">
        <f t="shared" ref="I582:I599" si="25">G582-H582+I581</f>
        <v>0</v>
      </c>
      <c r="J582" s="12">
        <v>5720001</v>
      </c>
    </row>
    <row r="583" spans="1:10" x14ac:dyDescent="0.3">
      <c r="C583" s="8" t="s">
        <v>11</v>
      </c>
      <c r="D583" s="9">
        <v>45703</v>
      </c>
      <c r="E583" t="s">
        <v>563</v>
      </c>
      <c r="F583" s="10" t="s">
        <v>564</v>
      </c>
      <c r="G583" s="11">
        <v>0</v>
      </c>
      <c r="H583" s="11">
        <v>520.29999999999995</v>
      </c>
      <c r="I583" s="11">
        <f t="shared" si="25"/>
        <v>-520.29999999999995</v>
      </c>
      <c r="J583" s="12"/>
    </row>
    <row r="584" spans="1:10" x14ac:dyDescent="0.3">
      <c r="C584" s="8" t="s">
        <v>11</v>
      </c>
      <c r="D584" s="9">
        <v>45708</v>
      </c>
      <c r="E584" t="s">
        <v>25</v>
      </c>
      <c r="F584" s="10" t="s">
        <v>17</v>
      </c>
      <c r="G584" s="11">
        <v>520.29999999999995</v>
      </c>
      <c r="H584" s="11">
        <v>0</v>
      </c>
      <c r="I584" s="11">
        <f t="shared" si="25"/>
        <v>0</v>
      </c>
      <c r="J584" s="12">
        <v>5720001</v>
      </c>
    </row>
    <row r="585" spans="1:10" x14ac:dyDescent="0.3">
      <c r="C585" s="8" t="s">
        <v>11</v>
      </c>
      <c r="D585" s="9">
        <v>45731</v>
      </c>
      <c r="E585" t="s">
        <v>565</v>
      </c>
      <c r="F585" s="10" t="s">
        <v>566</v>
      </c>
      <c r="G585" s="11">
        <v>0</v>
      </c>
      <c r="H585" s="11">
        <v>520.29999999999995</v>
      </c>
      <c r="I585" s="11">
        <f t="shared" si="25"/>
        <v>-520.29999999999995</v>
      </c>
      <c r="J585" s="12"/>
    </row>
    <row r="586" spans="1:10" x14ac:dyDescent="0.3">
      <c r="C586" s="8" t="s">
        <v>11</v>
      </c>
      <c r="D586" s="9">
        <v>45736</v>
      </c>
      <c r="E586" t="s">
        <v>25</v>
      </c>
      <c r="F586" s="10" t="s">
        <v>17</v>
      </c>
      <c r="G586" s="11">
        <v>520.29999999999995</v>
      </c>
      <c r="H586" s="11">
        <v>0</v>
      </c>
      <c r="I586" s="11">
        <f t="shared" si="25"/>
        <v>0</v>
      </c>
      <c r="J586" s="12">
        <v>5720001</v>
      </c>
    </row>
    <row r="587" spans="1:10" x14ac:dyDescent="0.3">
      <c r="C587" s="8" t="s">
        <v>11</v>
      </c>
      <c r="D587" s="9">
        <v>45762</v>
      </c>
      <c r="E587" t="s">
        <v>567</v>
      </c>
      <c r="F587" s="10" t="s">
        <v>568</v>
      </c>
      <c r="G587" s="11">
        <v>0</v>
      </c>
      <c r="H587" s="11">
        <v>520.29999999999995</v>
      </c>
      <c r="I587" s="11">
        <f t="shared" si="25"/>
        <v>-520.29999999999995</v>
      </c>
      <c r="J587" s="12"/>
    </row>
    <row r="588" spans="1:10" x14ac:dyDescent="0.3">
      <c r="C588" s="8" t="s">
        <v>11</v>
      </c>
      <c r="D588" s="9">
        <v>45769</v>
      </c>
      <c r="E588" t="s">
        <v>25</v>
      </c>
      <c r="F588" s="10" t="s">
        <v>17</v>
      </c>
      <c r="G588" s="11">
        <v>520.29999999999995</v>
      </c>
      <c r="H588" s="11">
        <v>0</v>
      </c>
      <c r="I588" s="11">
        <f t="shared" si="25"/>
        <v>0</v>
      </c>
      <c r="J588" s="12">
        <v>5720001</v>
      </c>
    </row>
    <row r="589" spans="1:10" x14ac:dyDescent="0.3">
      <c r="C589" s="8" t="s">
        <v>11</v>
      </c>
      <c r="D589" s="9">
        <v>45792</v>
      </c>
      <c r="E589" t="s">
        <v>569</v>
      </c>
      <c r="F589" s="10" t="s">
        <v>570</v>
      </c>
      <c r="G589" s="11">
        <v>0</v>
      </c>
      <c r="H589" s="11">
        <v>520.29999999999995</v>
      </c>
      <c r="I589" s="11">
        <f t="shared" si="25"/>
        <v>-520.29999999999995</v>
      </c>
      <c r="J589" s="12"/>
    </row>
    <row r="590" spans="1:10" x14ac:dyDescent="0.3">
      <c r="C590" s="8" t="s">
        <v>11</v>
      </c>
      <c r="D590" s="9">
        <v>45797</v>
      </c>
      <c r="E590" t="s">
        <v>25</v>
      </c>
      <c r="F590" s="10" t="s">
        <v>17</v>
      </c>
      <c r="G590" s="11">
        <v>520.29999999999995</v>
      </c>
      <c r="H590" s="11">
        <v>0</v>
      </c>
      <c r="I590" s="11">
        <f t="shared" si="25"/>
        <v>0</v>
      </c>
      <c r="J590" s="12">
        <v>5720001</v>
      </c>
    </row>
    <row r="591" spans="1:10" x14ac:dyDescent="0.3">
      <c r="C591" s="8" t="s">
        <v>11</v>
      </c>
      <c r="D591" s="9">
        <v>45819</v>
      </c>
      <c r="E591" t="s">
        <v>571</v>
      </c>
      <c r="F591" s="10" t="s">
        <v>572</v>
      </c>
      <c r="G591" s="11">
        <v>0</v>
      </c>
      <c r="H591" s="11">
        <v>48.4</v>
      </c>
      <c r="I591" s="11">
        <f t="shared" si="25"/>
        <v>-48.4</v>
      </c>
      <c r="J591" s="12"/>
    </row>
    <row r="592" spans="1:10" x14ac:dyDescent="0.3">
      <c r="C592" s="8" t="s">
        <v>11</v>
      </c>
      <c r="D592" s="9">
        <v>45823</v>
      </c>
      <c r="E592" t="s">
        <v>573</v>
      </c>
      <c r="F592" s="10" t="s">
        <v>574</v>
      </c>
      <c r="G592" s="11">
        <v>0</v>
      </c>
      <c r="H592" s="11">
        <v>520.29999999999995</v>
      </c>
      <c r="I592" s="11">
        <f t="shared" si="25"/>
        <v>-568.69999999999993</v>
      </c>
      <c r="J592" s="12"/>
    </row>
    <row r="593" spans="1:10" x14ac:dyDescent="0.3">
      <c r="C593" s="8" t="s">
        <v>11</v>
      </c>
      <c r="D593" s="9">
        <v>45828</v>
      </c>
      <c r="E593" t="s">
        <v>25</v>
      </c>
      <c r="F593" s="10" t="s">
        <v>17</v>
      </c>
      <c r="G593" s="11">
        <v>48.4</v>
      </c>
      <c r="H593" s="11">
        <v>0</v>
      </c>
      <c r="I593" s="11">
        <f t="shared" si="25"/>
        <v>-520.29999999999995</v>
      </c>
      <c r="J593" s="12">
        <v>5720001</v>
      </c>
    </row>
    <row r="594" spans="1:10" x14ac:dyDescent="0.3">
      <c r="C594" s="8" t="s">
        <v>11</v>
      </c>
      <c r="D594" s="9">
        <v>45828</v>
      </c>
      <c r="E594" t="s">
        <v>25</v>
      </c>
      <c r="F594" s="10" t="s">
        <v>17</v>
      </c>
      <c r="G594" s="11">
        <v>520.29999999999995</v>
      </c>
      <c r="H594" s="11">
        <v>0</v>
      </c>
      <c r="I594" s="11">
        <f t="shared" si="25"/>
        <v>0</v>
      </c>
      <c r="J594" s="12">
        <v>5720001</v>
      </c>
    </row>
    <row r="595" spans="1:10" x14ac:dyDescent="0.3">
      <c r="C595" s="8"/>
      <c r="D595" s="9">
        <v>45853</v>
      </c>
      <c r="E595" t="s">
        <v>575</v>
      </c>
      <c r="F595" s="10" t="s">
        <v>576</v>
      </c>
      <c r="G595" s="11">
        <v>0</v>
      </c>
      <c r="H595" s="11">
        <v>520.29999999999995</v>
      </c>
      <c r="I595" s="11">
        <f t="shared" si="25"/>
        <v>-520.29999999999995</v>
      </c>
      <c r="J595" s="12"/>
    </row>
    <row r="596" spans="1:10" x14ac:dyDescent="0.3">
      <c r="C596" s="8"/>
      <c r="D596" s="9">
        <v>45859</v>
      </c>
      <c r="E596" t="s">
        <v>25</v>
      </c>
      <c r="F596" s="10" t="s">
        <v>17</v>
      </c>
      <c r="G596" s="11">
        <v>520.29999999999995</v>
      </c>
      <c r="H596" s="11">
        <v>0</v>
      </c>
      <c r="I596" s="11">
        <f t="shared" si="25"/>
        <v>0</v>
      </c>
      <c r="J596" s="12">
        <v>5720001</v>
      </c>
    </row>
    <row r="597" spans="1:10" x14ac:dyDescent="0.3">
      <c r="C597" s="8"/>
      <c r="D597" s="9">
        <v>45884</v>
      </c>
      <c r="E597" t="s">
        <v>577</v>
      </c>
      <c r="F597" s="10" t="s">
        <v>578</v>
      </c>
      <c r="G597" s="11">
        <v>0</v>
      </c>
      <c r="H597" s="11">
        <v>520.29999999999995</v>
      </c>
      <c r="I597" s="11">
        <f t="shared" si="25"/>
        <v>-520.29999999999995</v>
      </c>
      <c r="J597" s="12"/>
    </row>
    <row r="598" spans="1:10" x14ac:dyDescent="0.3">
      <c r="C598" s="8"/>
      <c r="D598" s="9">
        <v>45889</v>
      </c>
      <c r="E598" t="s">
        <v>25</v>
      </c>
      <c r="F598" s="10" t="s">
        <v>17</v>
      </c>
      <c r="G598" s="11">
        <v>520.29999999999995</v>
      </c>
      <c r="H598" s="11">
        <v>0</v>
      </c>
      <c r="I598" s="11">
        <f t="shared" si="25"/>
        <v>0</v>
      </c>
      <c r="J598" s="12">
        <v>5720001</v>
      </c>
    </row>
    <row r="599" spans="1:10" x14ac:dyDescent="0.3">
      <c r="C599" s="8"/>
      <c r="D599" s="9">
        <v>45915</v>
      </c>
      <c r="E599" t="s">
        <v>579</v>
      </c>
      <c r="F599" s="10" t="s">
        <v>580</v>
      </c>
      <c r="G599" s="11">
        <v>0</v>
      </c>
      <c r="H599" s="11">
        <v>520.29999999999995</v>
      </c>
      <c r="I599" s="11">
        <f t="shared" si="25"/>
        <v>-520.29999999999995</v>
      </c>
      <c r="J599" s="12"/>
    </row>
    <row r="600" spans="1:10" x14ac:dyDescent="0.3">
      <c r="E600" s="4" t="s">
        <v>20</v>
      </c>
      <c r="G600" s="11">
        <f>SUM(G581:G599)</f>
        <v>4210.8</v>
      </c>
      <c r="H600" s="11">
        <f>SUM(H581:H599)</f>
        <v>4731.1000000000004</v>
      </c>
      <c r="I600" s="11">
        <f>G600-H600</f>
        <v>-520.30000000000018</v>
      </c>
    </row>
    <row r="602" spans="1:10" x14ac:dyDescent="0.3">
      <c r="A602" s="5">
        <v>4100037</v>
      </c>
      <c r="B602" s="6" t="s">
        <v>581</v>
      </c>
      <c r="C602" s="7"/>
      <c r="D602" s="7"/>
      <c r="E602" s="7"/>
      <c r="F602" s="7"/>
      <c r="G602" s="7"/>
      <c r="H602" s="7"/>
      <c r="I602" s="7"/>
      <c r="J602" s="7"/>
    </row>
    <row r="603" spans="1:10" x14ac:dyDescent="0.3">
      <c r="E603" s="4" t="s">
        <v>22</v>
      </c>
      <c r="G603" s="11">
        <v>69.45</v>
      </c>
      <c r="H603" s="11">
        <v>0</v>
      </c>
      <c r="I603" s="11">
        <f>G603-H603</f>
        <v>69.45</v>
      </c>
    </row>
    <row r="604" spans="1:10" x14ac:dyDescent="0.3">
      <c r="C604" s="8" t="s">
        <v>11</v>
      </c>
      <c r="D604" s="9">
        <v>45658</v>
      </c>
      <c r="E604" t="s">
        <v>582</v>
      </c>
      <c r="F604" s="10" t="s">
        <v>583</v>
      </c>
      <c r="G604" s="11">
        <v>0</v>
      </c>
      <c r="H604" s="11">
        <v>71.400000000000006</v>
      </c>
      <c r="I604" s="11">
        <f t="shared" ref="I604:I632" si="26">G604-H604+I603</f>
        <v>-1.9500000000000028</v>
      </c>
      <c r="J604" s="12"/>
    </row>
    <row r="605" spans="1:10" x14ac:dyDescent="0.3">
      <c r="C605" s="8" t="s">
        <v>11</v>
      </c>
      <c r="D605" s="9">
        <v>45659</v>
      </c>
      <c r="E605" t="s">
        <v>584</v>
      </c>
      <c r="F605" s="10" t="s">
        <v>585</v>
      </c>
      <c r="G605" s="11">
        <v>0</v>
      </c>
      <c r="H605" s="11">
        <v>69.45</v>
      </c>
      <c r="I605" s="11">
        <f t="shared" si="26"/>
        <v>-71.400000000000006</v>
      </c>
      <c r="J605" s="12"/>
    </row>
    <row r="606" spans="1:10" x14ac:dyDescent="0.3">
      <c r="C606" s="8" t="s">
        <v>11</v>
      </c>
      <c r="D606" s="9">
        <v>45665</v>
      </c>
      <c r="E606" t="s">
        <v>25</v>
      </c>
      <c r="F606" s="10" t="s">
        <v>17</v>
      </c>
      <c r="G606" s="11">
        <v>71.400000000000006</v>
      </c>
      <c r="H606" s="11">
        <v>0</v>
      </c>
      <c r="I606" s="11">
        <f t="shared" si="26"/>
        <v>0</v>
      </c>
      <c r="J606" s="12">
        <v>5720001</v>
      </c>
    </row>
    <row r="607" spans="1:10" x14ac:dyDescent="0.3">
      <c r="C607" s="8" t="s">
        <v>11</v>
      </c>
      <c r="D607" s="9">
        <v>45689</v>
      </c>
      <c r="E607" t="s">
        <v>586</v>
      </c>
      <c r="F607" s="10" t="s">
        <v>587</v>
      </c>
      <c r="G607" s="11">
        <v>0</v>
      </c>
      <c r="H607" s="11">
        <v>71.400000000000006</v>
      </c>
      <c r="I607" s="11">
        <f t="shared" si="26"/>
        <v>-71.400000000000006</v>
      </c>
      <c r="J607" s="12"/>
    </row>
    <row r="608" spans="1:10" x14ac:dyDescent="0.3">
      <c r="C608" s="8" t="s">
        <v>11</v>
      </c>
      <c r="D608" s="9">
        <v>45694</v>
      </c>
      <c r="E608" t="s">
        <v>25</v>
      </c>
      <c r="F608" s="10" t="s">
        <v>17</v>
      </c>
      <c r="G608" s="11">
        <v>71.400000000000006</v>
      </c>
      <c r="H608" s="11">
        <v>0</v>
      </c>
      <c r="I608" s="11">
        <f t="shared" si="26"/>
        <v>0</v>
      </c>
      <c r="J608" s="12">
        <v>5720001</v>
      </c>
    </row>
    <row r="609" spans="3:10" x14ac:dyDescent="0.3">
      <c r="C609" s="8"/>
      <c r="D609" s="9">
        <v>45698</v>
      </c>
      <c r="E609" t="s">
        <v>588</v>
      </c>
      <c r="F609" s="10" t="s">
        <v>589</v>
      </c>
      <c r="G609" s="11">
        <v>0</v>
      </c>
      <c r="H609" s="11">
        <v>180.29</v>
      </c>
      <c r="I609" s="11">
        <f t="shared" si="26"/>
        <v>-180.29</v>
      </c>
      <c r="J609" s="12"/>
    </row>
    <row r="610" spans="3:10" x14ac:dyDescent="0.3">
      <c r="C610" s="8"/>
      <c r="D610" s="9">
        <v>45699</v>
      </c>
      <c r="E610" t="s">
        <v>590</v>
      </c>
      <c r="F610" s="10" t="s">
        <v>591</v>
      </c>
      <c r="G610" s="11">
        <v>0</v>
      </c>
      <c r="H610" s="11">
        <v>180.29</v>
      </c>
      <c r="I610" s="11">
        <f t="shared" si="26"/>
        <v>-360.58</v>
      </c>
      <c r="J610" s="12"/>
    </row>
    <row r="611" spans="3:10" x14ac:dyDescent="0.3">
      <c r="C611" s="8"/>
      <c r="D611" s="9">
        <v>45701</v>
      </c>
      <c r="E611" t="s">
        <v>592</v>
      </c>
      <c r="F611" s="10" t="s">
        <v>593</v>
      </c>
      <c r="G611" s="11">
        <v>0</v>
      </c>
      <c r="H611" s="11">
        <v>1142.24</v>
      </c>
      <c r="I611" s="11">
        <f t="shared" si="26"/>
        <v>-1502.82</v>
      </c>
      <c r="J611" s="12"/>
    </row>
    <row r="612" spans="3:10" x14ac:dyDescent="0.3">
      <c r="C612" s="8" t="s">
        <v>11</v>
      </c>
      <c r="D612" s="9">
        <v>45717</v>
      </c>
      <c r="E612" t="s">
        <v>594</v>
      </c>
      <c r="F612" s="10" t="s">
        <v>595</v>
      </c>
      <c r="G612" s="11">
        <v>0</v>
      </c>
      <c r="H612" s="11">
        <v>10.81</v>
      </c>
      <c r="I612" s="11">
        <f t="shared" si="26"/>
        <v>-1513.6299999999999</v>
      </c>
      <c r="J612" s="12"/>
    </row>
    <row r="613" spans="3:10" x14ac:dyDescent="0.3">
      <c r="C613" s="8" t="s">
        <v>11</v>
      </c>
      <c r="D613" s="9">
        <v>45722</v>
      </c>
      <c r="E613" t="s">
        <v>25</v>
      </c>
      <c r="F613" s="10" t="s">
        <v>17</v>
      </c>
      <c r="G613" s="11">
        <v>10.81</v>
      </c>
      <c r="H613" s="11">
        <v>0</v>
      </c>
      <c r="I613" s="11">
        <f t="shared" si="26"/>
        <v>-1502.82</v>
      </c>
      <c r="J613" s="12">
        <v>5720001</v>
      </c>
    </row>
    <row r="614" spans="3:10" x14ac:dyDescent="0.3">
      <c r="C614" s="8"/>
      <c r="D614" s="9">
        <v>45722</v>
      </c>
      <c r="E614" t="s">
        <v>25</v>
      </c>
      <c r="F614" s="10" t="s">
        <v>17</v>
      </c>
      <c r="G614" s="11">
        <v>131.30000000000001</v>
      </c>
      <c r="H614" s="11">
        <v>0</v>
      </c>
      <c r="I614" s="11">
        <f t="shared" si="26"/>
        <v>-1371.52</v>
      </c>
      <c r="J614" s="12">
        <v>5720001</v>
      </c>
    </row>
    <row r="615" spans="3:10" x14ac:dyDescent="0.3">
      <c r="C615" s="8" t="s">
        <v>11</v>
      </c>
      <c r="D615" s="9">
        <v>45748</v>
      </c>
      <c r="E615" t="s">
        <v>596</v>
      </c>
      <c r="F615" s="10" t="s">
        <v>597</v>
      </c>
      <c r="G615" s="11">
        <v>0</v>
      </c>
      <c r="H615" s="11">
        <v>89.55</v>
      </c>
      <c r="I615" s="11">
        <f t="shared" si="26"/>
        <v>-1461.07</v>
      </c>
      <c r="J615" s="12"/>
    </row>
    <row r="616" spans="3:10" x14ac:dyDescent="0.3">
      <c r="C616" s="8" t="s">
        <v>11</v>
      </c>
      <c r="D616" s="9">
        <v>45751</v>
      </c>
      <c r="E616" t="s">
        <v>598</v>
      </c>
      <c r="F616" s="10" t="s">
        <v>17</v>
      </c>
      <c r="G616" s="11">
        <v>89.55</v>
      </c>
      <c r="H616" s="11">
        <v>0</v>
      </c>
      <c r="I616" s="11">
        <f t="shared" si="26"/>
        <v>-1371.52</v>
      </c>
      <c r="J616" s="12"/>
    </row>
    <row r="617" spans="3:10" x14ac:dyDescent="0.3">
      <c r="C617" s="8"/>
      <c r="D617" s="9">
        <v>45751</v>
      </c>
      <c r="E617" t="s">
        <v>599</v>
      </c>
      <c r="F617" s="10" t="s">
        <v>17</v>
      </c>
      <c r="G617" s="11">
        <v>41.75</v>
      </c>
      <c r="H617" s="11">
        <v>0</v>
      </c>
      <c r="I617" s="11">
        <f t="shared" si="26"/>
        <v>-1329.77</v>
      </c>
      <c r="J617" s="12"/>
    </row>
    <row r="618" spans="3:10" x14ac:dyDescent="0.3">
      <c r="C618" s="8" t="s">
        <v>11</v>
      </c>
      <c r="D618" s="9">
        <v>45778</v>
      </c>
      <c r="E618" t="s">
        <v>600</v>
      </c>
      <c r="F618" s="10" t="s">
        <v>601</v>
      </c>
      <c r="G618" s="11">
        <v>0</v>
      </c>
      <c r="H618" s="11">
        <v>116.78</v>
      </c>
      <c r="I618" s="11">
        <f t="shared" si="26"/>
        <v>-1446.55</v>
      </c>
      <c r="J618" s="12"/>
    </row>
    <row r="619" spans="3:10" x14ac:dyDescent="0.3">
      <c r="C619" s="8"/>
      <c r="D619" s="9">
        <v>45778</v>
      </c>
      <c r="E619" t="s">
        <v>602</v>
      </c>
      <c r="F619" s="10" t="s">
        <v>601</v>
      </c>
      <c r="G619" s="11">
        <v>41.75</v>
      </c>
      <c r="H619" s="11">
        <v>0</v>
      </c>
      <c r="I619" s="11">
        <f t="shared" si="26"/>
        <v>-1404.8</v>
      </c>
      <c r="J619" s="12"/>
    </row>
    <row r="620" spans="3:10" x14ac:dyDescent="0.3">
      <c r="C620" s="8" t="s">
        <v>11</v>
      </c>
      <c r="D620" s="9">
        <v>45783</v>
      </c>
      <c r="E620" t="s">
        <v>598</v>
      </c>
      <c r="F620" s="10" t="s">
        <v>17</v>
      </c>
      <c r="G620" s="11">
        <v>116.78</v>
      </c>
      <c r="H620" s="11">
        <v>0</v>
      </c>
      <c r="I620" s="11">
        <f t="shared" si="26"/>
        <v>-1288.02</v>
      </c>
      <c r="J620" s="12">
        <v>5720001</v>
      </c>
    </row>
    <row r="621" spans="3:10" x14ac:dyDescent="0.3">
      <c r="C621" s="8" t="s">
        <v>11</v>
      </c>
      <c r="D621" s="9">
        <v>45809</v>
      </c>
      <c r="E621" t="s">
        <v>603</v>
      </c>
      <c r="F621" s="10" t="s">
        <v>604</v>
      </c>
      <c r="G621" s="11">
        <v>0</v>
      </c>
      <c r="H621" s="11">
        <v>116.78</v>
      </c>
      <c r="I621" s="11">
        <f t="shared" si="26"/>
        <v>-1404.8</v>
      </c>
      <c r="J621" s="12"/>
    </row>
    <row r="622" spans="3:10" x14ac:dyDescent="0.3">
      <c r="C622" s="8"/>
      <c r="D622" s="9">
        <v>45809</v>
      </c>
      <c r="E622" t="s">
        <v>603</v>
      </c>
      <c r="F622" s="10" t="s">
        <v>604</v>
      </c>
      <c r="G622" s="11">
        <v>41.75</v>
      </c>
      <c r="H622" s="11">
        <v>0</v>
      </c>
      <c r="I622" s="11">
        <f t="shared" si="26"/>
        <v>-1363.05</v>
      </c>
      <c r="J622" s="12"/>
    </row>
    <row r="623" spans="3:10" x14ac:dyDescent="0.3">
      <c r="C623" s="8" t="s">
        <v>11</v>
      </c>
      <c r="D623" s="9">
        <v>45813</v>
      </c>
      <c r="E623" t="s">
        <v>25</v>
      </c>
      <c r="F623" s="10" t="s">
        <v>17</v>
      </c>
      <c r="G623" s="11">
        <v>116.78</v>
      </c>
      <c r="H623" s="11">
        <v>0</v>
      </c>
      <c r="I623" s="11">
        <f t="shared" si="26"/>
        <v>-1246.27</v>
      </c>
      <c r="J623" s="12">
        <v>5720001</v>
      </c>
    </row>
    <row r="624" spans="3:10" x14ac:dyDescent="0.3">
      <c r="C624" s="8" t="s">
        <v>11</v>
      </c>
      <c r="D624" s="9">
        <v>45839</v>
      </c>
      <c r="E624" t="s">
        <v>605</v>
      </c>
      <c r="F624" s="10" t="s">
        <v>606</v>
      </c>
      <c r="G624" s="11">
        <v>0</v>
      </c>
      <c r="H624" s="11">
        <v>116.78</v>
      </c>
      <c r="I624" s="11">
        <f t="shared" si="26"/>
        <v>-1363.05</v>
      </c>
      <c r="J624" s="12"/>
    </row>
    <row r="625" spans="1:10" x14ac:dyDescent="0.3">
      <c r="C625" s="8"/>
      <c r="D625" s="9">
        <v>45839</v>
      </c>
      <c r="E625" t="s">
        <v>605</v>
      </c>
      <c r="F625" s="10" t="s">
        <v>606</v>
      </c>
      <c r="G625" s="11">
        <v>41.75</v>
      </c>
      <c r="H625" s="11">
        <v>0</v>
      </c>
      <c r="I625" s="11">
        <f t="shared" si="26"/>
        <v>-1321.3</v>
      </c>
      <c r="J625" s="12"/>
    </row>
    <row r="626" spans="1:10" x14ac:dyDescent="0.3">
      <c r="C626" s="8" t="s">
        <v>11</v>
      </c>
      <c r="D626" s="9">
        <v>45842</v>
      </c>
      <c r="E626" t="s">
        <v>25</v>
      </c>
      <c r="F626" s="10" t="s">
        <v>17</v>
      </c>
      <c r="G626" s="11">
        <v>116.78</v>
      </c>
      <c r="H626" s="11">
        <v>0</v>
      </c>
      <c r="I626" s="11">
        <f t="shared" si="26"/>
        <v>-1204.52</v>
      </c>
      <c r="J626" s="12">
        <v>5720001</v>
      </c>
    </row>
    <row r="627" spans="1:10" x14ac:dyDescent="0.3">
      <c r="C627" s="8" t="s">
        <v>11</v>
      </c>
      <c r="D627" s="9">
        <v>45870</v>
      </c>
      <c r="E627" t="s">
        <v>607</v>
      </c>
      <c r="F627" s="10" t="s">
        <v>608</v>
      </c>
      <c r="G627" s="11">
        <v>0</v>
      </c>
      <c r="H627" s="11">
        <v>116.78</v>
      </c>
      <c r="I627" s="11">
        <f t="shared" si="26"/>
        <v>-1321.3</v>
      </c>
      <c r="J627" s="12"/>
    </row>
    <row r="628" spans="1:10" x14ac:dyDescent="0.3">
      <c r="C628" s="8"/>
      <c r="D628" s="9">
        <v>45870</v>
      </c>
      <c r="E628" t="s">
        <v>607</v>
      </c>
      <c r="F628" s="10" t="s">
        <v>608</v>
      </c>
      <c r="G628" s="11">
        <v>41.75</v>
      </c>
      <c r="H628" s="11">
        <v>0</v>
      </c>
      <c r="I628" s="11">
        <f t="shared" si="26"/>
        <v>-1279.55</v>
      </c>
      <c r="J628" s="12"/>
    </row>
    <row r="629" spans="1:10" x14ac:dyDescent="0.3">
      <c r="C629" s="8" t="s">
        <v>11</v>
      </c>
      <c r="D629" s="9">
        <v>45875</v>
      </c>
      <c r="E629" t="s">
        <v>25</v>
      </c>
      <c r="F629" s="10" t="s">
        <v>17</v>
      </c>
      <c r="G629" s="11">
        <v>116.78</v>
      </c>
      <c r="H629" s="11">
        <v>0</v>
      </c>
      <c r="I629" s="11">
        <f t="shared" si="26"/>
        <v>-1162.77</v>
      </c>
      <c r="J629" s="12">
        <v>5720001</v>
      </c>
    </row>
    <row r="630" spans="1:10" x14ac:dyDescent="0.3">
      <c r="C630" s="8" t="s">
        <v>11</v>
      </c>
      <c r="D630" s="9">
        <v>45901</v>
      </c>
      <c r="E630" t="s">
        <v>609</v>
      </c>
      <c r="F630" s="10" t="s">
        <v>610</v>
      </c>
      <c r="G630" s="11">
        <v>0</v>
      </c>
      <c r="H630" s="11">
        <v>116.78</v>
      </c>
      <c r="I630" s="11">
        <f t="shared" si="26"/>
        <v>-1279.55</v>
      </c>
      <c r="J630" s="12"/>
    </row>
    <row r="631" spans="1:10" x14ac:dyDescent="0.3">
      <c r="C631" s="8"/>
      <c r="D631" s="9">
        <v>45901</v>
      </c>
      <c r="E631" t="s">
        <v>609</v>
      </c>
      <c r="F631" s="10" t="s">
        <v>610</v>
      </c>
      <c r="G631" s="11">
        <v>41.75</v>
      </c>
      <c r="H631" s="11">
        <v>0</v>
      </c>
      <c r="I631" s="11">
        <f t="shared" si="26"/>
        <v>-1237.8</v>
      </c>
      <c r="J631" s="12"/>
    </row>
    <row r="632" spans="1:10" x14ac:dyDescent="0.3">
      <c r="C632" s="8" t="s">
        <v>11</v>
      </c>
      <c r="D632" s="9">
        <v>45905</v>
      </c>
      <c r="E632" t="s">
        <v>25</v>
      </c>
      <c r="F632" s="10" t="s">
        <v>17</v>
      </c>
      <c r="G632" s="11">
        <v>116.78</v>
      </c>
      <c r="H632" s="11">
        <v>0</v>
      </c>
      <c r="I632" s="11">
        <f t="shared" si="26"/>
        <v>-1121.02</v>
      </c>
      <c r="J632" s="12">
        <v>5720001</v>
      </c>
    </row>
    <row r="633" spans="1:10" x14ac:dyDescent="0.3">
      <c r="E633" s="4" t="s">
        <v>20</v>
      </c>
      <c r="G633" s="11">
        <f>SUM(G603:G632)</f>
        <v>1278.31</v>
      </c>
      <c r="H633" s="11">
        <f>SUM(H603:H632)</f>
        <v>2399.3300000000008</v>
      </c>
      <c r="I633" s="11">
        <f>G633-H633</f>
        <v>-1121.0200000000009</v>
      </c>
    </row>
    <row r="635" spans="1:10" x14ac:dyDescent="0.3">
      <c r="A635" s="5">
        <v>4100052</v>
      </c>
      <c r="B635" s="6" t="s">
        <v>611</v>
      </c>
      <c r="C635" s="7"/>
      <c r="D635" s="7"/>
      <c r="E635" s="7"/>
      <c r="F635" s="7"/>
      <c r="G635" s="7"/>
      <c r="H635" s="7"/>
      <c r="I635" s="7"/>
      <c r="J635" s="7"/>
    </row>
    <row r="636" spans="1:10" x14ac:dyDescent="0.3">
      <c r="C636" s="8"/>
      <c r="D636" s="9">
        <v>45771</v>
      </c>
      <c r="E636" t="s">
        <v>612</v>
      </c>
      <c r="F636" s="10" t="s">
        <v>613</v>
      </c>
      <c r="G636" s="11">
        <v>0</v>
      </c>
      <c r="H636" s="11">
        <v>43.77</v>
      </c>
      <c r="I636" s="11">
        <f>G636-H636</f>
        <v>-43.77</v>
      </c>
      <c r="J636" s="12"/>
    </row>
    <row r="637" spans="1:10" x14ac:dyDescent="0.3">
      <c r="C637" s="8"/>
      <c r="D637" s="9">
        <v>45859</v>
      </c>
      <c r="E637" t="s">
        <v>612</v>
      </c>
      <c r="F637" s="10" t="s">
        <v>614</v>
      </c>
      <c r="G637" s="11">
        <v>0</v>
      </c>
      <c r="H637" s="11">
        <v>57.71</v>
      </c>
      <c r="I637" s="11">
        <f>G637-H637+I636</f>
        <v>-101.48</v>
      </c>
      <c r="J637" s="12"/>
    </row>
    <row r="638" spans="1:10" x14ac:dyDescent="0.3">
      <c r="E638" s="4" t="s">
        <v>20</v>
      </c>
      <c r="G638" s="11">
        <f>SUM(G636:G637)</f>
        <v>0</v>
      </c>
      <c r="H638" s="11">
        <f>SUM(H636:H637)</f>
        <v>101.48</v>
      </c>
      <c r="I638" s="11">
        <f>G638-H638</f>
        <v>-101.48</v>
      </c>
    </row>
    <row r="640" spans="1:10" x14ac:dyDescent="0.3">
      <c r="A640" s="5">
        <v>4100135</v>
      </c>
      <c r="B640" s="6" t="s">
        <v>615</v>
      </c>
      <c r="C640" s="7"/>
      <c r="D640" s="7"/>
      <c r="E640" s="7"/>
      <c r="F640" s="7"/>
      <c r="G640" s="7"/>
      <c r="H640" s="7"/>
      <c r="I640" s="7"/>
      <c r="J640" s="7"/>
    </row>
    <row r="641" spans="1:10" x14ac:dyDescent="0.3">
      <c r="C641" s="8" t="s">
        <v>11</v>
      </c>
      <c r="D641" s="9">
        <v>45695</v>
      </c>
      <c r="E641" t="s">
        <v>616</v>
      </c>
      <c r="F641" s="10" t="s">
        <v>617</v>
      </c>
      <c r="G641" s="11">
        <v>0</v>
      </c>
      <c r="H641" s="11">
        <v>517.64</v>
      </c>
      <c r="I641" s="11">
        <f>G641-H641</f>
        <v>-517.64</v>
      </c>
      <c r="J641" s="12"/>
    </row>
    <row r="642" spans="1:10" x14ac:dyDescent="0.3">
      <c r="C642" s="8" t="s">
        <v>11</v>
      </c>
      <c r="D642" s="9">
        <v>45747</v>
      </c>
      <c r="E642" t="s">
        <v>618</v>
      </c>
      <c r="F642" s="10" t="s">
        <v>619</v>
      </c>
      <c r="G642" s="11">
        <v>0</v>
      </c>
      <c r="H642" s="11">
        <v>517.64</v>
      </c>
      <c r="I642" s="11">
        <f t="shared" ref="I642:I648" si="27">G642-H642+I641</f>
        <v>-1035.28</v>
      </c>
      <c r="J642" s="12"/>
    </row>
    <row r="643" spans="1:10" x14ac:dyDescent="0.3">
      <c r="C643" s="8" t="s">
        <v>11</v>
      </c>
      <c r="D643" s="9">
        <v>45776</v>
      </c>
      <c r="E643" t="s">
        <v>16</v>
      </c>
      <c r="F643" s="10" t="s">
        <v>17</v>
      </c>
      <c r="G643" s="11">
        <v>517.64</v>
      </c>
      <c r="H643" s="11">
        <v>0</v>
      </c>
      <c r="I643" s="11">
        <f t="shared" si="27"/>
        <v>-517.64</v>
      </c>
      <c r="J643" s="12"/>
    </row>
    <row r="644" spans="1:10" x14ac:dyDescent="0.3">
      <c r="C644" s="8" t="s">
        <v>11</v>
      </c>
      <c r="D644" s="9">
        <v>45803</v>
      </c>
      <c r="E644" t="s">
        <v>16</v>
      </c>
      <c r="F644" s="10" t="s">
        <v>17</v>
      </c>
      <c r="G644" s="11">
        <v>517.64</v>
      </c>
      <c r="H644" s="11">
        <v>0</v>
      </c>
      <c r="I644" s="11">
        <f t="shared" si="27"/>
        <v>0</v>
      </c>
      <c r="J644" s="12"/>
    </row>
    <row r="645" spans="1:10" x14ac:dyDescent="0.3">
      <c r="C645" s="8" t="s">
        <v>11</v>
      </c>
      <c r="D645" s="9">
        <v>45834</v>
      </c>
      <c r="E645" t="s">
        <v>620</v>
      </c>
      <c r="F645" s="10" t="s">
        <v>621</v>
      </c>
      <c r="G645" s="11">
        <v>0</v>
      </c>
      <c r="H645" s="11">
        <v>481.34</v>
      </c>
      <c r="I645" s="11">
        <f t="shared" si="27"/>
        <v>-481.34</v>
      </c>
      <c r="J645" s="12"/>
    </row>
    <row r="646" spans="1:10" x14ac:dyDescent="0.3">
      <c r="C646" s="8"/>
      <c r="D646" s="9">
        <v>45866</v>
      </c>
      <c r="E646" t="s">
        <v>622</v>
      </c>
      <c r="F646" s="10" t="s">
        <v>623</v>
      </c>
      <c r="G646" s="11">
        <v>0</v>
      </c>
      <c r="H646" s="11">
        <v>610.92999999999995</v>
      </c>
      <c r="I646" s="11">
        <f t="shared" si="27"/>
        <v>-1092.27</v>
      </c>
      <c r="J646" s="12"/>
    </row>
    <row r="647" spans="1:10" x14ac:dyDescent="0.3">
      <c r="C647" s="8"/>
      <c r="D647" s="9">
        <v>45870</v>
      </c>
      <c r="E647" t="s">
        <v>624</v>
      </c>
      <c r="F647" s="10" t="s">
        <v>625</v>
      </c>
      <c r="G647" s="11">
        <v>0</v>
      </c>
      <c r="H647" s="11">
        <v>709.05</v>
      </c>
      <c r="I647" s="11">
        <f t="shared" si="27"/>
        <v>-1801.32</v>
      </c>
      <c r="J647" s="12"/>
    </row>
    <row r="648" spans="1:10" x14ac:dyDescent="0.3">
      <c r="C648" s="8" t="s">
        <v>11</v>
      </c>
      <c r="D648" s="9">
        <v>45901</v>
      </c>
      <c r="E648" t="s">
        <v>16</v>
      </c>
      <c r="F648" s="10" t="s">
        <v>17</v>
      </c>
      <c r="G648" s="11">
        <v>481.34</v>
      </c>
      <c r="H648" s="11">
        <v>0</v>
      </c>
      <c r="I648" s="11">
        <f t="shared" si="27"/>
        <v>-1319.98</v>
      </c>
      <c r="J648" s="12"/>
    </row>
    <row r="649" spans="1:10" x14ac:dyDescent="0.3">
      <c r="E649" s="4" t="s">
        <v>20</v>
      </c>
      <c r="G649" s="11">
        <f>SUM(G641:G648)</f>
        <v>1516.62</v>
      </c>
      <c r="H649" s="11">
        <f>SUM(H641:H648)</f>
        <v>2836.5999999999995</v>
      </c>
      <c r="I649" s="11">
        <f>G649-H649</f>
        <v>-1319.9799999999996</v>
      </c>
    </row>
    <row r="651" spans="1:10" x14ac:dyDescent="0.3">
      <c r="A651" s="5">
        <v>4100182</v>
      </c>
      <c r="B651" s="6" t="s">
        <v>626</v>
      </c>
      <c r="C651" s="7"/>
      <c r="D651" s="7"/>
      <c r="E651" s="7"/>
      <c r="F651" s="7"/>
      <c r="G651" s="7"/>
      <c r="H651" s="7"/>
      <c r="I651" s="7"/>
      <c r="J651" s="7"/>
    </row>
    <row r="652" spans="1:10" x14ac:dyDescent="0.3">
      <c r="E652" s="4" t="s">
        <v>22</v>
      </c>
      <c r="G652" s="11">
        <v>250</v>
      </c>
      <c r="H652" s="11">
        <v>0</v>
      </c>
      <c r="I652" s="11">
        <f>G652-H652</f>
        <v>250</v>
      </c>
    </row>
    <row r="653" spans="1:10" x14ac:dyDescent="0.3">
      <c r="C653" s="8" t="s">
        <v>11</v>
      </c>
      <c r="D653" s="9">
        <v>45659</v>
      </c>
      <c r="E653" t="s">
        <v>627</v>
      </c>
      <c r="F653" s="10" t="s">
        <v>628</v>
      </c>
      <c r="G653" s="11">
        <v>0</v>
      </c>
      <c r="H653" s="11">
        <v>30</v>
      </c>
      <c r="I653" s="11">
        <f t="shared" ref="I653:I687" si="28">G653-H653+I652</f>
        <v>220</v>
      </c>
      <c r="J653" s="12"/>
    </row>
    <row r="654" spans="1:10" x14ac:dyDescent="0.3">
      <c r="C654" s="8" t="s">
        <v>11</v>
      </c>
      <c r="D654" s="9">
        <v>45659</v>
      </c>
      <c r="E654" t="s">
        <v>629</v>
      </c>
      <c r="F654" s="10" t="s">
        <v>630</v>
      </c>
      <c r="G654" s="11">
        <v>0</v>
      </c>
      <c r="H654" s="11">
        <v>30</v>
      </c>
      <c r="I654" s="11">
        <f t="shared" si="28"/>
        <v>190</v>
      </c>
      <c r="J654" s="12"/>
    </row>
    <row r="655" spans="1:10" x14ac:dyDescent="0.3">
      <c r="C655" s="8" t="s">
        <v>11</v>
      </c>
      <c r="D655" s="9">
        <v>45659</v>
      </c>
      <c r="E655" t="s">
        <v>631</v>
      </c>
      <c r="F655" s="10" t="s">
        <v>632</v>
      </c>
      <c r="G655" s="11">
        <v>0</v>
      </c>
      <c r="H655" s="11">
        <v>30</v>
      </c>
      <c r="I655" s="11">
        <f t="shared" si="28"/>
        <v>160</v>
      </c>
      <c r="J655" s="12"/>
    </row>
    <row r="656" spans="1:10" x14ac:dyDescent="0.3">
      <c r="C656" s="8" t="s">
        <v>11</v>
      </c>
      <c r="D656" s="9">
        <v>45659</v>
      </c>
      <c r="E656" t="s">
        <v>633</v>
      </c>
      <c r="F656" s="10" t="s">
        <v>634</v>
      </c>
      <c r="G656" s="11">
        <v>0</v>
      </c>
      <c r="H656" s="11">
        <v>30</v>
      </c>
      <c r="I656" s="11">
        <f t="shared" si="28"/>
        <v>130</v>
      </c>
      <c r="J656" s="12"/>
    </row>
    <row r="657" spans="3:10" x14ac:dyDescent="0.3">
      <c r="C657" s="8" t="s">
        <v>11</v>
      </c>
      <c r="D657" s="9">
        <v>45659</v>
      </c>
      <c r="E657" t="s">
        <v>635</v>
      </c>
      <c r="F657" s="10" t="s">
        <v>636</v>
      </c>
      <c r="G657" s="11">
        <v>0</v>
      </c>
      <c r="H657" s="11">
        <v>30</v>
      </c>
      <c r="I657" s="11">
        <f t="shared" si="28"/>
        <v>100</v>
      </c>
      <c r="J657" s="12"/>
    </row>
    <row r="658" spans="3:10" x14ac:dyDescent="0.3">
      <c r="C658" s="8" t="s">
        <v>11</v>
      </c>
      <c r="D658" s="9">
        <v>45659</v>
      </c>
      <c r="E658" t="s">
        <v>637</v>
      </c>
      <c r="F658" s="10" t="s">
        <v>17</v>
      </c>
      <c r="G658" s="11">
        <v>0</v>
      </c>
      <c r="H658" s="11">
        <v>160</v>
      </c>
      <c r="I658" s="11">
        <f t="shared" si="28"/>
        <v>-60</v>
      </c>
      <c r="J658" s="12">
        <v>6298000</v>
      </c>
    </row>
    <row r="659" spans="3:10" x14ac:dyDescent="0.3">
      <c r="C659" s="8" t="s">
        <v>11</v>
      </c>
      <c r="D659" s="9">
        <v>45660</v>
      </c>
      <c r="E659" t="s">
        <v>638</v>
      </c>
      <c r="F659" s="10" t="s">
        <v>639</v>
      </c>
      <c r="G659" s="11">
        <v>30</v>
      </c>
      <c r="H659" s="11">
        <v>0</v>
      </c>
      <c r="I659" s="11">
        <f t="shared" si="28"/>
        <v>-30</v>
      </c>
      <c r="J659" s="12"/>
    </row>
    <row r="660" spans="3:10" x14ac:dyDescent="0.3">
      <c r="C660" s="8" t="s">
        <v>11</v>
      </c>
      <c r="D660" s="9">
        <v>45660</v>
      </c>
      <c r="E660" t="s">
        <v>638</v>
      </c>
      <c r="F660" s="10" t="s">
        <v>640</v>
      </c>
      <c r="G660" s="11">
        <v>30</v>
      </c>
      <c r="H660" s="11">
        <v>0</v>
      </c>
      <c r="I660" s="11">
        <f t="shared" si="28"/>
        <v>0</v>
      </c>
      <c r="J660" s="12"/>
    </row>
    <row r="661" spans="3:10" x14ac:dyDescent="0.3">
      <c r="C661" s="8" t="s">
        <v>11</v>
      </c>
      <c r="D661" s="9">
        <v>45678</v>
      </c>
      <c r="E661" t="s">
        <v>612</v>
      </c>
      <c r="F661" s="10" t="s">
        <v>641</v>
      </c>
      <c r="G661" s="11">
        <v>0</v>
      </c>
      <c r="H661" s="11">
        <v>30</v>
      </c>
      <c r="I661" s="11">
        <f t="shared" si="28"/>
        <v>-30</v>
      </c>
      <c r="J661" s="12"/>
    </row>
    <row r="662" spans="3:10" x14ac:dyDescent="0.3">
      <c r="C662" s="8" t="s">
        <v>11</v>
      </c>
      <c r="D662" s="9">
        <v>45679</v>
      </c>
      <c r="E662" t="s">
        <v>642</v>
      </c>
      <c r="F662" s="10" t="s">
        <v>643</v>
      </c>
      <c r="G662" s="11">
        <v>0</v>
      </c>
      <c r="H662" s="11">
        <v>73.430000000000007</v>
      </c>
      <c r="I662" s="11">
        <f t="shared" si="28"/>
        <v>-103.43</v>
      </c>
      <c r="J662" s="12"/>
    </row>
    <row r="663" spans="3:10" x14ac:dyDescent="0.3">
      <c r="C663" s="8" t="s">
        <v>11</v>
      </c>
      <c r="D663" s="9">
        <v>45693</v>
      </c>
      <c r="E663" t="s">
        <v>638</v>
      </c>
      <c r="F663" s="10" t="s">
        <v>644</v>
      </c>
      <c r="G663" s="11">
        <v>30</v>
      </c>
      <c r="H663" s="11">
        <v>0</v>
      </c>
      <c r="I663" s="11">
        <f t="shared" si="28"/>
        <v>-73.430000000000007</v>
      </c>
      <c r="J663" s="12"/>
    </row>
    <row r="664" spans="3:10" x14ac:dyDescent="0.3">
      <c r="C664" s="8" t="s">
        <v>11</v>
      </c>
      <c r="D664" s="9">
        <v>45693</v>
      </c>
      <c r="E664" t="s">
        <v>638</v>
      </c>
      <c r="F664" s="10" t="s">
        <v>645</v>
      </c>
      <c r="G664" s="11">
        <v>73.430000000000007</v>
      </c>
      <c r="H664" s="11">
        <v>0</v>
      </c>
      <c r="I664" s="11">
        <f t="shared" si="28"/>
        <v>0</v>
      </c>
      <c r="J664" s="12"/>
    </row>
    <row r="665" spans="3:10" x14ac:dyDescent="0.3">
      <c r="C665" s="8" t="s">
        <v>11</v>
      </c>
      <c r="D665" s="9">
        <v>45693</v>
      </c>
      <c r="E665" t="s">
        <v>638</v>
      </c>
      <c r="F665" s="10" t="s">
        <v>646</v>
      </c>
      <c r="G665" s="11">
        <v>30</v>
      </c>
      <c r="H665" s="11">
        <v>0</v>
      </c>
      <c r="I665" s="11">
        <f t="shared" si="28"/>
        <v>30</v>
      </c>
      <c r="J665" s="12"/>
    </row>
    <row r="666" spans="3:10" x14ac:dyDescent="0.3">
      <c r="C666" s="8" t="s">
        <v>11</v>
      </c>
      <c r="D666" s="9">
        <v>45721</v>
      </c>
      <c r="E666" t="s">
        <v>647</v>
      </c>
      <c r="F666" s="10" t="s">
        <v>648</v>
      </c>
      <c r="G666" s="11">
        <v>30</v>
      </c>
      <c r="H666" s="11">
        <v>0</v>
      </c>
      <c r="I666" s="11">
        <f t="shared" si="28"/>
        <v>60</v>
      </c>
      <c r="J666" s="12"/>
    </row>
    <row r="667" spans="3:10" x14ac:dyDescent="0.3">
      <c r="C667" s="8" t="s">
        <v>11</v>
      </c>
      <c r="D667" s="9">
        <v>45721</v>
      </c>
      <c r="E667" t="s">
        <v>647</v>
      </c>
      <c r="F667" s="10" t="s">
        <v>649</v>
      </c>
      <c r="G667" s="11">
        <v>35</v>
      </c>
      <c r="H667" s="11">
        <v>0</v>
      </c>
      <c r="I667" s="11">
        <f t="shared" si="28"/>
        <v>95</v>
      </c>
      <c r="J667" s="12"/>
    </row>
    <row r="668" spans="3:10" x14ac:dyDescent="0.3">
      <c r="C668" s="8" t="s">
        <v>11</v>
      </c>
      <c r="D668" s="9">
        <v>45748</v>
      </c>
      <c r="E668" t="s">
        <v>650</v>
      </c>
      <c r="F668" s="10" t="s">
        <v>651</v>
      </c>
      <c r="G668" s="11">
        <v>0</v>
      </c>
      <c r="H668" s="11">
        <v>30</v>
      </c>
      <c r="I668" s="11">
        <f t="shared" si="28"/>
        <v>65</v>
      </c>
      <c r="J668" s="12"/>
    </row>
    <row r="669" spans="3:10" x14ac:dyDescent="0.3">
      <c r="C669" s="8" t="s">
        <v>11</v>
      </c>
      <c r="D669" s="9">
        <v>45748</v>
      </c>
      <c r="E669" t="s">
        <v>652</v>
      </c>
      <c r="F669" s="10" t="s">
        <v>653</v>
      </c>
      <c r="G669" s="11">
        <v>0</v>
      </c>
      <c r="H669" s="11">
        <v>30</v>
      </c>
      <c r="I669" s="11">
        <f t="shared" si="28"/>
        <v>35</v>
      </c>
      <c r="J669" s="12"/>
    </row>
    <row r="670" spans="3:10" x14ac:dyDescent="0.3">
      <c r="C670" s="8" t="s">
        <v>11</v>
      </c>
      <c r="D670" s="9">
        <v>45748</v>
      </c>
      <c r="E670" t="s">
        <v>654</v>
      </c>
      <c r="F670" s="10" t="s">
        <v>655</v>
      </c>
      <c r="G670" s="11">
        <v>0</v>
      </c>
      <c r="H670" s="11">
        <v>35</v>
      </c>
      <c r="I670" s="11">
        <f t="shared" si="28"/>
        <v>0</v>
      </c>
      <c r="J670" s="12"/>
    </row>
    <row r="671" spans="3:10" x14ac:dyDescent="0.3">
      <c r="C671" s="8" t="s">
        <v>11</v>
      </c>
      <c r="D671" s="9">
        <v>45748</v>
      </c>
      <c r="E671" t="s">
        <v>656</v>
      </c>
      <c r="F671" s="10" t="s">
        <v>657</v>
      </c>
      <c r="G671" s="11">
        <v>0</v>
      </c>
      <c r="H671" s="11">
        <v>30</v>
      </c>
      <c r="I671" s="11">
        <f t="shared" si="28"/>
        <v>-30</v>
      </c>
      <c r="J671" s="12"/>
    </row>
    <row r="672" spans="3:10" x14ac:dyDescent="0.3">
      <c r="C672" s="8" t="s">
        <v>11</v>
      </c>
      <c r="D672" s="9">
        <v>45748</v>
      </c>
      <c r="E672" t="s">
        <v>658</v>
      </c>
      <c r="F672" s="10" t="s">
        <v>659</v>
      </c>
      <c r="G672" s="11">
        <v>0</v>
      </c>
      <c r="H672" s="11">
        <v>35</v>
      </c>
      <c r="I672" s="11">
        <f t="shared" si="28"/>
        <v>-65</v>
      </c>
      <c r="J672" s="12"/>
    </row>
    <row r="673" spans="3:10" x14ac:dyDescent="0.3">
      <c r="C673" s="8" t="s">
        <v>11</v>
      </c>
      <c r="D673" s="9">
        <v>45748</v>
      </c>
      <c r="E673" t="s">
        <v>660</v>
      </c>
      <c r="F673" s="10" t="s">
        <v>661</v>
      </c>
      <c r="G673" s="11">
        <v>0</v>
      </c>
      <c r="H673" s="11">
        <v>30</v>
      </c>
      <c r="I673" s="11">
        <f t="shared" si="28"/>
        <v>-95</v>
      </c>
      <c r="J673" s="12"/>
    </row>
    <row r="674" spans="3:10" x14ac:dyDescent="0.3">
      <c r="C674" s="8" t="s">
        <v>11</v>
      </c>
      <c r="D674" s="9">
        <v>45751</v>
      </c>
      <c r="E674" t="s">
        <v>638</v>
      </c>
      <c r="F674" s="10" t="s">
        <v>662</v>
      </c>
      <c r="G674" s="11">
        <v>30</v>
      </c>
      <c r="H674" s="11">
        <v>0</v>
      </c>
      <c r="I674" s="11">
        <f t="shared" si="28"/>
        <v>-65</v>
      </c>
      <c r="J674" s="12"/>
    </row>
    <row r="675" spans="3:10" x14ac:dyDescent="0.3">
      <c r="C675" s="8" t="s">
        <v>11</v>
      </c>
      <c r="D675" s="9">
        <v>45751</v>
      </c>
      <c r="E675" t="s">
        <v>638</v>
      </c>
      <c r="F675" s="10" t="s">
        <v>663</v>
      </c>
      <c r="G675" s="11">
        <v>35</v>
      </c>
      <c r="H675" s="11">
        <v>0</v>
      </c>
      <c r="I675" s="11">
        <f t="shared" si="28"/>
        <v>-30</v>
      </c>
      <c r="J675" s="12"/>
    </row>
    <row r="676" spans="3:10" x14ac:dyDescent="0.3">
      <c r="C676" s="8" t="s">
        <v>11</v>
      </c>
      <c r="D676" s="9">
        <v>45751</v>
      </c>
      <c r="E676" t="s">
        <v>638</v>
      </c>
      <c r="F676" s="10" t="s">
        <v>664</v>
      </c>
      <c r="G676" s="11">
        <v>30</v>
      </c>
      <c r="H676" s="11">
        <v>0</v>
      </c>
      <c r="I676" s="11">
        <f t="shared" si="28"/>
        <v>0</v>
      </c>
      <c r="J676" s="12"/>
    </row>
    <row r="677" spans="3:10" x14ac:dyDescent="0.3">
      <c r="C677" s="8" t="s">
        <v>11</v>
      </c>
      <c r="D677" s="9">
        <v>45792</v>
      </c>
      <c r="E677" t="s">
        <v>612</v>
      </c>
      <c r="F677" s="10" t="s">
        <v>665</v>
      </c>
      <c r="G677" s="11">
        <v>0</v>
      </c>
      <c r="H677" s="11">
        <v>30</v>
      </c>
      <c r="I677" s="11">
        <f t="shared" si="28"/>
        <v>-30</v>
      </c>
      <c r="J677" s="12"/>
    </row>
    <row r="678" spans="3:10" x14ac:dyDescent="0.3">
      <c r="C678" s="8" t="s">
        <v>11</v>
      </c>
      <c r="D678" s="9">
        <v>45792</v>
      </c>
      <c r="E678" t="s">
        <v>666</v>
      </c>
      <c r="F678" s="10" t="s">
        <v>667</v>
      </c>
      <c r="G678" s="11">
        <v>0</v>
      </c>
      <c r="H678" s="11">
        <v>30</v>
      </c>
      <c r="I678" s="11">
        <f t="shared" si="28"/>
        <v>-60</v>
      </c>
      <c r="J678" s="12"/>
    </row>
    <row r="679" spans="3:10" x14ac:dyDescent="0.3">
      <c r="C679" s="8" t="s">
        <v>11</v>
      </c>
      <c r="D679" s="9">
        <v>45813</v>
      </c>
      <c r="E679" t="s">
        <v>647</v>
      </c>
      <c r="F679" s="10" t="s">
        <v>668</v>
      </c>
      <c r="G679" s="11">
        <v>30</v>
      </c>
      <c r="H679" s="11">
        <v>0</v>
      </c>
      <c r="I679" s="11">
        <f t="shared" si="28"/>
        <v>-30</v>
      </c>
      <c r="J679" s="12"/>
    </row>
    <row r="680" spans="3:10" x14ac:dyDescent="0.3">
      <c r="C680" s="8" t="s">
        <v>11</v>
      </c>
      <c r="D680" s="9">
        <v>45813</v>
      </c>
      <c r="E680" t="s">
        <v>647</v>
      </c>
      <c r="F680" s="10" t="s">
        <v>669</v>
      </c>
      <c r="G680" s="11">
        <v>30</v>
      </c>
      <c r="H680" s="11">
        <v>0</v>
      </c>
      <c r="I680" s="11">
        <f t="shared" si="28"/>
        <v>0</v>
      </c>
      <c r="J680" s="12"/>
    </row>
    <row r="681" spans="3:10" x14ac:dyDescent="0.3">
      <c r="C681" s="8"/>
      <c r="D681" s="9">
        <v>45842</v>
      </c>
      <c r="E681" t="s">
        <v>647</v>
      </c>
      <c r="F681" s="10" t="s">
        <v>670</v>
      </c>
      <c r="G681" s="11">
        <v>30</v>
      </c>
      <c r="H681" s="11">
        <v>0</v>
      </c>
      <c r="I681" s="11">
        <f t="shared" si="28"/>
        <v>30</v>
      </c>
      <c r="J681" s="12"/>
    </row>
    <row r="682" spans="3:10" x14ac:dyDescent="0.3">
      <c r="C682" s="8"/>
      <c r="D682" s="9">
        <v>45874</v>
      </c>
      <c r="E682" t="s">
        <v>638</v>
      </c>
      <c r="F682" s="10" t="s">
        <v>671</v>
      </c>
      <c r="G682" s="11">
        <v>30</v>
      </c>
      <c r="H682" s="11">
        <v>0</v>
      </c>
      <c r="I682" s="11">
        <f t="shared" si="28"/>
        <v>60</v>
      </c>
      <c r="J682" s="12"/>
    </row>
    <row r="683" spans="3:10" x14ac:dyDescent="0.3">
      <c r="C683" s="8"/>
      <c r="D683" s="9">
        <v>45874</v>
      </c>
      <c r="E683" t="s">
        <v>638</v>
      </c>
      <c r="F683" s="10" t="s">
        <v>672</v>
      </c>
      <c r="G683" s="11">
        <v>30</v>
      </c>
      <c r="H683" s="11">
        <v>0</v>
      </c>
      <c r="I683" s="11">
        <f t="shared" si="28"/>
        <v>90</v>
      </c>
      <c r="J683" s="12"/>
    </row>
    <row r="684" spans="3:10" x14ac:dyDescent="0.3">
      <c r="C684" s="8"/>
      <c r="D684" s="9">
        <v>45874</v>
      </c>
      <c r="E684" t="s">
        <v>638</v>
      </c>
      <c r="F684" s="10" t="s">
        <v>673</v>
      </c>
      <c r="G684" s="11">
        <v>30</v>
      </c>
      <c r="H684" s="11">
        <v>0</v>
      </c>
      <c r="I684" s="11">
        <f t="shared" si="28"/>
        <v>120</v>
      </c>
      <c r="J684" s="12"/>
    </row>
    <row r="685" spans="3:10" x14ac:dyDescent="0.3">
      <c r="C685" s="8"/>
      <c r="D685" s="9">
        <v>45905</v>
      </c>
      <c r="E685" t="s">
        <v>638</v>
      </c>
      <c r="F685" s="10" t="s">
        <v>674</v>
      </c>
      <c r="G685" s="11">
        <v>35</v>
      </c>
      <c r="H685" s="11">
        <v>0</v>
      </c>
      <c r="I685" s="11">
        <f t="shared" si="28"/>
        <v>155</v>
      </c>
      <c r="J685" s="12"/>
    </row>
    <row r="686" spans="3:10" x14ac:dyDescent="0.3">
      <c r="C686" s="8"/>
      <c r="D686" s="9">
        <v>45905</v>
      </c>
      <c r="E686" t="s">
        <v>638</v>
      </c>
      <c r="F686" s="10" t="s">
        <v>675</v>
      </c>
      <c r="G686" s="11">
        <v>30</v>
      </c>
      <c r="H686" s="11">
        <v>0</v>
      </c>
      <c r="I686" s="11">
        <f t="shared" si="28"/>
        <v>185</v>
      </c>
      <c r="J686" s="12"/>
    </row>
    <row r="687" spans="3:10" x14ac:dyDescent="0.3">
      <c r="C687" s="8"/>
      <c r="D687" s="9">
        <v>45905</v>
      </c>
      <c r="E687" t="s">
        <v>638</v>
      </c>
      <c r="F687" s="10" t="s">
        <v>676</v>
      </c>
      <c r="G687" s="11">
        <v>30</v>
      </c>
      <c r="H687" s="11">
        <v>0</v>
      </c>
      <c r="I687" s="11">
        <f t="shared" si="28"/>
        <v>215</v>
      </c>
      <c r="J687" s="12"/>
    </row>
    <row r="688" spans="3:10" x14ac:dyDescent="0.3">
      <c r="E688" s="4" t="s">
        <v>20</v>
      </c>
      <c r="G688" s="11">
        <f>SUM(G652:G687)</f>
        <v>878.43000000000006</v>
      </c>
      <c r="H688" s="11">
        <f>SUM(H652:H687)</f>
        <v>663.43000000000006</v>
      </c>
      <c r="I688" s="11">
        <f>G688-H688</f>
        <v>215</v>
      </c>
    </row>
    <row r="690" spans="1:10" x14ac:dyDescent="0.3">
      <c r="A690" s="5">
        <v>4100211</v>
      </c>
      <c r="B690" s="6" t="s">
        <v>677</v>
      </c>
      <c r="C690" s="7"/>
      <c r="D690" s="7"/>
      <c r="E690" s="7"/>
      <c r="F690" s="7"/>
      <c r="G690" s="7"/>
      <c r="H690" s="7"/>
      <c r="I690" s="7"/>
      <c r="J690" s="7"/>
    </row>
    <row r="691" spans="1:10" x14ac:dyDescent="0.3">
      <c r="C691" s="8"/>
      <c r="D691" s="9">
        <v>45810</v>
      </c>
      <c r="E691" t="s">
        <v>678</v>
      </c>
      <c r="F691" s="10" t="s">
        <v>679</v>
      </c>
      <c r="G691" s="11">
        <v>0</v>
      </c>
      <c r="H691" s="11">
        <v>20</v>
      </c>
      <c r="I691" s="11">
        <f>G691-H691</f>
        <v>-20</v>
      </c>
      <c r="J691" s="12"/>
    </row>
    <row r="692" spans="1:10" x14ac:dyDescent="0.3">
      <c r="E692" s="4" t="s">
        <v>20</v>
      </c>
      <c r="G692" s="11">
        <f>G691</f>
        <v>0</v>
      </c>
      <c r="H692" s="11">
        <f>H691</f>
        <v>20</v>
      </c>
      <c r="I692" s="11">
        <f>G692-H692</f>
        <v>-20</v>
      </c>
    </row>
    <row r="694" spans="1:10" x14ac:dyDescent="0.3">
      <c r="A694" s="5">
        <v>4100212</v>
      </c>
      <c r="B694" s="6" t="s">
        <v>680</v>
      </c>
      <c r="C694" s="7"/>
      <c r="D694" s="7"/>
      <c r="E694" s="7"/>
      <c r="F694" s="7"/>
      <c r="G694" s="7"/>
      <c r="H694" s="7"/>
      <c r="I694" s="7"/>
      <c r="J694" s="7"/>
    </row>
    <row r="695" spans="1:10" x14ac:dyDescent="0.3">
      <c r="C695" s="8"/>
      <c r="D695" s="9">
        <v>45839</v>
      </c>
      <c r="E695" t="s">
        <v>681</v>
      </c>
      <c r="F695" s="10" t="s">
        <v>682</v>
      </c>
      <c r="G695" s="11">
        <v>0</v>
      </c>
      <c r="H695" s="11">
        <v>219.04</v>
      </c>
      <c r="I695" s="11">
        <f>G695-H695</f>
        <v>-219.04</v>
      </c>
      <c r="J695" s="12"/>
    </row>
    <row r="696" spans="1:10" x14ac:dyDescent="0.3">
      <c r="C696" s="8"/>
      <c r="D696" s="9">
        <v>45842</v>
      </c>
      <c r="E696" t="s">
        <v>647</v>
      </c>
      <c r="F696" s="10" t="s">
        <v>17</v>
      </c>
      <c r="G696" s="11">
        <v>227.23</v>
      </c>
      <c r="H696" s="11">
        <v>0</v>
      </c>
      <c r="I696" s="11">
        <f>G696-H696+I695</f>
        <v>8.1899999999999977</v>
      </c>
      <c r="J696" s="12"/>
    </row>
    <row r="697" spans="1:10" x14ac:dyDescent="0.3">
      <c r="E697" s="4" t="s">
        <v>20</v>
      </c>
      <c r="G697" s="11">
        <f>SUM(G695:G696)</f>
        <v>227.23</v>
      </c>
      <c r="H697" s="11">
        <f>SUM(H695:H696)</f>
        <v>219.04</v>
      </c>
      <c r="I697" s="11">
        <f>G697-H697</f>
        <v>8.1899999999999977</v>
      </c>
    </row>
    <row r="699" spans="1:10" x14ac:dyDescent="0.3">
      <c r="A699" s="5">
        <v>4300009</v>
      </c>
      <c r="B699" s="6" t="s">
        <v>683</v>
      </c>
      <c r="C699" s="7"/>
      <c r="D699" s="7"/>
      <c r="E699" s="7"/>
      <c r="F699" s="7"/>
      <c r="G699" s="7"/>
      <c r="H699" s="7"/>
      <c r="I699" s="7"/>
      <c r="J699" s="7"/>
    </row>
    <row r="700" spans="1:10" x14ac:dyDescent="0.3">
      <c r="E700" s="4" t="s">
        <v>22</v>
      </c>
      <c r="G700" s="11">
        <v>25947.81</v>
      </c>
      <c r="H700" s="11">
        <v>0</v>
      </c>
      <c r="I700" s="11">
        <f>G700-H700</f>
        <v>25947.81</v>
      </c>
    </row>
    <row r="701" spans="1:10" x14ac:dyDescent="0.3">
      <c r="C701" s="8" t="s">
        <v>11</v>
      </c>
      <c r="D701" s="9">
        <v>45684</v>
      </c>
      <c r="E701" t="s">
        <v>684</v>
      </c>
      <c r="F701" s="10" t="s">
        <v>17</v>
      </c>
      <c r="G701" s="11">
        <v>0</v>
      </c>
      <c r="H701" s="11">
        <v>9386.0499999999993</v>
      </c>
      <c r="I701" s="11">
        <f t="shared" ref="I701:I716" si="29">G701-H701+I700</f>
        <v>16561.760000000002</v>
      </c>
      <c r="J701" s="12">
        <v>5720001</v>
      </c>
    </row>
    <row r="702" spans="1:10" x14ac:dyDescent="0.3">
      <c r="C702" s="8" t="s">
        <v>11</v>
      </c>
      <c r="D702" s="9">
        <v>45688</v>
      </c>
      <c r="E702" t="s">
        <v>685</v>
      </c>
      <c r="F702" s="10" t="s">
        <v>686</v>
      </c>
      <c r="G702" s="11">
        <v>10878.98</v>
      </c>
      <c r="H702" s="11">
        <v>0</v>
      </c>
      <c r="I702" s="11">
        <f t="shared" si="29"/>
        <v>27440.74</v>
      </c>
      <c r="J702" s="12"/>
    </row>
    <row r="703" spans="1:10" x14ac:dyDescent="0.3">
      <c r="C703" s="8" t="s">
        <v>11</v>
      </c>
      <c r="D703" s="9">
        <v>45713</v>
      </c>
      <c r="E703" t="s">
        <v>684</v>
      </c>
      <c r="F703" s="10" t="s">
        <v>17</v>
      </c>
      <c r="G703" s="11">
        <v>0</v>
      </c>
      <c r="H703" s="11">
        <v>10059.34</v>
      </c>
      <c r="I703" s="11">
        <f t="shared" si="29"/>
        <v>17381.400000000001</v>
      </c>
      <c r="J703" s="12">
        <v>5720001</v>
      </c>
    </row>
    <row r="704" spans="1:10" x14ac:dyDescent="0.3">
      <c r="C704" s="8" t="s">
        <v>11</v>
      </c>
      <c r="D704" s="9">
        <v>45716</v>
      </c>
      <c r="E704" t="s">
        <v>687</v>
      </c>
      <c r="F704" s="10" t="s">
        <v>688</v>
      </c>
      <c r="G704" s="11">
        <v>9780.02</v>
      </c>
      <c r="H704" s="11">
        <v>0</v>
      </c>
      <c r="I704" s="11">
        <f t="shared" si="29"/>
        <v>27161.420000000002</v>
      </c>
      <c r="J704" s="12"/>
    </row>
    <row r="705" spans="1:10" x14ac:dyDescent="0.3">
      <c r="C705" s="8" t="s">
        <v>11</v>
      </c>
      <c r="D705" s="9">
        <v>45741</v>
      </c>
      <c r="E705" t="s">
        <v>684</v>
      </c>
      <c r="F705" s="10" t="s">
        <v>17</v>
      </c>
      <c r="G705" s="11">
        <v>0</v>
      </c>
      <c r="H705" s="11">
        <v>6502.42</v>
      </c>
      <c r="I705" s="11">
        <f t="shared" si="29"/>
        <v>20659</v>
      </c>
      <c r="J705" s="12">
        <v>5720001</v>
      </c>
    </row>
    <row r="706" spans="1:10" x14ac:dyDescent="0.3">
      <c r="C706" s="8" t="s">
        <v>11</v>
      </c>
      <c r="D706" s="9">
        <v>45747</v>
      </c>
      <c r="E706" t="s">
        <v>689</v>
      </c>
      <c r="F706" s="10" t="s">
        <v>690</v>
      </c>
      <c r="G706" s="11">
        <v>8427.2000000000007</v>
      </c>
      <c r="H706" s="11">
        <v>0</v>
      </c>
      <c r="I706" s="11">
        <f t="shared" si="29"/>
        <v>29086.2</v>
      </c>
      <c r="J706" s="12"/>
    </row>
    <row r="707" spans="1:10" x14ac:dyDescent="0.3">
      <c r="C707" s="8" t="s">
        <v>11</v>
      </c>
      <c r="D707" s="9">
        <v>45776</v>
      </c>
      <c r="E707" t="s">
        <v>684</v>
      </c>
      <c r="F707" s="10" t="s">
        <v>17</v>
      </c>
      <c r="G707" s="11">
        <v>0</v>
      </c>
      <c r="H707" s="11">
        <v>10878.98</v>
      </c>
      <c r="I707" s="11">
        <f t="shared" si="29"/>
        <v>18207.22</v>
      </c>
      <c r="J707" s="12">
        <v>5720001</v>
      </c>
    </row>
    <row r="708" spans="1:10" x14ac:dyDescent="0.3">
      <c r="C708" s="8" t="s">
        <v>11</v>
      </c>
      <c r="D708" s="9">
        <v>45777</v>
      </c>
      <c r="E708" t="s">
        <v>691</v>
      </c>
      <c r="F708" s="10" t="s">
        <v>692</v>
      </c>
      <c r="G708" s="11">
        <v>7797.08</v>
      </c>
      <c r="H708" s="11">
        <v>0</v>
      </c>
      <c r="I708" s="11">
        <f t="shared" si="29"/>
        <v>26004.300000000003</v>
      </c>
      <c r="J708" s="12"/>
    </row>
    <row r="709" spans="1:10" x14ac:dyDescent="0.3">
      <c r="C709" s="8" t="s">
        <v>11</v>
      </c>
      <c r="D709" s="9">
        <v>45803</v>
      </c>
      <c r="E709" t="s">
        <v>684</v>
      </c>
      <c r="F709" s="10" t="s">
        <v>17</v>
      </c>
      <c r="G709" s="11">
        <v>0</v>
      </c>
      <c r="H709" s="11">
        <v>9780.02</v>
      </c>
      <c r="I709" s="11">
        <f t="shared" si="29"/>
        <v>16224.280000000002</v>
      </c>
      <c r="J709" s="12">
        <v>5720001</v>
      </c>
    </row>
    <row r="710" spans="1:10" x14ac:dyDescent="0.3">
      <c r="C710" s="8" t="s">
        <v>11</v>
      </c>
      <c r="D710" s="9">
        <v>45807</v>
      </c>
      <c r="E710" t="s">
        <v>693</v>
      </c>
      <c r="F710" s="10" t="s">
        <v>694</v>
      </c>
      <c r="G710" s="11">
        <v>12157.28</v>
      </c>
      <c r="H710" s="11">
        <v>0</v>
      </c>
      <c r="I710" s="11">
        <f t="shared" si="29"/>
        <v>28381.560000000005</v>
      </c>
      <c r="J710" s="12"/>
    </row>
    <row r="711" spans="1:10" x14ac:dyDescent="0.3">
      <c r="C711" s="8" t="s">
        <v>11</v>
      </c>
      <c r="D711" s="9">
        <v>45834</v>
      </c>
      <c r="E711" t="s">
        <v>684</v>
      </c>
      <c r="F711" s="10" t="s">
        <v>17</v>
      </c>
      <c r="G711" s="11">
        <v>0</v>
      </c>
      <c r="H711" s="11">
        <v>8427.2000000000007</v>
      </c>
      <c r="I711" s="11">
        <f t="shared" si="29"/>
        <v>19954.360000000004</v>
      </c>
      <c r="J711" s="12">
        <v>5720001</v>
      </c>
    </row>
    <row r="712" spans="1:10" x14ac:dyDescent="0.3">
      <c r="C712" s="8"/>
      <c r="D712" s="9">
        <v>45838</v>
      </c>
      <c r="E712" t="s">
        <v>695</v>
      </c>
      <c r="F712" s="10" t="s">
        <v>696</v>
      </c>
      <c r="G712" s="11">
        <v>6291.61</v>
      </c>
      <c r="H712" s="11">
        <v>0</v>
      </c>
      <c r="I712" s="11">
        <f t="shared" si="29"/>
        <v>26245.970000000005</v>
      </c>
      <c r="J712" s="12"/>
    </row>
    <row r="713" spans="1:10" x14ac:dyDescent="0.3">
      <c r="C713" s="8" t="s">
        <v>11</v>
      </c>
      <c r="D713" s="9">
        <v>45863</v>
      </c>
      <c r="E713" t="s">
        <v>684</v>
      </c>
      <c r="F713" s="10" t="s">
        <v>17</v>
      </c>
      <c r="G713" s="11">
        <v>0</v>
      </c>
      <c r="H713" s="11">
        <v>7797.08</v>
      </c>
      <c r="I713" s="11">
        <f t="shared" si="29"/>
        <v>18448.890000000007</v>
      </c>
      <c r="J713" s="12">
        <v>5720001</v>
      </c>
    </row>
    <row r="714" spans="1:10" x14ac:dyDescent="0.3">
      <c r="C714" s="8"/>
      <c r="D714" s="9">
        <v>45869</v>
      </c>
      <c r="E714" t="s">
        <v>697</v>
      </c>
      <c r="F714" s="10" t="s">
        <v>698</v>
      </c>
      <c r="G714" s="11">
        <v>6811.28</v>
      </c>
      <c r="H714" s="11">
        <v>0</v>
      </c>
      <c r="I714" s="11">
        <f t="shared" si="29"/>
        <v>25260.170000000006</v>
      </c>
      <c r="J714" s="12"/>
    </row>
    <row r="715" spans="1:10" x14ac:dyDescent="0.3">
      <c r="C715" s="8" t="s">
        <v>11</v>
      </c>
      <c r="D715" s="9">
        <v>45895</v>
      </c>
      <c r="E715" t="s">
        <v>684</v>
      </c>
      <c r="F715" s="10" t="s">
        <v>17</v>
      </c>
      <c r="G715" s="11">
        <v>0</v>
      </c>
      <c r="H715" s="11">
        <v>12157.28</v>
      </c>
      <c r="I715" s="11">
        <f t="shared" si="29"/>
        <v>13102.890000000005</v>
      </c>
      <c r="J715" s="12">
        <v>5720001</v>
      </c>
    </row>
    <row r="716" spans="1:10" x14ac:dyDescent="0.3">
      <c r="C716" s="8"/>
      <c r="D716" s="9">
        <v>45900</v>
      </c>
      <c r="E716" t="s">
        <v>699</v>
      </c>
      <c r="F716" s="10" t="s">
        <v>700</v>
      </c>
      <c r="G716" s="11">
        <v>11405.86</v>
      </c>
      <c r="H716" s="11">
        <v>0</v>
      </c>
      <c r="I716" s="11">
        <f t="shared" si="29"/>
        <v>24508.750000000007</v>
      </c>
      <c r="J716" s="12"/>
    </row>
    <row r="717" spans="1:10" x14ac:dyDescent="0.3">
      <c r="E717" s="4" t="s">
        <v>20</v>
      </c>
      <c r="G717" s="11">
        <f>SUM(G700:G716)</f>
        <v>99497.12</v>
      </c>
      <c r="H717" s="11">
        <f>SUM(H700:H716)</f>
        <v>74988.37</v>
      </c>
      <c r="I717" s="11">
        <f>G717-H717</f>
        <v>24508.75</v>
      </c>
    </row>
    <row r="719" spans="1:10" x14ac:dyDescent="0.3">
      <c r="A719" s="5">
        <v>4300013</v>
      </c>
      <c r="B719" s="6" t="s">
        <v>701</v>
      </c>
      <c r="C719" s="7"/>
      <c r="D719" s="7"/>
      <c r="E719" s="7"/>
      <c r="F719" s="7"/>
      <c r="G719" s="7"/>
      <c r="H719" s="7"/>
      <c r="I719" s="7"/>
      <c r="J719" s="7"/>
    </row>
    <row r="720" spans="1:10" x14ac:dyDescent="0.3">
      <c r="E720" s="4" t="s">
        <v>22</v>
      </c>
      <c r="G720" s="11">
        <v>1501.05</v>
      </c>
      <c r="H720" s="11">
        <v>0</v>
      </c>
      <c r="I720" s="11">
        <f>G720-H720</f>
        <v>1501.05</v>
      </c>
    </row>
    <row r="721" spans="1:10" x14ac:dyDescent="0.3">
      <c r="C721" s="8" t="s">
        <v>11</v>
      </c>
      <c r="D721" s="9">
        <v>45672</v>
      </c>
      <c r="E721" t="s">
        <v>702</v>
      </c>
      <c r="F721" s="10" t="s">
        <v>703</v>
      </c>
      <c r="G721" s="11">
        <v>314</v>
      </c>
      <c r="H721" s="11">
        <v>0</v>
      </c>
      <c r="I721" s="11">
        <f t="shared" ref="I721:I731" si="30">G721-H721+I720</f>
        <v>1815.05</v>
      </c>
      <c r="J721" s="12"/>
    </row>
    <row r="722" spans="1:10" x14ac:dyDescent="0.3">
      <c r="C722" s="8" t="s">
        <v>11</v>
      </c>
      <c r="D722" s="9">
        <v>45702</v>
      </c>
      <c r="E722" t="s">
        <v>704</v>
      </c>
      <c r="F722" s="10" t="s">
        <v>705</v>
      </c>
      <c r="G722" s="11">
        <v>6480.46</v>
      </c>
      <c r="H722" s="11">
        <v>0</v>
      </c>
      <c r="I722" s="11">
        <f t="shared" si="30"/>
        <v>8295.51</v>
      </c>
      <c r="J722" s="12"/>
    </row>
    <row r="723" spans="1:10" x14ac:dyDescent="0.3">
      <c r="C723" s="8" t="s">
        <v>11</v>
      </c>
      <c r="D723" s="9">
        <v>45702</v>
      </c>
      <c r="E723" t="s">
        <v>684</v>
      </c>
      <c r="F723" s="10" t="s">
        <v>17</v>
      </c>
      <c r="G723" s="11">
        <v>0</v>
      </c>
      <c r="H723" s="11">
        <v>327.52</v>
      </c>
      <c r="I723" s="11">
        <f t="shared" si="30"/>
        <v>7967.99</v>
      </c>
      <c r="J723" s="12">
        <v>5720001</v>
      </c>
    </row>
    <row r="724" spans="1:10" x14ac:dyDescent="0.3">
      <c r="C724" s="8" t="s">
        <v>11</v>
      </c>
      <c r="D724" s="9">
        <v>45744</v>
      </c>
      <c r="E724" t="s">
        <v>706</v>
      </c>
      <c r="F724" s="10" t="s">
        <v>17</v>
      </c>
      <c r="G724" s="11">
        <v>0</v>
      </c>
      <c r="H724" s="11">
        <v>1487.53</v>
      </c>
      <c r="I724" s="11">
        <f t="shared" si="30"/>
        <v>6480.46</v>
      </c>
      <c r="J724" s="12">
        <v>5720001</v>
      </c>
    </row>
    <row r="725" spans="1:10" x14ac:dyDescent="0.3">
      <c r="C725" s="8" t="s">
        <v>11</v>
      </c>
      <c r="D725" s="9">
        <v>45761</v>
      </c>
      <c r="E725" t="s">
        <v>707</v>
      </c>
      <c r="F725" s="10" t="s">
        <v>708</v>
      </c>
      <c r="G725" s="11">
        <v>204.18</v>
      </c>
      <c r="H725" s="11">
        <v>0</v>
      </c>
      <c r="I725" s="11">
        <f t="shared" si="30"/>
        <v>6684.64</v>
      </c>
      <c r="J725" s="12"/>
    </row>
    <row r="726" spans="1:10" x14ac:dyDescent="0.3">
      <c r="C726" s="8" t="s">
        <v>11</v>
      </c>
      <c r="D726" s="9">
        <v>45784</v>
      </c>
      <c r="E726" t="s">
        <v>684</v>
      </c>
      <c r="F726" s="10" t="s">
        <v>17</v>
      </c>
      <c r="G726" s="11">
        <v>0</v>
      </c>
      <c r="H726" s="11">
        <v>6480.46</v>
      </c>
      <c r="I726" s="11">
        <f t="shared" si="30"/>
        <v>204.18000000000029</v>
      </c>
      <c r="J726" s="12">
        <v>5720001</v>
      </c>
    </row>
    <row r="727" spans="1:10" x14ac:dyDescent="0.3">
      <c r="C727" s="8" t="s">
        <v>11</v>
      </c>
      <c r="D727" s="9">
        <v>45807</v>
      </c>
      <c r="E727" t="s">
        <v>709</v>
      </c>
      <c r="F727" s="10" t="s">
        <v>710</v>
      </c>
      <c r="G727" s="11">
        <v>1502.01</v>
      </c>
      <c r="H727" s="11">
        <v>0</v>
      </c>
      <c r="I727" s="11">
        <f t="shared" si="30"/>
        <v>1706.1900000000003</v>
      </c>
      <c r="J727" s="12"/>
    </row>
    <row r="728" spans="1:10" x14ac:dyDescent="0.3">
      <c r="C728" s="8" t="s">
        <v>11</v>
      </c>
      <c r="D728" s="9">
        <v>45846</v>
      </c>
      <c r="E728" t="s">
        <v>684</v>
      </c>
      <c r="F728" s="10" t="s">
        <v>17</v>
      </c>
      <c r="G728" s="11">
        <v>0</v>
      </c>
      <c r="H728" s="11">
        <v>204.18</v>
      </c>
      <c r="I728" s="11">
        <f t="shared" si="30"/>
        <v>1502.0100000000002</v>
      </c>
      <c r="J728" s="12">
        <v>5720001</v>
      </c>
    </row>
    <row r="729" spans="1:10" x14ac:dyDescent="0.3">
      <c r="C729" s="8"/>
      <c r="D729" s="9">
        <v>45854</v>
      </c>
      <c r="E729" t="s">
        <v>711</v>
      </c>
      <c r="F729" s="10" t="s">
        <v>712</v>
      </c>
      <c r="G729" s="11">
        <v>1516.06</v>
      </c>
      <c r="H729" s="11">
        <v>0</v>
      </c>
      <c r="I729" s="11">
        <f t="shared" si="30"/>
        <v>3018.07</v>
      </c>
      <c r="J729" s="12"/>
    </row>
    <row r="730" spans="1:10" x14ac:dyDescent="0.3">
      <c r="C730" s="8" t="s">
        <v>11</v>
      </c>
      <c r="D730" s="9">
        <v>45909</v>
      </c>
      <c r="E730" t="s">
        <v>684</v>
      </c>
      <c r="F730" s="10" t="s">
        <v>17</v>
      </c>
      <c r="G730" s="11">
        <v>0</v>
      </c>
      <c r="H730" s="11">
        <v>1502.01</v>
      </c>
      <c r="I730" s="11">
        <f t="shared" si="30"/>
        <v>1516.0600000000002</v>
      </c>
      <c r="J730" s="12">
        <v>5720001</v>
      </c>
    </row>
    <row r="731" spans="1:10" x14ac:dyDescent="0.3">
      <c r="C731" s="8"/>
      <c r="D731" s="9">
        <v>45915</v>
      </c>
      <c r="E731" t="s">
        <v>713</v>
      </c>
      <c r="F731" s="10" t="s">
        <v>714</v>
      </c>
      <c r="G731" s="11">
        <v>406.27</v>
      </c>
      <c r="H731" s="11">
        <v>0</v>
      </c>
      <c r="I731" s="11">
        <f t="shared" si="30"/>
        <v>1922.3300000000002</v>
      </c>
      <c r="J731" s="12"/>
    </row>
    <row r="732" spans="1:10" x14ac:dyDescent="0.3">
      <c r="E732" s="4" t="s">
        <v>20</v>
      </c>
      <c r="G732" s="11">
        <f>SUM(G720:G731)</f>
        <v>11924.03</v>
      </c>
      <c r="H732" s="11">
        <f>SUM(H720:H731)</f>
        <v>10001.700000000001</v>
      </c>
      <c r="I732" s="11">
        <f>G732-H732</f>
        <v>1922.33</v>
      </c>
    </row>
    <row r="734" spans="1:10" x14ac:dyDescent="0.3">
      <c r="A734" s="5">
        <v>4300015</v>
      </c>
      <c r="B734" s="6" t="s">
        <v>715</v>
      </c>
      <c r="C734" s="7"/>
      <c r="D734" s="7"/>
      <c r="E734" s="7"/>
      <c r="F734" s="7"/>
      <c r="G734" s="7"/>
      <c r="H734" s="7"/>
      <c r="I734" s="7"/>
      <c r="J734" s="7"/>
    </row>
    <row r="735" spans="1:10" x14ac:dyDescent="0.3">
      <c r="E735" s="4" t="s">
        <v>22</v>
      </c>
      <c r="G735" s="11">
        <v>1415.3</v>
      </c>
      <c r="H735" s="11">
        <v>0</v>
      </c>
      <c r="I735" s="11">
        <f>G735-H735</f>
        <v>1415.3</v>
      </c>
    </row>
    <row r="736" spans="1:10" x14ac:dyDescent="0.3">
      <c r="C736" s="8" t="s">
        <v>11</v>
      </c>
      <c r="D736" s="9">
        <v>45674</v>
      </c>
      <c r="E736" t="s">
        <v>716</v>
      </c>
      <c r="F736" s="10" t="s">
        <v>17</v>
      </c>
      <c r="G736" s="11">
        <v>0</v>
      </c>
      <c r="H736" s="11">
        <v>1415.3</v>
      </c>
      <c r="I736" s="11">
        <f>G736-H736+I735</f>
        <v>0</v>
      </c>
      <c r="J736" s="12"/>
    </row>
    <row r="737" spans="1:10" x14ac:dyDescent="0.3">
      <c r="C737" s="8" t="s">
        <v>11</v>
      </c>
      <c r="D737" s="9">
        <v>45702</v>
      </c>
      <c r="E737" t="s">
        <v>717</v>
      </c>
      <c r="F737" s="10" t="s">
        <v>718</v>
      </c>
      <c r="G737" s="11">
        <v>851.84</v>
      </c>
      <c r="H737" s="11">
        <v>0</v>
      </c>
      <c r="I737" s="11">
        <f>G737-H737+I736</f>
        <v>851.84</v>
      </c>
      <c r="J737" s="12"/>
    </row>
    <row r="738" spans="1:10" x14ac:dyDescent="0.3">
      <c r="C738" s="8" t="s">
        <v>11</v>
      </c>
      <c r="D738" s="9">
        <v>45713</v>
      </c>
      <c r="E738" t="s">
        <v>716</v>
      </c>
      <c r="F738" s="10" t="s">
        <v>17</v>
      </c>
      <c r="G738" s="11">
        <v>0</v>
      </c>
      <c r="H738" s="11">
        <v>851.84</v>
      </c>
      <c r="I738" s="11">
        <f>G738-H738+I737</f>
        <v>0</v>
      </c>
      <c r="J738" s="12"/>
    </row>
    <row r="739" spans="1:10" x14ac:dyDescent="0.3">
      <c r="C739" s="8"/>
      <c r="D739" s="9">
        <v>45869</v>
      </c>
      <c r="E739" t="s">
        <v>719</v>
      </c>
      <c r="F739" s="10" t="s">
        <v>720</v>
      </c>
      <c r="G739" s="11">
        <v>3140.18</v>
      </c>
      <c r="H739" s="11">
        <v>0</v>
      </c>
      <c r="I739" s="11">
        <f>G739-H739+I738</f>
        <v>3140.18</v>
      </c>
      <c r="J739" s="12"/>
    </row>
    <row r="740" spans="1:10" x14ac:dyDescent="0.3">
      <c r="E740" s="4" t="s">
        <v>20</v>
      </c>
      <c r="G740" s="11">
        <f>SUM(G735:G739)</f>
        <v>5407.32</v>
      </c>
      <c r="H740" s="11">
        <f>SUM(H735:H739)</f>
        <v>2267.14</v>
      </c>
      <c r="I740" s="11">
        <f>G740-H740</f>
        <v>3140.18</v>
      </c>
    </row>
    <row r="742" spans="1:10" x14ac:dyDescent="0.3">
      <c r="A742" s="5">
        <v>4300016</v>
      </c>
      <c r="B742" s="6" t="s">
        <v>721</v>
      </c>
      <c r="C742" s="7"/>
      <c r="D742" s="7"/>
      <c r="E742" s="7"/>
      <c r="F742" s="7"/>
      <c r="G742" s="7"/>
      <c r="H742" s="7"/>
      <c r="I742" s="7"/>
      <c r="J742" s="7"/>
    </row>
    <row r="743" spans="1:10" x14ac:dyDescent="0.3">
      <c r="C743" s="8"/>
      <c r="D743" s="9">
        <v>45853</v>
      </c>
      <c r="E743" t="s">
        <v>722</v>
      </c>
      <c r="F743" s="10" t="s">
        <v>723</v>
      </c>
      <c r="G743" s="11">
        <v>2588.87</v>
      </c>
      <c r="H743" s="11">
        <v>0</v>
      </c>
      <c r="I743" s="11">
        <f>G743-H743</f>
        <v>2588.87</v>
      </c>
      <c r="J743" s="12"/>
    </row>
    <row r="744" spans="1:10" x14ac:dyDescent="0.3">
      <c r="C744" s="8"/>
      <c r="D744" s="9">
        <v>45869</v>
      </c>
      <c r="E744" t="s">
        <v>724</v>
      </c>
      <c r="F744" s="10" t="s">
        <v>725</v>
      </c>
      <c r="G744" s="11">
        <v>684.86</v>
      </c>
      <c r="H744" s="11">
        <v>0</v>
      </c>
      <c r="I744" s="11">
        <f>G744-H744+I743</f>
        <v>3273.73</v>
      </c>
      <c r="J744" s="12"/>
    </row>
    <row r="745" spans="1:10" x14ac:dyDescent="0.3">
      <c r="E745" s="4" t="s">
        <v>20</v>
      </c>
      <c r="G745" s="11">
        <f>SUM(G743:G744)</f>
        <v>3273.73</v>
      </c>
      <c r="H745" s="11">
        <f>SUM(H743:H744)</f>
        <v>0</v>
      </c>
      <c r="I745" s="11">
        <f>G745-H745</f>
        <v>3273.73</v>
      </c>
    </row>
    <row r="747" spans="1:10" x14ac:dyDescent="0.3">
      <c r="A747" s="5">
        <v>4300021</v>
      </c>
      <c r="B747" s="6" t="s">
        <v>726</v>
      </c>
      <c r="C747" s="7"/>
      <c r="D747" s="7"/>
      <c r="E747" s="7"/>
      <c r="F747" s="7"/>
      <c r="G747" s="7"/>
      <c r="H747" s="7"/>
      <c r="I747" s="7"/>
      <c r="J747" s="7"/>
    </row>
    <row r="748" spans="1:10" x14ac:dyDescent="0.3">
      <c r="E748" s="4" t="s">
        <v>22</v>
      </c>
      <c r="G748" s="11">
        <v>1466.63</v>
      </c>
      <c r="H748" s="11">
        <v>0</v>
      </c>
      <c r="I748" s="11">
        <f>G748-H748</f>
        <v>1466.63</v>
      </c>
    </row>
    <row r="749" spans="1:10" x14ac:dyDescent="0.3">
      <c r="C749" s="8" t="s">
        <v>11</v>
      </c>
      <c r="D749" s="9">
        <v>45672</v>
      </c>
      <c r="E749" t="s">
        <v>727</v>
      </c>
      <c r="F749" s="10" t="s">
        <v>728</v>
      </c>
      <c r="G749" s="11">
        <v>15.29</v>
      </c>
      <c r="H749" s="11">
        <v>0</v>
      </c>
      <c r="I749" s="11">
        <f t="shared" ref="I749:I760" si="31">G749-H749+I748</f>
        <v>1481.92</v>
      </c>
      <c r="J749" s="12"/>
    </row>
    <row r="750" spans="1:10" x14ac:dyDescent="0.3">
      <c r="C750" s="8" t="s">
        <v>11</v>
      </c>
      <c r="D750" s="9">
        <v>45688</v>
      </c>
      <c r="E750" t="s">
        <v>729</v>
      </c>
      <c r="F750" s="10" t="s">
        <v>730</v>
      </c>
      <c r="G750" s="11">
        <v>283.87</v>
      </c>
      <c r="H750" s="11">
        <v>0</v>
      </c>
      <c r="I750" s="11">
        <f t="shared" si="31"/>
        <v>1765.79</v>
      </c>
      <c r="J750" s="12"/>
    </row>
    <row r="751" spans="1:10" x14ac:dyDescent="0.3">
      <c r="C751" s="8" t="s">
        <v>11</v>
      </c>
      <c r="D751" s="9">
        <v>45693</v>
      </c>
      <c r="E751" t="s">
        <v>684</v>
      </c>
      <c r="F751" s="10" t="s">
        <v>17</v>
      </c>
      <c r="G751" s="11">
        <v>0</v>
      </c>
      <c r="H751" s="11">
        <v>983.9</v>
      </c>
      <c r="I751" s="11">
        <f t="shared" si="31"/>
        <v>781.89</v>
      </c>
      <c r="J751" s="12">
        <v>5720001</v>
      </c>
    </row>
    <row r="752" spans="1:10" x14ac:dyDescent="0.3">
      <c r="C752" s="8" t="s">
        <v>11</v>
      </c>
      <c r="D752" s="9">
        <v>45714</v>
      </c>
      <c r="E752" t="s">
        <v>731</v>
      </c>
      <c r="F752" s="10" t="s">
        <v>17</v>
      </c>
      <c r="G752" s="11">
        <v>0</v>
      </c>
      <c r="H752" s="11">
        <v>356.09</v>
      </c>
      <c r="I752" s="11">
        <f t="shared" si="31"/>
        <v>425.8</v>
      </c>
      <c r="J752" s="12">
        <v>5720001</v>
      </c>
    </row>
    <row r="753" spans="1:10" x14ac:dyDescent="0.3">
      <c r="C753" s="8" t="s">
        <v>11</v>
      </c>
      <c r="D753" s="9">
        <v>45741</v>
      </c>
      <c r="E753" t="s">
        <v>731</v>
      </c>
      <c r="F753" s="10" t="s">
        <v>17</v>
      </c>
      <c r="G753" s="11">
        <v>0</v>
      </c>
      <c r="H753" s="11">
        <v>141.93</v>
      </c>
      <c r="I753" s="11">
        <f t="shared" si="31"/>
        <v>283.87</v>
      </c>
      <c r="J753" s="12">
        <v>5720001</v>
      </c>
    </row>
    <row r="754" spans="1:10" x14ac:dyDescent="0.3">
      <c r="C754" s="8" t="s">
        <v>11</v>
      </c>
      <c r="D754" s="9">
        <v>45776</v>
      </c>
      <c r="E754" t="s">
        <v>684</v>
      </c>
      <c r="F754" s="10" t="s">
        <v>17</v>
      </c>
      <c r="G754" s="11">
        <v>0</v>
      </c>
      <c r="H754" s="11">
        <v>283.87</v>
      </c>
      <c r="I754" s="11">
        <f t="shared" si="31"/>
        <v>0</v>
      </c>
      <c r="J754" s="12">
        <v>5720001</v>
      </c>
    </row>
    <row r="755" spans="1:10" x14ac:dyDescent="0.3">
      <c r="C755" s="8" t="s">
        <v>11</v>
      </c>
      <c r="D755" s="9">
        <v>45777</v>
      </c>
      <c r="E755" t="s">
        <v>732</v>
      </c>
      <c r="F755" s="10" t="s">
        <v>733</v>
      </c>
      <c r="G755" s="11">
        <v>47.31</v>
      </c>
      <c r="H755" s="11">
        <v>0</v>
      </c>
      <c r="I755" s="11">
        <f t="shared" si="31"/>
        <v>47.31</v>
      </c>
      <c r="J755" s="12"/>
    </row>
    <row r="756" spans="1:10" x14ac:dyDescent="0.3">
      <c r="C756" s="8" t="s">
        <v>11</v>
      </c>
      <c r="D756" s="9">
        <v>45807</v>
      </c>
      <c r="E756" t="s">
        <v>734</v>
      </c>
      <c r="F756" s="10" t="s">
        <v>735</v>
      </c>
      <c r="G756" s="11">
        <v>65.22</v>
      </c>
      <c r="H756" s="11">
        <v>0</v>
      </c>
      <c r="I756" s="11">
        <f t="shared" si="31"/>
        <v>112.53</v>
      </c>
      <c r="J756" s="12"/>
    </row>
    <row r="757" spans="1:10" x14ac:dyDescent="0.3">
      <c r="C757" s="8"/>
      <c r="D757" s="9">
        <v>45838</v>
      </c>
      <c r="E757" t="s">
        <v>736</v>
      </c>
      <c r="F757" s="10" t="s">
        <v>737</v>
      </c>
      <c r="G757" s="11">
        <v>548.26</v>
      </c>
      <c r="H757" s="11">
        <v>0</v>
      </c>
      <c r="I757" s="11">
        <f t="shared" si="31"/>
        <v>660.79</v>
      </c>
      <c r="J757" s="12"/>
    </row>
    <row r="758" spans="1:10" x14ac:dyDescent="0.3">
      <c r="C758" s="8"/>
      <c r="D758" s="9">
        <v>45854</v>
      </c>
      <c r="E758" t="s">
        <v>738</v>
      </c>
      <c r="F758" s="10" t="s">
        <v>739</v>
      </c>
      <c r="G758" s="11">
        <v>1450.96</v>
      </c>
      <c r="H758" s="11">
        <v>0</v>
      </c>
      <c r="I758" s="11">
        <f t="shared" si="31"/>
        <v>2111.75</v>
      </c>
      <c r="J758" s="12"/>
    </row>
    <row r="759" spans="1:10" x14ac:dyDescent="0.3">
      <c r="C759" s="8" t="s">
        <v>11</v>
      </c>
      <c r="D759" s="9">
        <v>45862</v>
      </c>
      <c r="E759" t="s">
        <v>684</v>
      </c>
      <c r="F759" s="10" t="s">
        <v>17</v>
      </c>
      <c r="G759" s="11">
        <v>0</v>
      </c>
      <c r="H759" s="11">
        <v>47.31</v>
      </c>
      <c r="I759" s="11">
        <f t="shared" si="31"/>
        <v>2064.44</v>
      </c>
      <c r="J759" s="12">
        <v>5720001</v>
      </c>
    </row>
    <row r="760" spans="1:10" x14ac:dyDescent="0.3">
      <c r="C760" s="8" t="s">
        <v>11</v>
      </c>
      <c r="D760" s="9">
        <v>45901</v>
      </c>
      <c r="E760" t="s">
        <v>684</v>
      </c>
      <c r="F760" s="10" t="s">
        <v>17</v>
      </c>
      <c r="G760" s="11">
        <v>0</v>
      </c>
      <c r="H760" s="11">
        <v>65.22</v>
      </c>
      <c r="I760" s="11">
        <f t="shared" si="31"/>
        <v>1999.22</v>
      </c>
      <c r="J760" s="12">
        <v>5720001</v>
      </c>
    </row>
    <row r="761" spans="1:10" x14ac:dyDescent="0.3">
      <c r="E761" s="4" t="s">
        <v>20</v>
      </c>
      <c r="G761" s="11">
        <f>SUM(G748:G760)</f>
        <v>3877.54</v>
      </c>
      <c r="H761" s="11">
        <f>SUM(H748:H760)</f>
        <v>1878.32</v>
      </c>
      <c r="I761" s="11">
        <f>G761-H761</f>
        <v>1999.22</v>
      </c>
    </row>
    <row r="763" spans="1:10" x14ac:dyDescent="0.3">
      <c r="A763" s="5">
        <v>4300022</v>
      </c>
      <c r="B763" s="6" t="s">
        <v>740</v>
      </c>
      <c r="C763" s="7"/>
      <c r="D763" s="7"/>
      <c r="E763" s="7"/>
      <c r="F763" s="7"/>
      <c r="G763" s="7"/>
      <c r="H763" s="7"/>
      <c r="I763" s="7"/>
      <c r="J763" s="7"/>
    </row>
    <row r="764" spans="1:10" x14ac:dyDescent="0.3">
      <c r="E764" s="4" t="s">
        <v>22</v>
      </c>
      <c r="G764" s="11">
        <v>10112.26</v>
      </c>
      <c r="H764" s="11">
        <v>0</v>
      </c>
      <c r="I764" s="11">
        <f>G764-H764</f>
        <v>10112.26</v>
      </c>
    </row>
    <row r="765" spans="1:10" x14ac:dyDescent="0.3">
      <c r="C765" s="8" t="s">
        <v>11</v>
      </c>
      <c r="D765" s="9">
        <v>45660</v>
      </c>
      <c r="E765" t="s">
        <v>684</v>
      </c>
      <c r="F765" s="10" t="s">
        <v>17</v>
      </c>
      <c r="G765" s="11">
        <v>0</v>
      </c>
      <c r="H765" s="11">
        <v>864.17</v>
      </c>
      <c r="I765" s="11">
        <f t="shared" ref="I765:I804" si="32">G765-H765+I764</f>
        <v>9248.09</v>
      </c>
      <c r="J765" s="12">
        <v>5720001</v>
      </c>
    </row>
    <row r="766" spans="1:10" x14ac:dyDescent="0.3">
      <c r="C766" s="8" t="s">
        <v>11</v>
      </c>
      <c r="D766" s="9">
        <v>45664</v>
      </c>
      <c r="E766" t="s">
        <v>741</v>
      </c>
      <c r="F766" s="10" t="s">
        <v>17</v>
      </c>
      <c r="G766" s="11">
        <v>0</v>
      </c>
      <c r="H766" s="11">
        <v>3031.75</v>
      </c>
      <c r="I766" s="11">
        <f t="shared" si="32"/>
        <v>6216.34</v>
      </c>
      <c r="J766" s="12">
        <v>5720001</v>
      </c>
    </row>
    <row r="767" spans="1:10" x14ac:dyDescent="0.3">
      <c r="C767" s="8" t="s">
        <v>11</v>
      </c>
      <c r="D767" s="9">
        <v>45672</v>
      </c>
      <c r="E767" t="s">
        <v>742</v>
      </c>
      <c r="F767" s="10" t="s">
        <v>743</v>
      </c>
      <c r="G767" s="11">
        <v>2010.21</v>
      </c>
      <c r="H767" s="11">
        <v>0</v>
      </c>
      <c r="I767" s="11">
        <f t="shared" si="32"/>
        <v>8226.5499999999993</v>
      </c>
      <c r="J767" s="12"/>
    </row>
    <row r="768" spans="1:10" x14ac:dyDescent="0.3">
      <c r="C768" s="8" t="s">
        <v>11</v>
      </c>
      <c r="D768" s="9">
        <v>45672</v>
      </c>
      <c r="E768" t="s">
        <v>744</v>
      </c>
      <c r="F768" s="10" t="s">
        <v>745</v>
      </c>
      <c r="G768" s="11">
        <v>109.52</v>
      </c>
      <c r="H768" s="11">
        <v>0</v>
      </c>
      <c r="I768" s="11">
        <f t="shared" si="32"/>
        <v>8336.07</v>
      </c>
      <c r="J768" s="12"/>
    </row>
    <row r="769" spans="3:10" x14ac:dyDescent="0.3">
      <c r="C769" s="8" t="s">
        <v>11</v>
      </c>
      <c r="D769" s="9">
        <v>45687</v>
      </c>
      <c r="E769" t="s">
        <v>746</v>
      </c>
      <c r="F769" s="10" t="s">
        <v>17</v>
      </c>
      <c r="G769" s="11">
        <v>0</v>
      </c>
      <c r="H769" s="11">
        <v>4199.5</v>
      </c>
      <c r="I769" s="11">
        <f t="shared" si="32"/>
        <v>4136.57</v>
      </c>
      <c r="J769" s="12"/>
    </row>
    <row r="770" spans="3:10" x14ac:dyDescent="0.3">
      <c r="C770" s="8" t="s">
        <v>11</v>
      </c>
      <c r="D770" s="9">
        <v>45688</v>
      </c>
      <c r="E770" t="s">
        <v>747</v>
      </c>
      <c r="F770" s="10" t="s">
        <v>748</v>
      </c>
      <c r="G770" s="11">
        <v>669.49</v>
      </c>
      <c r="H770" s="11">
        <v>0</v>
      </c>
      <c r="I770" s="11">
        <f t="shared" si="32"/>
        <v>4806.0599999999995</v>
      </c>
      <c r="J770" s="12"/>
    </row>
    <row r="771" spans="3:10" x14ac:dyDescent="0.3">
      <c r="C771" s="8" t="s">
        <v>11</v>
      </c>
      <c r="D771" s="9">
        <v>45688</v>
      </c>
      <c r="E771" t="s">
        <v>749</v>
      </c>
      <c r="F771" s="10" t="s">
        <v>750</v>
      </c>
      <c r="G771" s="11">
        <v>350.97</v>
      </c>
      <c r="H771" s="11">
        <v>0</v>
      </c>
      <c r="I771" s="11">
        <f t="shared" si="32"/>
        <v>5157.03</v>
      </c>
      <c r="J771" s="12"/>
    </row>
    <row r="772" spans="3:10" x14ac:dyDescent="0.3">
      <c r="C772" s="8" t="s">
        <v>11</v>
      </c>
      <c r="D772" s="9">
        <v>45688</v>
      </c>
      <c r="E772" t="s">
        <v>751</v>
      </c>
      <c r="F772" s="10" t="s">
        <v>752</v>
      </c>
      <c r="G772" s="11">
        <v>302.5</v>
      </c>
      <c r="H772" s="11">
        <v>0</v>
      </c>
      <c r="I772" s="11">
        <f t="shared" si="32"/>
        <v>5459.53</v>
      </c>
      <c r="J772" s="12"/>
    </row>
    <row r="773" spans="3:10" x14ac:dyDescent="0.3">
      <c r="C773" s="8" t="s">
        <v>11</v>
      </c>
      <c r="D773" s="9">
        <v>45688</v>
      </c>
      <c r="E773" t="s">
        <v>753</v>
      </c>
      <c r="F773" s="10" t="s">
        <v>754</v>
      </c>
      <c r="G773" s="11">
        <v>657.49</v>
      </c>
      <c r="H773" s="11">
        <v>0</v>
      </c>
      <c r="I773" s="11">
        <f t="shared" si="32"/>
        <v>6117.0199999999995</v>
      </c>
      <c r="J773" s="12"/>
    </row>
    <row r="774" spans="3:10" x14ac:dyDescent="0.3">
      <c r="C774" s="8" t="s">
        <v>11</v>
      </c>
      <c r="D774" s="9">
        <v>45700</v>
      </c>
      <c r="E774" t="s">
        <v>684</v>
      </c>
      <c r="F774" s="10" t="s">
        <v>17</v>
      </c>
      <c r="G774" s="11">
        <v>0</v>
      </c>
      <c r="H774" s="11">
        <v>597.03</v>
      </c>
      <c r="I774" s="11">
        <f t="shared" si="32"/>
        <v>5519.99</v>
      </c>
      <c r="J774" s="12">
        <v>5720001</v>
      </c>
    </row>
    <row r="775" spans="3:10" x14ac:dyDescent="0.3">
      <c r="C775" s="8" t="s">
        <v>11</v>
      </c>
      <c r="D775" s="9">
        <v>45716</v>
      </c>
      <c r="E775" t="s">
        <v>755</v>
      </c>
      <c r="F775" s="10" t="s">
        <v>756</v>
      </c>
      <c r="G775" s="11">
        <v>1401.46</v>
      </c>
      <c r="H775" s="11">
        <v>0</v>
      </c>
      <c r="I775" s="11">
        <f t="shared" si="32"/>
        <v>6921.45</v>
      </c>
      <c r="J775" s="12"/>
    </row>
    <row r="776" spans="3:10" x14ac:dyDescent="0.3">
      <c r="C776" s="8" t="s">
        <v>11</v>
      </c>
      <c r="D776" s="9">
        <v>45716</v>
      </c>
      <c r="E776" t="s">
        <v>757</v>
      </c>
      <c r="F776" s="10" t="s">
        <v>758</v>
      </c>
      <c r="G776" s="11">
        <v>1376.81</v>
      </c>
      <c r="H776" s="11">
        <v>0</v>
      </c>
      <c r="I776" s="11">
        <f t="shared" si="32"/>
        <v>8298.26</v>
      </c>
      <c r="J776" s="12"/>
    </row>
    <row r="777" spans="3:10" x14ac:dyDescent="0.3">
      <c r="C777" s="8" t="s">
        <v>11</v>
      </c>
      <c r="D777" s="9">
        <v>45726</v>
      </c>
      <c r="E777" t="s">
        <v>741</v>
      </c>
      <c r="F777" s="10" t="s">
        <v>17</v>
      </c>
      <c r="G777" s="11">
        <v>0</v>
      </c>
      <c r="H777" s="11">
        <v>714.38</v>
      </c>
      <c r="I777" s="11">
        <f t="shared" si="32"/>
        <v>7583.88</v>
      </c>
      <c r="J777" s="12">
        <v>5720001</v>
      </c>
    </row>
    <row r="778" spans="3:10" x14ac:dyDescent="0.3">
      <c r="C778" s="8" t="s">
        <v>11</v>
      </c>
      <c r="D778" s="9">
        <v>45730</v>
      </c>
      <c r="E778" t="s">
        <v>759</v>
      </c>
      <c r="F778" s="10" t="s">
        <v>760</v>
      </c>
      <c r="G778" s="11">
        <v>1932.24</v>
      </c>
      <c r="H778" s="11">
        <v>0</v>
      </c>
      <c r="I778" s="11">
        <f t="shared" si="32"/>
        <v>9516.1200000000008</v>
      </c>
      <c r="J778" s="12"/>
    </row>
    <row r="779" spans="3:10" x14ac:dyDescent="0.3">
      <c r="C779" s="8" t="s">
        <v>11</v>
      </c>
      <c r="D779" s="9">
        <v>45747</v>
      </c>
      <c r="E779" t="s">
        <v>761</v>
      </c>
      <c r="F779" s="10" t="s">
        <v>762</v>
      </c>
      <c r="G779" s="11">
        <v>1586.31</v>
      </c>
      <c r="H779" s="11">
        <v>0</v>
      </c>
      <c r="I779" s="11">
        <f t="shared" si="32"/>
        <v>11102.43</v>
      </c>
      <c r="J779" s="12"/>
    </row>
    <row r="780" spans="3:10" x14ac:dyDescent="0.3">
      <c r="C780" s="8" t="s">
        <v>11</v>
      </c>
      <c r="D780" s="9">
        <v>45747</v>
      </c>
      <c r="E780" t="s">
        <v>763</v>
      </c>
      <c r="F780" s="10" t="s">
        <v>764</v>
      </c>
      <c r="G780" s="11">
        <v>954.51</v>
      </c>
      <c r="H780" s="11">
        <v>0</v>
      </c>
      <c r="I780" s="11">
        <f t="shared" si="32"/>
        <v>12056.94</v>
      </c>
      <c r="J780" s="12"/>
    </row>
    <row r="781" spans="3:10" x14ac:dyDescent="0.3">
      <c r="C781" s="8" t="s">
        <v>11</v>
      </c>
      <c r="D781" s="9">
        <v>45747</v>
      </c>
      <c r="E781" t="s">
        <v>765</v>
      </c>
      <c r="F781" s="10" t="s">
        <v>766</v>
      </c>
      <c r="G781" s="11">
        <v>2405.75</v>
      </c>
      <c r="H781" s="11">
        <v>0</v>
      </c>
      <c r="I781" s="11">
        <f t="shared" si="32"/>
        <v>14462.69</v>
      </c>
      <c r="J781" s="12"/>
    </row>
    <row r="782" spans="3:10" x14ac:dyDescent="0.3">
      <c r="C782" s="8" t="s">
        <v>11</v>
      </c>
      <c r="D782" s="9">
        <v>45749</v>
      </c>
      <c r="E782" t="s">
        <v>746</v>
      </c>
      <c r="F782" s="10" t="s">
        <v>17</v>
      </c>
      <c r="G782" s="11">
        <v>0</v>
      </c>
      <c r="H782" s="11">
        <v>2119.73</v>
      </c>
      <c r="I782" s="11">
        <f t="shared" si="32"/>
        <v>12342.960000000001</v>
      </c>
      <c r="J782" s="12">
        <v>5720001</v>
      </c>
    </row>
    <row r="783" spans="3:10" x14ac:dyDescent="0.3">
      <c r="C783" s="8" t="s">
        <v>11</v>
      </c>
      <c r="D783" s="9">
        <v>45757</v>
      </c>
      <c r="E783" t="s">
        <v>767</v>
      </c>
      <c r="F783" s="10" t="s">
        <v>17</v>
      </c>
      <c r="G783" s="11">
        <v>0</v>
      </c>
      <c r="H783" s="11">
        <v>1980.45</v>
      </c>
      <c r="I783" s="11">
        <f t="shared" si="32"/>
        <v>10362.51</v>
      </c>
      <c r="J783" s="12">
        <v>5720001</v>
      </c>
    </row>
    <row r="784" spans="3:10" x14ac:dyDescent="0.3">
      <c r="C784" s="8" t="s">
        <v>11</v>
      </c>
      <c r="D784" s="9">
        <v>45761</v>
      </c>
      <c r="E784" t="s">
        <v>768</v>
      </c>
      <c r="F784" s="10" t="s">
        <v>769</v>
      </c>
      <c r="G784" s="11">
        <v>642.51</v>
      </c>
      <c r="H784" s="11">
        <v>0</v>
      </c>
      <c r="I784" s="11">
        <f t="shared" si="32"/>
        <v>11005.02</v>
      </c>
      <c r="J784" s="12"/>
    </row>
    <row r="785" spans="3:10" x14ac:dyDescent="0.3">
      <c r="C785" s="8" t="s">
        <v>11</v>
      </c>
      <c r="D785" s="9">
        <v>45761</v>
      </c>
      <c r="E785" t="s">
        <v>770</v>
      </c>
      <c r="F785" s="10" t="s">
        <v>17</v>
      </c>
      <c r="G785" s="11">
        <v>0</v>
      </c>
      <c r="H785" s="11">
        <v>705.43</v>
      </c>
      <c r="I785" s="11">
        <f t="shared" si="32"/>
        <v>10299.59</v>
      </c>
      <c r="J785" s="12">
        <v>5720001</v>
      </c>
    </row>
    <row r="786" spans="3:10" x14ac:dyDescent="0.3">
      <c r="C786" s="8" t="s">
        <v>11</v>
      </c>
      <c r="D786" s="9">
        <v>45777</v>
      </c>
      <c r="E786" t="s">
        <v>771</v>
      </c>
      <c r="F786" s="10" t="s">
        <v>772</v>
      </c>
      <c r="G786" s="11">
        <v>734.35</v>
      </c>
      <c r="H786" s="11">
        <v>0</v>
      </c>
      <c r="I786" s="11">
        <f t="shared" si="32"/>
        <v>11033.94</v>
      </c>
      <c r="J786" s="12"/>
    </row>
    <row r="787" spans="3:10" x14ac:dyDescent="0.3">
      <c r="C787" s="8" t="s">
        <v>11</v>
      </c>
      <c r="D787" s="9">
        <v>45777</v>
      </c>
      <c r="E787" t="s">
        <v>773</v>
      </c>
      <c r="F787" s="10" t="s">
        <v>774</v>
      </c>
      <c r="G787" s="11">
        <v>734.35</v>
      </c>
      <c r="H787" s="11">
        <v>0</v>
      </c>
      <c r="I787" s="11">
        <f t="shared" si="32"/>
        <v>11768.29</v>
      </c>
      <c r="J787" s="12"/>
    </row>
    <row r="788" spans="3:10" x14ac:dyDescent="0.3">
      <c r="C788" s="8" t="s">
        <v>11</v>
      </c>
      <c r="D788" s="9">
        <v>45777</v>
      </c>
      <c r="E788" t="s">
        <v>775</v>
      </c>
      <c r="F788" s="10" t="s">
        <v>776</v>
      </c>
      <c r="G788" s="11">
        <v>7787.34</v>
      </c>
      <c r="H788" s="11">
        <v>0</v>
      </c>
      <c r="I788" s="11">
        <f t="shared" si="32"/>
        <v>19555.63</v>
      </c>
      <c r="J788" s="12"/>
    </row>
    <row r="789" spans="3:10" x14ac:dyDescent="0.3">
      <c r="C789" s="8" t="s">
        <v>11</v>
      </c>
      <c r="D789" s="9">
        <v>45789</v>
      </c>
      <c r="E789" t="s">
        <v>767</v>
      </c>
      <c r="F789" s="10" t="s">
        <v>17</v>
      </c>
      <c r="G789" s="11">
        <v>0</v>
      </c>
      <c r="H789" s="11">
        <v>2778.27</v>
      </c>
      <c r="I789" s="11">
        <f t="shared" si="32"/>
        <v>16777.36</v>
      </c>
      <c r="J789" s="12">
        <v>5720001</v>
      </c>
    </row>
    <row r="790" spans="3:10" x14ac:dyDescent="0.3">
      <c r="C790" s="8" t="s">
        <v>11</v>
      </c>
      <c r="D790" s="9">
        <v>45792</v>
      </c>
      <c r="E790" t="s">
        <v>777</v>
      </c>
      <c r="F790" s="10" t="s">
        <v>778</v>
      </c>
      <c r="G790" s="11">
        <v>1356.64</v>
      </c>
      <c r="H790" s="11">
        <v>0</v>
      </c>
      <c r="I790" s="11">
        <f t="shared" si="32"/>
        <v>18134</v>
      </c>
      <c r="J790" s="12"/>
    </row>
    <row r="791" spans="3:10" x14ac:dyDescent="0.3">
      <c r="C791" s="8" t="s">
        <v>11</v>
      </c>
      <c r="D791" s="9">
        <v>45792</v>
      </c>
      <c r="E791" t="s">
        <v>779</v>
      </c>
      <c r="F791" s="10" t="s">
        <v>780</v>
      </c>
      <c r="G791" s="11">
        <v>8827.01</v>
      </c>
      <c r="H791" s="11">
        <v>0</v>
      </c>
      <c r="I791" s="11">
        <f t="shared" si="32"/>
        <v>26961.010000000002</v>
      </c>
      <c r="J791" s="12"/>
    </row>
    <row r="792" spans="3:10" x14ac:dyDescent="0.3">
      <c r="C792" s="8" t="s">
        <v>11</v>
      </c>
      <c r="D792" s="9">
        <v>45811</v>
      </c>
      <c r="E792" t="s">
        <v>684</v>
      </c>
      <c r="F792" s="10" t="s">
        <v>17</v>
      </c>
      <c r="G792" s="11">
        <v>0</v>
      </c>
      <c r="H792" s="11">
        <v>1932.24</v>
      </c>
      <c r="I792" s="11">
        <f t="shared" si="32"/>
        <v>25028.77</v>
      </c>
      <c r="J792" s="12">
        <v>5720001</v>
      </c>
    </row>
    <row r="793" spans="3:10" x14ac:dyDescent="0.3">
      <c r="C793" s="8" t="s">
        <v>11</v>
      </c>
      <c r="D793" s="9">
        <v>45819</v>
      </c>
      <c r="E793" t="s">
        <v>767</v>
      </c>
      <c r="F793" s="10" t="s">
        <v>17</v>
      </c>
      <c r="G793" s="11">
        <v>0</v>
      </c>
      <c r="H793" s="11">
        <v>4946.57</v>
      </c>
      <c r="I793" s="11">
        <f t="shared" si="32"/>
        <v>20082.2</v>
      </c>
      <c r="J793" s="12">
        <v>5720001</v>
      </c>
    </row>
    <row r="794" spans="3:10" x14ac:dyDescent="0.3">
      <c r="C794" s="8" t="s">
        <v>11</v>
      </c>
      <c r="D794" s="9">
        <v>45839</v>
      </c>
      <c r="E794" t="s">
        <v>684</v>
      </c>
      <c r="F794" s="10" t="s">
        <v>17</v>
      </c>
      <c r="G794" s="11">
        <v>0</v>
      </c>
      <c r="H794" s="11">
        <v>642.51</v>
      </c>
      <c r="I794" s="11">
        <f t="shared" si="32"/>
        <v>19439.690000000002</v>
      </c>
      <c r="J794" s="12">
        <v>5720001</v>
      </c>
    </row>
    <row r="795" spans="3:10" x14ac:dyDescent="0.3">
      <c r="C795" s="8" t="s">
        <v>11</v>
      </c>
      <c r="D795" s="9">
        <v>45848</v>
      </c>
      <c r="E795" t="s">
        <v>767</v>
      </c>
      <c r="F795" s="10" t="s">
        <v>17</v>
      </c>
      <c r="G795" s="11">
        <v>0</v>
      </c>
      <c r="H795" s="11">
        <v>9256.0400000000009</v>
      </c>
      <c r="I795" s="11">
        <f t="shared" si="32"/>
        <v>10183.650000000001</v>
      </c>
      <c r="J795" s="12">
        <v>5720001</v>
      </c>
    </row>
    <row r="796" spans="3:10" x14ac:dyDescent="0.3">
      <c r="C796" s="8"/>
      <c r="D796" s="9">
        <v>45853</v>
      </c>
      <c r="E796" t="s">
        <v>781</v>
      </c>
      <c r="F796" s="10" t="s">
        <v>782</v>
      </c>
      <c r="G796" s="11">
        <v>8847.74</v>
      </c>
      <c r="H796" s="11">
        <v>0</v>
      </c>
      <c r="I796" s="11">
        <f t="shared" si="32"/>
        <v>19031.39</v>
      </c>
      <c r="J796" s="12"/>
    </row>
    <row r="797" spans="3:10" x14ac:dyDescent="0.3">
      <c r="C797" s="8"/>
      <c r="D797" s="9">
        <v>45853</v>
      </c>
      <c r="E797" t="s">
        <v>783</v>
      </c>
      <c r="F797" s="10" t="s">
        <v>784</v>
      </c>
      <c r="G797" s="11">
        <v>1779.55</v>
      </c>
      <c r="H797" s="11">
        <v>0</v>
      </c>
      <c r="I797" s="11">
        <f t="shared" si="32"/>
        <v>20810.939999999999</v>
      </c>
      <c r="J797" s="12"/>
    </row>
    <row r="798" spans="3:10" x14ac:dyDescent="0.3">
      <c r="C798" s="8"/>
      <c r="D798" s="9">
        <v>45853</v>
      </c>
      <c r="E798" t="s">
        <v>785</v>
      </c>
      <c r="F798" s="10" t="s">
        <v>786</v>
      </c>
      <c r="G798" s="11">
        <v>1824.2</v>
      </c>
      <c r="H798" s="11">
        <v>0</v>
      </c>
      <c r="I798" s="11">
        <f t="shared" si="32"/>
        <v>22635.14</v>
      </c>
      <c r="J798" s="12"/>
    </row>
    <row r="799" spans="3:10" x14ac:dyDescent="0.3">
      <c r="C799" s="8"/>
      <c r="D799" s="9">
        <v>45869</v>
      </c>
      <c r="E799" t="s">
        <v>787</v>
      </c>
      <c r="F799" s="10" t="s">
        <v>788</v>
      </c>
      <c r="G799" s="11">
        <v>950.7</v>
      </c>
      <c r="H799" s="11">
        <v>0</v>
      </c>
      <c r="I799" s="11">
        <f t="shared" si="32"/>
        <v>23585.84</v>
      </c>
      <c r="J799" s="12"/>
    </row>
    <row r="800" spans="3:10" x14ac:dyDescent="0.3">
      <c r="C800" s="8" t="s">
        <v>11</v>
      </c>
      <c r="D800" s="9">
        <v>45870</v>
      </c>
      <c r="E800" t="s">
        <v>741</v>
      </c>
      <c r="F800" s="10" t="s">
        <v>17</v>
      </c>
      <c r="G800" s="11">
        <v>0</v>
      </c>
      <c r="H800" s="11">
        <v>10183.65</v>
      </c>
      <c r="I800" s="11">
        <f t="shared" si="32"/>
        <v>13402.19</v>
      </c>
      <c r="J800" s="12">
        <v>5720001</v>
      </c>
    </row>
    <row r="801" spans="1:10" x14ac:dyDescent="0.3">
      <c r="C801" s="8"/>
      <c r="D801" s="9">
        <v>45915</v>
      </c>
      <c r="E801" t="s">
        <v>789</v>
      </c>
      <c r="F801" s="10" t="s">
        <v>790</v>
      </c>
      <c r="G801" s="11">
        <v>9673.99</v>
      </c>
      <c r="H801" s="11">
        <v>0</v>
      </c>
      <c r="I801" s="11">
        <f t="shared" si="32"/>
        <v>23076.18</v>
      </c>
      <c r="J801" s="12"/>
    </row>
    <row r="802" spans="1:10" x14ac:dyDescent="0.3">
      <c r="C802" s="8"/>
      <c r="D802" s="9">
        <v>45915</v>
      </c>
      <c r="E802" t="s">
        <v>791</v>
      </c>
      <c r="F802" s="10" t="s">
        <v>792</v>
      </c>
      <c r="G802" s="11">
        <v>967.09</v>
      </c>
      <c r="H802" s="11">
        <v>0</v>
      </c>
      <c r="I802" s="11">
        <f t="shared" si="32"/>
        <v>24043.27</v>
      </c>
      <c r="J802" s="12"/>
    </row>
    <row r="803" spans="1:10" x14ac:dyDescent="0.3">
      <c r="C803" s="8"/>
      <c r="D803" s="9">
        <v>45917</v>
      </c>
      <c r="E803" t="s">
        <v>793</v>
      </c>
      <c r="F803" s="10" t="s">
        <v>794</v>
      </c>
      <c r="G803" s="11">
        <v>376.43</v>
      </c>
      <c r="H803" s="11">
        <v>0</v>
      </c>
      <c r="I803" s="11">
        <f t="shared" si="32"/>
        <v>24419.7</v>
      </c>
      <c r="J803" s="12"/>
    </row>
    <row r="804" spans="1:10" x14ac:dyDescent="0.3">
      <c r="C804" s="8"/>
      <c r="D804" s="9">
        <v>45917</v>
      </c>
      <c r="E804" t="s">
        <v>795</v>
      </c>
      <c r="F804" s="10" t="s">
        <v>796</v>
      </c>
      <c r="G804" s="11">
        <v>1511.53</v>
      </c>
      <c r="H804" s="11">
        <v>0</v>
      </c>
      <c r="I804" s="11">
        <f t="shared" si="32"/>
        <v>25931.23</v>
      </c>
      <c r="J804" s="12"/>
    </row>
    <row r="805" spans="1:10" x14ac:dyDescent="0.3">
      <c r="E805" s="4" t="s">
        <v>20</v>
      </c>
      <c r="G805" s="11">
        <f>SUM(G764:G804)</f>
        <v>69882.949999999983</v>
      </c>
      <c r="H805" s="11">
        <f>SUM(H764:H804)</f>
        <v>43951.72</v>
      </c>
      <c r="I805" s="11">
        <f>G805-H805</f>
        <v>25931.229999999981</v>
      </c>
    </row>
    <row r="807" spans="1:10" x14ac:dyDescent="0.3">
      <c r="A807" s="5">
        <v>4300023</v>
      </c>
      <c r="B807" s="6" t="s">
        <v>797</v>
      </c>
      <c r="C807" s="7"/>
      <c r="D807" s="7"/>
      <c r="E807" s="7"/>
      <c r="F807" s="7"/>
      <c r="G807" s="7"/>
      <c r="H807" s="7"/>
      <c r="I807" s="7"/>
      <c r="J807" s="7"/>
    </row>
    <row r="808" spans="1:10" x14ac:dyDescent="0.3">
      <c r="E808" s="4" t="s">
        <v>22</v>
      </c>
      <c r="G808" s="11">
        <v>7961.34</v>
      </c>
      <c r="H808" s="11">
        <v>0</v>
      </c>
      <c r="I808" s="11">
        <f>G808-H808</f>
        <v>7961.34</v>
      </c>
    </row>
    <row r="809" spans="1:10" x14ac:dyDescent="0.3">
      <c r="C809" s="8" t="s">
        <v>11</v>
      </c>
      <c r="D809" s="9">
        <v>45698</v>
      </c>
      <c r="E809" t="s">
        <v>684</v>
      </c>
      <c r="F809" s="10" t="s">
        <v>17</v>
      </c>
      <c r="G809" s="11">
        <v>0</v>
      </c>
      <c r="H809" s="11">
        <v>7546.77</v>
      </c>
      <c r="I809" s="11">
        <f>G809-H809+I808</f>
        <v>414.56999999999971</v>
      </c>
      <c r="J809" s="12">
        <v>5720001</v>
      </c>
    </row>
    <row r="810" spans="1:10" x14ac:dyDescent="0.3">
      <c r="C810" s="8" t="s">
        <v>11</v>
      </c>
      <c r="D810" s="9">
        <v>45757</v>
      </c>
      <c r="E810" t="s">
        <v>684</v>
      </c>
      <c r="F810" s="10" t="s">
        <v>17</v>
      </c>
      <c r="G810" s="11">
        <v>0</v>
      </c>
      <c r="H810" s="11">
        <v>414.57</v>
      </c>
      <c r="I810" s="11">
        <f>G810-H810+I809</f>
        <v>0</v>
      </c>
      <c r="J810" s="12">
        <v>5720001</v>
      </c>
    </row>
    <row r="811" spans="1:10" x14ac:dyDescent="0.3">
      <c r="C811" s="8"/>
      <c r="D811" s="9">
        <v>45900</v>
      </c>
      <c r="E811" t="s">
        <v>798</v>
      </c>
      <c r="F811" s="10" t="s">
        <v>799</v>
      </c>
      <c r="G811" s="11">
        <v>283.14</v>
      </c>
      <c r="H811" s="11">
        <v>0</v>
      </c>
      <c r="I811" s="11">
        <f>G811-H811+I810</f>
        <v>283.14</v>
      </c>
      <c r="J811" s="12"/>
    </row>
    <row r="812" spans="1:10" x14ac:dyDescent="0.3">
      <c r="C812" s="8"/>
      <c r="D812" s="9">
        <v>45900</v>
      </c>
      <c r="E812" t="s">
        <v>800</v>
      </c>
      <c r="F812" s="10" t="s">
        <v>801</v>
      </c>
      <c r="G812" s="11">
        <v>1027.18</v>
      </c>
      <c r="H812" s="11">
        <v>0</v>
      </c>
      <c r="I812" s="11">
        <f>G812-H812+I811</f>
        <v>1310.3200000000002</v>
      </c>
      <c r="J812" s="12"/>
    </row>
    <row r="813" spans="1:10" x14ac:dyDescent="0.3">
      <c r="E813" s="4" t="s">
        <v>20</v>
      </c>
      <c r="G813" s="11">
        <f>SUM(G808:G812)</f>
        <v>9271.66</v>
      </c>
      <c r="H813" s="11">
        <f>SUM(H808:H812)</f>
        <v>7961.34</v>
      </c>
      <c r="I813" s="11">
        <f>G813-H813</f>
        <v>1310.3199999999997</v>
      </c>
    </row>
    <row r="815" spans="1:10" x14ac:dyDescent="0.3">
      <c r="A815" s="5">
        <v>4300025</v>
      </c>
      <c r="B815" s="6" t="s">
        <v>54</v>
      </c>
      <c r="C815" s="7"/>
      <c r="D815" s="7"/>
      <c r="E815" s="7"/>
      <c r="F815" s="7"/>
      <c r="G815" s="7"/>
      <c r="H815" s="7"/>
      <c r="I815" s="7"/>
      <c r="J815" s="7"/>
    </row>
    <row r="816" spans="1:10" x14ac:dyDescent="0.3">
      <c r="E816" s="4" t="s">
        <v>22</v>
      </c>
      <c r="G816" s="11">
        <v>3921.25</v>
      </c>
      <c r="H816" s="11">
        <v>0</v>
      </c>
      <c r="I816" s="11">
        <f>G816-H816</f>
        <v>3921.25</v>
      </c>
    </row>
    <row r="817" spans="3:10" x14ac:dyDescent="0.3">
      <c r="C817" s="8" t="s">
        <v>11</v>
      </c>
      <c r="D817" s="9">
        <v>45672</v>
      </c>
      <c r="E817" t="s">
        <v>802</v>
      </c>
      <c r="F817" s="10" t="s">
        <v>803</v>
      </c>
      <c r="G817" s="11">
        <v>1147.4100000000001</v>
      </c>
      <c r="H817" s="11">
        <v>0</v>
      </c>
      <c r="I817" s="11">
        <f t="shared" ref="I817:I842" si="33">G817-H817+I816</f>
        <v>5068.66</v>
      </c>
      <c r="J817" s="12"/>
    </row>
    <row r="818" spans="3:10" x14ac:dyDescent="0.3">
      <c r="C818" s="8" t="s">
        <v>11</v>
      </c>
      <c r="D818" s="9">
        <v>45674</v>
      </c>
      <c r="E818" t="s">
        <v>804</v>
      </c>
      <c r="F818" s="10" t="s">
        <v>17</v>
      </c>
      <c r="G818" s="11">
        <v>0</v>
      </c>
      <c r="H818" s="11">
        <v>3921.25</v>
      </c>
      <c r="I818" s="11">
        <f t="shared" si="33"/>
        <v>1147.4099999999999</v>
      </c>
      <c r="J818" s="12"/>
    </row>
    <row r="819" spans="3:10" x14ac:dyDescent="0.3">
      <c r="C819" s="8" t="s">
        <v>11</v>
      </c>
      <c r="D819" s="9">
        <v>45687</v>
      </c>
      <c r="E819" t="s">
        <v>804</v>
      </c>
      <c r="F819" s="10" t="s">
        <v>17</v>
      </c>
      <c r="G819" s="11">
        <v>0</v>
      </c>
      <c r="H819" s="11">
        <v>1147.4100000000001</v>
      </c>
      <c r="I819" s="11">
        <f t="shared" si="33"/>
        <v>0</v>
      </c>
      <c r="J819" s="12"/>
    </row>
    <row r="820" spans="3:10" x14ac:dyDescent="0.3">
      <c r="C820" s="8" t="s">
        <v>11</v>
      </c>
      <c r="D820" s="9">
        <v>45702</v>
      </c>
      <c r="E820" t="s">
        <v>805</v>
      </c>
      <c r="F820" s="10" t="s">
        <v>806</v>
      </c>
      <c r="G820" s="11">
        <v>1416.5</v>
      </c>
      <c r="H820" s="11">
        <v>0</v>
      </c>
      <c r="I820" s="11">
        <f t="shared" si="33"/>
        <v>1416.5</v>
      </c>
      <c r="J820" s="12"/>
    </row>
    <row r="821" spans="3:10" x14ac:dyDescent="0.3">
      <c r="C821" s="8" t="s">
        <v>11</v>
      </c>
      <c r="D821" s="9">
        <v>45708</v>
      </c>
      <c r="E821" t="s">
        <v>807</v>
      </c>
      <c r="F821" s="10" t="s">
        <v>17</v>
      </c>
      <c r="G821" s="11">
        <v>0</v>
      </c>
      <c r="H821" s="11">
        <v>1416.5</v>
      </c>
      <c r="I821" s="11">
        <f t="shared" si="33"/>
        <v>0</v>
      </c>
      <c r="J821" s="12"/>
    </row>
    <row r="822" spans="3:10" x14ac:dyDescent="0.3">
      <c r="C822" s="8" t="s">
        <v>11</v>
      </c>
      <c r="D822" s="9">
        <v>45716</v>
      </c>
      <c r="E822" t="s">
        <v>808</v>
      </c>
      <c r="F822" s="10" t="s">
        <v>809</v>
      </c>
      <c r="G822" s="11">
        <v>2844.36</v>
      </c>
      <c r="H822" s="11">
        <v>0</v>
      </c>
      <c r="I822" s="11">
        <f t="shared" si="33"/>
        <v>2844.36</v>
      </c>
      <c r="J822" s="12"/>
    </row>
    <row r="823" spans="3:10" x14ac:dyDescent="0.3">
      <c r="C823" s="8" t="s">
        <v>11</v>
      </c>
      <c r="D823" s="9">
        <v>45726</v>
      </c>
      <c r="E823" t="s">
        <v>810</v>
      </c>
      <c r="F823" s="10" t="s">
        <v>17</v>
      </c>
      <c r="G823" s="11">
        <v>0</v>
      </c>
      <c r="H823" s="11">
        <v>2844.36</v>
      </c>
      <c r="I823" s="11">
        <f t="shared" si="33"/>
        <v>0</v>
      </c>
      <c r="J823" s="12"/>
    </row>
    <row r="824" spans="3:10" x14ac:dyDescent="0.3">
      <c r="C824" s="8" t="s">
        <v>11</v>
      </c>
      <c r="D824" s="9">
        <v>45747</v>
      </c>
      <c r="E824" t="s">
        <v>811</v>
      </c>
      <c r="F824" s="10" t="s">
        <v>812</v>
      </c>
      <c r="G824" s="11">
        <v>910.4</v>
      </c>
      <c r="H824" s="11">
        <v>0</v>
      </c>
      <c r="I824" s="11">
        <f t="shared" si="33"/>
        <v>910.4</v>
      </c>
      <c r="J824" s="12"/>
    </row>
    <row r="825" spans="3:10" x14ac:dyDescent="0.3">
      <c r="C825" s="8" t="s">
        <v>11</v>
      </c>
      <c r="D825" s="9">
        <v>45761</v>
      </c>
      <c r="E825" t="s">
        <v>813</v>
      </c>
      <c r="F825" s="10" t="s">
        <v>814</v>
      </c>
      <c r="G825" s="11">
        <v>501.79</v>
      </c>
      <c r="H825" s="11">
        <v>0</v>
      </c>
      <c r="I825" s="11">
        <f t="shared" si="33"/>
        <v>1412.19</v>
      </c>
      <c r="J825" s="12"/>
    </row>
    <row r="826" spans="3:10" x14ac:dyDescent="0.3">
      <c r="C826" s="8" t="s">
        <v>11</v>
      </c>
      <c r="D826" s="9">
        <v>45770</v>
      </c>
      <c r="E826" t="s">
        <v>804</v>
      </c>
      <c r="F826" s="10" t="s">
        <v>17</v>
      </c>
      <c r="G826" s="11">
        <v>0</v>
      </c>
      <c r="H826" s="11">
        <v>910.4</v>
      </c>
      <c r="I826" s="11">
        <f t="shared" si="33"/>
        <v>501.79000000000008</v>
      </c>
      <c r="J826" s="12"/>
    </row>
    <row r="827" spans="3:10" x14ac:dyDescent="0.3">
      <c r="C827" s="8" t="s">
        <v>11</v>
      </c>
      <c r="D827" s="9">
        <v>45770</v>
      </c>
      <c r="E827" t="s">
        <v>804</v>
      </c>
      <c r="F827" s="10" t="s">
        <v>17</v>
      </c>
      <c r="G827" s="11">
        <v>0</v>
      </c>
      <c r="H827" s="11">
        <v>501.79</v>
      </c>
      <c r="I827" s="11">
        <f t="shared" si="33"/>
        <v>0</v>
      </c>
      <c r="J827" s="12"/>
    </row>
    <row r="828" spans="3:10" x14ac:dyDescent="0.3">
      <c r="C828" s="8" t="s">
        <v>11</v>
      </c>
      <c r="D828" s="9">
        <v>45777</v>
      </c>
      <c r="E828" t="s">
        <v>815</v>
      </c>
      <c r="F828" s="10" t="s">
        <v>816</v>
      </c>
      <c r="G828" s="11">
        <v>2834.3</v>
      </c>
      <c r="H828" s="11">
        <v>0</v>
      </c>
      <c r="I828" s="11">
        <f t="shared" si="33"/>
        <v>2834.3</v>
      </c>
      <c r="J828" s="12"/>
    </row>
    <row r="829" spans="3:10" x14ac:dyDescent="0.3">
      <c r="C829" s="8" t="s">
        <v>11</v>
      </c>
      <c r="D829" s="9">
        <v>45792</v>
      </c>
      <c r="E829" t="s">
        <v>817</v>
      </c>
      <c r="F829" s="10" t="s">
        <v>818</v>
      </c>
      <c r="G829" s="11">
        <v>2069.29</v>
      </c>
      <c r="H829" s="11">
        <v>0</v>
      </c>
      <c r="I829" s="11">
        <f t="shared" si="33"/>
        <v>4903.59</v>
      </c>
      <c r="J829" s="12"/>
    </row>
    <row r="830" spans="3:10" x14ac:dyDescent="0.3">
      <c r="C830" s="8" t="s">
        <v>11</v>
      </c>
      <c r="D830" s="9">
        <v>45797</v>
      </c>
      <c r="E830" t="s">
        <v>804</v>
      </c>
      <c r="F830" s="10" t="s">
        <v>17</v>
      </c>
      <c r="G830" s="11">
        <v>0</v>
      </c>
      <c r="H830" s="11">
        <v>2834.3</v>
      </c>
      <c r="I830" s="11">
        <f t="shared" si="33"/>
        <v>2069.29</v>
      </c>
      <c r="J830" s="12"/>
    </row>
    <row r="831" spans="3:10" x14ac:dyDescent="0.3">
      <c r="C831" s="8" t="s">
        <v>11</v>
      </c>
      <c r="D831" s="9">
        <v>45807</v>
      </c>
      <c r="E831" t="s">
        <v>819</v>
      </c>
      <c r="F831" s="10" t="s">
        <v>820</v>
      </c>
      <c r="G831" s="11">
        <v>5446.52</v>
      </c>
      <c r="H831" s="11">
        <v>0</v>
      </c>
      <c r="I831" s="11">
        <f t="shared" si="33"/>
        <v>7515.81</v>
      </c>
      <c r="J831" s="12"/>
    </row>
    <row r="832" spans="3:10" x14ac:dyDescent="0.3">
      <c r="C832" s="8" t="s">
        <v>11</v>
      </c>
      <c r="D832" s="9">
        <v>45812</v>
      </c>
      <c r="E832" t="s">
        <v>804</v>
      </c>
      <c r="F832" s="10" t="s">
        <v>17</v>
      </c>
      <c r="G832" s="11">
        <v>0</v>
      </c>
      <c r="H832" s="11">
        <v>2069.29</v>
      </c>
      <c r="I832" s="11">
        <f t="shared" si="33"/>
        <v>5446.52</v>
      </c>
      <c r="J832" s="12"/>
    </row>
    <row r="833" spans="1:10" x14ac:dyDescent="0.3">
      <c r="C833" s="8" t="s">
        <v>11</v>
      </c>
      <c r="D833" s="9">
        <v>45821</v>
      </c>
      <c r="E833" t="s">
        <v>821</v>
      </c>
      <c r="F833" s="10" t="s">
        <v>822</v>
      </c>
      <c r="G833" s="11">
        <v>9767.5</v>
      </c>
      <c r="H833" s="11">
        <v>0</v>
      </c>
      <c r="I833" s="11">
        <f t="shared" si="33"/>
        <v>15214.02</v>
      </c>
      <c r="J833" s="12"/>
    </row>
    <row r="834" spans="1:10" x14ac:dyDescent="0.3">
      <c r="C834" s="8" t="s">
        <v>11</v>
      </c>
      <c r="D834" s="9">
        <v>45828</v>
      </c>
      <c r="E834" t="s">
        <v>804</v>
      </c>
      <c r="F834" s="10" t="s">
        <v>17</v>
      </c>
      <c r="G834" s="11">
        <v>0</v>
      </c>
      <c r="H834" s="11">
        <v>15214.02</v>
      </c>
      <c r="I834" s="11">
        <f t="shared" si="33"/>
        <v>0</v>
      </c>
      <c r="J834" s="12"/>
    </row>
    <row r="835" spans="1:10" x14ac:dyDescent="0.3">
      <c r="C835" s="8" t="s">
        <v>11</v>
      </c>
      <c r="D835" s="9">
        <v>45838</v>
      </c>
      <c r="E835" t="s">
        <v>823</v>
      </c>
      <c r="F835" s="10" t="s">
        <v>824</v>
      </c>
      <c r="G835" s="11">
        <v>256.88</v>
      </c>
      <c r="H835" s="11">
        <v>0</v>
      </c>
      <c r="I835" s="11">
        <f t="shared" si="33"/>
        <v>256.88</v>
      </c>
      <c r="J835" s="12"/>
    </row>
    <row r="836" spans="1:10" x14ac:dyDescent="0.3">
      <c r="C836" s="8" t="s">
        <v>11</v>
      </c>
      <c r="D836" s="9">
        <v>45847</v>
      </c>
      <c r="E836" t="s">
        <v>804</v>
      </c>
      <c r="F836" s="10" t="s">
        <v>17</v>
      </c>
      <c r="G836" s="11">
        <v>0</v>
      </c>
      <c r="H836" s="11">
        <v>256.88</v>
      </c>
      <c r="I836" s="11">
        <f t="shared" si="33"/>
        <v>0</v>
      </c>
      <c r="J836" s="12"/>
    </row>
    <row r="837" spans="1:10" x14ac:dyDescent="0.3">
      <c r="C837" s="8" t="s">
        <v>11</v>
      </c>
      <c r="D837" s="9">
        <v>45853</v>
      </c>
      <c r="E837" t="s">
        <v>825</v>
      </c>
      <c r="F837" s="10" t="s">
        <v>826</v>
      </c>
      <c r="G837" s="11">
        <v>3797.55</v>
      </c>
      <c r="H837" s="11">
        <v>0</v>
      </c>
      <c r="I837" s="11">
        <f t="shared" si="33"/>
        <v>3797.55</v>
      </c>
      <c r="J837" s="12"/>
    </row>
    <row r="838" spans="1:10" x14ac:dyDescent="0.3">
      <c r="C838" s="8" t="s">
        <v>11</v>
      </c>
      <c r="D838" s="9">
        <v>45869</v>
      </c>
      <c r="E838" t="s">
        <v>827</v>
      </c>
      <c r="F838" s="10" t="s">
        <v>828</v>
      </c>
      <c r="G838" s="11">
        <v>8554.91</v>
      </c>
      <c r="H838" s="11">
        <v>0</v>
      </c>
      <c r="I838" s="11">
        <f t="shared" si="33"/>
        <v>12352.46</v>
      </c>
      <c r="J838" s="12"/>
    </row>
    <row r="839" spans="1:10" x14ac:dyDescent="0.3">
      <c r="C839" s="8" t="s">
        <v>11</v>
      </c>
      <c r="D839" s="9">
        <v>45889</v>
      </c>
      <c r="E839" t="s">
        <v>804</v>
      </c>
      <c r="F839" s="10" t="s">
        <v>17</v>
      </c>
      <c r="G839" s="11">
        <v>0</v>
      </c>
      <c r="H839" s="11">
        <v>3797.55</v>
      </c>
      <c r="I839" s="11">
        <f t="shared" si="33"/>
        <v>8554.91</v>
      </c>
      <c r="J839" s="12"/>
    </row>
    <row r="840" spans="1:10" x14ac:dyDescent="0.3">
      <c r="C840" s="8" t="s">
        <v>11</v>
      </c>
      <c r="D840" s="9">
        <v>45889</v>
      </c>
      <c r="E840" t="s">
        <v>804</v>
      </c>
      <c r="F840" s="10" t="s">
        <v>17</v>
      </c>
      <c r="G840" s="11">
        <v>0</v>
      </c>
      <c r="H840" s="11">
        <v>8554.91</v>
      </c>
      <c r="I840" s="11">
        <f t="shared" si="33"/>
        <v>0</v>
      </c>
      <c r="J840" s="12"/>
    </row>
    <row r="841" spans="1:10" x14ac:dyDescent="0.3">
      <c r="C841" s="8"/>
      <c r="D841" s="9">
        <v>45900</v>
      </c>
      <c r="E841" t="s">
        <v>829</v>
      </c>
      <c r="F841" s="10" t="s">
        <v>830</v>
      </c>
      <c r="G841" s="11">
        <v>4294.25</v>
      </c>
      <c r="H841" s="11">
        <v>0</v>
      </c>
      <c r="I841" s="11">
        <f t="shared" si="33"/>
        <v>4294.25</v>
      </c>
      <c r="J841" s="12"/>
    </row>
    <row r="842" spans="1:10" x14ac:dyDescent="0.3">
      <c r="C842" s="8"/>
      <c r="D842" s="9">
        <v>45916</v>
      </c>
      <c r="E842" t="s">
        <v>831</v>
      </c>
      <c r="F842" s="10" t="s">
        <v>832</v>
      </c>
      <c r="G842" s="11">
        <v>5734.7</v>
      </c>
      <c r="H842" s="11">
        <v>0</v>
      </c>
      <c r="I842" s="11">
        <f t="shared" si="33"/>
        <v>10028.950000000001</v>
      </c>
      <c r="J842" s="12"/>
    </row>
    <row r="843" spans="1:10" x14ac:dyDescent="0.3">
      <c r="E843" s="4" t="s">
        <v>20</v>
      </c>
      <c r="G843" s="11">
        <f>SUM(G816:G842)</f>
        <v>53497.61</v>
      </c>
      <c r="H843" s="11">
        <f>SUM(H816:H842)</f>
        <v>43468.66</v>
      </c>
      <c r="I843" s="11">
        <f>G843-H843</f>
        <v>10028.949999999997</v>
      </c>
    </row>
    <row r="845" spans="1:10" x14ac:dyDescent="0.3">
      <c r="A845" s="5">
        <v>4300028</v>
      </c>
      <c r="B845" s="6" t="s">
        <v>833</v>
      </c>
      <c r="C845" s="7"/>
      <c r="D845" s="7"/>
      <c r="E845" s="7"/>
      <c r="F845" s="7"/>
      <c r="G845" s="7"/>
      <c r="H845" s="7"/>
      <c r="I845" s="7"/>
      <c r="J845" s="7"/>
    </row>
    <row r="846" spans="1:10" x14ac:dyDescent="0.3">
      <c r="E846" s="4" t="s">
        <v>22</v>
      </c>
      <c r="G846" s="11">
        <v>310.37</v>
      </c>
      <c r="H846" s="11">
        <v>0</v>
      </c>
      <c r="I846" s="11">
        <f>G846-H846</f>
        <v>310.37</v>
      </c>
    </row>
    <row r="847" spans="1:10" x14ac:dyDescent="0.3">
      <c r="C847" s="8" t="s">
        <v>11</v>
      </c>
      <c r="D847" s="9">
        <v>45688</v>
      </c>
      <c r="E847" t="s">
        <v>834</v>
      </c>
      <c r="F847" s="10" t="s">
        <v>835</v>
      </c>
      <c r="G847" s="11">
        <v>1725.29</v>
      </c>
      <c r="H847" s="11">
        <v>0</v>
      </c>
      <c r="I847" s="11">
        <f t="shared" ref="I847:I867" si="34">G847-H847+I846</f>
        <v>2035.6599999999999</v>
      </c>
      <c r="J847" s="12"/>
    </row>
    <row r="848" spans="1:10" x14ac:dyDescent="0.3">
      <c r="C848" s="8" t="s">
        <v>11</v>
      </c>
      <c r="D848" s="9">
        <v>45688</v>
      </c>
      <c r="E848" t="s">
        <v>836</v>
      </c>
      <c r="F848" s="10" t="s">
        <v>837</v>
      </c>
      <c r="G848" s="11">
        <v>230.51</v>
      </c>
      <c r="H848" s="11">
        <v>0</v>
      </c>
      <c r="I848" s="11">
        <f t="shared" si="34"/>
        <v>2266.17</v>
      </c>
      <c r="J848" s="12"/>
    </row>
    <row r="849" spans="3:10" x14ac:dyDescent="0.3">
      <c r="C849" s="8" t="s">
        <v>11</v>
      </c>
      <c r="D849" s="9">
        <v>45714</v>
      </c>
      <c r="E849" t="s">
        <v>684</v>
      </c>
      <c r="F849" s="10" t="s">
        <v>17</v>
      </c>
      <c r="G849" s="11">
        <v>0</v>
      </c>
      <c r="H849" s="11">
        <v>310.37</v>
      </c>
      <c r="I849" s="11">
        <f t="shared" si="34"/>
        <v>1955.8000000000002</v>
      </c>
      <c r="J849" s="12">
        <v>5720001</v>
      </c>
    </row>
    <row r="850" spans="3:10" x14ac:dyDescent="0.3">
      <c r="C850" s="8" t="s">
        <v>11</v>
      </c>
      <c r="D850" s="9">
        <v>45741</v>
      </c>
      <c r="E850" t="s">
        <v>838</v>
      </c>
      <c r="F850" s="10" t="s">
        <v>17</v>
      </c>
      <c r="G850" s="11">
        <v>0</v>
      </c>
      <c r="H850" s="11">
        <v>1955.8</v>
      </c>
      <c r="I850" s="11">
        <f t="shared" si="34"/>
        <v>0</v>
      </c>
      <c r="J850" s="12">
        <v>5720001</v>
      </c>
    </row>
    <row r="851" spans="3:10" x14ac:dyDescent="0.3">
      <c r="C851" s="8" t="s">
        <v>11</v>
      </c>
      <c r="D851" s="9">
        <v>45747</v>
      </c>
      <c r="E851" t="s">
        <v>839</v>
      </c>
      <c r="F851" s="10" t="s">
        <v>840</v>
      </c>
      <c r="G851" s="11">
        <v>11979</v>
      </c>
      <c r="H851" s="11">
        <v>0</v>
      </c>
      <c r="I851" s="11">
        <f t="shared" si="34"/>
        <v>11979</v>
      </c>
      <c r="J851" s="12"/>
    </row>
    <row r="852" spans="3:10" x14ac:dyDescent="0.3">
      <c r="C852" s="8" t="s">
        <v>11</v>
      </c>
      <c r="D852" s="9">
        <v>45758</v>
      </c>
      <c r="E852" t="s">
        <v>841</v>
      </c>
      <c r="F852" s="10" t="s">
        <v>17</v>
      </c>
      <c r="G852" s="11">
        <v>0</v>
      </c>
      <c r="H852" s="11">
        <v>2994.75</v>
      </c>
      <c r="I852" s="11">
        <f t="shared" si="34"/>
        <v>8984.25</v>
      </c>
      <c r="J852" s="12">
        <v>5720001</v>
      </c>
    </row>
    <row r="853" spans="3:10" x14ac:dyDescent="0.3">
      <c r="C853" s="8" t="s">
        <v>11</v>
      </c>
      <c r="D853" s="9">
        <v>45777</v>
      </c>
      <c r="E853" t="s">
        <v>842</v>
      </c>
      <c r="F853" s="10" t="s">
        <v>843</v>
      </c>
      <c r="G853" s="11">
        <v>618.91999999999996</v>
      </c>
      <c r="H853" s="11">
        <v>0</v>
      </c>
      <c r="I853" s="11">
        <f t="shared" si="34"/>
        <v>9603.17</v>
      </c>
      <c r="J853" s="12"/>
    </row>
    <row r="854" spans="3:10" x14ac:dyDescent="0.3">
      <c r="C854" s="8" t="s">
        <v>11</v>
      </c>
      <c r="D854" s="9">
        <v>45786</v>
      </c>
      <c r="E854" t="s">
        <v>844</v>
      </c>
      <c r="F854" s="10" t="s">
        <v>845</v>
      </c>
      <c r="G854" s="11">
        <v>-451.67</v>
      </c>
      <c r="H854" s="11">
        <v>0</v>
      </c>
      <c r="I854" s="11">
        <f t="shared" si="34"/>
        <v>9151.5</v>
      </c>
      <c r="J854" s="12"/>
    </row>
    <row r="855" spans="3:10" x14ac:dyDescent="0.3">
      <c r="C855" s="8" t="s">
        <v>11</v>
      </c>
      <c r="D855" s="9">
        <v>45790</v>
      </c>
      <c r="E855" t="s">
        <v>841</v>
      </c>
      <c r="F855" s="10" t="s">
        <v>17</v>
      </c>
      <c r="G855" s="11">
        <v>0</v>
      </c>
      <c r="H855" s="11">
        <v>2994.75</v>
      </c>
      <c r="I855" s="11">
        <f t="shared" si="34"/>
        <v>6156.75</v>
      </c>
      <c r="J855" s="12">
        <v>5720001</v>
      </c>
    </row>
    <row r="856" spans="3:10" x14ac:dyDescent="0.3">
      <c r="C856" s="8" t="s">
        <v>11</v>
      </c>
      <c r="D856" s="9">
        <v>45807</v>
      </c>
      <c r="E856" t="s">
        <v>846</v>
      </c>
      <c r="F856" s="10" t="s">
        <v>847</v>
      </c>
      <c r="G856" s="11">
        <v>451.67</v>
      </c>
      <c r="H856" s="11">
        <v>0</v>
      </c>
      <c r="I856" s="11">
        <f t="shared" si="34"/>
        <v>6608.42</v>
      </c>
      <c r="J856" s="12"/>
    </row>
    <row r="857" spans="3:10" x14ac:dyDescent="0.3">
      <c r="C857" s="8" t="s">
        <v>11</v>
      </c>
      <c r="D857" s="9">
        <v>45819</v>
      </c>
      <c r="E857" t="s">
        <v>838</v>
      </c>
      <c r="F857" s="10" t="s">
        <v>17</v>
      </c>
      <c r="G857" s="11">
        <v>0</v>
      </c>
      <c r="H857" s="11">
        <v>2994.75</v>
      </c>
      <c r="I857" s="11">
        <f t="shared" si="34"/>
        <v>3613.67</v>
      </c>
      <c r="J857" s="12">
        <v>5720001</v>
      </c>
    </row>
    <row r="858" spans="3:10" x14ac:dyDescent="0.3">
      <c r="C858" s="8" t="s">
        <v>11</v>
      </c>
      <c r="D858" s="9">
        <v>45821</v>
      </c>
      <c r="E858" t="s">
        <v>848</v>
      </c>
      <c r="F858" s="10" t="s">
        <v>849</v>
      </c>
      <c r="G858" s="11">
        <v>453.48</v>
      </c>
      <c r="H858" s="11">
        <v>0</v>
      </c>
      <c r="I858" s="11">
        <f t="shared" si="34"/>
        <v>4067.15</v>
      </c>
      <c r="J858" s="12"/>
    </row>
    <row r="859" spans="3:10" x14ac:dyDescent="0.3">
      <c r="C859" s="8" t="s">
        <v>11</v>
      </c>
      <c r="D859" s="9">
        <v>45833</v>
      </c>
      <c r="E859" t="s">
        <v>684</v>
      </c>
      <c r="F859" s="10" t="s">
        <v>17</v>
      </c>
      <c r="G859" s="11">
        <v>0</v>
      </c>
      <c r="H859" s="11">
        <v>618.91999999999996</v>
      </c>
      <c r="I859" s="11">
        <f t="shared" si="34"/>
        <v>3448.23</v>
      </c>
      <c r="J859" s="12">
        <v>5720001</v>
      </c>
    </row>
    <row r="860" spans="3:10" x14ac:dyDescent="0.3">
      <c r="C860" s="8" t="s">
        <v>11</v>
      </c>
      <c r="D860" s="9">
        <v>45849</v>
      </c>
      <c r="E860" t="s">
        <v>850</v>
      </c>
      <c r="F860" s="10" t="s">
        <v>17</v>
      </c>
      <c r="G860" s="11">
        <v>0</v>
      </c>
      <c r="H860" s="11">
        <v>2994.75</v>
      </c>
      <c r="I860" s="11">
        <f t="shared" si="34"/>
        <v>453.48</v>
      </c>
      <c r="J860" s="12">
        <v>5720001</v>
      </c>
    </row>
    <row r="861" spans="3:10" x14ac:dyDescent="0.3">
      <c r="C861" s="8" t="s">
        <v>11</v>
      </c>
      <c r="D861" s="9">
        <v>45853</v>
      </c>
      <c r="E861" t="s">
        <v>851</v>
      </c>
      <c r="F861" s="10" t="s">
        <v>852</v>
      </c>
      <c r="G861" s="11">
        <v>388.52</v>
      </c>
      <c r="H861" s="11">
        <v>0</v>
      </c>
      <c r="I861" s="11">
        <f t="shared" si="34"/>
        <v>842</v>
      </c>
      <c r="J861" s="12"/>
    </row>
    <row r="862" spans="3:10" x14ac:dyDescent="0.3">
      <c r="C862" s="8" t="s">
        <v>11</v>
      </c>
      <c r="D862" s="9">
        <v>45853</v>
      </c>
      <c r="E862" t="s">
        <v>853</v>
      </c>
      <c r="F862" s="10" t="s">
        <v>854</v>
      </c>
      <c r="G862" s="11">
        <v>504.57</v>
      </c>
      <c r="H862" s="11">
        <v>0</v>
      </c>
      <c r="I862" s="11">
        <f t="shared" si="34"/>
        <v>1346.57</v>
      </c>
      <c r="J862" s="12"/>
    </row>
    <row r="863" spans="3:10" x14ac:dyDescent="0.3">
      <c r="C863" s="8" t="s">
        <v>11</v>
      </c>
      <c r="D863" s="9">
        <v>45863</v>
      </c>
      <c r="E863" t="s">
        <v>684</v>
      </c>
      <c r="F863" s="10" t="s">
        <v>17</v>
      </c>
      <c r="G863" s="11">
        <v>0</v>
      </c>
      <c r="H863" s="11">
        <v>453.48</v>
      </c>
      <c r="I863" s="11">
        <f t="shared" si="34"/>
        <v>893.08999999999992</v>
      </c>
      <c r="J863" s="12">
        <v>5720001</v>
      </c>
    </row>
    <row r="864" spans="3:10" x14ac:dyDescent="0.3">
      <c r="C864" s="8"/>
      <c r="D864" s="9">
        <v>45869</v>
      </c>
      <c r="E864" t="s">
        <v>855</v>
      </c>
      <c r="F864" s="10" t="s">
        <v>856</v>
      </c>
      <c r="G864" s="11">
        <v>12060.89</v>
      </c>
      <c r="H864" s="11">
        <v>0</v>
      </c>
      <c r="I864" s="11">
        <f t="shared" si="34"/>
        <v>12953.98</v>
      </c>
      <c r="J864" s="12"/>
    </row>
    <row r="865" spans="1:10" x14ac:dyDescent="0.3">
      <c r="C865" s="8" t="s">
        <v>11</v>
      </c>
      <c r="D865" s="9">
        <v>45894</v>
      </c>
      <c r="E865" t="s">
        <v>838</v>
      </c>
      <c r="F865" s="10" t="s">
        <v>17</v>
      </c>
      <c r="G865" s="11">
        <v>0</v>
      </c>
      <c r="H865" s="11">
        <v>893.09</v>
      </c>
      <c r="I865" s="11">
        <f t="shared" si="34"/>
        <v>12060.89</v>
      </c>
      <c r="J865" s="12">
        <v>5720001</v>
      </c>
    </row>
    <row r="866" spans="1:10" x14ac:dyDescent="0.3">
      <c r="C866" s="8"/>
      <c r="D866" s="9">
        <v>45900</v>
      </c>
      <c r="E866" t="s">
        <v>857</v>
      </c>
      <c r="F866" s="10" t="s">
        <v>858</v>
      </c>
      <c r="G866" s="11">
        <v>389.02</v>
      </c>
      <c r="H866" s="11">
        <v>0</v>
      </c>
      <c r="I866" s="11">
        <f t="shared" si="34"/>
        <v>12449.91</v>
      </c>
      <c r="J866" s="12"/>
    </row>
    <row r="867" spans="1:10" x14ac:dyDescent="0.3">
      <c r="C867" s="8"/>
      <c r="D867" s="9">
        <v>45900</v>
      </c>
      <c r="E867" t="s">
        <v>859</v>
      </c>
      <c r="F867" s="10" t="s">
        <v>860</v>
      </c>
      <c r="G867" s="11">
        <v>730.48</v>
      </c>
      <c r="H867" s="11">
        <v>0</v>
      </c>
      <c r="I867" s="11">
        <f t="shared" si="34"/>
        <v>13180.39</v>
      </c>
      <c r="J867" s="12"/>
    </row>
    <row r="868" spans="1:10" x14ac:dyDescent="0.3">
      <c r="E868" s="4" t="s">
        <v>20</v>
      </c>
      <c r="G868" s="11">
        <f>SUM(G846:G867)</f>
        <v>29391.05</v>
      </c>
      <c r="H868" s="11">
        <f>SUM(H846:H867)</f>
        <v>16210.66</v>
      </c>
      <c r="I868" s="11">
        <f>G868-H868</f>
        <v>13180.39</v>
      </c>
    </row>
    <row r="870" spans="1:10" x14ac:dyDescent="0.3">
      <c r="A870" s="5">
        <v>4300030</v>
      </c>
      <c r="B870" s="6" t="s">
        <v>861</v>
      </c>
      <c r="C870" s="7"/>
      <c r="D870" s="7"/>
      <c r="E870" s="7"/>
      <c r="F870" s="7"/>
      <c r="G870" s="7"/>
      <c r="H870" s="7"/>
      <c r="I870" s="7"/>
      <c r="J870" s="7"/>
    </row>
    <row r="871" spans="1:10" x14ac:dyDescent="0.3">
      <c r="C871" s="8" t="s">
        <v>11</v>
      </c>
      <c r="D871" s="9">
        <v>45688</v>
      </c>
      <c r="E871" t="s">
        <v>862</v>
      </c>
      <c r="F871" s="10" t="s">
        <v>863</v>
      </c>
      <c r="G871" s="11">
        <v>951.74</v>
      </c>
      <c r="H871" s="11">
        <v>0</v>
      </c>
      <c r="I871" s="11">
        <f>G871-H871</f>
        <v>951.74</v>
      </c>
      <c r="J871" s="12"/>
    </row>
    <row r="872" spans="1:10" x14ac:dyDescent="0.3">
      <c r="C872" s="8" t="s">
        <v>11</v>
      </c>
      <c r="D872" s="9">
        <v>45793</v>
      </c>
      <c r="E872" t="s">
        <v>684</v>
      </c>
      <c r="F872" s="10" t="s">
        <v>17</v>
      </c>
      <c r="G872" s="11">
        <v>0</v>
      </c>
      <c r="H872" s="11">
        <v>951.74</v>
      </c>
      <c r="I872" s="11">
        <f>G872-H872+I871</f>
        <v>0</v>
      </c>
      <c r="J872" s="12">
        <v>5720001</v>
      </c>
    </row>
    <row r="873" spans="1:10" x14ac:dyDescent="0.3">
      <c r="C873" s="8"/>
      <c r="D873" s="9">
        <v>45854</v>
      </c>
      <c r="E873" t="s">
        <v>864</v>
      </c>
      <c r="F873" s="10" t="s">
        <v>865</v>
      </c>
      <c r="G873" s="11">
        <v>1507.62</v>
      </c>
      <c r="H873" s="11">
        <v>0</v>
      </c>
      <c r="I873" s="11">
        <f>G873-H873+I872</f>
        <v>1507.62</v>
      </c>
      <c r="J873" s="12"/>
    </row>
    <row r="874" spans="1:10" x14ac:dyDescent="0.3">
      <c r="C874" s="8"/>
      <c r="D874" s="9">
        <v>45915</v>
      </c>
      <c r="E874" t="s">
        <v>866</v>
      </c>
      <c r="F874" s="10" t="s">
        <v>867</v>
      </c>
      <c r="G874" s="11">
        <v>4331.12</v>
      </c>
      <c r="H874" s="11">
        <v>0</v>
      </c>
      <c r="I874" s="11">
        <f>G874-H874+I873</f>
        <v>5838.74</v>
      </c>
      <c r="J874" s="12"/>
    </row>
    <row r="875" spans="1:10" x14ac:dyDescent="0.3">
      <c r="E875" s="4" t="s">
        <v>20</v>
      </c>
      <c r="G875" s="11">
        <f>SUM(G871:G874)</f>
        <v>6790.48</v>
      </c>
      <c r="H875" s="11">
        <f>SUM(H871:H874)</f>
        <v>951.74</v>
      </c>
      <c r="I875" s="11">
        <f>G875-H875</f>
        <v>5838.74</v>
      </c>
    </row>
    <row r="877" spans="1:10" x14ac:dyDescent="0.3">
      <c r="A877" s="5">
        <v>4300046</v>
      </c>
      <c r="B877" s="6" t="s">
        <v>868</v>
      </c>
      <c r="C877" s="7"/>
      <c r="D877" s="7"/>
      <c r="E877" s="7"/>
      <c r="F877" s="7"/>
      <c r="G877" s="7"/>
      <c r="H877" s="7"/>
      <c r="I877" s="7"/>
      <c r="J877" s="7"/>
    </row>
    <row r="878" spans="1:10" x14ac:dyDescent="0.3">
      <c r="E878" s="4" t="s">
        <v>22</v>
      </c>
      <c r="G878" s="11">
        <v>1626.05</v>
      </c>
      <c r="H878" s="11">
        <v>0</v>
      </c>
      <c r="I878" s="11">
        <f>G878-H878</f>
        <v>1626.05</v>
      </c>
    </row>
    <row r="879" spans="1:10" x14ac:dyDescent="0.3">
      <c r="C879" s="8" t="s">
        <v>11</v>
      </c>
      <c r="D879" s="9">
        <v>45659</v>
      </c>
      <c r="E879" t="s">
        <v>804</v>
      </c>
      <c r="F879" s="10" t="s">
        <v>17</v>
      </c>
      <c r="G879" s="11">
        <v>0</v>
      </c>
      <c r="H879" s="11">
        <v>1626.05</v>
      </c>
      <c r="I879" s="11">
        <f>G879-H879+I878</f>
        <v>0</v>
      </c>
      <c r="J879" s="12">
        <v>5720001</v>
      </c>
    </row>
    <row r="880" spans="1:10" x14ac:dyDescent="0.3">
      <c r="C880" s="8"/>
      <c r="D880" s="9">
        <v>45838</v>
      </c>
      <c r="E880" t="s">
        <v>869</v>
      </c>
      <c r="F880" s="10" t="s">
        <v>870</v>
      </c>
      <c r="G880" s="11">
        <v>837.5</v>
      </c>
      <c r="H880" s="11">
        <v>0</v>
      </c>
      <c r="I880" s="11">
        <f>G880-H880+I879</f>
        <v>837.5</v>
      </c>
      <c r="J880" s="12"/>
    </row>
    <row r="881" spans="1:10" x14ac:dyDescent="0.3">
      <c r="C881" s="8"/>
      <c r="D881" s="9">
        <v>45869</v>
      </c>
      <c r="E881" t="s">
        <v>871</v>
      </c>
      <c r="F881" s="10" t="s">
        <v>872</v>
      </c>
      <c r="G881" s="11">
        <v>837.5</v>
      </c>
      <c r="H881" s="11">
        <v>0</v>
      </c>
      <c r="I881" s="11">
        <f>G881-H881+I880</f>
        <v>1675</v>
      </c>
      <c r="J881" s="12"/>
    </row>
    <row r="882" spans="1:10" x14ac:dyDescent="0.3">
      <c r="E882" s="4" t="s">
        <v>20</v>
      </c>
      <c r="G882" s="11">
        <f>SUM(G878:G881)</f>
        <v>3301.05</v>
      </c>
      <c r="H882" s="11">
        <f>SUM(H878:H881)</f>
        <v>1626.05</v>
      </c>
      <c r="I882" s="11">
        <f>G882-H882</f>
        <v>1675.0000000000002</v>
      </c>
    </row>
    <row r="884" spans="1:10" x14ac:dyDescent="0.3">
      <c r="A884" s="5">
        <v>4300049</v>
      </c>
      <c r="B884" s="6" t="s">
        <v>873</v>
      </c>
      <c r="C884" s="7"/>
      <c r="D884" s="7"/>
      <c r="E884" s="7"/>
      <c r="F884" s="7"/>
      <c r="G884" s="7"/>
      <c r="H884" s="7"/>
      <c r="I884" s="7"/>
      <c r="J884" s="7"/>
    </row>
    <row r="885" spans="1:10" x14ac:dyDescent="0.3">
      <c r="C885" s="8" t="s">
        <v>11</v>
      </c>
      <c r="D885" s="9">
        <v>45821</v>
      </c>
      <c r="E885" t="s">
        <v>874</v>
      </c>
      <c r="F885" s="10" t="s">
        <v>875</v>
      </c>
      <c r="G885" s="11">
        <v>539.66</v>
      </c>
      <c r="H885" s="11">
        <v>0</v>
      </c>
      <c r="I885" s="11">
        <f>G885-H885</f>
        <v>539.66</v>
      </c>
      <c r="J885" s="12"/>
    </row>
    <row r="886" spans="1:10" x14ac:dyDescent="0.3">
      <c r="C886" s="8" t="s">
        <v>11</v>
      </c>
      <c r="D886" s="9">
        <v>45831</v>
      </c>
      <c r="E886" t="s">
        <v>684</v>
      </c>
      <c r="F886" s="10" t="s">
        <v>17</v>
      </c>
      <c r="G886" s="11">
        <v>0</v>
      </c>
      <c r="H886" s="11">
        <v>539.66</v>
      </c>
      <c r="I886" s="11">
        <f>G886-H886+I885</f>
        <v>0</v>
      </c>
      <c r="J886" s="12">
        <v>5720001</v>
      </c>
    </row>
    <row r="887" spans="1:10" x14ac:dyDescent="0.3">
      <c r="C887" s="8"/>
      <c r="D887" s="9">
        <v>45838</v>
      </c>
      <c r="E887" t="s">
        <v>876</v>
      </c>
      <c r="F887" s="10" t="s">
        <v>877</v>
      </c>
      <c r="G887" s="11">
        <v>529.38</v>
      </c>
      <c r="H887" s="11">
        <v>0</v>
      </c>
      <c r="I887" s="11">
        <f>G887-H887+I886</f>
        <v>529.38</v>
      </c>
      <c r="J887" s="12"/>
    </row>
    <row r="888" spans="1:10" x14ac:dyDescent="0.3">
      <c r="E888" s="4" t="s">
        <v>20</v>
      </c>
      <c r="G888" s="11">
        <f>SUM(G885:G887)</f>
        <v>1069.04</v>
      </c>
      <c r="H888" s="11">
        <f>SUM(H885:H887)</f>
        <v>539.66</v>
      </c>
      <c r="I888" s="11">
        <f>G888-H888</f>
        <v>529.38</v>
      </c>
    </row>
    <row r="890" spans="1:10" x14ac:dyDescent="0.3">
      <c r="A890" s="5">
        <v>4300062</v>
      </c>
      <c r="B890" s="6" t="s">
        <v>878</v>
      </c>
      <c r="C890" s="7"/>
      <c r="D890" s="7"/>
      <c r="E890" s="7"/>
      <c r="F890" s="7"/>
      <c r="G890" s="7"/>
      <c r="H890" s="7"/>
      <c r="I890" s="7"/>
      <c r="J890" s="7"/>
    </row>
    <row r="891" spans="1:10" x14ac:dyDescent="0.3">
      <c r="C891" s="8" t="s">
        <v>11</v>
      </c>
      <c r="D891" s="9">
        <v>45702</v>
      </c>
      <c r="E891" t="s">
        <v>879</v>
      </c>
      <c r="F891" s="10" t="s">
        <v>880</v>
      </c>
      <c r="G891" s="11">
        <v>494.62</v>
      </c>
      <c r="H891" s="11">
        <v>0</v>
      </c>
      <c r="I891" s="11">
        <f>G891-H891</f>
        <v>494.62</v>
      </c>
      <c r="J891" s="12"/>
    </row>
    <row r="892" spans="1:10" x14ac:dyDescent="0.3">
      <c r="C892" s="8" t="s">
        <v>11</v>
      </c>
      <c r="D892" s="9">
        <v>45713</v>
      </c>
      <c r="E892" t="s">
        <v>716</v>
      </c>
      <c r="F892" s="10" t="s">
        <v>17</v>
      </c>
      <c r="G892" s="11">
        <v>0</v>
      </c>
      <c r="H892" s="11">
        <v>494.62</v>
      </c>
      <c r="I892" s="11">
        <f t="shared" ref="I892:I897" si="35">G892-H892+I891</f>
        <v>0</v>
      </c>
      <c r="J892" s="12"/>
    </row>
    <row r="893" spans="1:10" x14ac:dyDescent="0.3">
      <c r="C893" s="8" t="s">
        <v>11</v>
      </c>
      <c r="D893" s="9">
        <v>45730</v>
      </c>
      <c r="E893" t="s">
        <v>881</v>
      </c>
      <c r="F893" s="10" t="s">
        <v>882</v>
      </c>
      <c r="G893" s="11">
        <v>671.6</v>
      </c>
      <c r="H893" s="11">
        <v>0</v>
      </c>
      <c r="I893" s="11">
        <f t="shared" si="35"/>
        <v>671.6</v>
      </c>
      <c r="J893" s="12"/>
    </row>
    <row r="894" spans="1:10" x14ac:dyDescent="0.3">
      <c r="C894" s="8" t="s">
        <v>11</v>
      </c>
      <c r="D894" s="9">
        <v>45747</v>
      </c>
      <c r="E894" t="s">
        <v>883</v>
      </c>
      <c r="F894" s="10" t="s">
        <v>884</v>
      </c>
      <c r="G894" s="11">
        <v>1567.7</v>
      </c>
      <c r="H894" s="11">
        <v>0</v>
      </c>
      <c r="I894" s="11">
        <f t="shared" si="35"/>
        <v>2239.3000000000002</v>
      </c>
      <c r="J894" s="12"/>
    </row>
    <row r="895" spans="1:10" x14ac:dyDescent="0.3">
      <c r="C895" s="8" t="s">
        <v>11</v>
      </c>
      <c r="D895" s="9">
        <v>45792</v>
      </c>
      <c r="E895" t="s">
        <v>716</v>
      </c>
      <c r="F895" s="10" t="s">
        <v>17</v>
      </c>
      <c r="G895" s="11">
        <v>0</v>
      </c>
      <c r="H895" s="11">
        <v>1567.7</v>
      </c>
      <c r="I895" s="11">
        <f t="shared" si="35"/>
        <v>671.60000000000014</v>
      </c>
      <c r="J895" s="12"/>
    </row>
    <row r="896" spans="1:10" x14ac:dyDescent="0.3">
      <c r="C896" s="8" t="s">
        <v>11</v>
      </c>
      <c r="D896" s="9">
        <v>45796</v>
      </c>
      <c r="E896" t="s">
        <v>716</v>
      </c>
      <c r="F896" s="10" t="s">
        <v>17</v>
      </c>
      <c r="G896" s="11">
        <v>0</v>
      </c>
      <c r="H896" s="11">
        <v>671.6</v>
      </c>
      <c r="I896" s="11">
        <f t="shared" si="35"/>
        <v>0</v>
      </c>
      <c r="J896" s="12"/>
    </row>
    <row r="897" spans="1:10" x14ac:dyDescent="0.3">
      <c r="C897" s="8"/>
      <c r="D897" s="9">
        <v>45915</v>
      </c>
      <c r="E897" t="s">
        <v>885</v>
      </c>
      <c r="F897" s="10" t="s">
        <v>886</v>
      </c>
      <c r="G897" s="11">
        <v>2877.77</v>
      </c>
      <c r="H897" s="11">
        <v>0</v>
      </c>
      <c r="I897" s="11">
        <f t="shared" si="35"/>
        <v>2877.77</v>
      </c>
      <c r="J897" s="12"/>
    </row>
    <row r="898" spans="1:10" x14ac:dyDescent="0.3">
      <c r="E898" s="4" t="s">
        <v>20</v>
      </c>
      <c r="G898" s="11">
        <f>SUM(G891:G897)</f>
        <v>5611.6900000000005</v>
      </c>
      <c r="H898" s="11">
        <f>SUM(H891:H897)</f>
        <v>2733.92</v>
      </c>
      <c r="I898" s="11">
        <f>G898-H898</f>
        <v>2877.7700000000004</v>
      </c>
    </row>
    <row r="900" spans="1:10" x14ac:dyDescent="0.3">
      <c r="A900" s="5">
        <v>4300068</v>
      </c>
      <c r="B900" s="6" t="s">
        <v>887</v>
      </c>
      <c r="C900" s="7"/>
      <c r="D900" s="7"/>
      <c r="E900" s="7"/>
      <c r="F900" s="7"/>
      <c r="G900" s="7"/>
      <c r="H900" s="7"/>
      <c r="I900" s="7"/>
      <c r="J900" s="7"/>
    </row>
    <row r="901" spans="1:10" x14ac:dyDescent="0.3">
      <c r="C901" s="8"/>
      <c r="D901" s="9">
        <v>45838</v>
      </c>
      <c r="E901" t="s">
        <v>888</v>
      </c>
      <c r="F901" s="10" t="s">
        <v>889</v>
      </c>
      <c r="G901" s="11">
        <v>803.14</v>
      </c>
      <c r="H901" s="11">
        <v>0</v>
      </c>
      <c r="I901" s="11">
        <f>G901-H901</f>
        <v>803.14</v>
      </c>
      <c r="J901" s="12"/>
    </row>
    <row r="902" spans="1:10" x14ac:dyDescent="0.3">
      <c r="E902" s="4" t="s">
        <v>20</v>
      </c>
      <c r="G902" s="11">
        <f>G901</f>
        <v>803.14</v>
      </c>
      <c r="H902" s="11">
        <f>H901</f>
        <v>0</v>
      </c>
      <c r="I902" s="11">
        <f>G902-H902</f>
        <v>803.14</v>
      </c>
    </row>
    <row r="904" spans="1:10" x14ac:dyDescent="0.3">
      <c r="A904" s="5">
        <v>4300079</v>
      </c>
      <c r="B904" s="6" t="s">
        <v>890</v>
      </c>
      <c r="C904" s="7"/>
      <c r="D904" s="7"/>
      <c r="E904" s="7"/>
      <c r="F904" s="7"/>
      <c r="G904" s="7"/>
      <c r="H904" s="7"/>
      <c r="I904" s="7"/>
      <c r="J904" s="7"/>
    </row>
    <row r="905" spans="1:10" x14ac:dyDescent="0.3">
      <c r="C905" s="8" t="s">
        <v>11</v>
      </c>
      <c r="D905" s="9">
        <v>45688</v>
      </c>
      <c r="E905" t="s">
        <v>891</v>
      </c>
      <c r="F905" s="10" t="s">
        <v>892</v>
      </c>
      <c r="G905" s="11">
        <v>263.77999999999997</v>
      </c>
      <c r="H905" s="11">
        <v>0</v>
      </c>
      <c r="I905" s="11">
        <f>G905-H905</f>
        <v>263.77999999999997</v>
      </c>
      <c r="J905" s="12"/>
    </row>
    <row r="906" spans="1:10" x14ac:dyDescent="0.3">
      <c r="C906" s="8" t="s">
        <v>11</v>
      </c>
      <c r="D906" s="9">
        <v>45702</v>
      </c>
      <c r="E906" t="s">
        <v>893</v>
      </c>
      <c r="F906" s="10" t="s">
        <v>894</v>
      </c>
      <c r="G906" s="11">
        <v>252.29</v>
      </c>
      <c r="H906" s="11">
        <v>0</v>
      </c>
      <c r="I906" s="11">
        <f t="shared" ref="I906:I924" si="36">G906-H906+I905</f>
        <v>516.06999999999994</v>
      </c>
      <c r="J906" s="12"/>
    </row>
    <row r="907" spans="1:10" x14ac:dyDescent="0.3">
      <c r="C907" s="8" t="s">
        <v>11</v>
      </c>
      <c r="D907" s="9">
        <v>45702</v>
      </c>
      <c r="E907" t="s">
        <v>895</v>
      </c>
      <c r="F907" s="10" t="s">
        <v>896</v>
      </c>
      <c r="G907" s="11">
        <v>1287.05</v>
      </c>
      <c r="H907" s="11">
        <v>0</v>
      </c>
      <c r="I907" s="11">
        <f t="shared" si="36"/>
        <v>1803.12</v>
      </c>
      <c r="J907" s="12"/>
    </row>
    <row r="908" spans="1:10" x14ac:dyDescent="0.3">
      <c r="C908" s="8" t="s">
        <v>11</v>
      </c>
      <c r="D908" s="9">
        <v>45730</v>
      </c>
      <c r="E908" t="s">
        <v>897</v>
      </c>
      <c r="F908" s="10" t="s">
        <v>898</v>
      </c>
      <c r="G908" s="11">
        <v>1634.99</v>
      </c>
      <c r="H908" s="11">
        <v>0</v>
      </c>
      <c r="I908" s="11">
        <f t="shared" si="36"/>
        <v>3438.1099999999997</v>
      </c>
      <c r="J908" s="12"/>
    </row>
    <row r="909" spans="1:10" x14ac:dyDescent="0.3">
      <c r="C909" s="8" t="s">
        <v>11</v>
      </c>
      <c r="D909" s="9">
        <v>45747</v>
      </c>
      <c r="E909" t="s">
        <v>899</v>
      </c>
      <c r="F909" s="10" t="s">
        <v>900</v>
      </c>
      <c r="G909" s="11">
        <v>1664.98</v>
      </c>
      <c r="H909" s="11">
        <v>0</v>
      </c>
      <c r="I909" s="11">
        <f t="shared" si="36"/>
        <v>5103.09</v>
      </c>
      <c r="J909" s="12"/>
    </row>
    <row r="910" spans="1:10" x14ac:dyDescent="0.3">
      <c r="C910" s="8" t="s">
        <v>11</v>
      </c>
      <c r="D910" s="9">
        <v>45757</v>
      </c>
      <c r="E910" t="s">
        <v>684</v>
      </c>
      <c r="F910" s="10" t="s">
        <v>17</v>
      </c>
      <c r="G910" s="11">
        <v>0</v>
      </c>
      <c r="H910" s="11">
        <v>263.77999999999997</v>
      </c>
      <c r="I910" s="11">
        <f t="shared" si="36"/>
        <v>4839.3100000000004</v>
      </c>
      <c r="J910" s="12">
        <v>5720001</v>
      </c>
    </row>
    <row r="911" spans="1:10" x14ac:dyDescent="0.3">
      <c r="C911" s="8" t="s">
        <v>11</v>
      </c>
      <c r="D911" s="9">
        <v>45761</v>
      </c>
      <c r="E911" t="s">
        <v>901</v>
      </c>
      <c r="F911" s="10" t="s">
        <v>902</v>
      </c>
      <c r="G911" s="11">
        <v>1556.6</v>
      </c>
      <c r="H911" s="11">
        <v>0</v>
      </c>
      <c r="I911" s="11">
        <f t="shared" si="36"/>
        <v>6395.91</v>
      </c>
      <c r="J911" s="12"/>
    </row>
    <row r="912" spans="1:10" x14ac:dyDescent="0.3">
      <c r="C912" s="8" t="s">
        <v>11</v>
      </c>
      <c r="D912" s="9">
        <v>45772</v>
      </c>
      <c r="E912" t="s">
        <v>684</v>
      </c>
      <c r="F912" s="10" t="s">
        <v>17</v>
      </c>
      <c r="G912" s="11">
        <v>0</v>
      </c>
      <c r="H912" s="11">
        <v>1287.05</v>
      </c>
      <c r="I912" s="11">
        <f t="shared" si="36"/>
        <v>5108.8599999999997</v>
      </c>
      <c r="J912" s="12">
        <v>5720001</v>
      </c>
    </row>
    <row r="913" spans="1:10" x14ac:dyDescent="0.3">
      <c r="C913" s="8" t="s">
        <v>11</v>
      </c>
      <c r="D913" s="9">
        <v>45772</v>
      </c>
      <c r="E913" t="s">
        <v>684</v>
      </c>
      <c r="F913" s="10" t="s">
        <v>17</v>
      </c>
      <c r="G913" s="11">
        <v>0</v>
      </c>
      <c r="H913" s="11">
        <v>252.29</v>
      </c>
      <c r="I913" s="11">
        <f t="shared" si="36"/>
        <v>4856.57</v>
      </c>
      <c r="J913" s="12">
        <v>5720001</v>
      </c>
    </row>
    <row r="914" spans="1:10" x14ac:dyDescent="0.3">
      <c r="C914" s="8" t="s">
        <v>11</v>
      </c>
      <c r="D914" s="9">
        <v>45777</v>
      </c>
      <c r="E914" t="s">
        <v>903</v>
      </c>
      <c r="F914" s="10" t="s">
        <v>904</v>
      </c>
      <c r="G914" s="11">
        <v>2317.36</v>
      </c>
      <c r="H914" s="11">
        <v>0</v>
      </c>
      <c r="I914" s="11">
        <f t="shared" si="36"/>
        <v>7173.93</v>
      </c>
      <c r="J914" s="12"/>
    </row>
    <row r="915" spans="1:10" x14ac:dyDescent="0.3">
      <c r="C915" s="8" t="s">
        <v>11</v>
      </c>
      <c r="D915" s="9">
        <v>45803</v>
      </c>
      <c r="E915" t="s">
        <v>684</v>
      </c>
      <c r="F915" s="10" t="s">
        <v>17</v>
      </c>
      <c r="G915" s="11">
        <v>0</v>
      </c>
      <c r="H915" s="11">
        <v>1634.99</v>
      </c>
      <c r="I915" s="11">
        <f t="shared" si="36"/>
        <v>5538.9400000000005</v>
      </c>
      <c r="J915" s="12">
        <v>5720001</v>
      </c>
    </row>
    <row r="916" spans="1:10" x14ac:dyDescent="0.3">
      <c r="C916" s="8" t="s">
        <v>11</v>
      </c>
      <c r="D916" s="9">
        <v>45818</v>
      </c>
      <c r="E916" t="s">
        <v>684</v>
      </c>
      <c r="F916" s="10" t="s">
        <v>17</v>
      </c>
      <c r="G916" s="11">
        <v>0</v>
      </c>
      <c r="H916" s="11">
        <v>1664.98</v>
      </c>
      <c r="I916" s="11">
        <f t="shared" si="36"/>
        <v>3873.9600000000005</v>
      </c>
      <c r="J916" s="12">
        <v>5720001</v>
      </c>
    </row>
    <row r="917" spans="1:10" x14ac:dyDescent="0.3">
      <c r="C917" s="8" t="s">
        <v>11</v>
      </c>
      <c r="D917" s="9">
        <v>45821</v>
      </c>
      <c r="E917" t="s">
        <v>905</v>
      </c>
      <c r="F917" s="10" t="s">
        <v>906</v>
      </c>
      <c r="G917" s="11">
        <v>2751.52</v>
      </c>
      <c r="H917" s="11">
        <v>0</v>
      </c>
      <c r="I917" s="11">
        <f t="shared" si="36"/>
        <v>6625.4800000000005</v>
      </c>
      <c r="J917" s="12"/>
    </row>
    <row r="918" spans="1:10" x14ac:dyDescent="0.3">
      <c r="C918" s="8" t="s">
        <v>11</v>
      </c>
      <c r="D918" s="9">
        <v>45834</v>
      </c>
      <c r="E918" t="s">
        <v>684</v>
      </c>
      <c r="F918" s="10" t="s">
        <v>17</v>
      </c>
      <c r="G918" s="11">
        <v>0</v>
      </c>
      <c r="H918" s="11">
        <v>1556.6</v>
      </c>
      <c r="I918" s="11">
        <f t="shared" si="36"/>
        <v>5068.880000000001</v>
      </c>
      <c r="J918" s="12">
        <v>5720001</v>
      </c>
    </row>
    <row r="919" spans="1:10" x14ac:dyDescent="0.3">
      <c r="C919" s="8" t="s">
        <v>11</v>
      </c>
      <c r="D919" s="9">
        <v>45838</v>
      </c>
      <c r="E919" t="s">
        <v>907</v>
      </c>
      <c r="F919" s="10" t="s">
        <v>908</v>
      </c>
      <c r="G919" s="11">
        <v>474.91</v>
      </c>
      <c r="H919" s="11">
        <v>0</v>
      </c>
      <c r="I919" s="11">
        <f t="shared" si="36"/>
        <v>5543.7900000000009</v>
      </c>
      <c r="J919" s="12"/>
    </row>
    <row r="920" spans="1:10" x14ac:dyDescent="0.3">
      <c r="C920" s="8" t="s">
        <v>11</v>
      </c>
      <c r="D920" s="9">
        <v>45848</v>
      </c>
      <c r="E920" t="s">
        <v>684</v>
      </c>
      <c r="F920" s="10" t="s">
        <v>17</v>
      </c>
      <c r="G920" s="11">
        <v>0</v>
      </c>
      <c r="H920" s="11">
        <v>2317.36</v>
      </c>
      <c r="I920" s="11">
        <f t="shared" si="36"/>
        <v>3226.4300000000007</v>
      </c>
      <c r="J920" s="12">
        <v>5720001</v>
      </c>
    </row>
    <row r="921" spans="1:10" x14ac:dyDescent="0.3">
      <c r="C921" s="8"/>
      <c r="D921" s="9">
        <v>45869</v>
      </c>
      <c r="E921" t="s">
        <v>909</v>
      </c>
      <c r="F921" s="10" t="s">
        <v>910</v>
      </c>
      <c r="G921" s="11">
        <v>476.74</v>
      </c>
      <c r="H921" s="11">
        <v>0</v>
      </c>
      <c r="I921" s="11">
        <f t="shared" si="36"/>
        <v>3703.170000000001</v>
      </c>
      <c r="J921" s="12"/>
    </row>
    <row r="922" spans="1:10" x14ac:dyDescent="0.3">
      <c r="C922" s="8" t="s">
        <v>11</v>
      </c>
      <c r="D922" s="9">
        <v>45895</v>
      </c>
      <c r="E922" t="s">
        <v>684</v>
      </c>
      <c r="F922" s="10" t="s">
        <v>17</v>
      </c>
      <c r="G922" s="11">
        <v>0</v>
      </c>
      <c r="H922" s="11">
        <v>2751.52</v>
      </c>
      <c r="I922" s="11">
        <f t="shared" si="36"/>
        <v>951.650000000001</v>
      </c>
      <c r="J922" s="12">
        <v>5720001</v>
      </c>
    </row>
    <row r="923" spans="1:10" x14ac:dyDescent="0.3">
      <c r="C923" s="8"/>
      <c r="D923" s="9">
        <v>45900</v>
      </c>
      <c r="E923" t="s">
        <v>911</v>
      </c>
      <c r="F923" s="10" t="s">
        <v>912</v>
      </c>
      <c r="G923" s="11">
        <v>617.23</v>
      </c>
      <c r="H923" s="11">
        <v>0</v>
      </c>
      <c r="I923" s="11">
        <f t="shared" si="36"/>
        <v>1568.880000000001</v>
      </c>
      <c r="J923" s="12"/>
    </row>
    <row r="924" spans="1:10" x14ac:dyDescent="0.3">
      <c r="C924" s="8" t="s">
        <v>11</v>
      </c>
      <c r="D924" s="9">
        <v>45910</v>
      </c>
      <c r="E924" t="s">
        <v>684</v>
      </c>
      <c r="F924" s="10" t="s">
        <v>17</v>
      </c>
      <c r="G924" s="11">
        <v>0</v>
      </c>
      <c r="H924" s="11">
        <v>474.91</v>
      </c>
      <c r="I924" s="11">
        <f t="shared" si="36"/>
        <v>1093.9700000000009</v>
      </c>
      <c r="J924" s="12">
        <v>5720001</v>
      </c>
    </row>
    <row r="925" spans="1:10" x14ac:dyDescent="0.3">
      <c r="E925" s="4" t="s">
        <v>20</v>
      </c>
      <c r="G925" s="11">
        <f>SUM(G905:G924)</f>
        <v>13297.45</v>
      </c>
      <c r="H925" s="11">
        <f>SUM(H905:H924)</f>
        <v>12203.480000000001</v>
      </c>
      <c r="I925" s="11">
        <f>G925-H925</f>
        <v>1093.9699999999993</v>
      </c>
    </row>
    <row r="927" spans="1:10" x14ac:dyDescent="0.3">
      <c r="A927" s="5">
        <v>4300111</v>
      </c>
      <c r="B927" s="6" t="s">
        <v>913</v>
      </c>
      <c r="C927" s="7"/>
      <c r="D927" s="7"/>
      <c r="E927" s="7"/>
      <c r="F927" s="7"/>
      <c r="G927" s="7"/>
      <c r="H927" s="7"/>
      <c r="I927" s="7"/>
      <c r="J927" s="7"/>
    </row>
    <row r="928" spans="1:10" x14ac:dyDescent="0.3">
      <c r="C928" s="8" t="s">
        <v>11</v>
      </c>
      <c r="D928" s="9">
        <v>45716</v>
      </c>
      <c r="E928" t="s">
        <v>914</v>
      </c>
      <c r="F928" s="10" t="s">
        <v>915</v>
      </c>
      <c r="G928" s="11">
        <v>562.54</v>
      </c>
      <c r="H928" s="11">
        <v>0</v>
      </c>
      <c r="I928" s="11">
        <f>G928-H928</f>
        <v>562.54</v>
      </c>
      <c r="J928" s="12"/>
    </row>
    <row r="929" spans="1:10" x14ac:dyDescent="0.3">
      <c r="C929" s="8" t="s">
        <v>11</v>
      </c>
      <c r="D929" s="9">
        <v>45716</v>
      </c>
      <c r="E929" t="s">
        <v>916</v>
      </c>
      <c r="F929" s="10" t="s">
        <v>917</v>
      </c>
      <c r="G929" s="11">
        <v>208.73</v>
      </c>
      <c r="H929" s="11">
        <v>0</v>
      </c>
      <c r="I929" s="11">
        <f t="shared" ref="I929:I939" si="37">G929-H929+I928</f>
        <v>771.27</v>
      </c>
      <c r="J929" s="12"/>
    </row>
    <row r="930" spans="1:10" x14ac:dyDescent="0.3">
      <c r="C930" s="8" t="s">
        <v>11</v>
      </c>
      <c r="D930" s="9">
        <v>45716</v>
      </c>
      <c r="E930" t="s">
        <v>918</v>
      </c>
      <c r="F930" s="10" t="s">
        <v>919</v>
      </c>
      <c r="G930" s="11">
        <v>325.01</v>
      </c>
      <c r="H930" s="11">
        <v>0</v>
      </c>
      <c r="I930" s="11">
        <f t="shared" si="37"/>
        <v>1096.28</v>
      </c>
      <c r="J930" s="12"/>
    </row>
    <row r="931" spans="1:10" x14ac:dyDescent="0.3">
      <c r="C931" s="8" t="s">
        <v>11</v>
      </c>
      <c r="D931" s="9">
        <v>45716</v>
      </c>
      <c r="E931" t="s">
        <v>920</v>
      </c>
      <c r="F931" s="10" t="s">
        <v>921</v>
      </c>
      <c r="G931" s="11">
        <v>1645.89</v>
      </c>
      <c r="H931" s="11">
        <v>0</v>
      </c>
      <c r="I931" s="11">
        <f t="shared" si="37"/>
        <v>2742.17</v>
      </c>
      <c r="J931" s="12"/>
    </row>
    <row r="932" spans="1:10" x14ac:dyDescent="0.3">
      <c r="C932" s="8" t="s">
        <v>11</v>
      </c>
      <c r="D932" s="9">
        <v>45749</v>
      </c>
      <c r="E932" t="s">
        <v>922</v>
      </c>
      <c r="F932" s="10" t="s">
        <v>17</v>
      </c>
      <c r="G932" s="11">
        <v>0</v>
      </c>
      <c r="H932" s="11">
        <v>2742.17</v>
      </c>
      <c r="I932" s="11">
        <f t="shared" si="37"/>
        <v>0</v>
      </c>
      <c r="J932" s="12">
        <v>5720001</v>
      </c>
    </row>
    <row r="933" spans="1:10" x14ac:dyDescent="0.3">
      <c r="C933" s="8"/>
      <c r="D933" s="9">
        <v>45777</v>
      </c>
      <c r="E933" t="s">
        <v>923</v>
      </c>
      <c r="F933" s="10" t="s">
        <v>924</v>
      </c>
      <c r="G933" s="11">
        <v>813.8</v>
      </c>
      <c r="H933" s="11">
        <v>0</v>
      </c>
      <c r="I933" s="11">
        <f t="shared" si="37"/>
        <v>813.8</v>
      </c>
      <c r="J933" s="12"/>
    </row>
    <row r="934" spans="1:10" x14ac:dyDescent="0.3">
      <c r="C934" s="8"/>
      <c r="D934" s="9">
        <v>45792</v>
      </c>
      <c r="E934" t="s">
        <v>925</v>
      </c>
      <c r="F934" s="10" t="s">
        <v>926</v>
      </c>
      <c r="G934" s="11">
        <v>338.72</v>
      </c>
      <c r="H934" s="11">
        <v>0</v>
      </c>
      <c r="I934" s="11">
        <f t="shared" si="37"/>
        <v>1152.52</v>
      </c>
      <c r="J934" s="12"/>
    </row>
    <row r="935" spans="1:10" x14ac:dyDescent="0.3">
      <c r="C935" s="8"/>
      <c r="D935" s="9">
        <v>45915</v>
      </c>
      <c r="E935" t="s">
        <v>927</v>
      </c>
      <c r="F935" s="10" t="s">
        <v>928</v>
      </c>
      <c r="G935" s="11">
        <v>614.1</v>
      </c>
      <c r="H935" s="11">
        <v>0</v>
      </c>
      <c r="I935" s="11">
        <f t="shared" si="37"/>
        <v>1766.62</v>
      </c>
      <c r="J935" s="12"/>
    </row>
    <row r="936" spans="1:10" x14ac:dyDescent="0.3">
      <c r="C936" s="8"/>
      <c r="D936" s="9">
        <v>45915</v>
      </c>
      <c r="E936" t="s">
        <v>929</v>
      </c>
      <c r="F936" s="10" t="s">
        <v>930</v>
      </c>
      <c r="G936" s="11">
        <v>614.1</v>
      </c>
      <c r="H936" s="11">
        <v>0</v>
      </c>
      <c r="I936" s="11">
        <f t="shared" si="37"/>
        <v>2380.7199999999998</v>
      </c>
      <c r="J936" s="12"/>
    </row>
    <row r="937" spans="1:10" x14ac:dyDescent="0.3">
      <c r="C937" s="8"/>
      <c r="D937" s="9">
        <v>45915</v>
      </c>
      <c r="E937" t="s">
        <v>931</v>
      </c>
      <c r="F937" s="10" t="s">
        <v>932</v>
      </c>
      <c r="G937" s="11">
        <v>786.79</v>
      </c>
      <c r="H937" s="11">
        <v>0</v>
      </c>
      <c r="I937" s="11">
        <f t="shared" si="37"/>
        <v>3167.5099999999998</v>
      </c>
      <c r="J937" s="12"/>
    </row>
    <row r="938" spans="1:10" x14ac:dyDescent="0.3">
      <c r="C938" s="8"/>
      <c r="D938" s="9">
        <v>45915</v>
      </c>
      <c r="E938" t="s">
        <v>933</v>
      </c>
      <c r="F938" s="10" t="s">
        <v>934</v>
      </c>
      <c r="G938" s="11">
        <v>532.4</v>
      </c>
      <c r="H938" s="11">
        <v>0</v>
      </c>
      <c r="I938" s="11">
        <f t="shared" si="37"/>
        <v>3699.91</v>
      </c>
      <c r="J938" s="12"/>
    </row>
    <row r="939" spans="1:10" x14ac:dyDescent="0.3">
      <c r="C939" s="8"/>
      <c r="D939" s="9">
        <v>45915</v>
      </c>
      <c r="E939" t="s">
        <v>935</v>
      </c>
      <c r="F939" s="10" t="s">
        <v>936</v>
      </c>
      <c r="G939" s="11">
        <v>795.15</v>
      </c>
      <c r="H939" s="11">
        <v>0</v>
      </c>
      <c r="I939" s="11">
        <f t="shared" si="37"/>
        <v>4495.0599999999995</v>
      </c>
      <c r="J939" s="12"/>
    </row>
    <row r="940" spans="1:10" x14ac:dyDescent="0.3">
      <c r="E940" s="4" t="s">
        <v>20</v>
      </c>
      <c r="G940" s="11">
        <f>SUM(G928:G939)</f>
        <v>7237.2300000000005</v>
      </c>
      <c r="H940" s="11">
        <f>SUM(H928:H939)</f>
        <v>2742.17</v>
      </c>
      <c r="I940" s="11">
        <f>G940-H940</f>
        <v>4495.0600000000004</v>
      </c>
    </row>
    <row r="942" spans="1:10" x14ac:dyDescent="0.3">
      <c r="A942" s="5">
        <v>4300124</v>
      </c>
      <c r="B942" s="6" t="s">
        <v>937</v>
      </c>
      <c r="C942" s="7"/>
      <c r="D942" s="7"/>
      <c r="E942" s="7"/>
      <c r="F942" s="7"/>
      <c r="G942" s="7"/>
      <c r="H942" s="7"/>
      <c r="I942" s="7"/>
      <c r="J942" s="7"/>
    </row>
    <row r="943" spans="1:10" x14ac:dyDescent="0.3">
      <c r="C943" s="8" t="s">
        <v>11</v>
      </c>
      <c r="D943" s="9">
        <v>45807</v>
      </c>
      <c r="E943" t="s">
        <v>938</v>
      </c>
      <c r="F943" s="10" t="s">
        <v>939</v>
      </c>
      <c r="G943" s="11">
        <v>2043.06</v>
      </c>
      <c r="H943" s="11">
        <v>0</v>
      </c>
      <c r="I943" s="11">
        <f>G943-H943</f>
        <v>2043.06</v>
      </c>
      <c r="J943" s="12"/>
    </row>
    <row r="944" spans="1:10" x14ac:dyDescent="0.3">
      <c r="C944" s="8" t="s">
        <v>11</v>
      </c>
      <c r="D944" s="9">
        <v>45860</v>
      </c>
      <c r="E944" t="s">
        <v>741</v>
      </c>
      <c r="F944" s="10" t="s">
        <v>17</v>
      </c>
      <c r="G944" s="11">
        <v>0</v>
      </c>
      <c r="H944" s="11">
        <v>2043.06</v>
      </c>
      <c r="I944" s="11">
        <f>G944-H944+I943</f>
        <v>0</v>
      </c>
      <c r="J944" s="12"/>
    </row>
    <row r="945" spans="1:10" x14ac:dyDescent="0.3">
      <c r="C945" s="8"/>
      <c r="D945" s="9">
        <v>45900</v>
      </c>
      <c r="E945" t="s">
        <v>940</v>
      </c>
      <c r="F945" s="10" t="s">
        <v>941</v>
      </c>
      <c r="G945" s="11">
        <v>2360.35</v>
      </c>
      <c r="H945" s="11">
        <v>0</v>
      </c>
      <c r="I945" s="11">
        <f>G945-H945+I944</f>
        <v>2360.35</v>
      </c>
      <c r="J945" s="12"/>
    </row>
    <row r="946" spans="1:10" x14ac:dyDescent="0.3">
      <c r="E946" s="4" t="s">
        <v>20</v>
      </c>
      <c r="G946" s="11">
        <f>SUM(G943:G945)</f>
        <v>4403.41</v>
      </c>
      <c r="H946" s="11">
        <f>SUM(H943:H945)</f>
        <v>2043.06</v>
      </c>
      <c r="I946" s="11">
        <f>G946-H946</f>
        <v>2360.35</v>
      </c>
    </row>
    <row r="948" spans="1:10" x14ac:dyDescent="0.3">
      <c r="A948" s="5">
        <v>4300126</v>
      </c>
      <c r="B948" s="6" t="s">
        <v>942</v>
      </c>
      <c r="C948" s="7"/>
      <c r="D948" s="7"/>
      <c r="E948" s="7"/>
      <c r="F948" s="7"/>
      <c r="G948" s="7"/>
      <c r="H948" s="7"/>
      <c r="I948" s="7"/>
      <c r="J948" s="7"/>
    </row>
    <row r="949" spans="1:10" x14ac:dyDescent="0.3">
      <c r="C949" s="8"/>
      <c r="D949" s="9">
        <v>45853</v>
      </c>
      <c r="E949" t="s">
        <v>943</v>
      </c>
      <c r="F949" s="10" t="s">
        <v>944</v>
      </c>
      <c r="G949" s="11">
        <v>899.27</v>
      </c>
      <c r="H949" s="11">
        <v>0</v>
      </c>
      <c r="I949" s="11">
        <f>G949-H949</f>
        <v>899.27</v>
      </c>
      <c r="J949" s="12"/>
    </row>
    <row r="950" spans="1:10" x14ac:dyDescent="0.3">
      <c r="E950" s="4" t="s">
        <v>20</v>
      </c>
      <c r="G950" s="11">
        <f>G949</f>
        <v>899.27</v>
      </c>
      <c r="H950" s="11">
        <f>H949</f>
        <v>0</v>
      </c>
      <c r="I950" s="11">
        <f>G950-H950</f>
        <v>899.27</v>
      </c>
    </row>
    <row r="952" spans="1:10" x14ac:dyDescent="0.3">
      <c r="A952" s="5">
        <v>4300152</v>
      </c>
      <c r="B952" s="6" t="s">
        <v>945</v>
      </c>
      <c r="C952" s="7"/>
      <c r="D952" s="7"/>
      <c r="E952" s="7"/>
      <c r="F952" s="7"/>
      <c r="G952" s="7"/>
      <c r="H952" s="7"/>
      <c r="I952" s="7"/>
      <c r="J952" s="7"/>
    </row>
    <row r="953" spans="1:10" x14ac:dyDescent="0.3">
      <c r="C953" s="8"/>
      <c r="D953" s="9">
        <v>45853</v>
      </c>
      <c r="E953" t="s">
        <v>946</v>
      </c>
      <c r="F953" s="10" t="s">
        <v>947</v>
      </c>
      <c r="G953" s="11">
        <v>1724.93</v>
      </c>
      <c r="H953" s="11">
        <v>0</v>
      </c>
      <c r="I953" s="11">
        <f>G953-H953</f>
        <v>1724.93</v>
      </c>
      <c r="J953" s="12"/>
    </row>
    <row r="954" spans="1:10" x14ac:dyDescent="0.3">
      <c r="C954" s="8"/>
      <c r="D954" s="9">
        <v>45869</v>
      </c>
      <c r="E954" t="s">
        <v>948</v>
      </c>
      <c r="F954" s="10" t="s">
        <v>949</v>
      </c>
      <c r="G954" s="11">
        <v>2348.9499999999998</v>
      </c>
      <c r="H954" s="11">
        <v>0</v>
      </c>
      <c r="I954" s="11">
        <f>G954-H954+I953</f>
        <v>4073.88</v>
      </c>
      <c r="J954" s="12"/>
    </row>
    <row r="955" spans="1:10" x14ac:dyDescent="0.3">
      <c r="E955" s="4" t="s">
        <v>20</v>
      </c>
      <c r="G955" s="11">
        <f>SUM(G953:G954)</f>
        <v>4073.88</v>
      </c>
      <c r="H955" s="11">
        <f>SUM(H953:H954)</f>
        <v>0</v>
      </c>
      <c r="I955" s="11">
        <f>G955-H955</f>
        <v>4073.88</v>
      </c>
    </row>
    <row r="957" spans="1:10" x14ac:dyDescent="0.3">
      <c r="A957" s="5">
        <v>4300159</v>
      </c>
      <c r="B957" s="6" t="s">
        <v>950</v>
      </c>
      <c r="C957" s="7"/>
      <c r="D957" s="7"/>
      <c r="E957" s="7"/>
      <c r="F957" s="7"/>
      <c r="G957" s="7"/>
      <c r="H957" s="7"/>
      <c r="I957" s="7"/>
      <c r="J957" s="7"/>
    </row>
    <row r="958" spans="1:10" x14ac:dyDescent="0.3">
      <c r="E958" s="4" t="s">
        <v>22</v>
      </c>
      <c r="G958" s="11">
        <v>3417.95</v>
      </c>
      <c r="H958" s="11">
        <v>0</v>
      </c>
      <c r="I958" s="11">
        <f>G958-H958</f>
        <v>3417.95</v>
      </c>
    </row>
    <row r="959" spans="1:10" x14ac:dyDescent="0.3">
      <c r="C959" s="8" t="s">
        <v>11</v>
      </c>
      <c r="D959" s="9">
        <v>45674</v>
      </c>
      <c r="E959" t="s">
        <v>716</v>
      </c>
      <c r="F959" s="10" t="s">
        <v>17</v>
      </c>
      <c r="G959" s="11">
        <v>0</v>
      </c>
      <c r="H959" s="11">
        <v>2043.64</v>
      </c>
      <c r="I959" s="11">
        <f>G959-H959+I958</f>
        <v>1374.3099999999997</v>
      </c>
      <c r="J959" s="12"/>
    </row>
    <row r="960" spans="1:10" x14ac:dyDescent="0.3">
      <c r="C960" s="8" t="s">
        <v>11</v>
      </c>
      <c r="D960" s="9">
        <v>45674</v>
      </c>
      <c r="E960" t="s">
        <v>716</v>
      </c>
      <c r="F960" s="10" t="s">
        <v>17</v>
      </c>
      <c r="G960" s="11">
        <v>0</v>
      </c>
      <c r="H960" s="11">
        <v>1374.31</v>
      </c>
      <c r="I960" s="11">
        <f>G960-H960+I959</f>
        <v>0</v>
      </c>
      <c r="J960" s="12"/>
    </row>
    <row r="961" spans="1:10" x14ac:dyDescent="0.3">
      <c r="C961" s="8" t="s">
        <v>11</v>
      </c>
      <c r="D961" s="9">
        <v>45688</v>
      </c>
      <c r="E961" t="s">
        <v>951</v>
      </c>
      <c r="F961" s="10" t="s">
        <v>952</v>
      </c>
      <c r="G961" s="11">
        <v>816.91</v>
      </c>
      <c r="H961" s="11">
        <v>0</v>
      </c>
      <c r="I961" s="11">
        <f>G961-H961+I960</f>
        <v>816.91</v>
      </c>
      <c r="J961" s="12"/>
    </row>
    <row r="962" spans="1:10" x14ac:dyDescent="0.3">
      <c r="C962" s="8" t="s">
        <v>11</v>
      </c>
      <c r="D962" s="9">
        <v>45691</v>
      </c>
      <c r="E962" t="s">
        <v>716</v>
      </c>
      <c r="F962" s="10" t="s">
        <v>17</v>
      </c>
      <c r="G962" s="11">
        <v>0</v>
      </c>
      <c r="H962" s="11">
        <v>816.91</v>
      </c>
      <c r="I962" s="11">
        <f>G962-H962+I961</f>
        <v>0</v>
      </c>
      <c r="J962" s="12"/>
    </row>
    <row r="963" spans="1:10" x14ac:dyDescent="0.3">
      <c r="C963" s="8"/>
      <c r="D963" s="9">
        <v>45838</v>
      </c>
      <c r="E963" t="s">
        <v>953</v>
      </c>
      <c r="F963" s="10" t="s">
        <v>954</v>
      </c>
      <c r="G963" s="11">
        <v>1173.54</v>
      </c>
      <c r="H963" s="11">
        <v>0</v>
      </c>
      <c r="I963" s="11">
        <f>G963-H963+I962</f>
        <v>1173.54</v>
      </c>
      <c r="J963" s="12"/>
    </row>
    <row r="964" spans="1:10" x14ac:dyDescent="0.3">
      <c r="E964" s="4" t="s">
        <v>20</v>
      </c>
      <c r="G964" s="11">
        <f>SUM(G958:G963)</f>
        <v>5408.4</v>
      </c>
      <c r="H964" s="11">
        <f>SUM(H958:H963)</f>
        <v>4234.8599999999997</v>
      </c>
      <c r="I964" s="11">
        <f>G964-H964</f>
        <v>1173.54</v>
      </c>
    </row>
    <row r="966" spans="1:10" x14ac:dyDescent="0.3">
      <c r="A966" s="5">
        <v>4300164</v>
      </c>
      <c r="B966" s="6" t="s">
        <v>955</v>
      </c>
      <c r="C966" s="7"/>
      <c r="D966" s="7"/>
      <c r="E966" s="7"/>
      <c r="F966" s="7"/>
      <c r="G966" s="7"/>
      <c r="H966" s="7"/>
      <c r="I966" s="7"/>
      <c r="J966" s="7"/>
    </row>
    <row r="967" spans="1:10" x14ac:dyDescent="0.3">
      <c r="E967" s="4" t="s">
        <v>22</v>
      </c>
      <c r="G967" s="11">
        <v>613.65</v>
      </c>
      <c r="H967" s="11">
        <v>0</v>
      </c>
      <c r="I967" s="11">
        <f>G967-H967</f>
        <v>613.65</v>
      </c>
    </row>
    <row r="968" spans="1:10" x14ac:dyDescent="0.3">
      <c r="C968" s="8" t="s">
        <v>11</v>
      </c>
      <c r="D968" s="9">
        <v>45674</v>
      </c>
      <c r="E968" t="s">
        <v>716</v>
      </c>
      <c r="F968" s="10" t="s">
        <v>17</v>
      </c>
      <c r="G968" s="11">
        <v>0</v>
      </c>
      <c r="H968" s="11">
        <v>242.97</v>
      </c>
      <c r="I968" s="11">
        <f>G968-H968+I967</f>
        <v>370.67999999999995</v>
      </c>
      <c r="J968" s="12"/>
    </row>
    <row r="969" spans="1:10" x14ac:dyDescent="0.3">
      <c r="C969" s="8" t="s">
        <v>11</v>
      </c>
      <c r="D969" s="9">
        <v>45691</v>
      </c>
      <c r="E969" t="s">
        <v>716</v>
      </c>
      <c r="F969" s="10" t="s">
        <v>17</v>
      </c>
      <c r="G969" s="11">
        <v>0</v>
      </c>
      <c r="H969" s="11">
        <v>370.68</v>
      </c>
      <c r="I969" s="11">
        <f>G969-H969+I968</f>
        <v>0</v>
      </c>
      <c r="J969" s="12"/>
    </row>
    <row r="970" spans="1:10" x14ac:dyDescent="0.3">
      <c r="C970" s="8" t="s">
        <v>11</v>
      </c>
      <c r="D970" s="9">
        <v>45777</v>
      </c>
      <c r="E970" t="s">
        <v>956</v>
      </c>
      <c r="F970" s="10" t="s">
        <v>957</v>
      </c>
      <c r="G970" s="11">
        <v>125.6</v>
      </c>
      <c r="H970" s="11">
        <v>0</v>
      </c>
      <c r="I970" s="11">
        <f>G970-H970+I969</f>
        <v>125.6</v>
      </c>
      <c r="J970" s="12"/>
    </row>
    <row r="971" spans="1:10" x14ac:dyDescent="0.3">
      <c r="C971" s="8" t="s">
        <v>11</v>
      </c>
      <c r="D971" s="9">
        <v>45853</v>
      </c>
      <c r="E971" t="s">
        <v>716</v>
      </c>
      <c r="F971" s="10" t="s">
        <v>17</v>
      </c>
      <c r="G971" s="11">
        <v>0</v>
      </c>
      <c r="H971" s="11">
        <v>125.6</v>
      </c>
      <c r="I971" s="11">
        <f>G971-H971+I970</f>
        <v>0</v>
      </c>
      <c r="J971" s="12"/>
    </row>
    <row r="972" spans="1:10" x14ac:dyDescent="0.3">
      <c r="C972" s="8"/>
      <c r="D972" s="9">
        <v>45869</v>
      </c>
      <c r="E972" t="s">
        <v>958</v>
      </c>
      <c r="F972" s="10" t="s">
        <v>959</v>
      </c>
      <c r="G972" s="11">
        <v>1109.33</v>
      </c>
      <c r="H972" s="11">
        <v>0</v>
      </c>
      <c r="I972" s="11">
        <f>G972-H972+I971</f>
        <v>1109.33</v>
      </c>
      <c r="J972" s="12"/>
    </row>
    <row r="973" spans="1:10" x14ac:dyDescent="0.3">
      <c r="E973" s="4" t="s">
        <v>20</v>
      </c>
      <c r="G973" s="11">
        <f>SUM(G967:G972)</f>
        <v>1848.58</v>
      </c>
      <c r="H973" s="11">
        <f>SUM(H967:H972)</f>
        <v>739.25</v>
      </c>
      <c r="I973" s="11">
        <f>G973-H973</f>
        <v>1109.33</v>
      </c>
    </row>
    <row r="975" spans="1:10" x14ac:dyDescent="0.3">
      <c r="A975" s="5">
        <v>4300172</v>
      </c>
      <c r="B975" s="6" t="s">
        <v>960</v>
      </c>
      <c r="C975" s="7"/>
      <c r="D975" s="7"/>
      <c r="E975" s="7"/>
      <c r="F975" s="7"/>
      <c r="G975" s="7"/>
      <c r="H975" s="7"/>
      <c r="I975" s="7"/>
      <c r="J975" s="7"/>
    </row>
    <row r="976" spans="1:10" x14ac:dyDescent="0.3">
      <c r="E976" s="4" t="s">
        <v>22</v>
      </c>
      <c r="G976" s="11">
        <v>227.86</v>
      </c>
      <c r="H976" s="11">
        <v>0</v>
      </c>
      <c r="I976" s="11">
        <f>G976-H976</f>
        <v>227.86</v>
      </c>
    </row>
    <row r="977" spans="1:10" x14ac:dyDescent="0.3">
      <c r="C977" s="8" t="s">
        <v>11</v>
      </c>
      <c r="D977" s="9">
        <v>45691</v>
      </c>
      <c r="E977" t="s">
        <v>716</v>
      </c>
      <c r="F977" s="10" t="s">
        <v>17</v>
      </c>
      <c r="G977" s="11">
        <v>0</v>
      </c>
      <c r="H977" s="11">
        <v>227.86</v>
      </c>
      <c r="I977" s="11">
        <f>G977-H977+I976</f>
        <v>0</v>
      </c>
      <c r="J977" s="12"/>
    </row>
    <row r="978" spans="1:10" x14ac:dyDescent="0.3">
      <c r="C978" s="8" t="s">
        <v>11</v>
      </c>
      <c r="D978" s="9">
        <v>45730</v>
      </c>
      <c r="E978" t="s">
        <v>961</v>
      </c>
      <c r="F978" s="10" t="s">
        <v>962</v>
      </c>
      <c r="G978" s="11">
        <v>448.45</v>
      </c>
      <c r="H978" s="11">
        <v>0</v>
      </c>
      <c r="I978" s="11">
        <f>G978-H978+I977</f>
        <v>448.45</v>
      </c>
      <c r="J978" s="12"/>
    </row>
    <row r="979" spans="1:10" x14ac:dyDescent="0.3">
      <c r="C979" s="8" t="s">
        <v>11</v>
      </c>
      <c r="D979" s="9">
        <v>45792</v>
      </c>
      <c r="E979" t="s">
        <v>716</v>
      </c>
      <c r="F979" s="10" t="s">
        <v>17</v>
      </c>
      <c r="G979" s="11">
        <v>0</v>
      </c>
      <c r="H979" s="11">
        <v>448.45</v>
      </c>
      <c r="I979" s="11">
        <f>G979-H979+I978</f>
        <v>0</v>
      </c>
      <c r="J979" s="12"/>
    </row>
    <row r="980" spans="1:10" x14ac:dyDescent="0.3">
      <c r="C980" s="8"/>
      <c r="D980" s="9">
        <v>45869</v>
      </c>
      <c r="E980" t="s">
        <v>963</v>
      </c>
      <c r="F980" s="10" t="s">
        <v>964</v>
      </c>
      <c r="G980" s="11">
        <v>5369.36</v>
      </c>
      <c r="H980" s="11">
        <v>0</v>
      </c>
      <c r="I980" s="11">
        <f>G980-H980+I979</f>
        <v>5369.36</v>
      </c>
      <c r="J980" s="12"/>
    </row>
    <row r="981" spans="1:10" x14ac:dyDescent="0.3">
      <c r="E981" s="4" t="s">
        <v>20</v>
      </c>
      <c r="G981" s="11">
        <f>SUM(G976:G980)</f>
        <v>6045.67</v>
      </c>
      <c r="H981" s="11">
        <f>SUM(H976:H980)</f>
        <v>676.31</v>
      </c>
      <c r="I981" s="11">
        <f>G981-H981</f>
        <v>5369.3600000000006</v>
      </c>
    </row>
    <row r="983" spans="1:10" x14ac:dyDescent="0.3">
      <c r="A983" s="5">
        <v>4300177</v>
      </c>
      <c r="B983" s="6" t="s">
        <v>965</v>
      </c>
      <c r="C983" s="7"/>
      <c r="D983" s="7"/>
      <c r="E983" s="7"/>
      <c r="F983" s="7"/>
      <c r="G983" s="7"/>
      <c r="H983" s="7"/>
      <c r="I983" s="7"/>
      <c r="J983" s="7"/>
    </row>
    <row r="984" spans="1:10" x14ac:dyDescent="0.3">
      <c r="E984" s="4" t="s">
        <v>22</v>
      </c>
      <c r="G984" s="11">
        <v>2973.12</v>
      </c>
      <c r="H984" s="11">
        <v>0</v>
      </c>
      <c r="I984" s="11">
        <f>G984-H984</f>
        <v>2973.12</v>
      </c>
    </row>
    <row r="985" spans="1:10" x14ac:dyDescent="0.3">
      <c r="C985" s="8" t="s">
        <v>11</v>
      </c>
      <c r="D985" s="9">
        <v>45666</v>
      </c>
      <c r="E985" t="s">
        <v>684</v>
      </c>
      <c r="F985" s="10" t="s">
        <v>17</v>
      </c>
      <c r="G985" s="11">
        <v>0</v>
      </c>
      <c r="H985" s="11">
        <v>640.04999999999995</v>
      </c>
      <c r="I985" s="11">
        <f t="shared" ref="I985:I998" si="38">G985-H985+I984</f>
        <v>2333.0699999999997</v>
      </c>
      <c r="J985" s="12">
        <v>5720001</v>
      </c>
    </row>
    <row r="986" spans="1:10" x14ac:dyDescent="0.3">
      <c r="C986" s="8" t="s">
        <v>11</v>
      </c>
      <c r="D986" s="9">
        <v>45677</v>
      </c>
      <c r="E986" t="s">
        <v>684</v>
      </c>
      <c r="F986" s="10" t="s">
        <v>17</v>
      </c>
      <c r="G986" s="11">
        <v>0</v>
      </c>
      <c r="H986" s="11">
        <v>2333.0700000000002</v>
      </c>
      <c r="I986" s="11">
        <f t="shared" si="38"/>
        <v>0</v>
      </c>
      <c r="J986" s="12">
        <v>5720001</v>
      </c>
    </row>
    <row r="987" spans="1:10" x14ac:dyDescent="0.3">
      <c r="C987" s="8" t="s">
        <v>11</v>
      </c>
      <c r="D987" s="9">
        <v>45688</v>
      </c>
      <c r="E987" t="s">
        <v>966</v>
      </c>
      <c r="F987" s="10" t="s">
        <v>967</v>
      </c>
      <c r="G987" s="11">
        <v>2945.38</v>
      </c>
      <c r="H987" s="11">
        <v>0</v>
      </c>
      <c r="I987" s="11">
        <f t="shared" si="38"/>
        <v>2945.38</v>
      </c>
      <c r="J987" s="12"/>
    </row>
    <row r="988" spans="1:10" x14ac:dyDescent="0.3">
      <c r="C988" s="8" t="s">
        <v>11</v>
      </c>
      <c r="D988" s="9">
        <v>45716</v>
      </c>
      <c r="E988" t="s">
        <v>968</v>
      </c>
      <c r="F988" s="10" t="s">
        <v>969</v>
      </c>
      <c r="G988" s="11">
        <v>1204.3</v>
      </c>
      <c r="H988" s="11">
        <v>0</v>
      </c>
      <c r="I988" s="11">
        <f t="shared" si="38"/>
        <v>4149.68</v>
      </c>
      <c r="J988" s="12"/>
    </row>
    <row r="989" spans="1:10" x14ac:dyDescent="0.3">
      <c r="C989" s="8" t="s">
        <v>11</v>
      </c>
      <c r="D989" s="9">
        <v>45747</v>
      </c>
      <c r="E989" t="s">
        <v>970</v>
      </c>
      <c r="F989" s="10" t="s">
        <v>971</v>
      </c>
      <c r="G989" s="11">
        <v>2639.43</v>
      </c>
      <c r="H989" s="11">
        <v>0</v>
      </c>
      <c r="I989" s="11">
        <f t="shared" si="38"/>
        <v>6789.1100000000006</v>
      </c>
      <c r="J989" s="12"/>
    </row>
    <row r="990" spans="1:10" x14ac:dyDescent="0.3">
      <c r="C990" s="8" t="s">
        <v>11</v>
      </c>
      <c r="D990" s="9">
        <v>45758</v>
      </c>
      <c r="E990" t="s">
        <v>684</v>
      </c>
      <c r="F990" s="10" t="s">
        <v>17</v>
      </c>
      <c r="G990" s="11">
        <v>0</v>
      </c>
      <c r="H990" s="11">
        <v>2945.38</v>
      </c>
      <c r="I990" s="11">
        <f t="shared" si="38"/>
        <v>3843.7300000000005</v>
      </c>
      <c r="J990" s="12">
        <v>5720001</v>
      </c>
    </row>
    <row r="991" spans="1:10" x14ac:dyDescent="0.3">
      <c r="C991" s="8" t="s">
        <v>11</v>
      </c>
      <c r="D991" s="9">
        <v>45792</v>
      </c>
      <c r="E991" t="s">
        <v>972</v>
      </c>
      <c r="F991" s="10" t="s">
        <v>973</v>
      </c>
      <c r="G991" s="11">
        <v>1425.09</v>
      </c>
      <c r="H991" s="11">
        <v>0</v>
      </c>
      <c r="I991" s="11">
        <f t="shared" si="38"/>
        <v>5268.8200000000006</v>
      </c>
      <c r="J991" s="12"/>
    </row>
    <row r="992" spans="1:10" x14ac:dyDescent="0.3">
      <c r="C992" s="8" t="s">
        <v>11</v>
      </c>
      <c r="D992" s="9">
        <v>45792</v>
      </c>
      <c r="E992" t="s">
        <v>684</v>
      </c>
      <c r="F992" s="10" t="s">
        <v>17</v>
      </c>
      <c r="G992" s="11">
        <v>0</v>
      </c>
      <c r="H992" s="11">
        <v>1204.3</v>
      </c>
      <c r="I992" s="11">
        <f t="shared" si="38"/>
        <v>4064.5200000000004</v>
      </c>
      <c r="J992" s="12">
        <v>5720001</v>
      </c>
    </row>
    <row r="993" spans="1:10" x14ac:dyDescent="0.3">
      <c r="C993" s="8" t="s">
        <v>11</v>
      </c>
      <c r="D993" s="9">
        <v>45821</v>
      </c>
      <c r="E993" t="s">
        <v>974</v>
      </c>
      <c r="F993" s="10" t="s">
        <v>975</v>
      </c>
      <c r="G993" s="11">
        <v>1603.18</v>
      </c>
      <c r="H993" s="11">
        <v>0</v>
      </c>
      <c r="I993" s="11">
        <f t="shared" si="38"/>
        <v>5667.7000000000007</v>
      </c>
      <c r="J993" s="12"/>
    </row>
    <row r="994" spans="1:10" x14ac:dyDescent="0.3">
      <c r="C994" s="8" t="s">
        <v>11</v>
      </c>
      <c r="D994" s="9">
        <v>45821</v>
      </c>
      <c r="E994" t="s">
        <v>684</v>
      </c>
      <c r="F994" s="10" t="s">
        <v>17</v>
      </c>
      <c r="G994" s="11">
        <v>0</v>
      </c>
      <c r="H994" s="11">
        <v>2639.43</v>
      </c>
      <c r="I994" s="11">
        <f t="shared" si="38"/>
        <v>3028.2700000000009</v>
      </c>
      <c r="J994" s="12">
        <v>5720001</v>
      </c>
    </row>
    <row r="995" spans="1:10" x14ac:dyDescent="0.3">
      <c r="C995" s="8" t="s">
        <v>11</v>
      </c>
      <c r="D995" s="9">
        <v>45862</v>
      </c>
      <c r="E995" t="s">
        <v>684</v>
      </c>
      <c r="F995" s="10" t="s">
        <v>17</v>
      </c>
      <c r="G995" s="11">
        <v>0</v>
      </c>
      <c r="H995" s="11">
        <v>1425.09</v>
      </c>
      <c r="I995" s="11">
        <f t="shared" si="38"/>
        <v>1603.180000000001</v>
      </c>
      <c r="J995" s="12">
        <v>5720001</v>
      </c>
    </row>
    <row r="996" spans="1:10" x14ac:dyDescent="0.3">
      <c r="C996" s="8"/>
      <c r="D996" s="9">
        <v>45900</v>
      </c>
      <c r="E996" t="s">
        <v>976</v>
      </c>
      <c r="F996" s="10" t="s">
        <v>977</v>
      </c>
      <c r="G996" s="11">
        <v>1872.09</v>
      </c>
      <c r="H996" s="11">
        <v>0</v>
      </c>
      <c r="I996" s="11">
        <f t="shared" si="38"/>
        <v>3475.2700000000009</v>
      </c>
      <c r="J996" s="12"/>
    </row>
    <row r="997" spans="1:10" x14ac:dyDescent="0.3">
      <c r="C997" s="8" t="s">
        <v>11</v>
      </c>
      <c r="D997" s="9">
        <v>45903</v>
      </c>
      <c r="E997" t="s">
        <v>684</v>
      </c>
      <c r="F997" s="10" t="s">
        <v>17</v>
      </c>
      <c r="G997" s="11">
        <v>0</v>
      </c>
      <c r="H997" s="11">
        <v>1603.18</v>
      </c>
      <c r="I997" s="11">
        <f t="shared" si="38"/>
        <v>1872.0900000000008</v>
      </c>
      <c r="J997" s="12">
        <v>5720001</v>
      </c>
    </row>
    <row r="998" spans="1:10" x14ac:dyDescent="0.3">
      <c r="C998" s="8"/>
      <c r="D998" s="9">
        <v>45916</v>
      </c>
      <c r="E998" t="s">
        <v>978</v>
      </c>
      <c r="F998" s="10" t="s">
        <v>979</v>
      </c>
      <c r="G998" s="11">
        <v>745.24</v>
      </c>
      <c r="H998" s="11">
        <v>0</v>
      </c>
      <c r="I998" s="11">
        <f t="shared" si="38"/>
        <v>2617.3300000000008</v>
      </c>
      <c r="J998" s="12"/>
    </row>
    <row r="999" spans="1:10" x14ac:dyDescent="0.3">
      <c r="E999" s="4" t="s">
        <v>20</v>
      </c>
      <c r="G999" s="11">
        <f>SUM(G984:G998)</f>
        <v>15407.83</v>
      </c>
      <c r="H999" s="11">
        <f>SUM(H984:H998)</f>
        <v>12790.5</v>
      </c>
      <c r="I999" s="11">
        <f>G999-H999</f>
        <v>2617.33</v>
      </c>
    </row>
    <row r="1001" spans="1:10" x14ac:dyDescent="0.3">
      <c r="A1001" s="5">
        <v>4300181</v>
      </c>
      <c r="B1001" s="6" t="s">
        <v>980</v>
      </c>
      <c r="C1001" s="7"/>
      <c r="D1001" s="7"/>
      <c r="E1001" s="7"/>
      <c r="F1001" s="7"/>
      <c r="G1001" s="7"/>
      <c r="H1001" s="7"/>
      <c r="I1001" s="7"/>
      <c r="J1001" s="7"/>
    </row>
    <row r="1002" spans="1:10" x14ac:dyDescent="0.3">
      <c r="E1002" s="4" t="s">
        <v>22</v>
      </c>
      <c r="G1002" s="11">
        <v>302.99</v>
      </c>
      <c r="H1002" s="11">
        <v>0</v>
      </c>
      <c r="I1002" s="11">
        <f>G1002-H1002</f>
        <v>302.99</v>
      </c>
    </row>
    <row r="1003" spans="1:10" x14ac:dyDescent="0.3">
      <c r="C1003" s="8" t="s">
        <v>11</v>
      </c>
      <c r="D1003" s="9">
        <v>45672</v>
      </c>
      <c r="E1003" t="s">
        <v>981</v>
      </c>
      <c r="F1003" s="10" t="s">
        <v>982</v>
      </c>
      <c r="G1003" s="11">
        <v>1386.79</v>
      </c>
      <c r="H1003" s="11">
        <v>0</v>
      </c>
      <c r="I1003" s="11">
        <f t="shared" ref="I1003:I1019" si="39">G1003-H1003+I1002</f>
        <v>1689.78</v>
      </c>
      <c r="J1003" s="12"/>
    </row>
    <row r="1004" spans="1:10" x14ac:dyDescent="0.3">
      <c r="C1004" s="8" t="s">
        <v>11</v>
      </c>
      <c r="D1004" s="9">
        <v>45677</v>
      </c>
      <c r="E1004" t="s">
        <v>684</v>
      </c>
      <c r="F1004" s="10" t="s">
        <v>17</v>
      </c>
      <c r="G1004" s="11">
        <v>0</v>
      </c>
      <c r="H1004" s="11">
        <v>51.91</v>
      </c>
      <c r="I1004" s="11">
        <f t="shared" si="39"/>
        <v>1637.87</v>
      </c>
      <c r="J1004" s="12">
        <v>5720001</v>
      </c>
    </row>
    <row r="1005" spans="1:10" x14ac:dyDescent="0.3">
      <c r="C1005" s="8" t="s">
        <v>11</v>
      </c>
      <c r="D1005" s="9">
        <v>45688</v>
      </c>
      <c r="E1005" t="s">
        <v>983</v>
      </c>
      <c r="F1005" s="10" t="s">
        <v>984</v>
      </c>
      <c r="G1005" s="11">
        <v>1041.8699999999999</v>
      </c>
      <c r="H1005" s="11">
        <v>0</v>
      </c>
      <c r="I1005" s="11">
        <f t="shared" si="39"/>
        <v>2679.74</v>
      </c>
      <c r="J1005" s="12"/>
    </row>
    <row r="1006" spans="1:10" x14ac:dyDescent="0.3">
      <c r="C1006" s="8" t="s">
        <v>11</v>
      </c>
      <c r="D1006" s="9">
        <v>45688</v>
      </c>
      <c r="E1006" t="s">
        <v>985</v>
      </c>
      <c r="F1006" s="10" t="s">
        <v>986</v>
      </c>
      <c r="G1006" s="11">
        <v>838.86</v>
      </c>
      <c r="H1006" s="11">
        <v>0</v>
      </c>
      <c r="I1006" s="11">
        <f t="shared" si="39"/>
        <v>3518.6</v>
      </c>
      <c r="J1006" s="12"/>
    </row>
    <row r="1007" spans="1:10" x14ac:dyDescent="0.3">
      <c r="C1007" s="8" t="s">
        <v>11</v>
      </c>
      <c r="D1007" s="9">
        <v>45709</v>
      </c>
      <c r="E1007" t="s">
        <v>684</v>
      </c>
      <c r="F1007" s="10" t="s">
        <v>17</v>
      </c>
      <c r="G1007" s="11">
        <v>0</v>
      </c>
      <c r="H1007" s="11">
        <v>251.08</v>
      </c>
      <c r="I1007" s="11">
        <f t="shared" si="39"/>
        <v>3267.52</v>
      </c>
      <c r="J1007" s="12">
        <v>5720001</v>
      </c>
    </row>
    <row r="1008" spans="1:10" x14ac:dyDescent="0.3">
      <c r="C1008" s="8" t="s">
        <v>11</v>
      </c>
      <c r="D1008" s="9">
        <v>45730</v>
      </c>
      <c r="E1008" t="s">
        <v>987</v>
      </c>
      <c r="F1008" s="10" t="s">
        <v>988</v>
      </c>
      <c r="G1008" s="11">
        <v>1283.3900000000001</v>
      </c>
      <c r="H1008" s="11">
        <v>0</v>
      </c>
      <c r="I1008" s="11">
        <f t="shared" si="39"/>
        <v>4550.91</v>
      </c>
      <c r="J1008" s="12"/>
    </row>
    <row r="1009" spans="1:10" x14ac:dyDescent="0.3">
      <c r="C1009" s="8" t="s">
        <v>11</v>
      </c>
      <c r="D1009" s="9">
        <v>45737</v>
      </c>
      <c r="E1009" t="s">
        <v>989</v>
      </c>
      <c r="F1009" s="10" t="s">
        <v>17</v>
      </c>
      <c r="G1009" s="11">
        <v>0</v>
      </c>
      <c r="H1009" s="11">
        <v>1386.79</v>
      </c>
      <c r="I1009" s="11">
        <f t="shared" si="39"/>
        <v>3164.12</v>
      </c>
      <c r="J1009" s="12">
        <v>5720001</v>
      </c>
    </row>
    <row r="1010" spans="1:10" x14ac:dyDescent="0.3">
      <c r="C1010" s="8" t="s">
        <v>11</v>
      </c>
      <c r="D1010" s="9">
        <v>45770</v>
      </c>
      <c r="E1010" t="s">
        <v>684</v>
      </c>
      <c r="F1010" s="10" t="s">
        <v>17</v>
      </c>
      <c r="G1010" s="11">
        <v>0</v>
      </c>
      <c r="H1010" s="11">
        <v>1041.8699999999999</v>
      </c>
      <c r="I1010" s="11">
        <f t="shared" si="39"/>
        <v>2122.25</v>
      </c>
      <c r="J1010" s="12">
        <v>5720001</v>
      </c>
    </row>
    <row r="1011" spans="1:10" x14ac:dyDescent="0.3">
      <c r="C1011" s="8" t="s">
        <v>11</v>
      </c>
      <c r="D1011" s="9">
        <v>45770</v>
      </c>
      <c r="E1011" t="s">
        <v>684</v>
      </c>
      <c r="F1011" s="10" t="s">
        <v>17</v>
      </c>
      <c r="G1011" s="11">
        <v>0</v>
      </c>
      <c r="H1011" s="11">
        <v>838.86</v>
      </c>
      <c r="I1011" s="11">
        <f t="shared" si="39"/>
        <v>1283.3899999999999</v>
      </c>
      <c r="J1011" s="12">
        <v>5720001</v>
      </c>
    </row>
    <row r="1012" spans="1:10" x14ac:dyDescent="0.3">
      <c r="C1012" s="8" t="s">
        <v>11</v>
      </c>
      <c r="D1012" s="9">
        <v>45777</v>
      </c>
      <c r="E1012" t="s">
        <v>990</v>
      </c>
      <c r="F1012" s="10" t="s">
        <v>991</v>
      </c>
      <c r="G1012" s="11">
        <v>1560.5</v>
      </c>
      <c r="H1012" s="11">
        <v>0</v>
      </c>
      <c r="I1012" s="11">
        <f t="shared" si="39"/>
        <v>2843.89</v>
      </c>
      <c r="J1012" s="12"/>
    </row>
    <row r="1013" spans="1:10" x14ac:dyDescent="0.3">
      <c r="C1013" s="8" t="s">
        <v>11</v>
      </c>
      <c r="D1013" s="9">
        <v>45798</v>
      </c>
      <c r="E1013" t="s">
        <v>684</v>
      </c>
      <c r="F1013" s="10" t="s">
        <v>17</v>
      </c>
      <c r="G1013" s="11">
        <v>0</v>
      </c>
      <c r="H1013" s="11">
        <v>1283.3900000000001</v>
      </c>
      <c r="I1013" s="11">
        <f t="shared" si="39"/>
        <v>1560.4999999999998</v>
      </c>
      <c r="J1013" s="12">
        <v>5720001</v>
      </c>
    </row>
    <row r="1014" spans="1:10" x14ac:dyDescent="0.3">
      <c r="C1014" s="8" t="s">
        <v>11</v>
      </c>
      <c r="D1014" s="9">
        <v>45807</v>
      </c>
      <c r="E1014" t="s">
        <v>992</v>
      </c>
      <c r="F1014" s="10" t="s">
        <v>993</v>
      </c>
      <c r="G1014" s="11">
        <v>518.91</v>
      </c>
      <c r="H1014" s="11">
        <v>0</v>
      </c>
      <c r="I1014" s="11">
        <f t="shared" si="39"/>
        <v>2079.41</v>
      </c>
      <c r="J1014" s="12"/>
    </row>
    <row r="1015" spans="1:10" x14ac:dyDescent="0.3">
      <c r="C1015" s="8" t="s">
        <v>11</v>
      </c>
      <c r="D1015" s="9">
        <v>45807</v>
      </c>
      <c r="E1015" t="s">
        <v>994</v>
      </c>
      <c r="F1015" s="10" t="s">
        <v>995</v>
      </c>
      <c r="G1015" s="11">
        <v>1114.47</v>
      </c>
      <c r="H1015" s="11">
        <v>0</v>
      </c>
      <c r="I1015" s="11">
        <f t="shared" si="39"/>
        <v>3193.88</v>
      </c>
      <c r="J1015" s="12"/>
    </row>
    <row r="1016" spans="1:10" x14ac:dyDescent="0.3">
      <c r="C1016" s="8" t="s">
        <v>11</v>
      </c>
      <c r="D1016" s="9">
        <v>45859</v>
      </c>
      <c r="E1016" t="s">
        <v>684</v>
      </c>
      <c r="F1016" s="10" t="s">
        <v>17</v>
      </c>
      <c r="G1016" s="11">
        <v>0</v>
      </c>
      <c r="H1016" s="11">
        <v>1560.5</v>
      </c>
      <c r="I1016" s="11">
        <f t="shared" si="39"/>
        <v>1633.38</v>
      </c>
      <c r="J1016" s="12">
        <v>5720001</v>
      </c>
    </row>
    <row r="1017" spans="1:10" x14ac:dyDescent="0.3">
      <c r="C1017" s="8" t="s">
        <v>11</v>
      </c>
      <c r="D1017" s="9">
        <v>45890</v>
      </c>
      <c r="E1017" t="s">
        <v>684</v>
      </c>
      <c r="F1017" s="10" t="s">
        <v>17</v>
      </c>
      <c r="G1017" s="11">
        <v>0</v>
      </c>
      <c r="H1017" s="11">
        <v>1114.47</v>
      </c>
      <c r="I1017" s="11">
        <f t="shared" si="39"/>
        <v>518.91000000000008</v>
      </c>
      <c r="J1017" s="12">
        <v>5720001</v>
      </c>
    </row>
    <row r="1018" spans="1:10" x14ac:dyDescent="0.3">
      <c r="C1018" s="8" t="s">
        <v>11</v>
      </c>
      <c r="D1018" s="9">
        <v>45890</v>
      </c>
      <c r="E1018" t="s">
        <v>684</v>
      </c>
      <c r="F1018" s="10" t="s">
        <v>17</v>
      </c>
      <c r="G1018" s="11">
        <v>0</v>
      </c>
      <c r="H1018" s="11">
        <v>518.91</v>
      </c>
      <c r="I1018" s="11">
        <f t="shared" si="39"/>
        <v>0</v>
      </c>
      <c r="J1018" s="12">
        <v>5720001</v>
      </c>
    </row>
    <row r="1019" spans="1:10" x14ac:dyDescent="0.3">
      <c r="C1019" s="8"/>
      <c r="D1019" s="9">
        <v>45915</v>
      </c>
      <c r="E1019" t="s">
        <v>996</v>
      </c>
      <c r="F1019" s="10" t="s">
        <v>997</v>
      </c>
      <c r="G1019" s="11">
        <v>428.16</v>
      </c>
      <c r="H1019" s="11">
        <v>0</v>
      </c>
      <c r="I1019" s="11">
        <f t="shared" si="39"/>
        <v>428.16</v>
      </c>
      <c r="J1019" s="12"/>
    </row>
    <row r="1020" spans="1:10" x14ac:dyDescent="0.3">
      <c r="E1020" s="4" t="s">
        <v>20</v>
      </c>
      <c r="G1020" s="11">
        <f>SUM(G1002:G1019)</f>
        <v>8475.94</v>
      </c>
      <c r="H1020" s="11">
        <f>SUM(H1002:H1019)</f>
        <v>8047.78</v>
      </c>
      <c r="I1020" s="11">
        <f>G1020-H1020</f>
        <v>428.16000000000076</v>
      </c>
    </row>
    <row r="1022" spans="1:10" x14ac:dyDescent="0.3">
      <c r="A1022" s="5">
        <v>4300191</v>
      </c>
      <c r="B1022" s="6" t="s">
        <v>332</v>
      </c>
      <c r="C1022" s="7"/>
      <c r="D1022" s="7"/>
      <c r="E1022" s="7"/>
      <c r="F1022" s="7"/>
      <c r="G1022" s="7"/>
      <c r="H1022" s="7"/>
      <c r="I1022" s="7"/>
      <c r="J1022" s="7"/>
    </row>
    <row r="1023" spans="1:10" x14ac:dyDescent="0.3">
      <c r="E1023" s="4" t="s">
        <v>22</v>
      </c>
      <c r="G1023" s="11">
        <v>659.87</v>
      </c>
      <c r="H1023" s="11">
        <v>0</v>
      </c>
      <c r="I1023" s="11">
        <f>G1023-H1023</f>
        <v>659.87</v>
      </c>
    </row>
    <row r="1024" spans="1:10" x14ac:dyDescent="0.3">
      <c r="C1024" s="8" t="s">
        <v>11</v>
      </c>
      <c r="D1024" s="9">
        <v>45672</v>
      </c>
      <c r="E1024" t="s">
        <v>998</v>
      </c>
      <c r="F1024" s="10" t="s">
        <v>999</v>
      </c>
      <c r="G1024" s="11">
        <v>71.58</v>
      </c>
      <c r="H1024" s="11">
        <v>0</v>
      </c>
      <c r="I1024" s="11">
        <f t="shared" ref="I1024:I1043" si="40">G1024-H1024+I1023</f>
        <v>731.45</v>
      </c>
      <c r="J1024" s="12"/>
    </row>
    <row r="1025" spans="3:10" x14ac:dyDescent="0.3">
      <c r="C1025" s="8" t="s">
        <v>11</v>
      </c>
      <c r="D1025" s="9">
        <v>45674</v>
      </c>
      <c r="E1025" t="s">
        <v>716</v>
      </c>
      <c r="F1025" s="10" t="s">
        <v>17</v>
      </c>
      <c r="G1025" s="11">
        <v>0</v>
      </c>
      <c r="H1025" s="11">
        <v>71.58</v>
      </c>
      <c r="I1025" s="11">
        <f t="shared" si="40"/>
        <v>659.87</v>
      </c>
      <c r="J1025" s="12"/>
    </row>
    <row r="1026" spans="3:10" x14ac:dyDescent="0.3">
      <c r="C1026" s="8" t="s">
        <v>11</v>
      </c>
      <c r="D1026" s="9">
        <v>45674</v>
      </c>
      <c r="E1026" t="s">
        <v>716</v>
      </c>
      <c r="F1026" s="10" t="s">
        <v>17</v>
      </c>
      <c r="G1026" s="11">
        <v>0</v>
      </c>
      <c r="H1026" s="11">
        <v>659.87</v>
      </c>
      <c r="I1026" s="11">
        <f t="shared" si="40"/>
        <v>0</v>
      </c>
      <c r="J1026" s="12"/>
    </row>
    <row r="1027" spans="3:10" x14ac:dyDescent="0.3">
      <c r="C1027" s="8" t="s">
        <v>11</v>
      </c>
      <c r="D1027" s="9">
        <v>45688</v>
      </c>
      <c r="E1027" t="s">
        <v>1000</v>
      </c>
      <c r="F1027" s="10" t="s">
        <v>1001</v>
      </c>
      <c r="G1027" s="11">
        <v>450.12</v>
      </c>
      <c r="H1027" s="11">
        <v>0</v>
      </c>
      <c r="I1027" s="11">
        <f t="shared" si="40"/>
        <v>450.12</v>
      </c>
      <c r="J1027" s="12"/>
    </row>
    <row r="1028" spans="3:10" x14ac:dyDescent="0.3">
      <c r="C1028" s="8" t="s">
        <v>11</v>
      </c>
      <c r="D1028" s="9">
        <v>45691</v>
      </c>
      <c r="E1028" t="s">
        <v>716</v>
      </c>
      <c r="F1028" s="10" t="s">
        <v>17</v>
      </c>
      <c r="G1028" s="11">
        <v>0</v>
      </c>
      <c r="H1028" s="11">
        <v>450.12</v>
      </c>
      <c r="I1028" s="11">
        <f t="shared" si="40"/>
        <v>0</v>
      </c>
      <c r="J1028" s="12"/>
    </row>
    <row r="1029" spans="3:10" x14ac:dyDescent="0.3">
      <c r="C1029" s="8" t="s">
        <v>11</v>
      </c>
      <c r="D1029" s="9">
        <v>45702</v>
      </c>
      <c r="E1029" t="s">
        <v>1002</v>
      </c>
      <c r="F1029" s="10" t="s">
        <v>1003</v>
      </c>
      <c r="G1029" s="11">
        <v>2512.69</v>
      </c>
      <c r="H1029" s="11">
        <v>0</v>
      </c>
      <c r="I1029" s="11">
        <f t="shared" si="40"/>
        <v>2512.69</v>
      </c>
      <c r="J1029" s="12"/>
    </row>
    <row r="1030" spans="3:10" x14ac:dyDescent="0.3">
      <c r="C1030" s="8" t="s">
        <v>11</v>
      </c>
      <c r="D1030" s="9">
        <v>45713</v>
      </c>
      <c r="E1030" t="s">
        <v>716</v>
      </c>
      <c r="F1030" s="10" t="s">
        <v>17</v>
      </c>
      <c r="G1030" s="11">
        <v>0</v>
      </c>
      <c r="H1030" s="11">
        <v>2512.69</v>
      </c>
      <c r="I1030" s="11">
        <f t="shared" si="40"/>
        <v>0</v>
      </c>
      <c r="J1030" s="12"/>
    </row>
    <row r="1031" spans="3:10" x14ac:dyDescent="0.3">
      <c r="C1031" s="8" t="s">
        <v>11</v>
      </c>
      <c r="D1031" s="9">
        <v>45747</v>
      </c>
      <c r="E1031" t="s">
        <v>1004</v>
      </c>
      <c r="F1031" s="10" t="s">
        <v>1005</v>
      </c>
      <c r="G1031" s="11">
        <v>1373.08</v>
      </c>
      <c r="H1031" s="11">
        <v>0</v>
      </c>
      <c r="I1031" s="11">
        <f t="shared" si="40"/>
        <v>1373.08</v>
      </c>
      <c r="J1031" s="12"/>
    </row>
    <row r="1032" spans="3:10" x14ac:dyDescent="0.3">
      <c r="C1032" s="8" t="s">
        <v>11</v>
      </c>
      <c r="D1032" s="9">
        <v>45777</v>
      </c>
      <c r="E1032" t="s">
        <v>1006</v>
      </c>
      <c r="F1032" s="10" t="s">
        <v>1007</v>
      </c>
      <c r="G1032" s="11">
        <v>1114.69</v>
      </c>
      <c r="H1032" s="11">
        <v>0</v>
      </c>
      <c r="I1032" s="11">
        <f t="shared" si="40"/>
        <v>2487.77</v>
      </c>
      <c r="J1032" s="12"/>
    </row>
    <row r="1033" spans="3:10" x14ac:dyDescent="0.3">
      <c r="C1033" s="8" t="s">
        <v>11</v>
      </c>
      <c r="D1033" s="9">
        <v>45792</v>
      </c>
      <c r="E1033" t="s">
        <v>1008</v>
      </c>
      <c r="F1033" s="10" t="s">
        <v>1009</v>
      </c>
      <c r="G1033" s="11">
        <v>348.04</v>
      </c>
      <c r="H1033" s="11">
        <v>0</v>
      </c>
      <c r="I1033" s="11">
        <f t="shared" si="40"/>
        <v>2835.81</v>
      </c>
      <c r="J1033" s="12"/>
    </row>
    <row r="1034" spans="3:10" x14ac:dyDescent="0.3">
      <c r="C1034" s="8" t="s">
        <v>11</v>
      </c>
      <c r="D1034" s="9">
        <v>45792</v>
      </c>
      <c r="E1034" t="s">
        <v>716</v>
      </c>
      <c r="F1034" s="10" t="s">
        <v>17</v>
      </c>
      <c r="G1034" s="11">
        <v>0</v>
      </c>
      <c r="H1034" s="11">
        <v>1373.08</v>
      </c>
      <c r="I1034" s="11">
        <f t="shared" si="40"/>
        <v>1462.73</v>
      </c>
      <c r="J1034" s="12"/>
    </row>
    <row r="1035" spans="3:10" x14ac:dyDescent="0.3">
      <c r="C1035" s="8" t="s">
        <v>11</v>
      </c>
      <c r="D1035" s="9">
        <v>45807</v>
      </c>
      <c r="E1035" t="s">
        <v>1010</v>
      </c>
      <c r="F1035" s="10" t="s">
        <v>1011</v>
      </c>
      <c r="G1035" s="11">
        <v>1847.9</v>
      </c>
      <c r="H1035" s="11">
        <v>0</v>
      </c>
      <c r="I1035" s="11">
        <f t="shared" si="40"/>
        <v>3310.63</v>
      </c>
      <c r="J1035" s="12"/>
    </row>
    <row r="1036" spans="3:10" x14ac:dyDescent="0.3">
      <c r="C1036" s="8" t="s">
        <v>11</v>
      </c>
      <c r="D1036" s="9">
        <v>45821</v>
      </c>
      <c r="E1036" t="s">
        <v>1012</v>
      </c>
      <c r="F1036" s="10" t="s">
        <v>1013</v>
      </c>
      <c r="G1036" s="11">
        <v>258.38</v>
      </c>
      <c r="H1036" s="11">
        <v>0</v>
      </c>
      <c r="I1036" s="11">
        <f t="shared" si="40"/>
        <v>3569.01</v>
      </c>
      <c r="J1036" s="12"/>
    </row>
    <row r="1037" spans="3:10" x14ac:dyDescent="0.3">
      <c r="C1037" s="8" t="s">
        <v>11</v>
      </c>
      <c r="D1037" s="9">
        <v>45826</v>
      </c>
      <c r="E1037" t="s">
        <v>716</v>
      </c>
      <c r="F1037" s="10" t="s">
        <v>17</v>
      </c>
      <c r="G1037" s="11">
        <v>0</v>
      </c>
      <c r="H1037" s="11">
        <v>1462.73</v>
      </c>
      <c r="I1037" s="11">
        <f t="shared" si="40"/>
        <v>2106.2800000000002</v>
      </c>
      <c r="J1037" s="12"/>
    </row>
    <row r="1038" spans="3:10" x14ac:dyDescent="0.3">
      <c r="C1038" s="8" t="s">
        <v>11</v>
      </c>
      <c r="D1038" s="9">
        <v>45838</v>
      </c>
      <c r="E1038" t="s">
        <v>1014</v>
      </c>
      <c r="F1038" s="10" t="s">
        <v>1015</v>
      </c>
      <c r="G1038" s="11">
        <v>516.59</v>
      </c>
      <c r="H1038" s="11">
        <v>0</v>
      </c>
      <c r="I1038" s="11">
        <f t="shared" si="40"/>
        <v>2622.8700000000003</v>
      </c>
      <c r="J1038" s="12"/>
    </row>
    <row r="1039" spans="3:10" x14ac:dyDescent="0.3">
      <c r="C1039" s="8" t="s">
        <v>11</v>
      </c>
      <c r="D1039" s="9">
        <v>45863</v>
      </c>
      <c r="E1039" t="s">
        <v>716</v>
      </c>
      <c r="F1039" s="10" t="s">
        <v>17</v>
      </c>
      <c r="G1039" s="11">
        <v>0</v>
      </c>
      <c r="H1039" s="11">
        <v>2106.2800000000002</v>
      </c>
      <c r="I1039" s="11">
        <f t="shared" si="40"/>
        <v>516.59000000000015</v>
      </c>
      <c r="J1039" s="12"/>
    </row>
    <row r="1040" spans="3:10" x14ac:dyDescent="0.3">
      <c r="C1040" s="8"/>
      <c r="D1040" s="9">
        <v>45869</v>
      </c>
      <c r="E1040" t="s">
        <v>1016</v>
      </c>
      <c r="F1040" s="10" t="s">
        <v>1017</v>
      </c>
      <c r="G1040" s="11">
        <v>2507.17</v>
      </c>
      <c r="H1040" s="11">
        <v>0</v>
      </c>
      <c r="I1040" s="11">
        <f t="shared" si="40"/>
        <v>3023.76</v>
      </c>
      <c r="J1040" s="12"/>
    </row>
    <row r="1041" spans="1:10" x14ac:dyDescent="0.3">
      <c r="C1041" s="8" t="s">
        <v>11</v>
      </c>
      <c r="D1041" s="9">
        <v>45875</v>
      </c>
      <c r="E1041" t="s">
        <v>716</v>
      </c>
      <c r="F1041" s="10" t="s">
        <v>17</v>
      </c>
      <c r="G1041" s="11">
        <v>0</v>
      </c>
      <c r="H1041" s="11">
        <v>516.59</v>
      </c>
      <c r="I1041" s="11">
        <f t="shared" si="40"/>
        <v>2507.17</v>
      </c>
      <c r="J1041" s="12"/>
    </row>
    <row r="1042" spans="1:10" x14ac:dyDescent="0.3">
      <c r="C1042" s="8"/>
      <c r="D1042" s="9">
        <v>45900</v>
      </c>
      <c r="E1042" t="s">
        <v>1018</v>
      </c>
      <c r="F1042" s="10" t="s">
        <v>1019</v>
      </c>
      <c r="G1042" s="11">
        <v>664.12</v>
      </c>
      <c r="H1042" s="11">
        <v>0</v>
      </c>
      <c r="I1042" s="11">
        <f t="shared" si="40"/>
        <v>3171.29</v>
      </c>
      <c r="J1042" s="12"/>
    </row>
    <row r="1043" spans="1:10" x14ac:dyDescent="0.3">
      <c r="C1043" s="8"/>
      <c r="D1043" s="9">
        <v>45915</v>
      </c>
      <c r="E1043" t="s">
        <v>1020</v>
      </c>
      <c r="F1043" s="10" t="s">
        <v>1021</v>
      </c>
      <c r="G1043" s="11">
        <v>1256.6099999999999</v>
      </c>
      <c r="H1043" s="11">
        <v>0</v>
      </c>
      <c r="I1043" s="11">
        <f t="shared" si="40"/>
        <v>4427.8999999999996</v>
      </c>
      <c r="J1043" s="12"/>
    </row>
    <row r="1044" spans="1:10" x14ac:dyDescent="0.3">
      <c r="E1044" s="4" t="s">
        <v>20</v>
      </c>
      <c r="G1044" s="11">
        <f>SUM(G1023:G1043)</f>
        <v>13580.840000000002</v>
      </c>
      <c r="H1044" s="11">
        <f>SUM(H1023:H1043)</f>
        <v>9152.94</v>
      </c>
      <c r="I1044" s="11">
        <f>G1044-H1044</f>
        <v>4427.9000000000015</v>
      </c>
    </row>
    <row r="1046" spans="1:10" x14ac:dyDescent="0.3">
      <c r="A1046" s="5">
        <v>4300197</v>
      </c>
      <c r="B1046" s="6" t="s">
        <v>122</v>
      </c>
      <c r="C1046" s="7"/>
      <c r="D1046" s="7"/>
      <c r="E1046" s="7"/>
      <c r="F1046" s="7"/>
      <c r="G1046" s="7"/>
      <c r="H1046" s="7"/>
      <c r="I1046" s="7"/>
      <c r="J1046" s="7"/>
    </row>
    <row r="1047" spans="1:10" x14ac:dyDescent="0.3">
      <c r="C1047" s="8" t="s">
        <v>11</v>
      </c>
      <c r="D1047" s="9">
        <v>45702</v>
      </c>
      <c r="E1047" t="s">
        <v>1022</v>
      </c>
      <c r="F1047" s="10" t="s">
        <v>1023</v>
      </c>
      <c r="G1047" s="11">
        <v>401.78</v>
      </c>
      <c r="H1047" s="11">
        <v>0</v>
      </c>
      <c r="I1047" s="11">
        <f>G1047-H1047</f>
        <v>401.78</v>
      </c>
      <c r="J1047" s="12"/>
    </row>
    <row r="1048" spans="1:10" x14ac:dyDescent="0.3">
      <c r="C1048" s="8" t="s">
        <v>11</v>
      </c>
      <c r="D1048" s="9">
        <v>45713</v>
      </c>
      <c r="E1048" t="s">
        <v>716</v>
      </c>
      <c r="F1048" s="10" t="s">
        <v>17</v>
      </c>
      <c r="G1048" s="11">
        <v>0</v>
      </c>
      <c r="H1048" s="11">
        <v>401.78</v>
      </c>
      <c r="I1048" s="11">
        <f t="shared" ref="I1048:I1058" si="41">G1048-H1048+I1047</f>
        <v>0</v>
      </c>
      <c r="J1048" s="12"/>
    </row>
    <row r="1049" spans="1:10" x14ac:dyDescent="0.3">
      <c r="C1049" s="8" t="s">
        <v>11</v>
      </c>
      <c r="D1049" s="9">
        <v>45730</v>
      </c>
      <c r="E1049" t="s">
        <v>1024</v>
      </c>
      <c r="F1049" s="10" t="s">
        <v>1025</v>
      </c>
      <c r="G1049" s="11">
        <v>131.6</v>
      </c>
      <c r="H1049" s="11">
        <v>0</v>
      </c>
      <c r="I1049" s="11">
        <f t="shared" si="41"/>
        <v>131.6</v>
      </c>
      <c r="J1049" s="12"/>
    </row>
    <row r="1050" spans="1:10" x14ac:dyDescent="0.3">
      <c r="C1050" s="8" t="s">
        <v>11</v>
      </c>
      <c r="D1050" s="9">
        <v>45747</v>
      </c>
      <c r="E1050" t="s">
        <v>1026</v>
      </c>
      <c r="F1050" s="10" t="s">
        <v>1027</v>
      </c>
      <c r="G1050" s="11">
        <v>835.82</v>
      </c>
      <c r="H1050" s="11">
        <v>0</v>
      </c>
      <c r="I1050" s="11">
        <f t="shared" si="41"/>
        <v>967.42000000000007</v>
      </c>
      <c r="J1050" s="12"/>
    </row>
    <row r="1051" spans="1:10" x14ac:dyDescent="0.3">
      <c r="C1051" s="8" t="s">
        <v>11</v>
      </c>
      <c r="D1051" s="9">
        <v>45777</v>
      </c>
      <c r="E1051" t="s">
        <v>1028</v>
      </c>
      <c r="F1051" s="10" t="s">
        <v>1029</v>
      </c>
      <c r="G1051" s="11">
        <v>539.66</v>
      </c>
      <c r="H1051" s="11">
        <v>0</v>
      </c>
      <c r="I1051" s="11">
        <f t="shared" si="41"/>
        <v>1507.08</v>
      </c>
      <c r="J1051" s="12"/>
    </row>
    <row r="1052" spans="1:10" x14ac:dyDescent="0.3">
      <c r="C1052" s="8" t="s">
        <v>11</v>
      </c>
      <c r="D1052" s="9">
        <v>45792</v>
      </c>
      <c r="E1052" t="s">
        <v>1030</v>
      </c>
      <c r="F1052" s="10" t="s">
        <v>1031</v>
      </c>
      <c r="G1052" s="11">
        <v>363</v>
      </c>
      <c r="H1052" s="11">
        <v>0</v>
      </c>
      <c r="I1052" s="11">
        <f t="shared" si="41"/>
        <v>1870.08</v>
      </c>
      <c r="J1052" s="12"/>
    </row>
    <row r="1053" spans="1:10" x14ac:dyDescent="0.3">
      <c r="C1053" s="8" t="s">
        <v>11</v>
      </c>
      <c r="D1053" s="9">
        <v>45796</v>
      </c>
      <c r="E1053" t="s">
        <v>716</v>
      </c>
      <c r="F1053" s="10" t="s">
        <v>17</v>
      </c>
      <c r="G1053" s="11">
        <v>0</v>
      </c>
      <c r="H1053" s="11">
        <v>131.6</v>
      </c>
      <c r="I1053" s="11">
        <f t="shared" si="41"/>
        <v>1738.48</v>
      </c>
      <c r="J1053" s="12"/>
    </row>
    <row r="1054" spans="1:10" x14ac:dyDescent="0.3">
      <c r="C1054" s="8" t="s">
        <v>11</v>
      </c>
      <c r="D1054" s="9">
        <v>45826</v>
      </c>
      <c r="E1054" t="s">
        <v>716</v>
      </c>
      <c r="F1054" s="10" t="s">
        <v>17</v>
      </c>
      <c r="G1054" s="11">
        <v>0</v>
      </c>
      <c r="H1054" s="11">
        <v>835.82</v>
      </c>
      <c r="I1054" s="11">
        <f t="shared" si="41"/>
        <v>902.66</v>
      </c>
      <c r="J1054" s="12"/>
    </row>
    <row r="1055" spans="1:10" x14ac:dyDescent="0.3">
      <c r="C1055" s="8" t="s">
        <v>11</v>
      </c>
      <c r="D1055" s="9">
        <v>45838</v>
      </c>
      <c r="E1055" t="s">
        <v>1032</v>
      </c>
      <c r="F1055" s="10" t="s">
        <v>1033</v>
      </c>
      <c r="G1055" s="11">
        <v>835.82</v>
      </c>
      <c r="H1055" s="11">
        <v>0</v>
      </c>
      <c r="I1055" s="11">
        <f t="shared" si="41"/>
        <v>1738.48</v>
      </c>
      <c r="J1055" s="12"/>
    </row>
    <row r="1056" spans="1:10" x14ac:dyDescent="0.3">
      <c r="C1056" s="8" t="s">
        <v>11</v>
      </c>
      <c r="D1056" s="9">
        <v>45853</v>
      </c>
      <c r="E1056" t="s">
        <v>716</v>
      </c>
      <c r="F1056" s="10" t="s">
        <v>17</v>
      </c>
      <c r="G1056" s="11">
        <v>0</v>
      </c>
      <c r="H1056" s="11">
        <v>902.66</v>
      </c>
      <c r="I1056" s="11">
        <f t="shared" si="41"/>
        <v>835.82</v>
      </c>
      <c r="J1056" s="12"/>
    </row>
    <row r="1057" spans="1:10" x14ac:dyDescent="0.3">
      <c r="C1057" s="8"/>
      <c r="D1057" s="9">
        <v>45869</v>
      </c>
      <c r="E1057" t="s">
        <v>1034</v>
      </c>
      <c r="F1057" s="10" t="s">
        <v>1035</v>
      </c>
      <c r="G1057" s="11">
        <v>835.82</v>
      </c>
      <c r="H1057" s="11">
        <v>0</v>
      </c>
      <c r="I1057" s="11">
        <f t="shared" si="41"/>
        <v>1671.64</v>
      </c>
      <c r="J1057" s="12"/>
    </row>
    <row r="1058" spans="1:10" x14ac:dyDescent="0.3">
      <c r="C1058" s="8" t="s">
        <v>11</v>
      </c>
      <c r="D1058" s="9">
        <v>45875</v>
      </c>
      <c r="E1058" t="s">
        <v>716</v>
      </c>
      <c r="F1058" s="10" t="s">
        <v>17</v>
      </c>
      <c r="G1058" s="11">
        <v>0</v>
      </c>
      <c r="H1058" s="11">
        <v>835.82</v>
      </c>
      <c r="I1058" s="11">
        <f t="shared" si="41"/>
        <v>835.82</v>
      </c>
      <c r="J1058" s="12"/>
    </row>
    <row r="1059" spans="1:10" x14ac:dyDescent="0.3">
      <c r="E1059" s="4" t="s">
        <v>20</v>
      </c>
      <c r="G1059" s="11">
        <f>SUM(G1047:G1058)</f>
        <v>3943.5000000000005</v>
      </c>
      <c r="H1059" s="11">
        <f>SUM(H1047:H1058)</f>
        <v>3107.6800000000003</v>
      </c>
      <c r="I1059" s="11">
        <f>G1059-H1059</f>
        <v>835.82000000000016</v>
      </c>
    </row>
    <row r="1061" spans="1:10" x14ac:dyDescent="0.3">
      <c r="A1061" s="5">
        <v>4300228</v>
      </c>
      <c r="B1061" s="6" t="s">
        <v>1036</v>
      </c>
      <c r="C1061" s="7"/>
      <c r="D1061" s="7"/>
      <c r="E1061" s="7"/>
      <c r="F1061" s="7"/>
      <c r="G1061" s="7"/>
      <c r="H1061" s="7"/>
      <c r="I1061" s="7"/>
      <c r="J1061" s="7"/>
    </row>
    <row r="1062" spans="1:10" x14ac:dyDescent="0.3">
      <c r="E1062" s="4" t="s">
        <v>22</v>
      </c>
      <c r="G1062" s="11">
        <v>1716.45</v>
      </c>
      <c r="H1062" s="11">
        <v>0</v>
      </c>
      <c r="I1062" s="11">
        <f>G1062-H1062</f>
        <v>1716.45</v>
      </c>
    </row>
    <row r="1063" spans="1:10" x14ac:dyDescent="0.3">
      <c r="E1063" s="4" t="s">
        <v>20</v>
      </c>
      <c r="G1063" s="11">
        <f>G1062</f>
        <v>1716.45</v>
      </c>
      <c r="H1063" s="11">
        <f>H1062</f>
        <v>0</v>
      </c>
      <c r="I1063" s="11">
        <f>G1063-H1063</f>
        <v>1716.45</v>
      </c>
    </row>
    <row r="1065" spans="1:10" x14ac:dyDescent="0.3">
      <c r="A1065" s="5">
        <v>4300234</v>
      </c>
      <c r="B1065" s="6" t="s">
        <v>1037</v>
      </c>
      <c r="C1065" s="7"/>
      <c r="D1065" s="7"/>
      <c r="E1065" s="7"/>
      <c r="F1065" s="7"/>
      <c r="G1065" s="7"/>
      <c r="H1065" s="7"/>
      <c r="I1065" s="7"/>
      <c r="J1065" s="7"/>
    </row>
    <row r="1066" spans="1:10" x14ac:dyDescent="0.3">
      <c r="E1066" s="4" t="s">
        <v>22</v>
      </c>
      <c r="G1066" s="11">
        <v>1524.33</v>
      </c>
      <c r="H1066" s="11">
        <v>0</v>
      </c>
      <c r="I1066" s="11">
        <f>G1066-H1066</f>
        <v>1524.33</v>
      </c>
    </row>
    <row r="1067" spans="1:10" x14ac:dyDescent="0.3">
      <c r="C1067" s="8" t="s">
        <v>11</v>
      </c>
      <c r="D1067" s="9">
        <v>45714</v>
      </c>
      <c r="E1067" t="s">
        <v>684</v>
      </c>
      <c r="F1067" s="10" t="s">
        <v>17</v>
      </c>
      <c r="G1067" s="11">
        <v>0</v>
      </c>
      <c r="H1067" s="11">
        <v>1524.33</v>
      </c>
      <c r="I1067" s="11">
        <f t="shared" ref="I1067:I1074" si="42">G1067-H1067+I1066</f>
        <v>0</v>
      </c>
      <c r="J1067" s="12">
        <v>5720001</v>
      </c>
    </row>
    <row r="1068" spans="1:10" x14ac:dyDescent="0.3">
      <c r="C1068" s="8" t="s">
        <v>11</v>
      </c>
      <c r="D1068" s="9">
        <v>45730</v>
      </c>
      <c r="E1068" t="s">
        <v>1038</v>
      </c>
      <c r="F1068" s="10" t="s">
        <v>1039</v>
      </c>
      <c r="G1068" s="11">
        <v>1230.55</v>
      </c>
      <c r="H1068" s="11">
        <v>0</v>
      </c>
      <c r="I1068" s="11">
        <f t="shared" si="42"/>
        <v>1230.55</v>
      </c>
      <c r="J1068" s="12"/>
    </row>
    <row r="1069" spans="1:10" x14ac:dyDescent="0.3">
      <c r="C1069" s="8" t="s">
        <v>11</v>
      </c>
      <c r="D1069" s="9">
        <v>45747</v>
      </c>
      <c r="E1069" t="s">
        <v>1040</v>
      </c>
      <c r="F1069" s="10" t="s">
        <v>1041</v>
      </c>
      <c r="G1069" s="11">
        <v>581.55999999999995</v>
      </c>
      <c r="H1069" s="11">
        <v>0</v>
      </c>
      <c r="I1069" s="11">
        <f t="shared" si="42"/>
        <v>1812.11</v>
      </c>
      <c r="J1069" s="12"/>
    </row>
    <row r="1070" spans="1:10" x14ac:dyDescent="0.3">
      <c r="C1070" s="8" t="s">
        <v>11</v>
      </c>
      <c r="D1070" s="9">
        <v>45807</v>
      </c>
      <c r="E1070" t="s">
        <v>1042</v>
      </c>
      <c r="F1070" s="10" t="s">
        <v>1043</v>
      </c>
      <c r="G1070" s="11">
        <v>282.66000000000003</v>
      </c>
      <c r="H1070" s="11">
        <v>0</v>
      </c>
      <c r="I1070" s="11">
        <f t="shared" si="42"/>
        <v>2094.77</v>
      </c>
      <c r="J1070" s="12"/>
    </row>
    <row r="1071" spans="1:10" x14ac:dyDescent="0.3">
      <c r="C1071" s="8" t="s">
        <v>11</v>
      </c>
      <c r="D1071" s="9">
        <v>45807</v>
      </c>
      <c r="E1071" t="s">
        <v>1044</v>
      </c>
      <c r="F1071" s="10" t="s">
        <v>1045</v>
      </c>
      <c r="G1071" s="11">
        <v>717.48</v>
      </c>
      <c r="H1071" s="11">
        <v>0</v>
      </c>
      <c r="I1071" s="11">
        <f t="shared" si="42"/>
        <v>2812.25</v>
      </c>
      <c r="J1071" s="12"/>
    </row>
    <row r="1072" spans="1:10" x14ac:dyDescent="0.3">
      <c r="C1072" s="8"/>
      <c r="D1072" s="9">
        <v>45821</v>
      </c>
      <c r="E1072" t="s">
        <v>1046</v>
      </c>
      <c r="F1072" s="10" t="s">
        <v>1047</v>
      </c>
      <c r="G1072" s="11">
        <v>346.79</v>
      </c>
      <c r="H1072" s="11">
        <v>0</v>
      </c>
      <c r="I1072" s="11">
        <f t="shared" si="42"/>
        <v>3159.04</v>
      </c>
      <c r="J1072" s="12"/>
    </row>
    <row r="1073" spans="1:10" x14ac:dyDescent="0.3">
      <c r="C1073" s="8" t="s">
        <v>11</v>
      </c>
      <c r="D1073" s="9">
        <v>45842</v>
      </c>
      <c r="E1073" t="s">
        <v>1048</v>
      </c>
      <c r="F1073" s="10" t="s">
        <v>17</v>
      </c>
      <c r="G1073" s="11">
        <v>0</v>
      </c>
      <c r="H1073" s="11">
        <v>1812.11</v>
      </c>
      <c r="I1073" s="11">
        <f t="shared" si="42"/>
        <v>1346.93</v>
      </c>
      <c r="J1073" s="12">
        <v>5720001</v>
      </c>
    </row>
    <row r="1074" spans="1:10" x14ac:dyDescent="0.3">
      <c r="C1074" s="8" t="s">
        <v>11</v>
      </c>
      <c r="D1074" s="9">
        <v>45917</v>
      </c>
      <c r="E1074" t="s">
        <v>1048</v>
      </c>
      <c r="F1074" s="10" t="s">
        <v>17</v>
      </c>
      <c r="G1074" s="11">
        <v>0</v>
      </c>
      <c r="H1074" s="11">
        <v>1000.14</v>
      </c>
      <c r="I1074" s="11">
        <f t="shared" si="42"/>
        <v>346.79000000000008</v>
      </c>
      <c r="J1074" s="12">
        <v>5720001</v>
      </c>
    </row>
    <row r="1075" spans="1:10" x14ac:dyDescent="0.3">
      <c r="E1075" s="4" t="s">
        <v>20</v>
      </c>
      <c r="G1075" s="11">
        <f>SUM(G1066:G1074)</f>
        <v>4683.37</v>
      </c>
      <c r="H1075" s="11">
        <f>SUM(H1066:H1074)</f>
        <v>4336.58</v>
      </c>
      <c r="I1075" s="11">
        <f>G1075-H1075</f>
        <v>346.78999999999996</v>
      </c>
    </row>
    <row r="1077" spans="1:10" x14ac:dyDescent="0.3">
      <c r="A1077" s="5">
        <v>4300259</v>
      </c>
      <c r="B1077" s="6" t="s">
        <v>461</v>
      </c>
      <c r="C1077" s="7"/>
      <c r="D1077" s="7"/>
      <c r="E1077" s="7"/>
      <c r="F1077" s="7"/>
      <c r="G1077" s="7"/>
      <c r="H1077" s="7"/>
      <c r="I1077" s="7"/>
      <c r="J1077" s="7"/>
    </row>
    <row r="1078" spans="1:10" x14ac:dyDescent="0.3">
      <c r="C1078" s="8" t="s">
        <v>11</v>
      </c>
      <c r="D1078" s="9">
        <v>45747</v>
      </c>
      <c r="E1078" t="s">
        <v>1049</v>
      </c>
      <c r="F1078" s="10" t="s">
        <v>1050</v>
      </c>
      <c r="G1078" s="11">
        <v>381.39</v>
      </c>
      <c r="H1078" s="11">
        <v>0</v>
      </c>
      <c r="I1078" s="11">
        <f>G1078-H1078</f>
        <v>381.39</v>
      </c>
      <c r="J1078" s="12"/>
    </row>
    <row r="1079" spans="1:10" x14ac:dyDescent="0.3">
      <c r="C1079" s="8" t="s">
        <v>11</v>
      </c>
      <c r="D1079" s="9">
        <v>45792</v>
      </c>
      <c r="E1079" t="s">
        <v>1051</v>
      </c>
      <c r="F1079" s="10" t="s">
        <v>1052</v>
      </c>
      <c r="G1079" s="11">
        <v>3233.62</v>
      </c>
      <c r="H1079" s="11">
        <v>0</v>
      </c>
      <c r="I1079" s="11">
        <f t="shared" ref="I1079:I1085" si="43">G1079-H1079+I1078</f>
        <v>3615.0099999999998</v>
      </c>
      <c r="J1079" s="12"/>
    </row>
    <row r="1080" spans="1:10" x14ac:dyDescent="0.3">
      <c r="C1080" s="8" t="s">
        <v>11</v>
      </c>
      <c r="D1080" s="9">
        <v>45803</v>
      </c>
      <c r="E1080" t="s">
        <v>684</v>
      </c>
      <c r="F1080" s="10" t="s">
        <v>17</v>
      </c>
      <c r="G1080" s="11">
        <v>0</v>
      </c>
      <c r="H1080" s="11">
        <v>381.39</v>
      </c>
      <c r="I1080" s="11">
        <f t="shared" si="43"/>
        <v>3233.62</v>
      </c>
      <c r="J1080" s="12">
        <v>5720001</v>
      </c>
    </row>
    <row r="1081" spans="1:10" x14ac:dyDescent="0.3">
      <c r="C1081" s="8" t="s">
        <v>11</v>
      </c>
      <c r="D1081" s="9">
        <v>45838</v>
      </c>
      <c r="E1081" t="s">
        <v>684</v>
      </c>
      <c r="F1081" s="10" t="s">
        <v>17</v>
      </c>
      <c r="G1081" s="11">
        <v>0</v>
      </c>
      <c r="H1081" s="11">
        <v>3233.62</v>
      </c>
      <c r="I1081" s="11">
        <f t="shared" si="43"/>
        <v>0</v>
      </c>
      <c r="J1081" s="12">
        <v>5720001</v>
      </c>
    </row>
    <row r="1082" spans="1:10" x14ac:dyDescent="0.3">
      <c r="C1082" s="8" t="s">
        <v>11</v>
      </c>
      <c r="D1082" s="9">
        <v>45853</v>
      </c>
      <c r="E1082" t="s">
        <v>1053</v>
      </c>
      <c r="F1082" s="10" t="s">
        <v>1054</v>
      </c>
      <c r="G1082" s="11">
        <v>1604.36</v>
      </c>
      <c r="H1082" s="11">
        <v>0</v>
      </c>
      <c r="I1082" s="11">
        <f t="shared" si="43"/>
        <v>1604.36</v>
      </c>
      <c r="J1082" s="12"/>
    </row>
    <row r="1083" spans="1:10" x14ac:dyDescent="0.3">
      <c r="C1083" s="8"/>
      <c r="D1083" s="9">
        <v>45869</v>
      </c>
      <c r="E1083" t="s">
        <v>1055</v>
      </c>
      <c r="F1083" s="10" t="s">
        <v>1056</v>
      </c>
      <c r="G1083" s="11">
        <v>1223.31</v>
      </c>
      <c r="H1083" s="11">
        <v>0</v>
      </c>
      <c r="I1083" s="11">
        <f t="shared" si="43"/>
        <v>2827.67</v>
      </c>
      <c r="J1083" s="12"/>
    </row>
    <row r="1084" spans="1:10" x14ac:dyDescent="0.3">
      <c r="C1084" s="8" t="s">
        <v>11</v>
      </c>
      <c r="D1084" s="9">
        <v>45877</v>
      </c>
      <c r="E1084" t="s">
        <v>684</v>
      </c>
      <c r="F1084" s="10" t="s">
        <v>17</v>
      </c>
      <c r="G1084" s="11">
        <v>0</v>
      </c>
      <c r="H1084" s="11">
        <v>1604.36</v>
      </c>
      <c r="I1084" s="11">
        <f t="shared" si="43"/>
        <v>1223.3100000000002</v>
      </c>
      <c r="J1084" s="12">
        <v>5720001</v>
      </c>
    </row>
    <row r="1085" spans="1:10" x14ac:dyDescent="0.3">
      <c r="C1085" s="8"/>
      <c r="D1085" s="9">
        <v>45915</v>
      </c>
      <c r="E1085" t="s">
        <v>1057</v>
      </c>
      <c r="F1085" s="10" t="s">
        <v>1058</v>
      </c>
      <c r="G1085" s="11">
        <v>5520.99</v>
      </c>
      <c r="H1085" s="11">
        <v>0</v>
      </c>
      <c r="I1085" s="11">
        <f t="shared" si="43"/>
        <v>6744.3</v>
      </c>
      <c r="J1085" s="12"/>
    </row>
    <row r="1086" spans="1:10" x14ac:dyDescent="0.3">
      <c r="E1086" s="4" t="s">
        <v>20</v>
      </c>
      <c r="G1086" s="11">
        <f>SUM(G1078:G1085)</f>
        <v>11963.67</v>
      </c>
      <c r="H1086" s="11">
        <f>SUM(H1078:H1085)</f>
        <v>5219.37</v>
      </c>
      <c r="I1086" s="11">
        <f>G1086-H1086</f>
        <v>6744.3</v>
      </c>
    </row>
    <row r="1088" spans="1:10" x14ac:dyDescent="0.3">
      <c r="A1088" s="5">
        <v>4300264</v>
      </c>
      <c r="B1088" s="6" t="s">
        <v>1059</v>
      </c>
      <c r="C1088" s="7"/>
      <c r="D1088" s="7"/>
      <c r="E1088" s="7"/>
      <c r="F1088" s="7"/>
      <c r="G1088" s="7"/>
      <c r="H1088" s="7"/>
      <c r="I1088" s="7"/>
      <c r="J1088" s="7"/>
    </row>
    <row r="1089" spans="1:10" x14ac:dyDescent="0.3">
      <c r="C1089" s="8"/>
      <c r="D1089" s="9">
        <v>45869</v>
      </c>
      <c r="E1089" t="s">
        <v>1060</v>
      </c>
      <c r="F1089" s="10" t="s">
        <v>1061</v>
      </c>
      <c r="G1089" s="11">
        <v>823.09</v>
      </c>
      <c r="H1089" s="11">
        <v>0</v>
      </c>
      <c r="I1089" s="11">
        <f>G1089-H1089</f>
        <v>823.09</v>
      </c>
      <c r="J1089" s="12"/>
    </row>
    <row r="1090" spans="1:10" x14ac:dyDescent="0.3">
      <c r="E1090" s="4" t="s">
        <v>20</v>
      </c>
      <c r="G1090" s="11">
        <f>G1089</f>
        <v>823.09</v>
      </c>
      <c r="H1090" s="11">
        <f>H1089</f>
        <v>0</v>
      </c>
      <c r="I1090" s="11">
        <f>G1090-H1090</f>
        <v>823.09</v>
      </c>
    </row>
    <row r="1092" spans="1:10" x14ac:dyDescent="0.3">
      <c r="A1092" s="5">
        <v>4300268</v>
      </c>
      <c r="B1092" s="6" t="s">
        <v>1062</v>
      </c>
      <c r="C1092" s="7"/>
      <c r="D1092" s="7"/>
      <c r="E1092" s="7"/>
      <c r="F1092" s="7"/>
      <c r="G1092" s="7"/>
      <c r="H1092" s="7"/>
      <c r="I1092" s="7"/>
      <c r="J1092" s="7"/>
    </row>
    <row r="1093" spans="1:10" x14ac:dyDescent="0.3">
      <c r="C1093" s="8"/>
      <c r="D1093" s="9">
        <v>45915</v>
      </c>
      <c r="E1093" t="s">
        <v>1063</v>
      </c>
      <c r="F1093" s="10" t="s">
        <v>1064</v>
      </c>
      <c r="G1093" s="11">
        <v>273.7</v>
      </c>
      <c r="H1093" s="11">
        <v>0</v>
      </c>
      <c r="I1093" s="11">
        <f>G1093-H1093</f>
        <v>273.7</v>
      </c>
      <c r="J1093" s="12"/>
    </row>
    <row r="1094" spans="1:10" x14ac:dyDescent="0.3">
      <c r="E1094" s="4" t="s">
        <v>20</v>
      </c>
      <c r="G1094" s="11">
        <f>G1093</f>
        <v>273.7</v>
      </c>
      <c r="H1094" s="11">
        <f>H1093</f>
        <v>0</v>
      </c>
      <c r="I1094" s="11">
        <f>G1094-H1094</f>
        <v>273.7</v>
      </c>
    </row>
    <row r="1096" spans="1:10" x14ac:dyDescent="0.3">
      <c r="A1096" s="5">
        <v>4300276</v>
      </c>
      <c r="B1096" s="6" t="s">
        <v>1065</v>
      </c>
      <c r="C1096" s="7"/>
      <c r="D1096" s="7"/>
      <c r="E1096" s="7"/>
      <c r="F1096" s="7"/>
      <c r="G1096" s="7"/>
      <c r="H1096" s="7"/>
      <c r="I1096" s="7"/>
      <c r="J1096" s="7"/>
    </row>
    <row r="1097" spans="1:10" x14ac:dyDescent="0.3">
      <c r="E1097" s="4" t="s">
        <v>22</v>
      </c>
      <c r="G1097" s="11">
        <v>969.57</v>
      </c>
      <c r="H1097" s="11">
        <v>0</v>
      </c>
      <c r="I1097" s="11">
        <f>G1097-H1097</f>
        <v>969.57</v>
      </c>
    </row>
    <row r="1098" spans="1:10" x14ac:dyDescent="0.3">
      <c r="C1098" s="8" t="s">
        <v>11</v>
      </c>
      <c r="D1098" s="9">
        <v>45674</v>
      </c>
      <c r="E1098" t="s">
        <v>716</v>
      </c>
      <c r="F1098" s="10" t="s">
        <v>17</v>
      </c>
      <c r="G1098" s="11">
        <v>0</v>
      </c>
      <c r="H1098" s="11">
        <v>969.57</v>
      </c>
      <c r="I1098" s="11">
        <f t="shared" ref="I1098:I1103" si="44">G1098-H1098+I1097</f>
        <v>0</v>
      </c>
      <c r="J1098" s="12"/>
    </row>
    <row r="1099" spans="1:10" x14ac:dyDescent="0.3">
      <c r="C1099" s="8" t="s">
        <v>11</v>
      </c>
      <c r="D1099" s="9">
        <v>45730</v>
      </c>
      <c r="E1099" t="s">
        <v>1066</v>
      </c>
      <c r="F1099" s="10" t="s">
        <v>1067</v>
      </c>
      <c r="G1099" s="11">
        <v>215.14</v>
      </c>
      <c r="H1099" s="11">
        <v>0</v>
      </c>
      <c r="I1099" s="11">
        <f t="shared" si="44"/>
        <v>215.14</v>
      </c>
      <c r="J1099" s="12"/>
    </row>
    <row r="1100" spans="1:10" x14ac:dyDescent="0.3">
      <c r="C1100" s="8" t="s">
        <v>11</v>
      </c>
      <c r="D1100" s="9">
        <v>45792</v>
      </c>
      <c r="E1100" t="s">
        <v>716</v>
      </c>
      <c r="F1100" s="10" t="s">
        <v>17</v>
      </c>
      <c r="G1100" s="11">
        <v>0</v>
      </c>
      <c r="H1100" s="11">
        <v>215.14</v>
      </c>
      <c r="I1100" s="11">
        <f t="shared" si="44"/>
        <v>0</v>
      </c>
      <c r="J1100" s="12"/>
    </row>
    <row r="1101" spans="1:10" x14ac:dyDescent="0.3">
      <c r="C1101" s="8" t="s">
        <v>11</v>
      </c>
      <c r="D1101" s="9">
        <v>45807</v>
      </c>
      <c r="E1101" t="s">
        <v>1068</v>
      </c>
      <c r="F1101" s="10" t="s">
        <v>1069</v>
      </c>
      <c r="G1101" s="11">
        <v>1552.7</v>
      </c>
      <c r="H1101" s="11">
        <v>0</v>
      </c>
      <c r="I1101" s="11">
        <f t="shared" si="44"/>
        <v>1552.7</v>
      </c>
      <c r="J1101" s="12"/>
    </row>
    <row r="1102" spans="1:10" x14ac:dyDescent="0.3">
      <c r="C1102" s="8"/>
      <c r="D1102" s="9">
        <v>45869</v>
      </c>
      <c r="E1102" t="s">
        <v>1070</v>
      </c>
      <c r="F1102" s="10" t="s">
        <v>1071</v>
      </c>
      <c r="G1102" s="11">
        <v>487.34</v>
      </c>
      <c r="H1102" s="11">
        <v>0</v>
      </c>
      <c r="I1102" s="11">
        <f t="shared" si="44"/>
        <v>2040.04</v>
      </c>
      <c r="J1102" s="12"/>
    </row>
    <row r="1103" spans="1:10" x14ac:dyDescent="0.3">
      <c r="C1103" s="8" t="s">
        <v>11</v>
      </c>
      <c r="D1103" s="9">
        <v>45875</v>
      </c>
      <c r="E1103" t="s">
        <v>716</v>
      </c>
      <c r="F1103" s="10" t="s">
        <v>17</v>
      </c>
      <c r="G1103" s="11">
        <v>0</v>
      </c>
      <c r="H1103" s="11">
        <v>1552.7</v>
      </c>
      <c r="I1103" s="11">
        <f t="shared" si="44"/>
        <v>487.33999999999992</v>
      </c>
      <c r="J1103" s="12"/>
    </row>
    <row r="1104" spans="1:10" x14ac:dyDescent="0.3">
      <c r="E1104" s="4" t="s">
        <v>20</v>
      </c>
      <c r="G1104" s="11">
        <f>SUM(G1097:G1103)</f>
        <v>3224.75</v>
      </c>
      <c r="H1104" s="11">
        <f>SUM(H1097:H1103)</f>
        <v>2737.41</v>
      </c>
      <c r="I1104" s="11">
        <f>G1104-H1104</f>
        <v>487.34000000000015</v>
      </c>
    </row>
    <row r="1106" spans="1:10" x14ac:dyDescent="0.3">
      <c r="A1106" s="5">
        <v>4300278</v>
      </c>
      <c r="B1106" s="6" t="s">
        <v>1072</v>
      </c>
      <c r="C1106" s="7"/>
      <c r="D1106" s="7"/>
      <c r="E1106" s="7"/>
      <c r="F1106" s="7"/>
      <c r="G1106" s="7"/>
      <c r="H1106" s="7"/>
      <c r="I1106" s="7"/>
      <c r="J1106" s="7"/>
    </row>
    <row r="1107" spans="1:10" x14ac:dyDescent="0.3">
      <c r="E1107" s="4" t="s">
        <v>22</v>
      </c>
      <c r="G1107" s="11">
        <v>6621.94</v>
      </c>
      <c r="H1107" s="11">
        <v>0</v>
      </c>
      <c r="I1107" s="11">
        <f>G1107-H1107</f>
        <v>6621.94</v>
      </c>
    </row>
    <row r="1108" spans="1:10" x14ac:dyDescent="0.3">
      <c r="C1108" s="8" t="s">
        <v>11</v>
      </c>
      <c r="D1108" s="9">
        <v>45685</v>
      </c>
      <c r="E1108" t="s">
        <v>1073</v>
      </c>
      <c r="F1108" s="10" t="s">
        <v>17</v>
      </c>
      <c r="G1108" s="11">
        <v>0</v>
      </c>
      <c r="H1108" s="11">
        <v>6068.91</v>
      </c>
      <c r="I1108" s="11">
        <f t="shared" ref="I1108:I1132" si="45">G1108-H1108+I1107</f>
        <v>553.02999999999975</v>
      </c>
      <c r="J1108" s="12">
        <v>5720001</v>
      </c>
    </row>
    <row r="1109" spans="1:10" x14ac:dyDescent="0.3">
      <c r="C1109" s="8" t="s">
        <v>11</v>
      </c>
      <c r="D1109" s="9">
        <v>45716</v>
      </c>
      <c r="E1109" t="s">
        <v>1074</v>
      </c>
      <c r="F1109" s="10" t="s">
        <v>1075</v>
      </c>
      <c r="G1109" s="11">
        <v>58.99</v>
      </c>
      <c r="H1109" s="11">
        <v>0</v>
      </c>
      <c r="I1109" s="11">
        <f t="shared" si="45"/>
        <v>612.01999999999975</v>
      </c>
      <c r="J1109" s="12"/>
    </row>
    <row r="1110" spans="1:10" x14ac:dyDescent="0.3">
      <c r="C1110" s="8" t="s">
        <v>11</v>
      </c>
      <c r="D1110" s="9">
        <v>45716</v>
      </c>
      <c r="E1110" t="s">
        <v>684</v>
      </c>
      <c r="F1110" s="10" t="s">
        <v>17</v>
      </c>
      <c r="G1110" s="11">
        <v>0</v>
      </c>
      <c r="H1110" s="11">
        <v>553.03</v>
      </c>
      <c r="I1110" s="11">
        <f t="shared" si="45"/>
        <v>58.989999999999782</v>
      </c>
      <c r="J1110" s="12">
        <v>5720001</v>
      </c>
    </row>
    <row r="1111" spans="1:10" x14ac:dyDescent="0.3">
      <c r="C1111" s="8" t="s">
        <v>11</v>
      </c>
      <c r="D1111" s="9">
        <v>45747</v>
      </c>
      <c r="E1111" t="s">
        <v>1076</v>
      </c>
      <c r="F1111" s="10" t="s">
        <v>1077</v>
      </c>
      <c r="G1111" s="11">
        <v>3572.16</v>
      </c>
      <c r="H1111" s="11">
        <v>0</v>
      </c>
      <c r="I1111" s="11">
        <f t="shared" si="45"/>
        <v>3631.1499999999996</v>
      </c>
      <c r="J1111" s="12"/>
    </row>
    <row r="1112" spans="1:10" x14ac:dyDescent="0.3">
      <c r="C1112" s="8" t="s">
        <v>11</v>
      </c>
      <c r="D1112" s="9">
        <v>45761</v>
      </c>
      <c r="E1112" t="s">
        <v>1078</v>
      </c>
      <c r="F1112" s="10" t="s">
        <v>1079</v>
      </c>
      <c r="G1112" s="11">
        <v>108.05</v>
      </c>
      <c r="H1112" s="11">
        <v>0</v>
      </c>
      <c r="I1112" s="11">
        <f t="shared" si="45"/>
        <v>3739.2</v>
      </c>
      <c r="J1112" s="12"/>
    </row>
    <row r="1113" spans="1:10" x14ac:dyDescent="0.3">
      <c r="C1113" s="8" t="s">
        <v>11</v>
      </c>
      <c r="D1113" s="9">
        <v>45761</v>
      </c>
      <c r="E1113" t="s">
        <v>1080</v>
      </c>
      <c r="F1113" s="10" t="s">
        <v>1081</v>
      </c>
      <c r="G1113" s="11">
        <v>1069.81</v>
      </c>
      <c r="H1113" s="11">
        <v>0</v>
      </c>
      <c r="I1113" s="11">
        <f t="shared" si="45"/>
        <v>4809.01</v>
      </c>
      <c r="J1113" s="12"/>
    </row>
    <row r="1114" spans="1:10" x14ac:dyDescent="0.3">
      <c r="C1114" s="8" t="s">
        <v>11</v>
      </c>
      <c r="D1114" s="9">
        <v>45761</v>
      </c>
      <c r="E1114" t="s">
        <v>1082</v>
      </c>
      <c r="F1114" s="10" t="s">
        <v>1083</v>
      </c>
      <c r="G1114" s="11">
        <v>165.04</v>
      </c>
      <c r="H1114" s="11">
        <v>0</v>
      </c>
      <c r="I1114" s="11">
        <f t="shared" si="45"/>
        <v>4974.05</v>
      </c>
      <c r="J1114" s="12"/>
    </row>
    <row r="1115" spans="1:10" x14ac:dyDescent="0.3">
      <c r="C1115" s="8" t="s">
        <v>11</v>
      </c>
      <c r="D1115" s="9">
        <v>45777</v>
      </c>
      <c r="E1115" t="s">
        <v>684</v>
      </c>
      <c r="F1115" s="10" t="s">
        <v>17</v>
      </c>
      <c r="G1115" s="11">
        <v>0</v>
      </c>
      <c r="H1115" s="11">
        <v>58.99</v>
      </c>
      <c r="I1115" s="11">
        <f t="shared" si="45"/>
        <v>4915.0600000000004</v>
      </c>
      <c r="J1115" s="12">
        <v>5720001</v>
      </c>
    </row>
    <row r="1116" spans="1:10" x14ac:dyDescent="0.3">
      <c r="C1116" s="8" t="s">
        <v>11</v>
      </c>
      <c r="D1116" s="9">
        <v>45782</v>
      </c>
      <c r="E1116" t="s">
        <v>1084</v>
      </c>
      <c r="F1116" s="10" t="s">
        <v>1085</v>
      </c>
      <c r="G1116" s="11">
        <v>1112.1600000000001</v>
      </c>
      <c r="H1116" s="11">
        <v>0</v>
      </c>
      <c r="I1116" s="11">
        <f t="shared" si="45"/>
        <v>6027.22</v>
      </c>
      <c r="J1116" s="12"/>
    </row>
    <row r="1117" spans="1:10" x14ac:dyDescent="0.3">
      <c r="C1117" s="8" t="s">
        <v>11</v>
      </c>
      <c r="D1117" s="9">
        <v>45807</v>
      </c>
      <c r="E1117" t="s">
        <v>1086</v>
      </c>
      <c r="F1117" s="10" t="s">
        <v>1087</v>
      </c>
      <c r="G1117" s="11">
        <v>203.16</v>
      </c>
      <c r="H1117" s="11">
        <v>0</v>
      </c>
      <c r="I1117" s="11">
        <f t="shared" si="45"/>
        <v>6230.38</v>
      </c>
      <c r="J1117" s="12"/>
    </row>
    <row r="1118" spans="1:10" x14ac:dyDescent="0.3">
      <c r="C1118" s="8" t="s">
        <v>11</v>
      </c>
      <c r="D1118" s="9">
        <v>45807</v>
      </c>
      <c r="E1118" t="s">
        <v>1088</v>
      </c>
      <c r="F1118" s="10" t="s">
        <v>1089</v>
      </c>
      <c r="G1118" s="11">
        <v>115.8</v>
      </c>
      <c r="H1118" s="11">
        <v>0</v>
      </c>
      <c r="I1118" s="11">
        <f t="shared" si="45"/>
        <v>6346.18</v>
      </c>
      <c r="J1118" s="12"/>
    </row>
    <row r="1119" spans="1:10" x14ac:dyDescent="0.3">
      <c r="C1119" s="8" t="s">
        <v>11</v>
      </c>
      <c r="D1119" s="9">
        <v>45807</v>
      </c>
      <c r="E1119" t="s">
        <v>684</v>
      </c>
      <c r="F1119" s="10" t="s">
        <v>17</v>
      </c>
      <c r="G1119" s="11">
        <v>0</v>
      </c>
      <c r="H1119" s="11">
        <v>3572.16</v>
      </c>
      <c r="I1119" s="11">
        <f t="shared" si="45"/>
        <v>2774.0200000000004</v>
      </c>
      <c r="J1119" s="12">
        <v>5720001</v>
      </c>
    </row>
    <row r="1120" spans="1:10" x14ac:dyDescent="0.3">
      <c r="C1120" s="8" t="s">
        <v>11</v>
      </c>
      <c r="D1120" s="9">
        <v>45821</v>
      </c>
      <c r="E1120" t="s">
        <v>1090</v>
      </c>
      <c r="F1120" s="10" t="s">
        <v>1091</v>
      </c>
      <c r="G1120" s="11">
        <v>93.75</v>
      </c>
      <c r="H1120" s="11">
        <v>0</v>
      </c>
      <c r="I1120" s="11">
        <f t="shared" si="45"/>
        <v>2867.7700000000004</v>
      </c>
      <c r="J1120" s="12"/>
    </row>
    <row r="1121" spans="1:10" x14ac:dyDescent="0.3">
      <c r="C1121" s="8" t="s">
        <v>11</v>
      </c>
      <c r="D1121" s="9">
        <v>45821</v>
      </c>
      <c r="E1121" t="s">
        <v>1092</v>
      </c>
      <c r="F1121" s="10" t="s">
        <v>1093</v>
      </c>
      <c r="G1121" s="11">
        <v>629.22</v>
      </c>
      <c r="H1121" s="11">
        <v>0</v>
      </c>
      <c r="I1121" s="11">
        <f t="shared" si="45"/>
        <v>3496.9900000000007</v>
      </c>
      <c r="J1121" s="12"/>
    </row>
    <row r="1122" spans="1:10" x14ac:dyDescent="0.3">
      <c r="C1122" s="8" t="s">
        <v>11</v>
      </c>
      <c r="D1122" s="9">
        <v>45821</v>
      </c>
      <c r="E1122" t="s">
        <v>1073</v>
      </c>
      <c r="F1122" s="10" t="s">
        <v>17</v>
      </c>
      <c r="G1122" s="11">
        <v>0</v>
      </c>
      <c r="H1122" s="11">
        <v>1342.9</v>
      </c>
      <c r="I1122" s="11">
        <f t="shared" si="45"/>
        <v>2154.0900000000006</v>
      </c>
      <c r="J1122" s="12">
        <v>5720001</v>
      </c>
    </row>
    <row r="1123" spans="1:10" x14ac:dyDescent="0.3">
      <c r="C1123" s="8" t="s">
        <v>11</v>
      </c>
      <c r="D1123" s="9">
        <v>45838</v>
      </c>
      <c r="E1123" t="s">
        <v>1094</v>
      </c>
      <c r="F1123" s="10" t="s">
        <v>1095</v>
      </c>
      <c r="G1123" s="11">
        <v>1743.48</v>
      </c>
      <c r="H1123" s="11">
        <v>0</v>
      </c>
      <c r="I1123" s="11">
        <f t="shared" si="45"/>
        <v>3897.5700000000006</v>
      </c>
      <c r="J1123" s="12"/>
    </row>
    <row r="1124" spans="1:10" x14ac:dyDescent="0.3">
      <c r="C1124" s="8" t="s">
        <v>11</v>
      </c>
      <c r="D1124" s="9">
        <v>45842</v>
      </c>
      <c r="E1124" t="s">
        <v>684</v>
      </c>
      <c r="F1124" s="10" t="s">
        <v>17</v>
      </c>
      <c r="G1124" s="11">
        <v>0</v>
      </c>
      <c r="H1124" s="11">
        <v>1112.1600000000001</v>
      </c>
      <c r="I1124" s="11">
        <f t="shared" si="45"/>
        <v>2785.4100000000008</v>
      </c>
      <c r="J1124" s="12">
        <v>5720001</v>
      </c>
    </row>
    <row r="1125" spans="1:10" x14ac:dyDescent="0.3">
      <c r="C1125" s="8" t="s">
        <v>11</v>
      </c>
      <c r="D1125" s="9">
        <v>45853</v>
      </c>
      <c r="E1125" t="s">
        <v>1096</v>
      </c>
      <c r="F1125" s="10" t="s">
        <v>1097</v>
      </c>
      <c r="G1125" s="11">
        <v>60.86</v>
      </c>
      <c r="H1125" s="11">
        <v>0</v>
      </c>
      <c r="I1125" s="11">
        <f t="shared" si="45"/>
        <v>2846.2700000000009</v>
      </c>
      <c r="J1125" s="12"/>
    </row>
    <row r="1126" spans="1:10" x14ac:dyDescent="0.3">
      <c r="C1126" s="8" t="s">
        <v>11</v>
      </c>
      <c r="D1126" s="9">
        <v>45853</v>
      </c>
      <c r="E1126" t="s">
        <v>1098</v>
      </c>
      <c r="F1126" s="10" t="s">
        <v>1099</v>
      </c>
      <c r="G1126" s="11">
        <v>88.77</v>
      </c>
      <c r="H1126" s="11">
        <v>0</v>
      </c>
      <c r="I1126" s="11">
        <f t="shared" si="45"/>
        <v>2935.0400000000009</v>
      </c>
      <c r="J1126" s="12"/>
    </row>
    <row r="1127" spans="1:10" x14ac:dyDescent="0.3">
      <c r="C1127" s="8" t="s">
        <v>11</v>
      </c>
      <c r="D1127" s="9">
        <v>45853</v>
      </c>
      <c r="E1127" t="s">
        <v>1100</v>
      </c>
      <c r="F1127" s="10" t="s">
        <v>1101</v>
      </c>
      <c r="G1127" s="11">
        <v>735.73</v>
      </c>
      <c r="H1127" s="11">
        <v>0</v>
      </c>
      <c r="I1127" s="11">
        <f t="shared" si="45"/>
        <v>3670.7700000000009</v>
      </c>
      <c r="J1127" s="12"/>
    </row>
    <row r="1128" spans="1:10" x14ac:dyDescent="0.3">
      <c r="C1128" s="8" t="s">
        <v>11</v>
      </c>
      <c r="D1128" s="9">
        <v>45866</v>
      </c>
      <c r="E1128" t="s">
        <v>1073</v>
      </c>
      <c r="F1128" s="10" t="s">
        <v>17</v>
      </c>
      <c r="G1128" s="11">
        <v>0</v>
      </c>
      <c r="H1128" s="11">
        <v>318.95999999999998</v>
      </c>
      <c r="I1128" s="11">
        <f t="shared" si="45"/>
        <v>3351.8100000000009</v>
      </c>
      <c r="J1128" s="12">
        <v>5720001</v>
      </c>
    </row>
    <row r="1129" spans="1:10" x14ac:dyDescent="0.3">
      <c r="C1129" s="8"/>
      <c r="D1129" s="9">
        <v>45869</v>
      </c>
      <c r="E1129" t="s">
        <v>1102</v>
      </c>
      <c r="F1129" s="10" t="s">
        <v>1103</v>
      </c>
      <c r="G1129" s="11">
        <v>119.79</v>
      </c>
      <c r="H1129" s="11">
        <v>0</v>
      </c>
      <c r="I1129" s="11">
        <f t="shared" si="45"/>
        <v>3471.6000000000008</v>
      </c>
      <c r="J1129" s="12"/>
    </row>
    <row r="1130" spans="1:10" x14ac:dyDescent="0.3">
      <c r="C1130" s="8" t="s">
        <v>11</v>
      </c>
      <c r="D1130" s="9">
        <v>45881</v>
      </c>
      <c r="E1130" t="s">
        <v>1073</v>
      </c>
      <c r="F1130" s="10" t="s">
        <v>17</v>
      </c>
      <c r="G1130" s="11">
        <v>0</v>
      </c>
      <c r="H1130" s="11">
        <v>722.97</v>
      </c>
      <c r="I1130" s="11">
        <f t="shared" si="45"/>
        <v>2748.630000000001</v>
      </c>
      <c r="J1130" s="12">
        <v>5720001</v>
      </c>
    </row>
    <row r="1131" spans="1:10" x14ac:dyDescent="0.3">
      <c r="C1131" s="8" t="s">
        <v>11</v>
      </c>
      <c r="D1131" s="9">
        <v>45898</v>
      </c>
      <c r="E1131" t="s">
        <v>684</v>
      </c>
      <c r="F1131" s="10" t="s">
        <v>17</v>
      </c>
      <c r="G1131" s="11">
        <v>0</v>
      </c>
      <c r="H1131" s="11">
        <v>1743.48</v>
      </c>
      <c r="I1131" s="11">
        <f t="shared" si="45"/>
        <v>1005.150000000001</v>
      </c>
      <c r="J1131" s="12">
        <v>5720001</v>
      </c>
    </row>
    <row r="1132" spans="1:10" x14ac:dyDescent="0.3">
      <c r="C1132" s="8" t="s">
        <v>11</v>
      </c>
      <c r="D1132" s="9">
        <v>45912</v>
      </c>
      <c r="E1132" t="s">
        <v>1073</v>
      </c>
      <c r="F1132" s="10" t="s">
        <v>17</v>
      </c>
      <c r="G1132" s="11">
        <v>0</v>
      </c>
      <c r="H1132" s="11">
        <v>885.36</v>
      </c>
      <c r="I1132" s="11">
        <f t="shared" si="45"/>
        <v>119.79000000000099</v>
      </c>
      <c r="J1132" s="12">
        <v>5720001</v>
      </c>
    </row>
    <row r="1133" spans="1:10" x14ac:dyDescent="0.3">
      <c r="E1133" s="4" t="s">
        <v>20</v>
      </c>
      <c r="G1133" s="11">
        <f>SUM(G1107:G1132)</f>
        <v>16498.71</v>
      </c>
      <c r="H1133" s="11">
        <f>SUM(H1107:H1132)</f>
        <v>16378.919999999998</v>
      </c>
      <c r="I1133" s="11">
        <f>G1133-H1133</f>
        <v>119.79000000000087</v>
      </c>
    </row>
    <row r="1135" spans="1:10" x14ac:dyDescent="0.3">
      <c r="A1135" s="5">
        <v>4300287</v>
      </c>
      <c r="B1135" s="6" t="s">
        <v>1104</v>
      </c>
      <c r="C1135" s="7"/>
      <c r="D1135" s="7"/>
      <c r="E1135" s="7"/>
      <c r="F1135" s="7"/>
      <c r="G1135" s="7"/>
      <c r="H1135" s="7"/>
      <c r="I1135" s="7"/>
      <c r="J1135" s="7"/>
    </row>
    <row r="1136" spans="1:10" x14ac:dyDescent="0.3">
      <c r="C1136" s="8"/>
      <c r="D1136" s="9">
        <v>45838</v>
      </c>
      <c r="E1136" t="s">
        <v>1105</v>
      </c>
      <c r="F1136" s="10" t="s">
        <v>1106</v>
      </c>
      <c r="G1136" s="11">
        <v>989.15</v>
      </c>
      <c r="H1136" s="11">
        <v>0</v>
      </c>
      <c r="I1136" s="11">
        <f>G1136-H1136</f>
        <v>989.15</v>
      </c>
      <c r="J1136" s="12"/>
    </row>
    <row r="1137" spans="1:10" x14ac:dyDescent="0.3">
      <c r="E1137" s="4" t="s">
        <v>20</v>
      </c>
      <c r="G1137" s="11">
        <f>G1136</f>
        <v>989.15</v>
      </c>
      <c r="H1137" s="11">
        <f>H1136</f>
        <v>0</v>
      </c>
      <c r="I1137" s="11">
        <f>G1137-H1137</f>
        <v>989.15</v>
      </c>
    </row>
    <row r="1139" spans="1:10" x14ac:dyDescent="0.3">
      <c r="A1139" s="5">
        <v>4300289</v>
      </c>
      <c r="B1139" s="6" t="s">
        <v>1107</v>
      </c>
      <c r="C1139" s="7"/>
      <c r="D1139" s="7"/>
      <c r="E1139" s="7"/>
      <c r="F1139" s="7"/>
      <c r="G1139" s="7"/>
      <c r="H1139" s="7"/>
      <c r="I1139" s="7"/>
      <c r="J1139" s="7"/>
    </row>
    <row r="1140" spans="1:10" x14ac:dyDescent="0.3">
      <c r="E1140" s="4" t="s">
        <v>22</v>
      </c>
      <c r="G1140" s="11">
        <v>3906.01</v>
      </c>
      <c r="H1140" s="11">
        <v>0</v>
      </c>
      <c r="I1140" s="11">
        <f>G1140-H1140</f>
        <v>3906.01</v>
      </c>
    </row>
    <row r="1141" spans="1:10" x14ac:dyDescent="0.3">
      <c r="C1141" s="8" t="s">
        <v>11</v>
      </c>
      <c r="D1141" s="9">
        <v>45660</v>
      </c>
      <c r="E1141" t="s">
        <v>684</v>
      </c>
      <c r="F1141" s="10" t="s">
        <v>17</v>
      </c>
      <c r="G1141" s="11">
        <v>0</v>
      </c>
      <c r="H1141" s="11">
        <v>2588.92</v>
      </c>
      <c r="I1141" s="11">
        <f t="shared" ref="I1141:I1152" si="46">G1141-H1141+I1140</f>
        <v>1317.0900000000001</v>
      </c>
      <c r="J1141" s="12">
        <v>5720001</v>
      </c>
    </row>
    <row r="1142" spans="1:10" x14ac:dyDescent="0.3">
      <c r="C1142" s="8" t="s">
        <v>11</v>
      </c>
      <c r="D1142" s="9">
        <v>45660</v>
      </c>
      <c r="E1142" t="s">
        <v>684</v>
      </c>
      <c r="F1142" s="10" t="s">
        <v>17</v>
      </c>
      <c r="G1142" s="11">
        <v>0</v>
      </c>
      <c r="H1142" s="11">
        <v>450.12</v>
      </c>
      <c r="I1142" s="11">
        <f t="shared" si="46"/>
        <v>866.97000000000014</v>
      </c>
      <c r="J1142" s="12">
        <v>5720001</v>
      </c>
    </row>
    <row r="1143" spans="1:10" x14ac:dyDescent="0.3">
      <c r="C1143" s="8" t="s">
        <v>11</v>
      </c>
      <c r="D1143" s="9">
        <v>45672</v>
      </c>
      <c r="E1143" t="s">
        <v>1108</v>
      </c>
      <c r="F1143" s="10" t="s">
        <v>1109</v>
      </c>
      <c r="G1143" s="11">
        <v>3758.5</v>
      </c>
      <c r="H1143" s="11">
        <v>0</v>
      </c>
      <c r="I1143" s="11">
        <f t="shared" si="46"/>
        <v>4625.47</v>
      </c>
      <c r="J1143" s="12"/>
    </row>
    <row r="1144" spans="1:10" x14ac:dyDescent="0.3">
      <c r="C1144" s="8" t="s">
        <v>11</v>
      </c>
      <c r="D1144" s="9">
        <v>45688</v>
      </c>
      <c r="E1144" t="s">
        <v>684</v>
      </c>
      <c r="F1144" s="10" t="s">
        <v>17</v>
      </c>
      <c r="G1144" s="11">
        <v>0</v>
      </c>
      <c r="H1144" s="11">
        <v>866.97</v>
      </c>
      <c r="I1144" s="11">
        <f t="shared" si="46"/>
        <v>3758.5</v>
      </c>
      <c r="J1144" s="12">
        <v>5720001</v>
      </c>
    </row>
    <row r="1145" spans="1:10" x14ac:dyDescent="0.3">
      <c r="C1145" s="8" t="s">
        <v>11</v>
      </c>
      <c r="D1145" s="9">
        <v>45702</v>
      </c>
      <c r="E1145" t="s">
        <v>1110</v>
      </c>
      <c r="F1145" s="10" t="s">
        <v>1111</v>
      </c>
      <c r="G1145" s="11">
        <v>855.97</v>
      </c>
      <c r="H1145" s="11">
        <v>0</v>
      </c>
      <c r="I1145" s="11">
        <f t="shared" si="46"/>
        <v>4614.47</v>
      </c>
      <c r="J1145" s="12"/>
    </row>
    <row r="1146" spans="1:10" x14ac:dyDescent="0.3">
      <c r="C1146" s="8" t="s">
        <v>11</v>
      </c>
      <c r="D1146" s="9">
        <v>45730</v>
      </c>
      <c r="E1146" t="s">
        <v>1112</v>
      </c>
      <c r="F1146" s="10" t="s">
        <v>17</v>
      </c>
      <c r="G1146" s="11">
        <v>0</v>
      </c>
      <c r="H1146" s="11">
        <v>3758.5</v>
      </c>
      <c r="I1146" s="11">
        <f t="shared" si="46"/>
        <v>855.97000000000025</v>
      </c>
      <c r="J1146" s="12">
        <v>5720001</v>
      </c>
    </row>
    <row r="1147" spans="1:10" x14ac:dyDescent="0.3">
      <c r="C1147" s="8" t="s">
        <v>11</v>
      </c>
      <c r="D1147" s="9">
        <v>45758</v>
      </c>
      <c r="E1147" t="s">
        <v>684</v>
      </c>
      <c r="F1147" s="10" t="s">
        <v>17</v>
      </c>
      <c r="G1147" s="11">
        <v>0</v>
      </c>
      <c r="H1147" s="11">
        <v>855.97</v>
      </c>
      <c r="I1147" s="11">
        <f t="shared" si="46"/>
        <v>0</v>
      </c>
      <c r="J1147" s="12">
        <v>5720001</v>
      </c>
    </row>
    <row r="1148" spans="1:10" x14ac:dyDescent="0.3">
      <c r="C1148" s="8" t="s">
        <v>11</v>
      </c>
      <c r="D1148" s="9">
        <v>45761</v>
      </c>
      <c r="E1148" t="s">
        <v>1113</v>
      </c>
      <c r="F1148" s="10" t="s">
        <v>1114</v>
      </c>
      <c r="G1148" s="11">
        <v>1159.56</v>
      </c>
      <c r="H1148" s="11">
        <v>0</v>
      </c>
      <c r="I1148" s="11">
        <f t="shared" si="46"/>
        <v>1159.56</v>
      </c>
      <c r="J1148" s="12"/>
    </row>
    <row r="1149" spans="1:10" x14ac:dyDescent="0.3">
      <c r="C1149" s="8" t="s">
        <v>11</v>
      </c>
      <c r="D1149" s="9">
        <v>45807</v>
      </c>
      <c r="E1149" t="s">
        <v>1115</v>
      </c>
      <c r="F1149" s="10" t="s">
        <v>1116</v>
      </c>
      <c r="G1149" s="11">
        <v>888.08</v>
      </c>
      <c r="H1149" s="11">
        <v>0</v>
      </c>
      <c r="I1149" s="11">
        <f t="shared" si="46"/>
        <v>2047.6399999999999</v>
      </c>
      <c r="J1149" s="12"/>
    </row>
    <row r="1150" spans="1:10" x14ac:dyDescent="0.3">
      <c r="C1150" s="8" t="s">
        <v>11</v>
      </c>
      <c r="D1150" s="9">
        <v>45840</v>
      </c>
      <c r="E1150" t="s">
        <v>684</v>
      </c>
      <c r="F1150" s="10" t="s">
        <v>17</v>
      </c>
      <c r="G1150" s="11">
        <v>0</v>
      </c>
      <c r="H1150" s="11">
        <v>1159.56</v>
      </c>
      <c r="I1150" s="11">
        <f t="shared" si="46"/>
        <v>888.07999999999993</v>
      </c>
      <c r="J1150" s="12">
        <v>5720001</v>
      </c>
    </row>
    <row r="1151" spans="1:10" x14ac:dyDescent="0.3">
      <c r="C1151" s="8" t="s">
        <v>11</v>
      </c>
      <c r="D1151" s="9">
        <v>45869</v>
      </c>
      <c r="E1151" t="s">
        <v>684</v>
      </c>
      <c r="F1151" s="10" t="s">
        <v>17</v>
      </c>
      <c r="G1151" s="11">
        <v>0</v>
      </c>
      <c r="H1151" s="11">
        <v>888.08</v>
      </c>
      <c r="I1151" s="11">
        <f t="shared" si="46"/>
        <v>0</v>
      </c>
      <c r="J1151" s="12">
        <v>5720001</v>
      </c>
    </row>
    <row r="1152" spans="1:10" x14ac:dyDescent="0.3">
      <c r="C1152" s="8"/>
      <c r="D1152" s="9">
        <v>45915</v>
      </c>
      <c r="E1152" t="s">
        <v>1117</v>
      </c>
      <c r="F1152" s="10" t="s">
        <v>1118</v>
      </c>
      <c r="G1152" s="11">
        <v>6542.12</v>
      </c>
      <c r="H1152" s="11">
        <v>0</v>
      </c>
      <c r="I1152" s="11">
        <f t="shared" si="46"/>
        <v>6542.12</v>
      </c>
      <c r="J1152" s="12"/>
    </row>
    <row r="1153" spans="1:10" x14ac:dyDescent="0.3">
      <c r="E1153" s="4" t="s">
        <v>20</v>
      </c>
      <c r="G1153" s="11">
        <f>SUM(G1140:G1152)</f>
        <v>17110.239999999998</v>
      </c>
      <c r="H1153" s="11">
        <f>SUM(H1140:H1152)</f>
        <v>10568.119999999999</v>
      </c>
      <c r="I1153" s="11">
        <f>G1153-H1153</f>
        <v>6542.119999999999</v>
      </c>
    </row>
    <row r="1155" spans="1:10" x14ac:dyDescent="0.3">
      <c r="A1155" s="5">
        <v>4300316</v>
      </c>
      <c r="B1155" s="6" t="s">
        <v>1119</v>
      </c>
      <c r="C1155" s="7"/>
      <c r="D1155" s="7"/>
      <c r="E1155" s="7"/>
      <c r="F1155" s="7"/>
      <c r="G1155" s="7"/>
      <c r="H1155" s="7"/>
      <c r="I1155" s="7"/>
      <c r="J1155" s="7"/>
    </row>
    <row r="1156" spans="1:10" x14ac:dyDescent="0.3">
      <c r="C1156" s="8" t="s">
        <v>11</v>
      </c>
      <c r="D1156" s="9">
        <v>45761</v>
      </c>
      <c r="E1156" t="s">
        <v>1120</v>
      </c>
      <c r="F1156" s="10" t="s">
        <v>1121</v>
      </c>
      <c r="G1156" s="11">
        <v>186.98</v>
      </c>
      <c r="H1156" s="11">
        <v>0</v>
      </c>
      <c r="I1156" s="11">
        <f>G1156-H1156</f>
        <v>186.98</v>
      </c>
      <c r="J1156" s="12"/>
    </row>
    <row r="1157" spans="1:10" x14ac:dyDescent="0.3">
      <c r="C1157" s="8" t="s">
        <v>11</v>
      </c>
      <c r="D1157" s="9">
        <v>45834</v>
      </c>
      <c r="E1157" t="s">
        <v>684</v>
      </c>
      <c r="F1157" s="10" t="s">
        <v>17</v>
      </c>
      <c r="G1157" s="11">
        <v>0</v>
      </c>
      <c r="H1157" s="11">
        <v>186.98</v>
      </c>
      <c r="I1157" s="11">
        <f>G1157-H1157+I1156</f>
        <v>0</v>
      </c>
      <c r="J1157" s="12">
        <v>5720001</v>
      </c>
    </row>
    <row r="1158" spans="1:10" x14ac:dyDescent="0.3">
      <c r="C1158" s="8"/>
      <c r="D1158" s="9">
        <v>45869</v>
      </c>
      <c r="E1158" t="s">
        <v>1122</v>
      </c>
      <c r="F1158" s="10" t="s">
        <v>1123</v>
      </c>
      <c r="G1158" s="11">
        <v>646.44000000000005</v>
      </c>
      <c r="H1158" s="11">
        <v>0</v>
      </c>
      <c r="I1158" s="11">
        <f>G1158-H1158+I1157</f>
        <v>646.44000000000005</v>
      </c>
      <c r="J1158" s="12"/>
    </row>
    <row r="1159" spans="1:10" x14ac:dyDescent="0.3">
      <c r="E1159" s="4" t="s">
        <v>20</v>
      </c>
      <c r="G1159" s="11">
        <f>SUM(G1156:G1158)</f>
        <v>833.42000000000007</v>
      </c>
      <c r="H1159" s="11">
        <f>SUM(H1156:H1158)</f>
        <v>186.98</v>
      </c>
      <c r="I1159" s="11">
        <f>G1159-H1159</f>
        <v>646.44000000000005</v>
      </c>
    </row>
    <row r="1161" spans="1:10" x14ac:dyDescent="0.3">
      <c r="A1161" s="5">
        <v>4300318</v>
      </c>
      <c r="B1161" s="6" t="s">
        <v>1124</v>
      </c>
      <c r="C1161" s="7"/>
      <c r="D1161" s="7"/>
      <c r="E1161" s="7"/>
      <c r="F1161" s="7"/>
      <c r="G1161" s="7"/>
      <c r="H1161" s="7"/>
      <c r="I1161" s="7"/>
      <c r="J1161" s="7"/>
    </row>
    <row r="1162" spans="1:10" x14ac:dyDescent="0.3">
      <c r="E1162" s="4" t="s">
        <v>22</v>
      </c>
      <c r="G1162" s="11">
        <v>13414.71</v>
      </c>
      <c r="H1162" s="11">
        <v>0</v>
      </c>
      <c r="I1162" s="11">
        <f>G1162-H1162</f>
        <v>13414.71</v>
      </c>
    </row>
    <row r="1163" spans="1:10" x14ac:dyDescent="0.3">
      <c r="C1163" s="8" t="s">
        <v>11</v>
      </c>
      <c r="D1163" s="9">
        <v>45672</v>
      </c>
      <c r="E1163" t="s">
        <v>1125</v>
      </c>
      <c r="F1163" s="10" t="s">
        <v>1126</v>
      </c>
      <c r="G1163" s="11">
        <v>7194.03</v>
      </c>
      <c r="H1163" s="11">
        <v>0</v>
      </c>
      <c r="I1163" s="11">
        <f t="shared" ref="I1163:I1185" si="47">G1163-H1163+I1162</f>
        <v>20608.739999999998</v>
      </c>
      <c r="J1163" s="12"/>
    </row>
    <row r="1164" spans="1:10" x14ac:dyDescent="0.3">
      <c r="C1164" s="8" t="s">
        <v>11</v>
      </c>
      <c r="D1164" s="9">
        <v>45686</v>
      </c>
      <c r="E1164" t="s">
        <v>684</v>
      </c>
      <c r="F1164" s="10" t="s">
        <v>17</v>
      </c>
      <c r="G1164" s="11">
        <v>0</v>
      </c>
      <c r="H1164" s="11">
        <v>2097.0300000000002</v>
      </c>
      <c r="I1164" s="11">
        <f t="shared" si="47"/>
        <v>18511.71</v>
      </c>
      <c r="J1164" s="12">
        <v>5720001</v>
      </c>
    </row>
    <row r="1165" spans="1:10" x14ac:dyDescent="0.3">
      <c r="C1165" s="8" t="s">
        <v>11</v>
      </c>
      <c r="D1165" s="9">
        <v>45688</v>
      </c>
      <c r="E1165" t="s">
        <v>1127</v>
      </c>
      <c r="F1165" s="10" t="s">
        <v>1128</v>
      </c>
      <c r="G1165" s="11">
        <v>4741.6499999999996</v>
      </c>
      <c r="H1165" s="11">
        <v>0</v>
      </c>
      <c r="I1165" s="11">
        <f t="shared" si="47"/>
        <v>23253.360000000001</v>
      </c>
      <c r="J1165" s="12"/>
    </row>
    <row r="1166" spans="1:10" x14ac:dyDescent="0.3">
      <c r="C1166" s="8" t="s">
        <v>11</v>
      </c>
      <c r="D1166" s="9">
        <v>45702</v>
      </c>
      <c r="E1166" t="s">
        <v>1129</v>
      </c>
      <c r="F1166" s="10" t="s">
        <v>1130</v>
      </c>
      <c r="G1166" s="11">
        <v>473.11</v>
      </c>
      <c r="H1166" s="11">
        <v>0</v>
      </c>
      <c r="I1166" s="11">
        <f t="shared" si="47"/>
        <v>23726.47</v>
      </c>
      <c r="J1166" s="12"/>
    </row>
    <row r="1167" spans="1:10" x14ac:dyDescent="0.3">
      <c r="C1167" s="8" t="s">
        <v>11</v>
      </c>
      <c r="D1167" s="9">
        <v>45715</v>
      </c>
      <c r="E1167" t="s">
        <v>1131</v>
      </c>
      <c r="F1167" s="10" t="s">
        <v>17</v>
      </c>
      <c r="G1167" s="11">
        <v>0</v>
      </c>
      <c r="H1167" s="11">
        <v>18511.71</v>
      </c>
      <c r="I1167" s="11">
        <f t="shared" si="47"/>
        <v>5214.760000000002</v>
      </c>
      <c r="J1167" s="12">
        <v>5720001</v>
      </c>
    </row>
    <row r="1168" spans="1:10" x14ac:dyDescent="0.3">
      <c r="C1168" s="8" t="s">
        <v>11</v>
      </c>
      <c r="D1168" s="9">
        <v>45716</v>
      </c>
      <c r="E1168" t="s">
        <v>1132</v>
      </c>
      <c r="F1168" s="10" t="s">
        <v>1133</v>
      </c>
      <c r="G1168" s="11">
        <v>2256.02</v>
      </c>
      <c r="H1168" s="11">
        <v>0</v>
      </c>
      <c r="I1168" s="11">
        <f t="shared" si="47"/>
        <v>7470.7800000000025</v>
      </c>
      <c r="J1168" s="12"/>
    </row>
    <row r="1169" spans="3:10" x14ac:dyDescent="0.3">
      <c r="C1169" s="8" t="s">
        <v>11</v>
      </c>
      <c r="D1169" s="9">
        <v>45730</v>
      </c>
      <c r="E1169" t="s">
        <v>1134</v>
      </c>
      <c r="F1169" s="10" t="s">
        <v>1135</v>
      </c>
      <c r="G1169" s="11">
        <v>2909.74</v>
      </c>
      <c r="H1169" s="11">
        <v>0</v>
      </c>
      <c r="I1169" s="11">
        <f t="shared" si="47"/>
        <v>10380.520000000002</v>
      </c>
      <c r="J1169" s="12"/>
    </row>
    <row r="1170" spans="3:10" x14ac:dyDescent="0.3">
      <c r="C1170" s="8" t="s">
        <v>11</v>
      </c>
      <c r="D1170" s="9">
        <v>45743</v>
      </c>
      <c r="E1170" t="s">
        <v>1136</v>
      </c>
      <c r="F1170" s="10" t="s">
        <v>17</v>
      </c>
      <c r="G1170" s="11">
        <v>0</v>
      </c>
      <c r="H1170" s="11">
        <v>5214.76</v>
      </c>
      <c r="I1170" s="11">
        <f t="shared" si="47"/>
        <v>5165.760000000002</v>
      </c>
      <c r="J1170" s="12">
        <v>5720001</v>
      </c>
    </row>
    <row r="1171" spans="3:10" x14ac:dyDescent="0.3">
      <c r="C1171" s="8" t="s">
        <v>11</v>
      </c>
      <c r="D1171" s="9">
        <v>45761</v>
      </c>
      <c r="E1171" t="s">
        <v>1137</v>
      </c>
      <c r="F1171" s="10" t="s">
        <v>1138</v>
      </c>
      <c r="G1171" s="11">
        <v>13137.9</v>
      </c>
      <c r="H1171" s="11">
        <v>0</v>
      </c>
      <c r="I1171" s="11">
        <f t="shared" si="47"/>
        <v>18303.660000000003</v>
      </c>
      <c r="J1171" s="12"/>
    </row>
    <row r="1172" spans="3:10" x14ac:dyDescent="0.3">
      <c r="C1172" s="8" t="s">
        <v>11</v>
      </c>
      <c r="D1172" s="9">
        <v>45761</v>
      </c>
      <c r="E1172" t="s">
        <v>1139</v>
      </c>
      <c r="F1172" s="10" t="s">
        <v>1140</v>
      </c>
      <c r="G1172" s="11">
        <v>1566.89</v>
      </c>
      <c r="H1172" s="11">
        <v>0</v>
      </c>
      <c r="I1172" s="11">
        <f t="shared" si="47"/>
        <v>19870.550000000003</v>
      </c>
      <c r="J1172" s="12"/>
    </row>
    <row r="1173" spans="3:10" x14ac:dyDescent="0.3">
      <c r="C1173" s="8" t="s">
        <v>11</v>
      </c>
      <c r="D1173" s="9">
        <v>45761</v>
      </c>
      <c r="E1173" t="s">
        <v>1141</v>
      </c>
      <c r="F1173" s="10" t="s">
        <v>1142</v>
      </c>
      <c r="G1173" s="11">
        <v>1223.58</v>
      </c>
      <c r="H1173" s="11">
        <v>0</v>
      </c>
      <c r="I1173" s="11">
        <f t="shared" si="47"/>
        <v>21094.130000000005</v>
      </c>
      <c r="J1173" s="12"/>
    </row>
    <row r="1174" spans="3:10" x14ac:dyDescent="0.3">
      <c r="C1174" s="8" t="s">
        <v>11</v>
      </c>
      <c r="D1174" s="9">
        <v>45775</v>
      </c>
      <c r="E1174" t="s">
        <v>1136</v>
      </c>
      <c r="F1174" s="10" t="s">
        <v>17</v>
      </c>
      <c r="G1174" s="11">
        <v>0</v>
      </c>
      <c r="H1174" s="11">
        <v>5165.76</v>
      </c>
      <c r="I1174" s="11">
        <f t="shared" si="47"/>
        <v>15928.370000000004</v>
      </c>
      <c r="J1174" s="12">
        <v>5720001</v>
      </c>
    </row>
    <row r="1175" spans="3:10" x14ac:dyDescent="0.3">
      <c r="C1175" s="8" t="s">
        <v>11</v>
      </c>
      <c r="D1175" s="9">
        <v>45777</v>
      </c>
      <c r="E1175" t="s">
        <v>1143</v>
      </c>
      <c r="F1175" s="10" t="s">
        <v>1144</v>
      </c>
      <c r="G1175" s="11">
        <v>4067.8</v>
      </c>
      <c r="H1175" s="11">
        <v>0</v>
      </c>
      <c r="I1175" s="11">
        <f t="shared" si="47"/>
        <v>19996.170000000006</v>
      </c>
      <c r="J1175" s="12"/>
    </row>
    <row r="1176" spans="3:10" x14ac:dyDescent="0.3">
      <c r="C1176" s="8" t="s">
        <v>11</v>
      </c>
      <c r="D1176" s="9">
        <v>45792</v>
      </c>
      <c r="E1176" t="s">
        <v>1145</v>
      </c>
      <c r="F1176" s="10" t="s">
        <v>1146</v>
      </c>
      <c r="G1176" s="11">
        <v>1566.89</v>
      </c>
      <c r="H1176" s="11">
        <v>0</v>
      </c>
      <c r="I1176" s="11">
        <f t="shared" si="47"/>
        <v>21563.060000000005</v>
      </c>
      <c r="J1176" s="12"/>
    </row>
    <row r="1177" spans="3:10" x14ac:dyDescent="0.3">
      <c r="C1177" s="8" t="s">
        <v>11</v>
      </c>
      <c r="D1177" s="9">
        <v>45805</v>
      </c>
      <c r="E1177" t="s">
        <v>1131</v>
      </c>
      <c r="F1177" s="10" t="s">
        <v>17</v>
      </c>
      <c r="G1177" s="11">
        <v>0</v>
      </c>
      <c r="H1177" s="11">
        <v>15928.37</v>
      </c>
      <c r="I1177" s="11">
        <f t="shared" si="47"/>
        <v>5634.6900000000041</v>
      </c>
      <c r="J1177" s="12">
        <v>5720001</v>
      </c>
    </row>
    <row r="1178" spans="3:10" x14ac:dyDescent="0.3">
      <c r="C1178" s="8" t="s">
        <v>11</v>
      </c>
      <c r="D1178" s="9">
        <v>45807</v>
      </c>
      <c r="E1178" t="s">
        <v>1147</v>
      </c>
      <c r="F1178" s="10" t="s">
        <v>1148</v>
      </c>
      <c r="G1178" s="11">
        <v>3410.42</v>
      </c>
      <c r="H1178" s="11">
        <v>0</v>
      </c>
      <c r="I1178" s="11">
        <f t="shared" si="47"/>
        <v>9045.1100000000042</v>
      </c>
      <c r="J1178" s="12"/>
    </row>
    <row r="1179" spans="3:10" x14ac:dyDescent="0.3">
      <c r="C1179" s="8" t="s">
        <v>11</v>
      </c>
      <c r="D1179" s="9">
        <v>45821</v>
      </c>
      <c r="E1179" t="s">
        <v>1149</v>
      </c>
      <c r="F1179" s="10" t="s">
        <v>1150</v>
      </c>
      <c r="G1179" s="11">
        <v>1645.32</v>
      </c>
      <c r="H1179" s="11">
        <v>0</v>
      </c>
      <c r="I1179" s="11">
        <f t="shared" si="47"/>
        <v>10690.430000000004</v>
      </c>
      <c r="J1179" s="12"/>
    </row>
    <row r="1180" spans="3:10" x14ac:dyDescent="0.3">
      <c r="C1180" s="8" t="s">
        <v>11</v>
      </c>
      <c r="D1180" s="9">
        <v>45838</v>
      </c>
      <c r="E1180" t="s">
        <v>1151</v>
      </c>
      <c r="F1180" s="10" t="s">
        <v>1152</v>
      </c>
      <c r="G1180" s="11">
        <v>2416.1799999999998</v>
      </c>
      <c r="H1180" s="11">
        <v>0</v>
      </c>
      <c r="I1180" s="11">
        <f t="shared" si="47"/>
        <v>13106.610000000004</v>
      </c>
      <c r="J1180" s="12"/>
    </row>
    <row r="1181" spans="3:10" x14ac:dyDescent="0.3">
      <c r="C1181" s="8" t="s">
        <v>11</v>
      </c>
      <c r="D1181" s="9">
        <v>45838</v>
      </c>
      <c r="E1181" t="s">
        <v>1131</v>
      </c>
      <c r="F1181" s="10" t="s">
        <v>17</v>
      </c>
      <c r="G1181" s="11">
        <v>0</v>
      </c>
      <c r="H1181" s="11">
        <v>5634.69</v>
      </c>
      <c r="I1181" s="11">
        <f t="shared" si="47"/>
        <v>7471.9200000000046</v>
      </c>
      <c r="J1181" s="12">
        <v>5720001</v>
      </c>
    </row>
    <row r="1182" spans="3:10" x14ac:dyDescent="0.3">
      <c r="C1182" s="8" t="s">
        <v>11</v>
      </c>
      <c r="D1182" s="9">
        <v>45854</v>
      </c>
      <c r="E1182" t="s">
        <v>1153</v>
      </c>
      <c r="F1182" s="10" t="s">
        <v>1154</v>
      </c>
      <c r="G1182" s="11">
        <v>6818.33</v>
      </c>
      <c r="H1182" s="11">
        <v>0</v>
      </c>
      <c r="I1182" s="11">
        <f t="shared" si="47"/>
        <v>14290.250000000004</v>
      </c>
      <c r="J1182" s="12"/>
    </row>
    <row r="1183" spans="3:10" x14ac:dyDescent="0.3">
      <c r="C1183" s="8" t="s">
        <v>11</v>
      </c>
      <c r="D1183" s="9">
        <v>45867</v>
      </c>
      <c r="E1183" t="s">
        <v>1131</v>
      </c>
      <c r="F1183" s="10" t="s">
        <v>17</v>
      </c>
      <c r="G1183" s="11">
        <v>0</v>
      </c>
      <c r="H1183" s="11">
        <v>5055.74</v>
      </c>
      <c r="I1183" s="11">
        <f t="shared" si="47"/>
        <v>9234.5100000000039</v>
      </c>
      <c r="J1183" s="12">
        <v>5720001</v>
      </c>
    </row>
    <row r="1184" spans="3:10" x14ac:dyDescent="0.3">
      <c r="C1184" s="8"/>
      <c r="D1184" s="9">
        <v>45869</v>
      </c>
      <c r="E1184" t="s">
        <v>1155</v>
      </c>
      <c r="F1184" s="10" t="s">
        <v>1156</v>
      </c>
      <c r="G1184" s="11">
        <v>10044.370000000001</v>
      </c>
      <c r="H1184" s="11">
        <v>0</v>
      </c>
      <c r="I1184" s="11">
        <f t="shared" si="47"/>
        <v>19278.880000000005</v>
      </c>
      <c r="J1184" s="12"/>
    </row>
    <row r="1185" spans="1:10" x14ac:dyDescent="0.3">
      <c r="C1185" s="8" t="s">
        <v>11</v>
      </c>
      <c r="D1185" s="9">
        <v>45896</v>
      </c>
      <c r="E1185" t="s">
        <v>1136</v>
      </c>
      <c r="F1185" s="10" t="s">
        <v>17</v>
      </c>
      <c r="G1185" s="11">
        <v>0</v>
      </c>
      <c r="H1185" s="11">
        <v>9234.51</v>
      </c>
      <c r="I1185" s="11">
        <f t="shared" si="47"/>
        <v>10044.370000000004</v>
      </c>
      <c r="J1185" s="12">
        <v>5720001</v>
      </c>
    </row>
    <row r="1186" spans="1:10" x14ac:dyDescent="0.3">
      <c r="E1186" s="4" t="s">
        <v>20</v>
      </c>
      <c r="G1186" s="11">
        <f>SUM(G1162:G1185)</f>
        <v>76886.94</v>
      </c>
      <c r="H1186" s="11">
        <f>SUM(H1162:H1185)</f>
        <v>66842.570000000007</v>
      </c>
      <c r="I1186" s="11">
        <f>G1186-H1186</f>
        <v>10044.369999999995</v>
      </c>
    </row>
    <row r="1188" spans="1:10" x14ac:dyDescent="0.3">
      <c r="A1188" s="5">
        <v>4300321</v>
      </c>
      <c r="B1188" s="6" t="s">
        <v>1157</v>
      </c>
      <c r="C1188" s="7"/>
      <c r="D1188" s="7"/>
      <c r="E1188" s="7"/>
      <c r="F1188" s="7"/>
      <c r="G1188" s="7"/>
      <c r="H1188" s="7"/>
      <c r="I1188" s="7"/>
      <c r="J1188" s="7"/>
    </row>
    <row r="1189" spans="1:10" x14ac:dyDescent="0.3">
      <c r="C1189" s="8"/>
      <c r="D1189" s="9">
        <v>45915</v>
      </c>
      <c r="E1189" t="s">
        <v>1158</v>
      </c>
      <c r="F1189" s="10" t="s">
        <v>1159</v>
      </c>
      <c r="G1189" s="11">
        <v>1512.5</v>
      </c>
      <c r="H1189" s="11">
        <v>0</v>
      </c>
      <c r="I1189" s="11">
        <f>G1189-H1189</f>
        <v>1512.5</v>
      </c>
      <c r="J1189" s="12"/>
    </row>
    <row r="1190" spans="1:10" x14ac:dyDescent="0.3">
      <c r="E1190" s="4" t="s">
        <v>20</v>
      </c>
      <c r="G1190" s="11">
        <f>G1189</f>
        <v>1512.5</v>
      </c>
      <c r="H1190" s="11">
        <f>H1189</f>
        <v>0</v>
      </c>
      <c r="I1190" s="11">
        <f>G1190-H1190</f>
        <v>1512.5</v>
      </c>
    </row>
    <row r="1192" spans="1:10" x14ac:dyDescent="0.3">
      <c r="A1192" s="5">
        <v>4300329</v>
      </c>
      <c r="B1192" s="6" t="s">
        <v>1160</v>
      </c>
      <c r="C1192" s="7"/>
      <c r="D1192" s="7"/>
      <c r="E1192" s="7"/>
      <c r="F1192" s="7"/>
      <c r="G1192" s="7"/>
      <c r="H1192" s="7"/>
      <c r="I1192" s="7"/>
      <c r="J1192" s="7"/>
    </row>
    <row r="1193" spans="1:10" x14ac:dyDescent="0.3">
      <c r="E1193" s="4" t="s">
        <v>22</v>
      </c>
      <c r="G1193" s="11">
        <v>243.21</v>
      </c>
      <c r="H1193" s="11">
        <v>0</v>
      </c>
      <c r="I1193" s="11">
        <f>G1193-H1193</f>
        <v>243.21</v>
      </c>
    </row>
    <row r="1194" spans="1:10" x14ac:dyDescent="0.3">
      <c r="C1194" s="8" t="s">
        <v>11</v>
      </c>
      <c r="D1194" s="9">
        <v>45672</v>
      </c>
      <c r="E1194" t="s">
        <v>1161</v>
      </c>
      <c r="F1194" s="10" t="s">
        <v>1162</v>
      </c>
      <c r="G1194" s="11">
        <v>179.42</v>
      </c>
      <c r="H1194" s="11">
        <v>0</v>
      </c>
      <c r="I1194" s="11">
        <f t="shared" ref="I1194:I1199" si="48">G1194-H1194+I1193</f>
        <v>422.63</v>
      </c>
      <c r="J1194" s="12"/>
    </row>
    <row r="1195" spans="1:10" x14ac:dyDescent="0.3">
      <c r="C1195" s="8" t="s">
        <v>11</v>
      </c>
      <c r="D1195" s="9">
        <v>45677</v>
      </c>
      <c r="E1195" t="s">
        <v>684</v>
      </c>
      <c r="F1195" s="10" t="s">
        <v>17</v>
      </c>
      <c r="G1195" s="11">
        <v>0</v>
      </c>
      <c r="H1195" s="11">
        <v>243.21</v>
      </c>
      <c r="I1195" s="11">
        <f t="shared" si="48"/>
        <v>179.42</v>
      </c>
      <c r="J1195" s="12">
        <v>5720001</v>
      </c>
    </row>
    <row r="1196" spans="1:10" x14ac:dyDescent="0.3">
      <c r="C1196" s="8" t="s">
        <v>11</v>
      </c>
      <c r="D1196" s="9">
        <v>45702</v>
      </c>
      <c r="E1196" t="s">
        <v>1163</v>
      </c>
      <c r="F1196" s="10" t="s">
        <v>1164</v>
      </c>
      <c r="G1196" s="11">
        <v>179.42</v>
      </c>
      <c r="H1196" s="11">
        <v>0</v>
      </c>
      <c r="I1196" s="11">
        <f t="shared" si="48"/>
        <v>358.84</v>
      </c>
      <c r="J1196" s="12"/>
    </row>
    <row r="1197" spans="1:10" x14ac:dyDescent="0.3">
      <c r="C1197" s="8" t="s">
        <v>11</v>
      </c>
      <c r="D1197" s="9">
        <v>45705</v>
      </c>
      <c r="E1197" t="s">
        <v>684</v>
      </c>
      <c r="F1197" s="10" t="s">
        <v>17</v>
      </c>
      <c r="G1197" s="11">
        <v>0</v>
      </c>
      <c r="H1197" s="11">
        <v>179.42</v>
      </c>
      <c r="I1197" s="11">
        <f t="shared" si="48"/>
        <v>179.42</v>
      </c>
      <c r="J1197" s="12">
        <v>5720001</v>
      </c>
    </row>
    <row r="1198" spans="1:10" x14ac:dyDescent="0.3">
      <c r="C1198" s="8" t="s">
        <v>11</v>
      </c>
      <c r="D1198" s="9">
        <v>45740</v>
      </c>
      <c r="E1198" t="s">
        <v>684</v>
      </c>
      <c r="F1198" s="10" t="s">
        <v>17</v>
      </c>
      <c r="G1198" s="11">
        <v>0</v>
      </c>
      <c r="H1198" s="11">
        <v>179.42</v>
      </c>
      <c r="I1198" s="11">
        <f t="shared" si="48"/>
        <v>0</v>
      </c>
      <c r="J1198" s="12">
        <v>5720001</v>
      </c>
    </row>
    <row r="1199" spans="1:10" x14ac:dyDescent="0.3">
      <c r="C1199" s="8"/>
      <c r="D1199" s="9">
        <v>45854</v>
      </c>
      <c r="E1199" t="s">
        <v>1165</v>
      </c>
      <c r="F1199" s="10" t="s">
        <v>1166</v>
      </c>
      <c r="G1199" s="11">
        <v>219.57</v>
      </c>
      <c r="H1199" s="11">
        <v>0</v>
      </c>
      <c r="I1199" s="11">
        <f t="shared" si="48"/>
        <v>219.57</v>
      </c>
      <c r="J1199" s="12"/>
    </row>
    <row r="1200" spans="1:10" x14ac:dyDescent="0.3">
      <c r="E1200" s="4" t="s">
        <v>20</v>
      </c>
      <c r="G1200" s="11">
        <f>SUM(G1193:G1199)</f>
        <v>821.61999999999989</v>
      </c>
      <c r="H1200" s="11">
        <f>SUM(H1193:H1199)</f>
        <v>602.04999999999995</v>
      </c>
      <c r="I1200" s="11">
        <f>G1200-H1200</f>
        <v>219.56999999999994</v>
      </c>
    </row>
    <row r="1202" spans="1:10" x14ac:dyDescent="0.3">
      <c r="A1202" s="5">
        <v>4300343</v>
      </c>
      <c r="B1202" s="6" t="s">
        <v>1167</v>
      </c>
      <c r="C1202" s="7"/>
      <c r="D1202" s="7"/>
      <c r="E1202" s="7"/>
      <c r="F1202" s="7"/>
      <c r="G1202" s="7"/>
      <c r="H1202" s="7"/>
      <c r="I1202" s="7"/>
      <c r="J1202" s="7"/>
    </row>
    <row r="1203" spans="1:10" x14ac:dyDescent="0.3">
      <c r="C1203" s="8" t="s">
        <v>11</v>
      </c>
      <c r="D1203" s="9">
        <v>45702</v>
      </c>
      <c r="E1203" t="s">
        <v>1168</v>
      </c>
      <c r="F1203" s="10" t="s">
        <v>1169</v>
      </c>
      <c r="G1203" s="11">
        <v>1761.74</v>
      </c>
      <c r="H1203" s="11">
        <v>0</v>
      </c>
      <c r="I1203" s="11">
        <f>G1203-H1203</f>
        <v>1761.74</v>
      </c>
      <c r="J1203" s="12"/>
    </row>
    <row r="1204" spans="1:10" x14ac:dyDescent="0.3">
      <c r="C1204" s="8" t="s">
        <v>11</v>
      </c>
      <c r="D1204" s="9">
        <v>45716</v>
      </c>
      <c r="E1204" t="s">
        <v>1170</v>
      </c>
      <c r="F1204" s="10" t="s">
        <v>1171</v>
      </c>
      <c r="G1204" s="11">
        <v>345.7</v>
      </c>
      <c r="H1204" s="11">
        <v>0</v>
      </c>
      <c r="I1204" s="11">
        <f t="shared" ref="I1204:I1209" si="49">G1204-H1204+I1203</f>
        <v>2107.44</v>
      </c>
      <c r="J1204" s="12"/>
    </row>
    <row r="1205" spans="1:10" x14ac:dyDescent="0.3">
      <c r="C1205" s="8" t="s">
        <v>11</v>
      </c>
      <c r="D1205" s="9">
        <v>45761</v>
      </c>
      <c r="E1205" t="s">
        <v>1172</v>
      </c>
      <c r="F1205" s="10" t="s">
        <v>1173</v>
      </c>
      <c r="G1205" s="11">
        <v>345.7</v>
      </c>
      <c r="H1205" s="11">
        <v>0</v>
      </c>
      <c r="I1205" s="11">
        <f t="shared" si="49"/>
        <v>2453.14</v>
      </c>
      <c r="J1205" s="12"/>
    </row>
    <row r="1206" spans="1:10" x14ac:dyDescent="0.3">
      <c r="C1206" s="8" t="s">
        <v>11</v>
      </c>
      <c r="D1206" s="9">
        <v>45785</v>
      </c>
      <c r="E1206" t="s">
        <v>1174</v>
      </c>
      <c r="F1206" s="10" t="s">
        <v>17</v>
      </c>
      <c r="G1206" s="11">
        <v>0</v>
      </c>
      <c r="H1206" s="11">
        <v>2107.44</v>
      </c>
      <c r="I1206" s="11">
        <f t="shared" si="49"/>
        <v>345.69999999999982</v>
      </c>
      <c r="J1206" s="12">
        <v>5720001</v>
      </c>
    </row>
    <row r="1207" spans="1:10" x14ac:dyDescent="0.3">
      <c r="C1207" s="8" t="s">
        <v>11</v>
      </c>
      <c r="D1207" s="9">
        <v>45828</v>
      </c>
      <c r="E1207" t="s">
        <v>684</v>
      </c>
      <c r="F1207" s="10" t="s">
        <v>17</v>
      </c>
      <c r="G1207" s="11">
        <v>0</v>
      </c>
      <c r="H1207" s="11">
        <v>345.7</v>
      </c>
      <c r="I1207" s="11">
        <f t="shared" si="49"/>
        <v>0</v>
      </c>
      <c r="J1207" s="12">
        <v>5720001</v>
      </c>
    </row>
    <row r="1208" spans="1:10" x14ac:dyDescent="0.3">
      <c r="C1208" s="8"/>
      <c r="D1208" s="9">
        <v>45853</v>
      </c>
      <c r="E1208" t="s">
        <v>1175</v>
      </c>
      <c r="F1208" s="10" t="s">
        <v>1176</v>
      </c>
      <c r="G1208" s="11">
        <v>776.05</v>
      </c>
      <c r="H1208" s="11">
        <v>0</v>
      </c>
      <c r="I1208" s="11">
        <f t="shared" si="49"/>
        <v>776.05</v>
      </c>
      <c r="J1208" s="12"/>
    </row>
    <row r="1209" spans="1:10" x14ac:dyDescent="0.3">
      <c r="C1209" s="8"/>
      <c r="D1209" s="9">
        <v>45900</v>
      </c>
      <c r="E1209" t="s">
        <v>1177</v>
      </c>
      <c r="F1209" s="10" t="s">
        <v>1178</v>
      </c>
      <c r="G1209" s="11">
        <v>457.14</v>
      </c>
      <c r="H1209" s="11">
        <v>0</v>
      </c>
      <c r="I1209" s="11">
        <f t="shared" si="49"/>
        <v>1233.19</v>
      </c>
      <c r="J1209" s="12"/>
    </row>
    <row r="1210" spans="1:10" x14ac:dyDescent="0.3">
      <c r="E1210" s="4" t="s">
        <v>20</v>
      </c>
      <c r="G1210" s="11">
        <f>SUM(G1203:G1209)</f>
        <v>3686.3299999999995</v>
      </c>
      <c r="H1210" s="11">
        <f>SUM(H1203:H1209)</f>
        <v>2453.14</v>
      </c>
      <c r="I1210" s="11">
        <f>G1210-H1210</f>
        <v>1233.1899999999996</v>
      </c>
    </row>
    <row r="1212" spans="1:10" x14ac:dyDescent="0.3">
      <c r="A1212" s="5">
        <v>4300348</v>
      </c>
      <c r="B1212" s="6" t="s">
        <v>1179</v>
      </c>
      <c r="C1212" s="7"/>
      <c r="D1212" s="7"/>
      <c r="E1212" s="7"/>
      <c r="F1212" s="7"/>
      <c r="G1212" s="7"/>
      <c r="H1212" s="7"/>
      <c r="I1212" s="7"/>
      <c r="J1212" s="7"/>
    </row>
    <row r="1213" spans="1:10" x14ac:dyDescent="0.3">
      <c r="C1213" s="8"/>
      <c r="D1213" s="9">
        <v>45900</v>
      </c>
      <c r="E1213" t="s">
        <v>1180</v>
      </c>
      <c r="F1213" s="10" t="s">
        <v>1181</v>
      </c>
      <c r="G1213" s="11">
        <v>1468.41</v>
      </c>
      <c r="H1213" s="11">
        <v>0</v>
      </c>
      <c r="I1213" s="11">
        <f>G1213-H1213</f>
        <v>1468.41</v>
      </c>
      <c r="J1213" s="12"/>
    </row>
    <row r="1214" spans="1:10" x14ac:dyDescent="0.3">
      <c r="E1214" s="4" t="s">
        <v>20</v>
      </c>
      <c r="G1214" s="11">
        <f>G1213</f>
        <v>1468.41</v>
      </c>
      <c r="H1214" s="11">
        <f>H1213</f>
        <v>0</v>
      </c>
      <c r="I1214" s="11">
        <f>G1214-H1214</f>
        <v>1468.41</v>
      </c>
    </row>
    <row r="1216" spans="1:10" x14ac:dyDescent="0.3">
      <c r="A1216" s="5">
        <v>4300358</v>
      </c>
      <c r="B1216" s="6" t="s">
        <v>1182</v>
      </c>
      <c r="C1216" s="7"/>
      <c r="D1216" s="7"/>
      <c r="E1216" s="7"/>
      <c r="F1216" s="7"/>
      <c r="G1216" s="7"/>
      <c r="H1216" s="7"/>
      <c r="I1216" s="7"/>
      <c r="J1216" s="7"/>
    </row>
    <row r="1217" spans="1:10" x14ac:dyDescent="0.3">
      <c r="C1217" s="8" t="s">
        <v>11</v>
      </c>
      <c r="D1217" s="9">
        <v>45716</v>
      </c>
      <c r="E1217" t="s">
        <v>1183</v>
      </c>
      <c r="F1217" s="10" t="s">
        <v>1184</v>
      </c>
      <c r="G1217" s="11">
        <v>437.94</v>
      </c>
      <c r="H1217" s="11">
        <v>0</v>
      </c>
      <c r="I1217" s="11">
        <f>G1217-H1217</f>
        <v>437.94</v>
      </c>
      <c r="J1217" s="12"/>
    </row>
    <row r="1218" spans="1:10" x14ac:dyDescent="0.3">
      <c r="C1218" s="8" t="s">
        <v>11</v>
      </c>
      <c r="D1218" s="9">
        <v>45720</v>
      </c>
      <c r="E1218" t="s">
        <v>1185</v>
      </c>
      <c r="F1218" s="10" t="s">
        <v>17</v>
      </c>
      <c r="G1218" s="11">
        <v>0</v>
      </c>
      <c r="H1218" s="11">
        <v>437.94</v>
      </c>
      <c r="I1218" s="11">
        <f>G1218-H1218+I1217</f>
        <v>0</v>
      </c>
      <c r="J1218" s="12">
        <v>5720001</v>
      </c>
    </row>
    <row r="1219" spans="1:10" x14ac:dyDescent="0.3">
      <c r="C1219" s="8"/>
      <c r="D1219" s="9">
        <v>45900</v>
      </c>
      <c r="E1219" t="s">
        <v>1186</v>
      </c>
      <c r="F1219" s="10" t="s">
        <v>1187</v>
      </c>
      <c r="G1219" s="11">
        <v>478.17</v>
      </c>
      <c r="H1219" s="11">
        <v>0</v>
      </c>
      <c r="I1219" s="11">
        <f>G1219-H1219+I1218</f>
        <v>478.17</v>
      </c>
      <c r="J1219" s="12"/>
    </row>
    <row r="1220" spans="1:10" x14ac:dyDescent="0.3">
      <c r="E1220" s="4" t="s">
        <v>20</v>
      </c>
      <c r="G1220" s="11">
        <f>SUM(G1217:G1219)</f>
        <v>916.11</v>
      </c>
      <c r="H1220" s="11">
        <f>SUM(H1217:H1219)</f>
        <v>437.94</v>
      </c>
      <c r="I1220" s="11">
        <f>G1220-H1220</f>
        <v>478.17</v>
      </c>
    </row>
    <row r="1222" spans="1:10" x14ac:dyDescent="0.3">
      <c r="A1222" s="5">
        <v>4300363</v>
      </c>
      <c r="B1222" s="6" t="s">
        <v>1188</v>
      </c>
      <c r="C1222" s="7"/>
      <c r="D1222" s="7"/>
      <c r="E1222" s="7"/>
      <c r="F1222" s="7"/>
      <c r="G1222" s="7"/>
      <c r="H1222" s="7"/>
      <c r="I1222" s="7"/>
      <c r="J1222" s="7"/>
    </row>
    <row r="1223" spans="1:10" x14ac:dyDescent="0.3">
      <c r="C1223" s="8"/>
      <c r="D1223" s="9">
        <v>45821</v>
      </c>
      <c r="E1223" t="s">
        <v>1189</v>
      </c>
      <c r="F1223" s="10" t="s">
        <v>1190</v>
      </c>
      <c r="G1223" s="11">
        <v>513.04</v>
      </c>
      <c r="H1223" s="11">
        <v>0</v>
      </c>
      <c r="I1223" s="11">
        <f>G1223-H1223</f>
        <v>513.04</v>
      </c>
      <c r="J1223" s="12"/>
    </row>
    <row r="1224" spans="1:10" x14ac:dyDescent="0.3">
      <c r="E1224" s="4" t="s">
        <v>20</v>
      </c>
      <c r="G1224" s="11">
        <f>G1223</f>
        <v>513.04</v>
      </c>
      <c r="H1224" s="11">
        <f>H1223</f>
        <v>0</v>
      </c>
      <c r="I1224" s="11">
        <f>G1224-H1224</f>
        <v>513.04</v>
      </c>
    </row>
    <row r="1226" spans="1:10" x14ac:dyDescent="0.3">
      <c r="A1226" s="5">
        <v>4650000</v>
      </c>
      <c r="B1226" s="6" t="s">
        <v>1191</v>
      </c>
      <c r="C1226" s="7"/>
      <c r="D1226" s="7"/>
      <c r="E1226" s="7"/>
      <c r="F1226" s="7"/>
      <c r="G1226" s="7"/>
      <c r="H1226" s="7"/>
      <c r="I1226" s="7"/>
      <c r="J1226" s="7"/>
    </row>
    <row r="1227" spans="1:10" x14ac:dyDescent="0.3">
      <c r="C1227" s="8" t="s">
        <v>11</v>
      </c>
      <c r="D1227" s="9">
        <v>45688</v>
      </c>
      <c r="E1227" t="s">
        <v>1192</v>
      </c>
      <c r="F1227" s="10" t="s">
        <v>17</v>
      </c>
      <c r="G1227" s="11">
        <v>0</v>
      </c>
      <c r="H1227" s="11">
        <v>11087.68</v>
      </c>
      <c r="I1227" s="11">
        <f>G1227-H1227</f>
        <v>-11087.68</v>
      </c>
      <c r="J1227" s="12"/>
    </row>
    <row r="1228" spans="1:10" x14ac:dyDescent="0.3">
      <c r="C1228" s="8" t="s">
        <v>11</v>
      </c>
      <c r="D1228" s="9">
        <v>45688</v>
      </c>
      <c r="E1228" t="s">
        <v>1193</v>
      </c>
      <c r="F1228" s="10" t="s">
        <v>17</v>
      </c>
      <c r="G1228" s="11">
        <v>1438.79</v>
      </c>
      <c r="H1228" s="11">
        <v>0</v>
      </c>
      <c r="I1228" s="11">
        <f t="shared" ref="I1228:I1259" si="50">G1228-H1228+I1227</f>
        <v>-9648.89</v>
      </c>
      <c r="J1228" s="12">
        <v>5720001</v>
      </c>
    </row>
    <row r="1229" spans="1:10" x14ac:dyDescent="0.3">
      <c r="C1229" s="8" t="s">
        <v>11</v>
      </c>
      <c r="D1229" s="9">
        <v>45688</v>
      </c>
      <c r="E1229" t="s">
        <v>1194</v>
      </c>
      <c r="F1229" s="10" t="s">
        <v>17</v>
      </c>
      <c r="G1229" s="11">
        <v>798.51</v>
      </c>
      <c r="H1229" s="11">
        <v>0</v>
      </c>
      <c r="I1229" s="11">
        <f t="shared" si="50"/>
        <v>-8850.3799999999992</v>
      </c>
      <c r="J1229" s="12">
        <v>5720001</v>
      </c>
    </row>
    <row r="1230" spans="1:10" x14ac:dyDescent="0.3">
      <c r="C1230" s="8" t="s">
        <v>11</v>
      </c>
      <c r="D1230" s="9">
        <v>45688</v>
      </c>
      <c r="E1230" t="s">
        <v>1195</v>
      </c>
      <c r="F1230" s="10" t="s">
        <v>17</v>
      </c>
      <c r="G1230" s="11">
        <v>1570</v>
      </c>
      <c r="H1230" s="11">
        <v>0</v>
      </c>
      <c r="I1230" s="11">
        <f t="shared" si="50"/>
        <v>-7280.3799999999992</v>
      </c>
      <c r="J1230" s="12">
        <v>5720001</v>
      </c>
    </row>
    <row r="1231" spans="1:10" x14ac:dyDescent="0.3">
      <c r="C1231" s="8" t="s">
        <v>11</v>
      </c>
      <c r="D1231" s="9">
        <v>45688</v>
      </c>
      <c r="E1231" t="s">
        <v>1196</v>
      </c>
      <c r="F1231" s="10" t="s">
        <v>17</v>
      </c>
      <c r="G1231" s="11">
        <v>1714.38</v>
      </c>
      <c r="H1231" s="11">
        <v>0</v>
      </c>
      <c r="I1231" s="11">
        <f t="shared" si="50"/>
        <v>-5565.9999999999991</v>
      </c>
      <c r="J1231" s="12">
        <v>5720001</v>
      </c>
    </row>
    <row r="1232" spans="1:10" x14ac:dyDescent="0.3">
      <c r="C1232" s="8" t="s">
        <v>11</v>
      </c>
      <c r="D1232" s="9">
        <v>45688</v>
      </c>
      <c r="E1232" t="s">
        <v>1197</v>
      </c>
      <c r="F1232" s="10" t="s">
        <v>17</v>
      </c>
      <c r="G1232" s="11">
        <v>1566</v>
      </c>
      <c r="H1232" s="11">
        <v>0</v>
      </c>
      <c r="I1232" s="11">
        <f t="shared" si="50"/>
        <v>-3999.9999999999991</v>
      </c>
      <c r="J1232" s="12">
        <v>5720001</v>
      </c>
    </row>
    <row r="1233" spans="3:10" x14ac:dyDescent="0.3">
      <c r="C1233" s="8" t="s">
        <v>11</v>
      </c>
      <c r="D1233" s="9">
        <v>45691</v>
      </c>
      <c r="E1233" t="s">
        <v>1198</v>
      </c>
      <c r="F1233" s="10" t="s">
        <v>17</v>
      </c>
      <c r="G1233" s="11">
        <v>2000</v>
      </c>
      <c r="H1233" s="11">
        <v>0</v>
      </c>
      <c r="I1233" s="11">
        <f t="shared" si="50"/>
        <v>-1999.9999999999991</v>
      </c>
      <c r="J1233" s="12">
        <v>5720001</v>
      </c>
    </row>
    <row r="1234" spans="3:10" x14ac:dyDescent="0.3">
      <c r="C1234" s="8" t="s">
        <v>11</v>
      </c>
      <c r="D1234" s="9">
        <v>45691</v>
      </c>
      <c r="E1234" t="s">
        <v>1199</v>
      </c>
      <c r="F1234" s="10" t="s">
        <v>17</v>
      </c>
      <c r="G1234" s="11">
        <v>2000</v>
      </c>
      <c r="H1234" s="11">
        <v>0</v>
      </c>
      <c r="I1234" s="11">
        <f t="shared" si="50"/>
        <v>0</v>
      </c>
      <c r="J1234" s="12">
        <v>5720001</v>
      </c>
    </row>
    <row r="1235" spans="3:10" x14ac:dyDescent="0.3">
      <c r="C1235" s="8" t="s">
        <v>11</v>
      </c>
      <c r="D1235" s="9">
        <v>45716</v>
      </c>
      <c r="E1235" t="s">
        <v>1192</v>
      </c>
      <c r="F1235" s="10" t="s">
        <v>17</v>
      </c>
      <c r="G1235" s="11">
        <v>0</v>
      </c>
      <c r="H1235" s="11">
        <v>11436.43</v>
      </c>
      <c r="I1235" s="11">
        <f t="shared" si="50"/>
        <v>-11436.43</v>
      </c>
      <c r="J1235" s="12"/>
    </row>
    <row r="1236" spans="3:10" x14ac:dyDescent="0.3">
      <c r="C1236" s="8" t="s">
        <v>11</v>
      </c>
      <c r="D1236" s="9">
        <v>45716</v>
      </c>
      <c r="E1236" t="s">
        <v>1193</v>
      </c>
      <c r="F1236" s="10" t="s">
        <v>17</v>
      </c>
      <c r="G1236" s="11">
        <v>1440.76</v>
      </c>
      <c r="H1236" s="11">
        <v>0</v>
      </c>
      <c r="I1236" s="11">
        <f t="shared" si="50"/>
        <v>-9995.67</v>
      </c>
      <c r="J1236" s="12">
        <v>5720001</v>
      </c>
    </row>
    <row r="1237" spans="3:10" x14ac:dyDescent="0.3">
      <c r="C1237" s="8" t="s">
        <v>11</v>
      </c>
      <c r="D1237" s="9">
        <v>45716</v>
      </c>
      <c r="E1237" t="s">
        <v>1194</v>
      </c>
      <c r="F1237" s="10" t="s">
        <v>17</v>
      </c>
      <c r="G1237" s="11">
        <v>798.51</v>
      </c>
      <c r="H1237" s="11">
        <v>0</v>
      </c>
      <c r="I1237" s="11">
        <f t="shared" si="50"/>
        <v>-9197.16</v>
      </c>
      <c r="J1237" s="12">
        <v>5720001</v>
      </c>
    </row>
    <row r="1238" spans="3:10" x14ac:dyDescent="0.3">
      <c r="C1238" s="8" t="s">
        <v>11</v>
      </c>
      <c r="D1238" s="9">
        <v>45716</v>
      </c>
      <c r="E1238" t="s">
        <v>1195</v>
      </c>
      <c r="F1238" s="10" t="s">
        <v>17</v>
      </c>
      <c r="G1238" s="11">
        <v>1570</v>
      </c>
      <c r="H1238" s="11">
        <v>0</v>
      </c>
      <c r="I1238" s="11">
        <f t="shared" si="50"/>
        <v>-7627.16</v>
      </c>
      <c r="J1238" s="12">
        <v>5720001</v>
      </c>
    </row>
    <row r="1239" spans="3:10" x14ac:dyDescent="0.3">
      <c r="C1239" s="8" t="s">
        <v>11</v>
      </c>
      <c r="D1239" s="9">
        <v>45716</v>
      </c>
      <c r="E1239" t="s">
        <v>1199</v>
      </c>
      <c r="F1239" s="10" t="s">
        <v>17</v>
      </c>
      <c r="G1239" s="11">
        <v>2000</v>
      </c>
      <c r="H1239" s="11">
        <v>0</v>
      </c>
      <c r="I1239" s="11">
        <f t="shared" si="50"/>
        <v>-5627.16</v>
      </c>
      <c r="J1239" s="12">
        <v>5720001</v>
      </c>
    </row>
    <row r="1240" spans="3:10" x14ac:dyDescent="0.3">
      <c r="C1240" s="8" t="s">
        <v>11</v>
      </c>
      <c r="D1240" s="9">
        <v>45716</v>
      </c>
      <c r="E1240" t="s">
        <v>1196</v>
      </c>
      <c r="F1240" s="10" t="s">
        <v>17</v>
      </c>
      <c r="G1240" s="11">
        <v>1714.38</v>
      </c>
      <c r="H1240" s="11">
        <v>0</v>
      </c>
      <c r="I1240" s="11">
        <f t="shared" si="50"/>
        <v>-3912.7799999999997</v>
      </c>
      <c r="J1240" s="12">
        <v>5720001</v>
      </c>
    </row>
    <row r="1241" spans="3:10" x14ac:dyDescent="0.3">
      <c r="C1241" s="8" t="s">
        <v>11</v>
      </c>
      <c r="D1241" s="9">
        <v>45716</v>
      </c>
      <c r="E1241" t="s">
        <v>1197</v>
      </c>
      <c r="F1241" s="10" t="s">
        <v>17</v>
      </c>
      <c r="G1241" s="11">
        <v>1566</v>
      </c>
      <c r="H1241" s="11">
        <v>0</v>
      </c>
      <c r="I1241" s="11">
        <f t="shared" si="50"/>
        <v>-2346.7799999999997</v>
      </c>
      <c r="J1241" s="12">
        <v>5720001</v>
      </c>
    </row>
    <row r="1242" spans="3:10" x14ac:dyDescent="0.3">
      <c r="C1242" s="8" t="s">
        <v>11</v>
      </c>
      <c r="D1242" s="9">
        <v>45716</v>
      </c>
      <c r="E1242" t="s">
        <v>1198</v>
      </c>
      <c r="F1242" s="10" t="s">
        <v>17</v>
      </c>
      <c r="G1242" s="11">
        <v>2000</v>
      </c>
      <c r="H1242" s="11">
        <v>0</v>
      </c>
      <c r="I1242" s="11">
        <f t="shared" si="50"/>
        <v>-346.77999999999975</v>
      </c>
      <c r="J1242" s="12">
        <v>5720001</v>
      </c>
    </row>
    <row r="1243" spans="3:10" x14ac:dyDescent="0.3">
      <c r="C1243" s="8" t="s">
        <v>11</v>
      </c>
      <c r="D1243" s="9">
        <v>45716</v>
      </c>
      <c r="E1243" t="s">
        <v>1200</v>
      </c>
      <c r="F1243" s="10" t="s">
        <v>17</v>
      </c>
      <c r="G1243" s="11">
        <v>346.78</v>
      </c>
      <c r="H1243" s="11">
        <v>0</v>
      </c>
      <c r="I1243" s="11">
        <f t="shared" si="50"/>
        <v>0</v>
      </c>
      <c r="J1243" s="12">
        <v>5720001</v>
      </c>
    </row>
    <row r="1244" spans="3:10" x14ac:dyDescent="0.3">
      <c r="C1244" s="8" t="s">
        <v>11</v>
      </c>
      <c r="D1244" s="9">
        <v>45744</v>
      </c>
      <c r="E1244" t="s">
        <v>1200</v>
      </c>
      <c r="F1244" s="10" t="s">
        <v>17</v>
      </c>
      <c r="G1244" s="11">
        <v>463</v>
      </c>
      <c r="H1244" s="11">
        <v>0</v>
      </c>
      <c r="I1244" s="11">
        <f t="shared" si="50"/>
        <v>463</v>
      </c>
      <c r="J1244" s="12">
        <v>5720001</v>
      </c>
    </row>
    <row r="1245" spans="3:10" x14ac:dyDescent="0.3">
      <c r="C1245" s="8" t="s">
        <v>11</v>
      </c>
      <c r="D1245" s="9">
        <v>45744</v>
      </c>
      <c r="E1245" t="s">
        <v>1193</v>
      </c>
      <c r="F1245" s="10" t="s">
        <v>17</v>
      </c>
      <c r="G1245" s="11">
        <v>1438.79</v>
      </c>
      <c r="H1245" s="11">
        <v>0</v>
      </c>
      <c r="I1245" s="11">
        <f t="shared" si="50"/>
        <v>1901.79</v>
      </c>
      <c r="J1245" s="12">
        <v>5720001</v>
      </c>
    </row>
    <row r="1246" spans="3:10" x14ac:dyDescent="0.3">
      <c r="C1246" s="8" t="s">
        <v>11</v>
      </c>
      <c r="D1246" s="9">
        <v>45744</v>
      </c>
      <c r="E1246" t="s">
        <v>1194</v>
      </c>
      <c r="F1246" s="10" t="s">
        <v>17</v>
      </c>
      <c r="G1246" s="11">
        <v>798.51</v>
      </c>
      <c r="H1246" s="11">
        <v>0</v>
      </c>
      <c r="I1246" s="11">
        <f t="shared" si="50"/>
        <v>2700.3</v>
      </c>
      <c r="J1246" s="12">
        <v>5720001</v>
      </c>
    </row>
    <row r="1247" spans="3:10" x14ac:dyDescent="0.3">
      <c r="C1247" s="8" t="s">
        <v>11</v>
      </c>
      <c r="D1247" s="9">
        <v>45744</v>
      </c>
      <c r="E1247" t="s">
        <v>1195</v>
      </c>
      <c r="F1247" s="10" t="s">
        <v>17</v>
      </c>
      <c r="G1247" s="11">
        <v>1570</v>
      </c>
      <c r="H1247" s="11">
        <v>0</v>
      </c>
      <c r="I1247" s="11">
        <f t="shared" si="50"/>
        <v>4270.3</v>
      </c>
      <c r="J1247" s="12">
        <v>5720001</v>
      </c>
    </row>
    <row r="1248" spans="3:10" x14ac:dyDescent="0.3">
      <c r="C1248" s="8" t="s">
        <v>11</v>
      </c>
      <c r="D1248" s="9">
        <v>45744</v>
      </c>
      <c r="E1248" t="s">
        <v>1196</v>
      </c>
      <c r="F1248" s="10" t="s">
        <v>17</v>
      </c>
      <c r="G1248" s="11">
        <v>1800</v>
      </c>
      <c r="H1248" s="11">
        <v>0</v>
      </c>
      <c r="I1248" s="11">
        <f t="shared" si="50"/>
        <v>6070.3</v>
      </c>
      <c r="J1248" s="12">
        <v>5720001</v>
      </c>
    </row>
    <row r="1249" spans="3:10" x14ac:dyDescent="0.3">
      <c r="C1249" s="8" t="s">
        <v>11</v>
      </c>
      <c r="D1249" s="9">
        <v>45744</v>
      </c>
      <c r="E1249" t="s">
        <v>1197</v>
      </c>
      <c r="F1249" s="10" t="s">
        <v>17</v>
      </c>
      <c r="G1249" s="11">
        <v>1566</v>
      </c>
      <c r="H1249" s="11">
        <v>0</v>
      </c>
      <c r="I1249" s="11">
        <f t="shared" si="50"/>
        <v>7636.3</v>
      </c>
      <c r="J1249" s="12">
        <v>5720001</v>
      </c>
    </row>
    <row r="1250" spans="3:10" x14ac:dyDescent="0.3">
      <c r="C1250" s="8" t="s">
        <v>11</v>
      </c>
      <c r="D1250" s="9">
        <v>45744</v>
      </c>
      <c r="E1250" t="s">
        <v>1199</v>
      </c>
      <c r="F1250" s="10" t="s">
        <v>17</v>
      </c>
      <c r="G1250" s="11">
        <v>2000</v>
      </c>
      <c r="H1250" s="11">
        <v>0</v>
      </c>
      <c r="I1250" s="11">
        <f t="shared" si="50"/>
        <v>9636.2999999999993</v>
      </c>
      <c r="J1250" s="12">
        <v>5720001</v>
      </c>
    </row>
    <row r="1251" spans="3:10" x14ac:dyDescent="0.3">
      <c r="C1251" s="8" t="s">
        <v>11</v>
      </c>
      <c r="D1251" s="9">
        <v>45744</v>
      </c>
      <c r="E1251" t="s">
        <v>1198</v>
      </c>
      <c r="F1251" s="10" t="s">
        <v>17</v>
      </c>
      <c r="G1251" s="11">
        <v>2000</v>
      </c>
      <c r="H1251" s="11">
        <v>0</v>
      </c>
      <c r="I1251" s="11">
        <f t="shared" si="50"/>
        <v>11636.3</v>
      </c>
      <c r="J1251" s="12">
        <v>5720001</v>
      </c>
    </row>
    <row r="1252" spans="3:10" x14ac:dyDescent="0.3">
      <c r="C1252" s="8" t="s">
        <v>11</v>
      </c>
      <c r="D1252" s="9">
        <v>45747</v>
      </c>
      <c r="E1252" t="s">
        <v>1192</v>
      </c>
      <c r="F1252" s="10" t="s">
        <v>17</v>
      </c>
      <c r="G1252" s="11">
        <v>0</v>
      </c>
      <c r="H1252" s="11">
        <v>11636.3</v>
      </c>
      <c r="I1252" s="11">
        <f t="shared" si="50"/>
        <v>0</v>
      </c>
      <c r="J1252" s="12"/>
    </row>
    <row r="1253" spans="3:10" x14ac:dyDescent="0.3">
      <c r="C1253" s="8" t="s">
        <v>11</v>
      </c>
      <c r="D1253" s="9">
        <v>45777</v>
      </c>
      <c r="E1253" t="s">
        <v>1196</v>
      </c>
      <c r="F1253" s="10" t="s">
        <v>17</v>
      </c>
      <c r="G1253" s="11">
        <v>1800</v>
      </c>
      <c r="H1253" s="11">
        <v>0</v>
      </c>
      <c r="I1253" s="11">
        <f t="shared" si="50"/>
        <v>1800</v>
      </c>
      <c r="J1253" s="12">
        <v>5720001</v>
      </c>
    </row>
    <row r="1254" spans="3:10" x14ac:dyDescent="0.3">
      <c r="C1254" s="8" t="s">
        <v>11</v>
      </c>
      <c r="D1254" s="9">
        <v>45777</v>
      </c>
      <c r="E1254" t="s">
        <v>1195</v>
      </c>
      <c r="F1254" s="10" t="s">
        <v>17</v>
      </c>
      <c r="G1254" s="11">
        <v>1570</v>
      </c>
      <c r="H1254" s="11">
        <v>0</v>
      </c>
      <c r="I1254" s="11">
        <f t="shared" si="50"/>
        <v>3370</v>
      </c>
      <c r="J1254" s="12">
        <v>5720001</v>
      </c>
    </row>
    <row r="1255" spans="3:10" x14ac:dyDescent="0.3">
      <c r="C1255" s="8" t="s">
        <v>11</v>
      </c>
      <c r="D1255" s="9">
        <v>45777</v>
      </c>
      <c r="E1255" t="s">
        <v>1194</v>
      </c>
      <c r="F1255" s="10" t="s">
        <v>17</v>
      </c>
      <c r="G1255" s="11">
        <v>798.51</v>
      </c>
      <c r="H1255" s="11">
        <v>0</v>
      </c>
      <c r="I1255" s="11">
        <f t="shared" si="50"/>
        <v>4168.51</v>
      </c>
      <c r="J1255" s="12">
        <v>5720001</v>
      </c>
    </row>
    <row r="1256" spans="3:10" x14ac:dyDescent="0.3">
      <c r="C1256" s="8" t="s">
        <v>11</v>
      </c>
      <c r="D1256" s="9">
        <v>45777</v>
      </c>
      <c r="E1256" t="s">
        <v>1193</v>
      </c>
      <c r="F1256" s="10" t="s">
        <v>17</v>
      </c>
      <c r="G1256" s="11">
        <v>1439.44</v>
      </c>
      <c r="H1256" s="11">
        <v>0</v>
      </c>
      <c r="I1256" s="11">
        <f t="shared" si="50"/>
        <v>5607.9500000000007</v>
      </c>
      <c r="J1256" s="12">
        <v>5720001</v>
      </c>
    </row>
    <row r="1257" spans="3:10" x14ac:dyDescent="0.3">
      <c r="C1257" s="8" t="s">
        <v>11</v>
      </c>
      <c r="D1257" s="9">
        <v>45777</v>
      </c>
      <c r="E1257" t="s">
        <v>1197</v>
      </c>
      <c r="F1257" s="10" t="s">
        <v>17</v>
      </c>
      <c r="G1257" s="11">
        <v>1566</v>
      </c>
      <c r="H1257" s="11">
        <v>0</v>
      </c>
      <c r="I1257" s="11">
        <f t="shared" si="50"/>
        <v>7173.9500000000007</v>
      </c>
      <c r="J1257" s="12">
        <v>5720001</v>
      </c>
    </row>
    <row r="1258" spans="3:10" x14ac:dyDescent="0.3">
      <c r="C1258" s="8" t="s">
        <v>11</v>
      </c>
      <c r="D1258" s="9">
        <v>45777</v>
      </c>
      <c r="E1258" t="s">
        <v>1200</v>
      </c>
      <c r="F1258" s="10" t="s">
        <v>17</v>
      </c>
      <c r="G1258" s="11">
        <v>462.95</v>
      </c>
      <c r="H1258" s="11">
        <v>0</v>
      </c>
      <c r="I1258" s="11">
        <f t="shared" si="50"/>
        <v>7636.9000000000005</v>
      </c>
      <c r="J1258" s="12">
        <v>5720001</v>
      </c>
    </row>
    <row r="1259" spans="3:10" x14ac:dyDescent="0.3">
      <c r="C1259" s="8" t="s">
        <v>11</v>
      </c>
      <c r="D1259" s="9">
        <v>45777</v>
      </c>
      <c r="E1259" t="s">
        <v>1192</v>
      </c>
      <c r="F1259" s="10" t="s">
        <v>17</v>
      </c>
      <c r="G1259" s="11">
        <v>0</v>
      </c>
      <c r="H1259" s="11">
        <v>11636.9</v>
      </c>
      <c r="I1259" s="11">
        <f t="shared" si="50"/>
        <v>-3999.9999999999991</v>
      </c>
      <c r="J1259" s="12"/>
    </row>
    <row r="1260" spans="3:10" x14ac:dyDescent="0.3">
      <c r="C1260" s="8" t="s">
        <v>11</v>
      </c>
      <c r="D1260" s="9">
        <v>45783</v>
      </c>
      <c r="E1260" t="s">
        <v>1198</v>
      </c>
      <c r="F1260" s="10" t="s">
        <v>17</v>
      </c>
      <c r="G1260" s="11">
        <v>2000</v>
      </c>
      <c r="H1260" s="11">
        <v>0</v>
      </c>
      <c r="I1260" s="11">
        <f t="shared" ref="I1260:I1291" si="51">G1260-H1260+I1259</f>
        <v>-1999.9999999999991</v>
      </c>
      <c r="J1260" s="12">
        <v>5720001</v>
      </c>
    </row>
    <row r="1261" spans="3:10" x14ac:dyDescent="0.3">
      <c r="C1261" s="8" t="s">
        <v>11</v>
      </c>
      <c r="D1261" s="9">
        <v>45783</v>
      </c>
      <c r="E1261" t="s">
        <v>1199</v>
      </c>
      <c r="F1261" s="10" t="s">
        <v>17</v>
      </c>
      <c r="G1261" s="11">
        <v>2000</v>
      </c>
      <c r="H1261" s="11">
        <v>0</v>
      </c>
      <c r="I1261" s="11">
        <f t="shared" si="51"/>
        <v>0</v>
      </c>
      <c r="J1261" s="12">
        <v>5720001</v>
      </c>
    </row>
    <row r="1262" spans="3:10" x14ac:dyDescent="0.3">
      <c r="C1262" s="8" t="s">
        <v>11</v>
      </c>
      <c r="D1262" s="9">
        <v>45806</v>
      </c>
      <c r="E1262" t="s">
        <v>1196</v>
      </c>
      <c r="F1262" s="10" t="s">
        <v>17</v>
      </c>
      <c r="G1262" s="11">
        <v>1800</v>
      </c>
      <c r="H1262" s="11">
        <v>0</v>
      </c>
      <c r="I1262" s="11">
        <f t="shared" si="51"/>
        <v>1800</v>
      </c>
      <c r="J1262" s="12">
        <v>5720001</v>
      </c>
    </row>
    <row r="1263" spans="3:10" x14ac:dyDescent="0.3">
      <c r="C1263" s="8" t="s">
        <v>11</v>
      </c>
      <c r="D1263" s="9">
        <v>45806</v>
      </c>
      <c r="E1263" t="s">
        <v>1195</v>
      </c>
      <c r="F1263" s="10" t="s">
        <v>17</v>
      </c>
      <c r="G1263" s="11">
        <v>1570</v>
      </c>
      <c r="H1263" s="11">
        <v>0</v>
      </c>
      <c r="I1263" s="11">
        <f t="shared" si="51"/>
        <v>3370</v>
      </c>
      <c r="J1263" s="12">
        <v>5720001</v>
      </c>
    </row>
    <row r="1264" spans="3:10" x14ac:dyDescent="0.3">
      <c r="C1264" s="8" t="s">
        <v>11</v>
      </c>
      <c r="D1264" s="9">
        <v>45806</v>
      </c>
      <c r="E1264" t="s">
        <v>1194</v>
      </c>
      <c r="F1264" s="10" t="s">
        <v>17</v>
      </c>
      <c r="G1264" s="11">
        <v>798.51</v>
      </c>
      <c r="H1264" s="11">
        <v>0</v>
      </c>
      <c r="I1264" s="11">
        <f t="shared" si="51"/>
        <v>4168.51</v>
      </c>
      <c r="J1264" s="12">
        <v>5720001</v>
      </c>
    </row>
    <row r="1265" spans="3:10" x14ac:dyDescent="0.3">
      <c r="C1265" s="8" t="s">
        <v>11</v>
      </c>
      <c r="D1265" s="9">
        <v>45806</v>
      </c>
      <c r="E1265" t="s">
        <v>1193</v>
      </c>
      <c r="F1265" s="10" t="s">
        <v>17</v>
      </c>
      <c r="G1265" s="11">
        <v>1438.79</v>
      </c>
      <c r="H1265" s="11">
        <v>0</v>
      </c>
      <c r="I1265" s="11">
        <f t="shared" si="51"/>
        <v>5607.3</v>
      </c>
      <c r="J1265" s="12">
        <v>5720001</v>
      </c>
    </row>
    <row r="1266" spans="3:10" x14ac:dyDescent="0.3">
      <c r="C1266" s="8" t="s">
        <v>11</v>
      </c>
      <c r="D1266" s="9">
        <v>45806</v>
      </c>
      <c r="E1266" t="s">
        <v>1197</v>
      </c>
      <c r="F1266" s="10" t="s">
        <v>17</v>
      </c>
      <c r="G1266" s="11">
        <v>1566</v>
      </c>
      <c r="H1266" s="11">
        <v>0</v>
      </c>
      <c r="I1266" s="11">
        <f t="shared" si="51"/>
        <v>7173.3</v>
      </c>
      <c r="J1266" s="12">
        <v>5720001</v>
      </c>
    </row>
    <row r="1267" spans="3:10" x14ac:dyDescent="0.3">
      <c r="C1267" s="8" t="s">
        <v>11</v>
      </c>
      <c r="D1267" s="9">
        <v>45806</v>
      </c>
      <c r="E1267" t="s">
        <v>1200</v>
      </c>
      <c r="F1267" s="10" t="s">
        <v>17</v>
      </c>
      <c r="G1267" s="11">
        <v>462.95</v>
      </c>
      <c r="H1267" s="11">
        <v>0</v>
      </c>
      <c r="I1267" s="11">
        <f t="shared" si="51"/>
        <v>7636.25</v>
      </c>
      <c r="J1267" s="12">
        <v>5720001</v>
      </c>
    </row>
    <row r="1268" spans="3:10" x14ac:dyDescent="0.3">
      <c r="C1268" s="8" t="s">
        <v>11</v>
      </c>
      <c r="D1268" s="9">
        <v>45806</v>
      </c>
      <c r="E1268" t="s">
        <v>1199</v>
      </c>
      <c r="F1268" s="10" t="s">
        <v>17</v>
      </c>
      <c r="G1268" s="11">
        <v>2000</v>
      </c>
      <c r="H1268" s="11">
        <v>0</v>
      </c>
      <c r="I1268" s="11">
        <f t="shared" si="51"/>
        <v>9636.25</v>
      </c>
      <c r="J1268" s="12">
        <v>5720001</v>
      </c>
    </row>
    <row r="1269" spans="3:10" x14ac:dyDescent="0.3">
      <c r="C1269" s="8" t="s">
        <v>11</v>
      </c>
      <c r="D1269" s="9">
        <v>45806</v>
      </c>
      <c r="E1269" t="s">
        <v>1198</v>
      </c>
      <c r="F1269" s="10" t="s">
        <v>17</v>
      </c>
      <c r="G1269" s="11">
        <v>2000</v>
      </c>
      <c r="H1269" s="11">
        <v>0</v>
      </c>
      <c r="I1269" s="11">
        <f t="shared" si="51"/>
        <v>11636.25</v>
      </c>
      <c r="J1269" s="12">
        <v>5720001</v>
      </c>
    </row>
    <row r="1270" spans="3:10" x14ac:dyDescent="0.3">
      <c r="C1270" s="8" t="s">
        <v>11</v>
      </c>
      <c r="D1270" s="9">
        <v>45808</v>
      </c>
      <c r="E1270" t="s">
        <v>1192</v>
      </c>
      <c r="F1270" s="10" t="s">
        <v>17</v>
      </c>
      <c r="G1270" s="11">
        <v>0</v>
      </c>
      <c r="H1270" s="11">
        <v>11636.25</v>
      </c>
      <c r="I1270" s="11">
        <f t="shared" si="51"/>
        <v>0</v>
      </c>
      <c r="J1270" s="12"/>
    </row>
    <row r="1271" spans="3:10" x14ac:dyDescent="0.3">
      <c r="C1271" s="8" t="s">
        <v>11</v>
      </c>
      <c r="D1271" s="9">
        <v>45833</v>
      </c>
      <c r="E1271" t="s">
        <v>1196</v>
      </c>
      <c r="F1271" s="10" t="s">
        <v>17</v>
      </c>
      <c r="G1271" s="11">
        <v>1800</v>
      </c>
      <c r="H1271" s="11">
        <v>0</v>
      </c>
      <c r="I1271" s="11">
        <f t="shared" si="51"/>
        <v>1800</v>
      </c>
      <c r="J1271" s="12">
        <v>5720001</v>
      </c>
    </row>
    <row r="1272" spans="3:10" x14ac:dyDescent="0.3">
      <c r="C1272" s="8" t="s">
        <v>11</v>
      </c>
      <c r="D1272" s="9">
        <v>45833</v>
      </c>
      <c r="E1272" t="s">
        <v>1195</v>
      </c>
      <c r="F1272" s="10" t="s">
        <v>17</v>
      </c>
      <c r="G1272" s="11">
        <v>1570</v>
      </c>
      <c r="H1272" s="11">
        <v>0</v>
      </c>
      <c r="I1272" s="11">
        <f t="shared" si="51"/>
        <v>3370</v>
      </c>
      <c r="J1272" s="12">
        <v>5720001</v>
      </c>
    </row>
    <row r="1273" spans="3:10" x14ac:dyDescent="0.3">
      <c r="C1273" s="8" t="s">
        <v>11</v>
      </c>
      <c r="D1273" s="9">
        <v>45833</v>
      </c>
      <c r="E1273" t="s">
        <v>1193</v>
      </c>
      <c r="F1273" s="10" t="s">
        <v>17</v>
      </c>
      <c r="G1273" s="11">
        <v>1578.89</v>
      </c>
      <c r="H1273" s="11">
        <v>0</v>
      </c>
      <c r="I1273" s="11">
        <f t="shared" si="51"/>
        <v>4948.8900000000003</v>
      </c>
      <c r="J1273" s="12">
        <v>5720001</v>
      </c>
    </row>
    <row r="1274" spans="3:10" x14ac:dyDescent="0.3">
      <c r="C1274" s="8" t="s">
        <v>11</v>
      </c>
      <c r="D1274" s="9">
        <v>45833</v>
      </c>
      <c r="E1274" t="s">
        <v>1194</v>
      </c>
      <c r="F1274" s="10" t="s">
        <v>17</v>
      </c>
      <c r="G1274" s="11">
        <v>741.2</v>
      </c>
      <c r="H1274" s="11">
        <v>0</v>
      </c>
      <c r="I1274" s="11">
        <f t="shared" si="51"/>
        <v>5690.09</v>
      </c>
      <c r="J1274" s="12">
        <v>5720001</v>
      </c>
    </row>
    <row r="1275" spans="3:10" x14ac:dyDescent="0.3">
      <c r="C1275" s="8" t="s">
        <v>11</v>
      </c>
      <c r="D1275" s="9">
        <v>45833</v>
      </c>
      <c r="E1275" t="s">
        <v>1197</v>
      </c>
      <c r="F1275" s="10" t="s">
        <v>17</v>
      </c>
      <c r="G1275" s="11">
        <v>1661.77</v>
      </c>
      <c r="H1275" s="11">
        <v>0</v>
      </c>
      <c r="I1275" s="11">
        <f t="shared" si="51"/>
        <v>7351.8600000000006</v>
      </c>
      <c r="J1275" s="12">
        <v>5720001</v>
      </c>
    </row>
    <row r="1276" spans="3:10" x14ac:dyDescent="0.3">
      <c r="C1276" s="8" t="s">
        <v>11</v>
      </c>
      <c r="D1276" s="9">
        <v>45833</v>
      </c>
      <c r="E1276" t="s">
        <v>1200</v>
      </c>
      <c r="F1276" s="10" t="s">
        <v>17</v>
      </c>
      <c r="G1276" s="11">
        <v>182.83</v>
      </c>
      <c r="H1276" s="11">
        <v>0</v>
      </c>
      <c r="I1276" s="11">
        <f t="shared" si="51"/>
        <v>7534.6900000000005</v>
      </c>
      <c r="J1276" s="12">
        <v>5720001</v>
      </c>
    </row>
    <row r="1277" spans="3:10" x14ac:dyDescent="0.3">
      <c r="C1277" s="8" t="s">
        <v>11</v>
      </c>
      <c r="D1277" s="9">
        <v>45833</v>
      </c>
      <c r="E1277" t="s">
        <v>1198</v>
      </c>
      <c r="F1277" s="10" t="s">
        <v>17</v>
      </c>
      <c r="G1277" s="11">
        <v>2000</v>
      </c>
      <c r="H1277" s="11">
        <v>0</v>
      </c>
      <c r="I1277" s="11">
        <f t="shared" si="51"/>
        <v>9534.69</v>
      </c>
      <c r="J1277" s="12">
        <v>5720001</v>
      </c>
    </row>
    <row r="1278" spans="3:10" x14ac:dyDescent="0.3">
      <c r="C1278" s="8" t="s">
        <v>11</v>
      </c>
      <c r="D1278" s="9">
        <v>45833</v>
      </c>
      <c r="E1278" t="s">
        <v>1199</v>
      </c>
      <c r="F1278" s="10" t="s">
        <v>17</v>
      </c>
      <c r="G1278" s="11">
        <v>2000</v>
      </c>
      <c r="H1278" s="11">
        <v>0</v>
      </c>
      <c r="I1278" s="11">
        <f t="shared" si="51"/>
        <v>11534.69</v>
      </c>
      <c r="J1278" s="12">
        <v>5720001</v>
      </c>
    </row>
    <row r="1279" spans="3:10" x14ac:dyDescent="0.3">
      <c r="C1279" s="8" t="s">
        <v>11</v>
      </c>
      <c r="D1279" s="9">
        <v>45835</v>
      </c>
      <c r="E1279" t="s">
        <v>1198</v>
      </c>
      <c r="F1279" s="10" t="s">
        <v>17</v>
      </c>
      <c r="G1279" s="11">
        <v>2000</v>
      </c>
      <c r="H1279" s="11">
        <v>0</v>
      </c>
      <c r="I1279" s="11">
        <f t="shared" si="51"/>
        <v>13534.69</v>
      </c>
      <c r="J1279" s="12">
        <v>5720001</v>
      </c>
    </row>
    <row r="1280" spans="3:10" x14ac:dyDescent="0.3">
      <c r="C1280" s="8" t="s">
        <v>11</v>
      </c>
      <c r="D1280" s="9">
        <v>45835</v>
      </c>
      <c r="E1280" t="s">
        <v>1199</v>
      </c>
      <c r="F1280" s="10" t="s">
        <v>17</v>
      </c>
      <c r="G1280" s="11">
        <v>2000</v>
      </c>
      <c r="H1280" s="11">
        <v>0</v>
      </c>
      <c r="I1280" s="11">
        <f t="shared" si="51"/>
        <v>15534.69</v>
      </c>
      <c r="J1280" s="12">
        <v>5720001</v>
      </c>
    </row>
    <row r="1281" spans="3:10" x14ac:dyDescent="0.3">
      <c r="C1281" s="8" t="s">
        <v>11</v>
      </c>
      <c r="D1281" s="9">
        <v>45835</v>
      </c>
      <c r="E1281" t="s">
        <v>1196</v>
      </c>
      <c r="F1281" s="10" t="s">
        <v>17</v>
      </c>
      <c r="G1281" s="11">
        <v>1800</v>
      </c>
      <c r="H1281" s="11">
        <v>0</v>
      </c>
      <c r="I1281" s="11">
        <f t="shared" si="51"/>
        <v>17334.690000000002</v>
      </c>
      <c r="J1281" s="12">
        <v>5720001</v>
      </c>
    </row>
    <row r="1282" spans="3:10" x14ac:dyDescent="0.3">
      <c r="C1282" s="8" t="s">
        <v>11</v>
      </c>
      <c r="D1282" s="9">
        <v>45835</v>
      </c>
      <c r="E1282" t="s">
        <v>1195</v>
      </c>
      <c r="F1282" s="10" t="s">
        <v>17</v>
      </c>
      <c r="G1282" s="11">
        <v>1570</v>
      </c>
      <c r="H1282" s="11">
        <v>0</v>
      </c>
      <c r="I1282" s="11">
        <f t="shared" si="51"/>
        <v>18904.690000000002</v>
      </c>
      <c r="J1282" s="12">
        <v>5720001</v>
      </c>
    </row>
    <row r="1283" spans="3:10" x14ac:dyDescent="0.3">
      <c r="C1283" s="8" t="s">
        <v>11</v>
      </c>
      <c r="D1283" s="9">
        <v>45835</v>
      </c>
      <c r="E1283" t="s">
        <v>1193</v>
      </c>
      <c r="F1283" s="10" t="s">
        <v>17</v>
      </c>
      <c r="G1283" s="11">
        <v>1439.44</v>
      </c>
      <c r="H1283" s="11">
        <v>0</v>
      </c>
      <c r="I1283" s="11">
        <f t="shared" si="51"/>
        <v>20344.13</v>
      </c>
      <c r="J1283" s="12">
        <v>5720001</v>
      </c>
    </row>
    <row r="1284" spans="3:10" x14ac:dyDescent="0.3">
      <c r="C1284" s="8" t="s">
        <v>11</v>
      </c>
      <c r="D1284" s="9">
        <v>45835</v>
      </c>
      <c r="E1284" t="s">
        <v>1194</v>
      </c>
      <c r="F1284" s="10" t="s">
        <v>17</v>
      </c>
      <c r="G1284" s="11">
        <v>798.51</v>
      </c>
      <c r="H1284" s="11">
        <v>0</v>
      </c>
      <c r="I1284" s="11">
        <f t="shared" si="51"/>
        <v>21142.639999999999</v>
      </c>
      <c r="J1284" s="12">
        <v>5720001</v>
      </c>
    </row>
    <row r="1285" spans="3:10" x14ac:dyDescent="0.3">
      <c r="C1285" s="8" t="s">
        <v>11</v>
      </c>
      <c r="D1285" s="9">
        <v>45835</v>
      </c>
      <c r="E1285" t="s">
        <v>1197</v>
      </c>
      <c r="F1285" s="10" t="s">
        <v>17</v>
      </c>
      <c r="G1285" s="11">
        <v>1566</v>
      </c>
      <c r="H1285" s="11">
        <v>0</v>
      </c>
      <c r="I1285" s="11">
        <f t="shared" si="51"/>
        <v>22708.639999999999</v>
      </c>
      <c r="J1285" s="12">
        <v>5720001</v>
      </c>
    </row>
    <row r="1286" spans="3:10" x14ac:dyDescent="0.3">
      <c r="C1286" s="8" t="s">
        <v>11</v>
      </c>
      <c r="D1286" s="9">
        <v>45835</v>
      </c>
      <c r="E1286" t="s">
        <v>1200</v>
      </c>
      <c r="F1286" s="10" t="s">
        <v>17</v>
      </c>
      <c r="G1286" s="11">
        <v>462.95</v>
      </c>
      <c r="H1286" s="11">
        <v>0</v>
      </c>
      <c r="I1286" s="11">
        <f t="shared" si="51"/>
        <v>23171.59</v>
      </c>
      <c r="J1286" s="12">
        <v>5720001</v>
      </c>
    </row>
    <row r="1287" spans="3:10" x14ac:dyDescent="0.3">
      <c r="C1287" s="8" t="s">
        <v>11</v>
      </c>
      <c r="D1287" s="9">
        <v>45838</v>
      </c>
      <c r="E1287" t="s">
        <v>1192</v>
      </c>
      <c r="F1287" s="10" t="s">
        <v>17</v>
      </c>
      <c r="G1287" s="11">
        <v>0</v>
      </c>
      <c r="H1287" s="11">
        <v>11636.9</v>
      </c>
      <c r="I1287" s="11">
        <f t="shared" si="51"/>
        <v>11534.69</v>
      </c>
      <c r="J1287" s="12"/>
    </row>
    <row r="1288" spans="3:10" x14ac:dyDescent="0.3">
      <c r="C1288" s="8" t="s">
        <v>11</v>
      </c>
      <c r="D1288" s="9">
        <v>45838</v>
      </c>
      <c r="E1288" t="s">
        <v>1192</v>
      </c>
      <c r="F1288" s="10" t="s">
        <v>17</v>
      </c>
      <c r="G1288" s="11">
        <v>0</v>
      </c>
      <c r="H1288" s="11">
        <v>11534.69</v>
      </c>
      <c r="I1288" s="11">
        <f t="shared" si="51"/>
        <v>0</v>
      </c>
      <c r="J1288" s="12"/>
    </row>
    <row r="1289" spans="3:10" x14ac:dyDescent="0.3">
      <c r="C1289" s="8"/>
      <c r="D1289" s="9">
        <v>45868</v>
      </c>
      <c r="E1289" t="s">
        <v>1196</v>
      </c>
      <c r="F1289" s="10" t="s">
        <v>17</v>
      </c>
      <c r="G1289" s="11">
        <v>1800</v>
      </c>
      <c r="H1289" s="11">
        <v>0</v>
      </c>
      <c r="I1289" s="11">
        <f t="shared" si="51"/>
        <v>1800</v>
      </c>
      <c r="J1289" s="12">
        <v>5720001</v>
      </c>
    </row>
    <row r="1290" spans="3:10" x14ac:dyDescent="0.3">
      <c r="C1290" s="8"/>
      <c r="D1290" s="9">
        <v>45868</v>
      </c>
      <c r="E1290" t="s">
        <v>1195</v>
      </c>
      <c r="F1290" s="10" t="s">
        <v>17</v>
      </c>
      <c r="G1290" s="11">
        <v>1570</v>
      </c>
      <c r="H1290" s="11">
        <v>0</v>
      </c>
      <c r="I1290" s="11">
        <f t="shared" si="51"/>
        <v>3370</v>
      </c>
      <c r="J1290" s="12">
        <v>5720001</v>
      </c>
    </row>
    <row r="1291" spans="3:10" x14ac:dyDescent="0.3">
      <c r="C1291" s="8"/>
      <c r="D1291" s="9">
        <v>45868</v>
      </c>
      <c r="E1291" t="s">
        <v>1194</v>
      </c>
      <c r="F1291" s="10" t="s">
        <v>17</v>
      </c>
      <c r="G1291" s="11">
        <v>798.51</v>
      </c>
      <c r="H1291" s="11">
        <v>0</v>
      </c>
      <c r="I1291" s="11">
        <f t="shared" si="51"/>
        <v>4168.51</v>
      </c>
      <c r="J1291" s="12">
        <v>5720001</v>
      </c>
    </row>
    <row r="1292" spans="3:10" x14ac:dyDescent="0.3">
      <c r="C1292" s="8"/>
      <c r="D1292" s="9">
        <v>45868</v>
      </c>
      <c r="E1292" t="s">
        <v>1193</v>
      </c>
      <c r="F1292" s="10" t="s">
        <v>17</v>
      </c>
      <c r="G1292" s="11">
        <v>1438.79</v>
      </c>
      <c r="H1292" s="11">
        <v>0</v>
      </c>
      <c r="I1292" s="11">
        <f t="shared" ref="I1292:I1323" si="52">G1292-H1292+I1291</f>
        <v>5607.3</v>
      </c>
      <c r="J1292" s="12">
        <v>5720001</v>
      </c>
    </row>
    <row r="1293" spans="3:10" x14ac:dyDescent="0.3">
      <c r="C1293" s="8"/>
      <c r="D1293" s="9">
        <v>45868</v>
      </c>
      <c r="E1293" t="s">
        <v>1197</v>
      </c>
      <c r="F1293" s="10" t="s">
        <v>17</v>
      </c>
      <c r="G1293" s="11">
        <v>1566</v>
      </c>
      <c r="H1293" s="11">
        <v>0</v>
      </c>
      <c r="I1293" s="11">
        <f t="shared" si="52"/>
        <v>7173.3</v>
      </c>
      <c r="J1293" s="12">
        <v>5720001</v>
      </c>
    </row>
    <row r="1294" spans="3:10" x14ac:dyDescent="0.3">
      <c r="C1294" s="8"/>
      <c r="D1294" s="9">
        <v>45868</v>
      </c>
      <c r="E1294" t="s">
        <v>1199</v>
      </c>
      <c r="F1294" s="10" t="s">
        <v>17</v>
      </c>
      <c r="G1294" s="11">
        <v>2000</v>
      </c>
      <c r="H1294" s="11">
        <v>0</v>
      </c>
      <c r="I1294" s="11">
        <f t="shared" si="52"/>
        <v>9173.2999999999993</v>
      </c>
      <c r="J1294" s="12">
        <v>5720001</v>
      </c>
    </row>
    <row r="1295" spans="3:10" x14ac:dyDescent="0.3">
      <c r="C1295" s="8"/>
      <c r="D1295" s="9">
        <v>45868</v>
      </c>
      <c r="E1295" t="s">
        <v>1198</v>
      </c>
      <c r="F1295" s="10" t="s">
        <v>17</v>
      </c>
      <c r="G1295" s="11">
        <v>2000</v>
      </c>
      <c r="H1295" s="11">
        <v>0</v>
      </c>
      <c r="I1295" s="11">
        <f t="shared" si="52"/>
        <v>11173.3</v>
      </c>
      <c r="J1295" s="12">
        <v>5720001</v>
      </c>
    </row>
    <row r="1296" spans="3:10" x14ac:dyDescent="0.3">
      <c r="C1296" s="8"/>
      <c r="D1296" s="9">
        <v>45868</v>
      </c>
      <c r="E1296" t="s">
        <v>1200</v>
      </c>
      <c r="F1296" s="10" t="s">
        <v>17</v>
      </c>
      <c r="G1296" s="11">
        <v>462.95</v>
      </c>
      <c r="H1296" s="11">
        <v>0</v>
      </c>
      <c r="I1296" s="11">
        <f t="shared" si="52"/>
        <v>11636.25</v>
      </c>
      <c r="J1296" s="12">
        <v>5720001</v>
      </c>
    </row>
    <row r="1297" spans="1:10" x14ac:dyDescent="0.3">
      <c r="C1297" s="8"/>
      <c r="D1297" s="9">
        <v>45869</v>
      </c>
      <c r="E1297" t="s">
        <v>1192</v>
      </c>
      <c r="F1297" s="10" t="s">
        <v>17</v>
      </c>
      <c r="G1297" s="11">
        <v>0</v>
      </c>
      <c r="H1297" s="11">
        <v>11636.25</v>
      </c>
      <c r="I1297" s="11">
        <f t="shared" si="52"/>
        <v>0</v>
      </c>
      <c r="J1297" s="12"/>
    </row>
    <row r="1298" spans="1:10" x14ac:dyDescent="0.3">
      <c r="C1298" s="8"/>
      <c r="D1298" s="9">
        <v>45898</v>
      </c>
      <c r="E1298" t="s">
        <v>1196</v>
      </c>
      <c r="F1298" s="10" t="s">
        <v>17</v>
      </c>
      <c r="G1298" s="11">
        <v>1800</v>
      </c>
      <c r="H1298" s="11">
        <v>0</v>
      </c>
      <c r="I1298" s="11">
        <f t="shared" si="52"/>
        <v>1800</v>
      </c>
      <c r="J1298" s="12">
        <v>5720001</v>
      </c>
    </row>
    <row r="1299" spans="1:10" x14ac:dyDescent="0.3">
      <c r="C1299" s="8"/>
      <c r="D1299" s="9">
        <v>45898</v>
      </c>
      <c r="E1299" t="s">
        <v>1195</v>
      </c>
      <c r="F1299" s="10" t="s">
        <v>17</v>
      </c>
      <c r="G1299" s="11">
        <v>1570</v>
      </c>
      <c r="H1299" s="11">
        <v>0</v>
      </c>
      <c r="I1299" s="11">
        <f t="shared" si="52"/>
        <v>3370</v>
      </c>
      <c r="J1299" s="12">
        <v>5720001</v>
      </c>
    </row>
    <row r="1300" spans="1:10" x14ac:dyDescent="0.3">
      <c r="C1300" s="8"/>
      <c r="D1300" s="9">
        <v>45898</v>
      </c>
      <c r="E1300" t="s">
        <v>1194</v>
      </c>
      <c r="F1300" s="10" t="s">
        <v>17</v>
      </c>
      <c r="G1300" s="11">
        <v>722.99</v>
      </c>
      <c r="H1300" s="11">
        <v>0</v>
      </c>
      <c r="I1300" s="11">
        <f t="shared" si="52"/>
        <v>4092.99</v>
      </c>
      <c r="J1300" s="12">
        <v>5720001</v>
      </c>
    </row>
    <row r="1301" spans="1:10" x14ac:dyDescent="0.3">
      <c r="C1301" s="8"/>
      <c r="D1301" s="9">
        <v>45898</v>
      </c>
      <c r="E1301" t="s">
        <v>1193</v>
      </c>
      <c r="F1301" s="10" t="s">
        <v>17</v>
      </c>
      <c r="G1301" s="11">
        <v>1438.79</v>
      </c>
      <c r="H1301" s="11">
        <v>0</v>
      </c>
      <c r="I1301" s="11">
        <f t="shared" si="52"/>
        <v>5531.78</v>
      </c>
      <c r="J1301" s="12">
        <v>5720001</v>
      </c>
    </row>
    <row r="1302" spans="1:10" x14ac:dyDescent="0.3">
      <c r="C1302" s="8"/>
      <c r="D1302" s="9">
        <v>45898</v>
      </c>
      <c r="E1302" t="s">
        <v>1197</v>
      </c>
      <c r="F1302" s="10" t="s">
        <v>17</v>
      </c>
      <c r="G1302" s="11">
        <v>1566</v>
      </c>
      <c r="H1302" s="11">
        <v>0</v>
      </c>
      <c r="I1302" s="11">
        <f t="shared" si="52"/>
        <v>7097.78</v>
      </c>
      <c r="J1302" s="12">
        <v>5720001</v>
      </c>
    </row>
    <row r="1303" spans="1:10" x14ac:dyDescent="0.3">
      <c r="C1303" s="8"/>
      <c r="D1303" s="9">
        <v>45898</v>
      </c>
      <c r="E1303" t="s">
        <v>1199</v>
      </c>
      <c r="F1303" s="10" t="s">
        <v>17</v>
      </c>
      <c r="G1303" s="11">
        <v>2000</v>
      </c>
      <c r="H1303" s="11">
        <v>0</v>
      </c>
      <c r="I1303" s="11">
        <f t="shared" si="52"/>
        <v>9097.7799999999988</v>
      </c>
      <c r="J1303" s="12">
        <v>5720001</v>
      </c>
    </row>
    <row r="1304" spans="1:10" x14ac:dyDescent="0.3">
      <c r="C1304" s="8"/>
      <c r="D1304" s="9">
        <v>45898</v>
      </c>
      <c r="E1304" t="s">
        <v>1198</v>
      </c>
      <c r="F1304" s="10" t="s">
        <v>17</v>
      </c>
      <c r="G1304" s="11">
        <v>2000</v>
      </c>
      <c r="H1304" s="11">
        <v>0</v>
      </c>
      <c r="I1304" s="11">
        <f t="shared" si="52"/>
        <v>11097.779999999999</v>
      </c>
      <c r="J1304" s="12">
        <v>5720001</v>
      </c>
    </row>
    <row r="1305" spans="1:10" x14ac:dyDescent="0.3">
      <c r="C1305" s="8"/>
      <c r="D1305" s="9">
        <v>45900</v>
      </c>
      <c r="E1305" t="s">
        <v>1192</v>
      </c>
      <c r="F1305" s="10" t="s">
        <v>17</v>
      </c>
      <c r="G1305" s="11">
        <v>0</v>
      </c>
      <c r="H1305" s="11">
        <v>11097.78</v>
      </c>
      <c r="I1305" s="11">
        <f t="shared" si="52"/>
        <v>0</v>
      </c>
      <c r="J1305" s="12"/>
    </row>
    <row r="1306" spans="1:10" x14ac:dyDescent="0.3">
      <c r="C1306" s="8"/>
      <c r="D1306" s="9">
        <v>45905</v>
      </c>
      <c r="E1306" t="s">
        <v>1200</v>
      </c>
      <c r="F1306" s="10" t="s">
        <v>17</v>
      </c>
      <c r="G1306" s="11">
        <v>423.84</v>
      </c>
      <c r="H1306" s="11">
        <v>0</v>
      </c>
      <c r="I1306" s="11">
        <f t="shared" si="52"/>
        <v>423.84</v>
      </c>
      <c r="J1306" s="12">
        <v>5720001</v>
      </c>
    </row>
    <row r="1307" spans="1:10" x14ac:dyDescent="0.3">
      <c r="C1307" s="8"/>
      <c r="D1307" s="9">
        <v>45905</v>
      </c>
      <c r="E1307" t="s">
        <v>1192</v>
      </c>
      <c r="F1307" s="10" t="s">
        <v>17</v>
      </c>
      <c r="G1307" s="11">
        <v>0</v>
      </c>
      <c r="H1307" s="11">
        <v>76.14</v>
      </c>
      <c r="I1307" s="11">
        <f t="shared" si="52"/>
        <v>347.7</v>
      </c>
      <c r="J1307" s="12"/>
    </row>
    <row r="1308" spans="1:10" x14ac:dyDescent="0.3">
      <c r="C1308" s="8"/>
      <c r="D1308" s="9">
        <v>45905</v>
      </c>
      <c r="E1308" t="s">
        <v>1192</v>
      </c>
      <c r="F1308" s="10" t="s">
        <v>17</v>
      </c>
      <c r="G1308" s="11">
        <v>0</v>
      </c>
      <c r="H1308" s="11">
        <v>347.7</v>
      </c>
      <c r="I1308" s="11">
        <f t="shared" si="52"/>
        <v>0</v>
      </c>
      <c r="J1308" s="12"/>
    </row>
    <row r="1309" spans="1:10" x14ac:dyDescent="0.3">
      <c r="C1309" s="8"/>
      <c r="D1309" s="9">
        <v>45930</v>
      </c>
      <c r="E1309" t="s">
        <v>1192</v>
      </c>
      <c r="F1309" s="10" t="s">
        <v>17</v>
      </c>
      <c r="G1309" s="11">
        <v>0</v>
      </c>
      <c r="H1309" s="11">
        <v>11098.43</v>
      </c>
      <c r="I1309" s="11">
        <f t="shared" si="52"/>
        <v>-11098.43</v>
      </c>
      <c r="J1309" s="12"/>
    </row>
    <row r="1310" spans="1:10" x14ac:dyDescent="0.3">
      <c r="E1310" s="4" t="s">
        <v>20</v>
      </c>
      <c r="G1310" s="11">
        <f>SUM(G1227:G1309)</f>
        <v>103763.01999999997</v>
      </c>
      <c r="H1310" s="11">
        <f>SUM(H1227:H1309)</f>
        <v>114861.45000000001</v>
      </c>
      <c r="I1310" s="11">
        <f>G1310-H1310</f>
        <v>-11098.430000000037</v>
      </c>
    </row>
    <row r="1312" spans="1:10" x14ac:dyDescent="0.3">
      <c r="A1312" s="5">
        <v>4650001</v>
      </c>
      <c r="B1312" s="6" t="s">
        <v>1201</v>
      </c>
      <c r="C1312" s="7"/>
      <c r="D1312" s="7"/>
      <c r="E1312" s="7"/>
      <c r="F1312" s="7"/>
      <c r="G1312" s="7"/>
      <c r="H1312" s="7"/>
      <c r="I1312" s="7"/>
      <c r="J1312" s="7"/>
    </row>
    <row r="1313" spans="3:10" x14ac:dyDescent="0.3">
      <c r="C1313" s="8" t="s">
        <v>11</v>
      </c>
      <c r="D1313" s="9">
        <v>45688</v>
      </c>
      <c r="E1313" t="s">
        <v>1202</v>
      </c>
      <c r="F1313" s="10" t="s">
        <v>17</v>
      </c>
      <c r="G1313" s="11">
        <v>0</v>
      </c>
      <c r="H1313" s="11">
        <v>876.4</v>
      </c>
      <c r="I1313" s="11">
        <f>G1313-H1313</f>
        <v>-876.4</v>
      </c>
      <c r="J1313" s="12"/>
    </row>
    <row r="1314" spans="3:10" x14ac:dyDescent="0.3">
      <c r="C1314" s="8" t="s">
        <v>11</v>
      </c>
      <c r="D1314" s="9">
        <v>45688</v>
      </c>
      <c r="E1314" t="s">
        <v>1203</v>
      </c>
      <c r="F1314" s="10" t="s">
        <v>17</v>
      </c>
      <c r="G1314" s="11">
        <v>439.6</v>
      </c>
      <c r="H1314" s="11">
        <v>0</v>
      </c>
      <c r="I1314" s="11">
        <f t="shared" ref="I1314:I1337" si="53">G1314-H1314+I1313</f>
        <v>-436.79999999999995</v>
      </c>
      <c r="J1314" s="12">
        <v>5720001</v>
      </c>
    </row>
    <row r="1315" spans="3:10" x14ac:dyDescent="0.3">
      <c r="C1315" s="8" t="s">
        <v>11</v>
      </c>
      <c r="D1315" s="9">
        <v>45688</v>
      </c>
      <c r="E1315" t="s">
        <v>1203</v>
      </c>
      <c r="F1315" s="10" t="s">
        <v>17</v>
      </c>
      <c r="G1315" s="11">
        <v>439.6</v>
      </c>
      <c r="H1315" s="11">
        <v>0</v>
      </c>
      <c r="I1315" s="11">
        <f t="shared" si="53"/>
        <v>2.8000000000000682</v>
      </c>
      <c r="J1315" s="12">
        <v>5720001</v>
      </c>
    </row>
    <row r="1316" spans="3:10" x14ac:dyDescent="0.3">
      <c r="C1316" s="8" t="s">
        <v>11</v>
      </c>
      <c r="D1316" s="9">
        <v>45716</v>
      </c>
      <c r="E1316" t="s">
        <v>1202</v>
      </c>
      <c r="F1316" s="10" t="s">
        <v>17</v>
      </c>
      <c r="G1316" s="11">
        <v>0</v>
      </c>
      <c r="H1316" s="11">
        <v>882</v>
      </c>
      <c r="I1316" s="11">
        <f t="shared" si="53"/>
        <v>-879.19999999999993</v>
      </c>
      <c r="J1316" s="12"/>
    </row>
    <row r="1317" spans="3:10" x14ac:dyDescent="0.3">
      <c r="C1317" s="8" t="s">
        <v>11</v>
      </c>
      <c r="D1317" s="9">
        <v>45716</v>
      </c>
      <c r="E1317" t="s">
        <v>1203</v>
      </c>
      <c r="F1317" s="10" t="s">
        <v>17</v>
      </c>
      <c r="G1317" s="11">
        <v>439.6</v>
      </c>
      <c r="H1317" s="11">
        <v>0</v>
      </c>
      <c r="I1317" s="11">
        <f t="shared" si="53"/>
        <v>-439.59999999999991</v>
      </c>
      <c r="J1317" s="12">
        <v>5720001</v>
      </c>
    </row>
    <row r="1318" spans="3:10" x14ac:dyDescent="0.3">
      <c r="C1318" s="8" t="s">
        <v>11</v>
      </c>
      <c r="D1318" s="9">
        <v>45716</v>
      </c>
      <c r="E1318" t="s">
        <v>1203</v>
      </c>
      <c r="F1318" s="10" t="s">
        <v>17</v>
      </c>
      <c r="G1318" s="11">
        <v>439.6</v>
      </c>
      <c r="H1318" s="11">
        <v>0</v>
      </c>
      <c r="I1318" s="11">
        <f t="shared" si="53"/>
        <v>0</v>
      </c>
      <c r="J1318" s="12">
        <v>5720001</v>
      </c>
    </row>
    <row r="1319" spans="3:10" x14ac:dyDescent="0.3">
      <c r="C1319" s="8" t="s">
        <v>11</v>
      </c>
      <c r="D1319" s="9">
        <v>45747</v>
      </c>
      <c r="E1319" t="s">
        <v>1202</v>
      </c>
      <c r="F1319" s="10" t="s">
        <v>17</v>
      </c>
      <c r="G1319" s="11">
        <v>0</v>
      </c>
      <c r="H1319" s="11">
        <v>879.2</v>
      </c>
      <c r="I1319" s="11">
        <f t="shared" si="53"/>
        <v>-879.2</v>
      </c>
      <c r="J1319" s="12"/>
    </row>
    <row r="1320" spans="3:10" x14ac:dyDescent="0.3">
      <c r="C1320" s="8" t="s">
        <v>11</v>
      </c>
      <c r="D1320" s="9">
        <v>45747</v>
      </c>
      <c r="E1320" t="s">
        <v>1203</v>
      </c>
      <c r="F1320" s="10" t="s">
        <v>17</v>
      </c>
      <c r="G1320" s="11">
        <v>439.6</v>
      </c>
      <c r="H1320" s="11">
        <v>0</v>
      </c>
      <c r="I1320" s="11">
        <f t="shared" si="53"/>
        <v>-439.6</v>
      </c>
      <c r="J1320" s="12">
        <v>5720001</v>
      </c>
    </row>
    <row r="1321" spans="3:10" x14ac:dyDescent="0.3">
      <c r="C1321" s="8" t="s">
        <v>11</v>
      </c>
      <c r="D1321" s="9">
        <v>45747</v>
      </c>
      <c r="E1321" t="s">
        <v>1203</v>
      </c>
      <c r="F1321" s="10" t="s">
        <v>17</v>
      </c>
      <c r="G1321" s="11">
        <v>439.6</v>
      </c>
      <c r="H1321" s="11">
        <v>0</v>
      </c>
      <c r="I1321" s="11">
        <f t="shared" si="53"/>
        <v>0</v>
      </c>
      <c r="J1321" s="12">
        <v>5720001</v>
      </c>
    </row>
    <row r="1322" spans="3:10" x14ac:dyDescent="0.3">
      <c r="C1322" s="8" t="s">
        <v>11</v>
      </c>
      <c r="D1322" s="9">
        <v>45777</v>
      </c>
      <c r="E1322" t="s">
        <v>1203</v>
      </c>
      <c r="F1322" s="10" t="s">
        <v>17</v>
      </c>
      <c r="G1322" s="11">
        <v>439.6</v>
      </c>
      <c r="H1322" s="11">
        <v>0</v>
      </c>
      <c r="I1322" s="11">
        <f t="shared" si="53"/>
        <v>439.6</v>
      </c>
      <c r="J1322" s="12">
        <v>5720001</v>
      </c>
    </row>
    <row r="1323" spans="3:10" x14ac:dyDescent="0.3">
      <c r="C1323" s="8" t="s">
        <v>11</v>
      </c>
      <c r="D1323" s="9">
        <v>45777</v>
      </c>
      <c r="E1323" t="s">
        <v>1203</v>
      </c>
      <c r="F1323" s="10" t="s">
        <v>17</v>
      </c>
      <c r="G1323" s="11">
        <v>439.6</v>
      </c>
      <c r="H1323" s="11">
        <v>0</v>
      </c>
      <c r="I1323" s="11">
        <f t="shared" si="53"/>
        <v>879.2</v>
      </c>
      <c r="J1323" s="12">
        <v>5720001</v>
      </c>
    </row>
    <row r="1324" spans="3:10" x14ac:dyDescent="0.3">
      <c r="C1324" s="8" t="s">
        <v>11</v>
      </c>
      <c r="D1324" s="9">
        <v>45777</v>
      </c>
      <c r="E1324" t="s">
        <v>1202</v>
      </c>
      <c r="F1324" s="10" t="s">
        <v>17</v>
      </c>
      <c r="G1324" s="11">
        <v>0</v>
      </c>
      <c r="H1324" s="11">
        <v>879.2</v>
      </c>
      <c r="I1324" s="11">
        <f t="shared" si="53"/>
        <v>0</v>
      </c>
      <c r="J1324" s="12"/>
    </row>
    <row r="1325" spans="3:10" x14ac:dyDescent="0.3">
      <c r="C1325" s="8" t="s">
        <v>11</v>
      </c>
      <c r="D1325" s="9">
        <v>45807</v>
      </c>
      <c r="E1325" t="s">
        <v>1203</v>
      </c>
      <c r="F1325" s="10" t="s">
        <v>17</v>
      </c>
      <c r="G1325" s="11">
        <v>439.6</v>
      </c>
      <c r="H1325" s="11">
        <v>0</v>
      </c>
      <c r="I1325" s="11">
        <f t="shared" si="53"/>
        <v>439.6</v>
      </c>
      <c r="J1325" s="12">
        <v>5720001</v>
      </c>
    </row>
    <row r="1326" spans="3:10" x14ac:dyDescent="0.3">
      <c r="C1326" s="8" t="s">
        <v>11</v>
      </c>
      <c r="D1326" s="9">
        <v>45807</v>
      </c>
      <c r="E1326" t="s">
        <v>1203</v>
      </c>
      <c r="F1326" s="10" t="s">
        <v>17</v>
      </c>
      <c r="G1326" s="11">
        <v>439.6</v>
      </c>
      <c r="H1326" s="11">
        <v>0</v>
      </c>
      <c r="I1326" s="11">
        <f t="shared" si="53"/>
        <v>879.2</v>
      </c>
      <c r="J1326" s="12">
        <v>5720001</v>
      </c>
    </row>
    <row r="1327" spans="3:10" x14ac:dyDescent="0.3">
      <c r="C1327" s="8" t="s">
        <v>11</v>
      </c>
      <c r="D1327" s="9">
        <v>45808</v>
      </c>
      <c r="E1327" t="s">
        <v>1202</v>
      </c>
      <c r="F1327" s="10" t="s">
        <v>17</v>
      </c>
      <c r="G1327" s="11">
        <v>0</v>
      </c>
      <c r="H1327" s="11">
        <v>879.2</v>
      </c>
      <c r="I1327" s="11">
        <f t="shared" si="53"/>
        <v>0</v>
      </c>
      <c r="J1327" s="12"/>
    </row>
    <row r="1328" spans="3:10" x14ac:dyDescent="0.3">
      <c r="C1328" s="8" t="s">
        <v>11</v>
      </c>
      <c r="D1328" s="9">
        <v>45838</v>
      </c>
      <c r="E1328" t="s">
        <v>1202</v>
      </c>
      <c r="F1328" s="10" t="s">
        <v>17</v>
      </c>
      <c r="G1328" s="11">
        <v>0</v>
      </c>
      <c r="H1328" s="11">
        <v>879.2</v>
      </c>
      <c r="I1328" s="11">
        <f t="shared" si="53"/>
        <v>-879.2</v>
      </c>
      <c r="J1328" s="12"/>
    </row>
    <row r="1329" spans="1:10" x14ac:dyDescent="0.3">
      <c r="C1329" s="8" t="s">
        <v>11</v>
      </c>
      <c r="D1329" s="9">
        <v>45838</v>
      </c>
      <c r="E1329" t="s">
        <v>1203</v>
      </c>
      <c r="F1329" s="10" t="s">
        <v>17</v>
      </c>
      <c r="G1329" s="11">
        <v>439.6</v>
      </c>
      <c r="H1329" s="11">
        <v>0</v>
      </c>
      <c r="I1329" s="11">
        <f t="shared" si="53"/>
        <v>-439.6</v>
      </c>
      <c r="J1329" s="12">
        <v>5720001</v>
      </c>
    </row>
    <row r="1330" spans="1:10" x14ac:dyDescent="0.3">
      <c r="C1330" s="8" t="s">
        <v>11</v>
      </c>
      <c r="D1330" s="9">
        <v>45838</v>
      </c>
      <c r="E1330" t="s">
        <v>1203</v>
      </c>
      <c r="F1330" s="10" t="s">
        <v>17</v>
      </c>
      <c r="G1330" s="11">
        <v>439.6</v>
      </c>
      <c r="H1330" s="11">
        <v>0</v>
      </c>
      <c r="I1330" s="11">
        <f t="shared" si="53"/>
        <v>0</v>
      </c>
      <c r="J1330" s="12">
        <v>5720001</v>
      </c>
    </row>
    <row r="1331" spans="1:10" x14ac:dyDescent="0.3">
      <c r="C1331" s="8"/>
      <c r="D1331" s="9">
        <v>45869</v>
      </c>
      <c r="E1331" t="s">
        <v>1203</v>
      </c>
      <c r="F1331" s="10" t="s">
        <v>17</v>
      </c>
      <c r="G1331" s="11">
        <v>439.6</v>
      </c>
      <c r="H1331" s="11">
        <v>0</v>
      </c>
      <c r="I1331" s="11">
        <f t="shared" si="53"/>
        <v>439.6</v>
      </c>
      <c r="J1331" s="12">
        <v>5720001</v>
      </c>
    </row>
    <row r="1332" spans="1:10" x14ac:dyDescent="0.3">
      <c r="C1332" s="8"/>
      <c r="D1332" s="9">
        <v>45869</v>
      </c>
      <c r="E1332" t="s">
        <v>1203</v>
      </c>
      <c r="F1332" s="10" t="s">
        <v>17</v>
      </c>
      <c r="G1332" s="11">
        <v>439.6</v>
      </c>
      <c r="H1332" s="11">
        <v>0</v>
      </c>
      <c r="I1332" s="11">
        <f t="shared" si="53"/>
        <v>879.2</v>
      </c>
      <c r="J1332" s="12">
        <v>5720001</v>
      </c>
    </row>
    <row r="1333" spans="1:10" x14ac:dyDescent="0.3">
      <c r="C1333" s="8"/>
      <c r="D1333" s="9">
        <v>45869</v>
      </c>
      <c r="E1333" t="s">
        <v>1202</v>
      </c>
      <c r="F1333" s="10" t="s">
        <v>17</v>
      </c>
      <c r="G1333" s="11">
        <v>0</v>
      </c>
      <c r="H1333" s="11">
        <v>879.2</v>
      </c>
      <c r="I1333" s="11">
        <f t="shared" si="53"/>
        <v>0</v>
      </c>
      <c r="J1333" s="12"/>
    </row>
    <row r="1334" spans="1:10" x14ac:dyDescent="0.3">
      <c r="C1334" s="8"/>
      <c r="D1334" s="9">
        <v>45898</v>
      </c>
      <c r="E1334" t="s">
        <v>1203</v>
      </c>
      <c r="F1334" s="10" t="s">
        <v>17</v>
      </c>
      <c r="G1334" s="11">
        <v>439.6</v>
      </c>
      <c r="H1334" s="11">
        <v>0</v>
      </c>
      <c r="I1334" s="11">
        <f t="shared" si="53"/>
        <v>439.6</v>
      </c>
      <c r="J1334" s="12">
        <v>5720001</v>
      </c>
    </row>
    <row r="1335" spans="1:10" x14ac:dyDescent="0.3">
      <c r="C1335" s="8"/>
      <c r="D1335" s="9">
        <v>45898</v>
      </c>
      <c r="E1335" t="s">
        <v>1203</v>
      </c>
      <c r="F1335" s="10" t="s">
        <v>17</v>
      </c>
      <c r="G1335" s="11">
        <v>439.6</v>
      </c>
      <c r="H1335" s="11">
        <v>0</v>
      </c>
      <c r="I1335" s="11">
        <f t="shared" si="53"/>
        <v>879.2</v>
      </c>
      <c r="J1335" s="12">
        <v>5720001</v>
      </c>
    </row>
    <row r="1336" spans="1:10" x14ac:dyDescent="0.3">
      <c r="C1336" s="8"/>
      <c r="D1336" s="9">
        <v>45900</v>
      </c>
      <c r="E1336" t="s">
        <v>1202</v>
      </c>
      <c r="F1336" s="10" t="s">
        <v>17</v>
      </c>
      <c r="G1336" s="11">
        <v>0</v>
      </c>
      <c r="H1336" s="11">
        <v>879.2</v>
      </c>
      <c r="I1336" s="11">
        <f t="shared" si="53"/>
        <v>0</v>
      </c>
      <c r="J1336" s="12"/>
    </row>
    <row r="1337" spans="1:10" x14ac:dyDescent="0.3">
      <c r="C1337" s="8"/>
      <c r="D1337" s="9">
        <v>45930</v>
      </c>
      <c r="E1337" t="s">
        <v>1202</v>
      </c>
      <c r="F1337" s="10" t="s">
        <v>17</v>
      </c>
      <c r="G1337" s="11">
        <v>0</v>
      </c>
      <c r="H1337" s="11">
        <v>879.2</v>
      </c>
      <c r="I1337" s="11">
        <f t="shared" si="53"/>
        <v>-879.2</v>
      </c>
      <c r="J1337" s="12"/>
    </row>
    <row r="1338" spans="1:10" x14ac:dyDescent="0.3">
      <c r="E1338" s="4" t="s">
        <v>20</v>
      </c>
      <c r="G1338" s="11">
        <f>SUM(G1313:G1337)</f>
        <v>7033.6000000000022</v>
      </c>
      <c r="H1338" s="11">
        <f>SUM(H1313:H1337)</f>
        <v>7912.7999999999993</v>
      </c>
      <c r="I1338" s="11">
        <f>G1338-H1338</f>
        <v>-879.19999999999709</v>
      </c>
    </row>
    <row r="1340" spans="1:10" x14ac:dyDescent="0.3">
      <c r="A1340" s="5">
        <v>4709000</v>
      </c>
      <c r="B1340" s="6" t="s">
        <v>1204</v>
      </c>
      <c r="C1340" s="7"/>
      <c r="D1340" s="7"/>
      <c r="E1340" s="7"/>
      <c r="F1340" s="7"/>
      <c r="G1340" s="7"/>
      <c r="H1340" s="7"/>
      <c r="I1340" s="7"/>
      <c r="J1340" s="7"/>
    </row>
    <row r="1341" spans="1:10" x14ac:dyDescent="0.3">
      <c r="E1341" s="4" t="s">
        <v>22</v>
      </c>
      <c r="G1341" s="11">
        <v>425.99</v>
      </c>
      <c r="H1341" s="11">
        <v>0</v>
      </c>
      <c r="I1341" s="11">
        <f>G1341-H1341</f>
        <v>425.99</v>
      </c>
    </row>
    <row r="1342" spans="1:10" x14ac:dyDescent="0.3">
      <c r="E1342" s="4" t="s">
        <v>20</v>
      </c>
      <c r="G1342" s="11">
        <f>G1341</f>
        <v>425.99</v>
      </c>
      <c r="H1342" s="11">
        <f>H1341</f>
        <v>0</v>
      </c>
      <c r="I1342" s="11">
        <f>G1342-H1342</f>
        <v>425.99</v>
      </c>
    </row>
    <row r="1344" spans="1:10" x14ac:dyDescent="0.3">
      <c r="A1344" s="5">
        <v>4720000</v>
      </c>
      <c r="B1344" s="6" t="s">
        <v>1205</v>
      </c>
      <c r="C1344" s="7"/>
      <c r="D1344" s="7"/>
      <c r="E1344" s="7"/>
      <c r="F1344" s="7"/>
      <c r="G1344" s="7"/>
      <c r="H1344" s="7"/>
      <c r="I1344" s="7"/>
      <c r="J1344" s="7"/>
    </row>
    <row r="1345" spans="3:10" x14ac:dyDescent="0.3">
      <c r="C1345" s="8" t="s">
        <v>11</v>
      </c>
      <c r="D1345" s="9">
        <v>45658</v>
      </c>
      <c r="E1345" t="s">
        <v>1206</v>
      </c>
      <c r="F1345" s="10" t="s">
        <v>468</v>
      </c>
      <c r="G1345" s="11">
        <v>560.91</v>
      </c>
      <c r="H1345" s="11">
        <v>0</v>
      </c>
      <c r="I1345" s="11">
        <f>G1345-H1345</f>
        <v>560.91</v>
      </c>
      <c r="J1345" s="12"/>
    </row>
    <row r="1346" spans="3:10" x14ac:dyDescent="0.3">
      <c r="C1346" s="8" t="s">
        <v>11</v>
      </c>
      <c r="D1346" s="9">
        <v>45658</v>
      </c>
      <c r="E1346" t="s">
        <v>1207</v>
      </c>
      <c r="F1346" s="10" t="s">
        <v>1208</v>
      </c>
      <c r="G1346" s="11">
        <v>79.48</v>
      </c>
      <c r="H1346" s="11">
        <v>0</v>
      </c>
      <c r="I1346" s="11">
        <f t="shared" ref="I1346:I1409" si="54">G1346-H1346+I1345</f>
        <v>640.39</v>
      </c>
      <c r="J1346" s="12"/>
    </row>
    <row r="1347" spans="3:10" x14ac:dyDescent="0.3">
      <c r="C1347" s="8" t="s">
        <v>11</v>
      </c>
      <c r="D1347" s="9">
        <v>45658</v>
      </c>
      <c r="E1347" t="s">
        <v>1209</v>
      </c>
      <c r="F1347" s="10" t="s">
        <v>583</v>
      </c>
      <c r="G1347" s="11">
        <v>12.39</v>
      </c>
      <c r="H1347" s="11">
        <v>0</v>
      </c>
      <c r="I1347" s="11">
        <f t="shared" si="54"/>
        <v>652.78</v>
      </c>
      <c r="J1347" s="12"/>
    </row>
    <row r="1348" spans="3:10" x14ac:dyDescent="0.3">
      <c r="C1348" s="8" t="s">
        <v>11</v>
      </c>
      <c r="D1348" s="9">
        <v>45658</v>
      </c>
      <c r="E1348" t="s">
        <v>1210</v>
      </c>
      <c r="F1348" s="10" t="s">
        <v>1211</v>
      </c>
      <c r="G1348" s="11">
        <v>6.3</v>
      </c>
      <c r="H1348" s="11">
        <v>0</v>
      </c>
      <c r="I1348" s="11">
        <f t="shared" si="54"/>
        <v>659.07999999999993</v>
      </c>
      <c r="J1348" s="12"/>
    </row>
    <row r="1349" spans="3:10" x14ac:dyDescent="0.3">
      <c r="C1349" s="8" t="s">
        <v>11</v>
      </c>
      <c r="D1349" s="9">
        <v>45659</v>
      </c>
      <c r="E1349" t="s">
        <v>1212</v>
      </c>
      <c r="F1349" s="10" t="s">
        <v>204</v>
      </c>
      <c r="G1349" s="11">
        <v>22.57</v>
      </c>
      <c r="H1349" s="11">
        <v>0</v>
      </c>
      <c r="I1349" s="11">
        <f t="shared" si="54"/>
        <v>681.65</v>
      </c>
      <c r="J1349" s="12"/>
    </row>
    <row r="1350" spans="3:10" x14ac:dyDescent="0.3">
      <c r="C1350" s="8" t="s">
        <v>11</v>
      </c>
      <c r="D1350" s="9">
        <v>45659</v>
      </c>
      <c r="E1350" t="s">
        <v>1213</v>
      </c>
      <c r="F1350" s="10" t="s">
        <v>628</v>
      </c>
      <c r="G1350" s="11">
        <v>5.21</v>
      </c>
      <c r="H1350" s="11">
        <v>0</v>
      </c>
      <c r="I1350" s="11">
        <f t="shared" si="54"/>
        <v>686.86</v>
      </c>
      <c r="J1350" s="12"/>
    </row>
    <row r="1351" spans="3:10" x14ac:dyDescent="0.3">
      <c r="C1351" s="8" t="s">
        <v>11</v>
      </c>
      <c r="D1351" s="9">
        <v>45659</v>
      </c>
      <c r="E1351" t="s">
        <v>1213</v>
      </c>
      <c r="F1351" s="10" t="s">
        <v>630</v>
      </c>
      <c r="G1351" s="11">
        <v>5.21</v>
      </c>
      <c r="H1351" s="11">
        <v>0</v>
      </c>
      <c r="I1351" s="11">
        <f t="shared" si="54"/>
        <v>692.07</v>
      </c>
      <c r="J1351" s="12"/>
    </row>
    <row r="1352" spans="3:10" x14ac:dyDescent="0.3">
      <c r="C1352" s="8" t="s">
        <v>11</v>
      </c>
      <c r="D1352" s="9">
        <v>45659</v>
      </c>
      <c r="E1352" t="s">
        <v>1213</v>
      </c>
      <c r="F1352" s="10" t="s">
        <v>632</v>
      </c>
      <c r="G1352" s="11">
        <v>5.21</v>
      </c>
      <c r="H1352" s="11">
        <v>0</v>
      </c>
      <c r="I1352" s="11">
        <f t="shared" si="54"/>
        <v>697.28000000000009</v>
      </c>
      <c r="J1352" s="12"/>
    </row>
    <row r="1353" spans="3:10" x14ac:dyDescent="0.3">
      <c r="C1353" s="8" t="s">
        <v>11</v>
      </c>
      <c r="D1353" s="9">
        <v>45659</v>
      </c>
      <c r="E1353" t="s">
        <v>1214</v>
      </c>
      <c r="F1353" s="10" t="s">
        <v>1215</v>
      </c>
      <c r="G1353" s="11">
        <v>3.47</v>
      </c>
      <c r="H1353" s="11">
        <v>0</v>
      </c>
      <c r="I1353" s="11">
        <f t="shared" si="54"/>
        <v>700.75000000000011</v>
      </c>
      <c r="J1353" s="12"/>
    </row>
    <row r="1354" spans="3:10" x14ac:dyDescent="0.3">
      <c r="C1354" s="8" t="s">
        <v>11</v>
      </c>
      <c r="D1354" s="9">
        <v>45659</v>
      </c>
      <c r="E1354" t="s">
        <v>1216</v>
      </c>
      <c r="F1354" s="10" t="s">
        <v>1217</v>
      </c>
      <c r="G1354" s="11">
        <v>8.4</v>
      </c>
      <c r="H1354" s="11">
        <v>0</v>
      </c>
      <c r="I1354" s="11">
        <f t="shared" si="54"/>
        <v>709.15000000000009</v>
      </c>
      <c r="J1354" s="12"/>
    </row>
    <row r="1355" spans="3:10" x14ac:dyDescent="0.3">
      <c r="C1355" s="8" t="s">
        <v>11</v>
      </c>
      <c r="D1355" s="9">
        <v>45659</v>
      </c>
      <c r="E1355" t="s">
        <v>1218</v>
      </c>
      <c r="F1355" s="10" t="s">
        <v>1219</v>
      </c>
      <c r="G1355" s="11">
        <v>26</v>
      </c>
      <c r="H1355" s="11">
        <v>0</v>
      </c>
      <c r="I1355" s="11">
        <f t="shared" si="54"/>
        <v>735.15000000000009</v>
      </c>
      <c r="J1355" s="12"/>
    </row>
    <row r="1356" spans="3:10" x14ac:dyDescent="0.3">
      <c r="C1356" s="8" t="s">
        <v>11</v>
      </c>
      <c r="D1356" s="9">
        <v>45659</v>
      </c>
      <c r="E1356" t="s">
        <v>1220</v>
      </c>
      <c r="F1356" s="10" t="s">
        <v>1221</v>
      </c>
      <c r="G1356" s="11">
        <v>35.729999999999997</v>
      </c>
      <c r="H1356" s="11">
        <v>0</v>
      </c>
      <c r="I1356" s="11">
        <f t="shared" si="54"/>
        <v>770.88000000000011</v>
      </c>
      <c r="J1356" s="12"/>
    </row>
    <row r="1357" spans="3:10" x14ac:dyDescent="0.3">
      <c r="C1357" s="8" t="s">
        <v>11</v>
      </c>
      <c r="D1357" s="9">
        <v>45659</v>
      </c>
      <c r="E1357" t="s">
        <v>1220</v>
      </c>
      <c r="F1357" s="10" t="s">
        <v>1221</v>
      </c>
      <c r="G1357" s="11">
        <v>56.4</v>
      </c>
      <c r="H1357" s="11">
        <v>0</v>
      </c>
      <c r="I1357" s="11">
        <f t="shared" si="54"/>
        <v>827.28000000000009</v>
      </c>
      <c r="J1357" s="12"/>
    </row>
    <row r="1358" spans="3:10" x14ac:dyDescent="0.3">
      <c r="C1358" s="8" t="s">
        <v>11</v>
      </c>
      <c r="D1358" s="9">
        <v>45659</v>
      </c>
      <c r="E1358" t="s">
        <v>1220</v>
      </c>
      <c r="F1358" s="10" t="s">
        <v>1221</v>
      </c>
      <c r="G1358" s="11">
        <v>1.1599999999999999</v>
      </c>
      <c r="H1358" s="11">
        <v>0</v>
      </c>
      <c r="I1358" s="11">
        <f t="shared" si="54"/>
        <v>828.44</v>
      </c>
      <c r="J1358" s="12"/>
    </row>
    <row r="1359" spans="3:10" x14ac:dyDescent="0.3">
      <c r="C1359" s="8" t="s">
        <v>11</v>
      </c>
      <c r="D1359" s="9">
        <v>45659</v>
      </c>
      <c r="E1359" t="s">
        <v>1213</v>
      </c>
      <c r="F1359" s="10" t="s">
        <v>634</v>
      </c>
      <c r="G1359" s="11">
        <v>5.21</v>
      </c>
      <c r="H1359" s="11">
        <v>0</v>
      </c>
      <c r="I1359" s="11">
        <f t="shared" si="54"/>
        <v>833.65000000000009</v>
      </c>
      <c r="J1359" s="12"/>
    </row>
    <row r="1360" spans="3:10" x14ac:dyDescent="0.3">
      <c r="C1360" s="8" t="s">
        <v>11</v>
      </c>
      <c r="D1360" s="9">
        <v>45659</v>
      </c>
      <c r="E1360" t="s">
        <v>1213</v>
      </c>
      <c r="F1360" s="10" t="s">
        <v>636</v>
      </c>
      <c r="G1360" s="11">
        <v>5.21</v>
      </c>
      <c r="H1360" s="11">
        <v>0</v>
      </c>
      <c r="I1360" s="11">
        <f t="shared" si="54"/>
        <v>838.86000000000013</v>
      </c>
      <c r="J1360" s="12"/>
    </row>
    <row r="1361" spans="3:10" x14ac:dyDescent="0.3">
      <c r="C1361" s="8" t="s">
        <v>11</v>
      </c>
      <c r="D1361" s="9">
        <v>45659</v>
      </c>
      <c r="E1361" t="s">
        <v>1222</v>
      </c>
      <c r="F1361" s="10" t="s">
        <v>1223</v>
      </c>
      <c r="G1361" s="11">
        <v>4.33</v>
      </c>
      <c r="H1361" s="11">
        <v>0</v>
      </c>
      <c r="I1361" s="11">
        <f t="shared" si="54"/>
        <v>843.19000000000017</v>
      </c>
      <c r="J1361" s="12"/>
    </row>
    <row r="1362" spans="3:10" x14ac:dyDescent="0.3">
      <c r="C1362" s="8" t="s">
        <v>11</v>
      </c>
      <c r="D1362" s="9">
        <v>45659</v>
      </c>
      <c r="E1362" t="s">
        <v>1222</v>
      </c>
      <c r="F1362" s="10" t="s">
        <v>1223</v>
      </c>
      <c r="G1362" s="11">
        <v>17.149999999999999</v>
      </c>
      <c r="H1362" s="11">
        <v>0</v>
      </c>
      <c r="I1362" s="11">
        <f t="shared" si="54"/>
        <v>860.34000000000015</v>
      </c>
      <c r="J1362" s="12"/>
    </row>
    <row r="1363" spans="3:10" x14ac:dyDescent="0.3">
      <c r="C1363" s="8" t="s">
        <v>11</v>
      </c>
      <c r="D1363" s="9">
        <v>45659</v>
      </c>
      <c r="E1363" t="s">
        <v>1209</v>
      </c>
      <c r="F1363" s="10" t="s">
        <v>585</v>
      </c>
      <c r="G1363" s="11">
        <v>12.05</v>
      </c>
      <c r="H1363" s="11">
        <v>0</v>
      </c>
      <c r="I1363" s="11">
        <f t="shared" si="54"/>
        <v>872.3900000000001</v>
      </c>
      <c r="J1363" s="12"/>
    </row>
    <row r="1364" spans="3:10" x14ac:dyDescent="0.3">
      <c r="C1364" s="8" t="s">
        <v>11</v>
      </c>
      <c r="D1364" s="9">
        <v>45665</v>
      </c>
      <c r="E1364" t="s">
        <v>1224</v>
      </c>
      <c r="F1364" s="10" t="s">
        <v>1225</v>
      </c>
      <c r="G1364" s="11">
        <v>77.63</v>
      </c>
      <c r="H1364" s="11">
        <v>0</v>
      </c>
      <c r="I1364" s="11">
        <f t="shared" si="54"/>
        <v>950.0200000000001</v>
      </c>
      <c r="J1364" s="12"/>
    </row>
    <row r="1365" spans="3:10" x14ac:dyDescent="0.3">
      <c r="C1365" s="8" t="s">
        <v>11</v>
      </c>
      <c r="D1365" s="9">
        <v>45665</v>
      </c>
      <c r="E1365" t="s">
        <v>1226</v>
      </c>
      <c r="F1365" s="10" t="s">
        <v>1227</v>
      </c>
      <c r="G1365" s="11">
        <v>13.36</v>
      </c>
      <c r="H1365" s="11">
        <v>0</v>
      </c>
      <c r="I1365" s="11">
        <f t="shared" si="54"/>
        <v>963.38000000000011</v>
      </c>
      <c r="J1365" s="12"/>
    </row>
    <row r="1366" spans="3:10" x14ac:dyDescent="0.3">
      <c r="C1366" s="8" t="s">
        <v>11</v>
      </c>
      <c r="D1366" s="9">
        <v>45665</v>
      </c>
      <c r="E1366" t="s">
        <v>1228</v>
      </c>
      <c r="F1366" s="10" t="s">
        <v>1229</v>
      </c>
      <c r="G1366" s="11">
        <v>6.16</v>
      </c>
      <c r="H1366" s="11">
        <v>0</v>
      </c>
      <c r="I1366" s="11">
        <f t="shared" si="54"/>
        <v>969.54000000000008</v>
      </c>
      <c r="J1366" s="12"/>
    </row>
    <row r="1367" spans="3:10" x14ac:dyDescent="0.3">
      <c r="C1367" s="8" t="s">
        <v>11</v>
      </c>
      <c r="D1367" s="9">
        <v>45670</v>
      </c>
      <c r="E1367" t="s">
        <v>1212</v>
      </c>
      <c r="F1367" s="10" t="s">
        <v>206</v>
      </c>
      <c r="G1367" s="11">
        <v>22.57</v>
      </c>
      <c r="H1367" s="11">
        <v>0</v>
      </c>
      <c r="I1367" s="11">
        <f t="shared" si="54"/>
        <v>992.11000000000013</v>
      </c>
      <c r="J1367" s="12"/>
    </row>
    <row r="1368" spans="3:10" x14ac:dyDescent="0.3">
      <c r="C1368" s="8" t="s">
        <v>11</v>
      </c>
      <c r="D1368" s="9">
        <v>45671</v>
      </c>
      <c r="E1368" t="s">
        <v>1230</v>
      </c>
      <c r="F1368" s="10" t="s">
        <v>24</v>
      </c>
      <c r="G1368" s="11">
        <v>27.23</v>
      </c>
      <c r="H1368" s="11">
        <v>0</v>
      </c>
      <c r="I1368" s="11">
        <f t="shared" si="54"/>
        <v>1019.3400000000001</v>
      </c>
      <c r="J1368" s="12"/>
    </row>
    <row r="1369" spans="3:10" x14ac:dyDescent="0.3">
      <c r="C1369" s="8" t="s">
        <v>11</v>
      </c>
      <c r="D1369" s="9">
        <v>45672</v>
      </c>
      <c r="E1369" t="s">
        <v>1231</v>
      </c>
      <c r="F1369" s="10" t="s">
        <v>562</v>
      </c>
      <c r="G1369" s="11">
        <v>90.3</v>
      </c>
      <c r="H1369" s="11">
        <v>0</v>
      </c>
      <c r="I1369" s="11">
        <f t="shared" si="54"/>
        <v>1109.6400000000001</v>
      </c>
      <c r="J1369" s="12"/>
    </row>
    <row r="1370" spans="3:10" x14ac:dyDescent="0.3">
      <c r="C1370" s="8" t="s">
        <v>11</v>
      </c>
      <c r="D1370" s="9">
        <v>45672</v>
      </c>
      <c r="E1370" t="s">
        <v>1232</v>
      </c>
      <c r="F1370" s="10" t="s">
        <v>415</v>
      </c>
      <c r="G1370" s="11">
        <v>4.6500000000000004</v>
      </c>
      <c r="H1370" s="11">
        <v>0</v>
      </c>
      <c r="I1370" s="11">
        <f t="shared" si="54"/>
        <v>1114.2900000000002</v>
      </c>
      <c r="J1370" s="12"/>
    </row>
    <row r="1371" spans="3:10" x14ac:dyDescent="0.3">
      <c r="C1371" s="8" t="s">
        <v>11</v>
      </c>
      <c r="D1371" s="9">
        <v>45672</v>
      </c>
      <c r="E1371" t="s">
        <v>1233</v>
      </c>
      <c r="F1371" s="10" t="s">
        <v>490</v>
      </c>
      <c r="G1371" s="11">
        <v>19.71</v>
      </c>
      <c r="H1371" s="11">
        <v>0</v>
      </c>
      <c r="I1371" s="11">
        <f t="shared" si="54"/>
        <v>1134.0000000000002</v>
      </c>
      <c r="J1371" s="12"/>
    </row>
    <row r="1372" spans="3:10" x14ac:dyDescent="0.3">
      <c r="C1372" s="8" t="s">
        <v>11</v>
      </c>
      <c r="D1372" s="9">
        <v>45672</v>
      </c>
      <c r="E1372" t="s">
        <v>1234</v>
      </c>
      <c r="F1372" s="10" t="s">
        <v>1235</v>
      </c>
      <c r="G1372" s="11">
        <v>18.59</v>
      </c>
      <c r="H1372" s="11">
        <v>0</v>
      </c>
      <c r="I1372" s="11">
        <f t="shared" si="54"/>
        <v>1152.5900000000001</v>
      </c>
      <c r="J1372" s="12"/>
    </row>
    <row r="1373" spans="3:10" x14ac:dyDescent="0.3">
      <c r="C1373" s="8" t="s">
        <v>11</v>
      </c>
      <c r="D1373" s="9">
        <v>45672</v>
      </c>
      <c r="E1373" t="s">
        <v>1236</v>
      </c>
      <c r="F1373" s="10" t="s">
        <v>149</v>
      </c>
      <c r="G1373" s="11">
        <v>49.77</v>
      </c>
      <c r="H1373" s="11">
        <v>0</v>
      </c>
      <c r="I1373" s="11">
        <f t="shared" si="54"/>
        <v>1202.3600000000001</v>
      </c>
      <c r="J1373" s="12"/>
    </row>
    <row r="1374" spans="3:10" x14ac:dyDescent="0.3">
      <c r="C1374" s="8" t="s">
        <v>11</v>
      </c>
      <c r="D1374" s="9">
        <v>45672</v>
      </c>
      <c r="E1374" t="s">
        <v>1237</v>
      </c>
      <c r="F1374" s="10" t="s">
        <v>446</v>
      </c>
      <c r="G1374" s="11">
        <v>7.02</v>
      </c>
      <c r="H1374" s="11">
        <v>0</v>
      </c>
      <c r="I1374" s="11">
        <f t="shared" si="54"/>
        <v>1209.3800000000001</v>
      </c>
      <c r="J1374" s="12"/>
    </row>
    <row r="1375" spans="3:10" x14ac:dyDescent="0.3">
      <c r="C1375" s="8" t="s">
        <v>11</v>
      </c>
      <c r="D1375" s="9">
        <v>45673</v>
      </c>
      <c r="E1375" t="s">
        <v>1238</v>
      </c>
      <c r="F1375" s="10" t="s">
        <v>1239</v>
      </c>
      <c r="G1375" s="11">
        <v>2.52</v>
      </c>
      <c r="H1375" s="11">
        <v>0</v>
      </c>
      <c r="I1375" s="11">
        <f t="shared" si="54"/>
        <v>1211.9000000000001</v>
      </c>
      <c r="J1375" s="12"/>
    </row>
    <row r="1376" spans="3:10" x14ac:dyDescent="0.3">
      <c r="C1376" s="8" t="s">
        <v>11</v>
      </c>
      <c r="D1376" s="9">
        <v>45673</v>
      </c>
      <c r="E1376" t="s">
        <v>1240</v>
      </c>
      <c r="F1376" s="10" t="s">
        <v>280</v>
      </c>
      <c r="G1376" s="11">
        <v>134.06</v>
      </c>
      <c r="H1376" s="11">
        <v>0</v>
      </c>
      <c r="I1376" s="11">
        <f t="shared" si="54"/>
        <v>1345.96</v>
      </c>
      <c r="J1376" s="12"/>
    </row>
    <row r="1377" spans="3:10" x14ac:dyDescent="0.3">
      <c r="C1377" s="8" t="s">
        <v>11</v>
      </c>
      <c r="D1377" s="9">
        <v>45674</v>
      </c>
      <c r="E1377" t="s">
        <v>1216</v>
      </c>
      <c r="F1377" s="10" t="s">
        <v>1241</v>
      </c>
      <c r="G1377" s="11">
        <v>3.71</v>
      </c>
      <c r="H1377" s="11">
        <v>0</v>
      </c>
      <c r="I1377" s="11">
        <f t="shared" si="54"/>
        <v>1349.67</v>
      </c>
      <c r="J1377" s="12"/>
    </row>
    <row r="1378" spans="3:10" x14ac:dyDescent="0.3">
      <c r="C1378" s="8" t="s">
        <v>11</v>
      </c>
      <c r="D1378" s="9">
        <v>45674</v>
      </c>
      <c r="E1378" t="s">
        <v>1242</v>
      </c>
      <c r="F1378" s="10" t="s">
        <v>56</v>
      </c>
      <c r="G1378" s="11">
        <v>26.41</v>
      </c>
      <c r="H1378" s="11">
        <v>0</v>
      </c>
      <c r="I1378" s="11">
        <f t="shared" si="54"/>
        <v>1376.0800000000002</v>
      </c>
      <c r="J1378" s="12"/>
    </row>
    <row r="1379" spans="3:10" x14ac:dyDescent="0.3">
      <c r="C1379" s="8" t="s">
        <v>11</v>
      </c>
      <c r="D1379" s="9">
        <v>45674</v>
      </c>
      <c r="E1379" t="s">
        <v>1243</v>
      </c>
      <c r="F1379" s="10" t="s">
        <v>1244</v>
      </c>
      <c r="G1379" s="11">
        <v>62.81</v>
      </c>
      <c r="H1379" s="11">
        <v>0</v>
      </c>
      <c r="I1379" s="11">
        <f t="shared" si="54"/>
        <v>1438.89</v>
      </c>
      <c r="J1379" s="12"/>
    </row>
    <row r="1380" spans="3:10" x14ac:dyDescent="0.3">
      <c r="C1380" s="8" t="s">
        <v>11</v>
      </c>
      <c r="D1380" s="9">
        <v>45677</v>
      </c>
      <c r="E1380" t="s">
        <v>1216</v>
      </c>
      <c r="F1380" s="10" t="s">
        <v>1245</v>
      </c>
      <c r="G1380" s="11">
        <v>28.8</v>
      </c>
      <c r="H1380" s="11">
        <v>0</v>
      </c>
      <c r="I1380" s="11">
        <f t="shared" si="54"/>
        <v>1467.69</v>
      </c>
      <c r="J1380" s="12"/>
    </row>
    <row r="1381" spans="3:10" x14ac:dyDescent="0.3">
      <c r="C1381" s="8" t="s">
        <v>11</v>
      </c>
      <c r="D1381" s="9">
        <v>45677</v>
      </c>
      <c r="E1381" t="s">
        <v>1246</v>
      </c>
      <c r="F1381" s="10" t="s">
        <v>545</v>
      </c>
      <c r="G1381" s="11">
        <v>35.659999999999997</v>
      </c>
      <c r="H1381" s="11">
        <v>0</v>
      </c>
      <c r="I1381" s="11">
        <f t="shared" si="54"/>
        <v>1503.3500000000001</v>
      </c>
      <c r="J1381" s="12"/>
    </row>
    <row r="1382" spans="3:10" x14ac:dyDescent="0.3">
      <c r="C1382" s="8" t="s">
        <v>11</v>
      </c>
      <c r="D1382" s="9">
        <v>45677</v>
      </c>
      <c r="E1382" t="s">
        <v>1247</v>
      </c>
      <c r="F1382" s="10" t="s">
        <v>1248</v>
      </c>
      <c r="G1382" s="11">
        <v>42.11</v>
      </c>
      <c r="H1382" s="11">
        <v>0</v>
      </c>
      <c r="I1382" s="11">
        <f t="shared" si="54"/>
        <v>1545.46</v>
      </c>
      <c r="J1382" s="12"/>
    </row>
    <row r="1383" spans="3:10" x14ac:dyDescent="0.3">
      <c r="C1383" s="8" t="s">
        <v>11</v>
      </c>
      <c r="D1383" s="9">
        <v>45678</v>
      </c>
      <c r="E1383" t="s">
        <v>1213</v>
      </c>
      <c r="F1383" s="10" t="s">
        <v>641</v>
      </c>
      <c r="G1383" s="11">
        <v>5.21</v>
      </c>
      <c r="H1383" s="11">
        <v>0</v>
      </c>
      <c r="I1383" s="11">
        <f t="shared" si="54"/>
        <v>1550.67</v>
      </c>
      <c r="J1383" s="12"/>
    </row>
    <row r="1384" spans="3:10" x14ac:dyDescent="0.3">
      <c r="C1384" s="8" t="s">
        <v>11</v>
      </c>
      <c r="D1384" s="9">
        <v>45678</v>
      </c>
      <c r="E1384" t="s">
        <v>1242</v>
      </c>
      <c r="F1384" s="10" t="s">
        <v>58</v>
      </c>
      <c r="G1384" s="11">
        <v>134.13999999999999</v>
      </c>
      <c r="H1384" s="11">
        <v>0</v>
      </c>
      <c r="I1384" s="11">
        <f t="shared" si="54"/>
        <v>1684.81</v>
      </c>
      <c r="J1384" s="12"/>
    </row>
    <row r="1385" spans="3:10" x14ac:dyDescent="0.3">
      <c r="C1385" s="8" t="s">
        <v>11</v>
      </c>
      <c r="D1385" s="9">
        <v>45679</v>
      </c>
      <c r="E1385" t="s">
        <v>1249</v>
      </c>
      <c r="F1385" s="10" t="s">
        <v>1250</v>
      </c>
      <c r="G1385" s="11">
        <v>23.31</v>
      </c>
      <c r="H1385" s="11">
        <v>0</v>
      </c>
      <c r="I1385" s="11">
        <f t="shared" si="54"/>
        <v>1708.12</v>
      </c>
      <c r="J1385" s="12"/>
    </row>
    <row r="1386" spans="3:10" x14ac:dyDescent="0.3">
      <c r="C1386" s="8" t="s">
        <v>11</v>
      </c>
      <c r="D1386" s="9">
        <v>45679</v>
      </c>
      <c r="E1386" t="s">
        <v>1213</v>
      </c>
      <c r="F1386" s="10" t="s">
        <v>643</v>
      </c>
      <c r="G1386" s="11">
        <v>12.74</v>
      </c>
      <c r="H1386" s="11">
        <v>0</v>
      </c>
      <c r="I1386" s="11">
        <f t="shared" si="54"/>
        <v>1720.86</v>
      </c>
      <c r="J1386" s="12"/>
    </row>
    <row r="1387" spans="3:10" x14ac:dyDescent="0.3">
      <c r="C1387" s="8" t="s">
        <v>11</v>
      </c>
      <c r="D1387" s="9">
        <v>45680</v>
      </c>
      <c r="E1387" t="s">
        <v>1240</v>
      </c>
      <c r="F1387" s="10" t="s">
        <v>282</v>
      </c>
      <c r="G1387" s="11">
        <v>80.39</v>
      </c>
      <c r="H1387" s="11">
        <v>0</v>
      </c>
      <c r="I1387" s="11">
        <f t="shared" si="54"/>
        <v>1801.25</v>
      </c>
      <c r="J1387" s="12"/>
    </row>
    <row r="1388" spans="3:10" x14ac:dyDescent="0.3">
      <c r="C1388" s="8" t="s">
        <v>11</v>
      </c>
      <c r="D1388" s="9">
        <v>45681</v>
      </c>
      <c r="E1388" t="s">
        <v>1251</v>
      </c>
      <c r="F1388" s="10" t="s">
        <v>224</v>
      </c>
      <c r="G1388" s="11">
        <v>18.87</v>
      </c>
      <c r="H1388" s="11">
        <v>0</v>
      </c>
      <c r="I1388" s="11">
        <f t="shared" si="54"/>
        <v>1820.12</v>
      </c>
      <c r="J1388" s="12"/>
    </row>
    <row r="1389" spans="3:10" x14ac:dyDescent="0.3">
      <c r="C1389" s="8" t="s">
        <v>11</v>
      </c>
      <c r="D1389" s="9">
        <v>45682</v>
      </c>
      <c r="E1389" t="s">
        <v>1252</v>
      </c>
      <c r="F1389" s="10" t="s">
        <v>396</v>
      </c>
      <c r="G1389" s="11">
        <v>4.4800000000000004</v>
      </c>
      <c r="H1389" s="11">
        <v>0</v>
      </c>
      <c r="I1389" s="11">
        <f t="shared" si="54"/>
        <v>1824.6</v>
      </c>
      <c r="J1389" s="12"/>
    </row>
    <row r="1390" spans="3:10" x14ac:dyDescent="0.3">
      <c r="C1390" s="8" t="s">
        <v>11</v>
      </c>
      <c r="D1390" s="9">
        <v>45682</v>
      </c>
      <c r="E1390" t="s">
        <v>1253</v>
      </c>
      <c r="F1390" s="10" t="s">
        <v>124</v>
      </c>
      <c r="G1390" s="11">
        <v>15.75</v>
      </c>
      <c r="H1390" s="11">
        <v>0</v>
      </c>
      <c r="I1390" s="11">
        <f t="shared" si="54"/>
        <v>1840.35</v>
      </c>
      <c r="J1390" s="12"/>
    </row>
    <row r="1391" spans="3:10" x14ac:dyDescent="0.3">
      <c r="C1391" s="8" t="s">
        <v>11</v>
      </c>
      <c r="D1391" s="9">
        <v>45685</v>
      </c>
      <c r="E1391" t="s">
        <v>1242</v>
      </c>
      <c r="F1391" s="10" t="s">
        <v>61</v>
      </c>
      <c r="G1391" s="11">
        <v>21.62</v>
      </c>
      <c r="H1391" s="11">
        <v>0</v>
      </c>
      <c r="I1391" s="11">
        <f t="shared" si="54"/>
        <v>1861.9699999999998</v>
      </c>
      <c r="J1391" s="12"/>
    </row>
    <row r="1392" spans="3:10" x14ac:dyDescent="0.3">
      <c r="C1392" s="8" t="s">
        <v>11</v>
      </c>
      <c r="D1392" s="9">
        <v>45686</v>
      </c>
      <c r="E1392" t="s">
        <v>1254</v>
      </c>
      <c r="F1392" s="10" t="s">
        <v>1255</v>
      </c>
      <c r="G1392" s="11">
        <v>2.21</v>
      </c>
      <c r="H1392" s="11">
        <v>0</v>
      </c>
      <c r="I1392" s="11">
        <f t="shared" si="54"/>
        <v>1864.1799999999998</v>
      </c>
      <c r="J1392" s="12"/>
    </row>
    <row r="1393" spans="3:10" x14ac:dyDescent="0.3">
      <c r="C1393" s="8" t="s">
        <v>11</v>
      </c>
      <c r="D1393" s="9">
        <v>45687</v>
      </c>
      <c r="E1393" t="s">
        <v>1216</v>
      </c>
      <c r="F1393" s="10" t="s">
        <v>1256</v>
      </c>
      <c r="G1393" s="11">
        <v>1.08</v>
      </c>
      <c r="H1393" s="11">
        <v>0</v>
      </c>
      <c r="I1393" s="11">
        <f t="shared" si="54"/>
        <v>1865.2599999999998</v>
      </c>
      <c r="J1393" s="12"/>
    </row>
    <row r="1394" spans="3:10" x14ac:dyDescent="0.3">
      <c r="C1394" s="8" t="s">
        <v>11</v>
      </c>
      <c r="D1394" s="9">
        <v>45687</v>
      </c>
      <c r="E1394" t="s">
        <v>1252</v>
      </c>
      <c r="F1394" s="10" t="s">
        <v>398</v>
      </c>
      <c r="G1394" s="11">
        <v>39.85</v>
      </c>
      <c r="H1394" s="11">
        <v>0</v>
      </c>
      <c r="I1394" s="11">
        <f t="shared" si="54"/>
        <v>1905.1099999999997</v>
      </c>
      <c r="J1394" s="12"/>
    </row>
    <row r="1395" spans="3:10" x14ac:dyDescent="0.3">
      <c r="C1395" s="8" t="s">
        <v>11</v>
      </c>
      <c r="D1395" s="9">
        <v>45687</v>
      </c>
      <c r="E1395" t="s">
        <v>1257</v>
      </c>
      <c r="F1395" s="10" t="s">
        <v>1258</v>
      </c>
      <c r="G1395" s="11">
        <v>46.2</v>
      </c>
      <c r="H1395" s="11">
        <v>0</v>
      </c>
      <c r="I1395" s="11">
        <f t="shared" si="54"/>
        <v>1951.3099999999997</v>
      </c>
      <c r="J1395" s="12"/>
    </row>
    <row r="1396" spans="3:10" x14ac:dyDescent="0.3">
      <c r="C1396" s="8" t="s">
        <v>11</v>
      </c>
      <c r="D1396" s="9">
        <v>45687</v>
      </c>
      <c r="E1396" t="s">
        <v>1259</v>
      </c>
      <c r="F1396" s="10" t="s">
        <v>507</v>
      </c>
      <c r="G1396" s="11">
        <v>256.2</v>
      </c>
      <c r="H1396" s="11">
        <v>0</v>
      </c>
      <c r="I1396" s="11">
        <f t="shared" si="54"/>
        <v>2207.5099999999998</v>
      </c>
      <c r="J1396" s="12"/>
    </row>
    <row r="1397" spans="3:10" x14ac:dyDescent="0.3">
      <c r="C1397" s="8" t="s">
        <v>11</v>
      </c>
      <c r="D1397" s="9">
        <v>45688</v>
      </c>
      <c r="E1397" t="s">
        <v>1260</v>
      </c>
      <c r="F1397" s="10" t="s">
        <v>1261</v>
      </c>
      <c r="G1397" s="11">
        <v>178.08</v>
      </c>
      <c r="H1397" s="11">
        <v>0</v>
      </c>
      <c r="I1397" s="11">
        <f t="shared" si="54"/>
        <v>2385.5899999999997</v>
      </c>
      <c r="J1397" s="12"/>
    </row>
    <row r="1398" spans="3:10" x14ac:dyDescent="0.3">
      <c r="C1398" s="8" t="s">
        <v>11</v>
      </c>
      <c r="D1398" s="9">
        <v>45688</v>
      </c>
      <c r="E1398" t="s">
        <v>1262</v>
      </c>
      <c r="F1398" s="10" t="s">
        <v>1263</v>
      </c>
      <c r="G1398" s="11">
        <v>12.83</v>
      </c>
      <c r="H1398" s="11">
        <v>0</v>
      </c>
      <c r="I1398" s="11">
        <f t="shared" si="54"/>
        <v>2398.4199999999996</v>
      </c>
      <c r="J1398" s="12"/>
    </row>
    <row r="1399" spans="3:10" x14ac:dyDescent="0.3">
      <c r="C1399" s="8" t="s">
        <v>11</v>
      </c>
      <c r="D1399" s="9">
        <v>45688</v>
      </c>
      <c r="E1399" t="s">
        <v>1264</v>
      </c>
      <c r="F1399" s="10" t="s">
        <v>334</v>
      </c>
      <c r="G1399" s="11">
        <v>18.55</v>
      </c>
      <c r="H1399" s="11">
        <v>0</v>
      </c>
      <c r="I1399" s="11">
        <f t="shared" si="54"/>
        <v>2416.9699999999998</v>
      </c>
      <c r="J1399" s="12"/>
    </row>
    <row r="1400" spans="3:10" x14ac:dyDescent="0.3">
      <c r="C1400" s="8" t="s">
        <v>11</v>
      </c>
      <c r="D1400" s="9">
        <v>45688</v>
      </c>
      <c r="E1400" t="s">
        <v>1232</v>
      </c>
      <c r="F1400" s="10" t="s">
        <v>417</v>
      </c>
      <c r="G1400" s="11">
        <v>3.27</v>
      </c>
      <c r="H1400" s="11">
        <v>0</v>
      </c>
      <c r="I1400" s="11">
        <f t="shared" si="54"/>
        <v>2420.2399999999998</v>
      </c>
      <c r="J1400" s="12"/>
    </row>
    <row r="1401" spans="3:10" x14ac:dyDescent="0.3">
      <c r="C1401" s="8" t="s">
        <v>11</v>
      </c>
      <c r="D1401" s="9">
        <v>45688</v>
      </c>
      <c r="E1401" t="s">
        <v>1265</v>
      </c>
      <c r="F1401" s="10" t="s">
        <v>133</v>
      </c>
      <c r="G1401" s="11">
        <v>58.84</v>
      </c>
      <c r="H1401" s="11">
        <v>0</v>
      </c>
      <c r="I1401" s="11">
        <f t="shared" si="54"/>
        <v>2479.08</v>
      </c>
      <c r="J1401" s="12"/>
    </row>
    <row r="1402" spans="3:10" x14ac:dyDescent="0.3">
      <c r="C1402" s="8" t="s">
        <v>11</v>
      </c>
      <c r="D1402" s="9">
        <v>45688</v>
      </c>
      <c r="E1402" t="s">
        <v>1266</v>
      </c>
      <c r="F1402" s="10" t="s">
        <v>1267</v>
      </c>
      <c r="G1402" s="11">
        <v>-4.3499999999999996</v>
      </c>
      <c r="H1402" s="11">
        <v>0</v>
      </c>
      <c r="I1402" s="11">
        <f t="shared" si="54"/>
        <v>2474.73</v>
      </c>
      <c r="J1402" s="12"/>
    </row>
    <row r="1403" spans="3:10" x14ac:dyDescent="0.3">
      <c r="C1403" s="8" t="s">
        <v>11</v>
      </c>
      <c r="D1403" s="9">
        <v>45688</v>
      </c>
      <c r="E1403" t="s">
        <v>1266</v>
      </c>
      <c r="F1403" s="10" t="s">
        <v>1268</v>
      </c>
      <c r="G1403" s="11">
        <v>21.76</v>
      </c>
      <c r="H1403" s="11">
        <v>0</v>
      </c>
      <c r="I1403" s="11">
        <f t="shared" si="54"/>
        <v>2496.4900000000002</v>
      </c>
      <c r="J1403" s="12"/>
    </row>
    <row r="1404" spans="3:10" x14ac:dyDescent="0.3">
      <c r="C1404" s="8" t="s">
        <v>11</v>
      </c>
      <c r="D1404" s="9">
        <v>45688</v>
      </c>
      <c r="E1404" t="s">
        <v>1236</v>
      </c>
      <c r="F1404" s="10" t="s">
        <v>151</v>
      </c>
      <c r="G1404" s="11">
        <v>221.63</v>
      </c>
      <c r="H1404" s="11">
        <v>0</v>
      </c>
      <c r="I1404" s="11">
        <f t="shared" si="54"/>
        <v>2718.1200000000003</v>
      </c>
      <c r="J1404" s="12"/>
    </row>
    <row r="1405" spans="3:10" x14ac:dyDescent="0.3">
      <c r="C1405" s="8" t="s">
        <v>11</v>
      </c>
      <c r="D1405" s="9">
        <v>45688</v>
      </c>
      <c r="E1405" t="s">
        <v>1269</v>
      </c>
      <c r="F1405" s="10" t="s">
        <v>1270</v>
      </c>
      <c r="G1405" s="11">
        <v>485.1</v>
      </c>
      <c r="H1405" s="11">
        <v>0</v>
      </c>
      <c r="I1405" s="11">
        <f t="shared" si="54"/>
        <v>3203.2200000000003</v>
      </c>
      <c r="J1405" s="12"/>
    </row>
    <row r="1406" spans="3:10" x14ac:dyDescent="0.3">
      <c r="C1406" s="8" t="s">
        <v>11</v>
      </c>
      <c r="D1406" s="9">
        <v>45688</v>
      </c>
      <c r="E1406" t="s">
        <v>1271</v>
      </c>
      <c r="F1406" s="10" t="s">
        <v>1272</v>
      </c>
      <c r="G1406" s="11">
        <v>5.64</v>
      </c>
      <c r="H1406" s="11">
        <v>0</v>
      </c>
      <c r="I1406" s="11">
        <f t="shared" si="54"/>
        <v>3208.86</v>
      </c>
      <c r="J1406" s="12"/>
    </row>
    <row r="1407" spans="3:10" x14ac:dyDescent="0.3">
      <c r="C1407" s="8" t="s">
        <v>11</v>
      </c>
      <c r="D1407" s="9">
        <v>45688</v>
      </c>
      <c r="E1407" t="s">
        <v>1273</v>
      </c>
      <c r="F1407" s="10" t="s">
        <v>1274</v>
      </c>
      <c r="G1407" s="11">
        <v>54.04</v>
      </c>
      <c r="H1407" s="11">
        <v>0</v>
      </c>
      <c r="I1407" s="11">
        <f t="shared" si="54"/>
        <v>3262.9</v>
      </c>
      <c r="J1407" s="12"/>
    </row>
    <row r="1408" spans="3:10" x14ac:dyDescent="0.3">
      <c r="C1408" s="8" t="s">
        <v>11</v>
      </c>
      <c r="D1408" s="9">
        <v>45688</v>
      </c>
      <c r="E1408" t="s">
        <v>1230</v>
      </c>
      <c r="F1408" s="10" t="s">
        <v>27</v>
      </c>
      <c r="G1408" s="11">
        <v>64.459999999999994</v>
      </c>
      <c r="H1408" s="11">
        <v>0</v>
      </c>
      <c r="I1408" s="11">
        <f t="shared" si="54"/>
        <v>3327.36</v>
      </c>
      <c r="J1408" s="12"/>
    </row>
    <row r="1409" spans="3:10" x14ac:dyDescent="0.3">
      <c r="C1409" s="8" t="s">
        <v>11</v>
      </c>
      <c r="D1409" s="9">
        <v>45688</v>
      </c>
      <c r="E1409" t="s">
        <v>1275</v>
      </c>
      <c r="F1409" s="10" t="s">
        <v>1276</v>
      </c>
      <c r="G1409" s="11">
        <v>75.47</v>
      </c>
      <c r="H1409" s="11">
        <v>0</v>
      </c>
      <c r="I1409" s="11">
        <f t="shared" si="54"/>
        <v>3402.83</v>
      </c>
      <c r="J1409" s="12"/>
    </row>
    <row r="1410" spans="3:10" x14ac:dyDescent="0.3">
      <c r="C1410" s="8" t="s">
        <v>11</v>
      </c>
      <c r="D1410" s="9">
        <v>45688</v>
      </c>
      <c r="E1410" t="s">
        <v>1277</v>
      </c>
      <c r="F1410" s="10" t="s">
        <v>1278</v>
      </c>
      <c r="G1410" s="11">
        <v>4.8099999999999996</v>
      </c>
      <c r="H1410" s="11">
        <v>0</v>
      </c>
      <c r="I1410" s="11">
        <f t="shared" ref="I1410:I1473" si="55">G1410-H1410+I1409</f>
        <v>3407.64</v>
      </c>
      <c r="J1410" s="12"/>
    </row>
    <row r="1411" spans="3:10" x14ac:dyDescent="0.3">
      <c r="C1411" s="8" t="s">
        <v>11</v>
      </c>
      <c r="D1411" s="9">
        <v>45689</v>
      </c>
      <c r="E1411" t="s">
        <v>1206</v>
      </c>
      <c r="F1411" s="10" t="s">
        <v>470</v>
      </c>
      <c r="G1411" s="11">
        <v>560.91</v>
      </c>
      <c r="H1411" s="11">
        <v>0</v>
      </c>
      <c r="I1411" s="11">
        <f t="shared" si="55"/>
        <v>3968.5499999999997</v>
      </c>
      <c r="J1411" s="12"/>
    </row>
    <row r="1412" spans="3:10" x14ac:dyDescent="0.3">
      <c r="C1412" s="8" t="s">
        <v>11</v>
      </c>
      <c r="D1412" s="9">
        <v>45689</v>
      </c>
      <c r="E1412" t="s">
        <v>1209</v>
      </c>
      <c r="F1412" s="10" t="s">
        <v>587</v>
      </c>
      <c r="G1412" s="11">
        <v>12.39</v>
      </c>
      <c r="H1412" s="11">
        <v>0</v>
      </c>
      <c r="I1412" s="11">
        <f t="shared" si="55"/>
        <v>3980.9399999999996</v>
      </c>
      <c r="J1412" s="12"/>
    </row>
    <row r="1413" spans="3:10" x14ac:dyDescent="0.3">
      <c r="C1413" s="8" t="s">
        <v>11</v>
      </c>
      <c r="D1413" s="9">
        <v>45689</v>
      </c>
      <c r="E1413" t="s">
        <v>1210</v>
      </c>
      <c r="F1413" s="10" t="s">
        <v>1279</v>
      </c>
      <c r="G1413" s="11">
        <v>6.3</v>
      </c>
      <c r="H1413" s="11">
        <v>0</v>
      </c>
      <c r="I1413" s="11">
        <f t="shared" si="55"/>
        <v>3987.24</v>
      </c>
      <c r="J1413" s="12"/>
    </row>
    <row r="1414" spans="3:10" x14ac:dyDescent="0.3">
      <c r="C1414" s="8" t="s">
        <v>11</v>
      </c>
      <c r="D1414" s="9">
        <v>45691</v>
      </c>
      <c r="E1414" t="s">
        <v>1216</v>
      </c>
      <c r="F1414" s="10" t="s">
        <v>1280</v>
      </c>
      <c r="G1414" s="11">
        <v>20.03</v>
      </c>
      <c r="H1414" s="11">
        <v>0</v>
      </c>
      <c r="I1414" s="11">
        <f t="shared" si="55"/>
        <v>4007.27</v>
      </c>
      <c r="J1414" s="12"/>
    </row>
    <row r="1415" spans="3:10" x14ac:dyDescent="0.3">
      <c r="C1415" s="8" t="s">
        <v>11</v>
      </c>
      <c r="D1415" s="9">
        <v>45691</v>
      </c>
      <c r="E1415" t="s">
        <v>1240</v>
      </c>
      <c r="F1415" s="10" t="s">
        <v>284</v>
      </c>
      <c r="G1415" s="11">
        <v>165.56</v>
      </c>
      <c r="H1415" s="11">
        <v>0</v>
      </c>
      <c r="I1415" s="11">
        <f t="shared" si="55"/>
        <v>4172.83</v>
      </c>
      <c r="J1415" s="12"/>
    </row>
    <row r="1416" spans="3:10" x14ac:dyDescent="0.3">
      <c r="C1416" s="8" t="s">
        <v>11</v>
      </c>
      <c r="D1416" s="9">
        <v>45691</v>
      </c>
      <c r="E1416" t="s">
        <v>1207</v>
      </c>
      <c r="F1416" s="10" t="s">
        <v>1281</v>
      </c>
      <c r="G1416" s="11">
        <v>79.48</v>
      </c>
      <c r="H1416" s="11">
        <v>0</v>
      </c>
      <c r="I1416" s="11">
        <f t="shared" si="55"/>
        <v>4252.3099999999995</v>
      </c>
      <c r="J1416" s="12"/>
    </row>
    <row r="1417" spans="3:10" x14ac:dyDescent="0.3">
      <c r="C1417" s="8" t="s">
        <v>11</v>
      </c>
      <c r="D1417" s="9">
        <v>45694</v>
      </c>
      <c r="E1417" t="s">
        <v>1224</v>
      </c>
      <c r="F1417" s="10" t="s">
        <v>1282</v>
      </c>
      <c r="G1417" s="11">
        <v>89.43</v>
      </c>
      <c r="H1417" s="11">
        <v>0</v>
      </c>
      <c r="I1417" s="11">
        <f t="shared" si="55"/>
        <v>4341.74</v>
      </c>
      <c r="J1417" s="12"/>
    </row>
    <row r="1418" spans="3:10" x14ac:dyDescent="0.3">
      <c r="C1418" s="8" t="s">
        <v>11</v>
      </c>
      <c r="D1418" s="9">
        <v>45694</v>
      </c>
      <c r="E1418" t="s">
        <v>1251</v>
      </c>
      <c r="F1418" s="10" t="s">
        <v>226</v>
      </c>
      <c r="G1418" s="11">
        <v>13.92</v>
      </c>
      <c r="H1418" s="11">
        <v>0</v>
      </c>
      <c r="I1418" s="11">
        <f t="shared" si="55"/>
        <v>4355.66</v>
      </c>
      <c r="J1418" s="12"/>
    </row>
    <row r="1419" spans="3:10" x14ac:dyDescent="0.3">
      <c r="C1419" s="8" t="s">
        <v>11</v>
      </c>
      <c r="D1419" s="9">
        <v>45694</v>
      </c>
      <c r="E1419" t="s">
        <v>1226</v>
      </c>
      <c r="F1419" s="10" t="s">
        <v>1283</v>
      </c>
      <c r="G1419" s="11">
        <v>13.36</v>
      </c>
      <c r="H1419" s="11">
        <v>0</v>
      </c>
      <c r="I1419" s="11">
        <f t="shared" si="55"/>
        <v>4369.0199999999995</v>
      </c>
      <c r="J1419" s="12"/>
    </row>
    <row r="1420" spans="3:10" x14ac:dyDescent="0.3">
      <c r="C1420" s="8" t="s">
        <v>11</v>
      </c>
      <c r="D1420" s="9">
        <v>45695</v>
      </c>
      <c r="E1420" t="s">
        <v>1284</v>
      </c>
      <c r="F1420" s="10" t="s">
        <v>1285</v>
      </c>
      <c r="G1420" s="11">
        <v>1.7</v>
      </c>
      <c r="H1420" s="11">
        <v>0</v>
      </c>
      <c r="I1420" s="11">
        <f t="shared" si="55"/>
        <v>4370.7199999999993</v>
      </c>
      <c r="J1420" s="12"/>
    </row>
    <row r="1421" spans="3:10" x14ac:dyDescent="0.3">
      <c r="C1421" s="8" t="s">
        <v>11</v>
      </c>
      <c r="D1421" s="9">
        <v>45695</v>
      </c>
      <c r="E1421" t="s">
        <v>1284</v>
      </c>
      <c r="F1421" s="10" t="s">
        <v>1285</v>
      </c>
      <c r="G1421" s="11">
        <v>5.34</v>
      </c>
      <c r="H1421" s="11">
        <v>0</v>
      </c>
      <c r="I1421" s="11">
        <f t="shared" si="55"/>
        <v>4376.0599999999995</v>
      </c>
      <c r="J1421" s="12"/>
    </row>
    <row r="1422" spans="3:10" x14ac:dyDescent="0.3">
      <c r="C1422" s="8" t="s">
        <v>11</v>
      </c>
      <c r="D1422" s="9">
        <v>45695</v>
      </c>
      <c r="E1422" t="s">
        <v>1286</v>
      </c>
      <c r="F1422" s="10" t="s">
        <v>617</v>
      </c>
      <c r="G1422" s="11">
        <v>89.84</v>
      </c>
      <c r="H1422" s="11">
        <v>0</v>
      </c>
      <c r="I1422" s="11">
        <f t="shared" si="55"/>
        <v>4465.8999999999996</v>
      </c>
      <c r="J1422" s="12"/>
    </row>
    <row r="1423" spans="3:10" x14ac:dyDescent="0.3">
      <c r="C1423" s="8" t="s">
        <v>11</v>
      </c>
      <c r="D1423" s="9">
        <v>45698</v>
      </c>
      <c r="E1423" t="s">
        <v>1251</v>
      </c>
      <c r="F1423" s="10" t="s">
        <v>228</v>
      </c>
      <c r="G1423" s="11">
        <v>29.01</v>
      </c>
      <c r="H1423" s="11">
        <v>0</v>
      </c>
      <c r="I1423" s="11">
        <f t="shared" si="55"/>
        <v>4494.91</v>
      </c>
      <c r="J1423" s="12"/>
    </row>
    <row r="1424" spans="3:10" x14ac:dyDescent="0.3">
      <c r="C1424" s="8" t="s">
        <v>11</v>
      </c>
      <c r="D1424" s="9">
        <v>45698</v>
      </c>
      <c r="E1424" t="s">
        <v>1209</v>
      </c>
      <c r="F1424" s="10" t="s">
        <v>589</v>
      </c>
      <c r="G1424" s="11">
        <v>31.29</v>
      </c>
      <c r="H1424" s="11">
        <v>0</v>
      </c>
      <c r="I1424" s="11">
        <f t="shared" si="55"/>
        <v>4526.2</v>
      </c>
      <c r="J1424" s="12"/>
    </row>
    <row r="1425" spans="3:10" x14ac:dyDescent="0.3">
      <c r="C1425" s="8" t="s">
        <v>11</v>
      </c>
      <c r="D1425" s="9">
        <v>45699</v>
      </c>
      <c r="E1425" t="s">
        <v>1209</v>
      </c>
      <c r="F1425" s="10" t="s">
        <v>591</v>
      </c>
      <c r="G1425" s="11">
        <v>31.29</v>
      </c>
      <c r="H1425" s="11">
        <v>0</v>
      </c>
      <c r="I1425" s="11">
        <f t="shared" si="55"/>
        <v>4557.49</v>
      </c>
      <c r="J1425" s="12"/>
    </row>
    <row r="1426" spans="3:10" x14ac:dyDescent="0.3">
      <c r="C1426" s="8" t="s">
        <v>11</v>
      </c>
      <c r="D1426" s="9">
        <v>45699</v>
      </c>
      <c r="E1426" t="s">
        <v>1287</v>
      </c>
      <c r="F1426" s="10" t="s">
        <v>104</v>
      </c>
      <c r="G1426" s="11">
        <v>25.64</v>
      </c>
      <c r="H1426" s="11">
        <v>0</v>
      </c>
      <c r="I1426" s="11">
        <f t="shared" si="55"/>
        <v>4583.13</v>
      </c>
      <c r="J1426" s="12"/>
    </row>
    <row r="1427" spans="3:10" x14ac:dyDescent="0.3">
      <c r="C1427" s="8" t="s">
        <v>11</v>
      </c>
      <c r="D1427" s="9">
        <v>45700</v>
      </c>
      <c r="E1427" t="s">
        <v>1288</v>
      </c>
      <c r="F1427" s="10" t="s">
        <v>300</v>
      </c>
      <c r="G1427" s="11">
        <v>25.75</v>
      </c>
      <c r="H1427" s="11">
        <v>0</v>
      </c>
      <c r="I1427" s="11">
        <f t="shared" si="55"/>
        <v>4608.88</v>
      </c>
      <c r="J1427" s="12"/>
    </row>
    <row r="1428" spans="3:10" x14ac:dyDescent="0.3">
      <c r="C1428" s="8" t="s">
        <v>11</v>
      </c>
      <c r="D1428" s="9">
        <v>45701</v>
      </c>
      <c r="E1428" t="s">
        <v>1209</v>
      </c>
      <c r="F1428" s="10" t="s">
        <v>593</v>
      </c>
      <c r="G1428" s="11">
        <v>198.24</v>
      </c>
      <c r="H1428" s="11">
        <v>0</v>
      </c>
      <c r="I1428" s="11">
        <f t="shared" si="55"/>
        <v>4807.12</v>
      </c>
      <c r="J1428" s="12"/>
    </row>
    <row r="1429" spans="3:10" x14ac:dyDescent="0.3">
      <c r="C1429" s="8" t="s">
        <v>11</v>
      </c>
      <c r="D1429" s="9">
        <v>45701</v>
      </c>
      <c r="E1429" t="s">
        <v>1212</v>
      </c>
      <c r="F1429" s="10" t="s">
        <v>208</v>
      </c>
      <c r="G1429" s="11">
        <v>22.92</v>
      </c>
      <c r="H1429" s="11">
        <v>0</v>
      </c>
      <c r="I1429" s="11">
        <f t="shared" si="55"/>
        <v>4830.04</v>
      </c>
      <c r="J1429" s="12"/>
    </row>
    <row r="1430" spans="3:10" x14ac:dyDescent="0.3">
      <c r="C1430" s="8" t="s">
        <v>11</v>
      </c>
      <c r="D1430" s="9">
        <v>45701</v>
      </c>
      <c r="E1430" t="s">
        <v>1288</v>
      </c>
      <c r="F1430" s="10" t="s">
        <v>302</v>
      </c>
      <c r="G1430" s="11">
        <v>163.16</v>
      </c>
      <c r="H1430" s="11">
        <v>0</v>
      </c>
      <c r="I1430" s="11">
        <f t="shared" si="55"/>
        <v>4993.2</v>
      </c>
      <c r="J1430" s="12"/>
    </row>
    <row r="1431" spans="3:10" x14ac:dyDescent="0.3">
      <c r="C1431" s="8" t="s">
        <v>11</v>
      </c>
      <c r="D1431" s="9">
        <v>45702</v>
      </c>
      <c r="E1431" t="s">
        <v>1264</v>
      </c>
      <c r="F1431" s="10" t="s">
        <v>336</v>
      </c>
      <c r="G1431" s="11">
        <v>56.8</v>
      </c>
      <c r="H1431" s="11">
        <v>0</v>
      </c>
      <c r="I1431" s="11">
        <f t="shared" si="55"/>
        <v>5050</v>
      </c>
      <c r="J1431" s="12"/>
    </row>
    <row r="1432" spans="3:10" x14ac:dyDescent="0.3">
      <c r="C1432" s="8" t="s">
        <v>11</v>
      </c>
      <c r="D1432" s="9">
        <v>45702</v>
      </c>
      <c r="E1432" t="s">
        <v>1236</v>
      </c>
      <c r="F1432" s="10" t="s">
        <v>153</v>
      </c>
      <c r="G1432" s="11">
        <v>75.989999999999995</v>
      </c>
      <c r="H1432" s="11">
        <v>0</v>
      </c>
      <c r="I1432" s="11">
        <f t="shared" si="55"/>
        <v>5125.99</v>
      </c>
      <c r="J1432" s="12"/>
    </row>
    <row r="1433" spans="3:10" x14ac:dyDescent="0.3">
      <c r="C1433" s="8" t="s">
        <v>11</v>
      </c>
      <c r="D1433" s="9">
        <v>45702</v>
      </c>
      <c r="E1433" t="s">
        <v>1230</v>
      </c>
      <c r="F1433" s="10" t="s">
        <v>29</v>
      </c>
      <c r="G1433" s="11">
        <v>32.549999999999997</v>
      </c>
      <c r="H1433" s="11">
        <v>0</v>
      </c>
      <c r="I1433" s="11">
        <f t="shared" si="55"/>
        <v>5158.54</v>
      </c>
      <c r="J1433" s="12"/>
    </row>
    <row r="1434" spans="3:10" x14ac:dyDescent="0.3">
      <c r="C1434" s="8" t="s">
        <v>11</v>
      </c>
      <c r="D1434" s="9">
        <v>45702</v>
      </c>
      <c r="E1434" t="s">
        <v>1289</v>
      </c>
      <c r="F1434" s="10" t="s">
        <v>353</v>
      </c>
      <c r="G1434" s="11">
        <v>117.29</v>
      </c>
      <c r="H1434" s="11">
        <v>0</v>
      </c>
      <c r="I1434" s="11">
        <f t="shared" si="55"/>
        <v>5275.83</v>
      </c>
      <c r="J1434" s="12"/>
    </row>
    <row r="1435" spans="3:10" x14ac:dyDescent="0.3">
      <c r="C1435" s="8" t="s">
        <v>11</v>
      </c>
      <c r="D1435" s="9">
        <v>45703</v>
      </c>
      <c r="E1435" t="s">
        <v>1231</v>
      </c>
      <c r="F1435" s="10" t="s">
        <v>564</v>
      </c>
      <c r="G1435" s="11">
        <v>90.3</v>
      </c>
      <c r="H1435" s="11">
        <v>0</v>
      </c>
      <c r="I1435" s="11">
        <f t="shared" si="55"/>
        <v>5366.13</v>
      </c>
      <c r="J1435" s="12"/>
    </row>
    <row r="1436" spans="3:10" x14ac:dyDescent="0.3">
      <c r="C1436" s="8" t="s">
        <v>11</v>
      </c>
      <c r="D1436" s="9">
        <v>45703</v>
      </c>
      <c r="E1436" t="s">
        <v>1290</v>
      </c>
      <c r="F1436" s="10" t="s">
        <v>440</v>
      </c>
      <c r="G1436" s="11">
        <v>190.23</v>
      </c>
      <c r="H1436" s="11">
        <v>0</v>
      </c>
      <c r="I1436" s="11">
        <f t="shared" si="55"/>
        <v>5556.36</v>
      </c>
      <c r="J1436" s="12"/>
    </row>
    <row r="1437" spans="3:10" x14ac:dyDescent="0.3">
      <c r="C1437" s="8" t="s">
        <v>11</v>
      </c>
      <c r="D1437" s="9">
        <v>45703</v>
      </c>
      <c r="E1437" t="s">
        <v>1291</v>
      </c>
      <c r="F1437" s="10" t="s">
        <v>1292</v>
      </c>
      <c r="G1437" s="11">
        <v>75.760000000000005</v>
      </c>
      <c r="H1437" s="11">
        <v>0</v>
      </c>
      <c r="I1437" s="11">
        <f t="shared" si="55"/>
        <v>5632.12</v>
      </c>
      <c r="J1437" s="12"/>
    </row>
    <row r="1438" spans="3:10" x14ac:dyDescent="0.3">
      <c r="C1438" s="8" t="s">
        <v>11</v>
      </c>
      <c r="D1438" s="9">
        <v>45703</v>
      </c>
      <c r="E1438" t="s">
        <v>1293</v>
      </c>
      <c r="F1438" s="10" t="s">
        <v>111</v>
      </c>
      <c r="G1438" s="11">
        <v>51.52</v>
      </c>
      <c r="H1438" s="11">
        <v>0</v>
      </c>
      <c r="I1438" s="11">
        <f t="shared" si="55"/>
        <v>5683.64</v>
      </c>
      <c r="J1438" s="12"/>
    </row>
    <row r="1439" spans="3:10" x14ac:dyDescent="0.3">
      <c r="C1439" s="8" t="s">
        <v>11</v>
      </c>
      <c r="D1439" s="9">
        <v>45703</v>
      </c>
      <c r="E1439" t="s">
        <v>1233</v>
      </c>
      <c r="F1439" s="10" t="s">
        <v>492</v>
      </c>
      <c r="G1439" s="11">
        <v>32.35</v>
      </c>
      <c r="H1439" s="11">
        <v>0</v>
      </c>
      <c r="I1439" s="11">
        <f t="shared" si="55"/>
        <v>5715.9900000000007</v>
      </c>
      <c r="J1439" s="12"/>
    </row>
    <row r="1440" spans="3:10" x14ac:dyDescent="0.3">
      <c r="C1440" s="8" t="s">
        <v>11</v>
      </c>
      <c r="D1440" s="9">
        <v>45703</v>
      </c>
      <c r="E1440" t="s">
        <v>1259</v>
      </c>
      <c r="F1440" s="10" t="s">
        <v>509</v>
      </c>
      <c r="G1440" s="11">
        <v>36.54</v>
      </c>
      <c r="H1440" s="11">
        <v>0</v>
      </c>
      <c r="I1440" s="11">
        <f t="shared" si="55"/>
        <v>5752.5300000000007</v>
      </c>
      <c r="J1440" s="12"/>
    </row>
    <row r="1441" spans="3:10" x14ac:dyDescent="0.3">
      <c r="C1441" s="8" t="s">
        <v>11</v>
      </c>
      <c r="D1441" s="9">
        <v>45704</v>
      </c>
      <c r="E1441" t="s">
        <v>1238</v>
      </c>
      <c r="F1441" s="10" t="s">
        <v>1294</v>
      </c>
      <c r="G1441" s="11">
        <v>2.52</v>
      </c>
      <c r="H1441" s="11">
        <v>0</v>
      </c>
      <c r="I1441" s="11">
        <f t="shared" si="55"/>
        <v>5755.0500000000011</v>
      </c>
      <c r="J1441" s="12"/>
    </row>
    <row r="1442" spans="3:10" x14ac:dyDescent="0.3">
      <c r="C1442" s="8" t="s">
        <v>11</v>
      </c>
      <c r="D1442" s="9">
        <v>45705</v>
      </c>
      <c r="E1442" t="s">
        <v>1243</v>
      </c>
      <c r="F1442" s="10" t="s">
        <v>1295</v>
      </c>
      <c r="G1442" s="11">
        <v>62.8</v>
      </c>
      <c r="H1442" s="11">
        <v>0</v>
      </c>
      <c r="I1442" s="11">
        <f t="shared" si="55"/>
        <v>5817.8500000000013</v>
      </c>
      <c r="J1442" s="12"/>
    </row>
    <row r="1443" spans="3:10" x14ac:dyDescent="0.3">
      <c r="C1443" s="8" t="s">
        <v>11</v>
      </c>
      <c r="D1443" s="9">
        <v>45705</v>
      </c>
      <c r="E1443" t="s">
        <v>1296</v>
      </c>
      <c r="F1443" s="10" t="s">
        <v>1297</v>
      </c>
      <c r="G1443" s="11">
        <v>6.46</v>
      </c>
      <c r="H1443" s="11">
        <v>0</v>
      </c>
      <c r="I1443" s="11">
        <f t="shared" si="55"/>
        <v>5824.3100000000013</v>
      </c>
      <c r="J1443" s="12"/>
    </row>
    <row r="1444" spans="3:10" x14ac:dyDescent="0.3">
      <c r="C1444" s="8"/>
      <c r="D1444" s="9">
        <v>45705</v>
      </c>
      <c r="E1444" t="s">
        <v>1296</v>
      </c>
      <c r="F1444" s="10" t="s">
        <v>1298</v>
      </c>
      <c r="G1444" s="11">
        <v>9.64</v>
      </c>
      <c r="H1444" s="11">
        <v>0</v>
      </c>
      <c r="I1444" s="11">
        <f t="shared" si="55"/>
        <v>5833.9500000000016</v>
      </c>
      <c r="J1444" s="12"/>
    </row>
    <row r="1445" spans="3:10" x14ac:dyDescent="0.3">
      <c r="C1445" s="8" t="s">
        <v>11</v>
      </c>
      <c r="D1445" s="9">
        <v>45707</v>
      </c>
      <c r="E1445" t="s">
        <v>1247</v>
      </c>
      <c r="F1445" s="10" t="s">
        <v>1299</v>
      </c>
      <c r="G1445" s="11">
        <v>126.38</v>
      </c>
      <c r="H1445" s="11">
        <v>0</v>
      </c>
      <c r="I1445" s="11">
        <f t="shared" si="55"/>
        <v>5960.3300000000017</v>
      </c>
      <c r="J1445" s="12"/>
    </row>
    <row r="1446" spans="3:10" x14ac:dyDescent="0.3">
      <c r="C1446" s="8" t="s">
        <v>11</v>
      </c>
      <c r="D1446" s="9">
        <v>45708</v>
      </c>
      <c r="E1446" t="s">
        <v>1216</v>
      </c>
      <c r="F1446" s="10" t="s">
        <v>1300</v>
      </c>
      <c r="G1446" s="11">
        <v>1.34</v>
      </c>
      <c r="H1446" s="11">
        <v>0</v>
      </c>
      <c r="I1446" s="11">
        <f t="shared" si="55"/>
        <v>5961.6700000000019</v>
      </c>
      <c r="J1446" s="12"/>
    </row>
    <row r="1447" spans="3:10" x14ac:dyDescent="0.3">
      <c r="C1447" s="8" t="s">
        <v>11</v>
      </c>
      <c r="D1447" s="9">
        <v>45708</v>
      </c>
      <c r="E1447" t="s">
        <v>1246</v>
      </c>
      <c r="F1447" s="10" t="s">
        <v>547</v>
      </c>
      <c r="G1447" s="11">
        <v>35.659999999999997</v>
      </c>
      <c r="H1447" s="11">
        <v>0</v>
      </c>
      <c r="I1447" s="11">
        <f t="shared" si="55"/>
        <v>5997.3300000000017</v>
      </c>
      <c r="J1447" s="12"/>
    </row>
    <row r="1448" spans="3:10" x14ac:dyDescent="0.3">
      <c r="C1448" s="8" t="s">
        <v>11</v>
      </c>
      <c r="D1448" s="9">
        <v>45712</v>
      </c>
      <c r="E1448" t="s">
        <v>1301</v>
      </c>
      <c r="F1448" s="10" t="s">
        <v>405</v>
      </c>
      <c r="G1448" s="11">
        <v>97.97</v>
      </c>
      <c r="H1448" s="11">
        <v>0</v>
      </c>
      <c r="I1448" s="11">
        <f t="shared" si="55"/>
        <v>6095.300000000002</v>
      </c>
      <c r="J1448" s="12"/>
    </row>
    <row r="1449" spans="3:10" x14ac:dyDescent="0.3">
      <c r="C1449" s="8" t="s">
        <v>11</v>
      </c>
      <c r="D1449" s="9">
        <v>45712</v>
      </c>
      <c r="E1449" t="s">
        <v>1251</v>
      </c>
      <c r="F1449" s="10" t="s">
        <v>230</v>
      </c>
      <c r="G1449" s="11">
        <v>29.23</v>
      </c>
      <c r="H1449" s="11">
        <v>0</v>
      </c>
      <c r="I1449" s="11">
        <f t="shared" si="55"/>
        <v>6124.5300000000016</v>
      </c>
      <c r="J1449" s="12"/>
    </row>
    <row r="1450" spans="3:10" x14ac:dyDescent="0.3">
      <c r="C1450" s="8" t="s">
        <v>11</v>
      </c>
      <c r="D1450" s="9">
        <v>45713</v>
      </c>
      <c r="E1450" t="s">
        <v>1216</v>
      </c>
      <c r="F1450" s="10" t="s">
        <v>1302</v>
      </c>
      <c r="G1450" s="11">
        <v>14.52</v>
      </c>
      <c r="H1450" s="11">
        <v>0</v>
      </c>
      <c r="I1450" s="11">
        <f t="shared" si="55"/>
        <v>6139.050000000002</v>
      </c>
      <c r="J1450" s="12"/>
    </row>
    <row r="1451" spans="3:10" x14ac:dyDescent="0.3">
      <c r="C1451" s="8" t="s">
        <v>11</v>
      </c>
      <c r="D1451" s="9">
        <v>45713</v>
      </c>
      <c r="E1451" t="s">
        <v>1242</v>
      </c>
      <c r="F1451" s="10" t="s">
        <v>63</v>
      </c>
      <c r="G1451" s="11">
        <v>269.38</v>
      </c>
      <c r="H1451" s="11">
        <v>0</v>
      </c>
      <c r="I1451" s="11">
        <f t="shared" si="55"/>
        <v>6408.4300000000021</v>
      </c>
      <c r="J1451" s="12"/>
    </row>
    <row r="1452" spans="3:10" x14ac:dyDescent="0.3">
      <c r="C1452" s="8" t="s">
        <v>11</v>
      </c>
      <c r="D1452" s="9">
        <v>45713</v>
      </c>
      <c r="E1452" t="s">
        <v>1303</v>
      </c>
      <c r="F1452" s="10" t="s">
        <v>1304</v>
      </c>
      <c r="G1452" s="11">
        <v>111.64</v>
      </c>
      <c r="H1452" s="11">
        <v>0</v>
      </c>
      <c r="I1452" s="11">
        <f t="shared" si="55"/>
        <v>6520.0700000000024</v>
      </c>
      <c r="J1452" s="12"/>
    </row>
    <row r="1453" spans="3:10" x14ac:dyDescent="0.3">
      <c r="C1453" s="8" t="s">
        <v>11</v>
      </c>
      <c r="D1453" s="9">
        <v>45713</v>
      </c>
      <c r="E1453" t="s">
        <v>1305</v>
      </c>
      <c r="F1453" s="10" t="s">
        <v>1306</v>
      </c>
      <c r="G1453" s="11">
        <v>883.68</v>
      </c>
      <c r="H1453" s="11">
        <v>0</v>
      </c>
      <c r="I1453" s="11">
        <f t="shared" si="55"/>
        <v>7403.7500000000027</v>
      </c>
      <c r="J1453" s="12"/>
    </row>
    <row r="1454" spans="3:10" x14ac:dyDescent="0.3">
      <c r="C1454" s="8" t="s">
        <v>11</v>
      </c>
      <c r="D1454" s="9">
        <v>45713</v>
      </c>
      <c r="E1454" t="s">
        <v>1253</v>
      </c>
      <c r="F1454" s="10" t="s">
        <v>126</v>
      </c>
      <c r="G1454" s="11">
        <v>12.6</v>
      </c>
      <c r="H1454" s="11">
        <v>0</v>
      </c>
      <c r="I1454" s="11">
        <f t="shared" si="55"/>
        <v>7416.3500000000031</v>
      </c>
      <c r="J1454" s="12"/>
    </row>
    <row r="1455" spans="3:10" x14ac:dyDescent="0.3">
      <c r="C1455" s="8" t="s">
        <v>11</v>
      </c>
      <c r="D1455" s="9">
        <v>45714</v>
      </c>
      <c r="E1455" t="s">
        <v>1251</v>
      </c>
      <c r="F1455" s="10" t="s">
        <v>232</v>
      </c>
      <c r="G1455" s="11">
        <v>14.43</v>
      </c>
      <c r="H1455" s="11">
        <v>0</v>
      </c>
      <c r="I1455" s="11">
        <f t="shared" si="55"/>
        <v>7430.7800000000034</v>
      </c>
      <c r="J1455" s="12"/>
    </row>
    <row r="1456" spans="3:10" x14ac:dyDescent="0.3">
      <c r="C1456" s="8" t="s">
        <v>11</v>
      </c>
      <c r="D1456" s="9">
        <v>45715</v>
      </c>
      <c r="E1456" t="s">
        <v>1307</v>
      </c>
      <c r="F1456" s="10" t="s">
        <v>13</v>
      </c>
      <c r="G1456" s="11">
        <v>4.57</v>
      </c>
      <c r="H1456" s="11">
        <v>0</v>
      </c>
      <c r="I1456" s="11">
        <f t="shared" si="55"/>
        <v>7435.3500000000031</v>
      </c>
      <c r="J1456" s="12"/>
    </row>
    <row r="1457" spans="3:10" x14ac:dyDescent="0.3">
      <c r="C1457" s="8" t="s">
        <v>11</v>
      </c>
      <c r="D1457" s="9">
        <v>45716</v>
      </c>
      <c r="E1457" t="s">
        <v>1262</v>
      </c>
      <c r="F1457" s="10" t="s">
        <v>1308</v>
      </c>
      <c r="G1457" s="11">
        <v>3.45</v>
      </c>
      <c r="H1457" s="11">
        <v>0</v>
      </c>
      <c r="I1457" s="11">
        <f t="shared" si="55"/>
        <v>7438.8000000000029</v>
      </c>
      <c r="J1457" s="12"/>
    </row>
    <row r="1458" spans="3:10" x14ac:dyDescent="0.3">
      <c r="C1458" s="8" t="s">
        <v>11</v>
      </c>
      <c r="D1458" s="9">
        <v>45716</v>
      </c>
      <c r="E1458" t="s">
        <v>1309</v>
      </c>
      <c r="F1458" s="10" t="s">
        <v>185</v>
      </c>
      <c r="G1458" s="11">
        <v>4.3600000000000003</v>
      </c>
      <c r="H1458" s="11">
        <v>0</v>
      </c>
      <c r="I1458" s="11">
        <f t="shared" si="55"/>
        <v>7443.1600000000026</v>
      </c>
      <c r="J1458" s="12"/>
    </row>
    <row r="1459" spans="3:10" x14ac:dyDescent="0.3">
      <c r="C1459" s="8" t="s">
        <v>11</v>
      </c>
      <c r="D1459" s="9">
        <v>45716</v>
      </c>
      <c r="E1459" t="s">
        <v>1232</v>
      </c>
      <c r="F1459" s="10" t="s">
        <v>419</v>
      </c>
      <c r="G1459" s="11">
        <v>3.79</v>
      </c>
      <c r="H1459" s="11">
        <v>0</v>
      </c>
      <c r="I1459" s="11">
        <f t="shared" si="55"/>
        <v>7446.9500000000025</v>
      </c>
      <c r="J1459" s="12"/>
    </row>
    <row r="1460" spans="3:10" x14ac:dyDescent="0.3">
      <c r="C1460" s="8" t="s">
        <v>11</v>
      </c>
      <c r="D1460" s="9">
        <v>45716</v>
      </c>
      <c r="E1460" t="s">
        <v>1266</v>
      </c>
      <c r="F1460" s="10" t="s">
        <v>1310</v>
      </c>
      <c r="G1460" s="11">
        <v>905.79</v>
      </c>
      <c r="H1460" s="11">
        <v>0</v>
      </c>
      <c r="I1460" s="11">
        <f t="shared" si="55"/>
        <v>8352.7400000000016</v>
      </c>
      <c r="J1460" s="12"/>
    </row>
    <row r="1461" spans="3:10" x14ac:dyDescent="0.3">
      <c r="C1461" s="8" t="s">
        <v>11</v>
      </c>
      <c r="D1461" s="9">
        <v>45716</v>
      </c>
      <c r="E1461" t="s">
        <v>1266</v>
      </c>
      <c r="F1461" s="10" t="s">
        <v>1311</v>
      </c>
      <c r="G1461" s="11">
        <v>-181.16</v>
      </c>
      <c r="H1461" s="11">
        <v>0</v>
      </c>
      <c r="I1461" s="11">
        <f t="shared" si="55"/>
        <v>8171.5800000000017</v>
      </c>
      <c r="J1461" s="12"/>
    </row>
    <row r="1462" spans="3:10" x14ac:dyDescent="0.3">
      <c r="C1462" s="8" t="s">
        <v>11</v>
      </c>
      <c r="D1462" s="9">
        <v>45716</v>
      </c>
      <c r="E1462" t="s">
        <v>1233</v>
      </c>
      <c r="F1462" s="10" t="s">
        <v>494</v>
      </c>
      <c r="G1462" s="11">
        <v>51.69</v>
      </c>
      <c r="H1462" s="11">
        <v>0</v>
      </c>
      <c r="I1462" s="11">
        <f t="shared" si="55"/>
        <v>8223.2700000000023</v>
      </c>
      <c r="J1462" s="12"/>
    </row>
    <row r="1463" spans="3:10" x14ac:dyDescent="0.3">
      <c r="C1463" s="8" t="s">
        <v>11</v>
      </c>
      <c r="D1463" s="9">
        <v>45716</v>
      </c>
      <c r="E1463" t="s">
        <v>1236</v>
      </c>
      <c r="F1463" s="10" t="s">
        <v>155</v>
      </c>
      <c r="G1463" s="11">
        <v>51.86</v>
      </c>
      <c r="H1463" s="11">
        <v>0</v>
      </c>
      <c r="I1463" s="11">
        <f t="shared" si="55"/>
        <v>8275.1300000000028</v>
      </c>
      <c r="J1463" s="12"/>
    </row>
    <row r="1464" spans="3:10" x14ac:dyDescent="0.3">
      <c r="C1464" s="8" t="s">
        <v>11</v>
      </c>
      <c r="D1464" s="9">
        <v>45716</v>
      </c>
      <c r="E1464" t="s">
        <v>1271</v>
      </c>
      <c r="F1464" s="10" t="s">
        <v>1312</v>
      </c>
      <c r="G1464" s="11">
        <v>17.010000000000002</v>
      </c>
      <c r="H1464" s="11">
        <v>0</v>
      </c>
      <c r="I1464" s="11">
        <f t="shared" si="55"/>
        <v>8292.1400000000031</v>
      </c>
      <c r="J1464" s="12"/>
    </row>
    <row r="1465" spans="3:10" x14ac:dyDescent="0.3">
      <c r="C1465" s="8" t="s">
        <v>11</v>
      </c>
      <c r="D1465" s="9">
        <v>45716</v>
      </c>
      <c r="E1465" t="s">
        <v>1273</v>
      </c>
      <c r="F1465" s="10" t="s">
        <v>1313</v>
      </c>
      <c r="G1465" s="11">
        <v>31.55</v>
      </c>
      <c r="H1465" s="11">
        <v>0</v>
      </c>
      <c r="I1465" s="11">
        <f t="shared" si="55"/>
        <v>8323.6900000000023</v>
      </c>
      <c r="J1465" s="12"/>
    </row>
    <row r="1466" spans="3:10" x14ac:dyDescent="0.3">
      <c r="C1466" s="8" t="s">
        <v>11</v>
      </c>
      <c r="D1466" s="9">
        <v>45716</v>
      </c>
      <c r="E1466" t="s">
        <v>1289</v>
      </c>
      <c r="F1466" s="10" t="s">
        <v>355</v>
      </c>
      <c r="G1466" s="11">
        <v>21.72</v>
      </c>
      <c r="H1466" s="11">
        <v>0</v>
      </c>
      <c r="I1466" s="11">
        <f t="shared" si="55"/>
        <v>8345.4100000000017</v>
      </c>
      <c r="J1466" s="12"/>
    </row>
    <row r="1467" spans="3:10" x14ac:dyDescent="0.3">
      <c r="C1467" s="8" t="s">
        <v>11</v>
      </c>
      <c r="D1467" s="9">
        <v>45716</v>
      </c>
      <c r="E1467" t="s">
        <v>1314</v>
      </c>
      <c r="F1467" s="10" t="s">
        <v>1315</v>
      </c>
      <c r="G1467" s="11">
        <v>1.93</v>
      </c>
      <c r="H1467" s="11">
        <v>0</v>
      </c>
      <c r="I1467" s="11">
        <f t="shared" si="55"/>
        <v>8347.340000000002</v>
      </c>
      <c r="J1467" s="12"/>
    </row>
    <row r="1468" spans="3:10" x14ac:dyDescent="0.3">
      <c r="C1468" s="8" t="s">
        <v>11</v>
      </c>
      <c r="D1468" s="9">
        <v>45716</v>
      </c>
      <c r="E1468" t="s">
        <v>1230</v>
      </c>
      <c r="F1468" s="10" t="s">
        <v>31</v>
      </c>
      <c r="G1468" s="11">
        <v>38.450000000000003</v>
      </c>
      <c r="H1468" s="11">
        <v>0</v>
      </c>
      <c r="I1468" s="11">
        <f t="shared" si="55"/>
        <v>8385.7900000000027</v>
      </c>
      <c r="J1468" s="12"/>
    </row>
    <row r="1469" spans="3:10" x14ac:dyDescent="0.3">
      <c r="C1469" s="8" t="s">
        <v>11</v>
      </c>
      <c r="D1469" s="9">
        <v>45716</v>
      </c>
      <c r="E1469" t="s">
        <v>1277</v>
      </c>
      <c r="F1469" s="10" t="s">
        <v>1316</v>
      </c>
      <c r="G1469" s="11">
        <v>4.95</v>
      </c>
      <c r="H1469" s="11">
        <v>0</v>
      </c>
      <c r="I1469" s="11">
        <f t="shared" si="55"/>
        <v>8390.7400000000034</v>
      </c>
      <c r="J1469" s="12"/>
    </row>
    <row r="1470" spans="3:10" x14ac:dyDescent="0.3">
      <c r="C1470" s="8" t="s">
        <v>11</v>
      </c>
      <c r="D1470" s="9">
        <v>45716</v>
      </c>
      <c r="E1470" t="s">
        <v>1317</v>
      </c>
      <c r="F1470" s="10" t="s">
        <v>1318</v>
      </c>
      <c r="G1470" s="11">
        <v>2.62</v>
      </c>
      <c r="H1470" s="11">
        <v>0</v>
      </c>
      <c r="I1470" s="11">
        <f t="shared" si="55"/>
        <v>8393.3600000000042</v>
      </c>
      <c r="J1470" s="12"/>
    </row>
    <row r="1471" spans="3:10" x14ac:dyDescent="0.3">
      <c r="C1471" s="8" t="s">
        <v>11</v>
      </c>
      <c r="D1471" s="9">
        <v>45716</v>
      </c>
      <c r="E1471" t="s">
        <v>1260</v>
      </c>
      <c r="F1471" s="10" t="s">
        <v>1319</v>
      </c>
      <c r="G1471" s="11">
        <v>156.24</v>
      </c>
      <c r="H1471" s="11">
        <v>0</v>
      </c>
      <c r="I1471" s="11">
        <f t="shared" si="55"/>
        <v>8549.600000000004</v>
      </c>
      <c r="J1471" s="12"/>
    </row>
    <row r="1472" spans="3:10" x14ac:dyDescent="0.3">
      <c r="C1472" s="8" t="s">
        <v>11</v>
      </c>
      <c r="D1472" s="9">
        <v>45716</v>
      </c>
      <c r="E1472" t="s">
        <v>1320</v>
      </c>
      <c r="F1472" s="10" t="s">
        <v>1321</v>
      </c>
      <c r="G1472" s="11">
        <v>459.27</v>
      </c>
      <c r="H1472" s="11">
        <v>0</v>
      </c>
      <c r="I1472" s="11">
        <f t="shared" si="55"/>
        <v>9008.8700000000044</v>
      </c>
      <c r="J1472" s="12"/>
    </row>
    <row r="1473" spans="3:10" x14ac:dyDescent="0.3">
      <c r="C1473" s="8" t="s">
        <v>11</v>
      </c>
      <c r="D1473" s="9">
        <v>45717</v>
      </c>
      <c r="E1473" t="s">
        <v>1206</v>
      </c>
      <c r="F1473" s="10" t="s">
        <v>472</v>
      </c>
      <c r="G1473" s="11">
        <v>560.91</v>
      </c>
      <c r="H1473" s="11">
        <v>0</v>
      </c>
      <c r="I1473" s="11">
        <f t="shared" si="55"/>
        <v>9569.7800000000043</v>
      </c>
      <c r="J1473" s="12"/>
    </row>
    <row r="1474" spans="3:10" x14ac:dyDescent="0.3">
      <c r="C1474" s="8" t="s">
        <v>11</v>
      </c>
      <c r="D1474" s="9">
        <v>45717</v>
      </c>
      <c r="E1474" t="s">
        <v>1209</v>
      </c>
      <c r="F1474" s="10" t="s">
        <v>595</v>
      </c>
      <c r="G1474" s="11">
        <v>1.88</v>
      </c>
      <c r="H1474" s="11">
        <v>0</v>
      </c>
      <c r="I1474" s="11">
        <f t="shared" ref="I1474:I1537" si="56">G1474-H1474+I1473</f>
        <v>9571.6600000000035</v>
      </c>
      <c r="J1474" s="12"/>
    </row>
    <row r="1475" spans="3:10" x14ac:dyDescent="0.3">
      <c r="C1475" s="8" t="s">
        <v>11</v>
      </c>
      <c r="D1475" s="9">
        <v>45717</v>
      </c>
      <c r="E1475" t="s">
        <v>1210</v>
      </c>
      <c r="F1475" s="10" t="s">
        <v>1322</v>
      </c>
      <c r="G1475" s="11">
        <v>6.3</v>
      </c>
      <c r="H1475" s="11">
        <v>0</v>
      </c>
      <c r="I1475" s="11">
        <f t="shared" si="56"/>
        <v>9577.9600000000028</v>
      </c>
      <c r="J1475" s="12"/>
    </row>
    <row r="1476" spans="3:10" x14ac:dyDescent="0.3">
      <c r="C1476" s="8" t="s">
        <v>11</v>
      </c>
      <c r="D1476" s="9">
        <v>45719</v>
      </c>
      <c r="E1476" t="s">
        <v>1242</v>
      </c>
      <c r="F1476" s="10" t="s">
        <v>65</v>
      </c>
      <c r="G1476" s="11">
        <v>34.26</v>
      </c>
      <c r="H1476" s="11">
        <v>0</v>
      </c>
      <c r="I1476" s="11">
        <f t="shared" si="56"/>
        <v>9612.220000000003</v>
      </c>
      <c r="J1476" s="12"/>
    </row>
    <row r="1477" spans="3:10" x14ac:dyDescent="0.3">
      <c r="C1477" s="8" t="s">
        <v>11</v>
      </c>
      <c r="D1477" s="9">
        <v>45719</v>
      </c>
      <c r="E1477" t="s">
        <v>1207</v>
      </c>
      <c r="F1477" s="10" t="s">
        <v>1323</v>
      </c>
      <c r="G1477" s="11">
        <v>79.48</v>
      </c>
      <c r="H1477" s="11">
        <v>0</v>
      </c>
      <c r="I1477" s="11">
        <f t="shared" si="56"/>
        <v>9691.7000000000025</v>
      </c>
      <c r="J1477" s="12"/>
    </row>
    <row r="1478" spans="3:10" x14ac:dyDescent="0.3">
      <c r="C1478" s="8" t="s">
        <v>11</v>
      </c>
      <c r="D1478" s="9">
        <v>45720</v>
      </c>
      <c r="E1478" t="s">
        <v>1240</v>
      </c>
      <c r="F1478" s="10" t="s">
        <v>286</v>
      </c>
      <c r="G1478" s="11">
        <v>125.37</v>
      </c>
      <c r="H1478" s="11">
        <v>0</v>
      </c>
      <c r="I1478" s="11">
        <f t="shared" si="56"/>
        <v>9817.0700000000033</v>
      </c>
      <c r="J1478" s="12"/>
    </row>
    <row r="1479" spans="3:10" x14ac:dyDescent="0.3">
      <c r="C1479" s="8" t="s">
        <v>11</v>
      </c>
      <c r="D1479" s="9">
        <v>45721</v>
      </c>
      <c r="E1479" t="s">
        <v>1324</v>
      </c>
      <c r="F1479" s="10" t="s">
        <v>1325</v>
      </c>
      <c r="G1479" s="11">
        <v>211.4</v>
      </c>
      <c r="H1479" s="11">
        <v>0</v>
      </c>
      <c r="I1479" s="11">
        <f t="shared" si="56"/>
        <v>10028.470000000003</v>
      </c>
      <c r="J1479" s="12"/>
    </row>
    <row r="1480" spans="3:10" x14ac:dyDescent="0.3">
      <c r="C1480" s="8" t="s">
        <v>11</v>
      </c>
      <c r="D1480" s="9">
        <v>45721</v>
      </c>
      <c r="E1480" t="s">
        <v>1251</v>
      </c>
      <c r="F1480" s="10" t="s">
        <v>234</v>
      </c>
      <c r="G1480" s="11">
        <v>27.68</v>
      </c>
      <c r="H1480" s="11">
        <v>0</v>
      </c>
      <c r="I1480" s="11">
        <f t="shared" si="56"/>
        <v>10056.150000000003</v>
      </c>
      <c r="J1480" s="12"/>
    </row>
    <row r="1481" spans="3:10" x14ac:dyDescent="0.3">
      <c r="C1481" s="8" t="s">
        <v>11</v>
      </c>
      <c r="D1481" s="9">
        <v>45721</v>
      </c>
      <c r="E1481" t="s">
        <v>1242</v>
      </c>
      <c r="F1481" s="10" t="s">
        <v>67</v>
      </c>
      <c r="G1481" s="11">
        <v>1296.27</v>
      </c>
      <c r="H1481" s="11">
        <v>0</v>
      </c>
      <c r="I1481" s="11">
        <f t="shared" si="56"/>
        <v>11352.420000000004</v>
      </c>
      <c r="J1481" s="12"/>
    </row>
    <row r="1482" spans="3:10" x14ac:dyDescent="0.3">
      <c r="C1482" s="8" t="s">
        <v>11</v>
      </c>
      <c r="D1482" s="9">
        <v>45722</v>
      </c>
      <c r="E1482" t="s">
        <v>1226</v>
      </c>
      <c r="F1482" s="10" t="s">
        <v>1326</v>
      </c>
      <c r="G1482" s="11">
        <v>13.36</v>
      </c>
      <c r="H1482" s="11">
        <v>0</v>
      </c>
      <c r="I1482" s="11">
        <f t="shared" si="56"/>
        <v>11365.780000000004</v>
      </c>
      <c r="J1482" s="12"/>
    </row>
    <row r="1483" spans="3:10" x14ac:dyDescent="0.3">
      <c r="C1483" s="8" t="s">
        <v>11</v>
      </c>
      <c r="D1483" s="9">
        <v>45722</v>
      </c>
      <c r="E1483" t="s">
        <v>1288</v>
      </c>
      <c r="F1483" s="10" t="s">
        <v>304</v>
      </c>
      <c r="G1483" s="11">
        <v>13.19</v>
      </c>
      <c r="H1483" s="11">
        <v>0</v>
      </c>
      <c r="I1483" s="11">
        <f t="shared" si="56"/>
        <v>11378.970000000005</v>
      </c>
      <c r="J1483" s="12"/>
    </row>
    <row r="1484" spans="3:10" x14ac:dyDescent="0.3">
      <c r="C1484" s="8" t="s">
        <v>11</v>
      </c>
      <c r="D1484" s="9">
        <v>45722</v>
      </c>
      <c r="E1484" t="s">
        <v>1327</v>
      </c>
      <c r="F1484" s="10" t="s">
        <v>1328</v>
      </c>
      <c r="G1484" s="11">
        <v>28.22</v>
      </c>
      <c r="H1484" s="11">
        <v>0</v>
      </c>
      <c r="I1484" s="11">
        <f t="shared" si="56"/>
        <v>11407.190000000004</v>
      </c>
      <c r="J1484" s="12"/>
    </row>
    <row r="1485" spans="3:10" x14ac:dyDescent="0.3">
      <c r="C1485" s="8" t="s">
        <v>11</v>
      </c>
      <c r="D1485" s="9">
        <v>45723</v>
      </c>
      <c r="E1485" t="s">
        <v>1251</v>
      </c>
      <c r="F1485" s="10" t="s">
        <v>236</v>
      </c>
      <c r="G1485" s="11">
        <v>30.78</v>
      </c>
      <c r="H1485" s="11">
        <v>0</v>
      </c>
      <c r="I1485" s="11">
        <f t="shared" si="56"/>
        <v>11437.970000000005</v>
      </c>
      <c r="J1485" s="12"/>
    </row>
    <row r="1486" spans="3:10" x14ac:dyDescent="0.3">
      <c r="C1486" s="8" t="s">
        <v>11</v>
      </c>
      <c r="D1486" s="9">
        <v>45726</v>
      </c>
      <c r="E1486" t="s">
        <v>1216</v>
      </c>
      <c r="F1486" s="10" t="s">
        <v>1329</v>
      </c>
      <c r="G1486" s="11">
        <v>2.69</v>
      </c>
      <c r="H1486" s="11">
        <v>0</v>
      </c>
      <c r="I1486" s="11">
        <f t="shared" si="56"/>
        <v>11440.660000000005</v>
      </c>
      <c r="J1486" s="12"/>
    </row>
    <row r="1487" spans="3:10" x14ac:dyDescent="0.3">
      <c r="C1487" s="8" t="s">
        <v>11</v>
      </c>
      <c r="D1487" s="9">
        <v>45726</v>
      </c>
      <c r="E1487" t="s">
        <v>1330</v>
      </c>
      <c r="F1487" s="10" t="s">
        <v>198</v>
      </c>
      <c r="G1487" s="11">
        <v>6.52</v>
      </c>
      <c r="H1487" s="11">
        <v>0</v>
      </c>
      <c r="I1487" s="11">
        <f t="shared" si="56"/>
        <v>11447.180000000006</v>
      </c>
      <c r="J1487" s="12"/>
    </row>
    <row r="1488" spans="3:10" x14ac:dyDescent="0.3">
      <c r="C1488" s="8" t="s">
        <v>11</v>
      </c>
      <c r="D1488" s="9">
        <v>45726</v>
      </c>
      <c r="E1488" t="s">
        <v>1330</v>
      </c>
      <c r="F1488" s="10" t="s">
        <v>198</v>
      </c>
      <c r="G1488" s="11">
        <v>0.53</v>
      </c>
      <c r="H1488" s="11">
        <v>0</v>
      </c>
      <c r="I1488" s="11">
        <f t="shared" si="56"/>
        <v>11447.710000000006</v>
      </c>
      <c r="J1488" s="12"/>
    </row>
    <row r="1489" spans="3:10" x14ac:dyDescent="0.3">
      <c r="C1489" s="8" t="s">
        <v>11</v>
      </c>
      <c r="D1489" s="9">
        <v>45728</v>
      </c>
      <c r="E1489" t="s">
        <v>1251</v>
      </c>
      <c r="F1489" s="10" t="s">
        <v>238</v>
      </c>
      <c r="G1489" s="11">
        <v>12.54</v>
      </c>
      <c r="H1489" s="11">
        <v>0</v>
      </c>
      <c r="I1489" s="11">
        <f t="shared" si="56"/>
        <v>11460.250000000007</v>
      </c>
      <c r="J1489" s="12"/>
    </row>
    <row r="1490" spans="3:10" x14ac:dyDescent="0.3">
      <c r="C1490" s="8" t="s">
        <v>11</v>
      </c>
      <c r="D1490" s="9">
        <v>45728</v>
      </c>
      <c r="E1490" t="s">
        <v>1242</v>
      </c>
      <c r="F1490" s="10" t="s">
        <v>69</v>
      </c>
      <c r="G1490" s="11">
        <v>15.53</v>
      </c>
      <c r="H1490" s="11">
        <v>0</v>
      </c>
      <c r="I1490" s="11">
        <f t="shared" si="56"/>
        <v>11475.780000000008</v>
      </c>
      <c r="J1490" s="12"/>
    </row>
    <row r="1491" spans="3:10" x14ac:dyDescent="0.3">
      <c r="C1491" s="8" t="s">
        <v>11</v>
      </c>
      <c r="D1491" s="9">
        <v>45729</v>
      </c>
      <c r="E1491" t="s">
        <v>1212</v>
      </c>
      <c r="F1491" s="10" t="s">
        <v>211</v>
      </c>
      <c r="G1491" s="11">
        <v>23.2</v>
      </c>
      <c r="H1491" s="11">
        <v>0</v>
      </c>
      <c r="I1491" s="11">
        <f t="shared" si="56"/>
        <v>11498.980000000009</v>
      </c>
      <c r="J1491" s="12"/>
    </row>
    <row r="1492" spans="3:10" x14ac:dyDescent="0.3">
      <c r="C1492" s="8" t="s">
        <v>11</v>
      </c>
      <c r="D1492" s="9">
        <v>45730</v>
      </c>
      <c r="E1492" t="s">
        <v>1264</v>
      </c>
      <c r="F1492" s="10" t="s">
        <v>338</v>
      </c>
      <c r="G1492" s="11">
        <v>0.96</v>
      </c>
      <c r="H1492" s="11">
        <v>0</v>
      </c>
      <c r="I1492" s="11">
        <f t="shared" si="56"/>
        <v>11499.940000000008</v>
      </c>
      <c r="J1492" s="12"/>
    </row>
    <row r="1493" spans="3:10" x14ac:dyDescent="0.3">
      <c r="C1493" s="8" t="s">
        <v>11</v>
      </c>
      <c r="D1493" s="9">
        <v>45730</v>
      </c>
      <c r="E1493" t="s">
        <v>1236</v>
      </c>
      <c r="F1493" s="10" t="s">
        <v>157</v>
      </c>
      <c r="G1493" s="11">
        <v>217.4</v>
      </c>
      <c r="H1493" s="11">
        <v>0</v>
      </c>
      <c r="I1493" s="11">
        <f t="shared" si="56"/>
        <v>11717.340000000007</v>
      </c>
      <c r="J1493" s="12"/>
    </row>
    <row r="1494" spans="3:10" x14ac:dyDescent="0.3">
      <c r="C1494" s="8" t="s">
        <v>11</v>
      </c>
      <c r="D1494" s="9">
        <v>45730</v>
      </c>
      <c r="E1494" t="s">
        <v>1230</v>
      </c>
      <c r="F1494" s="10" t="s">
        <v>33</v>
      </c>
      <c r="G1494" s="11">
        <v>34.51</v>
      </c>
      <c r="H1494" s="11">
        <v>0</v>
      </c>
      <c r="I1494" s="11">
        <f t="shared" si="56"/>
        <v>11751.850000000008</v>
      </c>
      <c r="J1494" s="12"/>
    </row>
    <row r="1495" spans="3:10" x14ac:dyDescent="0.3">
      <c r="C1495" s="8" t="s">
        <v>11</v>
      </c>
      <c r="D1495" s="9">
        <v>45731</v>
      </c>
      <c r="E1495" t="s">
        <v>1231</v>
      </c>
      <c r="F1495" s="10" t="s">
        <v>566</v>
      </c>
      <c r="G1495" s="11">
        <v>90.3</v>
      </c>
      <c r="H1495" s="11">
        <v>0</v>
      </c>
      <c r="I1495" s="11">
        <f t="shared" si="56"/>
        <v>11842.150000000007</v>
      </c>
      <c r="J1495" s="12"/>
    </row>
    <row r="1496" spans="3:10" x14ac:dyDescent="0.3">
      <c r="C1496" s="8" t="s">
        <v>11</v>
      </c>
      <c r="D1496" s="9">
        <v>45731</v>
      </c>
      <c r="E1496" t="s">
        <v>1232</v>
      </c>
      <c r="F1496" s="10" t="s">
        <v>421</v>
      </c>
      <c r="G1496" s="11">
        <v>2.37</v>
      </c>
      <c r="H1496" s="11">
        <v>0</v>
      </c>
      <c r="I1496" s="11">
        <f t="shared" si="56"/>
        <v>11844.520000000008</v>
      </c>
      <c r="J1496" s="12"/>
    </row>
    <row r="1497" spans="3:10" x14ac:dyDescent="0.3">
      <c r="C1497" s="8" t="s">
        <v>11</v>
      </c>
      <c r="D1497" s="9">
        <v>45731</v>
      </c>
      <c r="E1497" t="s">
        <v>1265</v>
      </c>
      <c r="F1497" s="10" t="s">
        <v>135</v>
      </c>
      <c r="G1497" s="11">
        <v>63.66</v>
      </c>
      <c r="H1497" s="11">
        <v>0</v>
      </c>
      <c r="I1497" s="11">
        <f t="shared" si="56"/>
        <v>11908.180000000008</v>
      </c>
      <c r="J1497" s="12"/>
    </row>
    <row r="1498" spans="3:10" x14ac:dyDescent="0.3">
      <c r="C1498" s="8" t="s">
        <v>11</v>
      </c>
      <c r="D1498" s="9">
        <v>45731</v>
      </c>
      <c r="E1498" t="s">
        <v>1307</v>
      </c>
      <c r="F1498" s="10" t="s">
        <v>15</v>
      </c>
      <c r="G1498" s="11">
        <v>4.13</v>
      </c>
      <c r="H1498" s="11">
        <v>0</v>
      </c>
      <c r="I1498" s="11">
        <f t="shared" si="56"/>
        <v>11912.310000000007</v>
      </c>
      <c r="J1498" s="12"/>
    </row>
    <row r="1499" spans="3:10" x14ac:dyDescent="0.3">
      <c r="C1499" s="8" t="s">
        <v>11</v>
      </c>
      <c r="D1499" s="9">
        <v>45731</v>
      </c>
      <c r="E1499" t="s">
        <v>1233</v>
      </c>
      <c r="F1499" s="10" t="s">
        <v>496</v>
      </c>
      <c r="G1499" s="11">
        <v>19.57</v>
      </c>
      <c r="H1499" s="11">
        <v>0</v>
      </c>
      <c r="I1499" s="11">
        <f t="shared" si="56"/>
        <v>11931.880000000006</v>
      </c>
      <c r="J1499" s="12"/>
    </row>
    <row r="1500" spans="3:10" x14ac:dyDescent="0.3">
      <c r="C1500" s="8" t="s">
        <v>11</v>
      </c>
      <c r="D1500" s="9">
        <v>45731</v>
      </c>
      <c r="E1500" t="s">
        <v>1277</v>
      </c>
      <c r="F1500" s="10" t="s">
        <v>1331</v>
      </c>
      <c r="G1500" s="11">
        <v>32.909999999999997</v>
      </c>
      <c r="H1500" s="11">
        <v>0</v>
      </c>
      <c r="I1500" s="11">
        <f t="shared" si="56"/>
        <v>11964.790000000006</v>
      </c>
      <c r="J1500" s="12"/>
    </row>
    <row r="1501" spans="3:10" x14ac:dyDescent="0.3">
      <c r="C1501" s="8" t="s">
        <v>11</v>
      </c>
      <c r="D1501" s="9">
        <v>45731</v>
      </c>
      <c r="E1501" t="s">
        <v>1259</v>
      </c>
      <c r="F1501" s="10" t="s">
        <v>511</v>
      </c>
      <c r="G1501" s="11">
        <v>32.76</v>
      </c>
      <c r="H1501" s="11">
        <v>0</v>
      </c>
      <c r="I1501" s="11">
        <f t="shared" si="56"/>
        <v>11997.550000000007</v>
      </c>
      <c r="J1501" s="12"/>
    </row>
    <row r="1502" spans="3:10" x14ac:dyDescent="0.3">
      <c r="C1502" s="8" t="s">
        <v>11</v>
      </c>
      <c r="D1502" s="9">
        <v>45732</v>
      </c>
      <c r="E1502" t="s">
        <v>1238</v>
      </c>
      <c r="F1502" s="10" t="s">
        <v>1332</v>
      </c>
      <c r="G1502" s="11">
        <v>2.52</v>
      </c>
      <c r="H1502" s="11">
        <v>0</v>
      </c>
      <c r="I1502" s="11">
        <f t="shared" si="56"/>
        <v>12000.070000000007</v>
      </c>
      <c r="J1502" s="12"/>
    </row>
    <row r="1503" spans="3:10" x14ac:dyDescent="0.3">
      <c r="C1503" s="8" t="s">
        <v>11</v>
      </c>
      <c r="D1503" s="9">
        <v>45734</v>
      </c>
      <c r="E1503" t="s">
        <v>1224</v>
      </c>
      <c r="F1503" s="10" t="s">
        <v>1333</v>
      </c>
      <c r="G1503" s="11">
        <v>91.06</v>
      </c>
      <c r="H1503" s="11">
        <v>0</v>
      </c>
      <c r="I1503" s="11">
        <f t="shared" si="56"/>
        <v>12091.130000000006</v>
      </c>
      <c r="J1503" s="12"/>
    </row>
    <row r="1504" spans="3:10" x14ac:dyDescent="0.3">
      <c r="C1504" s="8" t="s">
        <v>11</v>
      </c>
      <c r="D1504" s="9">
        <v>45734</v>
      </c>
      <c r="E1504" t="s">
        <v>1288</v>
      </c>
      <c r="F1504" s="10" t="s">
        <v>306</v>
      </c>
      <c r="G1504" s="11">
        <v>35.090000000000003</v>
      </c>
      <c r="H1504" s="11">
        <v>0</v>
      </c>
      <c r="I1504" s="11">
        <f t="shared" si="56"/>
        <v>12126.220000000007</v>
      </c>
      <c r="J1504" s="12"/>
    </row>
    <row r="1505" spans="3:10" x14ac:dyDescent="0.3">
      <c r="C1505" s="8" t="s">
        <v>11</v>
      </c>
      <c r="D1505" s="9">
        <v>45734</v>
      </c>
      <c r="E1505" t="s">
        <v>1334</v>
      </c>
      <c r="F1505" s="10" t="s">
        <v>1335</v>
      </c>
      <c r="G1505" s="11">
        <v>32.799999999999997</v>
      </c>
      <c r="H1505" s="11">
        <v>0</v>
      </c>
      <c r="I1505" s="11">
        <f t="shared" si="56"/>
        <v>12159.020000000006</v>
      </c>
      <c r="J1505" s="12"/>
    </row>
    <row r="1506" spans="3:10" x14ac:dyDescent="0.3">
      <c r="C1506" s="8" t="s">
        <v>11</v>
      </c>
      <c r="D1506" s="9">
        <v>45736</v>
      </c>
      <c r="E1506" t="s">
        <v>1246</v>
      </c>
      <c r="F1506" s="10" t="s">
        <v>549</v>
      </c>
      <c r="G1506" s="11">
        <v>35.659999999999997</v>
      </c>
      <c r="H1506" s="11">
        <v>0</v>
      </c>
      <c r="I1506" s="11">
        <f t="shared" si="56"/>
        <v>12194.680000000006</v>
      </c>
      <c r="J1506" s="12"/>
    </row>
    <row r="1507" spans="3:10" x14ac:dyDescent="0.3">
      <c r="C1507" s="8"/>
      <c r="D1507" s="9">
        <v>45736</v>
      </c>
      <c r="E1507" t="s">
        <v>1336</v>
      </c>
      <c r="F1507" s="10" t="s">
        <v>1337</v>
      </c>
      <c r="G1507" s="11">
        <v>5.33</v>
      </c>
      <c r="H1507" s="11">
        <v>0</v>
      </c>
      <c r="I1507" s="11">
        <f t="shared" si="56"/>
        <v>12200.010000000006</v>
      </c>
      <c r="J1507" s="12"/>
    </row>
    <row r="1508" spans="3:10" x14ac:dyDescent="0.3">
      <c r="C1508" s="8" t="s">
        <v>11</v>
      </c>
      <c r="D1508" s="9">
        <v>45737</v>
      </c>
      <c r="E1508" t="s">
        <v>1251</v>
      </c>
      <c r="F1508" s="10" t="s">
        <v>240</v>
      </c>
      <c r="G1508" s="11">
        <v>124.74</v>
      </c>
      <c r="H1508" s="11">
        <v>0</v>
      </c>
      <c r="I1508" s="11">
        <f t="shared" si="56"/>
        <v>12324.750000000005</v>
      </c>
      <c r="J1508" s="12"/>
    </row>
    <row r="1509" spans="3:10" x14ac:dyDescent="0.3">
      <c r="C1509" s="8" t="s">
        <v>11</v>
      </c>
      <c r="D1509" s="9">
        <v>45740</v>
      </c>
      <c r="E1509" t="s">
        <v>1288</v>
      </c>
      <c r="F1509" s="10" t="s">
        <v>308</v>
      </c>
      <c r="G1509" s="11">
        <v>21.97</v>
      </c>
      <c r="H1509" s="11">
        <v>0</v>
      </c>
      <c r="I1509" s="11">
        <f t="shared" si="56"/>
        <v>12346.720000000005</v>
      </c>
      <c r="J1509" s="12"/>
    </row>
    <row r="1510" spans="3:10" x14ac:dyDescent="0.3">
      <c r="C1510" s="8" t="s">
        <v>11</v>
      </c>
      <c r="D1510" s="9">
        <v>45740</v>
      </c>
      <c r="E1510" t="s">
        <v>1251</v>
      </c>
      <c r="F1510" s="10" t="s">
        <v>242</v>
      </c>
      <c r="G1510" s="11">
        <v>58.12</v>
      </c>
      <c r="H1510" s="11">
        <v>0</v>
      </c>
      <c r="I1510" s="11">
        <f t="shared" si="56"/>
        <v>12404.840000000006</v>
      </c>
      <c r="J1510" s="12"/>
    </row>
    <row r="1511" spans="3:10" x14ac:dyDescent="0.3">
      <c r="C1511" s="8" t="s">
        <v>11</v>
      </c>
      <c r="D1511" s="9">
        <v>45740</v>
      </c>
      <c r="E1511" t="s">
        <v>1242</v>
      </c>
      <c r="F1511" s="10" t="s">
        <v>71</v>
      </c>
      <c r="G1511" s="11">
        <v>58.77</v>
      </c>
      <c r="H1511" s="11">
        <v>0</v>
      </c>
      <c r="I1511" s="11">
        <f t="shared" si="56"/>
        <v>12463.610000000006</v>
      </c>
      <c r="J1511" s="12"/>
    </row>
    <row r="1512" spans="3:10" x14ac:dyDescent="0.3">
      <c r="C1512" s="8" t="s">
        <v>11</v>
      </c>
      <c r="D1512" s="9">
        <v>45740</v>
      </c>
      <c r="E1512" t="s">
        <v>1338</v>
      </c>
      <c r="F1512" s="10" t="s">
        <v>1339</v>
      </c>
      <c r="G1512" s="11">
        <v>16.920000000000002</v>
      </c>
      <c r="H1512" s="11">
        <v>0</v>
      </c>
      <c r="I1512" s="11">
        <f t="shared" si="56"/>
        <v>12480.530000000006</v>
      </c>
      <c r="J1512" s="12"/>
    </row>
    <row r="1513" spans="3:10" x14ac:dyDescent="0.3">
      <c r="C1513" s="8" t="s">
        <v>11</v>
      </c>
      <c r="D1513" s="9">
        <v>45741</v>
      </c>
      <c r="E1513" t="s">
        <v>1284</v>
      </c>
      <c r="F1513" s="10" t="s">
        <v>1340</v>
      </c>
      <c r="G1513" s="11">
        <v>1.69</v>
      </c>
      <c r="H1513" s="11">
        <v>0</v>
      </c>
      <c r="I1513" s="11">
        <f t="shared" si="56"/>
        <v>12482.220000000007</v>
      </c>
      <c r="J1513" s="12"/>
    </row>
    <row r="1514" spans="3:10" x14ac:dyDescent="0.3">
      <c r="C1514" s="8" t="s">
        <v>11</v>
      </c>
      <c r="D1514" s="9">
        <v>45741</v>
      </c>
      <c r="E1514" t="s">
        <v>1284</v>
      </c>
      <c r="F1514" s="10" t="s">
        <v>1340</v>
      </c>
      <c r="G1514" s="11">
        <v>1.17</v>
      </c>
      <c r="H1514" s="11">
        <v>0</v>
      </c>
      <c r="I1514" s="11">
        <f t="shared" si="56"/>
        <v>12483.390000000007</v>
      </c>
      <c r="J1514" s="12"/>
    </row>
    <row r="1515" spans="3:10" x14ac:dyDescent="0.3">
      <c r="C1515" s="8" t="s">
        <v>11</v>
      </c>
      <c r="D1515" s="9">
        <v>45743</v>
      </c>
      <c r="E1515" t="s">
        <v>1251</v>
      </c>
      <c r="F1515" s="10" t="s">
        <v>244</v>
      </c>
      <c r="G1515" s="11">
        <v>35.65</v>
      </c>
      <c r="H1515" s="11">
        <v>0</v>
      </c>
      <c r="I1515" s="11">
        <f t="shared" si="56"/>
        <v>12519.040000000006</v>
      </c>
      <c r="J1515" s="12"/>
    </row>
    <row r="1516" spans="3:10" x14ac:dyDescent="0.3">
      <c r="C1516" s="8" t="s">
        <v>11</v>
      </c>
      <c r="D1516" s="9">
        <v>45744</v>
      </c>
      <c r="E1516" t="s">
        <v>1341</v>
      </c>
      <c r="F1516" s="10" t="s">
        <v>1342</v>
      </c>
      <c r="G1516" s="11">
        <v>66.44</v>
      </c>
      <c r="H1516" s="11">
        <v>0</v>
      </c>
      <c r="I1516" s="11">
        <f t="shared" si="56"/>
        <v>12585.480000000007</v>
      </c>
      <c r="J1516" s="12"/>
    </row>
    <row r="1517" spans="3:10" x14ac:dyDescent="0.3">
      <c r="C1517" s="8" t="s">
        <v>11</v>
      </c>
      <c r="D1517" s="9">
        <v>45746</v>
      </c>
      <c r="E1517" t="s">
        <v>1257</v>
      </c>
      <c r="F1517" s="10" t="s">
        <v>1343</v>
      </c>
      <c r="G1517" s="11">
        <v>46.2</v>
      </c>
      <c r="H1517" s="11">
        <v>0</v>
      </c>
      <c r="I1517" s="11">
        <f t="shared" si="56"/>
        <v>12631.680000000008</v>
      </c>
      <c r="J1517" s="12"/>
    </row>
    <row r="1518" spans="3:10" x14ac:dyDescent="0.3">
      <c r="C1518" s="8" t="s">
        <v>11</v>
      </c>
      <c r="D1518" s="9">
        <v>45747</v>
      </c>
      <c r="E1518" t="s">
        <v>1344</v>
      </c>
      <c r="F1518" s="10" t="s">
        <v>1345</v>
      </c>
      <c r="G1518" s="11">
        <v>12.29</v>
      </c>
      <c r="H1518" s="11">
        <v>0</v>
      </c>
      <c r="I1518" s="11">
        <f t="shared" si="56"/>
        <v>12643.970000000008</v>
      </c>
      <c r="J1518" s="12"/>
    </row>
    <row r="1519" spans="3:10" x14ac:dyDescent="0.3">
      <c r="C1519" s="8" t="s">
        <v>11</v>
      </c>
      <c r="D1519" s="9">
        <v>45747</v>
      </c>
      <c r="E1519" t="s">
        <v>1251</v>
      </c>
      <c r="F1519" s="10" t="s">
        <v>246</v>
      </c>
      <c r="G1519" s="11">
        <v>355.73</v>
      </c>
      <c r="H1519" s="11">
        <v>0</v>
      </c>
      <c r="I1519" s="11">
        <f t="shared" si="56"/>
        <v>12999.700000000008</v>
      </c>
      <c r="J1519" s="12"/>
    </row>
    <row r="1520" spans="3:10" x14ac:dyDescent="0.3">
      <c r="C1520" s="8" t="s">
        <v>11</v>
      </c>
      <c r="D1520" s="9">
        <v>45747</v>
      </c>
      <c r="E1520" t="s">
        <v>1264</v>
      </c>
      <c r="F1520" s="10" t="s">
        <v>340</v>
      </c>
      <c r="G1520" s="11">
        <v>47.09</v>
      </c>
      <c r="H1520" s="11">
        <v>0</v>
      </c>
      <c r="I1520" s="11">
        <f t="shared" si="56"/>
        <v>13046.790000000008</v>
      </c>
      <c r="J1520" s="12"/>
    </row>
    <row r="1521" spans="3:10" x14ac:dyDescent="0.3">
      <c r="C1521" s="8" t="s">
        <v>11</v>
      </c>
      <c r="D1521" s="9">
        <v>45747</v>
      </c>
      <c r="E1521" t="s">
        <v>1232</v>
      </c>
      <c r="F1521" s="10" t="s">
        <v>423</v>
      </c>
      <c r="G1521" s="11">
        <v>7.38</v>
      </c>
      <c r="H1521" s="11">
        <v>0</v>
      </c>
      <c r="I1521" s="11">
        <f t="shared" si="56"/>
        <v>13054.170000000007</v>
      </c>
      <c r="J1521" s="12"/>
    </row>
    <row r="1522" spans="3:10" x14ac:dyDescent="0.3">
      <c r="C1522" s="8" t="s">
        <v>11</v>
      </c>
      <c r="D1522" s="9">
        <v>45747</v>
      </c>
      <c r="E1522" t="s">
        <v>1286</v>
      </c>
      <c r="F1522" s="10" t="s">
        <v>619</v>
      </c>
      <c r="G1522" s="11">
        <v>89.84</v>
      </c>
      <c r="H1522" s="11">
        <v>0</v>
      </c>
      <c r="I1522" s="11">
        <f t="shared" si="56"/>
        <v>13144.010000000007</v>
      </c>
      <c r="J1522" s="12"/>
    </row>
    <row r="1523" spans="3:10" x14ac:dyDescent="0.3">
      <c r="C1523" s="8" t="s">
        <v>11</v>
      </c>
      <c r="D1523" s="9">
        <v>45747</v>
      </c>
      <c r="E1523" t="s">
        <v>1236</v>
      </c>
      <c r="F1523" s="10" t="s">
        <v>159</v>
      </c>
      <c r="G1523" s="11">
        <v>167.35</v>
      </c>
      <c r="H1523" s="11">
        <v>0</v>
      </c>
      <c r="I1523" s="11">
        <f t="shared" si="56"/>
        <v>13311.360000000008</v>
      </c>
      <c r="J1523" s="12"/>
    </row>
    <row r="1524" spans="3:10" x14ac:dyDescent="0.3">
      <c r="C1524" s="8" t="s">
        <v>11</v>
      </c>
      <c r="D1524" s="9">
        <v>45747</v>
      </c>
      <c r="E1524" t="s">
        <v>1271</v>
      </c>
      <c r="F1524" s="10" t="s">
        <v>1346</v>
      </c>
      <c r="G1524" s="11">
        <v>4.88</v>
      </c>
      <c r="H1524" s="11">
        <v>0</v>
      </c>
      <c r="I1524" s="11">
        <f t="shared" si="56"/>
        <v>13316.240000000007</v>
      </c>
      <c r="J1524" s="12"/>
    </row>
    <row r="1525" spans="3:10" x14ac:dyDescent="0.3">
      <c r="C1525" s="8" t="s">
        <v>11</v>
      </c>
      <c r="D1525" s="9">
        <v>45747</v>
      </c>
      <c r="E1525" t="s">
        <v>1277</v>
      </c>
      <c r="F1525" s="10" t="s">
        <v>1347</v>
      </c>
      <c r="G1525" s="11">
        <v>4.38</v>
      </c>
      <c r="H1525" s="11">
        <v>0</v>
      </c>
      <c r="I1525" s="11">
        <f t="shared" si="56"/>
        <v>13320.620000000006</v>
      </c>
      <c r="J1525" s="12"/>
    </row>
    <row r="1526" spans="3:10" x14ac:dyDescent="0.3">
      <c r="C1526" s="8" t="s">
        <v>11</v>
      </c>
      <c r="D1526" s="9">
        <v>45747</v>
      </c>
      <c r="E1526" t="s">
        <v>1230</v>
      </c>
      <c r="F1526" s="10" t="s">
        <v>35</v>
      </c>
      <c r="G1526" s="11">
        <v>37.630000000000003</v>
      </c>
      <c r="H1526" s="11">
        <v>0</v>
      </c>
      <c r="I1526" s="11">
        <f t="shared" si="56"/>
        <v>13358.250000000005</v>
      </c>
      <c r="J1526" s="12"/>
    </row>
    <row r="1527" spans="3:10" x14ac:dyDescent="0.3">
      <c r="C1527" s="8" t="s">
        <v>11</v>
      </c>
      <c r="D1527" s="9">
        <v>45747</v>
      </c>
      <c r="E1527" t="s">
        <v>1260</v>
      </c>
      <c r="F1527" s="10" t="s">
        <v>1348</v>
      </c>
      <c r="G1527" s="11">
        <v>165.9</v>
      </c>
      <c r="H1527" s="11">
        <v>0</v>
      </c>
      <c r="I1527" s="11">
        <f t="shared" si="56"/>
        <v>13524.150000000005</v>
      </c>
      <c r="J1527" s="12"/>
    </row>
    <row r="1528" spans="3:10" x14ac:dyDescent="0.3">
      <c r="C1528" s="8" t="s">
        <v>11</v>
      </c>
      <c r="D1528" s="9">
        <v>45747</v>
      </c>
      <c r="E1528" t="s">
        <v>1273</v>
      </c>
      <c r="F1528" s="10" t="s">
        <v>1349</v>
      </c>
      <c r="G1528" s="11">
        <v>83.35</v>
      </c>
      <c r="H1528" s="11">
        <v>0</v>
      </c>
      <c r="I1528" s="11">
        <f t="shared" si="56"/>
        <v>13607.500000000005</v>
      </c>
      <c r="J1528" s="12"/>
    </row>
    <row r="1529" spans="3:10" x14ac:dyDescent="0.3">
      <c r="C1529" s="8" t="s">
        <v>11</v>
      </c>
      <c r="D1529" s="9">
        <v>45747</v>
      </c>
      <c r="E1529" t="s">
        <v>1273</v>
      </c>
      <c r="F1529" s="10" t="s">
        <v>1350</v>
      </c>
      <c r="G1529" s="11">
        <v>0.55000000000000004</v>
      </c>
      <c r="H1529" s="11">
        <v>0</v>
      </c>
      <c r="I1529" s="11">
        <f t="shared" si="56"/>
        <v>13608.050000000005</v>
      </c>
      <c r="J1529" s="12"/>
    </row>
    <row r="1530" spans="3:10" x14ac:dyDescent="0.3">
      <c r="C1530" s="8" t="s">
        <v>11</v>
      </c>
      <c r="D1530" s="9">
        <v>45747</v>
      </c>
      <c r="E1530" t="s">
        <v>1351</v>
      </c>
      <c r="F1530" s="10" t="s">
        <v>1352</v>
      </c>
      <c r="G1530" s="11">
        <v>0</v>
      </c>
      <c r="H1530" s="11">
        <v>13608.05</v>
      </c>
      <c r="I1530" s="11">
        <f t="shared" si="56"/>
        <v>0</v>
      </c>
      <c r="J1530" s="12"/>
    </row>
    <row r="1531" spans="3:10" x14ac:dyDescent="0.3">
      <c r="C1531" s="8" t="s">
        <v>11</v>
      </c>
      <c r="D1531" s="9">
        <v>45748</v>
      </c>
      <c r="E1531" t="s">
        <v>1213</v>
      </c>
      <c r="F1531" s="10" t="s">
        <v>651</v>
      </c>
      <c r="G1531" s="11">
        <v>5.21</v>
      </c>
      <c r="H1531" s="11">
        <v>0</v>
      </c>
      <c r="I1531" s="11">
        <f t="shared" si="56"/>
        <v>5.21</v>
      </c>
      <c r="J1531" s="12"/>
    </row>
    <row r="1532" spans="3:10" x14ac:dyDescent="0.3">
      <c r="C1532" s="8" t="s">
        <v>11</v>
      </c>
      <c r="D1532" s="9">
        <v>45748</v>
      </c>
      <c r="E1532" t="s">
        <v>1213</v>
      </c>
      <c r="F1532" s="10" t="s">
        <v>653</v>
      </c>
      <c r="G1532" s="11">
        <v>5.21</v>
      </c>
      <c r="H1532" s="11">
        <v>0</v>
      </c>
      <c r="I1532" s="11">
        <f t="shared" si="56"/>
        <v>10.42</v>
      </c>
      <c r="J1532" s="12"/>
    </row>
    <row r="1533" spans="3:10" x14ac:dyDescent="0.3">
      <c r="C1533" s="8" t="s">
        <v>11</v>
      </c>
      <c r="D1533" s="9">
        <v>45748</v>
      </c>
      <c r="E1533" t="s">
        <v>1213</v>
      </c>
      <c r="F1533" s="10" t="s">
        <v>655</v>
      </c>
      <c r="G1533" s="11">
        <v>6.07</v>
      </c>
      <c r="H1533" s="11">
        <v>0</v>
      </c>
      <c r="I1533" s="11">
        <f t="shared" si="56"/>
        <v>16.490000000000002</v>
      </c>
      <c r="J1533" s="12"/>
    </row>
    <row r="1534" spans="3:10" x14ac:dyDescent="0.3">
      <c r="C1534" s="8" t="s">
        <v>11</v>
      </c>
      <c r="D1534" s="9">
        <v>45748</v>
      </c>
      <c r="E1534" t="s">
        <v>1213</v>
      </c>
      <c r="F1534" s="10" t="s">
        <v>657</v>
      </c>
      <c r="G1534" s="11">
        <v>5.21</v>
      </c>
      <c r="H1534" s="11">
        <v>0</v>
      </c>
      <c r="I1534" s="11">
        <f t="shared" si="56"/>
        <v>21.700000000000003</v>
      </c>
      <c r="J1534" s="12"/>
    </row>
    <row r="1535" spans="3:10" x14ac:dyDescent="0.3">
      <c r="C1535" s="8" t="s">
        <v>11</v>
      </c>
      <c r="D1535" s="9">
        <v>45748</v>
      </c>
      <c r="E1535" t="s">
        <v>1213</v>
      </c>
      <c r="F1535" s="10" t="s">
        <v>659</v>
      </c>
      <c r="G1535" s="11">
        <v>6.07</v>
      </c>
      <c r="H1535" s="11">
        <v>0</v>
      </c>
      <c r="I1535" s="11">
        <f t="shared" si="56"/>
        <v>27.770000000000003</v>
      </c>
      <c r="J1535" s="12"/>
    </row>
    <row r="1536" spans="3:10" x14ac:dyDescent="0.3">
      <c r="C1536" s="8" t="s">
        <v>11</v>
      </c>
      <c r="D1536" s="9">
        <v>45748</v>
      </c>
      <c r="E1536" t="s">
        <v>1214</v>
      </c>
      <c r="F1536" s="10" t="s">
        <v>1353</v>
      </c>
      <c r="G1536" s="11">
        <v>2.6</v>
      </c>
      <c r="H1536" s="11">
        <v>0</v>
      </c>
      <c r="I1536" s="11">
        <f t="shared" si="56"/>
        <v>30.370000000000005</v>
      </c>
      <c r="J1536" s="12"/>
    </row>
    <row r="1537" spans="3:10" x14ac:dyDescent="0.3">
      <c r="C1537" s="8" t="s">
        <v>11</v>
      </c>
      <c r="D1537" s="9">
        <v>45748</v>
      </c>
      <c r="E1537" t="s">
        <v>1206</v>
      </c>
      <c r="F1537" s="10" t="s">
        <v>474</v>
      </c>
      <c r="G1537" s="11">
        <v>560.91</v>
      </c>
      <c r="H1537" s="11">
        <v>0</v>
      </c>
      <c r="I1537" s="11">
        <f t="shared" si="56"/>
        <v>591.28</v>
      </c>
      <c r="J1537" s="12"/>
    </row>
    <row r="1538" spans="3:10" x14ac:dyDescent="0.3">
      <c r="C1538" s="8" t="s">
        <v>11</v>
      </c>
      <c r="D1538" s="9">
        <v>45748</v>
      </c>
      <c r="E1538" t="s">
        <v>1209</v>
      </c>
      <c r="F1538" s="10" t="s">
        <v>597</v>
      </c>
      <c r="G1538" s="11">
        <v>15.54</v>
      </c>
      <c r="H1538" s="11">
        <v>0</v>
      </c>
      <c r="I1538" s="11">
        <f t="shared" ref="I1538:I1601" si="57">G1538-H1538+I1537</f>
        <v>606.81999999999994</v>
      </c>
      <c r="J1538" s="12"/>
    </row>
    <row r="1539" spans="3:10" x14ac:dyDescent="0.3">
      <c r="C1539" s="8" t="s">
        <v>11</v>
      </c>
      <c r="D1539" s="9">
        <v>45748</v>
      </c>
      <c r="E1539" t="s">
        <v>1210</v>
      </c>
      <c r="F1539" s="10" t="s">
        <v>1354</v>
      </c>
      <c r="G1539" s="11">
        <v>6.3</v>
      </c>
      <c r="H1539" s="11">
        <v>0</v>
      </c>
      <c r="I1539" s="11">
        <f t="shared" si="57"/>
        <v>613.11999999999989</v>
      </c>
      <c r="J1539" s="12"/>
    </row>
    <row r="1540" spans="3:10" x14ac:dyDescent="0.3">
      <c r="C1540" s="8" t="s">
        <v>11</v>
      </c>
      <c r="D1540" s="9">
        <v>45748</v>
      </c>
      <c r="E1540" t="s">
        <v>1355</v>
      </c>
      <c r="F1540" s="10" t="s">
        <v>1356</v>
      </c>
      <c r="G1540" s="11">
        <v>434.7</v>
      </c>
      <c r="H1540" s="11">
        <v>0</v>
      </c>
      <c r="I1540" s="11">
        <f t="shared" si="57"/>
        <v>1047.82</v>
      </c>
      <c r="J1540" s="12"/>
    </row>
    <row r="1541" spans="3:10" x14ac:dyDescent="0.3">
      <c r="C1541" s="8" t="s">
        <v>11</v>
      </c>
      <c r="D1541" s="9">
        <v>45748</v>
      </c>
      <c r="E1541" t="s">
        <v>1207</v>
      </c>
      <c r="F1541" s="10" t="s">
        <v>1357</v>
      </c>
      <c r="G1541" s="11">
        <v>79.48</v>
      </c>
      <c r="H1541" s="11">
        <v>0</v>
      </c>
      <c r="I1541" s="11">
        <f t="shared" si="57"/>
        <v>1127.3</v>
      </c>
      <c r="J1541" s="12"/>
    </row>
    <row r="1542" spans="3:10" x14ac:dyDescent="0.3">
      <c r="C1542" s="8" t="s">
        <v>11</v>
      </c>
      <c r="D1542" s="9">
        <v>45748</v>
      </c>
      <c r="E1542" t="s">
        <v>1273</v>
      </c>
      <c r="F1542" s="10" t="s">
        <v>1358</v>
      </c>
      <c r="G1542" s="11">
        <v>50.34</v>
      </c>
      <c r="H1542" s="11">
        <v>0</v>
      </c>
      <c r="I1542" s="11">
        <f t="shared" si="57"/>
        <v>1177.6399999999999</v>
      </c>
      <c r="J1542" s="12"/>
    </row>
    <row r="1543" spans="3:10" x14ac:dyDescent="0.3">
      <c r="C1543" s="8" t="s">
        <v>11</v>
      </c>
      <c r="D1543" s="9">
        <v>45748</v>
      </c>
      <c r="E1543" t="s">
        <v>1213</v>
      </c>
      <c r="F1543" s="10" t="s">
        <v>661</v>
      </c>
      <c r="G1543" s="11">
        <v>5.21</v>
      </c>
      <c r="H1543" s="11">
        <v>0</v>
      </c>
      <c r="I1543" s="11">
        <f t="shared" si="57"/>
        <v>1182.8499999999999</v>
      </c>
      <c r="J1543" s="12"/>
    </row>
    <row r="1544" spans="3:10" x14ac:dyDescent="0.3">
      <c r="C1544" s="8" t="s">
        <v>11</v>
      </c>
      <c r="D1544" s="9">
        <v>45748</v>
      </c>
      <c r="E1544" t="s">
        <v>1359</v>
      </c>
      <c r="F1544" s="10" t="s">
        <v>1360</v>
      </c>
      <c r="G1544" s="11">
        <v>15.75</v>
      </c>
      <c r="H1544" s="11">
        <v>0</v>
      </c>
      <c r="I1544" s="11">
        <f t="shared" si="57"/>
        <v>1198.5999999999999</v>
      </c>
      <c r="J1544" s="12"/>
    </row>
    <row r="1545" spans="3:10" x14ac:dyDescent="0.3">
      <c r="C1545" s="8" t="s">
        <v>11</v>
      </c>
      <c r="D1545" s="9">
        <v>45749</v>
      </c>
      <c r="E1545" t="s">
        <v>1251</v>
      </c>
      <c r="F1545" s="10" t="s">
        <v>248</v>
      </c>
      <c r="G1545" s="11">
        <v>1688.08</v>
      </c>
      <c r="H1545" s="11">
        <v>0</v>
      </c>
      <c r="I1545" s="11">
        <f t="shared" si="57"/>
        <v>2886.68</v>
      </c>
      <c r="J1545" s="12"/>
    </row>
    <row r="1546" spans="3:10" x14ac:dyDescent="0.3">
      <c r="C1546" s="8" t="s">
        <v>11</v>
      </c>
      <c r="D1546" s="9">
        <v>45749</v>
      </c>
      <c r="E1546" t="s">
        <v>1242</v>
      </c>
      <c r="F1546" s="10" t="s">
        <v>73</v>
      </c>
      <c r="G1546" s="11">
        <v>10.91</v>
      </c>
      <c r="H1546" s="11">
        <v>0</v>
      </c>
      <c r="I1546" s="11">
        <f t="shared" si="57"/>
        <v>2897.5899999999997</v>
      </c>
      <c r="J1546" s="12"/>
    </row>
    <row r="1547" spans="3:10" x14ac:dyDescent="0.3">
      <c r="C1547" s="8" t="s">
        <v>11</v>
      </c>
      <c r="D1547" s="9">
        <v>45749</v>
      </c>
      <c r="E1547" t="s">
        <v>1242</v>
      </c>
      <c r="F1547" s="10" t="s">
        <v>75</v>
      </c>
      <c r="G1547" s="11">
        <v>415.28</v>
      </c>
      <c r="H1547" s="11">
        <v>0</v>
      </c>
      <c r="I1547" s="11">
        <f t="shared" si="57"/>
        <v>3312.87</v>
      </c>
      <c r="J1547" s="12"/>
    </row>
    <row r="1548" spans="3:10" x14ac:dyDescent="0.3">
      <c r="C1548" s="8" t="s">
        <v>11</v>
      </c>
      <c r="D1548" s="9">
        <v>45749</v>
      </c>
      <c r="E1548" t="s">
        <v>1242</v>
      </c>
      <c r="F1548" s="10" t="s">
        <v>77</v>
      </c>
      <c r="G1548" s="11">
        <v>543.84</v>
      </c>
      <c r="H1548" s="11">
        <v>0</v>
      </c>
      <c r="I1548" s="11">
        <f t="shared" si="57"/>
        <v>3856.71</v>
      </c>
      <c r="J1548" s="12"/>
    </row>
    <row r="1549" spans="3:10" x14ac:dyDescent="0.3">
      <c r="C1549" s="8" t="s">
        <v>11</v>
      </c>
      <c r="D1549" s="9">
        <v>45750</v>
      </c>
      <c r="E1549" t="s">
        <v>1251</v>
      </c>
      <c r="F1549" s="10" t="s">
        <v>250</v>
      </c>
      <c r="G1549" s="11">
        <v>94.03</v>
      </c>
      <c r="H1549" s="11">
        <v>0</v>
      </c>
      <c r="I1549" s="11">
        <f t="shared" si="57"/>
        <v>3950.7400000000002</v>
      </c>
      <c r="J1549" s="12"/>
    </row>
    <row r="1550" spans="3:10" x14ac:dyDescent="0.3">
      <c r="C1550" s="8" t="s">
        <v>11</v>
      </c>
      <c r="D1550" s="9">
        <v>45750</v>
      </c>
      <c r="E1550" t="s">
        <v>1361</v>
      </c>
      <c r="F1550" s="10" t="s">
        <v>524</v>
      </c>
      <c r="G1550" s="11">
        <v>252.84</v>
      </c>
      <c r="H1550" s="11">
        <v>0</v>
      </c>
      <c r="I1550" s="11">
        <f t="shared" si="57"/>
        <v>4203.58</v>
      </c>
      <c r="J1550" s="12"/>
    </row>
    <row r="1551" spans="3:10" x14ac:dyDescent="0.3">
      <c r="C1551" s="8" t="s">
        <v>11</v>
      </c>
      <c r="D1551" s="9">
        <v>45751</v>
      </c>
      <c r="E1551" t="s">
        <v>1224</v>
      </c>
      <c r="F1551" s="10" t="s">
        <v>1362</v>
      </c>
      <c r="G1551" s="11">
        <v>32.97</v>
      </c>
      <c r="H1551" s="11">
        <v>0</v>
      </c>
      <c r="I1551" s="11">
        <f t="shared" si="57"/>
        <v>4236.55</v>
      </c>
      <c r="J1551" s="12"/>
    </row>
    <row r="1552" spans="3:10" x14ac:dyDescent="0.3">
      <c r="C1552" s="8" t="s">
        <v>11</v>
      </c>
      <c r="D1552" s="9">
        <v>45751</v>
      </c>
      <c r="E1552" t="s">
        <v>1226</v>
      </c>
      <c r="F1552" s="10" t="s">
        <v>1363</v>
      </c>
      <c r="G1552" s="11">
        <v>13.36</v>
      </c>
      <c r="H1552" s="11">
        <v>0</v>
      </c>
      <c r="I1552" s="11">
        <f t="shared" si="57"/>
        <v>4249.91</v>
      </c>
      <c r="J1552" s="12"/>
    </row>
    <row r="1553" spans="3:10" x14ac:dyDescent="0.3">
      <c r="C1553" s="8" t="s">
        <v>11</v>
      </c>
      <c r="D1553" s="9">
        <v>45751</v>
      </c>
      <c r="E1553" t="s">
        <v>1234</v>
      </c>
      <c r="F1553" s="10" t="s">
        <v>1364</v>
      </c>
      <c r="G1553" s="11">
        <v>18.59</v>
      </c>
      <c r="H1553" s="11">
        <v>0</v>
      </c>
      <c r="I1553" s="11">
        <f t="shared" si="57"/>
        <v>4268.5</v>
      </c>
      <c r="J1553" s="12"/>
    </row>
    <row r="1554" spans="3:10" x14ac:dyDescent="0.3">
      <c r="C1554" s="8" t="s">
        <v>11</v>
      </c>
      <c r="D1554" s="9">
        <v>45755</v>
      </c>
      <c r="E1554" t="s">
        <v>1365</v>
      </c>
      <c r="F1554" s="10" t="s">
        <v>1366</v>
      </c>
      <c r="G1554" s="11">
        <v>71.400000000000006</v>
      </c>
      <c r="H1554" s="11">
        <v>0</v>
      </c>
      <c r="I1554" s="11">
        <f t="shared" si="57"/>
        <v>4339.8999999999996</v>
      </c>
      <c r="J1554" s="12"/>
    </row>
    <row r="1555" spans="3:10" x14ac:dyDescent="0.3">
      <c r="C1555" s="8" t="s">
        <v>11</v>
      </c>
      <c r="D1555" s="9">
        <v>45756</v>
      </c>
      <c r="E1555" t="s">
        <v>1367</v>
      </c>
      <c r="F1555" s="10" t="s">
        <v>1368</v>
      </c>
      <c r="G1555" s="11">
        <v>2.6</v>
      </c>
      <c r="H1555" s="11">
        <v>0</v>
      </c>
      <c r="I1555" s="11">
        <f t="shared" si="57"/>
        <v>4342.5</v>
      </c>
      <c r="J1555" s="12"/>
    </row>
    <row r="1556" spans="3:10" x14ac:dyDescent="0.3">
      <c r="C1556" s="8" t="s">
        <v>11</v>
      </c>
      <c r="D1556" s="9">
        <v>45757</v>
      </c>
      <c r="E1556" t="s">
        <v>1369</v>
      </c>
      <c r="F1556" s="10" t="s">
        <v>1370</v>
      </c>
      <c r="G1556" s="11">
        <v>31.71</v>
      </c>
      <c r="H1556" s="11">
        <v>0</v>
      </c>
      <c r="I1556" s="11">
        <f t="shared" si="57"/>
        <v>4374.21</v>
      </c>
      <c r="J1556" s="12"/>
    </row>
    <row r="1557" spans="3:10" x14ac:dyDescent="0.3">
      <c r="C1557" s="8" t="s">
        <v>11</v>
      </c>
      <c r="D1557" s="9">
        <v>45757</v>
      </c>
      <c r="E1557" t="s">
        <v>1371</v>
      </c>
      <c r="F1557" s="10" t="s">
        <v>1372</v>
      </c>
      <c r="G1557" s="11">
        <v>8.89</v>
      </c>
      <c r="H1557" s="11">
        <v>0</v>
      </c>
      <c r="I1557" s="11">
        <f t="shared" si="57"/>
        <v>4383.1000000000004</v>
      </c>
      <c r="J1557" s="12"/>
    </row>
    <row r="1558" spans="3:10" x14ac:dyDescent="0.3">
      <c r="C1558" s="8" t="s">
        <v>11</v>
      </c>
      <c r="D1558" s="9">
        <v>45758</v>
      </c>
      <c r="E1558" t="s">
        <v>1301</v>
      </c>
      <c r="F1558" s="10" t="s">
        <v>407</v>
      </c>
      <c r="G1558" s="11">
        <v>208.44</v>
      </c>
      <c r="H1558" s="11">
        <v>0</v>
      </c>
      <c r="I1558" s="11">
        <f t="shared" si="57"/>
        <v>4591.54</v>
      </c>
      <c r="J1558" s="12"/>
    </row>
    <row r="1559" spans="3:10" x14ac:dyDescent="0.3">
      <c r="C1559" s="8" t="s">
        <v>11</v>
      </c>
      <c r="D1559" s="9">
        <v>45758</v>
      </c>
      <c r="E1559" t="s">
        <v>1373</v>
      </c>
      <c r="F1559" s="10" t="s">
        <v>1374</v>
      </c>
      <c r="G1559" s="11">
        <v>1986.97</v>
      </c>
      <c r="H1559" s="11">
        <v>0</v>
      </c>
      <c r="I1559" s="11">
        <f t="shared" si="57"/>
        <v>6578.51</v>
      </c>
      <c r="J1559" s="12"/>
    </row>
    <row r="1560" spans="3:10" x14ac:dyDescent="0.3">
      <c r="C1560" s="8" t="s">
        <v>11</v>
      </c>
      <c r="D1560" s="9">
        <v>45760</v>
      </c>
      <c r="E1560" t="s">
        <v>1212</v>
      </c>
      <c r="F1560" s="10" t="s">
        <v>213</v>
      </c>
      <c r="G1560" s="11">
        <v>26.33</v>
      </c>
      <c r="H1560" s="11">
        <v>0</v>
      </c>
      <c r="I1560" s="11">
        <f t="shared" si="57"/>
        <v>6604.84</v>
      </c>
      <c r="J1560" s="12"/>
    </row>
    <row r="1561" spans="3:10" x14ac:dyDescent="0.3">
      <c r="C1561" s="8" t="s">
        <v>11</v>
      </c>
      <c r="D1561" s="9">
        <v>45761</v>
      </c>
      <c r="E1561" t="s">
        <v>1251</v>
      </c>
      <c r="F1561" s="10" t="s">
        <v>252</v>
      </c>
      <c r="G1561" s="11">
        <v>69.260000000000005</v>
      </c>
      <c r="H1561" s="11">
        <v>0</v>
      </c>
      <c r="I1561" s="11">
        <f t="shared" si="57"/>
        <v>6674.1</v>
      </c>
      <c r="J1561" s="12"/>
    </row>
    <row r="1562" spans="3:10" x14ac:dyDescent="0.3">
      <c r="C1562" s="8" t="s">
        <v>11</v>
      </c>
      <c r="D1562" s="9">
        <v>45761</v>
      </c>
      <c r="E1562" t="s">
        <v>1230</v>
      </c>
      <c r="F1562" s="10" t="s">
        <v>37</v>
      </c>
      <c r="G1562" s="11">
        <v>17.46</v>
      </c>
      <c r="H1562" s="11">
        <v>0</v>
      </c>
      <c r="I1562" s="11">
        <f t="shared" si="57"/>
        <v>6691.56</v>
      </c>
      <c r="J1562" s="12"/>
    </row>
    <row r="1563" spans="3:10" x14ac:dyDescent="0.3">
      <c r="C1563" s="8" t="s">
        <v>11</v>
      </c>
      <c r="D1563" s="9">
        <v>45762</v>
      </c>
      <c r="E1563" t="s">
        <v>1251</v>
      </c>
      <c r="F1563" s="10" t="s">
        <v>254</v>
      </c>
      <c r="G1563" s="11">
        <v>46.85</v>
      </c>
      <c r="H1563" s="11">
        <v>0</v>
      </c>
      <c r="I1563" s="11">
        <f t="shared" si="57"/>
        <v>6738.4100000000008</v>
      </c>
      <c r="J1563" s="12"/>
    </row>
    <row r="1564" spans="3:10" x14ac:dyDescent="0.3">
      <c r="C1564" s="8" t="s">
        <v>11</v>
      </c>
      <c r="D1564" s="9">
        <v>45762</v>
      </c>
      <c r="E1564" t="s">
        <v>1265</v>
      </c>
      <c r="F1564" s="10" t="s">
        <v>137</v>
      </c>
      <c r="G1564" s="11">
        <v>146.83000000000001</v>
      </c>
      <c r="H1564" s="11">
        <v>0</v>
      </c>
      <c r="I1564" s="11">
        <f t="shared" si="57"/>
        <v>6885.2400000000007</v>
      </c>
      <c r="J1564" s="12"/>
    </row>
    <row r="1565" spans="3:10" x14ac:dyDescent="0.3">
      <c r="C1565" s="8" t="s">
        <v>11</v>
      </c>
      <c r="D1565" s="9">
        <v>45762</v>
      </c>
      <c r="E1565" t="s">
        <v>1233</v>
      </c>
      <c r="F1565" s="10" t="s">
        <v>498</v>
      </c>
      <c r="G1565" s="11">
        <v>35.72</v>
      </c>
      <c r="H1565" s="11">
        <v>0</v>
      </c>
      <c r="I1565" s="11">
        <f t="shared" si="57"/>
        <v>6920.9600000000009</v>
      </c>
      <c r="J1565" s="12"/>
    </row>
    <row r="1566" spans="3:10" x14ac:dyDescent="0.3">
      <c r="C1566" s="8" t="s">
        <v>11</v>
      </c>
      <c r="D1566" s="9">
        <v>45762</v>
      </c>
      <c r="E1566" t="s">
        <v>1236</v>
      </c>
      <c r="F1566" s="10" t="s">
        <v>161</v>
      </c>
      <c r="G1566" s="11">
        <v>239.09</v>
      </c>
      <c r="H1566" s="11">
        <v>0</v>
      </c>
      <c r="I1566" s="11">
        <f t="shared" si="57"/>
        <v>7160.0500000000011</v>
      </c>
      <c r="J1566" s="12"/>
    </row>
    <row r="1567" spans="3:10" x14ac:dyDescent="0.3">
      <c r="C1567" s="8" t="s">
        <v>11</v>
      </c>
      <c r="D1567" s="9">
        <v>45762</v>
      </c>
      <c r="E1567" t="s">
        <v>1237</v>
      </c>
      <c r="F1567" s="10" t="s">
        <v>448</v>
      </c>
      <c r="G1567" s="11">
        <v>5.69</v>
      </c>
      <c r="H1567" s="11">
        <v>0</v>
      </c>
      <c r="I1567" s="11">
        <f t="shared" si="57"/>
        <v>7165.7400000000007</v>
      </c>
      <c r="J1567" s="12"/>
    </row>
    <row r="1568" spans="3:10" x14ac:dyDescent="0.3">
      <c r="C1568" s="8" t="s">
        <v>11</v>
      </c>
      <c r="D1568" s="9">
        <v>45762</v>
      </c>
      <c r="E1568" t="s">
        <v>1289</v>
      </c>
      <c r="F1568" s="10" t="s">
        <v>357</v>
      </c>
      <c r="G1568" s="11">
        <v>23.9</v>
      </c>
      <c r="H1568" s="11">
        <v>0</v>
      </c>
      <c r="I1568" s="11">
        <f t="shared" si="57"/>
        <v>7189.64</v>
      </c>
      <c r="J1568" s="12"/>
    </row>
    <row r="1569" spans="3:10" x14ac:dyDescent="0.3">
      <c r="C1569" s="8" t="s">
        <v>11</v>
      </c>
      <c r="D1569" s="9">
        <v>45762</v>
      </c>
      <c r="E1569" t="s">
        <v>1259</v>
      </c>
      <c r="F1569" s="10" t="s">
        <v>513</v>
      </c>
      <c r="G1569" s="11">
        <v>42</v>
      </c>
      <c r="H1569" s="11">
        <v>0</v>
      </c>
      <c r="I1569" s="11">
        <f t="shared" si="57"/>
        <v>7231.64</v>
      </c>
      <c r="J1569" s="12"/>
    </row>
    <row r="1570" spans="3:10" x14ac:dyDescent="0.3">
      <c r="C1570" s="8" t="s">
        <v>11</v>
      </c>
      <c r="D1570" s="9">
        <v>45762</v>
      </c>
      <c r="E1570" t="s">
        <v>1231</v>
      </c>
      <c r="F1570" s="10" t="s">
        <v>568</v>
      </c>
      <c r="G1570" s="11">
        <v>90.3</v>
      </c>
      <c r="H1570" s="11">
        <v>0</v>
      </c>
      <c r="I1570" s="11">
        <f t="shared" si="57"/>
        <v>7321.9400000000005</v>
      </c>
      <c r="J1570" s="12"/>
    </row>
    <row r="1571" spans="3:10" x14ac:dyDescent="0.3">
      <c r="C1571" s="8" t="s">
        <v>11</v>
      </c>
      <c r="D1571" s="9">
        <v>45762</v>
      </c>
      <c r="E1571" t="s">
        <v>1367</v>
      </c>
      <c r="F1571" s="10" t="s">
        <v>1375</v>
      </c>
      <c r="G1571" s="11">
        <v>2.6</v>
      </c>
      <c r="H1571" s="11">
        <v>0</v>
      </c>
      <c r="I1571" s="11">
        <f t="shared" si="57"/>
        <v>7324.5400000000009</v>
      </c>
      <c r="J1571" s="12"/>
    </row>
    <row r="1572" spans="3:10" x14ac:dyDescent="0.3">
      <c r="C1572" s="8" t="s">
        <v>11</v>
      </c>
      <c r="D1572" s="9">
        <v>45763</v>
      </c>
      <c r="E1572" t="s">
        <v>1238</v>
      </c>
      <c r="F1572" s="10" t="s">
        <v>1376</v>
      </c>
      <c r="G1572" s="11">
        <v>2.52</v>
      </c>
      <c r="H1572" s="11">
        <v>0</v>
      </c>
      <c r="I1572" s="11">
        <f t="shared" si="57"/>
        <v>7327.0600000000013</v>
      </c>
      <c r="J1572" s="12"/>
    </row>
    <row r="1573" spans="3:10" x14ac:dyDescent="0.3">
      <c r="C1573" s="8" t="s">
        <v>11</v>
      </c>
      <c r="D1573" s="9">
        <v>45763</v>
      </c>
      <c r="E1573" t="s">
        <v>1288</v>
      </c>
      <c r="F1573" s="10" t="s">
        <v>310</v>
      </c>
      <c r="G1573" s="11">
        <v>-6.13</v>
      </c>
      <c r="H1573" s="11">
        <v>0</v>
      </c>
      <c r="I1573" s="11">
        <f t="shared" si="57"/>
        <v>7320.9300000000012</v>
      </c>
      <c r="J1573" s="12"/>
    </row>
    <row r="1574" spans="3:10" x14ac:dyDescent="0.3">
      <c r="C1574" s="8" t="s">
        <v>11</v>
      </c>
      <c r="D1574" s="9">
        <v>45764</v>
      </c>
      <c r="E1574" t="s">
        <v>1288</v>
      </c>
      <c r="F1574" s="10" t="s">
        <v>312</v>
      </c>
      <c r="G1574" s="11">
        <v>3.17</v>
      </c>
      <c r="H1574" s="11">
        <v>0</v>
      </c>
      <c r="I1574" s="11">
        <f t="shared" si="57"/>
        <v>7324.1000000000013</v>
      </c>
      <c r="J1574" s="12"/>
    </row>
    <row r="1575" spans="3:10" x14ac:dyDescent="0.3">
      <c r="C1575" s="8" t="s">
        <v>11</v>
      </c>
      <c r="D1575" s="9">
        <v>45764</v>
      </c>
      <c r="E1575" t="s">
        <v>1210</v>
      </c>
      <c r="F1575" s="10" t="s">
        <v>1377</v>
      </c>
      <c r="G1575" s="11">
        <v>6.39</v>
      </c>
      <c r="H1575" s="11">
        <v>0</v>
      </c>
      <c r="I1575" s="11">
        <f t="shared" si="57"/>
        <v>7330.4900000000016</v>
      </c>
      <c r="J1575" s="12"/>
    </row>
    <row r="1576" spans="3:10" x14ac:dyDescent="0.3">
      <c r="C1576" s="8" t="s">
        <v>11</v>
      </c>
      <c r="D1576" s="9">
        <v>45765</v>
      </c>
      <c r="E1576" t="s">
        <v>1275</v>
      </c>
      <c r="F1576" s="10" t="s">
        <v>1378</v>
      </c>
      <c r="G1576" s="11">
        <v>5.25</v>
      </c>
      <c r="H1576" s="11">
        <v>0</v>
      </c>
      <c r="I1576" s="11">
        <f t="shared" si="57"/>
        <v>7335.7400000000016</v>
      </c>
      <c r="J1576" s="12"/>
    </row>
    <row r="1577" spans="3:10" x14ac:dyDescent="0.3">
      <c r="C1577" s="8" t="s">
        <v>11</v>
      </c>
      <c r="D1577" s="9">
        <v>45767</v>
      </c>
      <c r="E1577" t="s">
        <v>1246</v>
      </c>
      <c r="F1577" s="10" t="s">
        <v>551</v>
      </c>
      <c r="G1577" s="11">
        <v>35.659999999999997</v>
      </c>
      <c r="H1577" s="11">
        <v>0</v>
      </c>
      <c r="I1577" s="11">
        <f t="shared" si="57"/>
        <v>7371.4000000000015</v>
      </c>
      <c r="J1577" s="12"/>
    </row>
    <row r="1578" spans="3:10" x14ac:dyDescent="0.3">
      <c r="C1578" s="8" t="s">
        <v>11</v>
      </c>
      <c r="D1578" s="9">
        <v>45770</v>
      </c>
      <c r="E1578" t="s">
        <v>1216</v>
      </c>
      <c r="F1578" s="10" t="s">
        <v>1379</v>
      </c>
      <c r="G1578" s="11">
        <v>1.33</v>
      </c>
      <c r="H1578" s="11">
        <v>0</v>
      </c>
      <c r="I1578" s="11">
        <f t="shared" si="57"/>
        <v>7372.7300000000014</v>
      </c>
      <c r="J1578" s="12"/>
    </row>
    <row r="1579" spans="3:10" x14ac:dyDescent="0.3">
      <c r="C1579" s="8" t="s">
        <v>11</v>
      </c>
      <c r="D1579" s="9">
        <v>45770</v>
      </c>
      <c r="E1579" t="s">
        <v>1242</v>
      </c>
      <c r="F1579" s="10" t="s">
        <v>79</v>
      </c>
      <c r="G1579" s="11">
        <v>58.77</v>
      </c>
      <c r="H1579" s="11">
        <v>0</v>
      </c>
      <c r="I1579" s="11">
        <f t="shared" si="57"/>
        <v>7431.5000000000018</v>
      </c>
      <c r="J1579" s="12"/>
    </row>
    <row r="1580" spans="3:10" x14ac:dyDescent="0.3">
      <c r="C1580" s="8" t="s">
        <v>11</v>
      </c>
      <c r="D1580" s="9">
        <v>45770</v>
      </c>
      <c r="E1580" t="s">
        <v>1252</v>
      </c>
      <c r="F1580" s="10" t="s">
        <v>400</v>
      </c>
      <c r="G1580" s="11">
        <v>36.19</v>
      </c>
      <c r="H1580" s="11">
        <v>0</v>
      </c>
      <c r="I1580" s="11">
        <f t="shared" si="57"/>
        <v>7467.6900000000014</v>
      </c>
      <c r="J1580" s="12"/>
    </row>
    <row r="1581" spans="3:10" x14ac:dyDescent="0.3">
      <c r="C1581" s="8" t="s">
        <v>11</v>
      </c>
      <c r="D1581" s="9">
        <v>45770</v>
      </c>
      <c r="E1581" t="s">
        <v>1367</v>
      </c>
      <c r="F1581" s="10" t="s">
        <v>1380</v>
      </c>
      <c r="G1581" s="11">
        <v>5.21</v>
      </c>
      <c r="H1581" s="11">
        <v>0</v>
      </c>
      <c r="I1581" s="11">
        <f t="shared" si="57"/>
        <v>7472.9000000000015</v>
      </c>
      <c r="J1581" s="12"/>
    </row>
    <row r="1582" spans="3:10" x14ac:dyDescent="0.3">
      <c r="C1582" s="8" t="s">
        <v>11</v>
      </c>
      <c r="D1582" s="9">
        <v>45771</v>
      </c>
      <c r="E1582" t="s">
        <v>1381</v>
      </c>
      <c r="F1582" s="10" t="s">
        <v>613</v>
      </c>
      <c r="G1582" s="11">
        <v>8.67</v>
      </c>
      <c r="H1582" s="11">
        <v>0</v>
      </c>
      <c r="I1582" s="11">
        <f t="shared" si="57"/>
        <v>7481.5700000000015</v>
      </c>
      <c r="J1582" s="12"/>
    </row>
    <row r="1583" spans="3:10" x14ac:dyDescent="0.3">
      <c r="C1583" s="8" t="s">
        <v>11</v>
      </c>
      <c r="D1583" s="9">
        <v>45771</v>
      </c>
      <c r="E1583" t="s">
        <v>1228</v>
      </c>
      <c r="F1583" s="10" t="s">
        <v>1382</v>
      </c>
      <c r="G1583" s="11">
        <v>7.2</v>
      </c>
      <c r="H1583" s="11">
        <v>0</v>
      </c>
      <c r="I1583" s="11">
        <f t="shared" si="57"/>
        <v>7488.7700000000013</v>
      </c>
      <c r="J1583" s="12"/>
    </row>
    <row r="1584" spans="3:10" x14ac:dyDescent="0.3">
      <c r="C1584" s="8" t="s">
        <v>11</v>
      </c>
      <c r="D1584" s="9">
        <v>45771</v>
      </c>
      <c r="E1584" t="s">
        <v>1383</v>
      </c>
      <c r="F1584" s="10" t="s">
        <v>1384</v>
      </c>
      <c r="G1584" s="11">
        <v>272.73</v>
      </c>
      <c r="H1584" s="11">
        <v>0</v>
      </c>
      <c r="I1584" s="11">
        <f t="shared" si="57"/>
        <v>7761.5000000000018</v>
      </c>
      <c r="J1584" s="12"/>
    </row>
    <row r="1585" spans="3:10" x14ac:dyDescent="0.3">
      <c r="C1585" s="8" t="s">
        <v>11</v>
      </c>
      <c r="D1585" s="9">
        <v>45772</v>
      </c>
      <c r="E1585" t="s">
        <v>1367</v>
      </c>
      <c r="F1585" s="10" t="s">
        <v>1385</v>
      </c>
      <c r="G1585" s="11">
        <v>6.94</v>
      </c>
      <c r="H1585" s="11">
        <v>0</v>
      </c>
      <c r="I1585" s="11">
        <f t="shared" si="57"/>
        <v>7768.4400000000014</v>
      </c>
      <c r="J1585" s="12"/>
    </row>
    <row r="1586" spans="3:10" x14ac:dyDescent="0.3">
      <c r="C1586" s="8" t="s">
        <v>11</v>
      </c>
      <c r="D1586" s="9">
        <v>45776</v>
      </c>
      <c r="E1586" t="s">
        <v>1240</v>
      </c>
      <c r="F1586" s="10" t="s">
        <v>288</v>
      </c>
      <c r="G1586" s="11">
        <v>89.25</v>
      </c>
      <c r="H1586" s="11">
        <v>0</v>
      </c>
      <c r="I1586" s="11">
        <f t="shared" si="57"/>
        <v>7857.6900000000014</v>
      </c>
      <c r="J1586" s="12"/>
    </row>
    <row r="1587" spans="3:10" x14ac:dyDescent="0.3">
      <c r="C1587" s="8" t="s">
        <v>11</v>
      </c>
      <c r="D1587" s="9">
        <v>45777</v>
      </c>
      <c r="E1587" t="s">
        <v>1344</v>
      </c>
      <c r="F1587" s="10" t="s">
        <v>1386</v>
      </c>
      <c r="G1587" s="11">
        <v>106.91</v>
      </c>
      <c r="H1587" s="11">
        <v>0</v>
      </c>
      <c r="I1587" s="11">
        <f t="shared" si="57"/>
        <v>7964.6000000000013</v>
      </c>
      <c r="J1587" s="12"/>
    </row>
    <row r="1588" spans="3:10" x14ac:dyDescent="0.3">
      <c r="C1588" s="8" t="s">
        <v>11</v>
      </c>
      <c r="D1588" s="9">
        <v>45777</v>
      </c>
      <c r="E1588" t="s">
        <v>1260</v>
      </c>
      <c r="F1588" s="10" t="s">
        <v>1387</v>
      </c>
      <c r="G1588" s="11">
        <v>170.52</v>
      </c>
      <c r="H1588" s="11">
        <v>0</v>
      </c>
      <c r="I1588" s="11">
        <f t="shared" si="57"/>
        <v>8135.1200000000017</v>
      </c>
      <c r="J1588" s="12"/>
    </row>
    <row r="1589" spans="3:10" x14ac:dyDescent="0.3">
      <c r="C1589" s="8" t="s">
        <v>11</v>
      </c>
      <c r="D1589" s="9">
        <v>45777</v>
      </c>
      <c r="E1589" t="s">
        <v>1355</v>
      </c>
      <c r="F1589" s="10" t="s">
        <v>1388</v>
      </c>
      <c r="G1589" s="11">
        <v>421.05</v>
      </c>
      <c r="H1589" s="11">
        <v>0</v>
      </c>
      <c r="I1589" s="11">
        <f t="shared" si="57"/>
        <v>8556.1700000000019</v>
      </c>
      <c r="J1589" s="12"/>
    </row>
    <row r="1590" spans="3:10" x14ac:dyDescent="0.3">
      <c r="C1590" s="8" t="s">
        <v>11</v>
      </c>
      <c r="D1590" s="9">
        <v>45777</v>
      </c>
      <c r="E1590" t="s">
        <v>1264</v>
      </c>
      <c r="F1590" s="10" t="s">
        <v>342</v>
      </c>
      <c r="G1590" s="11">
        <v>24.57</v>
      </c>
      <c r="H1590" s="11">
        <v>0</v>
      </c>
      <c r="I1590" s="11">
        <f t="shared" si="57"/>
        <v>8580.7400000000016</v>
      </c>
      <c r="J1590" s="12"/>
    </row>
    <row r="1591" spans="3:10" x14ac:dyDescent="0.3">
      <c r="C1591" s="8" t="s">
        <v>11</v>
      </c>
      <c r="D1591" s="9">
        <v>45777</v>
      </c>
      <c r="E1591" t="s">
        <v>1309</v>
      </c>
      <c r="F1591" s="10" t="s">
        <v>187</v>
      </c>
      <c r="G1591" s="11">
        <v>10.69</v>
      </c>
      <c r="H1591" s="11">
        <v>0</v>
      </c>
      <c r="I1591" s="11">
        <f t="shared" si="57"/>
        <v>8591.4300000000021</v>
      </c>
      <c r="J1591" s="12"/>
    </row>
    <row r="1592" spans="3:10" x14ac:dyDescent="0.3">
      <c r="C1592" s="8" t="s">
        <v>11</v>
      </c>
      <c r="D1592" s="9">
        <v>45777</v>
      </c>
      <c r="E1592" t="s">
        <v>1232</v>
      </c>
      <c r="F1592" s="10" t="s">
        <v>425</v>
      </c>
      <c r="G1592" s="11">
        <v>3.47</v>
      </c>
      <c r="H1592" s="11">
        <v>0</v>
      </c>
      <c r="I1592" s="11">
        <f t="shared" si="57"/>
        <v>8594.9000000000015</v>
      </c>
      <c r="J1592" s="12"/>
    </row>
    <row r="1593" spans="3:10" x14ac:dyDescent="0.3">
      <c r="C1593" s="8" t="s">
        <v>11</v>
      </c>
      <c r="D1593" s="9">
        <v>45777</v>
      </c>
      <c r="E1593" t="s">
        <v>1236</v>
      </c>
      <c r="F1593" s="10" t="s">
        <v>163</v>
      </c>
      <c r="G1593" s="11">
        <v>95.92</v>
      </c>
      <c r="H1593" s="11">
        <v>0</v>
      </c>
      <c r="I1593" s="11">
        <f t="shared" si="57"/>
        <v>8690.8200000000015</v>
      </c>
      <c r="J1593" s="12"/>
    </row>
    <row r="1594" spans="3:10" x14ac:dyDescent="0.3">
      <c r="C1594" s="8" t="s">
        <v>11</v>
      </c>
      <c r="D1594" s="9">
        <v>45777</v>
      </c>
      <c r="E1594" t="s">
        <v>1271</v>
      </c>
      <c r="F1594" s="10" t="s">
        <v>1389</v>
      </c>
      <c r="G1594" s="11">
        <v>5.98</v>
      </c>
      <c r="H1594" s="11">
        <v>0</v>
      </c>
      <c r="I1594" s="11">
        <f t="shared" si="57"/>
        <v>8696.8000000000011</v>
      </c>
      <c r="J1594" s="12"/>
    </row>
    <row r="1595" spans="3:10" x14ac:dyDescent="0.3">
      <c r="C1595" s="8" t="s">
        <v>11</v>
      </c>
      <c r="D1595" s="9">
        <v>45777</v>
      </c>
      <c r="E1595" t="s">
        <v>1230</v>
      </c>
      <c r="F1595" s="10" t="s">
        <v>39</v>
      </c>
      <c r="G1595" s="11">
        <v>50.97</v>
      </c>
      <c r="H1595" s="11">
        <v>0</v>
      </c>
      <c r="I1595" s="11">
        <f t="shared" si="57"/>
        <v>8747.77</v>
      </c>
      <c r="J1595" s="12"/>
    </row>
    <row r="1596" spans="3:10" x14ac:dyDescent="0.3">
      <c r="C1596" s="8" t="s">
        <v>11</v>
      </c>
      <c r="D1596" s="9">
        <v>45777</v>
      </c>
      <c r="E1596" t="s">
        <v>1289</v>
      </c>
      <c r="F1596" s="10" t="s">
        <v>359</v>
      </c>
      <c r="G1596" s="11">
        <v>13.68</v>
      </c>
      <c r="H1596" s="11">
        <v>0</v>
      </c>
      <c r="I1596" s="11">
        <f t="shared" si="57"/>
        <v>8761.4500000000007</v>
      </c>
      <c r="J1596" s="12"/>
    </row>
    <row r="1597" spans="3:10" x14ac:dyDescent="0.3">
      <c r="C1597" s="8" t="s">
        <v>11</v>
      </c>
      <c r="D1597" s="9">
        <v>45777</v>
      </c>
      <c r="E1597" t="s">
        <v>1361</v>
      </c>
      <c r="F1597" s="10" t="s">
        <v>526</v>
      </c>
      <c r="G1597" s="11">
        <v>72.66</v>
      </c>
      <c r="H1597" s="11">
        <v>0</v>
      </c>
      <c r="I1597" s="11">
        <f t="shared" si="57"/>
        <v>8834.11</v>
      </c>
      <c r="J1597" s="12"/>
    </row>
    <row r="1598" spans="3:10" x14ac:dyDescent="0.3">
      <c r="C1598" s="8" t="s">
        <v>11</v>
      </c>
      <c r="D1598" s="9">
        <v>45777</v>
      </c>
      <c r="E1598" t="s">
        <v>1317</v>
      </c>
      <c r="F1598" s="10" t="s">
        <v>1390</v>
      </c>
      <c r="G1598" s="11">
        <v>2.62</v>
      </c>
      <c r="H1598" s="11">
        <v>0</v>
      </c>
      <c r="I1598" s="11">
        <f t="shared" si="57"/>
        <v>8836.7300000000014</v>
      </c>
      <c r="J1598" s="12"/>
    </row>
    <row r="1599" spans="3:10" x14ac:dyDescent="0.3">
      <c r="C1599" s="8" t="s">
        <v>11</v>
      </c>
      <c r="D1599" s="9">
        <v>45777</v>
      </c>
      <c r="E1599" t="s">
        <v>1277</v>
      </c>
      <c r="F1599" s="10" t="s">
        <v>1391</v>
      </c>
      <c r="G1599" s="11">
        <v>4.0599999999999996</v>
      </c>
      <c r="H1599" s="11">
        <v>0</v>
      </c>
      <c r="I1599" s="11">
        <f t="shared" si="57"/>
        <v>8840.7900000000009</v>
      </c>
      <c r="J1599" s="12"/>
    </row>
    <row r="1600" spans="3:10" x14ac:dyDescent="0.3">
      <c r="C1600" s="8" t="s">
        <v>11</v>
      </c>
      <c r="D1600" s="9">
        <v>45777</v>
      </c>
      <c r="E1600" t="s">
        <v>1273</v>
      </c>
      <c r="F1600" s="10" t="s">
        <v>1392</v>
      </c>
      <c r="G1600" s="11">
        <v>0.54</v>
      </c>
      <c r="H1600" s="11">
        <v>0</v>
      </c>
      <c r="I1600" s="11">
        <f t="shared" si="57"/>
        <v>8841.3300000000017</v>
      </c>
      <c r="J1600" s="12"/>
    </row>
    <row r="1601" spans="3:10" x14ac:dyDescent="0.3">
      <c r="C1601" s="8" t="s">
        <v>11</v>
      </c>
      <c r="D1601" s="9">
        <v>45778</v>
      </c>
      <c r="E1601" t="s">
        <v>1206</v>
      </c>
      <c r="F1601" s="10" t="s">
        <v>476</v>
      </c>
      <c r="G1601" s="11">
        <v>560.91</v>
      </c>
      <c r="H1601" s="11">
        <v>0</v>
      </c>
      <c r="I1601" s="11">
        <f t="shared" si="57"/>
        <v>9402.2400000000016</v>
      </c>
      <c r="J1601" s="12"/>
    </row>
    <row r="1602" spans="3:10" x14ac:dyDescent="0.3">
      <c r="C1602" s="8" t="s">
        <v>11</v>
      </c>
      <c r="D1602" s="9">
        <v>45778</v>
      </c>
      <c r="E1602" t="s">
        <v>1207</v>
      </c>
      <c r="F1602" s="10" t="s">
        <v>1393</v>
      </c>
      <c r="G1602" s="11">
        <v>79.48</v>
      </c>
      <c r="H1602" s="11">
        <v>0</v>
      </c>
      <c r="I1602" s="11">
        <f t="shared" ref="I1602:I1665" si="58">G1602-H1602+I1601</f>
        <v>9481.7200000000012</v>
      </c>
      <c r="J1602" s="12"/>
    </row>
    <row r="1603" spans="3:10" x14ac:dyDescent="0.3">
      <c r="C1603" s="8" t="s">
        <v>11</v>
      </c>
      <c r="D1603" s="9">
        <v>45778</v>
      </c>
      <c r="E1603" t="s">
        <v>1209</v>
      </c>
      <c r="F1603" s="10" t="s">
        <v>601</v>
      </c>
      <c r="G1603" s="11">
        <v>13.02</v>
      </c>
      <c r="H1603" s="11">
        <v>0</v>
      </c>
      <c r="I1603" s="11">
        <f t="shared" si="58"/>
        <v>9494.7400000000016</v>
      </c>
      <c r="J1603" s="12"/>
    </row>
    <row r="1604" spans="3:10" x14ac:dyDescent="0.3">
      <c r="C1604" s="8" t="s">
        <v>11</v>
      </c>
      <c r="D1604" s="9">
        <v>45779</v>
      </c>
      <c r="E1604" t="s">
        <v>1309</v>
      </c>
      <c r="F1604" s="10" t="s">
        <v>189</v>
      </c>
      <c r="G1604" s="11">
        <v>11.18</v>
      </c>
      <c r="H1604" s="11">
        <v>0</v>
      </c>
      <c r="I1604" s="11">
        <f t="shared" si="58"/>
        <v>9505.9200000000019</v>
      </c>
      <c r="J1604" s="12"/>
    </row>
    <row r="1605" spans="3:10" x14ac:dyDescent="0.3">
      <c r="C1605" s="8" t="s">
        <v>11</v>
      </c>
      <c r="D1605" s="9">
        <v>45782</v>
      </c>
      <c r="E1605" t="s">
        <v>1305</v>
      </c>
      <c r="F1605" s="10" t="s">
        <v>1394</v>
      </c>
      <c r="G1605" s="11">
        <v>14.52</v>
      </c>
      <c r="H1605" s="11">
        <v>0</v>
      </c>
      <c r="I1605" s="11">
        <f t="shared" si="58"/>
        <v>9520.4400000000023</v>
      </c>
      <c r="J1605" s="12"/>
    </row>
    <row r="1606" spans="3:10" x14ac:dyDescent="0.3">
      <c r="C1606" s="8" t="s">
        <v>11</v>
      </c>
      <c r="D1606" s="9">
        <v>45784</v>
      </c>
      <c r="E1606" t="s">
        <v>1226</v>
      </c>
      <c r="F1606" s="10" t="s">
        <v>1395</v>
      </c>
      <c r="G1606" s="11">
        <v>13.36</v>
      </c>
      <c r="H1606" s="11">
        <v>0</v>
      </c>
      <c r="I1606" s="11">
        <f t="shared" si="58"/>
        <v>9533.8000000000029</v>
      </c>
      <c r="J1606" s="12"/>
    </row>
    <row r="1607" spans="3:10" x14ac:dyDescent="0.3">
      <c r="C1607" s="8" t="s">
        <v>11</v>
      </c>
      <c r="D1607" s="9">
        <v>45786</v>
      </c>
      <c r="E1607" t="s">
        <v>1369</v>
      </c>
      <c r="F1607" s="10" t="s">
        <v>1396</v>
      </c>
      <c r="G1607" s="11">
        <v>40.81</v>
      </c>
      <c r="H1607" s="11">
        <v>0</v>
      </c>
      <c r="I1607" s="11">
        <f t="shared" si="58"/>
        <v>9574.6100000000024</v>
      </c>
      <c r="J1607" s="12"/>
    </row>
    <row r="1608" spans="3:10" x14ac:dyDescent="0.3">
      <c r="C1608" s="8" t="s">
        <v>11</v>
      </c>
      <c r="D1608" s="9">
        <v>45790</v>
      </c>
      <c r="E1608" t="s">
        <v>1242</v>
      </c>
      <c r="F1608" s="10" t="s">
        <v>81</v>
      </c>
      <c r="G1608" s="11">
        <v>242.34</v>
      </c>
      <c r="H1608" s="11">
        <v>0</v>
      </c>
      <c r="I1608" s="11">
        <f t="shared" si="58"/>
        <v>9816.9500000000025</v>
      </c>
      <c r="J1608" s="12"/>
    </row>
    <row r="1609" spans="3:10" x14ac:dyDescent="0.3">
      <c r="C1609" s="8" t="s">
        <v>11</v>
      </c>
      <c r="D1609" s="9">
        <v>45790</v>
      </c>
      <c r="E1609" t="s">
        <v>1242</v>
      </c>
      <c r="F1609" s="10" t="s">
        <v>83</v>
      </c>
      <c r="G1609" s="11">
        <v>18.59</v>
      </c>
      <c r="H1609" s="11">
        <v>0</v>
      </c>
      <c r="I1609" s="11">
        <f t="shared" si="58"/>
        <v>9835.5400000000027</v>
      </c>
      <c r="J1609" s="12"/>
    </row>
    <row r="1610" spans="3:10" x14ac:dyDescent="0.3">
      <c r="C1610" s="8" t="s">
        <v>11</v>
      </c>
      <c r="D1610" s="9">
        <v>45790</v>
      </c>
      <c r="E1610" t="s">
        <v>1212</v>
      </c>
      <c r="F1610" s="10" t="s">
        <v>215</v>
      </c>
      <c r="G1610" s="11">
        <v>23.2</v>
      </c>
      <c r="H1610" s="11">
        <v>0</v>
      </c>
      <c r="I1610" s="11">
        <f t="shared" si="58"/>
        <v>9858.7400000000034</v>
      </c>
      <c r="J1610" s="12"/>
    </row>
    <row r="1611" spans="3:10" x14ac:dyDescent="0.3">
      <c r="C1611" s="8" t="s">
        <v>11</v>
      </c>
      <c r="D1611" s="9">
        <v>45790</v>
      </c>
      <c r="E1611" t="s">
        <v>1397</v>
      </c>
      <c r="F1611" s="10" t="s">
        <v>1398</v>
      </c>
      <c r="G1611" s="11">
        <v>168</v>
      </c>
      <c r="H1611" s="11">
        <v>0</v>
      </c>
      <c r="I1611" s="11">
        <f t="shared" si="58"/>
        <v>10026.740000000003</v>
      </c>
      <c r="J1611" s="12"/>
    </row>
    <row r="1612" spans="3:10" x14ac:dyDescent="0.3">
      <c r="C1612" s="8" t="s">
        <v>11</v>
      </c>
      <c r="D1612" s="9">
        <v>45791</v>
      </c>
      <c r="E1612" t="s">
        <v>1230</v>
      </c>
      <c r="F1612" s="10" t="s">
        <v>41</v>
      </c>
      <c r="G1612" s="11">
        <v>57.2</v>
      </c>
      <c r="H1612" s="11">
        <v>0</v>
      </c>
      <c r="I1612" s="11">
        <f t="shared" si="58"/>
        <v>10083.940000000004</v>
      </c>
      <c r="J1612" s="12"/>
    </row>
    <row r="1613" spans="3:10" x14ac:dyDescent="0.3">
      <c r="C1613" s="8" t="s">
        <v>11</v>
      </c>
      <c r="D1613" s="9">
        <v>45792</v>
      </c>
      <c r="E1613" t="s">
        <v>1344</v>
      </c>
      <c r="F1613" s="10" t="s">
        <v>1399</v>
      </c>
      <c r="G1613" s="11">
        <v>8.89</v>
      </c>
      <c r="H1613" s="11">
        <v>0</v>
      </c>
      <c r="I1613" s="11">
        <f t="shared" si="58"/>
        <v>10092.830000000004</v>
      </c>
      <c r="J1613" s="12"/>
    </row>
    <row r="1614" spans="3:10" x14ac:dyDescent="0.3">
      <c r="C1614" s="8" t="s">
        <v>11</v>
      </c>
      <c r="D1614" s="9">
        <v>45792</v>
      </c>
      <c r="E1614" t="s">
        <v>1216</v>
      </c>
      <c r="F1614" s="10" t="s">
        <v>1400</v>
      </c>
      <c r="G1614" s="11">
        <v>9.32</v>
      </c>
      <c r="H1614" s="11">
        <v>0</v>
      </c>
      <c r="I1614" s="11">
        <f t="shared" si="58"/>
        <v>10102.150000000003</v>
      </c>
      <c r="J1614" s="12"/>
    </row>
    <row r="1615" spans="3:10" x14ac:dyDescent="0.3">
      <c r="C1615" s="8" t="s">
        <v>11</v>
      </c>
      <c r="D1615" s="9">
        <v>45792</v>
      </c>
      <c r="E1615" t="s">
        <v>1293</v>
      </c>
      <c r="F1615" s="10" t="s">
        <v>113</v>
      </c>
      <c r="G1615" s="11">
        <v>67.650000000000006</v>
      </c>
      <c r="H1615" s="11">
        <v>0</v>
      </c>
      <c r="I1615" s="11">
        <f t="shared" si="58"/>
        <v>10169.800000000003</v>
      </c>
      <c r="J1615" s="12"/>
    </row>
    <row r="1616" spans="3:10" x14ac:dyDescent="0.3">
      <c r="C1616" s="8" t="s">
        <v>11</v>
      </c>
      <c r="D1616" s="9">
        <v>45792</v>
      </c>
      <c r="E1616" t="s">
        <v>1240</v>
      </c>
      <c r="F1616" s="10" t="s">
        <v>290</v>
      </c>
      <c r="G1616" s="11">
        <v>134.06</v>
      </c>
      <c r="H1616" s="11">
        <v>0</v>
      </c>
      <c r="I1616" s="11">
        <f t="shared" si="58"/>
        <v>10303.860000000002</v>
      </c>
      <c r="J1616" s="12"/>
    </row>
    <row r="1617" spans="3:10" x14ac:dyDescent="0.3">
      <c r="C1617" s="8" t="s">
        <v>11</v>
      </c>
      <c r="D1617" s="9">
        <v>45792</v>
      </c>
      <c r="E1617" t="s">
        <v>1266</v>
      </c>
      <c r="F1617" s="10" t="s">
        <v>1401</v>
      </c>
      <c r="G1617" s="11">
        <v>471.92</v>
      </c>
      <c r="H1617" s="11">
        <v>0</v>
      </c>
      <c r="I1617" s="11">
        <f t="shared" si="58"/>
        <v>10775.780000000002</v>
      </c>
      <c r="J1617" s="12"/>
    </row>
    <row r="1618" spans="3:10" x14ac:dyDescent="0.3">
      <c r="C1618" s="8" t="s">
        <v>11</v>
      </c>
      <c r="D1618" s="9">
        <v>45792</v>
      </c>
      <c r="E1618" t="s">
        <v>1266</v>
      </c>
      <c r="F1618" s="10" t="s">
        <v>1402</v>
      </c>
      <c r="G1618" s="11">
        <v>-67.010000000000005</v>
      </c>
      <c r="H1618" s="11">
        <v>0</v>
      </c>
      <c r="I1618" s="11">
        <f t="shared" si="58"/>
        <v>10708.770000000002</v>
      </c>
      <c r="J1618" s="12"/>
    </row>
    <row r="1619" spans="3:10" x14ac:dyDescent="0.3">
      <c r="C1619" s="8" t="s">
        <v>11</v>
      </c>
      <c r="D1619" s="9">
        <v>45792</v>
      </c>
      <c r="E1619" t="s">
        <v>1233</v>
      </c>
      <c r="F1619" s="10" t="s">
        <v>500</v>
      </c>
      <c r="G1619" s="11">
        <v>69.650000000000006</v>
      </c>
      <c r="H1619" s="11">
        <v>0</v>
      </c>
      <c r="I1619" s="11">
        <f t="shared" si="58"/>
        <v>10778.420000000002</v>
      </c>
      <c r="J1619" s="12"/>
    </row>
    <row r="1620" spans="3:10" x14ac:dyDescent="0.3">
      <c r="C1620" s="8" t="s">
        <v>11</v>
      </c>
      <c r="D1620" s="9">
        <v>45792</v>
      </c>
      <c r="E1620" t="s">
        <v>1236</v>
      </c>
      <c r="F1620" s="10" t="s">
        <v>165</v>
      </c>
      <c r="G1620" s="11">
        <v>59.42</v>
      </c>
      <c r="H1620" s="11">
        <v>0</v>
      </c>
      <c r="I1620" s="11">
        <f t="shared" si="58"/>
        <v>10837.840000000002</v>
      </c>
      <c r="J1620" s="12"/>
    </row>
    <row r="1621" spans="3:10" x14ac:dyDescent="0.3">
      <c r="C1621" s="8" t="s">
        <v>11</v>
      </c>
      <c r="D1621" s="9">
        <v>45792</v>
      </c>
      <c r="E1621" t="s">
        <v>1289</v>
      </c>
      <c r="F1621" s="10" t="s">
        <v>361</v>
      </c>
      <c r="G1621" s="11">
        <v>263.31</v>
      </c>
      <c r="H1621" s="11">
        <v>0</v>
      </c>
      <c r="I1621" s="11">
        <f t="shared" si="58"/>
        <v>11101.150000000001</v>
      </c>
      <c r="J1621" s="12"/>
    </row>
    <row r="1622" spans="3:10" x14ac:dyDescent="0.3">
      <c r="C1622" s="8" t="s">
        <v>11</v>
      </c>
      <c r="D1622" s="9">
        <v>45792</v>
      </c>
      <c r="E1622" t="s">
        <v>1231</v>
      </c>
      <c r="F1622" s="10" t="s">
        <v>570</v>
      </c>
      <c r="G1622" s="11">
        <v>90.3</v>
      </c>
      <c r="H1622" s="11">
        <v>0</v>
      </c>
      <c r="I1622" s="11">
        <f t="shared" si="58"/>
        <v>11191.45</v>
      </c>
      <c r="J1622" s="12"/>
    </row>
    <row r="1623" spans="3:10" x14ac:dyDescent="0.3">
      <c r="C1623" s="8" t="s">
        <v>11</v>
      </c>
      <c r="D1623" s="9">
        <v>45792</v>
      </c>
      <c r="E1623" t="s">
        <v>1213</v>
      </c>
      <c r="F1623" s="10" t="s">
        <v>665</v>
      </c>
      <c r="G1623" s="11">
        <v>5.21</v>
      </c>
      <c r="H1623" s="11">
        <v>0</v>
      </c>
      <c r="I1623" s="11">
        <f t="shared" si="58"/>
        <v>11196.66</v>
      </c>
      <c r="J1623" s="12"/>
    </row>
    <row r="1624" spans="3:10" x14ac:dyDescent="0.3">
      <c r="C1624" s="8" t="s">
        <v>11</v>
      </c>
      <c r="D1624" s="9">
        <v>45792</v>
      </c>
      <c r="E1624" t="s">
        <v>1213</v>
      </c>
      <c r="F1624" s="10" t="s">
        <v>667</v>
      </c>
      <c r="G1624" s="11">
        <v>5.21</v>
      </c>
      <c r="H1624" s="11">
        <v>0</v>
      </c>
      <c r="I1624" s="11">
        <f t="shared" si="58"/>
        <v>11201.869999999999</v>
      </c>
      <c r="J1624" s="12"/>
    </row>
    <row r="1625" spans="3:10" x14ac:dyDescent="0.3">
      <c r="C1625" s="8" t="s">
        <v>11</v>
      </c>
      <c r="D1625" s="9">
        <v>45793</v>
      </c>
      <c r="E1625" t="s">
        <v>1238</v>
      </c>
      <c r="F1625" s="10" t="s">
        <v>1403</v>
      </c>
      <c r="G1625" s="11">
        <v>2.52</v>
      </c>
      <c r="H1625" s="11">
        <v>0</v>
      </c>
      <c r="I1625" s="11">
        <f t="shared" si="58"/>
        <v>11204.39</v>
      </c>
      <c r="J1625" s="12"/>
    </row>
    <row r="1626" spans="3:10" x14ac:dyDescent="0.3">
      <c r="C1626" s="8" t="s">
        <v>11</v>
      </c>
      <c r="D1626" s="9">
        <v>45796</v>
      </c>
      <c r="E1626" t="s">
        <v>1216</v>
      </c>
      <c r="F1626" s="10" t="s">
        <v>1404</v>
      </c>
      <c r="G1626" s="11">
        <v>5.99</v>
      </c>
      <c r="H1626" s="11">
        <v>0</v>
      </c>
      <c r="I1626" s="11">
        <f t="shared" si="58"/>
        <v>11210.38</v>
      </c>
      <c r="J1626" s="12"/>
    </row>
    <row r="1627" spans="3:10" x14ac:dyDescent="0.3">
      <c r="C1627" s="8" t="s">
        <v>11</v>
      </c>
      <c r="D1627" s="9">
        <v>45796</v>
      </c>
      <c r="E1627" t="s">
        <v>1242</v>
      </c>
      <c r="F1627" s="10" t="s">
        <v>85</v>
      </c>
      <c r="G1627" s="11">
        <v>27.88</v>
      </c>
      <c r="H1627" s="11">
        <v>0</v>
      </c>
      <c r="I1627" s="11">
        <f t="shared" si="58"/>
        <v>11238.259999999998</v>
      </c>
      <c r="J1627" s="12"/>
    </row>
    <row r="1628" spans="3:10" x14ac:dyDescent="0.3">
      <c r="C1628" s="8" t="s">
        <v>11</v>
      </c>
      <c r="D1628" s="9">
        <v>45796</v>
      </c>
      <c r="E1628" t="s">
        <v>1317</v>
      </c>
      <c r="F1628" s="10" t="s">
        <v>1405</v>
      </c>
      <c r="G1628" s="11">
        <v>2.62</v>
      </c>
      <c r="H1628" s="11">
        <v>0</v>
      </c>
      <c r="I1628" s="11">
        <f t="shared" si="58"/>
        <v>11240.88</v>
      </c>
      <c r="J1628" s="12"/>
    </row>
    <row r="1629" spans="3:10" x14ac:dyDescent="0.3">
      <c r="C1629" s="8" t="s">
        <v>11</v>
      </c>
      <c r="D1629" s="9">
        <v>45797</v>
      </c>
      <c r="E1629" t="s">
        <v>1216</v>
      </c>
      <c r="F1629" s="10" t="s">
        <v>1406</v>
      </c>
      <c r="G1629" s="11">
        <v>2.68</v>
      </c>
      <c r="H1629" s="11">
        <v>0</v>
      </c>
      <c r="I1629" s="11">
        <f t="shared" si="58"/>
        <v>11243.56</v>
      </c>
      <c r="J1629" s="12"/>
    </row>
    <row r="1630" spans="3:10" x14ac:dyDescent="0.3">
      <c r="C1630" s="8" t="s">
        <v>11</v>
      </c>
      <c r="D1630" s="9">
        <v>45797</v>
      </c>
      <c r="E1630" t="s">
        <v>1246</v>
      </c>
      <c r="F1630" s="10" t="s">
        <v>553</v>
      </c>
      <c r="G1630" s="11">
        <v>35.659999999999997</v>
      </c>
      <c r="H1630" s="11">
        <v>0</v>
      </c>
      <c r="I1630" s="11">
        <f t="shared" si="58"/>
        <v>11279.22</v>
      </c>
      <c r="J1630" s="12"/>
    </row>
    <row r="1631" spans="3:10" x14ac:dyDescent="0.3">
      <c r="C1631" s="8" t="s">
        <v>11</v>
      </c>
      <c r="D1631" s="9">
        <v>45802</v>
      </c>
      <c r="E1631" t="s">
        <v>1237</v>
      </c>
      <c r="F1631" s="10" t="s">
        <v>450</v>
      </c>
      <c r="G1631" s="11">
        <v>9.91</v>
      </c>
      <c r="H1631" s="11">
        <v>0</v>
      </c>
      <c r="I1631" s="11">
        <f t="shared" si="58"/>
        <v>11289.13</v>
      </c>
      <c r="J1631" s="12"/>
    </row>
    <row r="1632" spans="3:10" x14ac:dyDescent="0.3">
      <c r="C1632" s="8" t="s">
        <v>11</v>
      </c>
      <c r="D1632" s="9">
        <v>45802</v>
      </c>
      <c r="E1632" t="s">
        <v>1253</v>
      </c>
      <c r="F1632" s="10" t="s">
        <v>128</v>
      </c>
      <c r="G1632" s="11">
        <v>14.7</v>
      </c>
      <c r="H1632" s="11">
        <v>0</v>
      </c>
      <c r="I1632" s="11">
        <f t="shared" si="58"/>
        <v>11303.83</v>
      </c>
      <c r="J1632" s="12"/>
    </row>
    <row r="1633" spans="3:10" x14ac:dyDescent="0.3">
      <c r="C1633" s="8" t="s">
        <v>11</v>
      </c>
      <c r="D1633" s="9">
        <v>45803</v>
      </c>
      <c r="E1633" t="s">
        <v>1338</v>
      </c>
      <c r="F1633" s="10" t="s">
        <v>530</v>
      </c>
      <c r="G1633" s="11">
        <v>95.69</v>
      </c>
      <c r="H1633" s="11">
        <v>0</v>
      </c>
      <c r="I1633" s="11">
        <f t="shared" si="58"/>
        <v>11399.52</v>
      </c>
      <c r="J1633" s="12"/>
    </row>
    <row r="1634" spans="3:10" x14ac:dyDescent="0.3">
      <c r="C1634" s="8" t="s">
        <v>11</v>
      </c>
      <c r="D1634" s="9">
        <v>45804</v>
      </c>
      <c r="E1634" t="s">
        <v>1407</v>
      </c>
      <c r="F1634" s="10" t="s">
        <v>380</v>
      </c>
      <c r="G1634" s="11">
        <v>288.23</v>
      </c>
      <c r="H1634" s="11">
        <v>0</v>
      </c>
      <c r="I1634" s="11">
        <f t="shared" si="58"/>
        <v>11687.75</v>
      </c>
      <c r="J1634" s="12"/>
    </row>
    <row r="1635" spans="3:10" x14ac:dyDescent="0.3">
      <c r="C1635" s="8" t="s">
        <v>11</v>
      </c>
      <c r="D1635" s="9">
        <v>45805</v>
      </c>
      <c r="E1635" t="s">
        <v>1324</v>
      </c>
      <c r="F1635" s="10" t="s">
        <v>1408</v>
      </c>
      <c r="G1635" s="11">
        <v>27.71</v>
      </c>
      <c r="H1635" s="11">
        <v>0</v>
      </c>
      <c r="I1635" s="11">
        <f t="shared" si="58"/>
        <v>11715.46</v>
      </c>
      <c r="J1635" s="12"/>
    </row>
    <row r="1636" spans="3:10" x14ac:dyDescent="0.3">
      <c r="C1636" s="8" t="s">
        <v>11</v>
      </c>
      <c r="D1636" s="9">
        <v>45806</v>
      </c>
      <c r="E1636" t="s">
        <v>1251</v>
      </c>
      <c r="F1636" s="10" t="s">
        <v>256</v>
      </c>
      <c r="G1636" s="11">
        <v>68.58</v>
      </c>
      <c r="H1636" s="11">
        <v>0</v>
      </c>
      <c r="I1636" s="11">
        <f t="shared" si="58"/>
        <v>11784.039999999999</v>
      </c>
      <c r="J1636" s="12"/>
    </row>
    <row r="1637" spans="3:10" x14ac:dyDescent="0.3">
      <c r="C1637" s="8" t="s">
        <v>11</v>
      </c>
      <c r="D1637" s="9">
        <v>45806</v>
      </c>
      <c r="E1637" t="s">
        <v>1287</v>
      </c>
      <c r="F1637" s="10" t="s">
        <v>106</v>
      </c>
      <c r="G1637" s="11">
        <v>0.98</v>
      </c>
      <c r="H1637" s="11">
        <v>0</v>
      </c>
      <c r="I1637" s="11">
        <f t="shared" si="58"/>
        <v>11785.019999999999</v>
      </c>
      <c r="J1637" s="12"/>
    </row>
    <row r="1638" spans="3:10" x14ac:dyDescent="0.3">
      <c r="C1638" s="8" t="s">
        <v>11</v>
      </c>
      <c r="D1638" s="9">
        <v>45806</v>
      </c>
      <c r="E1638" t="s">
        <v>1338</v>
      </c>
      <c r="F1638" s="10" t="s">
        <v>1409</v>
      </c>
      <c r="G1638" s="11">
        <v>12.6</v>
      </c>
      <c r="H1638" s="11">
        <v>0</v>
      </c>
      <c r="I1638" s="11">
        <f t="shared" si="58"/>
        <v>11797.619999999999</v>
      </c>
      <c r="J1638" s="12"/>
    </row>
    <row r="1639" spans="3:10" x14ac:dyDescent="0.3">
      <c r="C1639" s="8" t="s">
        <v>11</v>
      </c>
      <c r="D1639" s="9">
        <v>45807</v>
      </c>
      <c r="E1639" t="s">
        <v>1251</v>
      </c>
      <c r="F1639" s="10" t="s">
        <v>258</v>
      </c>
      <c r="G1639" s="11">
        <v>282.24</v>
      </c>
      <c r="H1639" s="11">
        <v>0</v>
      </c>
      <c r="I1639" s="11">
        <f t="shared" si="58"/>
        <v>12079.859999999999</v>
      </c>
      <c r="J1639" s="12"/>
    </row>
    <row r="1640" spans="3:10" x14ac:dyDescent="0.3">
      <c r="C1640" s="8" t="s">
        <v>11</v>
      </c>
      <c r="D1640" s="9">
        <v>45807</v>
      </c>
      <c r="E1640" t="s">
        <v>1293</v>
      </c>
      <c r="F1640" s="10" t="s">
        <v>115</v>
      </c>
      <c r="G1640" s="11">
        <v>38.68</v>
      </c>
      <c r="H1640" s="11">
        <v>0</v>
      </c>
      <c r="I1640" s="11">
        <f t="shared" si="58"/>
        <v>12118.539999999999</v>
      </c>
      <c r="J1640" s="12"/>
    </row>
    <row r="1641" spans="3:10" x14ac:dyDescent="0.3">
      <c r="C1641" s="8" t="s">
        <v>11</v>
      </c>
      <c r="D1641" s="9">
        <v>45807</v>
      </c>
      <c r="E1641" t="s">
        <v>1264</v>
      </c>
      <c r="F1641" s="10" t="s">
        <v>345</v>
      </c>
      <c r="G1641" s="11">
        <v>156.62</v>
      </c>
      <c r="H1641" s="11">
        <v>0</v>
      </c>
      <c r="I1641" s="11">
        <f t="shared" si="58"/>
        <v>12275.16</v>
      </c>
      <c r="J1641" s="12"/>
    </row>
    <row r="1642" spans="3:10" x14ac:dyDescent="0.3">
      <c r="C1642" s="8" t="s">
        <v>11</v>
      </c>
      <c r="D1642" s="9">
        <v>45807</v>
      </c>
      <c r="E1642" t="s">
        <v>1236</v>
      </c>
      <c r="F1642" s="10" t="s">
        <v>167</v>
      </c>
      <c r="G1642" s="11">
        <v>157.22</v>
      </c>
      <c r="H1642" s="11">
        <v>0</v>
      </c>
      <c r="I1642" s="11">
        <f t="shared" si="58"/>
        <v>12432.38</v>
      </c>
      <c r="J1642" s="12"/>
    </row>
    <row r="1643" spans="3:10" x14ac:dyDescent="0.3">
      <c r="C1643" s="8" t="s">
        <v>11</v>
      </c>
      <c r="D1643" s="9">
        <v>45807</v>
      </c>
      <c r="E1643" t="s">
        <v>1289</v>
      </c>
      <c r="F1643" s="10" t="s">
        <v>363</v>
      </c>
      <c r="G1643" s="11">
        <v>156.43</v>
      </c>
      <c r="H1643" s="11">
        <v>0</v>
      </c>
      <c r="I1643" s="11">
        <f t="shared" si="58"/>
        <v>12588.81</v>
      </c>
      <c r="J1643" s="12"/>
    </row>
    <row r="1644" spans="3:10" x14ac:dyDescent="0.3">
      <c r="C1644" s="8" t="s">
        <v>11</v>
      </c>
      <c r="D1644" s="9">
        <v>45807</v>
      </c>
      <c r="E1644" t="s">
        <v>1230</v>
      </c>
      <c r="F1644" s="10" t="s">
        <v>43</v>
      </c>
      <c r="G1644" s="11">
        <v>41.46</v>
      </c>
      <c r="H1644" s="11">
        <v>0</v>
      </c>
      <c r="I1644" s="11">
        <f t="shared" si="58"/>
        <v>12630.269999999999</v>
      </c>
      <c r="J1644" s="12"/>
    </row>
    <row r="1645" spans="3:10" x14ac:dyDescent="0.3">
      <c r="C1645" s="8" t="s">
        <v>11</v>
      </c>
      <c r="D1645" s="9">
        <v>45807</v>
      </c>
      <c r="E1645" t="s">
        <v>1259</v>
      </c>
      <c r="F1645" s="10" t="s">
        <v>515</v>
      </c>
      <c r="G1645" s="11">
        <v>280.98</v>
      </c>
      <c r="H1645" s="11">
        <v>0</v>
      </c>
      <c r="I1645" s="11">
        <f t="shared" si="58"/>
        <v>12911.249999999998</v>
      </c>
      <c r="J1645" s="12"/>
    </row>
    <row r="1646" spans="3:10" x14ac:dyDescent="0.3">
      <c r="C1646" s="8" t="s">
        <v>11</v>
      </c>
      <c r="D1646" s="9">
        <v>45808</v>
      </c>
      <c r="E1646" t="s">
        <v>1260</v>
      </c>
      <c r="F1646" s="10" t="s">
        <v>1410</v>
      </c>
      <c r="G1646" s="11">
        <v>165.27</v>
      </c>
      <c r="H1646" s="11">
        <v>0</v>
      </c>
      <c r="I1646" s="11">
        <f t="shared" si="58"/>
        <v>13076.519999999999</v>
      </c>
      <c r="J1646" s="12"/>
    </row>
    <row r="1647" spans="3:10" x14ac:dyDescent="0.3">
      <c r="C1647" s="8" t="s">
        <v>11</v>
      </c>
      <c r="D1647" s="9">
        <v>45808</v>
      </c>
      <c r="E1647" t="s">
        <v>1266</v>
      </c>
      <c r="F1647" s="10" t="s">
        <v>1411</v>
      </c>
      <c r="G1647" s="11">
        <v>210.34</v>
      </c>
      <c r="H1647" s="11">
        <v>0</v>
      </c>
      <c r="I1647" s="11">
        <f t="shared" si="58"/>
        <v>13286.859999999999</v>
      </c>
      <c r="J1647" s="12"/>
    </row>
    <row r="1648" spans="3:10" x14ac:dyDescent="0.3">
      <c r="C1648" s="8" t="s">
        <v>11</v>
      </c>
      <c r="D1648" s="9">
        <v>45808</v>
      </c>
      <c r="E1648" t="s">
        <v>1266</v>
      </c>
      <c r="F1648" s="10" t="s">
        <v>1412</v>
      </c>
      <c r="G1648" s="11">
        <v>-32.18</v>
      </c>
      <c r="H1648" s="11">
        <v>0</v>
      </c>
      <c r="I1648" s="11">
        <f t="shared" si="58"/>
        <v>13254.679999999998</v>
      </c>
      <c r="J1648" s="12"/>
    </row>
    <row r="1649" spans="3:10" x14ac:dyDescent="0.3">
      <c r="C1649" s="8" t="s">
        <v>11</v>
      </c>
      <c r="D1649" s="9">
        <v>45808</v>
      </c>
      <c r="E1649" t="s">
        <v>1269</v>
      </c>
      <c r="F1649" s="10" t="s">
        <v>1413</v>
      </c>
      <c r="G1649" s="11">
        <v>444.57</v>
      </c>
      <c r="H1649" s="11">
        <v>0</v>
      </c>
      <c r="I1649" s="11">
        <f t="shared" si="58"/>
        <v>13699.249999999998</v>
      </c>
      <c r="J1649" s="12"/>
    </row>
    <row r="1650" spans="3:10" x14ac:dyDescent="0.3">
      <c r="C1650" s="8" t="s">
        <v>11</v>
      </c>
      <c r="D1650" s="9">
        <v>45808</v>
      </c>
      <c r="E1650" t="s">
        <v>1290</v>
      </c>
      <c r="F1650" s="10" t="s">
        <v>440</v>
      </c>
      <c r="G1650" s="11">
        <v>141.38</v>
      </c>
      <c r="H1650" s="11">
        <v>0</v>
      </c>
      <c r="I1650" s="11">
        <f t="shared" si="58"/>
        <v>13840.629999999997</v>
      </c>
      <c r="J1650" s="12"/>
    </row>
    <row r="1651" spans="3:10" x14ac:dyDescent="0.3">
      <c r="C1651" s="8" t="s">
        <v>11</v>
      </c>
      <c r="D1651" s="9">
        <v>45808</v>
      </c>
      <c r="E1651" t="s">
        <v>1290</v>
      </c>
      <c r="F1651" s="10" t="s">
        <v>440</v>
      </c>
      <c r="G1651" s="11">
        <v>102.97</v>
      </c>
      <c r="H1651" s="11">
        <v>0</v>
      </c>
      <c r="I1651" s="11">
        <f t="shared" si="58"/>
        <v>13943.599999999997</v>
      </c>
      <c r="J1651" s="12"/>
    </row>
    <row r="1652" spans="3:10" x14ac:dyDescent="0.3">
      <c r="C1652" s="8" t="s">
        <v>11</v>
      </c>
      <c r="D1652" s="9">
        <v>45808</v>
      </c>
      <c r="E1652" t="s">
        <v>1271</v>
      </c>
      <c r="F1652" s="10" t="s">
        <v>1414</v>
      </c>
      <c r="G1652" s="11">
        <v>22.75</v>
      </c>
      <c r="H1652" s="11">
        <v>0</v>
      </c>
      <c r="I1652" s="11">
        <f t="shared" si="58"/>
        <v>13966.349999999997</v>
      </c>
      <c r="J1652" s="12"/>
    </row>
    <row r="1653" spans="3:10" x14ac:dyDescent="0.3">
      <c r="C1653" s="8" t="s">
        <v>11</v>
      </c>
      <c r="D1653" s="9">
        <v>45808</v>
      </c>
      <c r="E1653" t="s">
        <v>1273</v>
      </c>
      <c r="F1653" s="10" t="s">
        <v>1415</v>
      </c>
      <c r="G1653" s="11">
        <v>57.32</v>
      </c>
      <c r="H1653" s="11">
        <v>0</v>
      </c>
      <c r="I1653" s="11">
        <f t="shared" si="58"/>
        <v>14023.669999999996</v>
      </c>
      <c r="J1653" s="12"/>
    </row>
    <row r="1654" spans="3:10" x14ac:dyDescent="0.3">
      <c r="C1654" s="8" t="s">
        <v>11</v>
      </c>
      <c r="D1654" s="9">
        <v>45808</v>
      </c>
      <c r="E1654" t="s">
        <v>1277</v>
      </c>
      <c r="F1654" s="10" t="s">
        <v>1416</v>
      </c>
      <c r="G1654" s="11">
        <v>4.55</v>
      </c>
      <c r="H1654" s="11">
        <v>0</v>
      </c>
      <c r="I1654" s="11">
        <f t="shared" si="58"/>
        <v>14028.219999999996</v>
      </c>
      <c r="J1654" s="12"/>
    </row>
    <row r="1655" spans="3:10" x14ac:dyDescent="0.3">
      <c r="C1655" s="8" t="s">
        <v>11</v>
      </c>
      <c r="D1655" s="9">
        <v>45809</v>
      </c>
      <c r="E1655" t="s">
        <v>1206</v>
      </c>
      <c r="F1655" s="10" t="s">
        <v>478</v>
      </c>
      <c r="G1655" s="11">
        <v>560.91</v>
      </c>
      <c r="H1655" s="11">
        <v>0</v>
      </c>
      <c r="I1655" s="11">
        <f t="shared" si="58"/>
        <v>14589.129999999996</v>
      </c>
      <c r="J1655" s="12"/>
    </row>
    <row r="1656" spans="3:10" x14ac:dyDescent="0.3">
      <c r="C1656" s="8" t="s">
        <v>11</v>
      </c>
      <c r="D1656" s="9">
        <v>45809</v>
      </c>
      <c r="E1656" t="s">
        <v>1209</v>
      </c>
      <c r="F1656" s="10" t="s">
        <v>604</v>
      </c>
      <c r="G1656" s="11">
        <v>13.02</v>
      </c>
      <c r="H1656" s="11">
        <v>0</v>
      </c>
      <c r="I1656" s="11">
        <f t="shared" si="58"/>
        <v>14602.149999999996</v>
      </c>
      <c r="J1656" s="12"/>
    </row>
    <row r="1657" spans="3:10" x14ac:dyDescent="0.3">
      <c r="C1657" s="8" t="s">
        <v>11</v>
      </c>
      <c r="D1657" s="9">
        <v>45809</v>
      </c>
      <c r="E1657" t="s">
        <v>1210</v>
      </c>
      <c r="F1657" s="10" t="s">
        <v>1417</v>
      </c>
      <c r="G1657" s="11">
        <v>6.3</v>
      </c>
      <c r="H1657" s="11">
        <v>0</v>
      </c>
      <c r="I1657" s="11">
        <f t="shared" si="58"/>
        <v>14608.449999999995</v>
      </c>
      <c r="J1657" s="12"/>
    </row>
    <row r="1658" spans="3:10" x14ac:dyDescent="0.3">
      <c r="C1658" s="8" t="s">
        <v>11</v>
      </c>
      <c r="D1658" s="9">
        <v>45810</v>
      </c>
      <c r="E1658" t="s">
        <v>1407</v>
      </c>
      <c r="F1658" s="10" t="s">
        <v>382</v>
      </c>
      <c r="G1658" s="11">
        <v>102.38</v>
      </c>
      <c r="H1658" s="11">
        <v>0</v>
      </c>
      <c r="I1658" s="11">
        <f t="shared" si="58"/>
        <v>14710.829999999994</v>
      </c>
      <c r="J1658" s="12"/>
    </row>
    <row r="1659" spans="3:10" x14ac:dyDescent="0.3">
      <c r="C1659" s="8" t="s">
        <v>11</v>
      </c>
      <c r="D1659" s="9">
        <v>45810</v>
      </c>
      <c r="E1659" t="s">
        <v>1418</v>
      </c>
      <c r="F1659" s="10" t="s">
        <v>679</v>
      </c>
      <c r="G1659" s="11">
        <v>3.47</v>
      </c>
      <c r="H1659" s="11">
        <v>0</v>
      </c>
      <c r="I1659" s="11">
        <f t="shared" si="58"/>
        <v>14714.299999999994</v>
      </c>
      <c r="J1659" s="12"/>
    </row>
    <row r="1660" spans="3:10" x14ac:dyDescent="0.3">
      <c r="C1660" s="8" t="s">
        <v>11</v>
      </c>
      <c r="D1660" s="9">
        <v>45811</v>
      </c>
      <c r="E1660" t="s">
        <v>1288</v>
      </c>
      <c r="F1660" s="10" t="s">
        <v>315</v>
      </c>
      <c r="G1660" s="11">
        <v>12.12</v>
      </c>
      <c r="H1660" s="11">
        <v>0</v>
      </c>
      <c r="I1660" s="11">
        <f t="shared" si="58"/>
        <v>14726.419999999995</v>
      </c>
      <c r="J1660" s="12"/>
    </row>
    <row r="1661" spans="3:10" x14ac:dyDescent="0.3">
      <c r="C1661" s="8" t="s">
        <v>11</v>
      </c>
      <c r="D1661" s="9">
        <v>45811</v>
      </c>
      <c r="E1661" t="s">
        <v>1419</v>
      </c>
      <c r="F1661" s="10" t="s">
        <v>1420</v>
      </c>
      <c r="G1661" s="11">
        <v>28.36</v>
      </c>
      <c r="H1661" s="11">
        <v>0</v>
      </c>
      <c r="I1661" s="11">
        <f t="shared" si="58"/>
        <v>14754.779999999995</v>
      </c>
      <c r="J1661" s="12"/>
    </row>
    <row r="1662" spans="3:10" x14ac:dyDescent="0.3">
      <c r="C1662" s="8" t="s">
        <v>11</v>
      </c>
      <c r="D1662" s="9">
        <v>45812</v>
      </c>
      <c r="E1662" t="s">
        <v>1216</v>
      </c>
      <c r="F1662" s="10" t="s">
        <v>1421</v>
      </c>
      <c r="G1662" s="11">
        <v>1.96</v>
      </c>
      <c r="H1662" s="11">
        <v>0</v>
      </c>
      <c r="I1662" s="11">
        <f t="shared" si="58"/>
        <v>14756.739999999994</v>
      </c>
      <c r="J1662" s="12"/>
    </row>
    <row r="1663" spans="3:10" x14ac:dyDescent="0.3">
      <c r="C1663" s="8" t="s">
        <v>11</v>
      </c>
      <c r="D1663" s="9">
        <v>45812</v>
      </c>
      <c r="E1663" t="s">
        <v>1226</v>
      </c>
      <c r="F1663" s="10" t="s">
        <v>1422</v>
      </c>
      <c r="G1663" s="11">
        <v>13.36</v>
      </c>
      <c r="H1663" s="11">
        <v>0</v>
      </c>
      <c r="I1663" s="11">
        <f t="shared" si="58"/>
        <v>14770.099999999995</v>
      </c>
      <c r="J1663" s="12"/>
    </row>
    <row r="1664" spans="3:10" x14ac:dyDescent="0.3">
      <c r="C1664" s="8" t="s">
        <v>11</v>
      </c>
      <c r="D1664" s="9">
        <v>45814</v>
      </c>
      <c r="E1664" t="s">
        <v>1327</v>
      </c>
      <c r="F1664" s="10" t="s">
        <v>1423</v>
      </c>
      <c r="G1664" s="11">
        <v>52.84</v>
      </c>
      <c r="H1664" s="11">
        <v>0</v>
      </c>
      <c r="I1664" s="11">
        <f t="shared" si="58"/>
        <v>14822.939999999995</v>
      </c>
      <c r="J1664" s="12"/>
    </row>
    <row r="1665" spans="3:10" x14ac:dyDescent="0.3">
      <c r="C1665" s="8" t="s">
        <v>11</v>
      </c>
      <c r="D1665" s="9">
        <v>45818</v>
      </c>
      <c r="E1665" t="s">
        <v>1369</v>
      </c>
      <c r="F1665" s="10" t="s">
        <v>1424</v>
      </c>
      <c r="G1665" s="11">
        <v>39.14</v>
      </c>
      <c r="H1665" s="11">
        <v>0</v>
      </c>
      <c r="I1665" s="11">
        <f t="shared" si="58"/>
        <v>14862.079999999994</v>
      </c>
      <c r="J1665" s="12"/>
    </row>
    <row r="1666" spans="3:10" x14ac:dyDescent="0.3">
      <c r="C1666" s="8" t="s">
        <v>11</v>
      </c>
      <c r="D1666" s="9">
        <v>45818</v>
      </c>
      <c r="E1666" t="s">
        <v>1293</v>
      </c>
      <c r="F1666" s="10" t="s">
        <v>117</v>
      </c>
      <c r="G1666" s="11">
        <v>329.99</v>
      </c>
      <c r="H1666" s="11">
        <v>0</v>
      </c>
      <c r="I1666" s="11">
        <f t="shared" ref="I1666:I1729" si="59">G1666-H1666+I1665</f>
        <v>15192.069999999994</v>
      </c>
      <c r="J1666" s="12"/>
    </row>
    <row r="1667" spans="3:10" x14ac:dyDescent="0.3">
      <c r="C1667" s="8" t="s">
        <v>11</v>
      </c>
      <c r="D1667" s="9">
        <v>45818</v>
      </c>
      <c r="E1667" t="s">
        <v>1407</v>
      </c>
      <c r="F1667" s="10" t="s">
        <v>384</v>
      </c>
      <c r="G1667" s="11">
        <v>278.92</v>
      </c>
      <c r="H1667" s="11">
        <v>0</v>
      </c>
      <c r="I1667" s="11">
        <f t="shared" si="59"/>
        <v>15470.989999999994</v>
      </c>
      <c r="J1667" s="12"/>
    </row>
    <row r="1668" spans="3:10" x14ac:dyDescent="0.3">
      <c r="C1668" s="8" t="s">
        <v>11</v>
      </c>
      <c r="D1668" s="9">
        <v>45819</v>
      </c>
      <c r="E1668" t="s">
        <v>1231</v>
      </c>
      <c r="F1668" s="10" t="s">
        <v>572</v>
      </c>
      <c r="G1668" s="11">
        <v>8.4</v>
      </c>
      <c r="H1668" s="11">
        <v>0</v>
      </c>
      <c r="I1668" s="11">
        <f t="shared" si="59"/>
        <v>15479.389999999994</v>
      </c>
      <c r="J1668" s="12"/>
    </row>
    <row r="1669" spans="3:10" x14ac:dyDescent="0.3">
      <c r="C1669" s="8" t="s">
        <v>11</v>
      </c>
      <c r="D1669" s="9">
        <v>45819</v>
      </c>
      <c r="E1669" t="s">
        <v>1288</v>
      </c>
      <c r="F1669" s="10" t="s">
        <v>317</v>
      </c>
      <c r="G1669" s="11">
        <v>125.13</v>
      </c>
      <c r="H1669" s="11">
        <v>0</v>
      </c>
      <c r="I1669" s="11">
        <f t="shared" si="59"/>
        <v>15604.519999999993</v>
      </c>
      <c r="J1669" s="12"/>
    </row>
    <row r="1670" spans="3:10" x14ac:dyDescent="0.3">
      <c r="C1670" s="8" t="s">
        <v>11</v>
      </c>
      <c r="D1670" s="9">
        <v>45820</v>
      </c>
      <c r="E1670" t="s">
        <v>1240</v>
      </c>
      <c r="F1670" s="10" t="s">
        <v>292</v>
      </c>
      <c r="G1670" s="11">
        <v>65.94</v>
      </c>
      <c r="H1670" s="11">
        <v>0</v>
      </c>
      <c r="I1670" s="11">
        <f t="shared" si="59"/>
        <v>15670.459999999994</v>
      </c>
      <c r="J1670" s="12"/>
    </row>
    <row r="1671" spans="3:10" x14ac:dyDescent="0.3">
      <c r="C1671" s="8" t="s">
        <v>11</v>
      </c>
      <c r="D1671" s="9">
        <v>45821</v>
      </c>
      <c r="E1671" t="s">
        <v>1242</v>
      </c>
      <c r="F1671" s="10" t="s">
        <v>87</v>
      </c>
      <c r="G1671" s="11">
        <v>543.84</v>
      </c>
      <c r="H1671" s="11">
        <v>0</v>
      </c>
      <c r="I1671" s="11">
        <f t="shared" si="59"/>
        <v>16214.299999999994</v>
      </c>
      <c r="J1671" s="12"/>
    </row>
    <row r="1672" spans="3:10" x14ac:dyDescent="0.3">
      <c r="C1672" s="8" t="s">
        <v>11</v>
      </c>
      <c r="D1672" s="9">
        <v>45821</v>
      </c>
      <c r="E1672" t="s">
        <v>1242</v>
      </c>
      <c r="F1672" s="10" t="s">
        <v>89</v>
      </c>
      <c r="G1672" s="11">
        <v>398.67</v>
      </c>
      <c r="H1672" s="11">
        <v>0</v>
      </c>
      <c r="I1672" s="11">
        <f t="shared" si="59"/>
        <v>16612.969999999994</v>
      </c>
      <c r="J1672" s="12"/>
    </row>
    <row r="1673" spans="3:10" x14ac:dyDescent="0.3">
      <c r="C1673" s="8" t="s">
        <v>11</v>
      </c>
      <c r="D1673" s="9">
        <v>45821</v>
      </c>
      <c r="E1673" t="s">
        <v>1236</v>
      </c>
      <c r="F1673" s="10" t="s">
        <v>169</v>
      </c>
      <c r="G1673" s="11">
        <v>234.13</v>
      </c>
      <c r="H1673" s="11">
        <v>0</v>
      </c>
      <c r="I1673" s="11">
        <f t="shared" si="59"/>
        <v>16847.099999999995</v>
      </c>
      <c r="J1673" s="12"/>
    </row>
    <row r="1674" spans="3:10" x14ac:dyDescent="0.3">
      <c r="C1674" s="8" t="s">
        <v>11</v>
      </c>
      <c r="D1674" s="9">
        <v>45821</v>
      </c>
      <c r="E1674" t="s">
        <v>1230</v>
      </c>
      <c r="F1674" s="10" t="s">
        <v>45</v>
      </c>
      <c r="G1674" s="11">
        <v>25.92</v>
      </c>
      <c r="H1674" s="11">
        <v>0</v>
      </c>
      <c r="I1674" s="11">
        <f t="shared" si="59"/>
        <v>16873.019999999993</v>
      </c>
      <c r="J1674" s="12"/>
    </row>
    <row r="1675" spans="3:10" x14ac:dyDescent="0.3">
      <c r="C1675" s="8" t="s">
        <v>11</v>
      </c>
      <c r="D1675" s="9">
        <v>45821</v>
      </c>
      <c r="E1675" t="s">
        <v>1212</v>
      </c>
      <c r="F1675" s="10" t="s">
        <v>217</v>
      </c>
      <c r="G1675" s="11">
        <v>23.2</v>
      </c>
      <c r="H1675" s="11">
        <v>0</v>
      </c>
      <c r="I1675" s="11">
        <f t="shared" si="59"/>
        <v>16896.219999999994</v>
      </c>
      <c r="J1675" s="12"/>
    </row>
    <row r="1676" spans="3:10" x14ac:dyDescent="0.3">
      <c r="C1676" s="8" t="s">
        <v>11</v>
      </c>
      <c r="D1676" s="9">
        <v>45823</v>
      </c>
      <c r="E1676" t="s">
        <v>1231</v>
      </c>
      <c r="F1676" s="10" t="s">
        <v>574</v>
      </c>
      <c r="G1676" s="11">
        <v>90.3</v>
      </c>
      <c r="H1676" s="11">
        <v>0</v>
      </c>
      <c r="I1676" s="11">
        <f t="shared" si="59"/>
        <v>16986.519999999993</v>
      </c>
      <c r="J1676" s="12"/>
    </row>
    <row r="1677" spans="3:10" x14ac:dyDescent="0.3">
      <c r="C1677" s="8" t="s">
        <v>11</v>
      </c>
      <c r="D1677" s="9">
        <v>45823</v>
      </c>
      <c r="E1677" t="s">
        <v>1344</v>
      </c>
      <c r="F1677" s="10" t="s">
        <v>1425</v>
      </c>
      <c r="G1677" s="11">
        <v>32.44</v>
      </c>
      <c r="H1677" s="11">
        <v>0</v>
      </c>
      <c r="I1677" s="11">
        <f t="shared" si="59"/>
        <v>17018.959999999992</v>
      </c>
      <c r="J1677" s="12"/>
    </row>
    <row r="1678" spans="3:10" x14ac:dyDescent="0.3">
      <c r="C1678" s="8" t="s">
        <v>11</v>
      </c>
      <c r="D1678" s="9">
        <v>45823</v>
      </c>
      <c r="E1678" t="s">
        <v>1232</v>
      </c>
      <c r="F1678" s="10" t="s">
        <v>427</v>
      </c>
      <c r="G1678" s="11">
        <v>9.17</v>
      </c>
      <c r="H1678" s="11">
        <v>0</v>
      </c>
      <c r="I1678" s="11">
        <f t="shared" si="59"/>
        <v>17028.12999999999</v>
      </c>
      <c r="J1678" s="12"/>
    </row>
    <row r="1679" spans="3:10" x14ac:dyDescent="0.3">
      <c r="C1679" s="8" t="s">
        <v>11</v>
      </c>
      <c r="D1679" s="9">
        <v>45823</v>
      </c>
      <c r="E1679" t="s">
        <v>1266</v>
      </c>
      <c r="F1679" s="10" t="s">
        <v>1426</v>
      </c>
      <c r="G1679" s="11">
        <v>-19.73</v>
      </c>
      <c r="H1679" s="11">
        <v>0</v>
      </c>
      <c r="I1679" s="11">
        <f t="shared" si="59"/>
        <v>17008.399999999991</v>
      </c>
      <c r="J1679" s="12"/>
    </row>
    <row r="1680" spans="3:10" x14ac:dyDescent="0.3">
      <c r="C1680" s="8" t="s">
        <v>11</v>
      </c>
      <c r="D1680" s="9">
        <v>45823</v>
      </c>
      <c r="E1680" t="s">
        <v>1266</v>
      </c>
      <c r="F1680" s="10" t="s">
        <v>1427</v>
      </c>
      <c r="G1680" s="11">
        <v>116.28</v>
      </c>
      <c r="H1680" s="11">
        <v>0</v>
      </c>
      <c r="I1680" s="11">
        <f t="shared" si="59"/>
        <v>17124.679999999989</v>
      </c>
      <c r="J1680" s="12"/>
    </row>
    <row r="1681" spans="3:10" x14ac:dyDescent="0.3">
      <c r="C1681" s="8" t="s">
        <v>11</v>
      </c>
      <c r="D1681" s="9">
        <v>45823</v>
      </c>
      <c r="E1681" t="s">
        <v>1233</v>
      </c>
      <c r="F1681" s="10" t="s">
        <v>502</v>
      </c>
      <c r="G1681" s="11">
        <v>36.83</v>
      </c>
      <c r="H1681" s="11">
        <v>0</v>
      </c>
      <c r="I1681" s="11">
        <f t="shared" si="59"/>
        <v>17161.509999999991</v>
      </c>
      <c r="J1681" s="12"/>
    </row>
    <row r="1682" spans="3:10" x14ac:dyDescent="0.3">
      <c r="C1682" s="8" t="s">
        <v>11</v>
      </c>
      <c r="D1682" s="9">
        <v>45823</v>
      </c>
      <c r="E1682" t="s">
        <v>1259</v>
      </c>
      <c r="F1682" s="10" t="s">
        <v>517</v>
      </c>
      <c r="G1682" s="11">
        <v>11.76</v>
      </c>
      <c r="H1682" s="11">
        <v>0</v>
      </c>
      <c r="I1682" s="11">
        <f t="shared" si="59"/>
        <v>17173.26999999999</v>
      </c>
      <c r="J1682" s="12"/>
    </row>
    <row r="1683" spans="3:10" x14ac:dyDescent="0.3">
      <c r="C1683" s="8" t="s">
        <v>11</v>
      </c>
      <c r="D1683" s="9">
        <v>45823</v>
      </c>
      <c r="E1683" t="s">
        <v>1237</v>
      </c>
      <c r="F1683" s="10" t="s">
        <v>452</v>
      </c>
      <c r="G1683" s="11">
        <v>26.63</v>
      </c>
      <c r="H1683" s="11">
        <v>0</v>
      </c>
      <c r="I1683" s="11">
        <f t="shared" si="59"/>
        <v>17199.899999999991</v>
      </c>
      <c r="J1683" s="12"/>
    </row>
    <row r="1684" spans="3:10" x14ac:dyDescent="0.3">
      <c r="C1684" s="8" t="s">
        <v>11</v>
      </c>
      <c r="D1684" s="9">
        <v>45823</v>
      </c>
      <c r="E1684" t="s">
        <v>1289</v>
      </c>
      <c r="F1684" s="10" t="s">
        <v>365</v>
      </c>
      <c r="G1684" s="11">
        <v>226.2</v>
      </c>
      <c r="H1684" s="11">
        <v>0</v>
      </c>
      <c r="I1684" s="11">
        <f t="shared" si="59"/>
        <v>17426.099999999991</v>
      </c>
      <c r="J1684" s="12"/>
    </row>
    <row r="1685" spans="3:10" x14ac:dyDescent="0.3">
      <c r="C1685" s="8" t="s">
        <v>11</v>
      </c>
      <c r="D1685" s="9">
        <v>45824</v>
      </c>
      <c r="E1685" t="s">
        <v>1238</v>
      </c>
      <c r="F1685" s="10" t="s">
        <v>1428</v>
      </c>
      <c r="G1685" s="11">
        <v>2.52</v>
      </c>
      <c r="H1685" s="11">
        <v>0</v>
      </c>
      <c r="I1685" s="11">
        <f t="shared" si="59"/>
        <v>17428.619999999992</v>
      </c>
      <c r="J1685" s="12"/>
    </row>
    <row r="1686" spans="3:10" x14ac:dyDescent="0.3">
      <c r="C1686" s="8" t="s">
        <v>11</v>
      </c>
      <c r="D1686" s="9">
        <v>45825</v>
      </c>
      <c r="E1686" t="s">
        <v>1327</v>
      </c>
      <c r="F1686" s="10" t="s">
        <v>1429</v>
      </c>
      <c r="G1686" s="11">
        <v>33.54</v>
      </c>
      <c r="H1686" s="11">
        <v>0</v>
      </c>
      <c r="I1686" s="11">
        <f t="shared" si="59"/>
        <v>17462.159999999993</v>
      </c>
      <c r="J1686" s="12"/>
    </row>
    <row r="1687" spans="3:10" x14ac:dyDescent="0.3">
      <c r="C1687" s="8" t="s">
        <v>11</v>
      </c>
      <c r="D1687" s="9">
        <v>45825</v>
      </c>
      <c r="E1687" t="s">
        <v>1361</v>
      </c>
      <c r="F1687" s="10" t="s">
        <v>528</v>
      </c>
      <c r="G1687" s="11">
        <v>361.62</v>
      </c>
      <c r="H1687" s="11">
        <v>0</v>
      </c>
      <c r="I1687" s="11">
        <f t="shared" si="59"/>
        <v>17823.779999999992</v>
      </c>
      <c r="J1687" s="12"/>
    </row>
    <row r="1688" spans="3:10" x14ac:dyDescent="0.3">
      <c r="C1688" s="8" t="s">
        <v>11</v>
      </c>
      <c r="D1688" s="9">
        <v>45826</v>
      </c>
      <c r="E1688" t="s">
        <v>1216</v>
      </c>
      <c r="F1688" s="10" t="s">
        <v>1430</v>
      </c>
      <c r="G1688" s="11">
        <v>9.32</v>
      </c>
      <c r="H1688" s="11">
        <v>0</v>
      </c>
      <c r="I1688" s="11">
        <f t="shared" si="59"/>
        <v>17833.099999999991</v>
      </c>
      <c r="J1688" s="12"/>
    </row>
    <row r="1689" spans="3:10" x14ac:dyDescent="0.3">
      <c r="C1689" s="8" t="s">
        <v>11</v>
      </c>
      <c r="D1689" s="9">
        <v>45826</v>
      </c>
      <c r="E1689" t="s">
        <v>1288</v>
      </c>
      <c r="F1689" s="10" t="s">
        <v>319</v>
      </c>
      <c r="G1689" s="11">
        <v>205.29</v>
      </c>
      <c r="H1689" s="11">
        <v>0</v>
      </c>
      <c r="I1689" s="11">
        <f t="shared" si="59"/>
        <v>18038.389999999992</v>
      </c>
      <c r="J1689" s="12"/>
    </row>
    <row r="1690" spans="3:10" x14ac:dyDescent="0.3">
      <c r="C1690" s="8" t="s">
        <v>11</v>
      </c>
      <c r="D1690" s="9">
        <v>45826</v>
      </c>
      <c r="E1690" t="s">
        <v>1317</v>
      </c>
      <c r="F1690" s="10" t="s">
        <v>1431</v>
      </c>
      <c r="G1690" s="11">
        <v>2.62</v>
      </c>
      <c r="H1690" s="11">
        <v>0</v>
      </c>
      <c r="I1690" s="11">
        <f t="shared" si="59"/>
        <v>18041.009999999991</v>
      </c>
      <c r="J1690" s="12"/>
    </row>
    <row r="1691" spans="3:10" x14ac:dyDescent="0.3">
      <c r="C1691" s="8" t="s">
        <v>11</v>
      </c>
      <c r="D1691" s="9">
        <v>45827</v>
      </c>
      <c r="E1691" t="s">
        <v>1432</v>
      </c>
      <c r="F1691" s="10" t="s">
        <v>1433</v>
      </c>
      <c r="G1691" s="11">
        <v>19.7</v>
      </c>
      <c r="H1691" s="11">
        <v>0</v>
      </c>
      <c r="I1691" s="11">
        <f t="shared" si="59"/>
        <v>18060.709999999992</v>
      </c>
      <c r="J1691" s="12"/>
    </row>
    <row r="1692" spans="3:10" x14ac:dyDescent="0.3">
      <c r="C1692" s="8" t="s">
        <v>11</v>
      </c>
      <c r="D1692" s="9">
        <v>45827</v>
      </c>
      <c r="E1692" t="s">
        <v>1305</v>
      </c>
      <c r="F1692" s="10" t="s">
        <v>1434</v>
      </c>
      <c r="G1692" s="11">
        <v>883.68</v>
      </c>
      <c r="H1692" s="11">
        <v>0</v>
      </c>
      <c r="I1692" s="11">
        <f t="shared" si="59"/>
        <v>18944.389999999992</v>
      </c>
      <c r="J1692" s="12"/>
    </row>
    <row r="1693" spans="3:10" x14ac:dyDescent="0.3">
      <c r="C1693" s="8" t="s">
        <v>11</v>
      </c>
      <c r="D1693" s="9">
        <v>45827</v>
      </c>
      <c r="E1693" t="s">
        <v>1234</v>
      </c>
      <c r="F1693" s="10" t="s">
        <v>1435</v>
      </c>
      <c r="G1693" s="11">
        <v>18.59</v>
      </c>
      <c r="H1693" s="11">
        <v>0</v>
      </c>
      <c r="I1693" s="11">
        <f t="shared" si="59"/>
        <v>18962.979999999992</v>
      </c>
      <c r="J1693" s="12"/>
    </row>
    <row r="1694" spans="3:10" x14ac:dyDescent="0.3">
      <c r="C1694" s="8" t="s">
        <v>11</v>
      </c>
      <c r="D1694" s="9">
        <v>45828</v>
      </c>
      <c r="E1694" t="s">
        <v>1216</v>
      </c>
      <c r="F1694" s="10" t="s">
        <v>1436</v>
      </c>
      <c r="G1694" s="11">
        <v>14.38</v>
      </c>
      <c r="H1694" s="11">
        <v>0</v>
      </c>
      <c r="I1694" s="11">
        <f t="shared" si="59"/>
        <v>18977.359999999993</v>
      </c>
      <c r="J1694" s="12"/>
    </row>
    <row r="1695" spans="3:10" x14ac:dyDescent="0.3">
      <c r="C1695" s="8" t="s">
        <v>11</v>
      </c>
      <c r="D1695" s="9">
        <v>45828</v>
      </c>
      <c r="E1695" t="s">
        <v>1288</v>
      </c>
      <c r="F1695" s="10" t="s">
        <v>321</v>
      </c>
      <c r="G1695" s="11">
        <v>109.51</v>
      </c>
      <c r="H1695" s="11">
        <v>0</v>
      </c>
      <c r="I1695" s="11">
        <f t="shared" si="59"/>
        <v>19086.869999999992</v>
      </c>
      <c r="J1695" s="12"/>
    </row>
    <row r="1696" spans="3:10" x14ac:dyDescent="0.3">
      <c r="C1696" s="8" t="s">
        <v>11</v>
      </c>
      <c r="D1696" s="9">
        <v>45828</v>
      </c>
      <c r="E1696" t="s">
        <v>1242</v>
      </c>
      <c r="F1696" s="10" t="s">
        <v>91</v>
      </c>
      <c r="G1696" s="11">
        <v>474.34</v>
      </c>
      <c r="H1696" s="11">
        <v>0</v>
      </c>
      <c r="I1696" s="11">
        <f t="shared" si="59"/>
        <v>19561.209999999992</v>
      </c>
      <c r="J1696" s="12"/>
    </row>
    <row r="1697" spans="3:10" x14ac:dyDescent="0.3">
      <c r="C1697" s="8" t="s">
        <v>11</v>
      </c>
      <c r="D1697" s="9">
        <v>45828</v>
      </c>
      <c r="E1697" t="s">
        <v>1293</v>
      </c>
      <c r="F1697" s="10" t="s">
        <v>119</v>
      </c>
      <c r="G1697" s="11">
        <v>63.64</v>
      </c>
      <c r="H1697" s="11">
        <v>0</v>
      </c>
      <c r="I1697" s="11">
        <f t="shared" si="59"/>
        <v>19624.849999999991</v>
      </c>
      <c r="J1697" s="12"/>
    </row>
    <row r="1698" spans="3:10" x14ac:dyDescent="0.3">
      <c r="C1698" s="8" t="s">
        <v>11</v>
      </c>
      <c r="D1698" s="9">
        <v>45828</v>
      </c>
      <c r="E1698" t="s">
        <v>1437</v>
      </c>
      <c r="F1698" s="10" t="s">
        <v>463</v>
      </c>
      <c r="G1698" s="11">
        <v>73.5</v>
      </c>
      <c r="H1698" s="11">
        <v>0</v>
      </c>
      <c r="I1698" s="11">
        <f t="shared" si="59"/>
        <v>19698.349999999991</v>
      </c>
      <c r="J1698" s="12"/>
    </row>
    <row r="1699" spans="3:10" x14ac:dyDescent="0.3">
      <c r="C1699" s="8" t="s">
        <v>11</v>
      </c>
      <c r="D1699" s="9">
        <v>45828</v>
      </c>
      <c r="E1699" t="s">
        <v>1246</v>
      </c>
      <c r="F1699" s="10" t="s">
        <v>555</v>
      </c>
      <c r="G1699" s="11">
        <v>35.659999999999997</v>
      </c>
      <c r="H1699" s="11">
        <v>0</v>
      </c>
      <c r="I1699" s="11">
        <f t="shared" si="59"/>
        <v>19734.009999999991</v>
      </c>
      <c r="J1699" s="12"/>
    </row>
    <row r="1700" spans="3:10" x14ac:dyDescent="0.3">
      <c r="C1700" s="8" t="s">
        <v>11</v>
      </c>
      <c r="D1700" s="9">
        <v>45828</v>
      </c>
      <c r="E1700" t="s">
        <v>1237</v>
      </c>
      <c r="F1700" s="10" t="s">
        <v>454</v>
      </c>
      <c r="G1700" s="11">
        <v>7.64</v>
      </c>
      <c r="H1700" s="11">
        <v>0</v>
      </c>
      <c r="I1700" s="11">
        <f t="shared" si="59"/>
        <v>19741.649999999991</v>
      </c>
      <c r="J1700" s="12"/>
    </row>
    <row r="1701" spans="3:10" x14ac:dyDescent="0.3">
      <c r="C1701" s="8" t="s">
        <v>11</v>
      </c>
      <c r="D1701" s="9">
        <v>45832</v>
      </c>
      <c r="E1701" t="s">
        <v>1240</v>
      </c>
      <c r="F1701" s="10" t="s">
        <v>294</v>
      </c>
      <c r="G1701" s="11">
        <v>137.34</v>
      </c>
      <c r="H1701" s="11">
        <v>0</v>
      </c>
      <c r="I1701" s="11">
        <f t="shared" si="59"/>
        <v>19878.989999999991</v>
      </c>
      <c r="J1701" s="12"/>
    </row>
    <row r="1702" spans="3:10" x14ac:dyDescent="0.3">
      <c r="C1702" s="8" t="s">
        <v>11</v>
      </c>
      <c r="D1702" s="9">
        <v>45833</v>
      </c>
      <c r="E1702" t="s">
        <v>1288</v>
      </c>
      <c r="F1702" s="10" t="s">
        <v>323</v>
      </c>
      <c r="G1702" s="11">
        <v>10.92</v>
      </c>
      <c r="H1702" s="11">
        <v>0</v>
      </c>
      <c r="I1702" s="11">
        <f t="shared" si="59"/>
        <v>19889.909999999989</v>
      </c>
      <c r="J1702" s="12"/>
    </row>
    <row r="1703" spans="3:10" x14ac:dyDescent="0.3">
      <c r="C1703" s="8" t="s">
        <v>11</v>
      </c>
      <c r="D1703" s="9">
        <v>45833</v>
      </c>
      <c r="E1703" t="s">
        <v>1407</v>
      </c>
      <c r="F1703" s="10" t="s">
        <v>386</v>
      </c>
      <c r="G1703" s="11">
        <v>39.1</v>
      </c>
      <c r="H1703" s="11">
        <v>0</v>
      </c>
      <c r="I1703" s="11">
        <f t="shared" si="59"/>
        <v>19929.009999999987</v>
      </c>
      <c r="J1703" s="12"/>
    </row>
    <row r="1704" spans="3:10" x14ac:dyDescent="0.3">
      <c r="C1704" s="8" t="s">
        <v>11</v>
      </c>
      <c r="D1704" s="9">
        <v>45833</v>
      </c>
      <c r="E1704" t="s">
        <v>1237</v>
      </c>
      <c r="F1704" s="10" t="s">
        <v>456</v>
      </c>
      <c r="G1704" s="11">
        <v>22.76</v>
      </c>
      <c r="H1704" s="11">
        <v>0</v>
      </c>
      <c r="I1704" s="11">
        <f t="shared" si="59"/>
        <v>19951.769999999986</v>
      </c>
      <c r="J1704" s="12"/>
    </row>
    <row r="1705" spans="3:10" x14ac:dyDescent="0.3">
      <c r="C1705" s="8" t="s">
        <v>11</v>
      </c>
      <c r="D1705" s="9">
        <v>45834</v>
      </c>
      <c r="E1705" t="s">
        <v>1286</v>
      </c>
      <c r="F1705" s="10" t="s">
        <v>621</v>
      </c>
      <c r="G1705" s="11">
        <v>83.54</v>
      </c>
      <c r="H1705" s="11">
        <v>0</v>
      </c>
      <c r="I1705" s="11">
        <f t="shared" si="59"/>
        <v>20035.309999999987</v>
      </c>
      <c r="J1705" s="12"/>
    </row>
    <row r="1706" spans="3:10" x14ac:dyDescent="0.3">
      <c r="C1706" s="8" t="s">
        <v>11</v>
      </c>
      <c r="D1706" s="9">
        <v>45834</v>
      </c>
      <c r="E1706" t="s">
        <v>1252</v>
      </c>
      <c r="F1706" s="10" t="s">
        <v>402</v>
      </c>
      <c r="G1706" s="11">
        <v>14.58</v>
      </c>
      <c r="H1706" s="11">
        <v>0</v>
      </c>
      <c r="I1706" s="11">
        <f t="shared" si="59"/>
        <v>20049.889999999989</v>
      </c>
      <c r="J1706" s="12"/>
    </row>
    <row r="1707" spans="3:10" x14ac:dyDescent="0.3">
      <c r="C1707" s="8" t="s">
        <v>11</v>
      </c>
      <c r="D1707" s="9">
        <v>45835</v>
      </c>
      <c r="E1707" t="s">
        <v>1296</v>
      </c>
      <c r="F1707" s="10" t="s">
        <v>1438</v>
      </c>
      <c r="G1707" s="11">
        <v>21.72</v>
      </c>
      <c r="H1707" s="11">
        <v>0</v>
      </c>
      <c r="I1707" s="11">
        <f t="shared" si="59"/>
        <v>20071.60999999999</v>
      </c>
      <c r="J1707" s="12"/>
    </row>
    <row r="1708" spans="3:10" x14ac:dyDescent="0.3">
      <c r="C1708" s="8" t="s">
        <v>11</v>
      </c>
      <c r="D1708" s="9">
        <v>45838</v>
      </c>
      <c r="E1708" t="s">
        <v>1301</v>
      </c>
      <c r="F1708" s="10" t="s">
        <v>409</v>
      </c>
      <c r="G1708" s="11">
        <v>50.94</v>
      </c>
      <c r="H1708" s="11">
        <v>0</v>
      </c>
      <c r="I1708" s="11">
        <f t="shared" si="59"/>
        <v>20122.549999999988</v>
      </c>
      <c r="J1708" s="12"/>
    </row>
    <row r="1709" spans="3:10" x14ac:dyDescent="0.3">
      <c r="C1709" s="8" t="s">
        <v>11</v>
      </c>
      <c r="D1709" s="9">
        <v>45838</v>
      </c>
      <c r="E1709" t="s">
        <v>1260</v>
      </c>
      <c r="F1709" s="10" t="s">
        <v>1439</v>
      </c>
      <c r="G1709" s="11">
        <v>171.36</v>
      </c>
      <c r="H1709" s="11">
        <v>0</v>
      </c>
      <c r="I1709" s="11">
        <f t="shared" si="59"/>
        <v>20293.909999999989</v>
      </c>
      <c r="J1709" s="12"/>
    </row>
    <row r="1710" spans="3:10" x14ac:dyDescent="0.3">
      <c r="C1710" s="8" t="s">
        <v>11</v>
      </c>
      <c r="D1710" s="9">
        <v>45838</v>
      </c>
      <c r="E1710" t="s">
        <v>1265</v>
      </c>
      <c r="F1710" s="10" t="s">
        <v>139</v>
      </c>
      <c r="G1710" s="11">
        <v>29.47</v>
      </c>
      <c r="H1710" s="11">
        <v>0</v>
      </c>
      <c r="I1710" s="11">
        <f t="shared" si="59"/>
        <v>20323.37999999999</v>
      </c>
      <c r="J1710" s="12"/>
    </row>
    <row r="1711" spans="3:10" x14ac:dyDescent="0.3">
      <c r="C1711" s="8" t="s">
        <v>11</v>
      </c>
      <c r="D1711" s="9">
        <v>45838</v>
      </c>
      <c r="E1711" t="s">
        <v>1440</v>
      </c>
      <c r="F1711" s="10" t="s">
        <v>1441</v>
      </c>
      <c r="G1711" s="11">
        <v>24.43</v>
      </c>
      <c r="H1711" s="11">
        <v>0</v>
      </c>
      <c r="I1711" s="11">
        <f t="shared" si="59"/>
        <v>20347.80999999999</v>
      </c>
      <c r="J1711" s="12"/>
    </row>
    <row r="1712" spans="3:10" x14ac:dyDescent="0.3">
      <c r="C1712" s="8" t="s">
        <v>11</v>
      </c>
      <c r="D1712" s="9">
        <v>45838</v>
      </c>
      <c r="E1712" t="s">
        <v>1320</v>
      </c>
      <c r="F1712" s="10" t="s">
        <v>1442</v>
      </c>
      <c r="G1712" s="11">
        <v>456.75</v>
      </c>
      <c r="H1712" s="11">
        <v>0</v>
      </c>
      <c r="I1712" s="11">
        <f t="shared" si="59"/>
        <v>20804.55999999999</v>
      </c>
      <c r="J1712" s="12"/>
    </row>
    <row r="1713" spans="3:10" x14ac:dyDescent="0.3">
      <c r="C1713" s="8" t="s">
        <v>11</v>
      </c>
      <c r="D1713" s="9">
        <v>45838</v>
      </c>
      <c r="E1713" t="s">
        <v>1273</v>
      </c>
      <c r="F1713" s="10" t="s">
        <v>1443</v>
      </c>
      <c r="G1713" s="11">
        <v>84.26</v>
      </c>
      <c r="H1713" s="11">
        <v>0</v>
      </c>
      <c r="I1713" s="11">
        <f t="shared" si="59"/>
        <v>20888.819999999989</v>
      </c>
      <c r="J1713" s="12"/>
    </row>
    <row r="1714" spans="3:10" x14ac:dyDescent="0.3">
      <c r="C1714" s="8" t="s">
        <v>11</v>
      </c>
      <c r="D1714" s="9">
        <v>45838</v>
      </c>
      <c r="E1714" t="s">
        <v>1236</v>
      </c>
      <c r="F1714" s="10" t="s">
        <v>171</v>
      </c>
      <c r="G1714" s="11">
        <v>162.47</v>
      </c>
      <c r="H1714" s="11">
        <v>0</v>
      </c>
      <c r="I1714" s="11">
        <f t="shared" si="59"/>
        <v>21051.28999999999</v>
      </c>
      <c r="J1714" s="12"/>
    </row>
    <row r="1715" spans="3:10" x14ac:dyDescent="0.3">
      <c r="C1715" s="8" t="s">
        <v>11</v>
      </c>
      <c r="D1715" s="9">
        <v>45838</v>
      </c>
      <c r="E1715" t="s">
        <v>1271</v>
      </c>
      <c r="F1715" s="10" t="s">
        <v>1444</v>
      </c>
      <c r="G1715" s="11">
        <v>9.66</v>
      </c>
      <c r="H1715" s="11">
        <v>0</v>
      </c>
      <c r="I1715" s="11">
        <f t="shared" si="59"/>
        <v>21060.94999999999</v>
      </c>
      <c r="J1715" s="12"/>
    </row>
    <row r="1716" spans="3:10" x14ac:dyDescent="0.3">
      <c r="C1716" s="8" t="s">
        <v>11</v>
      </c>
      <c r="D1716" s="9">
        <v>45838</v>
      </c>
      <c r="E1716" t="s">
        <v>1289</v>
      </c>
      <c r="F1716" s="10" t="s">
        <v>368</v>
      </c>
      <c r="G1716" s="11">
        <v>31.02</v>
      </c>
      <c r="H1716" s="11">
        <v>0</v>
      </c>
      <c r="I1716" s="11">
        <f t="shared" si="59"/>
        <v>21091.96999999999</v>
      </c>
      <c r="J1716" s="12"/>
    </row>
    <row r="1717" spans="3:10" x14ac:dyDescent="0.3">
      <c r="C1717" s="8" t="s">
        <v>11</v>
      </c>
      <c r="D1717" s="9">
        <v>45838</v>
      </c>
      <c r="E1717" t="s">
        <v>1230</v>
      </c>
      <c r="F1717" s="10" t="s">
        <v>47</v>
      </c>
      <c r="G1717" s="11">
        <v>42.29</v>
      </c>
      <c r="H1717" s="11">
        <v>0</v>
      </c>
      <c r="I1717" s="11">
        <f t="shared" si="59"/>
        <v>21134.259999999991</v>
      </c>
      <c r="J1717" s="12"/>
    </row>
    <row r="1718" spans="3:10" x14ac:dyDescent="0.3">
      <c r="C1718" s="8" t="s">
        <v>11</v>
      </c>
      <c r="D1718" s="9">
        <v>45838</v>
      </c>
      <c r="E1718" t="s">
        <v>1277</v>
      </c>
      <c r="F1718" s="10" t="s">
        <v>1445</v>
      </c>
      <c r="G1718" s="11">
        <v>4.84</v>
      </c>
      <c r="H1718" s="11">
        <v>0</v>
      </c>
      <c r="I1718" s="11">
        <f t="shared" si="59"/>
        <v>21139.099999999991</v>
      </c>
      <c r="J1718" s="12"/>
    </row>
    <row r="1719" spans="3:10" x14ac:dyDescent="0.3">
      <c r="C1719" s="8" t="s">
        <v>11</v>
      </c>
      <c r="D1719" s="9">
        <v>45838</v>
      </c>
      <c r="E1719" t="s">
        <v>1446</v>
      </c>
      <c r="F1719" s="10" t="s">
        <v>1447</v>
      </c>
      <c r="G1719" s="11">
        <v>0</v>
      </c>
      <c r="H1719" s="11">
        <v>21139.1</v>
      </c>
      <c r="I1719" s="11">
        <f t="shared" si="59"/>
        <v>0</v>
      </c>
      <c r="J1719" s="12"/>
    </row>
    <row r="1720" spans="3:10" x14ac:dyDescent="0.3">
      <c r="C1720" s="8"/>
      <c r="D1720" s="9">
        <v>45839</v>
      </c>
      <c r="E1720" t="s">
        <v>1206</v>
      </c>
      <c r="F1720" s="10" t="s">
        <v>480</v>
      </c>
      <c r="G1720" s="11">
        <v>560.91</v>
      </c>
      <c r="H1720" s="11">
        <v>0</v>
      </c>
      <c r="I1720" s="11">
        <f t="shared" si="59"/>
        <v>560.91</v>
      </c>
      <c r="J1720" s="12"/>
    </row>
    <row r="1721" spans="3:10" x14ac:dyDescent="0.3">
      <c r="C1721" s="8"/>
      <c r="D1721" s="9">
        <v>45839</v>
      </c>
      <c r="E1721" t="s">
        <v>1448</v>
      </c>
      <c r="F1721" s="10" t="s">
        <v>682</v>
      </c>
      <c r="G1721" s="11">
        <v>38.01</v>
      </c>
      <c r="H1721" s="11">
        <v>0</v>
      </c>
      <c r="I1721" s="11">
        <f t="shared" si="59"/>
        <v>598.91999999999996</v>
      </c>
      <c r="J1721" s="12"/>
    </row>
    <row r="1722" spans="3:10" x14ac:dyDescent="0.3">
      <c r="C1722" s="8"/>
      <c r="D1722" s="9">
        <v>45839</v>
      </c>
      <c r="E1722" t="s">
        <v>1209</v>
      </c>
      <c r="F1722" s="10" t="s">
        <v>606</v>
      </c>
      <c r="G1722" s="11">
        <v>13.02</v>
      </c>
      <c r="H1722" s="11">
        <v>0</v>
      </c>
      <c r="I1722" s="11">
        <f t="shared" si="59"/>
        <v>611.93999999999994</v>
      </c>
      <c r="J1722" s="12"/>
    </row>
    <row r="1723" spans="3:10" x14ac:dyDescent="0.3">
      <c r="C1723" s="8"/>
      <c r="D1723" s="9">
        <v>45839</v>
      </c>
      <c r="E1723" t="s">
        <v>1210</v>
      </c>
      <c r="F1723" s="10" t="s">
        <v>1449</v>
      </c>
      <c r="G1723" s="11">
        <v>6.3</v>
      </c>
      <c r="H1723" s="11">
        <v>0</v>
      </c>
      <c r="I1723" s="11">
        <f t="shared" si="59"/>
        <v>618.2399999999999</v>
      </c>
      <c r="J1723" s="12"/>
    </row>
    <row r="1724" spans="3:10" x14ac:dyDescent="0.3">
      <c r="C1724" s="8"/>
      <c r="D1724" s="9">
        <v>45839</v>
      </c>
      <c r="E1724" t="s">
        <v>1327</v>
      </c>
      <c r="F1724" s="10" t="s">
        <v>1450</v>
      </c>
      <c r="G1724" s="11">
        <v>68.459999999999994</v>
      </c>
      <c r="H1724" s="11">
        <v>0</v>
      </c>
      <c r="I1724" s="11">
        <f t="shared" si="59"/>
        <v>686.69999999999993</v>
      </c>
      <c r="J1724" s="12"/>
    </row>
    <row r="1725" spans="3:10" x14ac:dyDescent="0.3">
      <c r="C1725" s="8"/>
      <c r="D1725" s="9">
        <v>45839</v>
      </c>
      <c r="E1725" t="s">
        <v>1309</v>
      </c>
      <c r="F1725" s="10" t="s">
        <v>191</v>
      </c>
      <c r="G1725" s="11">
        <v>2.09</v>
      </c>
      <c r="H1725" s="11">
        <v>0</v>
      </c>
      <c r="I1725" s="11">
        <f t="shared" si="59"/>
        <v>688.79</v>
      </c>
      <c r="J1725" s="12"/>
    </row>
    <row r="1726" spans="3:10" x14ac:dyDescent="0.3">
      <c r="C1726" s="8"/>
      <c r="D1726" s="9">
        <v>45839</v>
      </c>
      <c r="E1726" t="s">
        <v>1273</v>
      </c>
      <c r="F1726" s="10" t="s">
        <v>1451</v>
      </c>
      <c r="G1726" s="11">
        <v>60.37</v>
      </c>
      <c r="H1726" s="11">
        <v>0</v>
      </c>
      <c r="I1726" s="11">
        <f t="shared" si="59"/>
        <v>749.16</v>
      </c>
      <c r="J1726" s="12"/>
    </row>
    <row r="1727" spans="3:10" x14ac:dyDescent="0.3">
      <c r="C1727" s="8"/>
      <c r="D1727" s="9">
        <v>45840</v>
      </c>
      <c r="E1727" t="s">
        <v>1288</v>
      </c>
      <c r="F1727" s="10" t="s">
        <v>325</v>
      </c>
      <c r="G1727" s="11">
        <v>156.99</v>
      </c>
      <c r="H1727" s="11">
        <v>0</v>
      </c>
      <c r="I1727" s="11">
        <f t="shared" si="59"/>
        <v>906.15</v>
      </c>
      <c r="J1727" s="12"/>
    </row>
    <row r="1728" spans="3:10" x14ac:dyDescent="0.3">
      <c r="C1728" s="8"/>
      <c r="D1728" s="9">
        <v>45840</v>
      </c>
      <c r="E1728" t="s">
        <v>1242</v>
      </c>
      <c r="F1728" s="10" t="s">
        <v>93</v>
      </c>
      <c r="G1728" s="11">
        <v>27</v>
      </c>
      <c r="H1728" s="11">
        <v>0</v>
      </c>
      <c r="I1728" s="11">
        <f t="shared" si="59"/>
        <v>933.15</v>
      </c>
      <c r="J1728" s="12"/>
    </row>
    <row r="1729" spans="3:10" x14ac:dyDescent="0.3">
      <c r="C1729" s="8"/>
      <c r="D1729" s="9">
        <v>45841</v>
      </c>
      <c r="E1729" t="s">
        <v>1226</v>
      </c>
      <c r="F1729" s="10" t="s">
        <v>1452</v>
      </c>
      <c r="G1729" s="11">
        <v>13.36</v>
      </c>
      <c r="H1729" s="11">
        <v>0</v>
      </c>
      <c r="I1729" s="11">
        <f t="shared" si="59"/>
        <v>946.51</v>
      </c>
      <c r="J1729" s="12"/>
    </row>
    <row r="1730" spans="3:10" x14ac:dyDescent="0.3">
      <c r="C1730" s="8"/>
      <c r="D1730" s="9">
        <v>45841</v>
      </c>
      <c r="E1730" t="s">
        <v>1288</v>
      </c>
      <c r="F1730" s="10" t="s">
        <v>327</v>
      </c>
      <c r="G1730" s="11">
        <v>16.63</v>
      </c>
      <c r="H1730" s="11">
        <v>0</v>
      </c>
      <c r="I1730" s="11">
        <f t="shared" ref="I1730:I1793" si="60">G1730-H1730+I1729</f>
        <v>963.14</v>
      </c>
      <c r="J1730" s="12"/>
    </row>
    <row r="1731" spans="3:10" x14ac:dyDescent="0.3">
      <c r="C1731" s="8"/>
      <c r="D1731" s="9">
        <v>45841</v>
      </c>
      <c r="E1731" t="s">
        <v>1407</v>
      </c>
      <c r="F1731" s="10" t="s">
        <v>388</v>
      </c>
      <c r="G1731" s="11">
        <v>13.06</v>
      </c>
      <c r="H1731" s="11">
        <v>0</v>
      </c>
      <c r="I1731" s="11">
        <f t="shared" si="60"/>
        <v>976.19999999999993</v>
      </c>
      <c r="J1731" s="12"/>
    </row>
    <row r="1732" spans="3:10" x14ac:dyDescent="0.3">
      <c r="C1732" s="8"/>
      <c r="D1732" s="9">
        <v>45842</v>
      </c>
      <c r="E1732" t="s">
        <v>1330</v>
      </c>
      <c r="F1732" s="10" t="s">
        <v>201</v>
      </c>
      <c r="G1732" s="11">
        <v>5.22</v>
      </c>
      <c r="H1732" s="11">
        <v>0</v>
      </c>
      <c r="I1732" s="11">
        <f t="shared" si="60"/>
        <v>981.42</v>
      </c>
      <c r="J1732" s="12"/>
    </row>
    <row r="1733" spans="3:10" x14ac:dyDescent="0.3">
      <c r="C1733" s="8"/>
      <c r="D1733" s="9">
        <v>45842</v>
      </c>
      <c r="E1733" t="s">
        <v>1330</v>
      </c>
      <c r="F1733" s="10" t="s">
        <v>201</v>
      </c>
      <c r="G1733" s="11">
        <v>0.53</v>
      </c>
      <c r="H1733" s="11">
        <v>0</v>
      </c>
      <c r="I1733" s="11">
        <f t="shared" si="60"/>
        <v>981.94999999999993</v>
      </c>
      <c r="J1733" s="12"/>
    </row>
    <row r="1734" spans="3:10" x14ac:dyDescent="0.3">
      <c r="C1734" s="8"/>
      <c r="D1734" s="9">
        <v>45842</v>
      </c>
      <c r="E1734" t="s">
        <v>1207</v>
      </c>
      <c r="F1734" s="10" t="s">
        <v>1453</v>
      </c>
      <c r="G1734" s="11">
        <v>79.680000000000007</v>
      </c>
      <c r="H1734" s="11">
        <v>0</v>
      </c>
      <c r="I1734" s="11">
        <f t="shared" si="60"/>
        <v>1061.6299999999999</v>
      </c>
      <c r="J1734" s="12"/>
    </row>
    <row r="1735" spans="3:10" x14ac:dyDescent="0.3">
      <c r="C1735" s="8"/>
      <c r="D1735" s="9">
        <v>45843</v>
      </c>
      <c r="E1735" t="s">
        <v>1242</v>
      </c>
      <c r="F1735" s="10" t="s">
        <v>95</v>
      </c>
      <c r="G1735" s="11">
        <v>23.1</v>
      </c>
      <c r="H1735" s="11">
        <v>0</v>
      </c>
      <c r="I1735" s="11">
        <f t="shared" si="60"/>
        <v>1084.7299999999998</v>
      </c>
      <c r="J1735" s="12"/>
    </row>
    <row r="1736" spans="3:10" x14ac:dyDescent="0.3">
      <c r="C1736" s="8"/>
      <c r="D1736" s="9">
        <v>45843</v>
      </c>
      <c r="E1736" t="s">
        <v>1242</v>
      </c>
      <c r="F1736" s="10" t="s">
        <v>97</v>
      </c>
      <c r="G1736" s="11">
        <v>34.32</v>
      </c>
      <c r="H1736" s="11">
        <v>0</v>
      </c>
      <c r="I1736" s="11">
        <f t="shared" si="60"/>
        <v>1119.0499999999997</v>
      </c>
      <c r="J1736" s="12"/>
    </row>
    <row r="1737" spans="3:10" x14ac:dyDescent="0.3">
      <c r="C1737" s="8"/>
      <c r="D1737" s="9">
        <v>45845</v>
      </c>
      <c r="E1737" t="s">
        <v>1251</v>
      </c>
      <c r="F1737" s="10" t="s">
        <v>260</v>
      </c>
      <c r="G1737" s="11">
        <v>16.36</v>
      </c>
      <c r="H1737" s="11">
        <v>0</v>
      </c>
      <c r="I1737" s="11">
        <f t="shared" si="60"/>
        <v>1135.4099999999996</v>
      </c>
      <c r="J1737" s="12"/>
    </row>
    <row r="1738" spans="3:10" x14ac:dyDescent="0.3">
      <c r="C1738" s="8"/>
      <c r="D1738" s="9">
        <v>45846</v>
      </c>
      <c r="E1738" t="s">
        <v>1369</v>
      </c>
      <c r="F1738" s="10" t="s">
        <v>1454</v>
      </c>
      <c r="G1738" s="11">
        <v>55.81</v>
      </c>
      <c r="H1738" s="11">
        <v>0</v>
      </c>
      <c r="I1738" s="11">
        <f t="shared" si="60"/>
        <v>1191.2199999999996</v>
      </c>
      <c r="J1738" s="12"/>
    </row>
    <row r="1739" spans="3:10" x14ac:dyDescent="0.3">
      <c r="C1739" s="8"/>
      <c r="D1739" s="9">
        <v>45846</v>
      </c>
      <c r="E1739" t="s">
        <v>1251</v>
      </c>
      <c r="F1739" s="10" t="s">
        <v>262</v>
      </c>
      <c r="G1739" s="11">
        <v>3461.54</v>
      </c>
      <c r="H1739" s="11">
        <v>0</v>
      </c>
      <c r="I1739" s="11">
        <f t="shared" si="60"/>
        <v>4652.7599999999993</v>
      </c>
      <c r="J1739" s="12"/>
    </row>
    <row r="1740" spans="3:10" x14ac:dyDescent="0.3">
      <c r="C1740" s="8"/>
      <c r="D1740" s="9">
        <v>45846</v>
      </c>
      <c r="E1740" t="s">
        <v>1455</v>
      </c>
      <c r="F1740" s="10" t="s">
        <v>1456</v>
      </c>
      <c r="G1740" s="11">
        <v>42.7</v>
      </c>
      <c r="H1740" s="11">
        <v>0</v>
      </c>
      <c r="I1740" s="11">
        <f t="shared" si="60"/>
        <v>4695.4599999999991</v>
      </c>
      <c r="J1740" s="12"/>
    </row>
    <row r="1741" spans="3:10" x14ac:dyDescent="0.3">
      <c r="C1741" s="8"/>
      <c r="D1741" s="9">
        <v>45847</v>
      </c>
      <c r="E1741" t="s">
        <v>1216</v>
      </c>
      <c r="F1741" s="10" t="s">
        <v>1457</v>
      </c>
      <c r="G1741" s="11">
        <v>0.24</v>
      </c>
      <c r="H1741" s="11">
        <v>0</v>
      </c>
      <c r="I1741" s="11">
        <f t="shared" si="60"/>
        <v>4695.6999999999989</v>
      </c>
      <c r="J1741" s="12"/>
    </row>
    <row r="1742" spans="3:10" x14ac:dyDescent="0.3">
      <c r="C1742" s="8"/>
      <c r="D1742" s="9">
        <v>45847</v>
      </c>
      <c r="E1742" t="s">
        <v>1407</v>
      </c>
      <c r="F1742" s="10" t="s">
        <v>390</v>
      </c>
      <c r="G1742" s="11">
        <v>97.57</v>
      </c>
      <c r="H1742" s="11">
        <v>0</v>
      </c>
      <c r="I1742" s="11">
        <f t="shared" si="60"/>
        <v>4793.2699999999986</v>
      </c>
      <c r="J1742" s="12"/>
    </row>
    <row r="1743" spans="3:10" x14ac:dyDescent="0.3">
      <c r="C1743" s="8"/>
      <c r="D1743" s="9">
        <v>45848</v>
      </c>
      <c r="E1743" t="s">
        <v>1251</v>
      </c>
      <c r="F1743" s="10" t="s">
        <v>264</v>
      </c>
      <c r="G1743" s="11">
        <v>241.92</v>
      </c>
      <c r="H1743" s="11">
        <v>0</v>
      </c>
      <c r="I1743" s="11">
        <f t="shared" si="60"/>
        <v>5035.1899999999987</v>
      </c>
      <c r="J1743" s="12"/>
    </row>
    <row r="1744" spans="3:10" x14ac:dyDescent="0.3">
      <c r="C1744" s="8"/>
      <c r="D1744" s="9">
        <v>45848</v>
      </c>
      <c r="E1744" t="s">
        <v>1371</v>
      </c>
      <c r="F1744" s="10" t="s">
        <v>1458</v>
      </c>
      <c r="G1744" s="11">
        <v>8.0299999999999994</v>
      </c>
      <c r="H1744" s="11">
        <v>0</v>
      </c>
      <c r="I1744" s="11">
        <f t="shared" si="60"/>
        <v>5043.2199999999984</v>
      </c>
      <c r="J1744" s="12"/>
    </row>
    <row r="1745" spans="3:10" x14ac:dyDescent="0.3">
      <c r="C1745" s="8"/>
      <c r="D1745" s="9">
        <v>45849</v>
      </c>
      <c r="E1745" t="s">
        <v>1284</v>
      </c>
      <c r="F1745" s="10" t="s">
        <v>1459</v>
      </c>
      <c r="G1745" s="11">
        <v>5.34</v>
      </c>
      <c r="H1745" s="11">
        <v>0</v>
      </c>
      <c r="I1745" s="11">
        <f t="shared" si="60"/>
        <v>5048.5599999999986</v>
      </c>
      <c r="J1745" s="12"/>
    </row>
    <row r="1746" spans="3:10" x14ac:dyDescent="0.3">
      <c r="C1746" s="8"/>
      <c r="D1746" s="9">
        <v>45849</v>
      </c>
      <c r="E1746" t="s">
        <v>1284</v>
      </c>
      <c r="F1746" s="10" t="s">
        <v>1459</v>
      </c>
      <c r="G1746" s="11">
        <v>1.7</v>
      </c>
      <c r="H1746" s="11">
        <v>0</v>
      </c>
      <c r="I1746" s="11">
        <f t="shared" si="60"/>
        <v>5050.2599999999984</v>
      </c>
      <c r="J1746" s="12"/>
    </row>
    <row r="1747" spans="3:10" x14ac:dyDescent="0.3">
      <c r="C1747" s="8"/>
      <c r="D1747" s="9">
        <v>45849</v>
      </c>
      <c r="E1747" t="s">
        <v>1251</v>
      </c>
      <c r="F1747" s="10" t="s">
        <v>266</v>
      </c>
      <c r="G1747" s="11">
        <v>69.61</v>
      </c>
      <c r="H1747" s="11">
        <v>0</v>
      </c>
      <c r="I1747" s="11">
        <f t="shared" si="60"/>
        <v>5119.8699999999981</v>
      </c>
      <c r="J1747" s="12"/>
    </row>
    <row r="1748" spans="3:10" x14ac:dyDescent="0.3">
      <c r="C1748" s="8"/>
      <c r="D1748" s="9">
        <v>45851</v>
      </c>
      <c r="E1748" t="s">
        <v>1212</v>
      </c>
      <c r="F1748" s="10" t="s">
        <v>219</v>
      </c>
      <c r="G1748" s="11">
        <v>23.2</v>
      </c>
      <c r="H1748" s="11">
        <v>0</v>
      </c>
      <c r="I1748" s="11">
        <f t="shared" si="60"/>
        <v>5143.0699999999979</v>
      </c>
      <c r="J1748" s="12"/>
    </row>
    <row r="1749" spans="3:10" x14ac:dyDescent="0.3">
      <c r="C1749" s="8"/>
      <c r="D1749" s="9">
        <v>45852</v>
      </c>
      <c r="E1749" t="s">
        <v>1251</v>
      </c>
      <c r="F1749" s="10" t="s">
        <v>268</v>
      </c>
      <c r="G1749" s="11">
        <v>127.12</v>
      </c>
      <c r="H1749" s="11">
        <v>0</v>
      </c>
      <c r="I1749" s="11">
        <f t="shared" si="60"/>
        <v>5270.1899999999978</v>
      </c>
      <c r="J1749" s="12"/>
    </row>
    <row r="1750" spans="3:10" x14ac:dyDescent="0.3">
      <c r="C1750" s="8"/>
      <c r="D1750" s="9">
        <v>45852</v>
      </c>
      <c r="E1750" t="s">
        <v>1230</v>
      </c>
      <c r="F1750" s="10" t="s">
        <v>49</v>
      </c>
      <c r="G1750" s="11">
        <v>53.11</v>
      </c>
      <c r="H1750" s="11">
        <v>0</v>
      </c>
      <c r="I1750" s="11">
        <f t="shared" si="60"/>
        <v>5323.2999999999975</v>
      </c>
      <c r="J1750" s="12"/>
    </row>
    <row r="1751" spans="3:10" x14ac:dyDescent="0.3">
      <c r="C1751" s="8"/>
      <c r="D1751" s="9">
        <v>45853</v>
      </c>
      <c r="E1751" t="s">
        <v>1216</v>
      </c>
      <c r="F1751" s="10" t="s">
        <v>1460</v>
      </c>
      <c r="G1751" s="11">
        <v>5.99</v>
      </c>
      <c r="H1751" s="11">
        <v>0</v>
      </c>
      <c r="I1751" s="11">
        <f t="shared" si="60"/>
        <v>5329.2899999999972</v>
      </c>
      <c r="J1751" s="12"/>
    </row>
    <row r="1752" spans="3:10" x14ac:dyDescent="0.3">
      <c r="C1752" s="8"/>
      <c r="D1752" s="9">
        <v>45853</v>
      </c>
      <c r="E1752" t="s">
        <v>1288</v>
      </c>
      <c r="F1752" s="10" t="s">
        <v>329</v>
      </c>
      <c r="G1752" s="11">
        <v>109.51</v>
      </c>
      <c r="H1752" s="11">
        <v>0</v>
      </c>
      <c r="I1752" s="11">
        <f t="shared" si="60"/>
        <v>5438.7999999999975</v>
      </c>
      <c r="J1752" s="12"/>
    </row>
    <row r="1753" spans="3:10" x14ac:dyDescent="0.3">
      <c r="C1753" s="8"/>
      <c r="D1753" s="9">
        <v>45853</v>
      </c>
      <c r="E1753" t="s">
        <v>1293</v>
      </c>
      <c r="F1753" s="10" t="s">
        <v>121</v>
      </c>
      <c r="G1753" s="11">
        <v>661.87</v>
      </c>
      <c r="H1753" s="11">
        <v>0</v>
      </c>
      <c r="I1753" s="11">
        <f t="shared" si="60"/>
        <v>6100.6699999999973</v>
      </c>
      <c r="J1753" s="12"/>
    </row>
    <row r="1754" spans="3:10" x14ac:dyDescent="0.3">
      <c r="C1754" s="8"/>
      <c r="D1754" s="9">
        <v>45853</v>
      </c>
      <c r="E1754" t="s">
        <v>1232</v>
      </c>
      <c r="F1754" s="10" t="s">
        <v>429</v>
      </c>
      <c r="G1754" s="11">
        <v>15.84</v>
      </c>
      <c r="H1754" s="11">
        <v>0</v>
      </c>
      <c r="I1754" s="11">
        <f t="shared" si="60"/>
        <v>6116.5099999999975</v>
      </c>
      <c r="J1754" s="12"/>
    </row>
    <row r="1755" spans="3:10" x14ac:dyDescent="0.3">
      <c r="C1755" s="8"/>
      <c r="D1755" s="9">
        <v>45853</v>
      </c>
      <c r="E1755" t="s">
        <v>1307</v>
      </c>
      <c r="F1755" s="10" t="s">
        <v>19</v>
      </c>
      <c r="G1755" s="11">
        <v>2.95</v>
      </c>
      <c r="H1755" s="11">
        <v>0</v>
      </c>
      <c r="I1755" s="11">
        <f t="shared" si="60"/>
        <v>6119.4599999999973</v>
      </c>
      <c r="J1755" s="12"/>
    </row>
    <row r="1756" spans="3:10" x14ac:dyDescent="0.3">
      <c r="C1756" s="8"/>
      <c r="D1756" s="9">
        <v>45853</v>
      </c>
      <c r="E1756" t="s">
        <v>1266</v>
      </c>
      <c r="F1756" s="10" t="s">
        <v>1461</v>
      </c>
      <c r="G1756" s="11">
        <v>18.329999999999998</v>
      </c>
      <c r="H1756" s="11">
        <v>0</v>
      </c>
      <c r="I1756" s="11">
        <f t="shared" si="60"/>
        <v>6137.7899999999972</v>
      </c>
      <c r="J1756" s="12"/>
    </row>
    <row r="1757" spans="3:10" x14ac:dyDescent="0.3">
      <c r="C1757" s="8"/>
      <c r="D1757" s="9">
        <v>45853</v>
      </c>
      <c r="E1757" t="s">
        <v>1266</v>
      </c>
      <c r="F1757" s="10" t="s">
        <v>1462</v>
      </c>
      <c r="G1757" s="11">
        <v>-3.67</v>
      </c>
      <c r="H1757" s="11">
        <v>0</v>
      </c>
      <c r="I1757" s="11">
        <f t="shared" si="60"/>
        <v>6134.1199999999972</v>
      </c>
      <c r="J1757" s="12"/>
    </row>
    <row r="1758" spans="3:10" x14ac:dyDescent="0.3">
      <c r="C1758" s="8"/>
      <c r="D1758" s="9">
        <v>45853</v>
      </c>
      <c r="E1758" t="s">
        <v>1233</v>
      </c>
      <c r="F1758" s="10" t="s">
        <v>504</v>
      </c>
      <c r="G1758" s="11">
        <v>67.510000000000005</v>
      </c>
      <c r="H1758" s="11">
        <v>0</v>
      </c>
      <c r="I1758" s="11">
        <f t="shared" si="60"/>
        <v>6201.6299999999974</v>
      </c>
      <c r="J1758" s="12"/>
    </row>
    <row r="1759" spans="3:10" x14ac:dyDescent="0.3">
      <c r="C1759" s="8"/>
      <c r="D1759" s="9">
        <v>45853</v>
      </c>
      <c r="E1759" t="s">
        <v>1236</v>
      </c>
      <c r="F1759" s="10" t="s">
        <v>173</v>
      </c>
      <c r="G1759" s="11">
        <v>215.44</v>
      </c>
      <c r="H1759" s="11">
        <v>0</v>
      </c>
      <c r="I1759" s="11">
        <f t="shared" si="60"/>
        <v>6417.069999999997</v>
      </c>
      <c r="J1759" s="12"/>
    </row>
    <row r="1760" spans="3:10" x14ac:dyDescent="0.3">
      <c r="C1760" s="8"/>
      <c r="D1760" s="9">
        <v>45853</v>
      </c>
      <c r="E1760" t="s">
        <v>1289</v>
      </c>
      <c r="F1760" s="10" t="s">
        <v>370</v>
      </c>
      <c r="G1760" s="11">
        <v>20.09</v>
      </c>
      <c r="H1760" s="11">
        <v>0</v>
      </c>
      <c r="I1760" s="11">
        <f t="shared" si="60"/>
        <v>6437.1599999999971</v>
      </c>
      <c r="J1760" s="12"/>
    </row>
    <row r="1761" spans="3:10" x14ac:dyDescent="0.3">
      <c r="C1761" s="8"/>
      <c r="D1761" s="9">
        <v>45853</v>
      </c>
      <c r="E1761" t="s">
        <v>1259</v>
      </c>
      <c r="F1761" s="10" t="s">
        <v>519</v>
      </c>
      <c r="G1761" s="11">
        <v>62.35</v>
      </c>
      <c r="H1761" s="11">
        <v>0</v>
      </c>
      <c r="I1761" s="11">
        <f t="shared" si="60"/>
        <v>6499.5099999999975</v>
      </c>
      <c r="J1761" s="12"/>
    </row>
    <row r="1762" spans="3:10" x14ac:dyDescent="0.3">
      <c r="C1762" s="8"/>
      <c r="D1762" s="9">
        <v>45853</v>
      </c>
      <c r="E1762" t="s">
        <v>1231</v>
      </c>
      <c r="F1762" s="10" t="s">
        <v>576</v>
      </c>
      <c r="G1762" s="11">
        <v>90.3</v>
      </c>
      <c r="H1762" s="11">
        <v>0</v>
      </c>
      <c r="I1762" s="11">
        <f t="shared" si="60"/>
        <v>6589.8099999999977</v>
      </c>
      <c r="J1762" s="12"/>
    </row>
    <row r="1763" spans="3:10" x14ac:dyDescent="0.3">
      <c r="C1763" s="8"/>
      <c r="D1763" s="9">
        <v>45854</v>
      </c>
      <c r="E1763" t="s">
        <v>1238</v>
      </c>
      <c r="F1763" s="10" t="s">
        <v>1463</v>
      </c>
      <c r="G1763" s="11">
        <v>2.91</v>
      </c>
      <c r="H1763" s="11">
        <v>0</v>
      </c>
      <c r="I1763" s="11">
        <f t="shared" si="60"/>
        <v>6592.7199999999975</v>
      </c>
      <c r="J1763" s="12"/>
    </row>
    <row r="1764" spans="3:10" x14ac:dyDescent="0.3">
      <c r="C1764" s="8"/>
      <c r="D1764" s="9">
        <v>45855</v>
      </c>
      <c r="E1764" t="s">
        <v>1464</v>
      </c>
      <c r="F1764" s="10" t="s">
        <v>182</v>
      </c>
      <c r="G1764" s="11">
        <v>312.25</v>
      </c>
      <c r="H1764" s="11">
        <v>0</v>
      </c>
      <c r="I1764" s="11">
        <f t="shared" si="60"/>
        <v>6904.9699999999975</v>
      </c>
      <c r="J1764" s="12"/>
    </row>
    <row r="1765" spans="3:10" x14ac:dyDescent="0.3">
      <c r="C1765" s="8"/>
      <c r="D1765" s="9">
        <v>45855</v>
      </c>
      <c r="E1765" t="s">
        <v>1465</v>
      </c>
      <c r="F1765" s="10" t="s">
        <v>1466</v>
      </c>
      <c r="G1765" s="11">
        <v>8.81</v>
      </c>
      <c r="H1765" s="11">
        <v>0</v>
      </c>
      <c r="I1765" s="11">
        <f t="shared" si="60"/>
        <v>6913.7799999999979</v>
      </c>
      <c r="J1765" s="12"/>
    </row>
    <row r="1766" spans="3:10" x14ac:dyDescent="0.3">
      <c r="C1766" s="8"/>
      <c r="D1766" s="9">
        <v>45858</v>
      </c>
      <c r="E1766" t="s">
        <v>1246</v>
      </c>
      <c r="F1766" s="10" t="s">
        <v>557</v>
      </c>
      <c r="G1766" s="11">
        <v>35.659999999999997</v>
      </c>
      <c r="H1766" s="11">
        <v>0</v>
      </c>
      <c r="I1766" s="11">
        <f t="shared" si="60"/>
        <v>6949.4399999999978</v>
      </c>
      <c r="J1766" s="12"/>
    </row>
    <row r="1767" spans="3:10" x14ac:dyDescent="0.3">
      <c r="C1767" s="8"/>
      <c r="D1767" s="9">
        <v>45859</v>
      </c>
      <c r="E1767" t="s">
        <v>1381</v>
      </c>
      <c r="F1767" s="10" t="s">
        <v>614</v>
      </c>
      <c r="G1767" s="11">
        <v>11.43</v>
      </c>
      <c r="H1767" s="11">
        <v>0</v>
      </c>
      <c r="I1767" s="11">
        <f t="shared" si="60"/>
        <v>6960.8699999999981</v>
      </c>
      <c r="J1767" s="12"/>
    </row>
    <row r="1768" spans="3:10" x14ac:dyDescent="0.3">
      <c r="C1768" s="8"/>
      <c r="D1768" s="9">
        <v>45860</v>
      </c>
      <c r="E1768" t="s">
        <v>1301</v>
      </c>
      <c r="F1768" s="10" t="s">
        <v>409</v>
      </c>
      <c r="G1768" s="11">
        <v>91.52</v>
      </c>
      <c r="H1768" s="11">
        <v>0</v>
      </c>
      <c r="I1768" s="11">
        <f t="shared" si="60"/>
        <v>7052.3899999999985</v>
      </c>
      <c r="J1768" s="12"/>
    </row>
    <row r="1769" spans="3:10" x14ac:dyDescent="0.3">
      <c r="C1769" s="8"/>
      <c r="D1769" s="9">
        <v>45860</v>
      </c>
      <c r="E1769" t="s">
        <v>1216</v>
      </c>
      <c r="F1769" s="10" t="s">
        <v>1467</v>
      </c>
      <c r="G1769" s="11">
        <v>2.33</v>
      </c>
      <c r="H1769" s="11">
        <v>0</v>
      </c>
      <c r="I1769" s="11">
        <f t="shared" si="60"/>
        <v>7054.7199999999984</v>
      </c>
      <c r="J1769" s="12"/>
    </row>
    <row r="1770" spans="3:10" x14ac:dyDescent="0.3">
      <c r="C1770" s="8"/>
      <c r="D1770" s="9">
        <v>45860</v>
      </c>
      <c r="E1770" t="s">
        <v>1288</v>
      </c>
      <c r="F1770" s="10" t="s">
        <v>331</v>
      </c>
      <c r="G1770" s="11">
        <v>228.74</v>
      </c>
      <c r="H1770" s="11">
        <v>0</v>
      </c>
      <c r="I1770" s="11">
        <f t="shared" si="60"/>
        <v>7283.4599999999982</v>
      </c>
      <c r="J1770" s="12"/>
    </row>
    <row r="1771" spans="3:10" x14ac:dyDescent="0.3">
      <c r="C1771" s="8"/>
      <c r="D1771" s="9">
        <v>45860</v>
      </c>
      <c r="E1771" t="s">
        <v>1468</v>
      </c>
      <c r="F1771" s="10" t="s">
        <v>542</v>
      </c>
      <c r="G1771" s="11">
        <v>1.93</v>
      </c>
      <c r="H1771" s="11">
        <v>0</v>
      </c>
      <c r="I1771" s="11">
        <f t="shared" si="60"/>
        <v>7285.3899999999985</v>
      </c>
      <c r="J1771" s="12"/>
    </row>
    <row r="1772" spans="3:10" x14ac:dyDescent="0.3">
      <c r="C1772" s="8"/>
      <c r="D1772" s="9">
        <v>45860</v>
      </c>
      <c r="E1772" t="s">
        <v>1317</v>
      </c>
      <c r="F1772" s="10" t="s">
        <v>1469</v>
      </c>
      <c r="G1772" s="11">
        <v>2.62</v>
      </c>
      <c r="H1772" s="11">
        <v>0</v>
      </c>
      <c r="I1772" s="11">
        <f t="shared" si="60"/>
        <v>7288.0099999999984</v>
      </c>
      <c r="J1772" s="12"/>
    </row>
    <row r="1773" spans="3:10" x14ac:dyDescent="0.3">
      <c r="C1773" s="8"/>
      <c r="D1773" s="9">
        <v>45862</v>
      </c>
      <c r="E1773" t="s">
        <v>1251</v>
      </c>
      <c r="F1773" s="10" t="s">
        <v>270</v>
      </c>
      <c r="G1773" s="11">
        <v>735.69</v>
      </c>
      <c r="H1773" s="11">
        <v>0</v>
      </c>
      <c r="I1773" s="11">
        <f t="shared" si="60"/>
        <v>8023.6999999999989</v>
      </c>
      <c r="J1773" s="12"/>
    </row>
    <row r="1774" spans="3:10" x14ac:dyDescent="0.3">
      <c r="C1774" s="8"/>
      <c r="D1774" s="9">
        <v>45862</v>
      </c>
      <c r="E1774" t="s">
        <v>1470</v>
      </c>
      <c r="F1774" s="10" t="s">
        <v>487</v>
      </c>
      <c r="G1774" s="11">
        <v>66.37</v>
      </c>
      <c r="H1774" s="11">
        <v>0</v>
      </c>
      <c r="I1774" s="11">
        <f t="shared" si="60"/>
        <v>8090.0699999999988</v>
      </c>
      <c r="J1774" s="12"/>
    </row>
    <row r="1775" spans="3:10" x14ac:dyDescent="0.3">
      <c r="C1775" s="8"/>
      <c r="D1775" s="9">
        <v>45862</v>
      </c>
      <c r="E1775" t="s">
        <v>1361</v>
      </c>
      <c r="F1775" s="10" t="s">
        <v>530</v>
      </c>
      <c r="G1775" s="11">
        <v>56.07</v>
      </c>
      <c r="H1775" s="11">
        <v>0</v>
      </c>
      <c r="I1775" s="11">
        <f t="shared" si="60"/>
        <v>8146.1399999999985</v>
      </c>
      <c r="J1775" s="12"/>
    </row>
    <row r="1776" spans="3:10" x14ac:dyDescent="0.3">
      <c r="C1776" s="8"/>
      <c r="D1776" s="9">
        <v>45863</v>
      </c>
      <c r="E1776" t="s">
        <v>1471</v>
      </c>
      <c r="F1776" s="10" t="s">
        <v>436</v>
      </c>
      <c r="G1776" s="11">
        <v>54.13</v>
      </c>
      <c r="H1776" s="11">
        <v>0</v>
      </c>
      <c r="I1776" s="11">
        <f t="shared" si="60"/>
        <v>8200.2699999999986</v>
      </c>
      <c r="J1776" s="12"/>
    </row>
    <row r="1777" spans="3:10" x14ac:dyDescent="0.3">
      <c r="C1777" s="8"/>
      <c r="D1777" s="9">
        <v>45863</v>
      </c>
      <c r="E1777" t="s">
        <v>1237</v>
      </c>
      <c r="F1777" s="10" t="s">
        <v>458</v>
      </c>
      <c r="G1777" s="11">
        <v>11.75</v>
      </c>
      <c r="H1777" s="11">
        <v>0</v>
      </c>
      <c r="I1777" s="11">
        <f t="shared" si="60"/>
        <v>8212.0199999999986</v>
      </c>
      <c r="J1777" s="12"/>
    </row>
    <row r="1778" spans="3:10" x14ac:dyDescent="0.3">
      <c r="C1778" s="8"/>
      <c r="D1778" s="9">
        <v>45863</v>
      </c>
      <c r="E1778" t="s">
        <v>1253</v>
      </c>
      <c r="F1778" s="10" t="s">
        <v>130</v>
      </c>
      <c r="G1778" s="11">
        <v>58.8</v>
      </c>
      <c r="H1778" s="11">
        <v>0</v>
      </c>
      <c r="I1778" s="11">
        <f t="shared" si="60"/>
        <v>8270.8199999999979</v>
      </c>
      <c r="J1778" s="12"/>
    </row>
    <row r="1779" spans="3:10" x14ac:dyDescent="0.3">
      <c r="C1779" s="8"/>
      <c r="D1779" s="9">
        <v>45863</v>
      </c>
      <c r="E1779" t="s">
        <v>1216</v>
      </c>
      <c r="F1779" s="10" t="s">
        <v>1472</v>
      </c>
      <c r="G1779" s="11">
        <v>3.99</v>
      </c>
      <c r="H1779" s="11">
        <v>0</v>
      </c>
      <c r="I1779" s="11">
        <f t="shared" si="60"/>
        <v>8274.8099999999977</v>
      </c>
      <c r="J1779" s="12"/>
    </row>
    <row r="1780" spans="3:10" x14ac:dyDescent="0.3">
      <c r="C1780" s="8"/>
      <c r="D1780" s="9">
        <v>45866</v>
      </c>
      <c r="E1780" t="s">
        <v>1286</v>
      </c>
      <c r="F1780" s="10" t="s">
        <v>623</v>
      </c>
      <c r="G1780" s="11">
        <v>106.03</v>
      </c>
      <c r="H1780" s="11">
        <v>0</v>
      </c>
      <c r="I1780" s="11">
        <f t="shared" si="60"/>
        <v>8380.8399999999983</v>
      </c>
      <c r="J1780" s="12"/>
    </row>
    <row r="1781" spans="3:10" x14ac:dyDescent="0.3">
      <c r="C1781" s="8"/>
      <c r="D1781" s="9">
        <v>45867</v>
      </c>
      <c r="E1781" t="s">
        <v>1437</v>
      </c>
      <c r="F1781" s="10" t="s">
        <v>465</v>
      </c>
      <c r="G1781" s="11">
        <v>564.9</v>
      </c>
      <c r="H1781" s="11">
        <v>0</v>
      </c>
      <c r="I1781" s="11">
        <f t="shared" si="60"/>
        <v>8945.739999999998</v>
      </c>
      <c r="J1781" s="12"/>
    </row>
    <row r="1782" spans="3:10" x14ac:dyDescent="0.3">
      <c r="C1782" s="8"/>
      <c r="D1782" s="9">
        <v>45867</v>
      </c>
      <c r="E1782" t="s">
        <v>1473</v>
      </c>
      <c r="F1782" s="10" t="s">
        <v>536</v>
      </c>
      <c r="G1782" s="11">
        <v>178.93</v>
      </c>
      <c r="H1782" s="11">
        <v>0</v>
      </c>
      <c r="I1782" s="11">
        <f t="shared" si="60"/>
        <v>9124.6699999999983</v>
      </c>
      <c r="J1782" s="12"/>
    </row>
    <row r="1783" spans="3:10" x14ac:dyDescent="0.3">
      <c r="C1783" s="8"/>
      <c r="D1783" s="9">
        <v>45868</v>
      </c>
      <c r="E1783" t="s">
        <v>1407</v>
      </c>
      <c r="F1783" s="10" t="s">
        <v>392</v>
      </c>
      <c r="G1783" s="11">
        <v>173.17</v>
      </c>
      <c r="H1783" s="11">
        <v>0</v>
      </c>
      <c r="I1783" s="11">
        <f t="shared" si="60"/>
        <v>9297.8399999999983</v>
      </c>
      <c r="J1783" s="12"/>
    </row>
    <row r="1784" spans="3:10" x14ac:dyDescent="0.3">
      <c r="C1784" s="8"/>
      <c r="D1784" s="9">
        <v>45868</v>
      </c>
      <c r="E1784" t="s">
        <v>1237</v>
      </c>
      <c r="F1784" s="10" t="s">
        <v>460</v>
      </c>
      <c r="G1784" s="11">
        <v>7.12</v>
      </c>
      <c r="H1784" s="11">
        <v>0</v>
      </c>
      <c r="I1784" s="11">
        <f t="shared" si="60"/>
        <v>9304.9599999999991</v>
      </c>
      <c r="J1784" s="12"/>
    </row>
    <row r="1785" spans="3:10" x14ac:dyDescent="0.3">
      <c r="C1785" s="8"/>
      <c r="D1785" s="9">
        <v>45868</v>
      </c>
      <c r="E1785" t="s">
        <v>1259</v>
      </c>
      <c r="F1785" s="10" t="s">
        <v>521</v>
      </c>
      <c r="G1785" s="11">
        <v>58.38</v>
      </c>
      <c r="H1785" s="11">
        <v>0</v>
      </c>
      <c r="I1785" s="11">
        <f t="shared" si="60"/>
        <v>9363.3399999999983</v>
      </c>
      <c r="J1785" s="12"/>
    </row>
    <row r="1786" spans="3:10" x14ac:dyDescent="0.3">
      <c r="C1786" s="8"/>
      <c r="D1786" s="9">
        <v>45869</v>
      </c>
      <c r="E1786" t="s">
        <v>1260</v>
      </c>
      <c r="F1786" s="10" t="s">
        <v>1474</v>
      </c>
      <c r="G1786" s="11">
        <v>266.7</v>
      </c>
      <c r="H1786" s="11">
        <v>0</v>
      </c>
      <c r="I1786" s="11">
        <f t="shared" si="60"/>
        <v>9630.0399999999991</v>
      </c>
      <c r="J1786" s="12"/>
    </row>
    <row r="1787" spans="3:10" x14ac:dyDescent="0.3">
      <c r="C1787" s="8"/>
      <c r="D1787" s="9">
        <v>45869</v>
      </c>
      <c r="E1787" t="s">
        <v>1251</v>
      </c>
      <c r="F1787" s="10" t="s">
        <v>272</v>
      </c>
      <c r="G1787" s="11">
        <v>77.92</v>
      </c>
      <c r="H1787" s="11">
        <v>0</v>
      </c>
      <c r="I1787" s="11">
        <f t="shared" si="60"/>
        <v>9707.9599999999991</v>
      </c>
      <c r="J1787" s="12"/>
    </row>
    <row r="1788" spans="3:10" x14ac:dyDescent="0.3">
      <c r="C1788" s="8"/>
      <c r="D1788" s="9">
        <v>45869</v>
      </c>
      <c r="E1788" t="s">
        <v>1264</v>
      </c>
      <c r="F1788" s="10" t="s">
        <v>347</v>
      </c>
      <c r="G1788" s="11">
        <v>48.38</v>
      </c>
      <c r="H1788" s="11">
        <v>0</v>
      </c>
      <c r="I1788" s="11">
        <f t="shared" si="60"/>
        <v>9756.3399999999983</v>
      </c>
      <c r="J1788" s="12"/>
    </row>
    <row r="1789" spans="3:10" x14ac:dyDescent="0.3">
      <c r="C1789" s="8"/>
      <c r="D1789" s="9">
        <v>45869</v>
      </c>
      <c r="E1789" t="s">
        <v>1309</v>
      </c>
      <c r="F1789" s="10" t="s">
        <v>193</v>
      </c>
      <c r="G1789" s="11">
        <v>2.93</v>
      </c>
      <c r="H1789" s="11">
        <v>0</v>
      </c>
      <c r="I1789" s="11">
        <f t="shared" si="60"/>
        <v>9759.2699999999986</v>
      </c>
      <c r="J1789" s="12"/>
    </row>
    <row r="1790" spans="3:10" x14ac:dyDescent="0.3">
      <c r="C1790" s="8"/>
      <c r="D1790" s="9">
        <v>45869</v>
      </c>
      <c r="E1790" t="s">
        <v>1232</v>
      </c>
      <c r="F1790" s="10" t="s">
        <v>431</v>
      </c>
      <c r="G1790" s="11">
        <v>5.78</v>
      </c>
      <c r="H1790" s="11">
        <v>0</v>
      </c>
      <c r="I1790" s="11">
        <f t="shared" si="60"/>
        <v>9765.0499999999993</v>
      </c>
      <c r="J1790" s="12"/>
    </row>
    <row r="1791" spans="3:10" x14ac:dyDescent="0.3">
      <c r="C1791" s="8"/>
      <c r="D1791" s="9">
        <v>45869</v>
      </c>
      <c r="E1791" t="s">
        <v>1320</v>
      </c>
      <c r="F1791" s="10" t="s">
        <v>1475</v>
      </c>
      <c r="G1791" s="11">
        <v>740.25</v>
      </c>
      <c r="H1791" s="11">
        <v>0</v>
      </c>
      <c r="I1791" s="11">
        <f t="shared" si="60"/>
        <v>10505.3</v>
      </c>
      <c r="J1791" s="12"/>
    </row>
    <row r="1792" spans="3:10" x14ac:dyDescent="0.3">
      <c r="C1792" s="8"/>
      <c r="D1792" s="9">
        <v>45869</v>
      </c>
      <c r="E1792" t="s">
        <v>1290</v>
      </c>
      <c r="F1792" s="10" t="s">
        <v>443</v>
      </c>
      <c r="G1792" s="11">
        <v>428.09</v>
      </c>
      <c r="H1792" s="11">
        <v>0</v>
      </c>
      <c r="I1792" s="11">
        <f t="shared" si="60"/>
        <v>10933.39</v>
      </c>
      <c r="J1792" s="12"/>
    </row>
    <row r="1793" spans="3:10" x14ac:dyDescent="0.3">
      <c r="C1793" s="8"/>
      <c r="D1793" s="9">
        <v>45869</v>
      </c>
      <c r="E1793" t="s">
        <v>1236</v>
      </c>
      <c r="F1793" s="10" t="s">
        <v>175</v>
      </c>
      <c r="G1793" s="11">
        <v>168.08</v>
      </c>
      <c r="H1793" s="11">
        <v>0</v>
      </c>
      <c r="I1793" s="11">
        <f t="shared" si="60"/>
        <v>11101.47</v>
      </c>
      <c r="J1793" s="12"/>
    </row>
    <row r="1794" spans="3:10" x14ac:dyDescent="0.3">
      <c r="C1794" s="8"/>
      <c r="D1794" s="9">
        <v>45869</v>
      </c>
      <c r="E1794" t="s">
        <v>1271</v>
      </c>
      <c r="F1794" s="10" t="s">
        <v>1476</v>
      </c>
      <c r="G1794" s="11">
        <v>11.62</v>
      </c>
      <c r="H1794" s="11">
        <v>0</v>
      </c>
      <c r="I1794" s="11">
        <f t="shared" ref="I1794:I1857" si="61">G1794-H1794+I1793</f>
        <v>11113.09</v>
      </c>
      <c r="J1794" s="12"/>
    </row>
    <row r="1795" spans="3:10" x14ac:dyDescent="0.3">
      <c r="C1795" s="8"/>
      <c r="D1795" s="9">
        <v>45869</v>
      </c>
      <c r="E1795" t="s">
        <v>1289</v>
      </c>
      <c r="F1795" s="10" t="s">
        <v>372</v>
      </c>
      <c r="G1795" s="11">
        <v>226.2</v>
      </c>
      <c r="H1795" s="11">
        <v>0</v>
      </c>
      <c r="I1795" s="11">
        <f t="shared" si="61"/>
        <v>11339.29</v>
      </c>
      <c r="J1795" s="12"/>
    </row>
    <row r="1796" spans="3:10" x14ac:dyDescent="0.3">
      <c r="C1796" s="8"/>
      <c r="D1796" s="9">
        <v>45869</v>
      </c>
      <c r="E1796" t="s">
        <v>1289</v>
      </c>
      <c r="F1796" s="10" t="s">
        <v>374</v>
      </c>
      <c r="G1796" s="11">
        <v>6.42</v>
      </c>
      <c r="H1796" s="11">
        <v>0</v>
      </c>
      <c r="I1796" s="11">
        <f t="shared" si="61"/>
        <v>11345.710000000001</v>
      </c>
      <c r="J1796" s="12"/>
    </row>
    <row r="1797" spans="3:10" x14ac:dyDescent="0.3">
      <c r="C1797" s="8"/>
      <c r="D1797" s="9">
        <v>45869</v>
      </c>
      <c r="E1797" t="s">
        <v>1230</v>
      </c>
      <c r="F1797" s="10" t="s">
        <v>51</v>
      </c>
      <c r="G1797" s="11">
        <v>41.82</v>
      </c>
      <c r="H1797" s="11">
        <v>0</v>
      </c>
      <c r="I1797" s="11">
        <f t="shared" si="61"/>
        <v>11387.53</v>
      </c>
      <c r="J1797" s="12"/>
    </row>
    <row r="1798" spans="3:10" x14ac:dyDescent="0.3">
      <c r="C1798" s="8"/>
      <c r="D1798" s="9">
        <v>45869</v>
      </c>
      <c r="E1798" t="s">
        <v>1277</v>
      </c>
      <c r="F1798" s="10" t="s">
        <v>1477</v>
      </c>
      <c r="G1798" s="11">
        <v>4.88</v>
      </c>
      <c r="H1798" s="11">
        <v>0</v>
      </c>
      <c r="I1798" s="11">
        <f t="shared" si="61"/>
        <v>11392.41</v>
      </c>
      <c r="J1798" s="12"/>
    </row>
    <row r="1799" spans="3:10" x14ac:dyDescent="0.3">
      <c r="C1799" s="8"/>
      <c r="D1799" s="9">
        <v>45869</v>
      </c>
      <c r="E1799" t="s">
        <v>1478</v>
      </c>
      <c r="F1799" s="10" t="s">
        <v>1479</v>
      </c>
      <c r="G1799" s="11">
        <v>3.47</v>
      </c>
      <c r="H1799" s="11">
        <v>0</v>
      </c>
      <c r="I1799" s="11">
        <f t="shared" si="61"/>
        <v>11395.88</v>
      </c>
      <c r="J1799" s="12"/>
    </row>
    <row r="1800" spans="3:10" x14ac:dyDescent="0.3">
      <c r="C1800" s="8"/>
      <c r="D1800" s="9">
        <v>45870</v>
      </c>
      <c r="E1800" t="s">
        <v>1206</v>
      </c>
      <c r="F1800" s="10" t="s">
        <v>482</v>
      </c>
      <c r="G1800" s="11">
        <v>560.91</v>
      </c>
      <c r="H1800" s="11">
        <v>0</v>
      </c>
      <c r="I1800" s="11">
        <f t="shared" si="61"/>
        <v>11956.789999999999</v>
      </c>
      <c r="J1800" s="12"/>
    </row>
    <row r="1801" spans="3:10" x14ac:dyDescent="0.3">
      <c r="C1801" s="8"/>
      <c r="D1801" s="9">
        <v>45870</v>
      </c>
      <c r="E1801" t="s">
        <v>1286</v>
      </c>
      <c r="F1801" s="10" t="s">
        <v>625</v>
      </c>
      <c r="G1801" s="11">
        <v>123.06</v>
      </c>
      <c r="H1801" s="11">
        <v>0</v>
      </c>
      <c r="I1801" s="11">
        <f t="shared" si="61"/>
        <v>12079.849999999999</v>
      </c>
      <c r="J1801" s="12"/>
    </row>
    <row r="1802" spans="3:10" x14ac:dyDescent="0.3">
      <c r="C1802" s="8"/>
      <c r="D1802" s="9">
        <v>45870</v>
      </c>
      <c r="E1802" t="s">
        <v>1209</v>
      </c>
      <c r="F1802" s="10" t="s">
        <v>608</v>
      </c>
      <c r="G1802" s="11">
        <v>13.02</v>
      </c>
      <c r="H1802" s="11">
        <v>0</v>
      </c>
      <c r="I1802" s="11">
        <f t="shared" si="61"/>
        <v>12092.869999999999</v>
      </c>
      <c r="J1802" s="12"/>
    </row>
    <row r="1803" spans="3:10" x14ac:dyDescent="0.3">
      <c r="C1803" s="8"/>
      <c r="D1803" s="9">
        <v>45870</v>
      </c>
      <c r="E1803" t="s">
        <v>1273</v>
      </c>
      <c r="F1803" s="10" t="s">
        <v>1480</v>
      </c>
      <c r="G1803" s="11">
        <v>40.14</v>
      </c>
      <c r="H1803" s="11">
        <v>0</v>
      </c>
      <c r="I1803" s="11">
        <f t="shared" si="61"/>
        <v>12133.009999999998</v>
      </c>
      <c r="J1803" s="12"/>
    </row>
    <row r="1804" spans="3:10" x14ac:dyDescent="0.3">
      <c r="C1804" s="8"/>
      <c r="D1804" s="9">
        <v>45870</v>
      </c>
      <c r="E1804" t="s">
        <v>1210</v>
      </c>
      <c r="F1804" s="10" t="s">
        <v>1481</v>
      </c>
      <c r="G1804" s="11">
        <v>1.89</v>
      </c>
      <c r="H1804" s="11">
        <v>0</v>
      </c>
      <c r="I1804" s="11">
        <f t="shared" si="61"/>
        <v>12134.899999999998</v>
      </c>
      <c r="J1804" s="12"/>
    </row>
    <row r="1805" spans="3:10" x14ac:dyDescent="0.3">
      <c r="C1805" s="8"/>
      <c r="D1805" s="9">
        <v>45870</v>
      </c>
      <c r="E1805" t="s">
        <v>1210</v>
      </c>
      <c r="F1805" s="10" t="s">
        <v>1482</v>
      </c>
      <c r="G1805" s="11">
        <v>21.33</v>
      </c>
      <c r="H1805" s="11">
        <v>0</v>
      </c>
      <c r="I1805" s="11">
        <f t="shared" si="61"/>
        <v>12156.229999999998</v>
      </c>
      <c r="J1805" s="12"/>
    </row>
    <row r="1806" spans="3:10" x14ac:dyDescent="0.3">
      <c r="C1806" s="8"/>
      <c r="D1806" s="9">
        <v>45872</v>
      </c>
      <c r="E1806" t="s">
        <v>1275</v>
      </c>
      <c r="F1806" s="10" t="s">
        <v>1483</v>
      </c>
      <c r="G1806" s="11">
        <v>2.09</v>
      </c>
      <c r="H1806" s="11">
        <v>0</v>
      </c>
      <c r="I1806" s="11">
        <f t="shared" si="61"/>
        <v>12158.319999999998</v>
      </c>
      <c r="J1806" s="12"/>
    </row>
    <row r="1807" spans="3:10" x14ac:dyDescent="0.3">
      <c r="C1807" s="8"/>
      <c r="D1807" s="9">
        <v>45874</v>
      </c>
      <c r="E1807" t="s">
        <v>1226</v>
      </c>
      <c r="F1807" s="10" t="s">
        <v>1484</v>
      </c>
      <c r="G1807" s="11">
        <v>13.36</v>
      </c>
      <c r="H1807" s="11">
        <v>0</v>
      </c>
      <c r="I1807" s="11">
        <f t="shared" si="61"/>
        <v>12171.679999999998</v>
      </c>
      <c r="J1807" s="12"/>
    </row>
    <row r="1808" spans="3:10" x14ac:dyDescent="0.3">
      <c r="C1808" s="8"/>
      <c r="D1808" s="9">
        <v>45875</v>
      </c>
      <c r="E1808" t="s">
        <v>1369</v>
      </c>
      <c r="F1808" s="10" t="s">
        <v>1485</v>
      </c>
      <c r="G1808" s="11">
        <v>77.010000000000005</v>
      </c>
      <c r="H1808" s="11">
        <v>0</v>
      </c>
      <c r="I1808" s="11">
        <f t="shared" si="61"/>
        <v>12248.689999999999</v>
      </c>
      <c r="J1808" s="12"/>
    </row>
    <row r="1809" spans="3:10" x14ac:dyDescent="0.3">
      <c r="C1809" s="8"/>
      <c r="D1809" s="9">
        <v>45875</v>
      </c>
      <c r="E1809" t="s">
        <v>1216</v>
      </c>
      <c r="F1809" s="10" t="s">
        <v>1486</v>
      </c>
      <c r="G1809" s="11">
        <v>19.27</v>
      </c>
      <c r="H1809" s="11">
        <v>0</v>
      </c>
      <c r="I1809" s="11">
        <f t="shared" si="61"/>
        <v>12267.96</v>
      </c>
      <c r="J1809" s="12"/>
    </row>
    <row r="1810" spans="3:10" x14ac:dyDescent="0.3">
      <c r="C1810" s="8"/>
      <c r="D1810" s="9">
        <v>45875</v>
      </c>
      <c r="E1810" t="s">
        <v>1361</v>
      </c>
      <c r="F1810" s="10" t="s">
        <v>532</v>
      </c>
      <c r="G1810" s="11">
        <v>49.35</v>
      </c>
      <c r="H1810" s="11">
        <v>0</v>
      </c>
      <c r="I1810" s="11">
        <f t="shared" si="61"/>
        <v>12317.31</v>
      </c>
      <c r="J1810" s="12"/>
    </row>
    <row r="1811" spans="3:10" x14ac:dyDescent="0.3">
      <c r="C1811" s="8"/>
      <c r="D1811" s="9">
        <v>45876</v>
      </c>
      <c r="E1811" t="s">
        <v>1301</v>
      </c>
      <c r="F1811" s="10" t="s">
        <v>412</v>
      </c>
      <c r="G1811" s="11">
        <v>469.93</v>
      </c>
      <c r="H1811" s="11">
        <v>0</v>
      </c>
      <c r="I1811" s="11">
        <f t="shared" si="61"/>
        <v>12787.24</v>
      </c>
      <c r="J1811" s="12"/>
    </row>
    <row r="1812" spans="3:10" x14ac:dyDescent="0.3">
      <c r="C1812" s="8"/>
      <c r="D1812" s="9">
        <v>45877</v>
      </c>
      <c r="E1812" t="s">
        <v>1251</v>
      </c>
      <c r="F1812" s="10" t="s">
        <v>274</v>
      </c>
      <c r="G1812" s="11">
        <v>28.99</v>
      </c>
      <c r="H1812" s="11">
        <v>0</v>
      </c>
      <c r="I1812" s="11">
        <f t="shared" si="61"/>
        <v>12816.23</v>
      </c>
      <c r="J1812" s="12"/>
    </row>
    <row r="1813" spans="3:10" x14ac:dyDescent="0.3">
      <c r="C1813" s="8"/>
      <c r="D1813" s="9">
        <v>45877</v>
      </c>
      <c r="E1813" t="s">
        <v>1264</v>
      </c>
      <c r="F1813" s="10" t="s">
        <v>349</v>
      </c>
      <c r="G1813" s="11">
        <v>12.7</v>
      </c>
      <c r="H1813" s="11">
        <v>0</v>
      </c>
      <c r="I1813" s="11">
        <f t="shared" si="61"/>
        <v>12828.93</v>
      </c>
      <c r="J1813" s="12"/>
    </row>
    <row r="1814" spans="3:10" x14ac:dyDescent="0.3">
      <c r="C1814" s="8"/>
      <c r="D1814" s="9">
        <v>45882</v>
      </c>
      <c r="E1814" t="s">
        <v>1242</v>
      </c>
      <c r="F1814" s="10" t="s">
        <v>99</v>
      </c>
      <c r="G1814" s="11">
        <v>733.41</v>
      </c>
      <c r="H1814" s="11">
        <v>0</v>
      </c>
      <c r="I1814" s="11">
        <f t="shared" si="61"/>
        <v>13562.34</v>
      </c>
      <c r="J1814" s="12"/>
    </row>
    <row r="1815" spans="3:10" x14ac:dyDescent="0.3">
      <c r="C1815" s="8"/>
      <c r="D1815" s="9">
        <v>45882</v>
      </c>
      <c r="E1815" t="s">
        <v>1212</v>
      </c>
      <c r="F1815" s="10" t="s">
        <v>221</v>
      </c>
      <c r="G1815" s="11">
        <v>15.05</v>
      </c>
      <c r="H1815" s="11">
        <v>0</v>
      </c>
      <c r="I1815" s="11">
        <f t="shared" si="61"/>
        <v>13577.39</v>
      </c>
      <c r="J1815" s="12"/>
    </row>
    <row r="1816" spans="3:10" x14ac:dyDescent="0.3">
      <c r="C1816" s="8"/>
      <c r="D1816" s="9">
        <v>45883</v>
      </c>
      <c r="E1816" t="s">
        <v>1309</v>
      </c>
      <c r="F1816" s="10" t="s">
        <v>195</v>
      </c>
      <c r="G1816" s="11">
        <v>8.6199999999999992</v>
      </c>
      <c r="H1816" s="11">
        <v>0</v>
      </c>
      <c r="I1816" s="11">
        <f t="shared" si="61"/>
        <v>13586.01</v>
      </c>
      <c r="J1816" s="12"/>
    </row>
    <row r="1817" spans="3:10" x14ac:dyDescent="0.3">
      <c r="C1817" s="8"/>
      <c r="D1817" s="9">
        <v>45883</v>
      </c>
      <c r="E1817" t="s">
        <v>1230</v>
      </c>
      <c r="F1817" s="10" t="s">
        <v>53</v>
      </c>
      <c r="G1817" s="11">
        <v>72.19</v>
      </c>
      <c r="H1817" s="11">
        <v>0</v>
      </c>
      <c r="I1817" s="11">
        <f t="shared" si="61"/>
        <v>13658.2</v>
      </c>
      <c r="J1817" s="12"/>
    </row>
    <row r="1818" spans="3:10" x14ac:dyDescent="0.3">
      <c r="C1818" s="8"/>
      <c r="D1818" s="9">
        <v>45884</v>
      </c>
      <c r="E1818" t="s">
        <v>1265</v>
      </c>
      <c r="F1818" s="10" t="s">
        <v>141</v>
      </c>
      <c r="G1818" s="11">
        <v>46.57</v>
      </c>
      <c r="H1818" s="11">
        <v>0</v>
      </c>
      <c r="I1818" s="11">
        <f t="shared" si="61"/>
        <v>13704.77</v>
      </c>
      <c r="J1818" s="12"/>
    </row>
    <row r="1819" spans="3:10" x14ac:dyDescent="0.3">
      <c r="C1819" s="8"/>
      <c r="D1819" s="9">
        <v>45884</v>
      </c>
      <c r="E1819" t="s">
        <v>1231</v>
      </c>
      <c r="F1819" s="10" t="s">
        <v>578</v>
      </c>
      <c r="G1819" s="11">
        <v>90.3</v>
      </c>
      <c r="H1819" s="11">
        <v>0</v>
      </c>
      <c r="I1819" s="11">
        <f t="shared" si="61"/>
        <v>13795.07</v>
      </c>
      <c r="J1819" s="12"/>
    </row>
    <row r="1820" spans="3:10" x14ac:dyDescent="0.3">
      <c r="C1820" s="8"/>
      <c r="D1820" s="9">
        <v>45885</v>
      </c>
      <c r="E1820" t="s">
        <v>1238</v>
      </c>
      <c r="F1820" s="10" t="s">
        <v>1487</v>
      </c>
      <c r="G1820" s="11">
        <v>2.91</v>
      </c>
      <c r="H1820" s="11">
        <v>0</v>
      </c>
      <c r="I1820" s="11">
        <f t="shared" si="61"/>
        <v>13797.98</v>
      </c>
      <c r="J1820" s="12"/>
    </row>
    <row r="1821" spans="3:10" x14ac:dyDescent="0.3">
      <c r="C1821" s="8"/>
      <c r="D1821" s="9">
        <v>45887</v>
      </c>
      <c r="E1821" t="s">
        <v>1287</v>
      </c>
      <c r="F1821" s="10" t="s">
        <v>108</v>
      </c>
      <c r="G1821" s="11">
        <v>21.73</v>
      </c>
      <c r="H1821" s="11">
        <v>0</v>
      </c>
      <c r="I1821" s="11">
        <f t="shared" si="61"/>
        <v>13819.71</v>
      </c>
      <c r="J1821" s="12"/>
    </row>
    <row r="1822" spans="3:10" x14ac:dyDescent="0.3">
      <c r="C1822" s="8"/>
      <c r="D1822" s="9">
        <v>45887</v>
      </c>
      <c r="E1822" t="s">
        <v>1236</v>
      </c>
      <c r="F1822" s="10" t="s">
        <v>177</v>
      </c>
      <c r="G1822" s="11">
        <v>135.52000000000001</v>
      </c>
      <c r="H1822" s="11">
        <v>0</v>
      </c>
      <c r="I1822" s="11">
        <f t="shared" si="61"/>
        <v>13955.23</v>
      </c>
      <c r="J1822" s="12"/>
    </row>
    <row r="1823" spans="3:10" x14ac:dyDescent="0.3">
      <c r="C1823" s="8"/>
      <c r="D1823" s="9">
        <v>45889</v>
      </c>
      <c r="E1823" t="s">
        <v>1216</v>
      </c>
      <c r="F1823" s="10" t="s">
        <v>1488</v>
      </c>
      <c r="G1823" s="11">
        <v>8.09</v>
      </c>
      <c r="H1823" s="11">
        <v>0</v>
      </c>
      <c r="I1823" s="11">
        <f t="shared" si="61"/>
        <v>13963.32</v>
      </c>
      <c r="J1823" s="12"/>
    </row>
    <row r="1824" spans="3:10" x14ac:dyDescent="0.3">
      <c r="C1824" s="8"/>
      <c r="D1824" s="9">
        <v>45889</v>
      </c>
      <c r="E1824" t="s">
        <v>1216</v>
      </c>
      <c r="F1824" s="10" t="s">
        <v>1489</v>
      </c>
      <c r="G1824" s="11">
        <v>3.59</v>
      </c>
      <c r="H1824" s="11">
        <v>0</v>
      </c>
      <c r="I1824" s="11">
        <f t="shared" si="61"/>
        <v>13966.91</v>
      </c>
      <c r="J1824" s="12"/>
    </row>
    <row r="1825" spans="3:10" x14ac:dyDescent="0.3">
      <c r="C1825" s="8"/>
      <c r="D1825" s="9">
        <v>45889</v>
      </c>
      <c r="E1825" t="s">
        <v>1246</v>
      </c>
      <c r="F1825" s="10" t="s">
        <v>559</v>
      </c>
      <c r="G1825" s="11">
        <v>35.659999999999997</v>
      </c>
      <c r="H1825" s="11">
        <v>0</v>
      </c>
      <c r="I1825" s="11">
        <f t="shared" si="61"/>
        <v>14002.57</v>
      </c>
      <c r="J1825" s="12"/>
    </row>
    <row r="1826" spans="3:10" x14ac:dyDescent="0.3">
      <c r="C1826" s="8"/>
      <c r="D1826" s="9">
        <v>45897</v>
      </c>
      <c r="E1826" t="s">
        <v>1338</v>
      </c>
      <c r="F1826" s="10" t="s">
        <v>1490</v>
      </c>
      <c r="G1826" s="11">
        <v>58.33</v>
      </c>
      <c r="H1826" s="11">
        <v>0</v>
      </c>
      <c r="I1826" s="11">
        <f t="shared" si="61"/>
        <v>14060.9</v>
      </c>
      <c r="J1826" s="12"/>
    </row>
    <row r="1827" spans="3:10" x14ac:dyDescent="0.3">
      <c r="C1827" s="8"/>
      <c r="D1827" s="9">
        <v>45898</v>
      </c>
      <c r="E1827" t="s">
        <v>1236</v>
      </c>
      <c r="F1827" s="10" t="s">
        <v>179</v>
      </c>
      <c r="G1827" s="11">
        <v>21.85</v>
      </c>
      <c r="H1827" s="11">
        <v>0</v>
      </c>
      <c r="I1827" s="11">
        <f t="shared" si="61"/>
        <v>14082.75</v>
      </c>
      <c r="J1827" s="12"/>
    </row>
    <row r="1828" spans="3:10" x14ac:dyDescent="0.3">
      <c r="C1828" s="8"/>
      <c r="D1828" s="9">
        <v>45898</v>
      </c>
      <c r="E1828" t="s">
        <v>1289</v>
      </c>
      <c r="F1828" s="10" t="s">
        <v>376</v>
      </c>
      <c r="G1828" s="11">
        <v>19.11</v>
      </c>
      <c r="H1828" s="11">
        <v>0</v>
      </c>
      <c r="I1828" s="11">
        <f t="shared" si="61"/>
        <v>14101.86</v>
      </c>
      <c r="J1828" s="12"/>
    </row>
    <row r="1829" spans="3:10" x14ac:dyDescent="0.3">
      <c r="C1829" s="8"/>
      <c r="D1829" s="9">
        <v>45899</v>
      </c>
      <c r="E1829" t="s">
        <v>1265</v>
      </c>
      <c r="F1829" s="10" t="s">
        <v>143</v>
      </c>
      <c r="G1829" s="11">
        <v>238.67</v>
      </c>
      <c r="H1829" s="11">
        <v>0</v>
      </c>
      <c r="I1829" s="11">
        <f t="shared" si="61"/>
        <v>14340.53</v>
      </c>
      <c r="J1829" s="12"/>
    </row>
    <row r="1830" spans="3:10" x14ac:dyDescent="0.3">
      <c r="C1830" s="8"/>
      <c r="D1830" s="9">
        <v>45900</v>
      </c>
      <c r="E1830" t="s">
        <v>1260</v>
      </c>
      <c r="F1830" s="10" t="s">
        <v>1387</v>
      </c>
      <c r="G1830" s="11">
        <v>165.9</v>
      </c>
      <c r="H1830" s="11">
        <v>0</v>
      </c>
      <c r="I1830" s="11">
        <f t="shared" si="61"/>
        <v>14506.43</v>
      </c>
      <c r="J1830" s="12"/>
    </row>
    <row r="1831" spans="3:10" x14ac:dyDescent="0.3">
      <c r="C1831" s="8"/>
      <c r="D1831" s="9">
        <v>45900</v>
      </c>
      <c r="E1831" t="s">
        <v>1232</v>
      </c>
      <c r="F1831" s="10" t="s">
        <v>433</v>
      </c>
      <c r="G1831" s="11">
        <v>6.05</v>
      </c>
      <c r="H1831" s="11">
        <v>0</v>
      </c>
      <c r="I1831" s="11">
        <f t="shared" si="61"/>
        <v>14512.48</v>
      </c>
      <c r="J1831" s="12"/>
    </row>
    <row r="1832" spans="3:10" x14ac:dyDescent="0.3">
      <c r="C1832" s="8"/>
      <c r="D1832" s="9">
        <v>45900</v>
      </c>
      <c r="E1832" t="s">
        <v>1320</v>
      </c>
      <c r="F1832" s="10" t="s">
        <v>1491</v>
      </c>
      <c r="G1832" s="11">
        <v>536.54999999999995</v>
      </c>
      <c r="H1832" s="11">
        <v>0</v>
      </c>
      <c r="I1832" s="11">
        <f t="shared" si="61"/>
        <v>15049.029999999999</v>
      </c>
      <c r="J1832" s="12"/>
    </row>
    <row r="1833" spans="3:10" x14ac:dyDescent="0.3">
      <c r="C1833" s="8"/>
      <c r="D1833" s="9">
        <v>45900</v>
      </c>
      <c r="E1833" t="s">
        <v>1277</v>
      </c>
      <c r="F1833" s="10" t="s">
        <v>1492</v>
      </c>
      <c r="G1833" s="11">
        <v>4.3899999999999997</v>
      </c>
      <c r="H1833" s="11">
        <v>0</v>
      </c>
      <c r="I1833" s="11">
        <f t="shared" si="61"/>
        <v>15053.419999999998</v>
      </c>
      <c r="J1833" s="12"/>
    </row>
    <row r="1834" spans="3:10" x14ac:dyDescent="0.3">
      <c r="C1834" s="8"/>
      <c r="D1834" s="9">
        <v>45901</v>
      </c>
      <c r="E1834" t="s">
        <v>1206</v>
      </c>
      <c r="F1834" s="10" t="s">
        <v>484</v>
      </c>
      <c r="G1834" s="11">
        <v>560.91</v>
      </c>
      <c r="H1834" s="11">
        <v>0</v>
      </c>
      <c r="I1834" s="11">
        <f t="shared" si="61"/>
        <v>15614.329999999998</v>
      </c>
      <c r="J1834" s="12"/>
    </row>
    <row r="1835" spans="3:10" x14ac:dyDescent="0.3">
      <c r="C1835" s="8"/>
      <c r="D1835" s="9">
        <v>45901</v>
      </c>
      <c r="E1835" t="s">
        <v>1209</v>
      </c>
      <c r="F1835" s="10" t="s">
        <v>610</v>
      </c>
      <c r="G1835" s="11">
        <v>13.02</v>
      </c>
      <c r="H1835" s="11">
        <v>0</v>
      </c>
      <c r="I1835" s="11">
        <f t="shared" si="61"/>
        <v>15627.349999999999</v>
      </c>
      <c r="J1835" s="12"/>
    </row>
    <row r="1836" spans="3:10" x14ac:dyDescent="0.3">
      <c r="C1836" s="8"/>
      <c r="D1836" s="9">
        <v>45901</v>
      </c>
      <c r="E1836" t="s">
        <v>1338</v>
      </c>
      <c r="F1836" s="10" t="s">
        <v>1493</v>
      </c>
      <c r="G1836" s="11">
        <v>16.47</v>
      </c>
      <c r="H1836" s="11">
        <v>0</v>
      </c>
      <c r="I1836" s="11">
        <f t="shared" si="61"/>
        <v>15643.819999999998</v>
      </c>
      <c r="J1836" s="12"/>
    </row>
    <row r="1837" spans="3:10" x14ac:dyDescent="0.3">
      <c r="C1837" s="8"/>
      <c r="D1837" s="9">
        <v>45901</v>
      </c>
      <c r="E1837" t="s">
        <v>1210</v>
      </c>
      <c r="F1837" s="10" t="s">
        <v>1494</v>
      </c>
      <c r="G1837" s="11">
        <v>7.56</v>
      </c>
      <c r="H1837" s="11">
        <v>0</v>
      </c>
      <c r="I1837" s="11">
        <f t="shared" si="61"/>
        <v>15651.379999999997</v>
      </c>
      <c r="J1837" s="12"/>
    </row>
    <row r="1838" spans="3:10" x14ac:dyDescent="0.3">
      <c r="C1838" s="8"/>
      <c r="D1838" s="9">
        <v>45902</v>
      </c>
      <c r="E1838" t="s">
        <v>1242</v>
      </c>
      <c r="F1838" s="10" t="s">
        <v>101</v>
      </c>
      <c r="G1838" s="11">
        <v>356.94</v>
      </c>
      <c r="H1838" s="11">
        <v>0</v>
      </c>
      <c r="I1838" s="11">
        <f t="shared" si="61"/>
        <v>16008.319999999998</v>
      </c>
      <c r="J1838" s="12"/>
    </row>
    <row r="1839" spans="3:10" x14ac:dyDescent="0.3">
      <c r="C1839" s="8"/>
      <c r="D1839" s="9">
        <v>45902</v>
      </c>
      <c r="E1839" t="s">
        <v>1240</v>
      </c>
      <c r="F1839" s="10" t="s">
        <v>297</v>
      </c>
      <c r="G1839" s="11">
        <v>243.6</v>
      </c>
      <c r="H1839" s="11">
        <v>0</v>
      </c>
      <c r="I1839" s="11">
        <f t="shared" si="61"/>
        <v>16251.919999999998</v>
      </c>
      <c r="J1839" s="12"/>
    </row>
    <row r="1840" spans="3:10" x14ac:dyDescent="0.3">
      <c r="C1840" s="8"/>
      <c r="D1840" s="9">
        <v>45902</v>
      </c>
      <c r="E1840" t="s">
        <v>1473</v>
      </c>
      <c r="F1840" s="10" t="s">
        <v>539</v>
      </c>
      <c r="G1840" s="11">
        <v>151.03</v>
      </c>
      <c r="H1840" s="11">
        <v>0</v>
      </c>
      <c r="I1840" s="11">
        <f t="shared" si="61"/>
        <v>16402.949999999997</v>
      </c>
      <c r="J1840" s="12"/>
    </row>
    <row r="1841" spans="1:10" x14ac:dyDescent="0.3">
      <c r="C1841" s="8"/>
      <c r="D1841" s="9">
        <v>45904</v>
      </c>
      <c r="E1841" t="s">
        <v>1251</v>
      </c>
      <c r="F1841" s="10" t="s">
        <v>276</v>
      </c>
      <c r="G1841" s="11">
        <v>310.88</v>
      </c>
      <c r="H1841" s="11">
        <v>0</v>
      </c>
      <c r="I1841" s="11">
        <f t="shared" si="61"/>
        <v>16713.829999999998</v>
      </c>
      <c r="J1841" s="12"/>
    </row>
    <row r="1842" spans="1:10" x14ac:dyDescent="0.3">
      <c r="C1842" s="8"/>
      <c r="D1842" s="9">
        <v>45904</v>
      </c>
      <c r="E1842" t="s">
        <v>1226</v>
      </c>
      <c r="F1842" s="10" t="s">
        <v>1495</v>
      </c>
      <c r="G1842" s="11">
        <v>13.36</v>
      </c>
      <c r="H1842" s="11">
        <v>0</v>
      </c>
      <c r="I1842" s="11">
        <f t="shared" si="61"/>
        <v>16727.189999999999</v>
      </c>
      <c r="J1842" s="12"/>
    </row>
    <row r="1843" spans="1:10" x14ac:dyDescent="0.3">
      <c r="C1843" s="8"/>
      <c r="D1843" s="9">
        <v>45908</v>
      </c>
      <c r="E1843" t="s">
        <v>1369</v>
      </c>
      <c r="F1843" s="10" t="s">
        <v>1496</v>
      </c>
      <c r="G1843" s="11">
        <v>44.74</v>
      </c>
      <c r="H1843" s="11">
        <v>0</v>
      </c>
      <c r="I1843" s="11">
        <f t="shared" si="61"/>
        <v>16771.93</v>
      </c>
      <c r="J1843" s="12"/>
    </row>
    <row r="1844" spans="1:10" x14ac:dyDescent="0.3">
      <c r="C1844" s="8"/>
      <c r="D1844" s="9">
        <v>45915</v>
      </c>
      <c r="E1844" t="s">
        <v>1231</v>
      </c>
      <c r="F1844" s="10" t="s">
        <v>580</v>
      </c>
      <c r="G1844" s="11">
        <v>90.3</v>
      </c>
      <c r="H1844" s="11">
        <v>0</v>
      </c>
      <c r="I1844" s="11">
        <f t="shared" si="61"/>
        <v>16862.23</v>
      </c>
      <c r="J1844" s="12"/>
    </row>
    <row r="1845" spans="1:10" x14ac:dyDescent="0.3">
      <c r="E1845" s="4" t="s">
        <v>20</v>
      </c>
      <c r="G1845" s="11">
        <f>SUM(G1345:G1844)</f>
        <v>51609.379999999983</v>
      </c>
      <c r="H1845" s="11">
        <f>SUM(H1345:H1844)</f>
        <v>34747.149999999994</v>
      </c>
      <c r="I1845" s="11">
        <f>G1845-H1845</f>
        <v>16862.229999999989</v>
      </c>
    </row>
    <row r="1847" spans="1:10" x14ac:dyDescent="0.3">
      <c r="A1847" s="5">
        <v>4730000</v>
      </c>
      <c r="B1847" s="6" t="s">
        <v>1497</v>
      </c>
      <c r="C1847" s="7"/>
      <c r="D1847" s="7"/>
      <c r="E1847" s="7"/>
      <c r="F1847" s="7"/>
      <c r="G1847" s="7"/>
      <c r="H1847" s="7"/>
      <c r="I1847" s="7"/>
      <c r="J1847" s="7"/>
    </row>
    <row r="1848" spans="1:10" x14ac:dyDescent="0.3">
      <c r="C1848" s="8"/>
      <c r="D1848" s="9">
        <v>45769</v>
      </c>
      <c r="E1848" t="s">
        <v>1498</v>
      </c>
      <c r="F1848" s="10" t="s">
        <v>17</v>
      </c>
      <c r="G1848" s="11">
        <v>408.99</v>
      </c>
      <c r="H1848" s="11">
        <v>0</v>
      </c>
      <c r="I1848" s="11">
        <f>G1848-H1848</f>
        <v>408.99</v>
      </c>
      <c r="J1848" s="12">
        <v>5720001</v>
      </c>
    </row>
    <row r="1849" spans="1:10" x14ac:dyDescent="0.3">
      <c r="E1849" s="4" t="s">
        <v>20</v>
      </c>
      <c r="G1849" s="11">
        <f>G1848</f>
        <v>408.99</v>
      </c>
      <c r="H1849" s="11">
        <f>H1848</f>
        <v>0</v>
      </c>
      <c r="I1849" s="11">
        <f>G1849-H1849</f>
        <v>408.99</v>
      </c>
    </row>
    <row r="1851" spans="1:10" x14ac:dyDescent="0.3">
      <c r="A1851" s="5">
        <v>4750001</v>
      </c>
      <c r="B1851" s="6" t="s">
        <v>1499</v>
      </c>
      <c r="C1851" s="7"/>
      <c r="D1851" s="7"/>
      <c r="E1851" s="7"/>
      <c r="F1851" s="7"/>
      <c r="G1851" s="7"/>
      <c r="H1851" s="7"/>
      <c r="I1851" s="7"/>
      <c r="J1851" s="7"/>
    </row>
    <row r="1852" spans="1:10" x14ac:dyDescent="0.3">
      <c r="E1852" s="4" t="s">
        <v>22</v>
      </c>
      <c r="G1852" s="11">
        <v>0</v>
      </c>
      <c r="H1852" s="11">
        <v>9296.92</v>
      </c>
      <c r="I1852" s="11">
        <f>G1852-H1852</f>
        <v>-9296.92</v>
      </c>
    </row>
    <row r="1853" spans="1:10" x14ac:dyDescent="0.3">
      <c r="C1853" s="8" t="s">
        <v>11</v>
      </c>
      <c r="D1853" s="9">
        <v>45677</v>
      </c>
      <c r="E1853" t="s">
        <v>1498</v>
      </c>
      <c r="F1853" s="10" t="s">
        <v>17</v>
      </c>
      <c r="G1853" s="11">
        <v>4648.45</v>
      </c>
      <c r="H1853" s="11">
        <v>0</v>
      </c>
      <c r="I1853" s="11">
        <f t="shared" ref="I1853:I1859" si="62">G1853-H1853+I1852</f>
        <v>-4648.47</v>
      </c>
      <c r="J1853" s="12"/>
    </row>
    <row r="1854" spans="1:10" x14ac:dyDescent="0.3">
      <c r="C1854" s="8" t="s">
        <v>11</v>
      </c>
      <c r="D1854" s="9">
        <v>45708</v>
      </c>
      <c r="E1854" t="s">
        <v>1498</v>
      </c>
      <c r="F1854" s="10" t="s">
        <v>17</v>
      </c>
      <c r="G1854" s="11">
        <v>4648.47</v>
      </c>
      <c r="H1854" s="11">
        <v>0</v>
      </c>
      <c r="I1854" s="11">
        <f t="shared" si="62"/>
        <v>0</v>
      </c>
      <c r="J1854" s="12"/>
    </row>
    <row r="1855" spans="1:10" x14ac:dyDescent="0.3">
      <c r="C1855" s="8"/>
      <c r="D1855" s="9">
        <v>45769</v>
      </c>
      <c r="E1855" t="s">
        <v>1500</v>
      </c>
      <c r="F1855" s="10" t="s">
        <v>17</v>
      </c>
      <c r="G1855" s="11">
        <v>0</v>
      </c>
      <c r="H1855" s="11">
        <v>17186.189999999999</v>
      </c>
      <c r="I1855" s="11">
        <f t="shared" si="62"/>
        <v>-17186.189999999999</v>
      </c>
      <c r="J1855" s="12">
        <v>4750000</v>
      </c>
    </row>
    <row r="1856" spans="1:10" x14ac:dyDescent="0.3">
      <c r="C1856" s="8"/>
      <c r="D1856" s="9">
        <v>45828</v>
      </c>
      <c r="E1856" t="s">
        <v>1498</v>
      </c>
      <c r="F1856" s="10" t="s">
        <v>17</v>
      </c>
      <c r="G1856" s="11">
        <v>5728.73</v>
      </c>
      <c r="H1856" s="11">
        <v>0</v>
      </c>
      <c r="I1856" s="11">
        <f t="shared" si="62"/>
        <v>-11457.46</v>
      </c>
      <c r="J1856" s="12"/>
    </row>
    <row r="1857" spans="1:10" x14ac:dyDescent="0.3">
      <c r="C1857" s="8"/>
      <c r="D1857" s="9">
        <v>45859</v>
      </c>
      <c r="E1857" t="s">
        <v>1498</v>
      </c>
      <c r="F1857" s="10" t="s">
        <v>17</v>
      </c>
      <c r="G1857" s="11">
        <v>5728.73</v>
      </c>
      <c r="H1857" s="11">
        <v>0</v>
      </c>
      <c r="I1857" s="11">
        <f t="shared" si="62"/>
        <v>-5728.73</v>
      </c>
      <c r="J1857" s="12"/>
    </row>
    <row r="1858" spans="1:10" x14ac:dyDescent="0.3">
      <c r="C1858" s="8"/>
      <c r="D1858" s="9">
        <v>45859</v>
      </c>
      <c r="E1858" t="s">
        <v>1501</v>
      </c>
      <c r="F1858" s="10" t="s">
        <v>17</v>
      </c>
      <c r="G1858" s="11">
        <v>0</v>
      </c>
      <c r="H1858" s="11">
        <v>12315.22</v>
      </c>
      <c r="I1858" s="11">
        <f t="shared" si="62"/>
        <v>-18043.949999999997</v>
      </c>
      <c r="J1858" s="12">
        <v>4750000</v>
      </c>
    </row>
    <row r="1859" spans="1:10" x14ac:dyDescent="0.3">
      <c r="C1859" s="8"/>
      <c r="D1859" s="9">
        <v>45889</v>
      </c>
      <c r="E1859" t="s">
        <v>1498</v>
      </c>
      <c r="F1859" s="10" t="s">
        <v>17</v>
      </c>
      <c r="G1859" s="11">
        <v>5728.73</v>
      </c>
      <c r="H1859" s="11">
        <v>0</v>
      </c>
      <c r="I1859" s="11">
        <f t="shared" si="62"/>
        <v>-12315.219999999998</v>
      </c>
      <c r="J1859" s="12"/>
    </row>
    <row r="1860" spans="1:10" x14ac:dyDescent="0.3">
      <c r="E1860" s="4" t="s">
        <v>20</v>
      </c>
      <c r="G1860" s="11">
        <f>SUM(G1852:G1859)</f>
        <v>26483.109999999997</v>
      </c>
      <c r="H1860" s="11">
        <f>SUM(H1852:H1859)</f>
        <v>38798.33</v>
      </c>
      <c r="I1860" s="11">
        <f>G1860-H1860</f>
        <v>-12315.220000000005</v>
      </c>
    </row>
    <row r="1862" spans="1:10" x14ac:dyDescent="0.3">
      <c r="A1862" s="5">
        <v>4751000</v>
      </c>
      <c r="B1862" s="6" t="s">
        <v>1502</v>
      </c>
      <c r="C1862" s="7"/>
      <c r="D1862" s="7"/>
      <c r="E1862" s="7"/>
      <c r="F1862" s="7"/>
      <c r="G1862" s="7"/>
      <c r="H1862" s="7"/>
      <c r="I1862" s="7"/>
      <c r="J1862" s="7"/>
    </row>
    <row r="1863" spans="1:10" x14ac:dyDescent="0.3">
      <c r="E1863" s="4" t="s">
        <v>22</v>
      </c>
      <c r="G1863" s="11">
        <v>0</v>
      </c>
      <c r="H1863" s="11">
        <v>9243.2099999999991</v>
      </c>
      <c r="I1863" s="11">
        <f>G1863-H1863</f>
        <v>-9243.2099999999991</v>
      </c>
    </row>
    <row r="1864" spans="1:10" x14ac:dyDescent="0.3">
      <c r="C1864" s="8" t="s">
        <v>11</v>
      </c>
      <c r="D1864" s="9">
        <v>45658</v>
      </c>
      <c r="E1864" t="s">
        <v>1503</v>
      </c>
      <c r="F1864" s="10" t="s">
        <v>468</v>
      </c>
      <c r="G1864" s="11">
        <v>0</v>
      </c>
      <c r="H1864" s="11">
        <v>507.49</v>
      </c>
      <c r="I1864" s="11">
        <f t="shared" ref="I1864:I1910" si="63">G1864-H1864+I1863</f>
        <v>-9750.6999999999989</v>
      </c>
      <c r="J1864" s="12"/>
    </row>
    <row r="1865" spans="1:10" x14ac:dyDescent="0.3">
      <c r="C1865" s="8" t="s">
        <v>11</v>
      </c>
      <c r="D1865" s="9">
        <v>45677</v>
      </c>
      <c r="E1865" t="s">
        <v>1498</v>
      </c>
      <c r="F1865" s="10" t="s">
        <v>17</v>
      </c>
      <c r="G1865" s="11">
        <v>7720.74</v>
      </c>
      <c r="H1865" s="11">
        <v>0</v>
      </c>
      <c r="I1865" s="11">
        <f t="shared" si="63"/>
        <v>-2029.9599999999991</v>
      </c>
      <c r="J1865" s="12">
        <v>5720001</v>
      </c>
    </row>
    <row r="1866" spans="1:10" x14ac:dyDescent="0.3">
      <c r="C1866" s="8" t="s">
        <v>11</v>
      </c>
      <c r="D1866" s="9">
        <v>45677</v>
      </c>
      <c r="E1866" t="s">
        <v>1498</v>
      </c>
      <c r="F1866" s="10" t="s">
        <v>17</v>
      </c>
      <c r="G1866" s="11">
        <v>1522.47</v>
      </c>
      <c r="H1866" s="11">
        <v>0</v>
      </c>
      <c r="I1866" s="11">
        <f t="shared" si="63"/>
        <v>-507.4899999999991</v>
      </c>
      <c r="J1866" s="12">
        <v>5720001</v>
      </c>
    </row>
    <row r="1867" spans="1:10" x14ac:dyDescent="0.3">
      <c r="C1867" s="8" t="s">
        <v>11</v>
      </c>
      <c r="D1867" s="9">
        <v>45688</v>
      </c>
      <c r="E1867" t="s">
        <v>1504</v>
      </c>
      <c r="F1867" s="10" t="s">
        <v>17</v>
      </c>
      <c r="G1867" s="11">
        <v>0</v>
      </c>
      <c r="H1867" s="11">
        <v>2253.33</v>
      </c>
      <c r="I1867" s="11">
        <f t="shared" si="63"/>
        <v>-2760.8199999999988</v>
      </c>
      <c r="J1867" s="12"/>
    </row>
    <row r="1868" spans="1:10" x14ac:dyDescent="0.3">
      <c r="C1868" s="8" t="s">
        <v>11</v>
      </c>
      <c r="D1868" s="9">
        <v>45688</v>
      </c>
      <c r="E1868" t="s">
        <v>1505</v>
      </c>
      <c r="F1868" s="10" t="s">
        <v>1261</v>
      </c>
      <c r="G1868" s="11">
        <v>0</v>
      </c>
      <c r="H1868" s="11">
        <v>8.48</v>
      </c>
      <c r="I1868" s="11">
        <f t="shared" si="63"/>
        <v>-2769.2999999999988</v>
      </c>
      <c r="J1868" s="12"/>
    </row>
    <row r="1869" spans="1:10" x14ac:dyDescent="0.3">
      <c r="C1869" s="8" t="s">
        <v>11</v>
      </c>
      <c r="D1869" s="9">
        <v>45688</v>
      </c>
      <c r="E1869" t="s">
        <v>1506</v>
      </c>
      <c r="F1869" s="10" t="s">
        <v>1270</v>
      </c>
      <c r="G1869" s="11">
        <v>0</v>
      </c>
      <c r="H1869" s="11">
        <v>23.1</v>
      </c>
      <c r="I1869" s="11">
        <f t="shared" si="63"/>
        <v>-2792.3999999999987</v>
      </c>
      <c r="J1869" s="12"/>
    </row>
    <row r="1870" spans="1:10" x14ac:dyDescent="0.3">
      <c r="C1870" s="8" t="s">
        <v>11</v>
      </c>
      <c r="D1870" s="9">
        <v>45689</v>
      </c>
      <c r="E1870" t="s">
        <v>1503</v>
      </c>
      <c r="F1870" s="10" t="s">
        <v>470</v>
      </c>
      <c r="G1870" s="11">
        <v>0</v>
      </c>
      <c r="H1870" s="11">
        <v>507.49</v>
      </c>
      <c r="I1870" s="11">
        <f t="shared" si="63"/>
        <v>-3299.8899999999985</v>
      </c>
      <c r="J1870" s="12"/>
    </row>
    <row r="1871" spans="1:10" x14ac:dyDescent="0.3">
      <c r="C1871" s="8" t="s">
        <v>11</v>
      </c>
      <c r="D1871" s="9">
        <v>45716</v>
      </c>
      <c r="E1871" t="s">
        <v>1504</v>
      </c>
      <c r="F1871" s="10" t="s">
        <v>17</v>
      </c>
      <c r="G1871" s="11">
        <v>0</v>
      </c>
      <c r="H1871" s="11">
        <v>2254.0300000000002</v>
      </c>
      <c r="I1871" s="11">
        <f t="shared" si="63"/>
        <v>-5553.9199999999983</v>
      </c>
      <c r="J1871" s="12"/>
    </row>
    <row r="1872" spans="1:10" x14ac:dyDescent="0.3">
      <c r="C1872" s="8" t="s">
        <v>11</v>
      </c>
      <c r="D1872" s="9">
        <v>45716</v>
      </c>
      <c r="E1872" t="s">
        <v>1505</v>
      </c>
      <c r="F1872" s="10" t="s">
        <v>1319</v>
      </c>
      <c r="G1872" s="11">
        <v>0</v>
      </c>
      <c r="H1872" s="11">
        <v>7.44</v>
      </c>
      <c r="I1872" s="11">
        <f t="shared" si="63"/>
        <v>-5561.3599999999979</v>
      </c>
      <c r="J1872" s="12"/>
    </row>
    <row r="1873" spans="3:10" x14ac:dyDescent="0.3">
      <c r="C1873" s="8" t="s">
        <v>11</v>
      </c>
      <c r="D1873" s="9">
        <v>45716</v>
      </c>
      <c r="E1873" t="s">
        <v>1507</v>
      </c>
      <c r="F1873" s="10" t="s">
        <v>1321</v>
      </c>
      <c r="G1873" s="11">
        <v>0</v>
      </c>
      <c r="H1873" s="11">
        <v>21.87</v>
      </c>
      <c r="I1873" s="11">
        <f t="shared" si="63"/>
        <v>-5583.2299999999977</v>
      </c>
      <c r="J1873" s="12"/>
    </row>
    <row r="1874" spans="3:10" x14ac:dyDescent="0.3">
      <c r="C1874" s="8" t="s">
        <v>11</v>
      </c>
      <c r="D1874" s="9">
        <v>45717</v>
      </c>
      <c r="E1874" t="s">
        <v>1503</v>
      </c>
      <c r="F1874" s="10" t="s">
        <v>472</v>
      </c>
      <c r="G1874" s="11">
        <v>0</v>
      </c>
      <c r="H1874" s="11">
        <v>507.49</v>
      </c>
      <c r="I1874" s="11">
        <f t="shared" si="63"/>
        <v>-6090.7199999999975</v>
      </c>
      <c r="J1874" s="12"/>
    </row>
    <row r="1875" spans="3:10" x14ac:dyDescent="0.3">
      <c r="C1875" s="8" t="s">
        <v>11</v>
      </c>
      <c r="D1875" s="9">
        <v>45747</v>
      </c>
      <c r="E1875" t="s">
        <v>1504</v>
      </c>
      <c r="F1875" s="10" t="s">
        <v>17</v>
      </c>
      <c r="G1875" s="11">
        <v>0</v>
      </c>
      <c r="H1875" s="11">
        <v>2301.2600000000002</v>
      </c>
      <c r="I1875" s="11">
        <f t="shared" si="63"/>
        <v>-8391.9799999999977</v>
      </c>
      <c r="J1875" s="12"/>
    </row>
    <row r="1876" spans="3:10" x14ac:dyDescent="0.3">
      <c r="C1876" s="8" t="s">
        <v>11</v>
      </c>
      <c r="D1876" s="9">
        <v>45747</v>
      </c>
      <c r="E1876" t="s">
        <v>1505</v>
      </c>
      <c r="F1876" s="10" t="s">
        <v>1348</v>
      </c>
      <c r="G1876" s="11">
        <v>0</v>
      </c>
      <c r="H1876" s="11">
        <v>7.9</v>
      </c>
      <c r="I1876" s="11">
        <f t="shared" si="63"/>
        <v>-8399.8799999999974</v>
      </c>
      <c r="J1876" s="12"/>
    </row>
    <row r="1877" spans="3:10" x14ac:dyDescent="0.3">
      <c r="C1877" s="8" t="s">
        <v>11</v>
      </c>
      <c r="D1877" s="9">
        <v>45747</v>
      </c>
      <c r="E1877" t="s">
        <v>1508</v>
      </c>
      <c r="F1877" s="10" t="s">
        <v>1509</v>
      </c>
      <c r="G1877" s="11">
        <v>0</v>
      </c>
      <c r="H1877" s="11">
        <v>2.4</v>
      </c>
      <c r="I1877" s="11">
        <f t="shared" si="63"/>
        <v>-8402.279999999997</v>
      </c>
      <c r="J1877" s="12"/>
    </row>
    <row r="1878" spans="3:10" x14ac:dyDescent="0.3">
      <c r="C1878" s="8" t="s">
        <v>11</v>
      </c>
      <c r="D1878" s="9">
        <v>45748</v>
      </c>
      <c r="E1878" t="s">
        <v>1503</v>
      </c>
      <c r="F1878" s="10" t="s">
        <v>474</v>
      </c>
      <c r="G1878" s="11">
        <v>0</v>
      </c>
      <c r="H1878" s="11">
        <v>507.49</v>
      </c>
      <c r="I1878" s="11">
        <f t="shared" si="63"/>
        <v>-8909.7699999999968</v>
      </c>
      <c r="J1878" s="12"/>
    </row>
    <row r="1879" spans="3:10" x14ac:dyDescent="0.3">
      <c r="C1879" s="8" t="s">
        <v>11</v>
      </c>
      <c r="D1879" s="9">
        <v>45748</v>
      </c>
      <c r="E1879" t="s">
        <v>1508</v>
      </c>
      <c r="F1879" s="10" t="s">
        <v>1510</v>
      </c>
      <c r="G1879" s="11">
        <v>0</v>
      </c>
      <c r="H1879" s="11">
        <v>-2.4</v>
      </c>
      <c r="I1879" s="11">
        <f t="shared" si="63"/>
        <v>-8907.3699999999972</v>
      </c>
      <c r="J1879" s="12"/>
    </row>
    <row r="1880" spans="3:10" x14ac:dyDescent="0.3">
      <c r="C1880" s="8" t="s">
        <v>11</v>
      </c>
      <c r="D1880" s="9">
        <v>45748</v>
      </c>
      <c r="E1880" t="s">
        <v>1508</v>
      </c>
      <c r="F1880" s="10" t="s">
        <v>1356</v>
      </c>
      <c r="G1880" s="11">
        <v>0</v>
      </c>
      <c r="H1880" s="11">
        <v>20.7</v>
      </c>
      <c r="I1880" s="11">
        <f t="shared" si="63"/>
        <v>-8928.0699999999979</v>
      </c>
      <c r="J1880" s="12"/>
    </row>
    <row r="1881" spans="3:10" x14ac:dyDescent="0.3">
      <c r="C1881" s="8" t="s">
        <v>11</v>
      </c>
      <c r="D1881" s="9">
        <v>45769</v>
      </c>
      <c r="E1881" t="s">
        <v>1498</v>
      </c>
      <c r="F1881" s="10" t="s">
        <v>17</v>
      </c>
      <c r="G1881" s="11">
        <v>1522.47</v>
      </c>
      <c r="H1881" s="11">
        <v>0</v>
      </c>
      <c r="I1881" s="11">
        <f t="shared" si="63"/>
        <v>-7405.5999999999976</v>
      </c>
      <c r="J1881" s="12">
        <v>5720001</v>
      </c>
    </row>
    <row r="1882" spans="3:10" x14ac:dyDescent="0.3">
      <c r="C1882" s="8" t="s">
        <v>11</v>
      </c>
      <c r="D1882" s="9">
        <v>45769</v>
      </c>
      <c r="E1882" t="s">
        <v>1498</v>
      </c>
      <c r="F1882" s="10" t="s">
        <v>17</v>
      </c>
      <c r="G1882" s="11">
        <v>6879.81</v>
      </c>
      <c r="H1882" s="11">
        <v>0</v>
      </c>
      <c r="I1882" s="11">
        <f t="shared" si="63"/>
        <v>-525.78999999999724</v>
      </c>
      <c r="J1882" s="12">
        <v>5720001</v>
      </c>
    </row>
    <row r="1883" spans="3:10" x14ac:dyDescent="0.3">
      <c r="C1883" s="8" t="s">
        <v>11</v>
      </c>
      <c r="D1883" s="9">
        <v>45771</v>
      </c>
      <c r="E1883" t="s">
        <v>1511</v>
      </c>
      <c r="F1883" s="10" t="s">
        <v>613</v>
      </c>
      <c r="G1883" s="11">
        <v>0</v>
      </c>
      <c r="H1883" s="11">
        <v>6.19</v>
      </c>
      <c r="I1883" s="11">
        <f t="shared" si="63"/>
        <v>-531.97999999999729</v>
      </c>
      <c r="J1883" s="12"/>
    </row>
    <row r="1884" spans="3:10" x14ac:dyDescent="0.3">
      <c r="C1884" s="8" t="s">
        <v>11</v>
      </c>
      <c r="D1884" s="9">
        <v>45777</v>
      </c>
      <c r="E1884" t="s">
        <v>1505</v>
      </c>
      <c r="F1884" s="10" t="s">
        <v>1387</v>
      </c>
      <c r="G1884" s="11">
        <v>0</v>
      </c>
      <c r="H1884" s="11">
        <v>8.1199999999999992</v>
      </c>
      <c r="I1884" s="11">
        <f t="shared" si="63"/>
        <v>-540.09999999999729</v>
      </c>
      <c r="J1884" s="12"/>
    </row>
    <row r="1885" spans="3:10" x14ac:dyDescent="0.3">
      <c r="C1885" s="8" t="s">
        <v>11</v>
      </c>
      <c r="D1885" s="9">
        <v>45777</v>
      </c>
      <c r="E1885" t="s">
        <v>1508</v>
      </c>
      <c r="F1885" s="10" t="s">
        <v>1388</v>
      </c>
      <c r="G1885" s="11">
        <v>0</v>
      </c>
      <c r="H1885" s="11">
        <v>20.05</v>
      </c>
      <c r="I1885" s="11">
        <f t="shared" si="63"/>
        <v>-560.14999999999725</v>
      </c>
      <c r="J1885" s="12"/>
    </row>
    <row r="1886" spans="3:10" x14ac:dyDescent="0.3">
      <c r="C1886" s="8" t="s">
        <v>11</v>
      </c>
      <c r="D1886" s="9">
        <v>45777</v>
      </c>
      <c r="E1886" t="s">
        <v>1504</v>
      </c>
      <c r="F1886" s="10" t="s">
        <v>17</v>
      </c>
      <c r="G1886" s="11">
        <v>0</v>
      </c>
      <c r="H1886" s="11">
        <v>2300.9</v>
      </c>
      <c r="I1886" s="11">
        <f t="shared" si="63"/>
        <v>-2861.0499999999975</v>
      </c>
      <c r="J1886" s="12"/>
    </row>
    <row r="1887" spans="3:10" x14ac:dyDescent="0.3">
      <c r="C1887" s="8" t="s">
        <v>11</v>
      </c>
      <c r="D1887" s="9">
        <v>45778</v>
      </c>
      <c r="E1887" t="s">
        <v>1503</v>
      </c>
      <c r="F1887" s="10" t="s">
        <v>476</v>
      </c>
      <c r="G1887" s="11">
        <v>0</v>
      </c>
      <c r="H1887" s="11">
        <v>507.49</v>
      </c>
      <c r="I1887" s="11">
        <f t="shared" si="63"/>
        <v>-3368.5399999999972</v>
      </c>
      <c r="J1887" s="12"/>
    </row>
    <row r="1888" spans="3:10" x14ac:dyDescent="0.3">
      <c r="C1888" s="8" t="s">
        <v>11</v>
      </c>
      <c r="D1888" s="9">
        <v>45808</v>
      </c>
      <c r="E1888" t="s">
        <v>1504</v>
      </c>
      <c r="F1888" s="10" t="s">
        <v>17</v>
      </c>
      <c r="G1888" s="11">
        <v>0</v>
      </c>
      <c r="H1888" s="11">
        <v>2301.08</v>
      </c>
      <c r="I1888" s="11">
        <f t="shared" si="63"/>
        <v>-5669.6199999999972</v>
      </c>
      <c r="J1888" s="12"/>
    </row>
    <row r="1889" spans="3:10" x14ac:dyDescent="0.3">
      <c r="C1889" s="8" t="s">
        <v>11</v>
      </c>
      <c r="D1889" s="9">
        <v>45808</v>
      </c>
      <c r="E1889" t="s">
        <v>1505</v>
      </c>
      <c r="F1889" s="10" t="s">
        <v>1410</v>
      </c>
      <c r="G1889" s="11">
        <v>0</v>
      </c>
      <c r="H1889" s="11">
        <v>7.87</v>
      </c>
      <c r="I1889" s="11">
        <f t="shared" si="63"/>
        <v>-5677.4899999999971</v>
      </c>
      <c r="J1889" s="12"/>
    </row>
    <row r="1890" spans="3:10" x14ac:dyDescent="0.3">
      <c r="C1890" s="8" t="s">
        <v>11</v>
      </c>
      <c r="D1890" s="9">
        <v>45808</v>
      </c>
      <c r="E1890" t="s">
        <v>1506</v>
      </c>
      <c r="F1890" s="10" t="s">
        <v>1413</v>
      </c>
      <c r="G1890" s="11">
        <v>0</v>
      </c>
      <c r="H1890" s="11">
        <v>21.17</v>
      </c>
      <c r="I1890" s="11">
        <f t="shared" si="63"/>
        <v>-5698.6599999999971</v>
      </c>
      <c r="J1890" s="12"/>
    </row>
    <row r="1891" spans="3:10" x14ac:dyDescent="0.3">
      <c r="C1891" s="8" t="s">
        <v>11</v>
      </c>
      <c r="D1891" s="9">
        <v>45809</v>
      </c>
      <c r="E1891" t="s">
        <v>1503</v>
      </c>
      <c r="F1891" s="10" t="s">
        <v>478</v>
      </c>
      <c r="G1891" s="11">
        <v>0</v>
      </c>
      <c r="H1891" s="11">
        <v>507.49</v>
      </c>
      <c r="I1891" s="11">
        <f t="shared" si="63"/>
        <v>-6206.1499999999969</v>
      </c>
      <c r="J1891" s="12"/>
    </row>
    <row r="1892" spans="3:10" x14ac:dyDescent="0.3">
      <c r="C1892" s="8" t="s">
        <v>11</v>
      </c>
      <c r="D1892" s="9">
        <v>45838</v>
      </c>
      <c r="E1892" t="s">
        <v>1504</v>
      </c>
      <c r="F1892" s="10" t="s">
        <v>17</v>
      </c>
      <c r="G1892" s="11">
        <v>0</v>
      </c>
      <c r="H1892" s="11">
        <v>2301.1999999999998</v>
      </c>
      <c r="I1892" s="11">
        <f t="shared" si="63"/>
        <v>-8507.3499999999967</v>
      </c>
      <c r="J1892" s="12"/>
    </row>
    <row r="1893" spans="3:10" x14ac:dyDescent="0.3">
      <c r="C1893" s="8" t="s">
        <v>11</v>
      </c>
      <c r="D1893" s="9">
        <v>45838</v>
      </c>
      <c r="E1893" t="s">
        <v>1504</v>
      </c>
      <c r="F1893" s="10" t="s">
        <v>17</v>
      </c>
      <c r="G1893" s="11">
        <v>0</v>
      </c>
      <c r="H1893" s="11">
        <v>2033.69</v>
      </c>
      <c r="I1893" s="11">
        <f t="shared" si="63"/>
        <v>-10541.039999999997</v>
      </c>
      <c r="J1893" s="12"/>
    </row>
    <row r="1894" spans="3:10" x14ac:dyDescent="0.3">
      <c r="C1894" s="8" t="s">
        <v>11</v>
      </c>
      <c r="D1894" s="9">
        <v>45838</v>
      </c>
      <c r="E1894" t="s">
        <v>1505</v>
      </c>
      <c r="F1894" s="10" t="s">
        <v>1439</v>
      </c>
      <c r="G1894" s="11">
        <v>0</v>
      </c>
      <c r="H1894" s="11">
        <v>8.16</v>
      </c>
      <c r="I1894" s="11">
        <f t="shared" si="63"/>
        <v>-10549.199999999997</v>
      </c>
      <c r="J1894" s="12"/>
    </row>
    <row r="1895" spans="3:10" x14ac:dyDescent="0.3">
      <c r="C1895" s="8" t="s">
        <v>11</v>
      </c>
      <c r="D1895" s="9">
        <v>45838</v>
      </c>
      <c r="E1895" t="s">
        <v>1507</v>
      </c>
      <c r="F1895" s="10" t="s">
        <v>1442</v>
      </c>
      <c r="G1895" s="11">
        <v>0</v>
      </c>
      <c r="H1895" s="11">
        <v>21.75</v>
      </c>
      <c r="I1895" s="11">
        <f t="shared" si="63"/>
        <v>-10570.949999999997</v>
      </c>
      <c r="J1895" s="12"/>
    </row>
    <row r="1896" spans="3:10" x14ac:dyDescent="0.3">
      <c r="C1896" s="8"/>
      <c r="D1896" s="9">
        <v>45839</v>
      </c>
      <c r="E1896" t="s">
        <v>1503</v>
      </c>
      <c r="F1896" s="10" t="s">
        <v>480</v>
      </c>
      <c r="G1896" s="11">
        <v>0</v>
      </c>
      <c r="H1896" s="11">
        <v>507.49</v>
      </c>
      <c r="I1896" s="11">
        <f t="shared" si="63"/>
        <v>-11078.439999999997</v>
      </c>
      <c r="J1896" s="12"/>
    </row>
    <row r="1897" spans="3:10" x14ac:dyDescent="0.3">
      <c r="C1897" s="8" t="s">
        <v>11</v>
      </c>
      <c r="D1897" s="9">
        <v>45859</v>
      </c>
      <c r="E1897" t="s">
        <v>1498</v>
      </c>
      <c r="F1897" s="10" t="s">
        <v>17</v>
      </c>
      <c r="G1897" s="11">
        <v>9048.48</v>
      </c>
      <c r="H1897" s="11">
        <v>0</v>
      </c>
      <c r="I1897" s="11">
        <f t="shared" si="63"/>
        <v>-2029.9599999999973</v>
      </c>
      <c r="J1897" s="12">
        <v>5720001</v>
      </c>
    </row>
    <row r="1898" spans="3:10" x14ac:dyDescent="0.3">
      <c r="C1898" s="8" t="s">
        <v>11</v>
      </c>
      <c r="D1898" s="9">
        <v>45859</v>
      </c>
      <c r="E1898" t="s">
        <v>1498</v>
      </c>
      <c r="F1898" s="10" t="s">
        <v>17</v>
      </c>
      <c r="G1898" s="11">
        <v>1522.47</v>
      </c>
      <c r="H1898" s="11">
        <v>0</v>
      </c>
      <c r="I1898" s="11">
        <f t="shared" si="63"/>
        <v>-507.48999999999728</v>
      </c>
      <c r="J1898" s="12">
        <v>5720001</v>
      </c>
    </row>
    <row r="1899" spans="3:10" x14ac:dyDescent="0.3">
      <c r="C1899" s="8"/>
      <c r="D1899" s="9">
        <v>45859</v>
      </c>
      <c r="E1899" t="s">
        <v>1511</v>
      </c>
      <c r="F1899" s="10" t="s">
        <v>614</v>
      </c>
      <c r="G1899" s="11">
        <v>0</v>
      </c>
      <c r="H1899" s="11">
        <v>8.17</v>
      </c>
      <c r="I1899" s="11">
        <f t="shared" si="63"/>
        <v>-515.65999999999724</v>
      </c>
      <c r="J1899" s="12"/>
    </row>
    <row r="1900" spans="3:10" x14ac:dyDescent="0.3">
      <c r="C1900" s="8"/>
      <c r="D1900" s="9">
        <v>45869</v>
      </c>
      <c r="E1900" t="s">
        <v>1505</v>
      </c>
      <c r="F1900" s="10" t="s">
        <v>1474</v>
      </c>
      <c r="G1900" s="11">
        <v>0</v>
      </c>
      <c r="H1900" s="11">
        <v>12.7</v>
      </c>
      <c r="I1900" s="11">
        <f t="shared" si="63"/>
        <v>-528.35999999999729</v>
      </c>
      <c r="J1900" s="12"/>
    </row>
    <row r="1901" spans="3:10" x14ac:dyDescent="0.3">
      <c r="C1901" s="8"/>
      <c r="D1901" s="9">
        <v>45869</v>
      </c>
      <c r="E1901" t="s">
        <v>1507</v>
      </c>
      <c r="F1901" s="10" t="s">
        <v>1475</v>
      </c>
      <c r="G1901" s="11">
        <v>0</v>
      </c>
      <c r="H1901" s="11">
        <v>35.25</v>
      </c>
      <c r="I1901" s="11">
        <f t="shared" si="63"/>
        <v>-563.60999999999729</v>
      </c>
      <c r="J1901" s="12"/>
    </row>
    <row r="1902" spans="3:10" x14ac:dyDescent="0.3">
      <c r="C1902" s="8"/>
      <c r="D1902" s="9">
        <v>45869</v>
      </c>
      <c r="E1902" t="s">
        <v>1504</v>
      </c>
      <c r="F1902" s="10" t="s">
        <v>17</v>
      </c>
      <c r="G1902" s="11">
        <v>0</v>
      </c>
      <c r="H1902" s="11">
        <v>2301.15</v>
      </c>
      <c r="I1902" s="11">
        <f t="shared" si="63"/>
        <v>-2864.7599999999975</v>
      </c>
      <c r="J1902" s="12"/>
    </row>
    <row r="1903" spans="3:10" x14ac:dyDescent="0.3">
      <c r="C1903" s="8"/>
      <c r="D1903" s="9">
        <v>45870</v>
      </c>
      <c r="E1903" t="s">
        <v>1503</v>
      </c>
      <c r="F1903" s="10" t="s">
        <v>482</v>
      </c>
      <c r="G1903" s="11">
        <v>0</v>
      </c>
      <c r="H1903" s="11">
        <v>507.49</v>
      </c>
      <c r="I1903" s="11">
        <f t="shared" si="63"/>
        <v>-3372.2499999999973</v>
      </c>
      <c r="J1903" s="12"/>
    </row>
    <row r="1904" spans="3:10" x14ac:dyDescent="0.3">
      <c r="C1904" s="8"/>
      <c r="D1904" s="9">
        <v>45900</v>
      </c>
      <c r="E1904" t="s">
        <v>1505</v>
      </c>
      <c r="F1904" s="10" t="s">
        <v>1387</v>
      </c>
      <c r="G1904" s="11">
        <v>0</v>
      </c>
      <c r="H1904" s="11">
        <v>7.9</v>
      </c>
      <c r="I1904" s="11">
        <f t="shared" si="63"/>
        <v>-3380.1499999999974</v>
      </c>
      <c r="J1904" s="12"/>
    </row>
    <row r="1905" spans="1:10" x14ac:dyDescent="0.3">
      <c r="C1905" s="8"/>
      <c r="D1905" s="9">
        <v>45900</v>
      </c>
      <c r="E1905" t="s">
        <v>1507</v>
      </c>
      <c r="F1905" s="10" t="s">
        <v>1491</v>
      </c>
      <c r="G1905" s="11">
        <v>0</v>
      </c>
      <c r="H1905" s="11">
        <v>25.55</v>
      </c>
      <c r="I1905" s="11">
        <f t="shared" si="63"/>
        <v>-3405.6999999999975</v>
      </c>
      <c r="J1905" s="12"/>
    </row>
    <row r="1906" spans="1:10" x14ac:dyDescent="0.3">
      <c r="C1906" s="8"/>
      <c r="D1906" s="9">
        <v>45900</v>
      </c>
      <c r="E1906" t="s">
        <v>1504</v>
      </c>
      <c r="F1906" s="10" t="s">
        <v>17</v>
      </c>
      <c r="G1906" s="11">
        <v>0</v>
      </c>
      <c r="H1906" s="11">
        <v>2366.34</v>
      </c>
      <c r="I1906" s="11">
        <f t="shared" si="63"/>
        <v>-5772.0399999999972</v>
      </c>
      <c r="J1906" s="12"/>
    </row>
    <row r="1907" spans="1:10" x14ac:dyDescent="0.3">
      <c r="C1907" s="8"/>
      <c r="D1907" s="9">
        <v>45901</v>
      </c>
      <c r="E1907" t="s">
        <v>1503</v>
      </c>
      <c r="F1907" s="10" t="s">
        <v>484</v>
      </c>
      <c r="G1907" s="11">
        <v>0</v>
      </c>
      <c r="H1907" s="11">
        <v>507.49</v>
      </c>
      <c r="I1907" s="11">
        <f t="shared" si="63"/>
        <v>-6279.529999999997</v>
      </c>
      <c r="J1907" s="12"/>
    </row>
    <row r="1908" spans="1:10" x14ac:dyDescent="0.3">
      <c r="C1908" s="8"/>
      <c r="D1908" s="9">
        <v>45905</v>
      </c>
      <c r="E1908" t="s">
        <v>1504</v>
      </c>
      <c r="F1908" s="10" t="s">
        <v>17</v>
      </c>
      <c r="G1908" s="11">
        <v>0</v>
      </c>
      <c r="H1908" s="11">
        <v>2.23</v>
      </c>
      <c r="I1908" s="11">
        <f t="shared" si="63"/>
        <v>-6281.7599999999966</v>
      </c>
      <c r="J1908" s="12"/>
    </row>
    <row r="1909" spans="1:10" x14ac:dyDescent="0.3">
      <c r="C1909" s="8"/>
      <c r="D1909" s="9">
        <v>45905</v>
      </c>
      <c r="E1909" t="s">
        <v>1504</v>
      </c>
      <c r="F1909" s="10" t="s">
        <v>17</v>
      </c>
      <c r="G1909" s="11">
        <v>0</v>
      </c>
      <c r="H1909" s="11">
        <v>10.130000000000001</v>
      </c>
      <c r="I1909" s="11">
        <f t="shared" si="63"/>
        <v>-6291.8899999999967</v>
      </c>
      <c r="J1909" s="12"/>
    </row>
    <row r="1910" spans="1:10" x14ac:dyDescent="0.3">
      <c r="C1910" s="8"/>
      <c r="D1910" s="9">
        <v>45930</v>
      </c>
      <c r="E1910" t="s">
        <v>1504</v>
      </c>
      <c r="F1910" s="10" t="s">
        <v>17</v>
      </c>
      <c r="G1910" s="11">
        <v>0</v>
      </c>
      <c r="H1910" s="11">
        <v>2365.9299999999998</v>
      </c>
      <c r="I1910" s="11">
        <f t="shared" si="63"/>
        <v>-8657.8199999999961</v>
      </c>
      <c r="J1910" s="12"/>
    </row>
    <row r="1911" spans="1:10" x14ac:dyDescent="0.3">
      <c r="E1911" s="4" t="s">
        <v>20</v>
      </c>
      <c r="G1911" s="11">
        <f>SUM(G1863:G1910)</f>
        <v>28216.44</v>
      </c>
      <c r="H1911" s="11">
        <f>SUM(H1863:H1910)</f>
        <v>36874.260000000009</v>
      </c>
      <c r="I1911" s="11">
        <f>G1911-H1911</f>
        <v>-8657.8200000000106</v>
      </c>
    </row>
    <row r="1913" spans="1:10" x14ac:dyDescent="0.3">
      <c r="A1913" s="5">
        <v>4760000</v>
      </c>
      <c r="B1913" s="6" t="s">
        <v>1512</v>
      </c>
      <c r="C1913" s="7"/>
      <c r="D1913" s="7"/>
      <c r="E1913" s="7"/>
      <c r="F1913" s="7"/>
      <c r="G1913" s="7"/>
      <c r="H1913" s="7"/>
      <c r="I1913" s="7"/>
      <c r="J1913" s="7"/>
    </row>
    <row r="1914" spans="1:10" x14ac:dyDescent="0.3">
      <c r="E1914" s="4" t="s">
        <v>22</v>
      </c>
      <c r="G1914" s="11">
        <v>0</v>
      </c>
      <c r="H1914" s="11">
        <v>3873.34</v>
      </c>
      <c r="I1914" s="11">
        <f>G1914-H1914</f>
        <v>-3873.34</v>
      </c>
    </row>
    <row r="1915" spans="1:10" x14ac:dyDescent="0.3">
      <c r="C1915" s="8" t="s">
        <v>11</v>
      </c>
      <c r="D1915" s="9">
        <v>45688</v>
      </c>
      <c r="E1915" t="s">
        <v>1513</v>
      </c>
      <c r="F1915" s="10" t="s">
        <v>17</v>
      </c>
      <c r="G1915" s="11">
        <v>0</v>
      </c>
      <c r="H1915" s="11">
        <v>3884.92</v>
      </c>
      <c r="I1915" s="11">
        <f t="shared" ref="I1915:I1932" si="64">G1915-H1915+I1914</f>
        <v>-7758.26</v>
      </c>
      <c r="J1915" s="12"/>
    </row>
    <row r="1916" spans="1:10" x14ac:dyDescent="0.3">
      <c r="C1916" s="8" t="s">
        <v>11</v>
      </c>
      <c r="D1916" s="9">
        <v>45688</v>
      </c>
      <c r="E1916" t="s">
        <v>1203</v>
      </c>
      <c r="F1916" s="10" t="s">
        <v>17</v>
      </c>
      <c r="G1916" s="11">
        <v>3873.34</v>
      </c>
      <c r="H1916" s="11">
        <v>0</v>
      </c>
      <c r="I1916" s="11">
        <f t="shared" si="64"/>
        <v>-3884.92</v>
      </c>
      <c r="J1916" s="12">
        <v>5720001</v>
      </c>
    </row>
    <row r="1917" spans="1:10" x14ac:dyDescent="0.3">
      <c r="C1917" s="8" t="s">
        <v>11</v>
      </c>
      <c r="D1917" s="9">
        <v>45716</v>
      </c>
      <c r="E1917" t="s">
        <v>1513</v>
      </c>
      <c r="F1917" s="10" t="s">
        <v>17</v>
      </c>
      <c r="G1917" s="11">
        <v>0</v>
      </c>
      <c r="H1917" s="11">
        <v>3868.01</v>
      </c>
      <c r="I1917" s="11">
        <f t="shared" si="64"/>
        <v>-7752.93</v>
      </c>
      <c r="J1917" s="12"/>
    </row>
    <row r="1918" spans="1:10" x14ac:dyDescent="0.3">
      <c r="C1918" s="8" t="s">
        <v>11</v>
      </c>
      <c r="D1918" s="9">
        <v>45716</v>
      </c>
      <c r="E1918" t="s">
        <v>1203</v>
      </c>
      <c r="F1918" s="10" t="s">
        <v>17</v>
      </c>
      <c r="G1918" s="11">
        <v>3884.92</v>
      </c>
      <c r="H1918" s="11">
        <v>0</v>
      </c>
      <c r="I1918" s="11">
        <f t="shared" si="64"/>
        <v>-3868.01</v>
      </c>
      <c r="J1918" s="12">
        <v>5720001</v>
      </c>
    </row>
    <row r="1919" spans="1:10" x14ac:dyDescent="0.3">
      <c r="C1919" s="8" t="s">
        <v>11</v>
      </c>
      <c r="D1919" s="9">
        <v>45747</v>
      </c>
      <c r="E1919" t="s">
        <v>1513</v>
      </c>
      <c r="F1919" s="10" t="s">
        <v>17</v>
      </c>
      <c r="G1919" s="11">
        <v>0</v>
      </c>
      <c r="H1919" s="11">
        <v>3958.56</v>
      </c>
      <c r="I1919" s="11">
        <f t="shared" si="64"/>
        <v>-7826.57</v>
      </c>
      <c r="J1919" s="12"/>
    </row>
    <row r="1920" spans="1:10" x14ac:dyDescent="0.3">
      <c r="C1920" s="8" t="s">
        <v>11</v>
      </c>
      <c r="D1920" s="9">
        <v>45747</v>
      </c>
      <c r="E1920" t="s">
        <v>1203</v>
      </c>
      <c r="F1920" s="10" t="s">
        <v>17</v>
      </c>
      <c r="G1920" s="11">
        <v>3868.01</v>
      </c>
      <c r="H1920" s="11">
        <v>0</v>
      </c>
      <c r="I1920" s="11">
        <f t="shared" si="64"/>
        <v>-3958.5599999999995</v>
      </c>
      <c r="J1920" s="12"/>
    </row>
    <row r="1921" spans="1:10" x14ac:dyDescent="0.3">
      <c r="C1921" s="8" t="s">
        <v>11</v>
      </c>
      <c r="D1921" s="9">
        <v>45777</v>
      </c>
      <c r="E1921" t="s">
        <v>1203</v>
      </c>
      <c r="F1921" s="10" t="s">
        <v>17</v>
      </c>
      <c r="G1921" s="11">
        <v>3958.56</v>
      </c>
      <c r="H1921" s="11">
        <v>0</v>
      </c>
      <c r="I1921" s="11">
        <f t="shared" si="64"/>
        <v>0</v>
      </c>
      <c r="J1921" s="12">
        <v>5720001</v>
      </c>
    </row>
    <row r="1922" spans="1:10" x14ac:dyDescent="0.3">
      <c r="C1922" s="8" t="s">
        <v>11</v>
      </c>
      <c r="D1922" s="9">
        <v>45777</v>
      </c>
      <c r="E1922" t="s">
        <v>1513</v>
      </c>
      <c r="F1922" s="10" t="s">
        <v>17</v>
      </c>
      <c r="G1922" s="11">
        <v>0</v>
      </c>
      <c r="H1922" s="11">
        <v>3949.03</v>
      </c>
      <c r="I1922" s="11">
        <f t="shared" si="64"/>
        <v>-3949.03</v>
      </c>
      <c r="J1922" s="12"/>
    </row>
    <row r="1923" spans="1:10" x14ac:dyDescent="0.3">
      <c r="C1923" s="8" t="s">
        <v>11</v>
      </c>
      <c r="D1923" s="9">
        <v>45807</v>
      </c>
      <c r="E1923" t="s">
        <v>1203</v>
      </c>
      <c r="F1923" s="10" t="s">
        <v>17</v>
      </c>
      <c r="G1923" s="11">
        <v>3949.03</v>
      </c>
      <c r="H1923" s="11">
        <v>0</v>
      </c>
      <c r="I1923" s="11">
        <f t="shared" si="64"/>
        <v>0</v>
      </c>
      <c r="J1923" s="12">
        <v>5720001</v>
      </c>
    </row>
    <row r="1924" spans="1:10" x14ac:dyDescent="0.3">
      <c r="C1924" s="8" t="s">
        <v>11</v>
      </c>
      <c r="D1924" s="9">
        <v>45808</v>
      </c>
      <c r="E1924" t="s">
        <v>1513</v>
      </c>
      <c r="F1924" s="10" t="s">
        <v>17</v>
      </c>
      <c r="G1924" s="11">
        <v>0</v>
      </c>
      <c r="H1924" s="11">
        <v>3958.47</v>
      </c>
      <c r="I1924" s="11">
        <f t="shared" si="64"/>
        <v>-3958.47</v>
      </c>
      <c r="J1924" s="12"/>
    </row>
    <row r="1925" spans="1:10" x14ac:dyDescent="0.3">
      <c r="C1925" s="8"/>
      <c r="D1925" s="9">
        <v>45838</v>
      </c>
      <c r="E1925" t="s">
        <v>1513</v>
      </c>
      <c r="F1925" s="10" t="s">
        <v>17</v>
      </c>
      <c r="G1925" s="11">
        <v>0</v>
      </c>
      <c r="H1925" s="11">
        <v>3949.17</v>
      </c>
      <c r="I1925" s="11">
        <f t="shared" si="64"/>
        <v>-7907.6399999999994</v>
      </c>
      <c r="J1925" s="12"/>
    </row>
    <row r="1926" spans="1:10" x14ac:dyDescent="0.3">
      <c r="C1926" s="8" t="s">
        <v>11</v>
      </c>
      <c r="D1926" s="9">
        <v>45838</v>
      </c>
      <c r="E1926" t="s">
        <v>1203</v>
      </c>
      <c r="F1926" s="10" t="s">
        <v>17</v>
      </c>
      <c r="G1926" s="11">
        <v>3958.47</v>
      </c>
      <c r="H1926" s="11">
        <v>0</v>
      </c>
      <c r="I1926" s="11">
        <f t="shared" si="64"/>
        <v>-3949.1699999999996</v>
      </c>
      <c r="J1926" s="12">
        <v>5720001</v>
      </c>
    </row>
    <row r="1927" spans="1:10" x14ac:dyDescent="0.3">
      <c r="C1927" s="8"/>
      <c r="D1927" s="9">
        <v>45869</v>
      </c>
      <c r="E1927" t="s">
        <v>1203</v>
      </c>
      <c r="F1927" s="10" t="s">
        <v>17</v>
      </c>
      <c r="G1927" s="11">
        <v>3949.17</v>
      </c>
      <c r="H1927" s="11">
        <v>0</v>
      </c>
      <c r="I1927" s="11">
        <f t="shared" si="64"/>
        <v>0</v>
      </c>
      <c r="J1927" s="12">
        <v>5720001</v>
      </c>
    </row>
    <row r="1928" spans="1:10" x14ac:dyDescent="0.3">
      <c r="C1928" s="8"/>
      <c r="D1928" s="9">
        <v>45869</v>
      </c>
      <c r="E1928" t="s">
        <v>1513</v>
      </c>
      <c r="F1928" s="10" t="s">
        <v>17</v>
      </c>
      <c r="G1928" s="11">
        <v>0</v>
      </c>
      <c r="H1928" s="11">
        <v>3958.54</v>
      </c>
      <c r="I1928" s="11">
        <f t="shared" si="64"/>
        <v>-3958.54</v>
      </c>
      <c r="J1928" s="12"/>
    </row>
    <row r="1929" spans="1:10" x14ac:dyDescent="0.3">
      <c r="C1929" s="8"/>
      <c r="D1929" s="9">
        <v>45898</v>
      </c>
      <c r="E1929" t="s">
        <v>1203</v>
      </c>
      <c r="F1929" s="10" t="s">
        <v>17</v>
      </c>
      <c r="G1929" s="11">
        <v>3958.54</v>
      </c>
      <c r="H1929" s="11">
        <v>0</v>
      </c>
      <c r="I1929" s="11">
        <f t="shared" si="64"/>
        <v>0</v>
      </c>
      <c r="J1929" s="12">
        <v>5720001</v>
      </c>
    </row>
    <row r="1930" spans="1:10" x14ac:dyDescent="0.3">
      <c r="C1930" s="8"/>
      <c r="D1930" s="9">
        <v>45900</v>
      </c>
      <c r="E1930" t="s">
        <v>1513</v>
      </c>
      <c r="F1930" s="10" t="s">
        <v>17</v>
      </c>
      <c r="G1930" s="11">
        <v>0</v>
      </c>
      <c r="H1930" s="11">
        <v>3947.34</v>
      </c>
      <c r="I1930" s="11">
        <f t="shared" si="64"/>
        <v>-3947.34</v>
      </c>
      <c r="J1930" s="12"/>
    </row>
    <row r="1931" spans="1:10" x14ac:dyDescent="0.3">
      <c r="C1931" s="8"/>
      <c r="D1931" s="9">
        <v>45905</v>
      </c>
      <c r="E1931" t="s">
        <v>1513</v>
      </c>
      <c r="F1931" s="10" t="s">
        <v>17</v>
      </c>
      <c r="G1931" s="11">
        <v>0</v>
      </c>
      <c r="H1931" s="11">
        <v>11.07</v>
      </c>
      <c r="I1931" s="11">
        <f t="shared" si="64"/>
        <v>-3958.4100000000003</v>
      </c>
      <c r="J1931" s="12"/>
    </row>
    <row r="1932" spans="1:10" x14ac:dyDescent="0.3">
      <c r="C1932" s="8"/>
      <c r="D1932" s="9">
        <v>45930</v>
      </c>
      <c r="E1932" t="s">
        <v>1513</v>
      </c>
      <c r="F1932" s="10" t="s">
        <v>17</v>
      </c>
      <c r="G1932" s="11">
        <v>0</v>
      </c>
      <c r="H1932" s="11">
        <v>3937.8</v>
      </c>
      <c r="I1932" s="11">
        <f t="shared" si="64"/>
        <v>-7896.2100000000009</v>
      </c>
      <c r="J1932" s="12"/>
    </row>
    <row r="1933" spans="1:10" x14ac:dyDescent="0.3">
      <c r="E1933" s="4" t="s">
        <v>20</v>
      </c>
      <c r="G1933" s="11">
        <f>SUM(G1914:G1932)</f>
        <v>31400.04</v>
      </c>
      <c r="H1933" s="11">
        <f>SUM(H1914:H1932)</f>
        <v>39296.250000000007</v>
      </c>
      <c r="I1933" s="11">
        <f>G1933-H1933</f>
        <v>-7896.2100000000064</v>
      </c>
    </row>
    <row r="1935" spans="1:10" x14ac:dyDescent="0.3">
      <c r="A1935" s="5">
        <v>4770000</v>
      </c>
      <c r="B1935" s="6" t="s">
        <v>1514</v>
      </c>
      <c r="C1935" s="7"/>
      <c r="D1935" s="7"/>
      <c r="E1935" s="7"/>
      <c r="F1935" s="7"/>
      <c r="G1935" s="7"/>
      <c r="H1935" s="7"/>
      <c r="I1935" s="7"/>
      <c r="J1935" s="7"/>
    </row>
    <row r="1936" spans="1:10" x14ac:dyDescent="0.3">
      <c r="C1936" s="8" t="s">
        <v>11</v>
      </c>
      <c r="D1936" s="9">
        <v>45672</v>
      </c>
      <c r="E1936" t="s">
        <v>1515</v>
      </c>
      <c r="F1936" s="10" t="s">
        <v>1516</v>
      </c>
      <c r="G1936" s="11">
        <v>0</v>
      </c>
      <c r="H1936" s="11">
        <v>248.47</v>
      </c>
      <c r="I1936" s="11">
        <f>G1936-H1936</f>
        <v>-248.47</v>
      </c>
      <c r="J1936" s="12"/>
    </row>
    <row r="1937" spans="3:10" x14ac:dyDescent="0.3">
      <c r="C1937" s="8" t="s">
        <v>11</v>
      </c>
      <c r="D1937" s="9">
        <v>45672</v>
      </c>
      <c r="E1937" t="s">
        <v>1517</v>
      </c>
      <c r="F1937" s="10" t="s">
        <v>1518</v>
      </c>
      <c r="G1937" s="11">
        <v>0</v>
      </c>
      <c r="H1937" s="11">
        <v>452.52</v>
      </c>
      <c r="I1937" s="11">
        <f t="shared" ref="I1937:I2000" si="65">G1937-H1937+I1936</f>
        <v>-700.99</v>
      </c>
      <c r="J1937" s="12"/>
    </row>
    <row r="1938" spans="3:10" x14ac:dyDescent="0.3">
      <c r="C1938" s="8" t="s">
        <v>11</v>
      </c>
      <c r="D1938" s="9">
        <v>45672</v>
      </c>
      <c r="E1938" t="s">
        <v>1519</v>
      </c>
      <c r="F1938" s="10" t="s">
        <v>703</v>
      </c>
      <c r="G1938" s="11">
        <v>0</v>
      </c>
      <c r="H1938" s="11">
        <v>54.5</v>
      </c>
      <c r="I1938" s="11">
        <f t="shared" si="65"/>
        <v>-755.49</v>
      </c>
      <c r="J1938" s="12"/>
    </row>
    <row r="1939" spans="3:10" x14ac:dyDescent="0.3">
      <c r="C1939" s="8" t="s">
        <v>11</v>
      </c>
      <c r="D1939" s="9">
        <v>45672</v>
      </c>
      <c r="E1939" t="s">
        <v>1520</v>
      </c>
      <c r="F1939" s="10" t="s">
        <v>743</v>
      </c>
      <c r="G1939" s="11">
        <v>0</v>
      </c>
      <c r="H1939" s="11">
        <v>348.88</v>
      </c>
      <c r="I1939" s="11">
        <f t="shared" si="65"/>
        <v>-1104.3699999999999</v>
      </c>
      <c r="J1939" s="12"/>
    </row>
    <row r="1940" spans="3:10" x14ac:dyDescent="0.3">
      <c r="C1940" s="8" t="s">
        <v>11</v>
      </c>
      <c r="D1940" s="9">
        <v>45672</v>
      </c>
      <c r="E1940" t="s">
        <v>1521</v>
      </c>
      <c r="F1940" s="10" t="s">
        <v>1522</v>
      </c>
      <c r="G1940" s="11">
        <v>0</v>
      </c>
      <c r="H1940" s="11">
        <v>14.23</v>
      </c>
      <c r="I1940" s="11">
        <f t="shared" si="65"/>
        <v>-1118.5999999999999</v>
      </c>
      <c r="J1940" s="12"/>
    </row>
    <row r="1941" spans="3:10" x14ac:dyDescent="0.3">
      <c r="C1941" s="8" t="s">
        <v>11</v>
      </c>
      <c r="D1941" s="9">
        <v>45672</v>
      </c>
      <c r="E1941" t="s">
        <v>1523</v>
      </c>
      <c r="F1941" s="10" t="s">
        <v>1524</v>
      </c>
      <c r="G1941" s="11">
        <v>0</v>
      </c>
      <c r="H1941" s="11">
        <v>861.94</v>
      </c>
      <c r="I1941" s="11">
        <f t="shared" si="65"/>
        <v>-1980.54</v>
      </c>
      <c r="J1941" s="12"/>
    </row>
    <row r="1942" spans="3:10" x14ac:dyDescent="0.3">
      <c r="C1942" s="8" t="s">
        <v>11</v>
      </c>
      <c r="D1942" s="9">
        <v>45672</v>
      </c>
      <c r="E1942" t="s">
        <v>1525</v>
      </c>
      <c r="F1942" s="10" t="s">
        <v>1126</v>
      </c>
      <c r="G1942" s="11">
        <v>0</v>
      </c>
      <c r="H1942" s="11">
        <v>1248.55</v>
      </c>
      <c r="I1942" s="11">
        <f t="shared" si="65"/>
        <v>-3229.09</v>
      </c>
      <c r="J1942" s="12"/>
    </row>
    <row r="1943" spans="3:10" x14ac:dyDescent="0.3">
      <c r="C1943" s="8" t="s">
        <v>11</v>
      </c>
      <c r="D1943" s="9">
        <v>45672</v>
      </c>
      <c r="E1943" t="s">
        <v>1526</v>
      </c>
      <c r="F1943" s="10" t="s">
        <v>1109</v>
      </c>
      <c r="G1943" s="11">
        <v>0</v>
      </c>
      <c r="H1943" s="11">
        <v>652.29999999999995</v>
      </c>
      <c r="I1943" s="11">
        <f t="shared" si="65"/>
        <v>-3881.3900000000003</v>
      </c>
      <c r="J1943" s="12"/>
    </row>
    <row r="1944" spans="3:10" x14ac:dyDescent="0.3">
      <c r="C1944" s="8" t="s">
        <v>11</v>
      </c>
      <c r="D1944" s="9">
        <v>45672</v>
      </c>
      <c r="E1944" t="s">
        <v>1527</v>
      </c>
      <c r="F1944" s="10" t="s">
        <v>1528</v>
      </c>
      <c r="G1944" s="11">
        <v>0</v>
      </c>
      <c r="H1944" s="11">
        <v>122.43</v>
      </c>
      <c r="I1944" s="11">
        <f t="shared" si="65"/>
        <v>-4003.82</v>
      </c>
      <c r="J1944" s="12"/>
    </row>
    <row r="1945" spans="3:10" x14ac:dyDescent="0.3">
      <c r="C1945" s="8" t="s">
        <v>11</v>
      </c>
      <c r="D1945" s="9">
        <v>45672</v>
      </c>
      <c r="E1945" t="s">
        <v>1520</v>
      </c>
      <c r="F1945" s="10" t="s">
        <v>745</v>
      </c>
      <c r="G1945" s="11">
        <v>0</v>
      </c>
      <c r="H1945" s="11">
        <v>19.010000000000002</v>
      </c>
      <c r="I1945" s="11">
        <f t="shared" si="65"/>
        <v>-4022.8300000000004</v>
      </c>
      <c r="J1945" s="12"/>
    </row>
    <row r="1946" spans="3:10" x14ac:dyDescent="0.3">
      <c r="C1946" s="8" t="s">
        <v>11</v>
      </c>
      <c r="D1946" s="9">
        <v>45672</v>
      </c>
      <c r="E1946" t="s">
        <v>1529</v>
      </c>
      <c r="F1946" s="10" t="s">
        <v>999</v>
      </c>
      <c r="G1946" s="11">
        <v>0</v>
      </c>
      <c r="H1946" s="11">
        <v>12.42</v>
      </c>
      <c r="I1946" s="11">
        <f t="shared" si="65"/>
        <v>-4035.2500000000005</v>
      </c>
      <c r="J1946" s="12"/>
    </row>
    <row r="1947" spans="3:10" x14ac:dyDescent="0.3">
      <c r="C1947" s="8" t="s">
        <v>11</v>
      </c>
      <c r="D1947" s="9">
        <v>45672</v>
      </c>
      <c r="E1947" t="s">
        <v>1530</v>
      </c>
      <c r="F1947" s="10" t="s">
        <v>1531</v>
      </c>
      <c r="G1947" s="11">
        <v>0</v>
      </c>
      <c r="H1947" s="11">
        <v>110.81</v>
      </c>
      <c r="I1947" s="11">
        <f t="shared" si="65"/>
        <v>-4146.0600000000004</v>
      </c>
      <c r="J1947" s="12"/>
    </row>
    <row r="1948" spans="3:10" x14ac:dyDescent="0.3">
      <c r="C1948" s="8" t="s">
        <v>11</v>
      </c>
      <c r="D1948" s="9">
        <v>45672</v>
      </c>
      <c r="E1948" t="s">
        <v>1532</v>
      </c>
      <c r="F1948" s="10" t="s">
        <v>803</v>
      </c>
      <c r="G1948" s="11">
        <v>0</v>
      </c>
      <c r="H1948" s="11">
        <v>199.14</v>
      </c>
      <c r="I1948" s="11">
        <f t="shared" si="65"/>
        <v>-4345.2000000000007</v>
      </c>
      <c r="J1948" s="12"/>
    </row>
    <row r="1949" spans="3:10" x14ac:dyDescent="0.3">
      <c r="C1949" s="8" t="s">
        <v>11</v>
      </c>
      <c r="D1949" s="9">
        <v>45672</v>
      </c>
      <c r="E1949" t="s">
        <v>1533</v>
      </c>
      <c r="F1949" s="10" t="s">
        <v>982</v>
      </c>
      <c r="G1949" s="11">
        <v>0</v>
      </c>
      <c r="H1949" s="11">
        <v>240.68</v>
      </c>
      <c r="I1949" s="11">
        <f t="shared" si="65"/>
        <v>-4585.880000000001</v>
      </c>
      <c r="J1949" s="12"/>
    </row>
    <row r="1950" spans="3:10" x14ac:dyDescent="0.3">
      <c r="C1950" s="8" t="s">
        <v>11</v>
      </c>
      <c r="D1950" s="9">
        <v>45672</v>
      </c>
      <c r="E1950" t="s">
        <v>1534</v>
      </c>
      <c r="F1950" s="10" t="s">
        <v>1162</v>
      </c>
      <c r="G1950" s="11">
        <v>0</v>
      </c>
      <c r="H1950" s="11">
        <v>31.14</v>
      </c>
      <c r="I1950" s="11">
        <f t="shared" si="65"/>
        <v>-4617.0200000000013</v>
      </c>
      <c r="J1950" s="12"/>
    </row>
    <row r="1951" spans="3:10" x14ac:dyDescent="0.3">
      <c r="C1951" s="8" t="s">
        <v>11</v>
      </c>
      <c r="D1951" s="9">
        <v>45672</v>
      </c>
      <c r="E1951" t="s">
        <v>1535</v>
      </c>
      <c r="F1951" s="10" t="s">
        <v>728</v>
      </c>
      <c r="G1951" s="11">
        <v>0</v>
      </c>
      <c r="H1951" s="11">
        <v>2.65</v>
      </c>
      <c r="I1951" s="11">
        <f t="shared" si="65"/>
        <v>-4619.670000000001</v>
      </c>
      <c r="J1951" s="12"/>
    </row>
    <row r="1952" spans="3:10" x14ac:dyDescent="0.3">
      <c r="C1952" s="8" t="s">
        <v>11</v>
      </c>
      <c r="D1952" s="9">
        <v>45673</v>
      </c>
      <c r="E1952" t="s">
        <v>1536</v>
      </c>
      <c r="F1952" s="10" t="s">
        <v>280</v>
      </c>
      <c r="G1952" s="11">
        <v>0</v>
      </c>
      <c r="H1952" s="11">
        <v>134.06</v>
      </c>
      <c r="I1952" s="11">
        <f t="shared" si="65"/>
        <v>-4753.7300000000014</v>
      </c>
      <c r="J1952" s="12"/>
    </row>
    <row r="1953" spans="3:10" x14ac:dyDescent="0.3">
      <c r="C1953" s="8" t="s">
        <v>11</v>
      </c>
      <c r="D1953" s="9">
        <v>45680</v>
      </c>
      <c r="E1953" t="s">
        <v>1536</v>
      </c>
      <c r="F1953" s="10" t="s">
        <v>282</v>
      </c>
      <c r="G1953" s="11">
        <v>0</v>
      </c>
      <c r="H1953" s="11">
        <v>80.39</v>
      </c>
      <c r="I1953" s="11">
        <f t="shared" si="65"/>
        <v>-4834.1200000000017</v>
      </c>
      <c r="J1953" s="12"/>
    </row>
    <row r="1954" spans="3:10" x14ac:dyDescent="0.3">
      <c r="C1954" s="8" t="s">
        <v>11</v>
      </c>
      <c r="D1954" s="9">
        <v>45688</v>
      </c>
      <c r="E1954" t="s">
        <v>1537</v>
      </c>
      <c r="F1954" s="10" t="s">
        <v>967</v>
      </c>
      <c r="G1954" s="11">
        <v>0</v>
      </c>
      <c r="H1954" s="11">
        <v>511.18</v>
      </c>
      <c r="I1954" s="11">
        <f t="shared" si="65"/>
        <v>-5345.300000000002</v>
      </c>
      <c r="J1954" s="12"/>
    </row>
    <row r="1955" spans="3:10" x14ac:dyDescent="0.3">
      <c r="C1955" s="8" t="s">
        <v>11</v>
      </c>
      <c r="D1955" s="9">
        <v>45688</v>
      </c>
      <c r="E1955" t="s">
        <v>1529</v>
      </c>
      <c r="F1955" s="10" t="s">
        <v>1001</v>
      </c>
      <c r="G1955" s="11">
        <v>0</v>
      </c>
      <c r="H1955" s="11">
        <v>78.12</v>
      </c>
      <c r="I1955" s="11">
        <f t="shared" si="65"/>
        <v>-5423.4200000000019</v>
      </c>
      <c r="J1955" s="12"/>
    </row>
    <row r="1956" spans="3:10" x14ac:dyDescent="0.3">
      <c r="C1956" s="8" t="s">
        <v>11</v>
      </c>
      <c r="D1956" s="9">
        <v>45688</v>
      </c>
      <c r="E1956" t="s">
        <v>1523</v>
      </c>
      <c r="F1956" s="10" t="s">
        <v>1538</v>
      </c>
      <c r="G1956" s="11">
        <v>0</v>
      </c>
      <c r="H1956" s="11">
        <v>46.39</v>
      </c>
      <c r="I1956" s="11">
        <f t="shared" si="65"/>
        <v>-5469.8100000000022</v>
      </c>
      <c r="J1956" s="12"/>
    </row>
    <row r="1957" spans="3:10" x14ac:dyDescent="0.3">
      <c r="C1957" s="8" t="s">
        <v>11</v>
      </c>
      <c r="D1957" s="9">
        <v>45688</v>
      </c>
      <c r="E1957" t="s">
        <v>1535</v>
      </c>
      <c r="F1957" s="10" t="s">
        <v>730</v>
      </c>
      <c r="G1957" s="11">
        <v>0</v>
      </c>
      <c r="H1957" s="11">
        <v>49.27</v>
      </c>
      <c r="I1957" s="11">
        <f t="shared" si="65"/>
        <v>-5519.0800000000027</v>
      </c>
      <c r="J1957" s="12"/>
    </row>
    <row r="1958" spans="3:10" x14ac:dyDescent="0.3">
      <c r="C1958" s="8" t="s">
        <v>11</v>
      </c>
      <c r="D1958" s="9">
        <v>45688</v>
      </c>
      <c r="E1958" t="s">
        <v>1539</v>
      </c>
      <c r="F1958" s="10" t="s">
        <v>1540</v>
      </c>
      <c r="G1958" s="11">
        <v>0</v>
      </c>
      <c r="H1958" s="11">
        <v>27.18</v>
      </c>
      <c r="I1958" s="11">
        <f t="shared" si="65"/>
        <v>-5546.2600000000029</v>
      </c>
      <c r="J1958" s="12"/>
    </row>
    <row r="1959" spans="3:10" x14ac:dyDescent="0.3">
      <c r="C1959" s="8" t="s">
        <v>11</v>
      </c>
      <c r="D1959" s="9">
        <v>45688</v>
      </c>
      <c r="E1959" t="s">
        <v>1541</v>
      </c>
      <c r="F1959" s="10" t="s">
        <v>835</v>
      </c>
      <c r="G1959" s="11">
        <v>0</v>
      </c>
      <c r="H1959" s="11">
        <v>299.43</v>
      </c>
      <c r="I1959" s="11">
        <f t="shared" si="65"/>
        <v>-5845.6900000000032</v>
      </c>
      <c r="J1959" s="12"/>
    </row>
    <row r="1960" spans="3:10" x14ac:dyDescent="0.3">
      <c r="C1960" s="8" t="s">
        <v>11</v>
      </c>
      <c r="D1960" s="9">
        <v>45688</v>
      </c>
      <c r="E1960" t="s">
        <v>1541</v>
      </c>
      <c r="F1960" s="10" t="s">
        <v>837</v>
      </c>
      <c r="G1960" s="11">
        <v>0</v>
      </c>
      <c r="H1960" s="11">
        <v>40.01</v>
      </c>
      <c r="I1960" s="11">
        <f t="shared" si="65"/>
        <v>-5885.7000000000035</v>
      </c>
      <c r="J1960" s="12"/>
    </row>
    <row r="1961" spans="3:10" x14ac:dyDescent="0.3">
      <c r="C1961" s="8" t="s">
        <v>11</v>
      </c>
      <c r="D1961" s="9">
        <v>45688</v>
      </c>
      <c r="E1961" t="s">
        <v>1542</v>
      </c>
      <c r="F1961" s="10" t="s">
        <v>1543</v>
      </c>
      <c r="G1961" s="11">
        <v>0</v>
      </c>
      <c r="H1961" s="11">
        <v>169.38</v>
      </c>
      <c r="I1961" s="11">
        <f t="shared" si="65"/>
        <v>-6055.0800000000036</v>
      </c>
      <c r="J1961" s="12"/>
    </row>
    <row r="1962" spans="3:10" x14ac:dyDescent="0.3">
      <c r="C1962" s="8" t="s">
        <v>11</v>
      </c>
      <c r="D1962" s="9">
        <v>45688</v>
      </c>
      <c r="E1962" t="s">
        <v>1533</v>
      </c>
      <c r="F1962" s="10" t="s">
        <v>984</v>
      </c>
      <c r="G1962" s="11">
        <v>0</v>
      </c>
      <c r="H1962" s="11">
        <v>180.82</v>
      </c>
      <c r="I1962" s="11">
        <f t="shared" si="65"/>
        <v>-6235.9000000000033</v>
      </c>
      <c r="J1962" s="12"/>
    </row>
    <row r="1963" spans="3:10" x14ac:dyDescent="0.3">
      <c r="C1963" s="8" t="s">
        <v>11</v>
      </c>
      <c r="D1963" s="9">
        <v>45688</v>
      </c>
      <c r="E1963" t="s">
        <v>1520</v>
      </c>
      <c r="F1963" s="10" t="s">
        <v>748</v>
      </c>
      <c r="G1963" s="11">
        <v>0</v>
      </c>
      <c r="H1963" s="11">
        <v>116.19</v>
      </c>
      <c r="I1963" s="11">
        <f t="shared" si="65"/>
        <v>-6352.0900000000029</v>
      </c>
      <c r="J1963" s="12"/>
    </row>
    <row r="1964" spans="3:10" x14ac:dyDescent="0.3">
      <c r="C1964" s="8" t="s">
        <v>11</v>
      </c>
      <c r="D1964" s="9">
        <v>45688</v>
      </c>
      <c r="E1964" t="s">
        <v>1520</v>
      </c>
      <c r="F1964" s="10" t="s">
        <v>750</v>
      </c>
      <c r="G1964" s="11">
        <v>0</v>
      </c>
      <c r="H1964" s="11">
        <v>60.91</v>
      </c>
      <c r="I1964" s="11">
        <f t="shared" si="65"/>
        <v>-6413.0000000000027</v>
      </c>
      <c r="J1964" s="12"/>
    </row>
    <row r="1965" spans="3:10" x14ac:dyDescent="0.3">
      <c r="C1965" s="8" t="s">
        <v>11</v>
      </c>
      <c r="D1965" s="9">
        <v>45688</v>
      </c>
      <c r="E1965" t="s">
        <v>1520</v>
      </c>
      <c r="F1965" s="10" t="s">
        <v>752</v>
      </c>
      <c r="G1965" s="11">
        <v>0</v>
      </c>
      <c r="H1965" s="11">
        <v>52.5</v>
      </c>
      <c r="I1965" s="11">
        <f t="shared" si="65"/>
        <v>-6465.5000000000027</v>
      </c>
      <c r="J1965" s="12"/>
    </row>
    <row r="1966" spans="3:10" x14ac:dyDescent="0.3">
      <c r="C1966" s="8" t="s">
        <v>11</v>
      </c>
      <c r="D1966" s="9">
        <v>45688</v>
      </c>
      <c r="E1966" t="s">
        <v>1515</v>
      </c>
      <c r="F1966" s="10" t="s">
        <v>1544</v>
      </c>
      <c r="G1966" s="11">
        <v>0</v>
      </c>
      <c r="H1966" s="11">
        <v>374.71</v>
      </c>
      <c r="I1966" s="11">
        <f t="shared" si="65"/>
        <v>-6840.2100000000028</v>
      </c>
      <c r="J1966" s="12"/>
    </row>
    <row r="1967" spans="3:10" x14ac:dyDescent="0.3">
      <c r="C1967" s="8" t="s">
        <v>11</v>
      </c>
      <c r="D1967" s="9">
        <v>45688</v>
      </c>
      <c r="E1967" t="s">
        <v>1545</v>
      </c>
      <c r="F1967" s="10" t="s">
        <v>892</v>
      </c>
      <c r="G1967" s="11">
        <v>0</v>
      </c>
      <c r="H1967" s="11">
        <v>45.78</v>
      </c>
      <c r="I1967" s="11">
        <f t="shared" si="65"/>
        <v>-6885.9900000000025</v>
      </c>
      <c r="J1967" s="12"/>
    </row>
    <row r="1968" spans="3:10" x14ac:dyDescent="0.3">
      <c r="C1968" s="8" t="s">
        <v>11</v>
      </c>
      <c r="D1968" s="9">
        <v>45688</v>
      </c>
      <c r="E1968" t="s">
        <v>1520</v>
      </c>
      <c r="F1968" s="10" t="s">
        <v>754</v>
      </c>
      <c r="G1968" s="11">
        <v>0</v>
      </c>
      <c r="H1968" s="11">
        <v>114.11</v>
      </c>
      <c r="I1968" s="11">
        <f t="shared" si="65"/>
        <v>-7000.1000000000022</v>
      </c>
      <c r="J1968" s="12"/>
    </row>
    <row r="1969" spans="3:10" x14ac:dyDescent="0.3">
      <c r="C1969" s="8" t="s">
        <v>11</v>
      </c>
      <c r="D1969" s="9">
        <v>45688</v>
      </c>
      <c r="E1969" t="s">
        <v>1546</v>
      </c>
      <c r="F1969" s="10" t="s">
        <v>863</v>
      </c>
      <c r="G1969" s="11">
        <v>0</v>
      </c>
      <c r="H1969" s="11">
        <v>165.18</v>
      </c>
      <c r="I1969" s="11">
        <f t="shared" si="65"/>
        <v>-7165.2800000000025</v>
      </c>
      <c r="J1969" s="12"/>
    </row>
    <row r="1970" spans="3:10" x14ac:dyDescent="0.3">
      <c r="C1970" s="8" t="s">
        <v>11</v>
      </c>
      <c r="D1970" s="9">
        <v>45688</v>
      </c>
      <c r="E1970" t="s">
        <v>1533</v>
      </c>
      <c r="F1970" s="10" t="s">
        <v>986</v>
      </c>
      <c r="G1970" s="11">
        <v>0</v>
      </c>
      <c r="H1970" s="11">
        <v>145.59</v>
      </c>
      <c r="I1970" s="11">
        <f t="shared" si="65"/>
        <v>-7310.8700000000026</v>
      </c>
      <c r="J1970" s="12"/>
    </row>
    <row r="1971" spans="3:10" x14ac:dyDescent="0.3">
      <c r="C1971" s="8" t="s">
        <v>11</v>
      </c>
      <c r="D1971" s="9">
        <v>45688</v>
      </c>
      <c r="E1971" t="s">
        <v>1547</v>
      </c>
      <c r="F1971" s="10" t="s">
        <v>952</v>
      </c>
      <c r="G1971" s="11">
        <v>0</v>
      </c>
      <c r="H1971" s="11">
        <v>141.78</v>
      </c>
      <c r="I1971" s="11">
        <f t="shared" si="65"/>
        <v>-7452.6500000000024</v>
      </c>
      <c r="J1971" s="12"/>
    </row>
    <row r="1972" spans="3:10" x14ac:dyDescent="0.3">
      <c r="C1972" s="8" t="s">
        <v>11</v>
      </c>
      <c r="D1972" s="9">
        <v>45688</v>
      </c>
      <c r="E1972" t="s">
        <v>1525</v>
      </c>
      <c r="F1972" s="10" t="s">
        <v>1128</v>
      </c>
      <c r="G1972" s="11">
        <v>0</v>
      </c>
      <c r="H1972" s="11">
        <v>822.93</v>
      </c>
      <c r="I1972" s="11">
        <f t="shared" si="65"/>
        <v>-8275.5800000000017</v>
      </c>
      <c r="J1972" s="12"/>
    </row>
    <row r="1973" spans="3:10" x14ac:dyDescent="0.3">
      <c r="C1973" s="8" t="s">
        <v>11</v>
      </c>
      <c r="D1973" s="9">
        <v>45688</v>
      </c>
      <c r="E1973" t="s">
        <v>1548</v>
      </c>
      <c r="F1973" s="10" t="s">
        <v>1549</v>
      </c>
      <c r="G1973" s="11">
        <v>0</v>
      </c>
      <c r="H1973" s="11">
        <v>469.33</v>
      </c>
      <c r="I1973" s="11">
        <f t="shared" si="65"/>
        <v>-8744.9100000000017</v>
      </c>
      <c r="J1973" s="12"/>
    </row>
    <row r="1974" spans="3:10" x14ac:dyDescent="0.3">
      <c r="C1974" s="8" t="s">
        <v>11</v>
      </c>
      <c r="D1974" s="9">
        <v>45688</v>
      </c>
      <c r="E1974" t="s">
        <v>1550</v>
      </c>
      <c r="F1974" s="10" t="s">
        <v>1551</v>
      </c>
      <c r="G1974" s="11">
        <v>0</v>
      </c>
      <c r="H1974" s="11">
        <v>245.56</v>
      </c>
      <c r="I1974" s="11">
        <f t="shared" si="65"/>
        <v>-8990.4700000000012</v>
      </c>
      <c r="J1974" s="12"/>
    </row>
    <row r="1975" spans="3:10" x14ac:dyDescent="0.3">
      <c r="C1975" s="8" t="s">
        <v>11</v>
      </c>
      <c r="D1975" s="9">
        <v>45688</v>
      </c>
      <c r="E1975" t="s">
        <v>1552</v>
      </c>
      <c r="F1975" s="10" t="s">
        <v>686</v>
      </c>
      <c r="G1975" s="11">
        <v>0</v>
      </c>
      <c r="H1975" s="11">
        <v>1888.09</v>
      </c>
      <c r="I1975" s="11">
        <f t="shared" si="65"/>
        <v>-10878.560000000001</v>
      </c>
      <c r="J1975" s="12"/>
    </row>
    <row r="1976" spans="3:10" x14ac:dyDescent="0.3">
      <c r="C1976" s="8" t="s">
        <v>11</v>
      </c>
      <c r="D1976" s="9">
        <v>45691</v>
      </c>
      <c r="E1976" t="s">
        <v>1536</v>
      </c>
      <c r="F1976" s="10" t="s">
        <v>284</v>
      </c>
      <c r="G1976" s="11">
        <v>0</v>
      </c>
      <c r="H1976" s="11">
        <v>165.56</v>
      </c>
      <c r="I1976" s="11">
        <f t="shared" si="65"/>
        <v>-11044.12</v>
      </c>
      <c r="J1976" s="12"/>
    </row>
    <row r="1977" spans="3:10" x14ac:dyDescent="0.3">
      <c r="C1977" s="8" t="s">
        <v>11</v>
      </c>
      <c r="D1977" s="9">
        <v>45702</v>
      </c>
      <c r="E1977" t="s">
        <v>1545</v>
      </c>
      <c r="F1977" s="10" t="s">
        <v>894</v>
      </c>
      <c r="G1977" s="11">
        <v>0</v>
      </c>
      <c r="H1977" s="11">
        <v>43.79</v>
      </c>
      <c r="I1977" s="11">
        <f t="shared" si="65"/>
        <v>-11087.910000000002</v>
      </c>
      <c r="J1977" s="12"/>
    </row>
    <row r="1978" spans="3:10" x14ac:dyDescent="0.3">
      <c r="C1978" s="8" t="s">
        <v>11</v>
      </c>
      <c r="D1978" s="9">
        <v>45702</v>
      </c>
      <c r="E1978" t="s">
        <v>1545</v>
      </c>
      <c r="F1978" s="10" t="s">
        <v>896</v>
      </c>
      <c r="G1978" s="11">
        <v>0</v>
      </c>
      <c r="H1978" s="11">
        <v>223.37</v>
      </c>
      <c r="I1978" s="11">
        <f t="shared" si="65"/>
        <v>-11311.280000000002</v>
      </c>
      <c r="J1978" s="12"/>
    </row>
    <row r="1979" spans="3:10" x14ac:dyDescent="0.3">
      <c r="C1979" s="8" t="s">
        <v>11</v>
      </c>
      <c r="D1979" s="9">
        <v>45702</v>
      </c>
      <c r="E1979" t="s">
        <v>1553</v>
      </c>
      <c r="F1979" s="10" t="s">
        <v>1169</v>
      </c>
      <c r="G1979" s="11">
        <v>0</v>
      </c>
      <c r="H1979" s="11">
        <v>305.76</v>
      </c>
      <c r="I1979" s="11">
        <f t="shared" si="65"/>
        <v>-11617.040000000003</v>
      </c>
      <c r="J1979" s="12"/>
    </row>
    <row r="1980" spans="3:10" x14ac:dyDescent="0.3">
      <c r="C1980" s="8" t="s">
        <v>11</v>
      </c>
      <c r="D1980" s="9">
        <v>45702</v>
      </c>
      <c r="E1980" t="s">
        <v>1519</v>
      </c>
      <c r="F1980" s="10" t="s">
        <v>705</v>
      </c>
      <c r="G1980" s="11">
        <v>0</v>
      </c>
      <c r="H1980" s="11">
        <v>1124.71</v>
      </c>
      <c r="I1980" s="11">
        <f t="shared" si="65"/>
        <v>-12741.750000000004</v>
      </c>
      <c r="J1980" s="12"/>
    </row>
    <row r="1981" spans="3:10" x14ac:dyDescent="0.3">
      <c r="C1981" s="8" t="s">
        <v>11</v>
      </c>
      <c r="D1981" s="9">
        <v>45702</v>
      </c>
      <c r="E1981" t="s">
        <v>1534</v>
      </c>
      <c r="F1981" s="10" t="s">
        <v>1164</v>
      </c>
      <c r="G1981" s="11">
        <v>0</v>
      </c>
      <c r="H1981" s="11">
        <v>31.14</v>
      </c>
      <c r="I1981" s="11">
        <f t="shared" si="65"/>
        <v>-12772.890000000003</v>
      </c>
      <c r="J1981" s="12"/>
    </row>
    <row r="1982" spans="3:10" x14ac:dyDescent="0.3">
      <c r="C1982" s="8" t="s">
        <v>11</v>
      </c>
      <c r="D1982" s="9">
        <v>45702</v>
      </c>
      <c r="E1982" t="s">
        <v>1554</v>
      </c>
      <c r="F1982" s="10" t="s">
        <v>1555</v>
      </c>
      <c r="G1982" s="11">
        <v>0</v>
      </c>
      <c r="H1982" s="11">
        <v>49.26</v>
      </c>
      <c r="I1982" s="11">
        <f t="shared" si="65"/>
        <v>-12822.150000000003</v>
      </c>
      <c r="J1982" s="12"/>
    </row>
    <row r="1983" spans="3:10" x14ac:dyDescent="0.3">
      <c r="C1983" s="8" t="s">
        <v>11</v>
      </c>
      <c r="D1983" s="9">
        <v>45702</v>
      </c>
      <c r="E1983" t="s">
        <v>1556</v>
      </c>
      <c r="F1983" s="10" t="s">
        <v>1023</v>
      </c>
      <c r="G1983" s="11">
        <v>0</v>
      </c>
      <c r="H1983" s="11">
        <v>69.73</v>
      </c>
      <c r="I1983" s="11">
        <f t="shared" si="65"/>
        <v>-12891.880000000003</v>
      </c>
      <c r="J1983" s="12"/>
    </row>
    <row r="1984" spans="3:10" x14ac:dyDescent="0.3">
      <c r="C1984" s="8" t="s">
        <v>11</v>
      </c>
      <c r="D1984" s="9">
        <v>45702</v>
      </c>
      <c r="E1984" t="s">
        <v>1557</v>
      </c>
      <c r="F1984" s="10" t="s">
        <v>880</v>
      </c>
      <c r="G1984" s="11">
        <v>0</v>
      </c>
      <c r="H1984" s="11">
        <v>85.84</v>
      </c>
      <c r="I1984" s="11">
        <f t="shared" si="65"/>
        <v>-12977.720000000003</v>
      </c>
      <c r="J1984" s="12"/>
    </row>
    <row r="1985" spans="3:10" x14ac:dyDescent="0.3">
      <c r="C1985" s="8" t="s">
        <v>11</v>
      </c>
      <c r="D1985" s="9">
        <v>45702</v>
      </c>
      <c r="E1985" t="s">
        <v>1558</v>
      </c>
      <c r="F1985" s="10" t="s">
        <v>1559</v>
      </c>
      <c r="G1985" s="11">
        <v>0</v>
      </c>
      <c r="H1985" s="11">
        <v>118.08</v>
      </c>
      <c r="I1985" s="11">
        <f t="shared" si="65"/>
        <v>-13095.800000000003</v>
      </c>
      <c r="J1985" s="12"/>
    </row>
    <row r="1986" spans="3:10" x14ac:dyDescent="0.3">
      <c r="C1986" s="8" t="s">
        <v>11</v>
      </c>
      <c r="D1986" s="9">
        <v>45702</v>
      </c>
      <c r="E1986" t="s">
        <v>1560</v>
      </c>
      <c r="F1986" s="10" t="s">
        <v>1561</v>
      </c>
      <c r="G1986" s="11">
        <v>0</v>
      </c>
      <c r="H1986" s="11">
        <v>62.33</v>
      </c>
      <c r="I1986" s="11">
        <f t="shared" si="65"/>
        <v>-13158.130000000003</v>
      </c>
      <c r="J1986" s="12"/>
    </row>
    <row r="1987" spans="3:10" x14ac:dyDescent="0.3">
      <c r="C1987" s="8" t="s">
        <v>11</v>
      </c>
      <c r="D1987" s="9">
        <v>45702</v>
      </c>
      <c r="E1987" t="s">
        <v>1562</v>
      </c>
      <c r="F1987" s="10" t="s">
        <v>718</v>
      </c>
      <c r="G1987" s="11">
        <v>0</v>
      </c>
      <c r="H1987" s="11">
        <v>147.84</v>
      </c>
      <c r="I1987" s="11">
        <f t="shared" si="65"/>
        <v>-13305.970000000003</v>
      </c>
      <c r="J1987" s="12"/>
    </row>
    <row r="1988" spans="3:10" x14ac:dyDescent="0.3">
      <c r="C1988" s="8" t="s">
        <v>11</v>
      </c>
      <c r="D1988" s="9">
        <v>45702</v>
      </c>
      <c r="E1988" t="s">
        <v>1532</v>
      </c>
      <c r="F1988" s="10" t="s">
        <v>806</v>
      </c>
      <c r="G1988" s="11">
        <v>0</v>
      </c>
      <c r="H1988" s="11">
        <v>245.84</v>
      </c>
      <c r="I1988" s="11">
        <f t="shared" si="65"/>
        <v>-13551.810000000003</v>
      </c>
      <c r="J1988" s="12"/>
    </row>
    <row r="1989" spans="3:10" x14ac:dyDescent="0.3">
      <c r="C1989" s="8" t="s">
        <v>11</v>
      </c>
      <c r="D1989" s="9">
        <v>45702</v>
      </c>
      <c r="E1989" t="s">
        <v>1525</v>
      </c>
      <c r="F1989" s="10" t="s">
        <v>1130</v>
      </c>
      <c r="G1989" s="11">
        <v>0</v>
      </c>
      <c r="H1989" s="11">
        <v>82.11</v>
      </c>
      <c r="I1989" s="11">
        <f t="shared" si="65"/>
        <v>-13633.920000000004</v>
      </c>
      <c r="J1989" s="12"/>
    </row>
    <row r="1990" spans="3:10" x14ac:dyDescent="0.3">
      <c r="C1990" s="8" t="s">
        <v>11</v>
      </c>
      <c r="D1990" s="9">
        <v>45702</v>
      </c>
      <c r="E1990" t="s">
        <v>1529</v>
      </c>
      <c r="F1990" s="10" t="s">
        <v>1003</v>
      </c>
      <c r="G1990" s="11">
        <v>0</v>
      </c>
      <c r="H1990" s="11">
        <v>436.09</v>
      </c>
      <c r="I1990" s="11">
        <f t="shared" si="65"/>
        <v>-14070.010000000004</v>
      </c>
      <c r="J1990" s="12"/>
    </row>
    <row r="1991" spans="3:10" x14ac:dyDescent="0.3">
      <c r="C1991" s="8" t="s">
        <v>11</v>
      </c>
      <c r="D1991" s="9">
        <v>45702</v>
      </c>
      <c r="E1991" t="s">
        <v>1526</v>
      </c>
      <c r="F1991" s="10" t="s">
        <v>1111</v>
      </c>
      <c r="G1991" s="11">
        <v>0</v>
      </c>
      <c r="H1991" s="11">
        <v>148.56</v>
      </c>
      <c r="I1991" s="11">
        <f t="shared" si="65"/>
        <v>-14218.570000000003</v>
      </c>
      <c r="J1991" s="12"/>
    </row>
    <row r="1992" spans="3:10" x14ac:dyDescent="0.3">
      <c r="C1992" s="8" t="s">
        <v>11</v>
      </c>
      <c r="D1992" s="9">
        <v>45716</v>
      </c>
      <c r="E1992" t="s">
        <v>1563</v>
      </c>
      <c r="F1992" s="10" t="s">
        <v>915</v>
      </c>
      <c r="G1992" s="11">
        <v>0</v>
      </c>
      <c r="H1992" s="11">
        <v>97.63</v>
      </c>
      <c r="I1992" s="11">
        <f t="shared" si="65"/>
        <v>-14316.200000000003</v>
      </c>
      <c r="J1992" s="12"/>
    </row>
    <row r="1993" spans="3:10" x14ac:dyDescent="0.3">
      <c r="C1993" s="8" t="s">
        <v>11</v>
      </c>
      <c r="D1993" s="9">
        <v>45716</v>
      </c>
      <c r="E1993" t="s">
        <v>1563</v>
      </c>
      <c r="F1993" s="10" t="s">
        <v>917</v>
      </c>
      <c r="G1993" s="11">
        <v>0</v>
      </c>
      <c r="H1993" s="11">
        <v>36.229999999999997</v>
      </c>
      <c r="I1993" s="11">
        <f t="shared" si="65"/>
        <v>-14352.430000000002</v>
      </c>
      <c r="J1993" s="12"/>
    </row>
    <row r="1994" spans="3:10" x14ac:dyDescent="0.3">
      <c r="C1994" s="8" t="s">
        <v>11</v>
      </c>
      <c r="D1994" s="9">
        <v>45716</v>
      </c>
      <c r="E1994" t="s">
        <v>1563</v>
      </c>
      <c r="F1994" s="10" t="s">
        <v>919</v>
      </c>
      <c r="G1994" s="11">
        <v>0</v>
      </c>
      <c r="H1994" s="11">
        <v>56.41</v>
      </c>
      <c r="I1994" s="11">
        <f t="shared" si="65"/>
        <v>-14408.840000000002</v>
      </c>
      <c r="J1994" s="12"/>
    </row>
    <row r="1995" spans="3:10" x14ac:dyDescent="0.3">
      <c r="C1995" s="8" t="s">
        <v>11</v>
      </c>
      <c r="D1995" s="9">
        <v>45716</v>
      </c>
      <c r="E1995" t="s">
        <v>1563</v>
      </c>
      <c r="F1995" s="10" t="s">
        <v>921</v>
      </c>
      <c r="G1995" s="11">
        <v>0</v>
      </c>
      <c r="H1995" s="11">
        <v>285.64999999999998</v>
      </c>
      <c r="I1995" s="11">
        <f t="shared" si="65"/>
        <v>-14694.490000000002</v>
      </c>
      <c r="J1995" s="12"/>
    </row>
    <row r="1996" spans="3:10" x14ac:dyDescent="0.3">
      <c r="C1996" s="8" t="s">
        <v>11</v>
      </c>
      <c r="D1996" s="9">
        <v>45716</v>
      </c>
      <c r="E1996" t="s">
        <v>1564</v>
      </c>
      <c r="F1996" s="10" t="s">
        <v>1565</v>
      </c>
      <c r="G1996" s="11">
        <v>0</v>
      </c>
      <c r="H1996" s="11">
        <v>346</v>
      </c>
      <c r="I1996" s="11">
        <f t="shared" si="65"/>
        <v>-15040.490000000002</v>
      </c>
      <c r="J1996" s="12"/>
    </row>
    <row r="1997" spans="3:10" x14ac:dyDescent="0.3">
      <c r="C1997" s="8" t="s">
        <v>11</v>
      </c>
      <c r="D1997" s="9">
        <v>45716</v>
      </c>
      <c r="E1997" t="s">
        <v>1552</v>
      </c>
      <c r="F1997" s="10" t="s">
        <v>688</v>
      </c>
      <c r="G1997" s="11">
        <v>0</v>
      </c>
      <c r="H1997" s="11">
        <v>1697.36</v>
      </c>
      <c r="I1997" s="11">
        <f t="shared" si="65"/>
        <v>-16737.850000000002</v>
      </c>
      <c r="J1997" s="12"/>
    </row>
    <row r="1998" spans="3:10" x14ac:dyDescent="0.3">
      <c r="C1998" s="8" t="s">
        <v>11</v>
      </c>
      <c r="D1998" s="9">
        <v>45716</v>
      </c>
      <c r="E1998" t="s">
        <v>1532</v>
      </c>
      <c r="F1998" s="10" t="s">
        <v>809</v>
      </c>
      <c r="G1998" s="11">
        <v>0</v>
      </c>
      <c r="H1998" s="11">
        <v>493.65</v>
      </c>
      <c r="I1998" s="11">
        <f t="shared" si="65"/>
        <v>-17231.500000000004</v>
      </c>
      <c r="J1998" s="12"/>
    </row>
    <row r="1999" spans="3:10" x14ac:dyDescent="0.3">
      <c r="C1999" s="8" t="s">
        <v>11</v>
      </c>
      <c r="D1999" s="9">
        <v>45716</v>
      </c>
      <c r="E1999" t="s">
        <v>1566</v>
      </c>
      <c r="F1999" s="10" t="s">
        <v>1184</v>
      </c>
      <c r="G1999" s="11">
        <v>0</v>
      </c>
      <c r="H1999" s="11">
        <v>76.010000000000005</v>
      </c>
      <c r="I1999" s="11">
        <f t="shared" si="65"/>
        <v>-17307.510000000002</v>
      </c>
      <c r="J1999" s="12"/>
    </row>
    <row r="2000" spans="3:10" x14ac:dyDescent="0.3">
      <c r="C2000" s="8" t="s">
        <v>11</v>
      </c>
      <c r="D2000" s="9">
        <v>45716</v>
      </c>
      <c r="E2000" t="s">
        <v>1567</v>
      </c>
      <c r="F2000" s="10" t="s">
        <v>1568</v>
      </c>
      <c r="G2000" s="11">
        <v>0</v>
      </c>
      <c r="H2000" s="11">
        <v>391.89</v>
      </c>
      <c r="I2000" s="11">
        <f t="shared" si="65"/>
        <v>-17699.400000000001</v>
      </c>
      <c r="J2000" s="12"/>
    </row>
    <row r="2001" spans="3:10" x14ac:dyDescent="0.3">
      <c r="C2001" s="8" t="s">
        <v>11</v>
      </c>
      <c r="D2001" s="9">
        <v>45716</v>
      </c>
      <c r="E2001" t="s">
        <v>1525</v>
      </c>
      <c r="F2001" s="10" t="s">
        <v>1133</v>
      </c>
      <c r="G2001" s="11">
        <v>0</v>
      </c>
      <c r="H2001" s="11">
        <v>391.54</v>
      </c>
      <c r="I2001" s="11">
        <f t="shared" ref="I2001:I2064" si="66">G2001-H2001+I2000</f>
        <v>-18090.940000000002</v>
      </c>
      <c r="J2001" s="12"/>
    </row>
    <row r="2002" spans="3:10" x14ac:dyDescent="0.3">
      <c r="C2002" s="8" t="s">
        <v>11</v>
      </c>
      <c r="D2002" s="9">
        <v>45716</v>
      </c>
      <c r="E2002" t="s">
        <v>1569</v>
      </c>
      <c r="F2002" s="10" t="s">
        <v>1570</v>
      </c>
      <c r="G2002" s="11">
        <v>0</v>
      </c>
      <c r="H2002" s="11">
        <v>169.38</v>
      </c>
      <c r="I2002" s="11">
        <f t="shared" si="66"/>
        <v>-18260.320000000003</v>
      </c>
      <c r="J2002" s="12"/>
    </row>
    <row r="2003" spans="3:10" x14ac:dyDescent="0.3">
      <c r="C2003" s="8" t="s">
        <v>11</v>
      </c>
      <c r="D2003" s="9">
        <v>45716</v>
      </c>
      <c r="E2003" t="s">
        <v>1571</v>
      </c>
      <c r="F2003" s="10" t="s">
        <v>1572</v>
      </c>
      <c r="G2003" s="11">
        <v>0</v>
      </c>
      <c r="H2003" s="11">
        <v>981.87</v>
      </c>
      <c r="I2003" s="11">
        <f t="shared" si="66"/>
        <v>-19242.190000000002</v>
      </c>
      <c r="J2003" s="12"/>
    </row>
    <row r="2004" spans="3:10" x14ac:dyDescent="0.3">
      <c r="C2004" s="8" t="s">
        <v>11</v>
      </c>
      <c r="D2004" s="9">
        <v>45716</v>
      </c>
      <c r="E2004" t="s">
        <v>1520</v>
      </c>
      <c r="F2004" s="10" t="s">
        <v>756</v>
      </c>
      <c r="G2004" s="11">
        <v>0</v>
      </c>
      <c r="H2004" s="11">
        <v>243.23</v>
      </c>
      <c r="I2004" s="11">
        <f t="shared" si="66"/>
        <v>-19485.420000000002</v>
      </c>
      <c r="J2004" s="12"/>
    </row>
    <row r="2005" spans="3:10" x14ac:dyDescent="0.3">
      <c r="C2005" s="8" t="s">
        <v>11</v>
      </c>
      <c r="D2005" s="9">
        <v>45716</v>
      </c>
      <c r="E2005" t="s">
        <v>1553</v>
      </c>
      <c r="F2005" s="10" t="s">
        <v>1171</v>
      </c>
      <c r="G2005" s="11">
        <v>0</v>
      </c>
      <c r="H2005" s="11">
        <v>60</v>
      </c>
      <c r="I2005" s="11">
        <f t="shared" si="66"/>
        <v>-19545.420000000002</v>
      </c>
      <c r="J2005" s="12"/>
    </row>
    <row r="2006" spans="3:10" x14ac:dyDescent="0.3">
      <c r="C2006" s="8" t="s">
        <v>11</v>
      </c>
      <c r="D2006" s="9">
        <v>45716</v>
      </c>
      <c r="E2006" t="s">
        <v>1573</v>
      </c>
      <c r="F2006" s="10" t="s">
        <v>1574</v>
      </c>
      <c r="G2006" s="11">
        <v>0</v>
      </c>
      <c r="H2006" s="11">
        <v>18.239999999999998</v>
      </c>
      <c r="I2006" s="11">
        <f t="shared" si="66"/>
        <v>-19563.660000000003</v>
      </c>
      <c r="J2006" s="12"/>
    </row>
    <row r="2007" spans="3:10" x14ac:dyDescent="0.3">
      <c r="C2007" s="8" t="s">
        <v>11</v>
      </c>
      <c r="D2007" s="9">
        <v>45716</v>
      </c>
      <c r="E2007" t="s">
        <v>1573</v>
      </c>
      <c r="F2007" s="10" t="s">
        <v>1575</v>
      </c>
      <c r="G2007" s="11">
        <v>0</v>
      </c>
      <c r="H2007" s="11">
        <v>172.37</v>
      </c>
      <c r="I2007" s="11">
        <f t="shared" si="66"/>
        <v>-19736.030000000002</v>
      </c>
      <c r="J2007" s="12"/>
    </row>
    <row r="2008" spans="3:10" x14ac:dyDescent="0.3">
      <c r="C2008" s="8" t="s">
        <v>11</v>
      </c>
      <c r="D2008" s="9">
        <v>45716</v>
      </c>
      <c r="E2008" t="s">
        <v>1520</v>
      </c>
      <c r="F2008" s="10" t="s">
        <v>758</v>
      </c>
      <c r="G2008" s="11">
        <v>0</v>
      </c>
      <c r="H2008" s="11">
        <v>238.95</v>
      </c>
      <c r="I2008" s="11">
        <f t="shared" si="66"/>
        <v>-19974.980000000003</v>
      </c>
      <c r="J2008" s="12"/>
    </row>
    <row r="2009" spans="3:10" x14ac:dyDescent="0.3">
      <c r="C2009" s="8" t="s">
        <v>11</v>
      </c>
      <c r="D2009" s="9">
        <v>45716</v>
      </c>
      <c r="E2009" t="s">
        <v>1576</v>
      </c>
      <c r="F2009" s="10" t="s">
        <v>1075</v>
      </c>
      <c r="G2009" s="11">
        <v>0</v>
      </c>
      <c r="H2009" s="11">
        <v>10.24</v>
      </c>
      <c r="I2009" s="11">
        <f t="shared" si="66"/>
        <v>-19985.220000000005</v>
      </c>
      <c r="J2009" s="12"/>
    </row>
    <row r="2010" spans="3:10" x14ac:dyDescent="0.3">
      <c r="C2010" s="8" t="s">
        <v>11</v>
      </c>
      <c r="D2010" s="9">
        <v>45716</v>
      </c>
      <c r="E2010" t="s">
        <v>1577</v>
      </c>
      <c r="F2010" s="10" t="s">
        <v>1578</v>
      </c>
      <c r="G2010" s="11">
        <v>0</v>
      </c>
      <c r="H2010" s="11">
        <v>48.56</v>
      </c>
      <c r="I2010" s="11">
        <f t="shared" si="66"/>
        <v>-20033.780000000006</v>
      </c>
      <c r="J2010" s="12"/>
    </row>
    <row r="2011" spans="3:10" x14ac:dyDescent="0.3">
      <c r="C2011" s="8" t="s">
        <v>11</v>
      </c>
      <c r="D2011" s="9">
        <v>45716</v>
      </c>
      <c r="E2011" t="s">
        <v>1537</v>
      </c>
      <c r="F2011" s="10" t="s">
        <v>969</v>
      </c>
      <c r="G2011" s="11">
        <v>0</v>
      </c>
      <c r="H2011" s="11">
        <v>209.01</v>
      </c>
      <c r="I2011" s="11">
        <f t="shared" si="66"/>
        <v>-20242.790000000005</v>
      </c>
      <c r="J2011" s="12"/>
    </row>
    <row r="2012" spans="3:10" x14ac:dyDescent="0.3">
      <c r="C2012" s="8" t="s">
        <v>11</v>
      </c>
      <c r="D2012" s="9">
        <v>45716</v>
      </c>
      <c r="E2012" t="s">
        <v>1523</v>
      </c>
      <c r="F2012" s="10" t="s">
        <v>1579</v>
      </c>
      <c r="G2012" s="11">
        <v>0</v>
      </c>
      <c r="H2012" s="11">
        <v>5.51</v>
      </c>
      <c r="I2012" s="11">
        <f t="shared" si="66"/>
        <v>-20248.300000000003</v>
      </c>
      <c r="J2012" s="12"/>
    </row>
    <row r="2013" spans="3:10" x14ac:dyDescent="0.3">
      <c r="C2013" s="8" t="s">
        <v>11</v>
      </c>
      <c r="D2013" s="9">
        <v>45720</v>
      </c>
      <c r="E2013" t="s">
        <v>1536</v>
      </c>
      <c r="F2013" s="10" t="s">
        <v>286</v>
      </c>
      <c r="G2013" s="11">
        <v>0</v>
      </c>
      <c r="H2013" s="11">
        <v>125.37</v>
      </c>
      <c r="I2013" s="11">
        <f t="shared" si="66"/>
        <v>-20373.670000000002</v>
      </c>
      <c r="J2013" s="12"/>
    </row>
    <row r="2014" spans="3:10" x14ac:dyDescent="0.3">
      <c r="C2014" s="8" t="s">
        <v>11</v>
      </c>
      <c r="D2014" s="9">
        <v>45721</v>
      </c>
      <c r="E2014" t="s">
        <v>1580</v>
      </c>
      <c r="F2014" s="10" t="s">
        <v>1581</v>
      </c>
      <c r="G2014" s="11">
        <v>0</v>
      </c>
      <c r="H2014" s="11">
        <v>94.47</v>
      </c>
      <c r="I2014" s="11">
        <f t="shared" si="66"/>
        <v>-20468.140000000003</v>
      </c>
      <c r="J2014" s="12"/>
    </row>
    <row r="2015" spans="3:10" x14ac:dyDescent="0.3">
      <c r="C2015" s="8" t="s">
        <v>11</v>
      </c>
      <c r="D2015" s="9">
        <v>45722</v>
      </c>
      <c r="E2015" t="s">
        <v>1582</v>
      </c>
      <c r="F2015" s="10" t="s">
        <v>1328</v>
      </c>
      <c r="G2015" s="11">
        <v>0</v>
      </c>
      <c r="H2015" s="11">
        <v>28.22</v>
      </c>
      <c r="I2015" s="11">
        <f t="shared" si="66"/>
        <v>-20496.360000000004</v>
      </c>
      <c r="J2015" s="12"/>
    </row>
    <row r="2016" spans="3:10" x14ac:dyDescent="0.3">
      <c r="C2016" s="8" t="s">
        <v>11</v>
      </c>
      <c r="D2016" s="9">
        <v>45730</v>
      </c>
      <c r="E2016" t="s">
        <v>1545</v>
      </c>
      <c r="F2016" s="10" t="s">
        <v>898</v>
      </c>
      <c r="G2016" s="11">
        <v>0</v>
      </c>
      <c r="H2016" s="11">
        <v>283.76</v>
      </c>
      <c r="I2016" s="11">
        <f t="shared" si="66"/>
        <v>-20780.120000000003</v>
      </c>
      <c r="J2016" s="12"/>
    </row>
    <row r="2017" spans="3:10" x14ac:dyDescent="0.3">
      <c r="C2017" s="8" t="s">
        <v>11</v>
      </c>
      <c r="D2017" s="9">
        <v>45730</v>
      </c>
      <c r="E2017" t="s">
        <v>1583</v>
      </c>
      <c r="F2017" s="10" t="s">
        <v>1067</v>
      </c>
      <c r="G2017" s="11">
        <v>0</v>
      </c>
      <c r="H2017" s="11">
        <v>37.340000000000003</v>
      </c>
      <c r="I2017" s="11">
        <f t="shared" si="66"/>
        <v>-20817.460000000003</v>
      </c>
      <c r="J2017" s="12"/>
    </row>
    <row r="2018" spans="3:10" x14ac:dyDescent="0.3">
      <c r="C2018" s="8" t="s">
        <v>11</v>
      </c>
      <c r="D2018" s="9">
        <v>45730</v>
      </c>
      <c r="E2018" t="s">
        <v>1584</v>
      </c>
      <c r="F2018" s="10" t="s">
        <v>1585</v>
      </c>
      <c r="G2018" s="11">
        <v>0</v>
      </c>
      <c r="H2018" s="11">
        <v>83.32</v>
      </c>
      <c r="I2018" s="11">
        <f t="shared" si="66"/>
        <v>-20900.780000000002</v>
      </c>
      <c r="J2018" s="12"/>
    </row>
    <row r="2019" spans="3:10" x14ac:dyDescent="0.3">
      <c r="C2019" s="8" t="s">
        <v>11</v>
      </c>
      <c r="D2019" s="9">
        <v>45730</v>
      </c>
      <c r="E2019" t="s">
        <v>1557</v>
      </c>
      <c r="F2019" s="10" t="s">
        <v>882</v>
      </c>
      <c r="G2019" s="11">
        <v>0</v>
      </c>
      <c r="H2019" s="11">
        <v>116.56</v>
      </c>
      <c r="I2019" s="11">
        <f t="shared" si="66"/>
        <v>-21017.340000000004</v>
      </c>
      <c r="J2019" s="12"/>
    </row>
    <row r="2020" spans="3:10" x14ac:dyDescent="0.3">
      <c r="C2020" s="8" t="s">
        <v>11</v>
      </c>
      <c r="D2020" s="9">
        <v>45730</v>
      </c>
      <c r="E2020" t="s">
        <v>1517</v>
      </c>
      <c r="F2020" s="10" t="s">
        <v>1586</v>
      </c>
      <c r="G2020" s="11">
        <v>0</v>
      </c>
      <c r="H2020" s="11">
        <v>146.9</v>
      </c>
      <c r="I2020" s="11">
        <f t="shared" si="66"/>
        <v>-21164.240000000005</v>
      </c>
      <c r="J2020" s="12"/>
    </row>
    <row r="2021" spans="3:10" x14ac:dyDescent="0.3">
      <c r="C2021" s="8" t="s">
        <v>11</v>
      </c>
      <c r="D2021" s="9">
        <v>45730</v>
      </c>
      <c r="E2021" t="s">
        <v>1587</v>
      </c>
      <c r="F2021" s="10" t="s">
        <v>1588</v>
      </c>
      <c r="G2021" s="11">
        <v>0</v>
      </c>
      <c r="H2021" s="11">
        <v>297.56</v>
      </c>
      <c r="I2021" s="11">
        <f t="shared" si="66"/>
        <v>-21461.800000000007</v>
      </c>
      <c r="J2021" s="12"/>
    </row>
    <row r="2022" spans="3:10" x14ac:dyDescent="0.3">
      <c r="C2022" s="8" t="s">
        <v>11</v>
      </c>
      <c r="D2022" s="9">
        <v>45730</v>
      </c>
      <c r="E2022" t="s">
        <v>1525</v>
      </c>
      <c r="F2022" s="10" t="s">
        <v>1135</v>
      </c>
      <c r="G2022" s="11">
        <v>0</v>
      </c>
      <c r="H2022" s="11">
        <v>505</v>
      </c>
      <c r="I2022" s="11">
        <f t="shared" si="66"/>
        <v>-21966.800000000007</v>
      </c>
      <c r="J2022" s="12"/>
    </row>
    <row r="2023" spans="3:10" x14ac:dyDescent="0.3">
      <c r="C2023" s="8" t="s">
        <v>11</v>
      </c>
      <c r="D2023" s="9">
        <v>45730</v>
      </c>
      <c r="E2023" t="s">
        <v>1533</v>
      </c>
      <c r="F2023" s="10" t="s">
        <v>988</v>
      </c>
      <c r="G2023" s="11">
        <v>0</v>
      </c>
      <c r="H2023" s="11">
        <v>222.74</v>
      </c>
      <c r="I2023" s="11">
        <f t="shared" si="66"/>
        <v>-22189.540000000008</v>
      </c>
      <c r="J2023" s="12"/>
    </row>
    <row r="2024" spans="3:10" x14ac:dyDescent="0.3">
      <c r="C2024" s="8" t="s">
        <v>11</v>
      </c>
      <c r="D2024" s="9">
        <v>45730</v>
      </c>
      <c r="E2024" t="s">
        <v>1556</v>
      </c>
      <c r="F2024" s="10" t="s">
        <v>1025</v>
      </c>
      <c r="G2024" s="11">
        <v>0</v>
      </c>
      <c r="H2024" s="11">
        <v>22.84</v>
      </c>
      <c r="I2024" s="11">
        <f t="shared" si="66"/>
        <v>-22212.380000000008</v>
      </c>
      <c r="J2024" s="12"/>
    </row>
    <row r="2025" spans="3:10" x14ac:dyDescent="0.3">
      <c r="C2025" s="8" t="s">
        <v>11</v>
      </c>
      <c r="D2025" s="9">
        <v>45730</v>
      </c>
      <c r="E2025" t="s">
        <v>1589</v>
      </c>
      <c r="F2025" s="10" t="s">
        <v>962</v>
      </c>
      <c r="G2025" s="11">
        <v>0</v>
      </c>
      <c r="H2025" s="11">
        <v>77.83</v>
      </c>
      <c r="I2025" s="11">
        <f t="shared" si="66"/>
        <v>-22290.21000000001</v>
      </c>
      <c r="J2025" s="12"/>
    </row>
    <row r="2026" spans="3:10" x14ac:dyDescent="0.3">
      <c r="C2026" s="8" t="s">
        <v>11</v>
      </c>
      <c r="D2026" s="9">
        <v>45730</v>
      </c>
      <c r="E2026" t="s">
        <v>1590</v>
      </c>
      <c r="F2026" s="10" t="s">
        <v>1591</v>
      </c>
      <c r="G2026" s="11">
        <v>0</v>
      </c>
      <c r="H2026" s="11">
        <v>77.7</v>
      </c>
      <c r="I2026" s="11">
        <f t="shared" si="66"/>
        <v>-22367.910000000011</v>
      </c>
      <c r="J2026" s="12"/>
    </row>
    <row r="2027" spans="3:10" x14ac:dyDescent="0.3">
      <c r="C2027" s="8" t="s">
        <v>11</v>
      </c>
      <c r="D2027" s="9">
        <v>45730</v>
      </c>
      <c r="E2027" t="s">
        <v>1592</v>
      </c>
      <c r="F2027" s="10" t="s">
        <v>1039</v>
      </c>
      <c r="G2027" s="11">
        <v>0</v>
      </c>
      <c r="H2027" s="11">
        <v>213.57</v>
      </c>
      <c r="I2027" s="11">
        <f t="shared" si="66"/>
        <v>-22581.48000000001</v>
      </c>
      <c r="J2027" s="12"/>
    </row>
    <row r="2028" spans="3:10" x14ac:dyDescent="0.3">
      <c r="C2028" s="8" t="s">
        <v>11</v>
      </c>
      <c r="D2028" s="9">
        <v>45730</v>
      </c>
      <c r="E2028" t="s">
        <v>1520</v>
      </c>
      <c r="F2028" s="10" t="s">
        <v>760</v>
      </c>
      <c r="G2028" s="11">
        <v>0</v>
      </c>
      <c r="H2028" s="11">
        <v>335.35</v>
      </c>
      <c r="I2028" s="11">
        <f t="shared" si="66"/>
        <v>-22916.830000000009</v>
      </c>
      <c r="J2028" s="12"/>
    </row>
    <row r="2029" spans="3:10" x14ac:dyDescent="0.3">
      <c r="C2029" s="8" t="s">
        <v>11</v>
      </c>
      <c r="D2029" s="9">
        <v>45730</v>
      </c>
      <c r="E2029" t="s">
        <v>1558</v>
      </c>
      <c r="F2029" s="10" t="s">
        <v>1593</v>
      </c>
      <c r="G2029" s="11">
        <v>0</v>
      </c>
      <c r="H2029" s="11">
        <v>160.94</v>
      </c>
      <c r="I2029" s="11">
        <f t="shared" si="66"/>
        <v>-23077.770000000008</v>
      </c>
      <c r="J2029" s="12"/>
    </row>
    <row r="2030" spans="3:10" x14ac:dyDescent="0.3">
      <c r="C2030" s="8" t="s">
        <v>11</v>
      </c>
      <c r="D2030" s="9">
        <v>45747</v>
      </c>
      <c r="E2030" t="s">
        <v>1552</v>
      </c>
      <c r="F2030" s="10" t="s">
        <v>690</v>
      </c>
      <c r="G2030" s="11">
        <v>0</v>
      </c>
      <c r="H2030" s="11">
        <v>1462.57</v>
      </c>
      <c r="I2030" s="11">
        <f t="shared" si="66"/>
        <v>-24540.340000000007</v>
      </c>
      <c r="J2030" s="12"/>
    </row>
    <row r="2031" spans="3:10" x14ac:dyDescent="0.3">
      <c r="C2031" s="8" t="s">
        <v>11</v>
      </c>
      <c r="D2031" s="9">
        <v>45747</v>
      </c>
      <c r="E2031" t="s">
        <v>1545</v>
      </c>
      <c r="F2031" s="10" t="s">
        <v>900</v>
      </c>
      <c r="G2031" s="11">
        <v>0</v>
      </c>
      <c r="H2031" s="11">
        <v>288.95999999999998</v>
      </c>
      <c r="I2031" s="11">
        <f t="shared" si="66"/>
        <v>-24829.300000000007</v>
      </c>
      <c r="J2031" s="12"/>
    </row>
    <row r="2032" spans="3:10" x14ac:dyDescent="0.3">
      <c r="C2032" s="8" t="s">
        <v>11</v>
      </c>
      <c r="D2032" s="9">
        <v>45747</v>
      </c>
      <c r="E2032" t="s">
        <v>1584</v>
      </c>
      <c r="F2032" s="10" t="s">
        <v>1594</v>
      </c>
      <c r="G2032" s="11">
        <v>0</v>
      </c>
      <c r="H2032" s="11">
        <v>157.72999999999999</v>
      </c>
      <c r="I2032" s="11">
        <f t="shared" si="66"/>
        <v>-24987.030000000006</v>
      </c>
      <c r="J2032" s="12"/>
    </row>
    <row r="2033" spans="3:10" x14ac:dyDescent="0.3">
      <c r="C2033" s="8" t="s">
        <v>11</v>
      </c>
      <c r="D2033" s="9">
        <v>45747</v>
      </c>
      <c r="E2033" t="s">
        <v>1557</v>
      </c>
      <c r="F2033" s="10" t="s">
        <v>884</v>
      </c>
      <c r="G2033" s="11">
        <v>0</v>
      </c>
      <c r="H2033" s="11">
        <v>272.08</v>
      </c>
      <c r="I2033" s="11">
        <f t="shared" si="66"/>
        <v>-25259.110000000008</v>
      </c>
      <c r="J2033" s="12"/>
    </row>
    <row r="2034" spans="3:10" x14ac:dyDescent="0.3">
      <c r="C2034" s="8" t="s">
        <v>11</v>
      </c>
      <c r="D2034" s="9">
        <v>45747</v>
      </c>
      <c r="E2034" t="s">
        <v>1520</v>
      </c>
      <c r="F2034" s="10" t="s">
        <v>762</v>
      </c>
      <c r="G2034" s="11">
        <v>0</v>
      </c>
      <c r="H2034" s="11">
        <v>275.31</v>
      </c>
      <c r="I2034" s="11">
        <f t="shared" si="66"/>
        <v>-25534.420000000009</v>
      </c>
      <c r="J2034" s="12"/>
    </row>
    <row r="2035" spans="3:10" x14ac:dyDescent="0.3">
      <c r="C2035" s="8" t="s">
        <v>11</v>
      </c>
      <c r="D2035" s="9">
        <v>45747</v>
      </c>
      <c r="E2035" t="s">
        <v>1520</v>
      </c>
      <c r="F2035" s="10" t="s">
        <v>764</v>
      </c>
      <c r="G2035" s="11">
        <v>0</v>
      </c>
      <c r="H2035" s="11">
        <v>165.66</v>
      </c>
      <c r="I2035" s="11">
        <f t="shared" si="66"/>
        <v>-25700.080000000009</v>
      </c>
      <c r="J2035" s="12"/>
    </row>
    <row r="2036" spans="3:10" x14ac:dyDescent="0.3">
      <c r="C2036" s="8" t="s">
        <v>11</v>
      </c>
      <c r="D2036" s="9">
        <v>45747</v>
      </c>
      <c r="E2036" t="s">
        <v>1520</v>
      </c>
      <c r="F2036" s="10" t="s">
        <v>766</v>
      </c>
      <c r="G2036" s="11">
        <v>0</v>
      </c>
      <c r="H2036" s="11">
        <v>417.53</v>
      </c>
      <c r="I2036" s="11">
        <f t="shared" si="66"/>
        <v>-26117.610000000008</v>
      </c>
      <c r="J2036" s="12"/>
    </row>
    <row r="2037" spans="3:10" x14ac:dyDescent="0.3">
      <c r="C2037" s="8" t="s">
        <v>11</v>
      </c>
      <c r="D2037" s="9">
        <v>45747</v>
      </c>
      <c r="E2037" t="s">
        <v>1592</v>
      </c>
      <c r="F2037" s="10" t="s">
        <v>1041</v>
      </c>
      <c r="G2037" s="11">
        <v>0</v>
      </c>
      <c r="H2037" s="11">
        <v>100.93</v>
      </c>
      <c r="I2037" s="11">
        <f t="shared" si="66"/>
        <v>-26218.540000000008</v>
      </c>
      <c r="J2037" s="12"/>
    </row>
    <row r="2038" spans="3:10" x14ac:dyDescent="0.3">
      <c r="C2038" s="8" t="s">
        <v>11</v>
      </c>
      <c r="D2038" s="9">
        <v>45747</v>
      </c>
      <c r="E2038" t="s">
        <v>1530</v>
      </c>
      <c r="F2038" s="10" t="s">
        <v>1595</v>
      </c>
      <c r="G2038" s="11">
        <v>0</v>
      </c>
      <c r="H2038" s="11">
        <v>32.31</v>
      </c>
      <c r="I2038" s="11">
        <f t="shared" si="66"/>
        <v>-26250.850000000009</v>
      </c>
      <c r="J2038" s="12"/>
    </row>
    <row r="2039" spans="3:10" x14ac:dyDescent="0.3">
      <c r="C2039" s="8" t="s">
        <v>11</v>
      </c>
      <c r="D2039" s="9">
        <v>45747</v>
      </c>
      <c r="E2039" t="s">
        <v>1596</v>
      </c>
      <c r="F2039" s="10" t="s">
        <v>1597</v>
      </c>
      <c r="G2039" s="11">
        <v>0</v>
      </c>
      <c r="H2039" s="11">
        <v>115.33</v>
      </c>
      <c r="I2039" s="11">
        <f t="shared" si="66"/>
        <v>-26366.180000000011</v>
      </c>
      <c r="J2039" s="12"/>
    </row>
    <row r="2040" spans="3:10" x14ac:dyDescent="0.3">
      <c r="C2040" s="8" t="s">
        <v>11</v>
      </c>
      <c r="D2040" s="9">
        <v>45747</v>
      </c>
      <c r="E2040" t="s">
        <v>1521</v>
      </c>
      <c r="F2040" s="10" t="s">
        <v>1598</v>
      </c>
      <c r="G2040" s="11">
        <v>0</v>
      </c>
      <c r="H2040" s="11">
        <v>68.64</v>
      </c>
      <c r="I2040" s="11">
        <f t="shared" si="66"/>
        <v>-26434.820000000011</v>
      </c>
      <c r="J2040" s="12"/>
    </row>
    <row r="2041" spans="3:10" x14ac:dyDescent="0.3">
      <c r="C2041" s="8" t="s">
        <v>11</v>
      </c>
      <c r="D2041" s="9">
        <v>45747</v>
      </c>
      <c r="E2041" t="s">
        <v>1537</v>
      </c>
      <c r="F2041" s="10" t="s">
        <v>971</v>
      </c>
      <c r="G2041" s="11">
        <v>0</v>
      </c>
      <c r="H2041" s="11">
        <v>458.08</v>
      </c>
      <c r="I2041" s="11">
        <f t="shared" si="66"/>
        <v>-26892.900000000012</v>
      </c>
      <c r="J2041" s="12"/>
    </row>
    <row r="2042" spans="3:10" x14ac:dyDescent="0.3">
      <c r="C2042" s="8" t="s">
        <v>11</v>
      </c>
      <c r="D2042" s="9">
        <v>45747</v>
      </c>
      <c r="E2042" t="s">
        <v>1560</v>
      </c>
      <c r="F2042" s="10" t="s">
        <v>1599</v>
      </c>
      <c r="G2042" s="11">
        <v>0</v>
      </c>
      <c r="H2042" s="11">
        <v>306.63</v>
      </c>
      <c r="I2042" s="11">
        <f t="shared" si="66"/>
        <v>-27199.530000000013</v>
      </c>
      <c r="J2042" s="12"/>
    </row>
    <row r="2043" spans="3:10" x14ac:dyDescent="0.3">
      <c r="C2043" s="8" t="s">
        <v>11</v>
      </c>
      <c r="D2043" s="9">
        <v>45747</v>
      </c>
      <c r="E2043" t="s">
        <v>1600</v>
      </c>
      <c r="F2043" s="10" t="s">
        <v>1050</v>
      </c>
      <c r="G2043" s="11">
        <v>0</v>
      </c>
      <c r="H2043" s="11">
        <v>66.19</v>
      </c>
      <c r="I2043" s="11">
        <f t="shared" si="66"/>
        <v>-27265.720000000012</v>
      </c>
      <c r="J2043" s="12"/>
    </row>
    <row r="2044" spans="3:10" x14ac:dyDescent="0.3">
      <c r="C2044" s="8" t="s">
        <v>11</v>
      </c>
      <c r="D2044" s="9">
        <v>45747</v>
      </c>
      <c r="E2044" t="s">
        <v>1576</v>
      </c>
      <c r="F2044" s="10" t="s">
        <v>1077</v>
      </c>
      <c r="G2044" s="11">
        <v>0</v>
      </c>
      <c r="H2044" s="11">
        <v>619.96</v>
      </c>
      <c r="I2044" s="11">
        <f t="shared" si="66"/>
        <v>-27885.680000000011</v>
      </c>
      <c r="J2044" s="12"/>
    </row>
    <row r="2045" spans="3:10" x14ac:dyDescent="0.3">
      <c r="C2045" s="8" t="s">
        <v>11</v>
      </c>
      <c r="D2045" s="9">
        <v>45747</v>
      </c>
      <c r="E2045" t="s">
        <v>1541</v>
      </c>
      <c r="F2045" s="10" t="s">
        <v>840</v>
      </c>
      <c r="G2045" s="11">
        <v>0</v>
      </c>
      <c r="H2045" s="11">
        <v>2079</v>
      </c>
      <c r="I2045" s="11">
        <f t="shared" si="66"/>
        <v>-29964.680000000011</v>
      </c>
      <c r="J2045" s="12"/>
    </row>
    <row r="2046" spans="3:10" x14ac:dyDescent="0.3">
      <c r="C2046" s="8" t="s">
        <v>11</v>
      </c>
      <c r="D2046" s="9">
        <v>45747</v>
      </c>
      <c r="E2046" t="s">
        <v>1601</v>
      </c>
      <c r="F2046" s="10" t="s">
        <v>1602</v>
      </c>
      <c r="G2046" s="11">
        <v>0</v>
      </c>
      <c r="H2046" s="11">
        <v>62.7</v>
      </c>
      <c r="I2046" s="11">
        <f t="shared" si="66"/>
        <v>-30027.380000000012</v>
      </c>
      <c r="J2046" s="12"/>
    </row>
    <row r="2047" spans="3:10" x14ac:dyDescent="0.3">
      <c r="C2047" s="8" t="s">
        <v>11</v>
      </c>
      <c r="D2047" s="9">
        <v>45747</v>
      </c>
      <c r="E2047" t="s">
        <v>1603</v>
      </c>
      <c r="F2047" s="10" t="s">
        <v>1604</v>
      </c>
      <c r="G2047" s="11">
        <v>0</v>
      </c>
      <c r="H2047" s="11">
        <v>37.799999999999997</v>
      </c>
      <c r="I2047" s="11">
        <f t="shared" si="66"/>
        <v>-30065.180000000011</v>
      </c>
      <c r="J2047" s="12"/>
    </row>
    <row r="2048" spans="3:10" x14ac:dyDescent="0.3">
      <c r="C2048" s="8" t="s">
        <v>11</v>
      </c>
      <c r="D2048" s="9">
        <v>45747</v>
      </c>
      <c r="E2048" t="s">
        <v>1550</v>
      </c>
      <c r="F2048" s="10" t="s">
        <v>1605</v>
      </c>
      <c r="G2048" s="11">
        <v>0</v>
      </c>
      <c r="H2048" s="11">
        <v>187.7</v>
      </c>
      <c r="I2048" s="11">
        <f t="shared" si="66"/>
        <v>-30252.880000000012</v>
      </c>
      <c r="J2048" s="12"/>
    </row>
    <row r="2049" spans="3:10" x14ac:dyDescent="0.3">
      <c r="C2049" s="8" t="s">
        <v>11</v>
      </c>
      <c r="D2049" s="9">
        <v>45747</v>
      </c>
      <c r="E2049" t="s">
        <v>1532</v>
      </c>
      <c r="F2049" s="10" t="s">
        <v>812</v>
      </c>
      <c r="G2049" s="11">
        <v>0</v>
      </c>
      <c r="H2049" s="11">
        <v>158</v>
      </c>
      <c r="I2049" s="11">
        <f t="shared" si="66"/>
        <v>-30410.880000000012</v>
      </c>
      <c r="J2049" s="12"/>
    </row>
    <row r="2050" spans="3:10" x14ac:dyDescent="0.3">
      <c r="C2050" s="8" t="s">
        <v>11</v>
      </c>
      <c r="D2050" s="9">
        <v>45747</v>
      </c>
      <c r="E2050" t="s">
        <v>1556</v>
      </c>
      <c r="F2050" s="10" t="s">
        <v>1027</v>
      </c>
      <c r="G2050" s="11">
        <v>0</v>
      </c>
      <c r="H2050" s="11">
        <v>145.06</v>
      </c>
      <c r="I2050" s="11">
        <f t="shared" si="66"/>
        <v>-30555.940000000013</v>
      </c>
      <c r="J2050" s="12"/>
    </row>
    <row r="2051" spans="3:10" x14ac:dyDescent="0.3">
      <c r="C2051" s="8" t="s">
        <v>11</v>
      </c>
      <c r="D2051" s="9">
        <v>45747</v>
      </c>
      <c r="E2051" t="s">
        <v>1529</v>
      </c>
      <c r="F2051" s="10" t="s">
        <v>1005</v>
      </c>
      <c r="G2051" s="11">
        <v>0</v>
      </c>
      <c r="H2051" s="11">
        <v>238.3</v>
      </c>
      <c r="I2051" s="11">
        <f t="shared" si="66"/>
        <v>-30794.240000000013</v>
      </c>
      <c r="J2051" s="12"/>
    </row>
    <row r="2052" spans="3:10" x14ac:dyDescent="0.3">
      <c r="C2052" s="8" t="s">
        <v>11</v>
      </c>
      <c r="D2052" s="9">
        <v>45747</v>
      </c>
      <c r="E2052" t="s">
        <v>1351</v>
      </c>
      <c r="F2052" s="10" t="s">
        <v>1352</v>
      </c>
      <c r="G2052" s="11">
        <v>30794.240000000002</v>
      </c>
      <c r="H2052" s="11">
        <v>0</v>
      </c>
      <c r="I2052" s="11">
        <f t="shared" si="66"/>
        <v>0</v>
      </c>
      <c r="J2052" s="12"/>
    </row>
    <row r="2053" spans="3:10" x14ac:dyDescent="0.3">
      <c r="C2053" s="8" t="s">
        <v>11</v>
      </c>
      <c r="D2053" s="9">
        <v>45761</v>
      </c>
      <c r="E2053" t="s">
        <v>1520</v>
      </c>
      <c r="F2053" s="10" t="s">
        <v>769</v>
      </c>
      <c r="G2053" s="11">
        <v>0</v>
      </c>
      <c r="H2053" s="11">
        <v>111.51</v>
      </c>
      <c r="I2053" s="11">
        <f t="shared" si="66"/>
        <v>-111.51</v>
      </c>
      <c r="J2053" s="12"/>
    </row>
    <row r="2054" spans="3:10" x14ac:dyDescent="0.3">
      <c r="C2054" s="8" t="s">
        <v>11</v>
      </c>
      <c r="D2054" s="9">
        <v>45761</v>
      </c>
      <c r="E2054" t="s">
        <v>1606</v>
      </c>
      <c r="F2054" s="10" t="s">
        <v>1121</v>
      </c>
      <c r="G2054" s="11">
        <v>0</v>
      </c>
      <c r="H2054" s="11">
        <v>32.450000000000003</v>
      </c>
      <c r="I2054" s="11">
        <f t="shared" si="66"/>
        <v>-143.96</v>
      </c>
      <c r="J2054" s="12"/>
    </row>
    <row r="2055" spans="3:10" x14ac:dyDescent="0.3">
      <c r="C2055" s="8" t="s">
        <v>11</v>
      </c>
      <c r="D2055" s="9">
        <v>45761</v>
      </c>
      <c r="E2055" t="s">
        <v>1553</v>
      </c>
      <c r="F2055" s="10" t="s">
        <v>1173</v>
      </c>
      <c r="G2055" s="11">
        <v>0</v>
      </c>
      <c r="H2055" s="11">
        <v>60</v>
      </c>
      <c r="I2055" s="11">
        <f t="shared" si="66"/>
        <v>-203.96</v>
      </c>
      <c r="J2055" s="12"/>
    </row>
    <row r="2056" spans="3:10" x14ac:dyDescent="0.3">
      <c r="C2056" s="8" t="s">
        <v>11</v>
      </c>
      <c r="D2056" s="9">
        <v>45761</v>
      </c>
      <c r="E2056" t="s">
        <v>1532</v>
      </c>
      <c r="F2056" s="10" t="s">
        <v>814</v>
      </c>
      <c r="G2056" s="11">
        <v>0</v>
      </c>
      <c r="H2056" s="11">
        <v>87.09</v>
      </c>
      <c r="I2056" s="11">
        <f t="shared" si="66"/>
        <v>-291.05</v>
      </c>
      <c r="J2056" s="12"/>
    </row>
    <row r="2057" spans="3:10" x14ac:dyDescent="0.3">
      <c r="C2057" s="8" t="s">
        <v>11</v>
      </c>
      <c r="D2057" s="9">
        <v>45761</v>
      </c>
      <c r="E2057" t="s">
        <v>1545</v>
      </c>
      <c r="F2057" s="10" t="s">
        <v>902</v>
      </c>
      <c r="G2057" s="11">
        <v>0</v>
      </c>
      <c r="H2057" s="11">
        <v>270.14999999999998</v>
      </c>
      <c r="I2057" s="11">
        <f t="shared" si="66"/>
        <v>-561.20000000000005</v>
      </c>
      <c r="J2057" s="12"/>
    </row>
    <row r="2058" spans="3:10" x14ac:dyDescent="0.3">
      <c r="C2058" s="8" t="s">
        <v>11</v>
      </c>
      <c r="D2058" s="9">
        <v>45761</v>
      </c>
      <c r="E2058" t="s">
        <v>1519</v>
      </c>
      <c r="F2058" s="10" t="s">
        <v>708</v>
      </c>
      <c r="G2058" s="11">
        <v>0</v>
      </c>
      <c r="H2058" s="11">
        <v>35.44</v>
      </c>
      <c r="I2058" s="11">
        <f t="shared" si="66"/>
        <v>-596.6400000000001</v>
      </c>
      <c r="J2058" s="12"/>
    </row>
    <row r="2059" spans="3:10" x14ac:dyDescent="0.3">
      <c r="C2059" s="8" t="s">
        <v>11</v>
      </c>
      <c r="D2059" s="9">
        <v>45761</v>
      </c>
      <c r="E2059" t="s">
        <v>1607</v>
      </c>
      <c r="F2059" s="10" t="s">
        <v>1608</v>
      </c>
      <c r="G2059" s="11">
        <v>0</v>
      </c>
      <c r="H2059" s="11">
        <v>188.57</v>
      </c>
      <c r="I2059" s="11">
        <f t="shared" si="66"/>
        <v>-785.21</v>
      </c>
      <c r="J2059" s="12"/>
    </row>
    <row r="2060" spans="3:10" x14ac:dyDescent="0.3">
      <c r="C2060" s="8" t="s">
        <v>11</v>
      </c>
      <c r="D2060" s="9">
        <v>45761</v>
      </c>
      <c r="E2060" t="s">
        <v>1576</v>
      </c>
      <c r="F2060" s="10" t="s">
        <v>1079</v>
      </c>
      <c r="G2060" s="11">
        <v>0</v>
      </c>
      <c r="H2060" s="11">
        <v>18.75</v>
      </c>
      <c r="I2060" s="11">
        <f t="shared" si="66"/>
        <v>-803.96</v>
      </c>
      <c r="J2060" s="12"/>
    </row>
    <row r="2061" spans="3:10" x14ac:dyDescent="0.3">
      <c r="C2061" s="8" t="s">
        <v>11</v>
      </c>
      <c r="D2061" s="9">
        <v>45761</v>
      </c>
      <c r="E2061" t="s">
        <v>1576</v>
      </c>
      <c r="F2061" s="10" t="s">
        <v>1081</v>
      </c>
      <c r="G2061" s="11">
        <v>0</v>
      </c>
      <c r="H2061" s="11">
        <v>185.67</v>
      </c>
      <c r="I2061" s="11">
        <f t="shared" si="66"/>
        <v>-989.63</v>
      </c>
      <c r="J2061" s="12"/>
    </row>
    <row r="2062" spans="3:10" x14ac:dyDescent="0.3">
      <c r="C2062" s="8" t="s">
        <v>11</v>
      </c>
      <c r="D2062" s="9">
        <v>45761</v>
      </c>
      <c r="E2062" t="s">
        <v>1576</v>
      </c>
      <c r="F2062" s="10" t="s">
        <v>1083</v>
      </c>
      <c r="G2062" s="11">
        <v>0</v>
      </c>
      <c r="H2062" s="11">
        <v>28.64</v>
      </c>
      <c r="I2062" s="11">
        <f t="shared" si="66"/>
        <v>-1018.27</v>
      </c>
      <c r="J2062" s="12"/>
    </row>
    <row r="2063" spans="3:10" x14ac:dyDescent="0.3">
      <c r="C2063" s="8" t="s">
        <v>11</v>
      </c>
      <c r="D2063" s="9">
        <v>45761</v>
      </c>
      <c r="E2063" t="s">
        <v>1609</v>
      </c>
      <c r="F2063" s="10" t="s">
        <v>1610</v>
      </c>
      <c r="G2063" s="11">
        <v>0</v>
      </c>
      <c r="H2063" s="11">
        <v>554.21</v>
      </c>
      <c r="I2063" s="11">
        <f t="shared" si="66"/>
        <v>-1572.48</v>
      </c>
      <c r="J2063" s="12"/>
    </row>
    <row r="2064" spans="3:10" x14ac:dyDescent="0.3">
      <c r="C2064" s="8" t="s">
        <v>11</v>
      </c>
      <c r="D2064" s="9">
        <v>45761</v>
      </c>
      <c r="E2064" t="s">
        <v>1526</v>
      </c>
      <c r="F2064" s="10" t="s">
        <v>1114</v>
      </c>
      <c r="G2064" s="11">
        <v>0</v>
      </c>
      <c r="H2064" s="11">
        <v>201.25</v>
      </c>
      <c r="I2064" s="11">
        <f t="shared" si="66"/>
        <v>-1773.73</v>
      </c>
      <c r="J2064" s="12"/>
    </row>
    <row r="2065" spans="3:10" x14ac:dyDescent="0.3">
      <c r="C2065" s="8" t="s">
        <v>11</v>
      </c>
      <c r="D2065" s="9">
        <v>45761</v>
      </c>
      <c r="E2065" t="s">
        <v>1525</v>
      </c>
      <c r="F2065" s="10" t="s">
        <v>1138</v>
      </c>
      <c r="G2065" s="11">
        <v>0</v>
      </c>
      <c r="H2065" s="11">
        <v>2280.13</v>
      </c>
      <c r="I2065" s="11">
        <f t="shared" ref="I2065:I2128" si="67">G2065-H2065+I2064</f>
        <v>-4053.86</v>
      </c>
      <c r="J2065" s="12"/>
    </row>
    <row r="2066" spans="3:10" x14ac:dyDescent="0.3">
      <c r="C2066" s="8" t="s">
        <v>11</v>
      </c>
      <c r="D2066" s="9">
        <v>45761</v>
      </c>
      <c r="E2066" t="s">
        <v>1525</v>
      </c>
      <c r="F2066" s="10" t="s">
        <v>1140</v>
      </c>
      <c r="G2066" s="11">
        <v>0</v>
      </c>
      <c r="H2066" s="11">
        <v>271.94</v>
      </c>
      <c r="I2066" s="11">
        <f t="shared" si="67"/>
        <v>-4325.8</v>
      </c>
      <c r="J2066" s="12"/>
    </row>
    <row r="2067" spans="3:10" x14ac:dyDescent="0.3">
      <c r="C2067" s="8" t="s">
        <v>11</v>
      </c>
      <c r="D2067" s="9">
        <v>45761</v>
      </c>
      <c r="E2067" t="s">
        <v>1525</v>
      </c>
      <c r="F2067" s="10" t="s">
        <v>1142</v>
      </c>
      <c r="G2067" s="11">
        <v>0</v>
      </c>
      <c r="H2067" s="11">
        <v>212.36</v>
      </c>
      <c r="I2067" s="11">
        <f t="shared" si="67"/>
        <v>-4538.16</v>
      </c>
      <c r="J2067" s="12"/>
    </row>
    <row r="2068" spans="3:10" x14ac:dyDescent="0.3">
      <c r="C2068" s="8" t="s">
        <v>11</v>
      </c>
      <c r="D2068" s="9">
        <v>45776</v>
      </c>
      <c r="E2068" t="s">
        <v>1536</v>
      </c>
      <c r="F2068" s="10" t="s">
        <v>288</v>
      </c>
      <c r="G2068" s="11">
        <v>0</v>
      </c>
      <c r="H2068" s="11">
        <v>89.25</v>
      </c>
      <c r="I2068" s="11">
        <f t="shared" si="67"/>
        <v>-4627.41</v>
      </c>
      <c r="J2068" s="12"/>
    </row>
    <row r="2069" spans="3:10" x14ac:dyDescent="0.3">
      <c r="C2069" s="8" t="s">
        <v>11</v>
      </c>
      <c r="D2069" s="9">
        <v>45777</v>
      </c>
      <c r="E2069" t="s">
        <v>1552</v>
      </c>
      <c r="F2069" s="10" t="s">
        <v>692</v>
      </c>
      <c r="G2069" s="11">
        <v>0</v>
      </c>
      <c r="H2069" s="11">
        <v>1353.21</v>
      </c>
      <c r="I2069" s="11">
        <f t="shared" si="67"/>
        <v>-5980.62</v>
      </c>
      <c r="J2069" s="12"/>
    </row>
    <row r="2070" spans="3:10" x14ac:dyDescent="0.3">
      <c r="C2070" s="8" t="s">
        <v>11</v>
      </c>
      <c r="D2070" s="9">
        <v>45777</v>
      </c>
      <c r="E2070" t="s">
        <v>1563</v>
      </c>
      <c r="F2070" s="10" t="s">
        <v>924</v>
      </c>
      <c r="G2070" s="11">
        <v>0</v>
      </c>
      <c r="H2070" s="11">
        <v>141.24</v>
      </c>
      <c r="I2070" s="11">
        <f t="shared" si="67"/>
        <v>-6121.86</v>
      </c>
      <c r="J2070" s="12"/>
    </row>
    <row r="2071" spans="3:10" x14ac:dyDescent="0.3">
      <c r="C2071" s="8" t="s">
        <v>11</v>
      </c>
      <c r="D2071" s="9">
        <v>45777</v>
      </c>
      <c r="E2071" t="s">
        <v>1611</v>
      </c>
      <c r="F2071" s="10" t="s">
        <v>1612</v>
      </c>
      <c r="G2071" s="11">
        <v>0</v>
      </c>
      <c r="H2071" s="11">
        <v>151.44</v>
      </c>
      <c r="I2071" s="11">
        <f t="shared" si="67"/>
        <v>-6273.2999999999993</v>
      </c>
      <c r="J2071" s="12"/>
    </row>
    <row r="2072" spans="3:10" x14ac:dyDescent="0.3">
      <c r="C2072" s="8" t="s">
        <v>11</v>
      </c>
      <c r="D2072" s="9">
        <v>45777</v>
      </c>
      <c r="E2072" t="s">
        <v>1613</v>
      </c>
      <c r="F2072" s="10" t="s">
        <v>957</v>
      </c>
      <c r="G2072" s="11">
        <v>0</v>
      </c>
      <c r="H2072" s="11">
        <v>21.8</v>
      </c>
      <c r="I2072" s="11">
        <f t="shared" si="67"/>
        <v>-6295.0999999999995</v>
      </c>
      <c r="J2072" s="12"/>
    </row>
    <row r="2073" spans="3:10" x14ac:dyDescent="0.3">
      <c r="C2073" s="8" t="s">
        <v>11</v>
      </c>
      <c r="D2073" s="9">
        <v>45777</v>
      </c>
      <c r="E2073" t="s">
        <v>1515</v>
      </c>
      <c r="F2073" s="10" t="s">
        <v>1614</v>
      </c>
      <c r="G2073" s="11">
        <v>0</v>
      </c>
      <c r="H2073" s="11">
        <v>262.54000000000002</v>
      </c>
      <c r="I2073" s="11">
        <f t="shared" si="67"/>
        <v>-6557.6399999999994</v>
      </c>
      <c r="J2073" s="12"/>
    </row>
    <row r="2074" spans="3:10" x14ac:dyDescent="0.3">
      <c r="C2074" s="8" t="s">
        <v>11</v>
      </c>
      <c r="D2074" s="9">
        <v>45777</v>
      </c>
      <c r="E2074" t="s">
        <v>1541</v>
      </c>
      <c r="F2074" s="10" t="s">
        <v>843</v>
      </c>
      <c r="G2074" s="11">
        <v>0</v>
      </c>
      <c r="H2074" s="11">
        <v>107.42</v>
      </c>
      <c r="I2074" s="11">
        <f t="shared" si="67"/>
        <v>-6665.0599999999995</v>
      </c>
      <c r="J2074" s="12"/>
    </row>
    <row r="2075" spans="3:10" x14ac:dyDescent="0.3">
      <c r="C2075" s="8" t="s">
        <v>11</v>
      </c>
      <c r="D2075" s="9">
        <v>45777</v>
      </c>
      <c r="E2075" t="s">
        <v>1545</v>
      </c>
      <c r="F2075" s="10" t="s">
        <v>904</v>
      </c>
      <c r="G2075" s="11">
        <v>0</v>
      </c>
      <c r="H2075" s="11">
        <v>402.19</v>
      </c>
      <c r="I2075" s="11">
        <f t="shared" si="67"/>
        <v>-7067.2499999999991</v>
      </c>
      <c r="J2075" s="12"/>
    </row>
    <row r="2076" spans="3:10" x14ac:dyDescent="0.3">
      <c r="C2076" s="8" t="s">
        <v>11</v>
      </c>
      <c r="D2076" s="9">
        <v>45777</v>
      </c>
      <c r="E2076" t="s">
        <v>1517</v>
      </c>
      <c r="F2076" s="10" t="s">
        <v>1615</v>
      </c>
      <c r="G2076" s="11">
        <v>0</v>
      </c>
      <c r="H2076" s="11">
        <v>384.62</v>
      </c>
      <c r="I2076" s="11">
        <f t="shared" si="67"/>
        <v>-7451.869999999999</v>
      </c>
      <c r="J2076" s="12"/>
    </row>
    <row r="2077" spans="3:10" x14ac:dyDescent="0.3">
      <c r="C2077" s="8" t="s">
        <v>11</v>
      </c>
      <c r="D2077" s="9">
        <v>45777</v>
      </c>
      <c r="E2077" t="s">
        <v>1535</v>
      </c>
      <c r="F2077" s="10" t="s">
        <v>733</v>
      </c>
      <c r="G2077" s="11">
        <v>0</v>
      </c>
      <c r="H2077" s="11">
        <v>8.2100000000000009</v>
      </c>
      <c r="I2077" s="11">
        <f t="shared" si="67"/>
        <v>-7460.079999999999</v>
      </c>
      <c r="J2077" s="12"/>
    </row>
    <row r="2078" spans="3:10" x14ac:dyDescent="0.3">
      <c r="C2078" s="8" t="s">
        <v>11</v>
      </c>
      <c r="D2078" s="9">
        <v>45777</v>
      </c>
      <c r="E2078" t="s">
        <v>1616</v>
      </c>
      <c r="F2078" s="10" t="s">
        <v>1617</v>
      </c>
      <c r="G2078" s="11">
        <v>0</v>
      </c>
      <c r="H2078" s="11">
        <v>2.27</v>
      </c>
      <c r="I2078" s="11">
        <f t="shared" si="67"/>
        <v>-7462.3499999999995</v>
      </c>
      <c r="J2078" s="12"/>
    </row>
    <row r="2079" spans="3:10" x14ac:dyDescent="0.3">
      <c r="C2079" s="8" t="s">
        <v>11</v>
      </c>
      <c r="D2079" s="9">
        <v>45777</v>
      </c>
      <c r="E2079" t="s">
        <v>1556</v>
      </c>
      <c r="F2079" s="10" t="s">
        <v>1029</v>
      </c>
      <c r="G2079" s="11">
        <v>0</v>
      </c>
      <c r="H2079" s="11">
        <v>93.66</v>
      </c>
      <c r="I2079" s="11">
        <f t="shared" si="67"/>
        <v>-7556.0099999999993</v>
      </c>
      <c r="J2079" s="12"/>
    </row>
    <row r="2080" spans="3:10" x14ac:dyDescent="0.3">
      <c r="C2080" s="8" t="s">
        <v>11</v>
      </c>
      <c r="D2080" s="9">
        <v>45777</v>
      </c>
      <c r="E2080" t="s">
        <v>1533</v>
      </c>
      <c r="F2080" s="10" t="s">
        <v>991</v>
      </c>
      <c r="G2080" s="11">
        <v>0</v>
      </c>
      <c r="H2080" s="11">
        <v>270.83</v>
      </c>
      <c r="I2080" s="11">
        <f t="shared" si="67"/>
        <v>-7826.8399999999992</v>
      </c>
      <c r="J2080" s="12"/>
    </row>
    <row r="2081" spans="3:10" x14ac:dyDescent="0.3">
      <c r="C2081" s="8" t="s">
        <v>11</v>
      </c>
      <c r="D2081" s="9">
        <v>45777</v>
      </c>
      <c r="E2081" t="s">
        <v>1525</v>
      </c>
      <c r="F2081" s="10" t="s">
        <v>1144</v>
      </c>
      <c r="G2081" s="11">
        <v>0</v>
      </c>
      <c r="H2081" s="11">
        <v>705.98</v>
      </c>
      <c r="I2081" s="11">
        <f t="shared" si="67"/>
        <v>-8532.82</v>
      </c>
      <c r="J2081" s="12"/>
    </row>
    <row r="2082" spans="3:10" x14ac:dyDescent="0.3">
      <c r="C2082" s="8" t="s">
        <v>11</v>
      </c>
      <c r="D2082" s="9">
        <v>45777</v>
      </c>
      <c r="E2082" t="s">
        <v>1520</v>
      </c>
      <c r="F2082" s="10" t="s">
        <v>772</v>
      </c>
      <c r="G2082" s="11">
        <v>0</v>
      </c>
      <c r="H2082" s="11">
        <v>127.45</v>
      </c>
      <c r="I2082" s="11">
        <f t="shared" si="67"/>
        <v>-8660.27</v>
      </c>
      <c r="J2082" s="12"/>
    </row>
    <row r="2083" spans="3:10" x14ac:dyDescent="0.3">
      <c r="C2083" s="8" t="s">
        <v>11</v>
      </c>
      <c r="D2083" s="9">
        <v>45777</v>
      </c>
      <c r="E2083" t="s">
        <v>1520</v>
      </c>
      <c r="F2083" s="10" t="s">
        <v>774</v>
      </c>
      <c r="G2083" s="11">
        <v>0</v>
      </c>
      <c r="H2083" s="11">
        <v>127.45</v>
      </c>
      <c r="I2083" s="11">
        <f t="shared" si="67"/>
        <v>-8787.7200000000012</v>
      </c>
      <c r="J2083" s="12"/>
    </row>
    <row r="2084" spans="3:10" x14ac:dyDescent="0.3">
      <c r="C2084" s="8" t="s">
        <v>11</v>
      </c>
      <c r="D2084" s="9">
        <v>45777</v>
      </c>
      <c r="E2084" t="s">
        <v>1520</v>
      </c>
      <c r="F2084" s="10" t="s">
        <v>776</v>
      </c>
      <c r="G2084" s="11">
        <v>0</v>
      </c>
      <c r="H2084" s="11">
        <v>1351.52</v>
      </c>
      <c r="I2084" s="11">
        <f t="shared" si="67"/>
        <v>-10139.240000000002</v>
      </c>
      <c r="J2084" s="12"/>
    </row>
    <row r="2085" spans="3:10" x14ac:dyDescent="0.3">
      <c r="C2085" s="8" t="s">
        <v>11</v>
      </c>
      <c r="D2085" s="9">
        <v>45777</v>
      </c>
      <c r="E2085" t="s">
        <v>1609</v>
      </c>
      <c r="F2085" s="10" t="s">
        <v>1618</v>
      </c>
      <c r="G2085" s="11">
        <v>0</v>
      </c>
      <c r="H2085" s="11">
        <v>1316.02</v>
      </c>
      <c r="I2085" s="11">
        <f t="shared" si="67"/>
        <v>-11455.260000000002</v>
      </c>
      <c r="J2085" s="12"/>
    </row>
    <row r="2086" spans="3:10" x14ac:dyDescent="0.3">
      <c r="C2086" s="8" t="s">
        <v>11</v>
      </c>
      <c r="D2086" s="9">
        <v>45777</v>
      </c>
      <c r="E2086" t="s">
        <v>1529</v>
      </c>
      <c r="F2086" s="10" t="s">
        <v>1007</v>
      </c>
      <c r="G2086" s="11">
        <v>0</v>
      </c>
      <c r="H2086" s="11">
        <v>193.46</v>
      </c>
      <c r="I2086" s="11">
        <f t="shared" si="67"/>
        <v>-11648.720000000001</v>
      </c>
      <c r="J2086" s="12"/>
    </row>
    <row r="2087" spans="3:10" x14ac:dyDescent="0.3">
      <c r="C2087" s="8" t="s">
        <v>11</v>
      </c>
      <c r="D2087" s="9">
        <v>45777</v>
      </c>
      <c r="E2087" t="s">
        <v>1532</v>
      </c>
      <c r="F2087" s="10" t="s">
        <v>816</v>
      </c>
      <c r="G2087" s="11">
        <v>0</v>
      </c>
      <c r="H2087" s="11">
        <v>491.9</v>
      </c>
      <c r="I2087" s="11">
        <f t="shared" si="67"/>
        <v>-12140.62</v>
      </c>
      <c r="J2087" s="12"/>
    </row>
    <row r="2088" spans="3:10" x14ac:dyDescent="0.3">
      <c r="C2088" s="8" t="s">
        <v>11</v>
      </c>
      <c r="D2088" s="9">
        <v>45782</v>
      </c>
      <c r="E2088" t="s">
        <v>1576</v>
      </c>
      <c r="F2088" s="10" t="s">
        <v>1085</v>
      </c>
      <c r="G2088" s="11">
        <v>0</v>
      </c>
      <c r="H2088" s="11">
        <v>193.02</v>
      </c>
      <c r="I2088" s="11">
        <f t="shared" si="67"/>
        <v>-12333.640000000001</v>
      </c>
      <c r="J2088" s="12"/>
    </row>
    <row r="2089" spans="3:10" x14ac:dyDescent="0.3">
      <c r="C2089" s="8" t="s">
        <v>11</v>
      </c>
      <c r="D2089" s="9">
        <v>45785</v>
      </c>
      <c r="E2089" t="s">
        <v>1619</v>
      </c>
      <c r="F2089" s="10" t="s">
        <v>1620</v>
      </c>
      <c r="G2089" s="11">
        <v>0</v>
      </c>
      <c r="H2089" s="11">
        <v>151.94</v>
      </c>
      <c r="I2089" s="11">
        <f t="shared" si="67"/>
        <v>-12485.580000000002</v>
      </c>
      <c r="J2089" s="12"/>
    </row>
    <row r="2090" spans="3:10" x14ac:dyDescent="0.3">
      <c r="C2090" s="8" t="s">
        <v>11</v>
      </c>
      <c r="D2090" s="9">
        <v>45786</v>
      </c>
      <c r="E2090" t="s">
        <v>1541</v>
      </c>
      <c r="F2090" s="10" t="s">
        <v>845</v>
      </c>
      <c r="G2090" s="11">
        <v>0</v>
      </c>
      <c r="H2090" s="11">
        <v>-78.39</v>
      </c>
      <c r="I2090" s="11">
        <f t="shared" si="67"/>
        <v>-12407.190000000002</v>
      </c>
      <c r="J2090" s="12"/>
    </row>
    <row r="2091" spans="3:10" x14ac:dyDescent="0.3">
      <c r="C2091" s="8" t="s">
        <v>11</v>
      </c>
      <c r="D2091" s="9">
        <v>45792</v>
      </c>
      <c r="E2091" t="s">
        <v>1529</v>
      </c>
      <c r="F2091" s="10" t="s">
        <v>1009</v>
      </c>
      <c r="G2091" s="11">
        <v>0</v>
      </c>
      <c r="H2091" s="11">
        <v>60.4</v>
      </c>
      <c r="I2091" s="11">
        <f t="shared" si="67"/>
        <v>-12467.590000000002</v>
      </c>
      <c r="J2091" s="12"/>
    </row>
    <row r="2092" spans="3:10" x14ac:dyDescent="0.3">
      <c r="C2092" s="8" t="s">
        <v>11</v>
      </c>
      <c r="D2092" s="9">
        <v>45792</v>
      </c>
      <c r="E2092" t="s">
        <v>1619</v>
      </c>
      <c r="F2092" s="10" t="s">
        <v>1621</v>
      </c>
      <c r="G2092" s="11">
        <v>0</v>
      </c>
      <c r="H2092" s="11">
        <v>280.47000000000003</v>
      </c>
      <c r="I2092" s="11">
        <f t="shared" si="67"/>
        <v>-12748.060000000001</v>
      </c>
      <c r="J2092" s="12"/>
    </row>
    <row r="2093" spans="3:10" x14ac:dyDescent="0.3">
      <c r="C2093" s="8" t="s">
        <v>11</v>
      </c>
      <c r="D2093" s="9">
        <v>45792</v>
      </c>
      <c r="E2093" t="s">
        <v>1537</v>
      </c>
      <c r="F2093" s="10" t="s">
        <v>973</v>
      </c>
      <c r="G2093" s="11">
        <v>0</v>
      </c>
      <c r="H2093" s="11">
        <v>247.33</v>
      </c>
      <c r="I2093" s="11">
        <f t="shared" si="67"/>
        <v>-12995.390000000001</v>
      </c>
      <c r="J2093" s="12"/>
    </row>
    <row r="2094" spans="3:10" x14ac:dyDescent="0.3">
      <c r="C2094" s="8" t="s">
        <v>11</v>
      </c>
      <c r="D2094" s="9">
        <v>45792</v>
      </c>
      <c r="E2094" t="s">
        <v>1520</v>
      </c>
      <c r="F2094" s="10" t="s">
        <v>778</v>
      </c>
      <c r="G2094" s="11">
        <v>0</v>
      </c>
      <c r="H2094" s="11">
        <v>235.45</v>
      </c>
      <c r="I2094" s="11">
        <f t="shared" si="67"/>
        <v>-13230.840000000002</v>
      </c>
      <c r="J2094" s="12"/>
    </row>
    <row r="2095" spans="3:10" x14ac:dyDescent="0.3">
      <c r="C2095" s="8" t="s">
        <v>11</v>
      </c>
      <c r="D2095" s="9">
        <v>45792</v>
      </c>
      <c r="E2095" t="s">
        <v>1520</v>
      </c>
      <c r="F2095" s="10" t="s">
        <v>780</v>
      </c>
      <c r="G2095" s="11">
        <v>0</v>
      </c>
      <c r="H2095" s="11">
        <v>1531.96</v>
      </c>
      <c r="I2095" s="11">
        <f t="shared" si="67"/>
        <v>-14762.800000000003</v>
      </c>
      <c r="J2095" s="12"/>
    </row>
    <row r="2096" spans="3:10" x14ac:dyDescent="0.3">
      <c r="C2096" s="8" t="s">
        <v>11</v>
      </c>
      <c r="D2096" s="9">
        <v>45792</v>
      </c>
      <c r="E2096" t="s">
        <v>1532</v>
      </c>
      <c r="F2096" s="10" t="s">
        <v>818</v>
      </c>
      <c r="G2096" s="11">
        <v>0</v>
      </c>
      <c r="H2096" s="11">
        <v>359.13</v>
      </c>
      <c r="I2096" s="11">
        <f t="shared" si="67"/>
        <v>-15121.930000000002</v>
      </c>
      <c r="J2096" s="12"/>
    </row>
    <row r="2097" spans="3:10" x14ac:dyDescent="0.3">
      <c r="C2097" s="8" t="s">
        <v>11</v>
      </c>
      <c r="D2097" s="9">
        <v>45792</v>
      </c>
      <c r="E2097" t="s">
        <v>1622</v>
      </c>
      <c r="F2097" s="10" t="s">
        <v>1623</v>
      </c>
      <c r="G2097" s="11">
        <v>0</v>
      </c>
      <c r="H2097" s="11">
        <v>317.62</v>
      </c>
      <c r="I2097" s="11">
        <f t="shared" si="67"/>
        <v>-15439.550000000003</v>
      </c>
      <c r="J2097" s="12"/>
    </row>
    <row r="2098" spans="3:10" x14ac:dyDescent="0.3">
      <c r="C2098" s="8" t="s">
        <v>11</v>
      </c>
      <c r="D2098" s="9">
        <v>45792</v>
      </c>
      <c r="E2098" t="s">
        <v>1525</v>
      </c>
      <c r="F2098" s="10" t="s">
        <v>1146</v>
      </c>
      <c r="G2098" s="11">
        <v>0</v>
      </c>
      <c r="H2098" s="11">
        <v>271.94</v>
      </c>
      <c r="I2098" s="11">
        <f t="shared" si="67"/>
        <v>-15711.490000000003</v>
      </c>
      <c r="J2098" s="12"/>
    </row>
    <row r="2099" spans="3:10" x14ac:dyDescent="0.3">
      <c r="C2099" s="8" t="s">
        <v>11</v>
      </c>
      <c r="D2099" s="9">
        <v>45792</v>
      </c>
      <c r="E2099" t="s">
        <v>1556</v>
      </c>
      <c r="F2099" s="10" t="s">
        <v>1031</v>
      </c>
      <c r="G2099" s="11">
        <v>0</v>
      </c>
      <c r="H2099" s="11">
        <v>63</v>
      </c>
      <c r="I2099" s="11">
        <f t="shared" si="67"/>
        <v>-15774.490000000003</v>
      </c>
      <c r="J2099" s="12"/>
    </row>
    <row r="2100" spans="3:10" x14ac:dyDescent="0.3">
      <c r="C2100" s="8" t="s">
        <v>11</v>
      </c>
      <c r="D2100" s="9">
        <v>45792</v>
      </c>
      <c r="E2100" t="s">
        <v>1600</v>
      </c>
      <c r="F2100" s="10" t="s">
        <v>1052</v>
      </c>
      <c r="G2100" s="11">
        <v>0</v>
      </c>
      <c r="H2100" s="11">
        <v>561.21</v>
      </c>
      <c r="I2100" s="11">
        <f t="shared" si="67"/>
        <v>-16335.700000000004</v>
      </c>
      <c r="J2100" s="12"/>
    </row>
    <row r="2101" spans="3:10" x14ac:dyDescent="0.3">
      <c r="C2101" s="8" t="s">
        <v>11</v>
      </c>
      <c r="D2101" s="9">
        <v>45792</v>
      </c>
      <c r="E2101" t="s">
        <v>1517</v>
      </c>
      <c r="F2101" s="10" t="s">
        <v>1624</v>
      </c>
      <c r="G2101" s="11">
        <v>0</v>
      </c>
      <c r="H2101" s="11">
        <v>41.19</v>
      </c>
      <c r="I2101" s="11">
        <f t="shared" si="67"/>
        <v>-16376.890000000005</v>
      </c>
      <c r="J2101" s="12"/>
    </row>
    <row r="2102" spans="3:10" x14ac:dyDescent="0.3">
      <c r="C2102" s="8" t="s">
        <v>11</v>
      </c>
      <c r="D2102" s="9">
        <v>45792</v>
      </c>
      <c r="E2102" t="s">
        <v>1625</v>
      </c>
      <c r="F2102" s="10" t="s">
        <v>1626</v>
      </c>
      <c r="G2102" s="11">
        <v>0</v>
      </c>
      <c r="H2102" s="11">
        <v>12.29</v>
      </c>
      <c r="I2102" s="11">
        <f t="shared" si="67"/>
        <v>-16389.180000000004</v>
      </c>
      <c r="J2102" s="12"/>
    </row>
    <row r="2103" spans="3:10" x14ac:dyDescent="0.3">
      <c r="C2103" s="8" t="s">
        <v>11</v>
      </c>
      <c r="D2103" s="9">
        <v>45792</v>
      </c>
      <c r="E2103" t="s">
        <v>1563</v>
      </c>
      <c r="F2103" s="10" t="s">
        <v>926</v>
      </c>
      <c r="G2103" s="11">
        <v>0</v>
      </c>
      <c r="H2103" s="11">
        <v>58.79</v>
      </c>
      <c r="I2103" s="11">
        <f t="shared" si="67"/>
        <v>-16447.970000000005</v>
      </c>
      <c r="J2103" s="12"/>
    </row>
    <row r="2104" spans="3:10" x14ac:dyDescent="0.3">
      <c r="C2104" s="8" t="s">
        <v>11</v>
      </c>
      <c r="D2104" s="9">
        <v>45792</v>
      </c>
      <c r="E2104" t="s">
        <v>1536</v>
      </c>
      <c r="F2104" s="10" t="s">
        <v>290</v>
      </c>
      <c r="G2104" s="11">
        <v>0</v>
      </c>
      <c r="H2104" s="11">
        <v>134.06</v>
      </c>
      <c r="I2104" s="11">
        <f t="shared" si="67"/>
        <v>-16582.030000000006</v>
      </c>
      <c r="J2104" s="12"/>
    </row>
    <row r="2105" spans="3:10" x14ac:dyDescent="0.3">
      <c r="C2105" s="8" t="s">
        <v>11</v>
      </c>
      <c r="D2105" s="9">
        <v>45807</v>
      </c>
      <c r="E2105" t="s">
        <v>1552</v>
      </c>
      <c r="F2105" s="10" t="s">
        <v>694</v>
      </c>
      <c r="G2105" s="11">
        <v>0</v>
      </c>
      <c r="H2105" s="11">
        <v>2109.94</v>
      </c>
      <c r="I2105" s="11">
        <f t="shared" si="67"/>
        <v>-18691.970000000005</v>
      </c>
      <c r="J2105" s="12"/>
    </row>
    <row r="2106" spans="3:10" x14ac:dyDescent="0.3">
      <c r="C2106" s="8" t="s">
        <v>11</v>
      </c>
      <c r="D2106" s="9">
        <v>45807</v>
      </c>
      <c r="E2106" t="s">
        <v>1526</v>
      </c>
      <c r="F2106" s="10" t="s">
        <v>1116</v>
      </c>
      <c r="G2106" s="11">
        <v>0</v>
      </c>
      <c r="H2106" s="11">
        <v>154.13</v>
      </c>
      <c r="I2106" s="11">
        <f t="shared" si="67"/>
        <v>-18846.100000000006</v>
      </c>
      <c r="J2106" s="12"/>
    </row>
    <row r="2107" spans="3:10" x14ac:dyDescent="0.3">
      <c r="C2107" s="8" t="s">
        <v>11</v>
      </c>
      <c r="D2107" s="9">
        <v>45807</v>
      </c>
      <c r="E2107" t="s">
        <v>1627</v>
      </c>
      <c r="F2107" s="10" t="s">
        <v>1628</v>
      </c>
      <c r="G2107" s="11">
        <v>0</v>
      </c>
      <c r="H2107" s="11">
        <v>159.6</v>
      </c>
      <c r="I2107" s="11">
        <f t="shared" si="67"/>
        <v>-19005.700000000004</v>
      </c>
      <c r="J2107" s="12"/>
    </row>
    <row r="2108" spans="3:10" x14ac:dyDescent="0.3">
      <c r="C2108" s="8" t="s">
        <v>11</v>
      </c>
      <c r="D2108" s="9">
        <v>45807</v>
      </c>
      <c r="E2108" t="s">
        <v>1592</v>
      </c>
      <c r="F2108" s="10" t="s">
        <v>1043</v>
      </c>
      <c r="G2108" s="11">
        <v>0</v>
      </c>
      <c r="H2108" s="11">
        <v>49.06</v>
      </c>
      <c r="I2108" s="11">
        <f t="shared" si="67"/>
        <v>-19054.760000000006</v>
      </c>
      <c r="J2108" s="12"/>
    </row>
    <row r="2109" spans="3:10" x14ac:dyDescent="0.3">
      <c r="C2109" s="8" t="s">
        <v>11</v>
      </c>
      <c r="D2109" s="9">
        <v>45807</v>
      </c>
      <c r="E2109" t="s">
        <v>1583</v>
      </c>
      <c r="F2109" s="10" t="s">
        <v>1069</v>
      </c>
      <c r="G2109" s="11">
        <v>0</v>
      </c>
      <c r="H2109" s="11">
        <v>269.48</v>
      </c>
      <c r="I2109" s="11">
        <f t="shared" si="67"/>
        <v>-19324.240000000005</v>
      </c>
      <c r="J2109" s="12"/>
    </row>
    <row r="2110" spans="3:10" x14ac:dyDescent="0.3">
      <c r="C2110" s="8" t="s">
        <v>11</v>
      </c>
      <c r="D2110" s="9">
        <v>45807</v>
      </c>
      <c r="E2110" t="s">
        <v>1629</v>
      </c>
      <c r="F2110" s="10" t="s">
        <v>939</v>
      </c>
      <c r="G2110" s="11">
        <v>0</v>
      </c>
      <c r="H2110" s="11">
        <v>354.58</v>
      </c>
      <c r="I2110" s="11">
        <f t="shared" si="67"/>
        <v>-19678.820000000007</v>
      </c>
      <c r="J2110" s="12"/>
    </row>
    <row r="2111" spans="3:10" x14ac:dyDescent="0.3">
      <c r="C2111" s="8" t="s">
        <v>11</v>
      </c>
      <c r="D2111" s="9">
        <v>45807</v>
      </c>
      <c r="E2111" t="s">
        <v>1573</v>
      </c>
      <c r="F2111" s="10" t="s">
        <v>1630</v>
      </c>
      <c r="G2111" s="11">
        <v>0</v>
      </c>
      <c r="H2111" s="11">
        <v>362.46</v>
      </c>
      <c r="I2111" s="11">
        <f t="shared" si="67"/>
        <v>-20041.280000000006</v>
      </c>
      <c r="J2111" s="12"/>
    </row>
    <row r="2112" spans="3:10" x14ac:dyDescent="0.3">
      <c r="C2112" s="8" t="s">
        <v>11</v>
      </c>
      <c r="D2112" s="9">
        <v>45807</v>
      </c>
      <c r="E2112" t="s">
        <v>1541</v>
      </c>
      <c r="F2112" s="10" t="s">
        <v>847</v>
      </c>
      <c r="G2112" s="11">
        <v>0</v>
      </c>
      <c r="H2112" s="11">
        <v>78.39</v>
      </c>
      <c r="I2112" s="11">
        <f t="shared" si="67"/>
        <v>-20119.670000000006</v>
      </c>
      <c r="J2112" s="12"/>
    </row>
    <row r="2113" spans="3:10" x14ac:dyDescent="0.3">
      <c r="C2113" s="8" t="s">
        <v>11</v>
      </c>
      <c r="D2113" s="9">
        <v>45807</v>
      </c>
      <c r="E2113" t="s">
        <v>1592</v>
      </c>
      <c r="F2113" s="10" t="s">
        <v>1045</v>
      </c>
      <c r="G2113" s="11">
        <v>0</v>
      </c>
      <c r="H2113" s="11">
        <v>124.52</v>
      </c>
      <c r="I2113" s="11">
        <f t="shared" si="67"/>
        <v>-20244.190000000006</v>
      </c>
      <c r="J2113" s="12"/>
    </row>
    <row r="2114" spans="3:10" x14ac:dyDescent="0.3">
      <c r="C2114" s="8" t="s">
        <v>11</v>
      </c>
      <c r="D2114" s="9">
        <v>45807</v>
      </c>
      <c r="E2114" t="s">
        <v>1577</v>
      </c>
      <c r="F2114" s="10" t="s">
        <v>1631</v>
      </c>
      <c r="G2114" s="11">
        <v>0</v>
      </c>
      <c r="H2114" s="11">
        <v>48.56</v>
      </c>
      <c r="I2114" s="11">
        <f t="shared" si="67"/>
        <v>-20292.750000000007</v>
      </c>
      <c r="J2114" s="12"/>
    </row>
    <row r="2115" spans="3:10" x14ac:dyDescent="0.3">
      <c r="C2115" s="8" t="s">
        <v>11</v>
      </c>
      <c r="D2115" s="9">
        <v>45807</v>
      </c>
      <c r="E2115" t="s">
        <v>1542</v>
      </c>
      <c r="F2115" s="10" t="s">
        <v>1632</v>
      </c>
      <c r="G2115" s="11">
        <v>0</v>
      </c>
      <c r="H2115" s="11">
        <v>262.62</v>
      </c>
      <c r="I2115" s="11">
        <f t="shared" si="67"/>
        <v>-20555.370000000006</v>
      </c>
      <c r="J2115" s="12"/>
    </row>
    <row r="2116" spans="3:10" x14ac:dyDescent="0.3">
      <c r="C2116" s="8" t="s">
        <v>11</v>
      </c>
      <c r="D2116" s="9">
        <v>45807</v>
      </c>
      <c r="E2116" t="s">
        <v>1533</v>
      </c>
      <c r="F2116" s="10" t="s">
        <v>993</v>
      </c>
      <c r="G2116" s="11">
        <v>0</v>
      </c>
      <c r="H2116" s="11">
        <v>90.06</v>
      </c>
      <c r="I2116" s="11">
        <f t="shared" si="67"/>
        <v>-20645.430000000008</v>
      </c>
      <c r="J2116" s="12"/>
    </row>
    <row r="2117" spans="3:10" x14ac:dyDescent="0.3">
      <c r="C2117" s="8" t="s">
        <v>11</v>
      </c>
      <c r="D2117" s="9">
        <v>45807</v>
      </c>
      <c r="E2117" t="s">
        <v>1533</v>
      </c>
      <c r="F2117" s="10" t="s">
        <v>995</v>
      </c>
      <c r="G2117" s="11">
        <v>0</v>
      </c>
      <c r="H2117" s="11">
        <v>193.42</v>
      </c>
      <c r="I2117" s="11">
        <f t="shared" si="67"/>
        <v>-20838.850000000006</v>
      </c>
      <c r="J2117" s="12"/>
    </row>
    <row r="2118" spans="3:10" x14ac:dyDescent="0.3">
      <c r="C2118" s="8" t="s">
        <v>11</v>
      </c>
      <c r="D2118" s="9">
        <v>45807</v>
      </c>
      <c r="E2118" t="s">
        <v>1576</v>
      </c>
      <c r="F2118" s="10" t="s">
        <v>1087</v>
      </c>
      <c r="G2118" s="11">
        <v>0</v>
      </c>
      <c r="H2118" s="11">
        <v>35.26</v>
      </c>
      <c r="I2118" s="11">
        <f t="shared" si="67"/>
        <v>-20874.110000000004</v>
      </c>
      <c r="J2118" s="12"/>
    </row>
    <row r="2119" spans="3:10" x14ac:dyDescent="0.3">
      <c r="C2119" s="8" t="s">
        <v>11</v>
      </c>
      <c r="D2119" s="9">
        <v>45807</v>
      </c>
      <c r="E2119" t="s">
        <v>1576</v>
      </c>
      <c r="F2119" s="10" t="s">
        <v>1089</v>
      </c>
      <c r="G2119" s="11">
        <v>0</v>
      </c>
      <c r="H2119" s="11">
        <v>20.100000000000001</v>
      </c>
      <c r="I2119" s="11">
        <f t="shared" si="67"/>
        <v>-20894.210000000003</v>
      </c>
      <c r="J2119" s="12"/>
    </row>
    <row r="2120" spans="3:10" x14ac:dyDescent="0.3">
      <c r="C2120" s="8" t="s">
        <v>11</v>
      </c>
      <c r="D2120" s="9">
        <v>45807</v>
      </c>
      <c r="E2120" t="s">
        <v>1529</v>
      </c>
      <c r="F2120" s="10" t="s">
        <v>1011</v>
      </c>
      <c r="G2120" s="11">
        <v>0</v>
      </c>
      <c r="H2120" s="11">
        <v>320.70999999999998</v>
      </c>
      <c r="I2120" s="11">
        <f t="shared" si="67"/>
        <v>-21214.920000000002</v>
      </c>
      <c r="J2120" s="12"/>
    </row>
    <row r="2121" spans="3:10" x14ac:dyDescent="0.3">
      <c r="C2121" s="8" t="s">
        <v>11</v>
      </c>
      <c r="D2121" s="9">
        <v>45807</v>
      </c>
      <c r="E2121" t="s">
        <v>1535</v>
      </c>
      <c r="F2121" s="10" t="s">
        <v>735</v>
      </c>
      <c r="G2121" s="11">
        <v>0</v>
      </c>
      <c r="H2121" s="11">
        <v>11.32</v>
      </c>
      <c r="I2121" s="11">
        <f t="shared" si="67"/>
        <v>-21226.240000000002</v>
      </c>
      <c r="J2121" s="12"/>
    </row>
    <row r="2122" spans="3:10" x14ac:dyDescent="0.3">
      <c r="C2122" s="8" t="s">
        <v>11</v>
      </c>
      <c r="D2122" s="9">
        <v>45807</v>
      </c>
      <c r="E2122" t="s">
        <v>1532</v>
      </c>
      <c r="F2122" s="10" t="s">
        <v>820</v>
      </c>
      <c r="G2122" s="11">
        <v>0</v>
      </c>
      <c r="H2122" s="11">
        <v>945.26</v>
      </c>
      <c r="I2122" s="11">
        <f t="shared" si="67"/>
        <v>-22171.5</v>
      </c>
      <c r="J2122" s="12"/>
    </row>
    <row r="2123" spans="3:10" x14ac:dyDescent="0.3">
      <c r="C2123" s="8" t="s">
        <v>11</v>
      </c>
      <c r="D2123" s="9">
        <v>45807</v>
      </c>
      <c r="E2123" t="s">
        <v>1525</v>
      </c>
      <c r="F2123" s="10" t="s">
        <v>1148</v>
      </c>
      <c r="G2123" s="11">
        <v>0</v>
      </c>
      <c r="H2123" s="11">
        <v>591.89</v>
      </c>
      <c r="I2123" s="11">
        <f t="shared" si="67"/>
        <v>-22763.39</v>
      </c>
      <c r="J2123" s="12"/>
    </row>
    <row r="2124" spans="3:10" x14ac:dyDescent="0.3">
      <c r="C2124" s="8" t="s">
        <v>11</v>
      </c>
      <c r="D2124" s="9">
        <v>45807</v>
      </c>
      <c r="E2124" t="s">
        <v>1519</v>
      </c>
      <c r="F2124" s="10" t="s">
        <v>710</v>
      </c>
      <c r="G2124" s="11">
        <v>0</v>
      </c>
      <c r="H2124" s="11">
        <v>260.68</v>
      </c>
      <c r="I2124" s="11">
        <f t="shared" si="67"/>
        <v>-23024.07</v>
      </c>
      <c r="J2124" s="12"/>
    </row>
    <row r="2125" spans="3:10" x14ac:dyDescent="0.3">
      <c r="C2125" s="8" t="s">
        <v>11</v>
      </c>
      <c r="D2125" s="9">
        <v>45807</v>
      </c>
      <c r="E2125" t="s">
        <v>1633</v>
      </c>
      <c r="F2125" s="10" t="s">
        <v>1634</v>
      </c>
      <c r="G2125" s="11">
        <v>0</v>
      </c>
      <c r="H2125" s="11">
        <v>222.33</v>
      </c>
      <c r="I2125" s="11">
        <f t="shared" si="67"/>
        <v>-23246.400000000001</v>
      </c>
      <c r="J2125" s="12"/>
    </row>
    <row r="2126" spans="3:10" x14ac:dyDescent="0.3">
      <c r="C2126" s="8" t="s">
        <v>11</v>
      </c>
      <c r="D2126" s="9">
        <v>45814</v>
      </c>
      <c r="E2126" t="s">
        <v>1582</v>
      </c>
      <c r="F2126" s="10" t="s">
        <v>1423</v>
      </c>
      <c r="G2126" s="11">
        <v>0</v>
      </c>
      <c r="H2126" s="11">
        <v>52.84</v>
      </c>
      <c r="I2126" s="11">
        <f t="shared" si="67"/>
        <v>-23299.24</v>
      </c>
      <c r="J2126" s="12"/>
    </row>
    <row r="2127" spans="3:10" x14ac:dyDescent="0.3">
      <c r="C2127" s="8" t="s">
        <v>11</v>
      </c>
      <c r="D2127" s="9">
        <v>45820</v>
      </c>
      <c r="E2127" t="s">
        <v>1536</v>
      </c>
      <c r="F2127" s="10" t="s">
        <v>292</v>
      </c>
      <c r="G2127" s="11">
        <v>0</v>
      </c>
      <c r="H2127" s="11">
        <v>65.94</v>
      </c>
      <c r="I2127" s="11">
        <f t="shared" si="67"/>
        <v>-23365.18</v>
      </c>
      <c r="J2127" s="12"/>
    </row>
    <row r="2128" spans="3:10" x14ac:dyDescent="0.3">
      <c r="C2128" s="8" t="s">
        <v>11</v>
      </c>
      <c r="D2128" s="9">
        <v>45821</v>
      </c>
      <c r="E2128" t="s">
        <v>1635</v>
      </c>
      <c r="F2128" s="10" t="s">
        <v>875</v>
      </c>
      <c r="G2128" s="11">
        <v>0</v>
      </c>
      <c r="H2128" s="11">
        <v>93.66</v>
      </c>
      <c r="I2128" s="11">
        <f t="shared" si="67"/>
        <v>-23458.84</v>
      </c>
      <c r="J2128" s="12"/>
    </row>
    <row r="2129" spans="3:10" x14ac:dyDescent="0.3">
      <c r="C2129" s="8" t="s">
        <v>11</v>
      </c>
      <c r="D2129" s="9">
        <v>45821</v>
      </c>
      <c r="E2129" t="s">
        <v>1636</v>
      </c>
      <c r="F2129" s="10" t="s">
        <v>1190</v>
      </c>
      <c r="G2129" s="11">
        <v>0</v>
      </c>
      <c r="H2129" s="11">
        <v>89.04</v>
      </c>
      <c r="I2129" s="11">
        <f t="shared" ref="I2129:I2192" si="68">G2129-H2129+I2128</f>
        <v>-23547.88</v>
      </c>
      <c r="J2129" s="12"/>
    </row>
    <row r="2130" spans="3:10" x14ac:dyDescent="0.3">
      <c r="C2130" s="8" t="s">
        <v>11</v>
      </c>
      <c r="D2130" s="9">
        <v>45821</v>
      </c>
      <c r="E2130" t="s">
        <v>1576</v>
      </c>
      <c r="F2130" s="10" t="s">
        <v>1091</v>
      </c>
      <c r="G2130" s="11">
        <v>0</v>
      </c>
      <c r="H2130" s="11">
        <v>16.27</v>
      </c>
      <c r="I2130" s="11">
        <f t="shared" si="68"/>
        <v>-23564.15</v>
      </c>
      <c r="J2130" s="12"/>
    </row>
    <row r="2131" spans="3:10" x14ac:dyDescent="0.3">
      <c r="C2131" s="8" t="s">
        <v>11</v>
      </c>
      <c r="D2131" s="9">
        <v>45821</v>
      </c>
      <c r="E2131" t="s">
        <v>1576</v>
      </c>
      <c r="F2131" s="10" t="s">
        <v>1093</v>
      </c>
      <c r="G2131" s="11">
        <v>0</v>
      </c>
      <c r="H2131" s="11">
        <v>109.2</v>
      </c>
      <c r="I2131" s="11">
        <f t="shared" si="68"/>
        <v>-23673.350000000002</v>
      </c>
      <c r="J2131" s="12"/>
    </row>
    <row r="2132" spans="3:10" x14ac:dyDescent="0.3">
      <c r="C2132" s="8" t="s">
        <v>11</v>
      </c>
      <c r="D2132" s="9">
        <v>45821</v>
      </c>
      <c r="E2132" t="s">
        <v>1627</v>
      </c>
      <c r="F2132" s="10" t="s">
        <v>1637</v>
      </c>
      <c r="G2132" s="11">
        <v>0</v>
      </c>
      <c r="H2132" s="11">
        <v>486.36</v>
      </c>
      <c r="I2132" s="11">
        <f t="shared" si="68"/>
        <v>-24159.710000000003</v>
      </c>
      <c r="J2132" s="12"/>
    </row>
    <row r="2133" spans="3:10" x14ac:dyDescent="0.3">
      <c r="C2133" s="8" t="s">
        <v>11</v>
      </c>
      <c r="D2133" s="9">
        <v>45821</v>
      </c>
      <c r="E2133" t="s">
        <v>1573</v>
      </c>
      <c r="F2133" s="10" t="s">
        <v>1638</v>
      </c>
      <c r="G2133" s="11">
        <v>0</v>
      </c>
      <c r="H2133" s="11">
        <v>81.75</v>
      </c>
      <c r="I2133" s="11">
        <f t="shared" si="68"/>
        <v>-24241.460000000003</v>
      </c>
      <c r="J2133" s="12"/>
    </row>
    <row r="2134" spans="3:10" x14ac:dyDescent="0.3">
      <c r="C2134" s="8" t="s">
        <v>11</v>
      </c>
      <c r="D2134" s="9">
        <v>45821</v>
      </c>
      <c r="E2134" t="s">
        <v>1611</v>
      </c>
      <c r="F2134" s="10" t="s">
        <v>1639</v>
      </c>
      <c r="G2134" s="11">
        <v>0</v>
      </c>
      <c r="H2134" s="11">
        <v>143.69999999999999</v>
      </c>
      <c r="I2134" s="11">
        <f t="shared" si="68"/>
        <v>-24385.160000000003</v>
      </c>
      <c r="J2134" s="12"/>
    </row>
    <row r="2135" spans="3:10" x14ac:dyDescent="0.3">
      <c r="C2135" s="8" t="s">
        <v>11</v>
      </c>
      <c r="D2135" s="9">
        <v>45821</v>
      </c>
      <c r="E2135" t="s">
        <v>1537</v>
      </c>
      <c r="F2135" s="10" t="s">
        <v>975</v>
      </c>
      <c r="G2135" s="11">
        <v>0</v>
      </c>
      <c r="H2135" s="11">
        <v>278.24</v>
      </c>
      <c r="I2135" s="11">
        <f t="shared" si="68"/>
        <v>-24663.400000000005</v>
      </c>
      <c r="J2135" s="12"/>
    </row>
    <row r="2136" spans="3:10" x14ac:dyDescent="0.3">
      <c r="C2136" s="8" t="s">
        <v>11</v>
      </c>
      <c r="D2136" s="9">
        <v>45821</v>
      </c>
      <c r="E2136" t="s">
        <v>1527</v>
      </c>
      <c r="F2136" s="10" t="s">
        <v>1640</v>
      </c>
      <c r="G2136" s="11">
        <v>0</v>
      </c>
      <c r="H2136" s="11">
        <v>645.71</v>
      </c>
      <c r="I2136" s="11">
        <f t="shared" si="68"/>
        <v>-25309.110000000004</v>
      </c>
      <c r="J2136" s="12"/>
    </row>
    <row r="2137" spans="3:10" x14ac:dyDescent="0.3">
      <c r="C2137" s="8" t="s">
        <v>11</v>
      </c>
      <c r="D2137" s="9">
        <v>45821</v>
      </c>
      <c r="E2137" t="s">
        <v>1592</v>
      </c>
      <c r="F2137" s="10" t="s">
        <v>1047</v>
      </c>
      <c r="G2137" s="11">
        <v>0</v>
      </c>
      <c r="H2137" s="11">
        <v>60.19</v>
      </c>
      <c r="I2137" s="11">
        <f t="shared" si="68"/>
        <v>-25369.300000000003</v>
      </c>
      <c r="J2137" s="12"/>
    </row>
    <row r="2138" spans="3:10" x14ac:dyDescent="0.3">
      <c r="C2138" s="8" t="s">
        <v>11</v>
      </c>
      <c r="D2138" s="9">
        <v>45821</v>
      </c>
      <c r="E2138" t="s">
        <v>1622</v>
      </c>
      <c r="F2138" s="10" t="s">
        <v>1641</v>
      </c>
      <c r="G2138" s="11">
        <v>0</v>
      </c>
      <c r="H2138" s="11">
        <v>16.239999999999998</v>
      </c>
      <c r="I2138" s="11">
        <f t="shared" si="68"/>
        <v>-25385.540000000005</v>
      </c>
      <c r="J2138" s="12"/>
    </row>
    <row r="2139" spans="3:10" x14ac:dyDescent="0.3">
      <c r="C2139" s="8" t="s">
        <v>11</v>
      </c>
      <c r="D2139" s="9">
        <v>45821</v>
      </c>
      <c r="E2139" t="s">
        <v>1523</v>
      </c>
      <c r="F2139" s="10" t="s">
        <v>1642</v>
      </c>
      <c r="G2139" s="11">
        <v>0</v>
      </c>
      <c r="H2139" s="11">
        <v>18.02</v>
      </c>
      <c r="I2139" s="11">
        <f t="shared" si="68"/>
        <v>-25403.560000000005</v>
      </c>
      <c r="J2139" s="12"/>
    </row>
    <row r="2140" spans="3:10" x14ac:dyDescent="0.3">
      <c r="C2140" s="8" t="s">
        <v>11</v>
      </c>
      <c r="D2140" s="9">
        <v>45821</v>
      </c>
      <c r="E2140" t="s">
        <v>1545</v>
      </c>
      <c r="F2140" s="10" t="s">
        <v>906</v>
      </c>
      <c r="G2140" s="11">
        <v>0</v>
      </c>
      <c r="H2140" s="11">
        <v>477.54</v>
      </c>
      <c r="I2140" s="11">
        <f t="shared" si="68"/>
        <v>-25881.100000000006</v>
      </c>
      <c r="J2140" s="12"/>
    </row>
    <row r="2141" spans="3:10" x14ac:dyDescent="0.3">
      <c r="C2141" s="8" t="s">
        <v>11</v>
      </c>
      <c r="D2141" s="9">
        <v>45821</v>
      </c>
      <c r="E2141" t="s">
        <v>1525</v>
      </c>
      <c r="F2141" s="10" t="s">
        <v>1150</v>
      </c>
      <c r="G2141" s="11">
        <v>0</v>
      </c>
      <c r="H2141" s="11">
        <v>285.55</v>
      </c>
      <c r="I2141" s="11">
        <f t="shared" si="68"/>
        <v>-26166.650000000005</v>
      </c>
      <c r="J2141" s="12"/>
    </row>
    <row r="2142" spans="3:10" x14ac:dyDescent="0.3">
      <c r="C2142" s="8" t="s">
        <v>11</v>
      </c>
      <c r="D2142" s="9">
        <v>45821</v>
      </c>
      <c r="E2142" t="s">
        <v>1532</v>
      </c>
      <c r="F2142" s="10" t="s">
        <v>822</v>
      </c>
      <c r="G2142" s="11">
        <v>0</v>
      </c>
      <c r="H2142" s="11">
        <v>1695.19</v>
      </c>
      <c r="I2142" s="11">
        <f t="shared" si="68"/>
        <v>-27861.840000000004</v>
      </c>
      <c r="J2142" s="12"/>
    </row>
    <row r="2143" spans="3:10" x14ac:dyDescent="0.3">
      <c r="C2143" s="8" t="s">
        <v>11</v>
      </c>
      <c r="D2143" s="9">
        <v>45821</v>
      </c>
      <c r="E2143" t="s">
        <v>1529</v>
      </c>
      <c r="F2143" s="10" t="s">
        <v>1013</v>
      </c>
      <c r="G2143" s="11">
        <v>0</v>
      </c>
      <c r="H2143" s="11">
        <v>44.84</v>
      </c>
      <c r="I2143" s="11">
        <f t="shared" si="68"/>
        <v>-27906.680000000004</v>
      </c>
      <c r="J2143" s="12"/>
    </row>
    <row r="2144" spans="3:10" x14ac:dyDescent="0.3">
      <c r="C2144" s="8" t="s">
        <v>11</v>
      </c>
      <c r="D2144" s="9">
        <v>45821</v>
      </c>
      <c r="E2144" t="s">
        <v>1541</v>
      </c>
      <c r="F2144" s="10" t="s">
        <v>849</v>
      </c>
      <c r="G2144" s="11">
        <v>0</v>
      </c>
      <c r="H2144" s="11">
        <v>78.7</v>
      </c>
      <c r="I2144" s="11">
        <f t="shared" si="68"/>
        <v>-27985.380000000005</v>
      </c>
      <c r="J2144" s="12"/>
    </row>
    <row r="2145" spans="3:10" x14ac:dyDescent="0.3">
      <c r="C2145" s="8" t="s">
        <v>11</v>
      </c>
      <c r="D2145" s="9">
        <v>45825</v>
      </c>
      <c r="E2145" t="s">
        <v>1582</v>
      </c>
      <c r="F2145" s="10" t="s">
        <v>1429</v>
      </c>
      <c r="G2145" s="11">
        <v>0</v>
      </c>
      <c r="H2145" s="11">
        <v>33.54</v>
      </c>
      <c r="I2145" s="11">
        <f t="shared" si="68"/>
        <v>-28018.920000000006</v>
      </c>
      <c r="J2145" s="12"/>
    </row>
    <row r="2146" spans="3:10" x14ac:dyDescent="0.3">
      <c r="C2146" s="8" t="s">
        <v>11</v>
      </c>
      <c r="D2146" s="9">
        <v>45832</v>
      </c>
      <c r="E2146" t="s">
        <v>1536</v>
      </c>
      <c r="F2146" s="10" t="s">
        <v>294</v>
      </c>
      <c r="G2146" s="11">
        <v>0</v>
      </c>
      <c r="H2146" s="11">
        <v>137.34</v>
      </c>
      <c r="I2146" s="11">
        <f t="shared" si="68"/>
        <v>-28156.260000000006</v>
      </c>
      <c r="J2146" s="12"/>
    </row>
    <row r="2147" spans="3:10" x14ac:dyDescent="0.3">
      <c r="C2147" s="8" t="s">
        <v>11</v>
      </c>
      <c r="D2147" s="9">
        <v>45838</v>
      </c>
      <c r="E2147" t="s">
        <v>1525</v>
      </c>
      <c r="F2147" s="10" t="s">
        <v>1152</v>
      </c>
      <c r="G2147" s="11">
        <v>0</v>
      </c>
      <c r="H2147" s="11">
        <v>419.34</v>
      </c>
      <c r="I2147" s="11">
        <f t="shared" si="68"/>
        <v>-28575.600000000006</v>
      </c>
      <c r="J2147" s="12"/>
    </row>
    <row r="2148" spans="3:10" x14ac:dyDescent="0.3">
      <c r="C2148" s="8" t="s">
        <v>11</v>
      </c>
      <c r="D2148" s="9">
        <v>45838</v>
      </c>
      <c r="E2148" t="s">
        <v>1552</v>
      </c>
      <c r="F2148" s="10" t="s">
        <v>696</v>
      </c>
      <c r="G2148" s="11">
        <v>0</v>
      </c>
      <c r="H2148" s="11">
        <v>1091.93</v>
      </c>
      <c r="I2148" s="11">
        <f t="shared" si="68"/>
        <v>-29667.530000000006</v>
      </c>
      <c r="J2148" s="12"/>
    </row>
    <row r="2149" spans="3:10" x14ac:dyDescent="0.3">
      <c r="C2149" s="8" t="s">
        <v>11</v>
      </c>
      <c r="D2149" s="9">
        <v>45838</v>
      </c>
      <c r="E2149" t="s">
        <v>1643</v>
      </c>
      <c r="F2149" s="10" t="s">
        <v>870</v>
      </c>
      <c r="G2149" s="11">
        <v>0</v>
      </c>
      <c r="H2149" s="11">
        <v>145.35</v>
      </c>
      <c r="I2149" s="11">
        <f t="shared" si="68"/>
        <v>-29812.880000000005</v>
      </c>
      <c r="J2149" s="12"/>
    </row>
    <row r="2150" spans="3:10" x14ac:dyDescent="0.3">
      <c r="C2150" s="8" t="s">
        <v>11</v>
      </c>
      <c r="D2150" s="9">
        <v>45838</v>
      </c>
      <c r="E2150" t="s">
        <v>1560</v>
      </c>
      <c r="F2150" s="10" t="s">
        <v>1644</v>
      </c>
      <c r="G2150" s="11">
        <v>0</v>
      </c>
      <c r="H2150" s="11">
        <v>97.38</v>
      </c>
      <c r="I2150" s="11">
        <f t="shared" si="68"/>
        <v>-29910.260000000006</v>
      </c>
      <c r="J2150" s="12"/>
    </row>
    <row r="2151" spans="3:10" x14ac:dyDescent="0.3">
      <c r="C2151" s="8" t="s">
        <v>11</v>
      </c>
      <c r="D2151" s="9">
        <v>45838</v>
      </c>
      <c r="E2151" t="s">
        <v>1529</v>
      </c>
      <c r="F2151" s="10" t="s">
        <v>1015</v>
      </c>
      <c r="G2151" s="11">
        <v>0</v>
      </c>
      <c r="H2151" s="11">
        <v>89.66</v>
      </c>
      <c r="I2151" s="11">
        <f t="shared" si="68"/>
        <v>-29999.920000000006</v>
      </c>
      <c r="J2151" s="12"/>
    </row>
    <row r="2152" spans="3:10" x14ac:dyDescent="0.3">
      <c r="C2152" s="8" t="s">
        <v>11</v>
      </c>
      <c r="D2152" s="9">
        <v>45838</v>
      </c>
      <c r="E2152" t="s">
        <v>1603</v>
      </c>
      <c r="F2152" s="10" t="s">
        <v>1645</v>
      </c>
      <c r="G2152" s="11">
        <v>0</v>
      </c>
      <c r="H2152" s="11">
        <v>37.799999999999997</v>
      </c>
      <c r="I2152" s="11">
        <f t="shared" si="68"/>
        <v>-30037.720000000005</v>
      </c>
      <c r="J2152" s="12"/>
    </row>
    <row r="2153" spans="3:10" x14ac:dyDescent="0.3">
      <c r="C2153" s="8" t="s">
        <v>11</v>
      </c>
      <c r="D2153" s="9">
        <v>45838</v>
      </c>
      <c r="E2153" t="s">
        <v>1535</v>
      </c>
      <c r="F2153" s="10" t="s">
        <v>737</v>
      </c>
      <c r="G2153" s="11">
        <v>0</v>
      </c>
      <c r="H2153" s="11">
        <v>95.15</v>
      </c>
      <c r="I2153" s="11">
        <f t="shared" si="68"/>
        <v>-30132.870000000006</v>
      </c>
      <c r="J2153" s="12"/>
    </row>
    <row r="2154" spans="3:10" x14ac:dyDescent="0.3">
      <c r="C2154" s="8" t="s">
        <v>11</v>
      </c>
      <c r="D2154" s="9">
        <v>45838</v>
      </c>
      <c r="E2154" t="s">
        <v>1556</v>
      </c>
      <c r="F2154" s="10" t="s">
        <v>1033</v>
      </c>
      <c r="G2154" s="11">
        <v>0</v>
      </c>
      <c r="H2154" s="11">
        <v>145.06</v>
      </c>
      <c r="I2154" s="11">
        <f t="shared" si="68"/>
        <v>-30277.930000000008</v>
      </c>
      <c r="J2154" s="12"/>
    </row>
    <row r="2155" spans="3:10" x14ac:dyDescent="0.3">
      <c r="C2155" s="8" t="s">
        <v>11</v>
      </c>
      <c r="D2155" s="9">
        <v>45838</v>
      </c>
      <c r="E2155" t="s">
        <v>1523</v>
      </c>
      <c r="F2155" s="10" t="s">
        <v>1646</v>
      </c>
      <c r="G2155" s="11">
        <v>0</v>
      </c>
      <c r="H2155" s="11">
        <v>8.6</v>
      </c>
      <c r="I2155" s="11">
        <f t="shared" si="68"/>
        <v>-30286.530000000006</v>
      </c>
      <c r="J2155" s="12"/>
    </row>
    <row r="2156" spans="3:10" x14ac:dyDescent="0.3">
      <c r="C2156" s="8" t="s">
        <v>11</v>
      </c>
      <c r="D2156" s="9">
        <v>45838</v>
      </c>
      <c r="E2156" t="s">
        <v>1647</v>
      </c>
      <c r="F2156" s="10" t="s">
        <v>889</v>
      </c>
      <c r="G2156" s="11">
        <v>0</v>
      </c>
      <c r="H2156" s="11">
        <v>139.38999999999999</v>
      </c>
      <c r="I2156" s="11">
        <f t="shared" si="68"/>
        <v>-30425.920000000006</v>
      </c>
      <c r="J2156" s="12"/>
    </row>
    <row r="2157" spans="3:10" x14ac:dyDescent="0.3">
      <c r="C2157" s="8" t="s">
        <v>11</v>
      </c>
      <c r="D2157" s="9">
        <v>45838</v>
      </c>
      <c r="E2157" t="s">
        <v>1547</v>
      </c>
      <c r="F2157" s="10" t="s">
        <v>954</v>
      </c>
      <c r="G2157" s="11">
        <v>0</v>
      </c>
      <c r="H2157" s="11">
        <v>203.67</v>
      </c>
      <c r="I2157" s="11">
        <f t="shared" si="68"/>
        <v>-30629.590000000004</v>
      </c>
      <c r="J2157" s="12"/>
    </row>
    <row r="2158" spans="3:10" x14ac:dyDescent="0.3">
      <c r="C2158" s="8" t="s">
        <v>11</v>
      </c>
      <c r="D2158" s="9">
        <v>45838</v>
      </c>
      <c r="E2158" t="s">
        <v>1576</v>
      </c>
      <c r="F2158" s="10" t="s">
        <v>1095</v>
      </c>
      <c r="G2158" s="11">
        <v>0</v>
      </c>
      <c r="H2158" s="11">
        <v>302.58999999999997</v>
      </c>
      <c r="I2158" s="11">
        <f t="shared" si="68"/>
        <v>-30932.180000000004</v>
      </c>
      <c r="J2158" s="12"/>
    </row>
    <row r="2159" spans="3:10" x14ac:dyDescent="0.3">
      <c r="C2159" s="8" t="s">
        <v>11</v>
      </c>
      <c r="D2159" s="9">
        <v>45838</v>
      </c>
      <c r="E2159" t="s">
        <v>1571</v>
      </c>
      <c r="F2159" s="10" t="s">
        <v>1648</v>
      </c>
      <c r="G2159" s="11">
        <v>0</v>
      </c>
      <c r="H2159" s="11">
        <v>981.87</v>
      </c>
      <c r="I2159" s="11">
        <f t="shared" si="68"/>
        <v>-31914.050000000003</v>
      </c>
      <c r="J2159" s="12"/>
    </row>
    <row r="2160" spans="3:10" x14ac:dyDescent="0.3">
      <c r="C2160" s="8" t="s">
        <v>11</v>
      </c>
      <c r="D2160" s="9">
        <v>45838</v>
      </c>
      <c r="E2160" t="s">
        <v>1545</v>
      </c>
      <c r="F2160" s="10" t="s">
        <v>908</v>
      </c>
      <c r="G2160" s="11">
        <v>0</v>
      </c>
      <c r="H2160" s="11">
        <v>82.42</v>
      </c>
      <c r="I2160" s="11">
        <f t="shared" si="68"/>
        <v>-31996.47</v>
      </c>
      <c r="J2160" s="12"/>
    </row>
    <row r="2161" spans="3:10" x14ac:dyDescent="0.3">
      <c r="C2161" s="8" t="s">
        <v>11</v>
      </c>
      <c r="D2161" s="9">
        <v>45838</v>
      </c>
      <c r="E2161" t="s">
        <v>1635</v>
      </c>
      <c r="F2161" s="10" t="s">
        <v>877</v>
      </c>
      <c r="G2161" s="11">
        <v>0</v>
      </c>
      <c r="H2161" s="11">
        <v>91.88</v>
      </c>
      <c r="I2161" s="11">
        <f t="shared" si="68"/>
        <v>-32088.350000000002</v>
      </c>
      <c r="J2161" s="12"/>
    </row>
    <row r="2162" spans="3:10" x14ac:dyDescent="0.3">
      <c r="C2162" s="8" t="s">
        <v>11</v>
      </c>
      <c r="D2162" s="9">
        <v>45838</v>
      </c>
      <c r="E2162" t="s">
        <v>1649</v>
      </c>
      <c r="F2162" s="10" t="s">
        <v>1650</v>
      </c>
      <c r="G2162" s="11">
        <v>0</v>
      </c>
      <c r="H2162" s="11">
        <v>242.01</v>
      </c>
      <c r="I2162" s="11">
        <f t="shared" si="68"/>
        <v>-32330.36</v>
      </c>
      <c r="J2162" s="12"/>
    </row>
    <row r="2163" spans="3:10" x14ac:dyDescent="0.3">
      <c r="C2163" s="8" t="s">
        <v>11</v>
      </c>
      <c r="D2163" s="9">
        <v>45838</v>
      </c>
      <c r="E2163" t="s">
        <v>1651</v>
      </c>
      <c r="F2163" s="10" t="s">
        <v>1106</v>
      </c>
      <c r="G2163" s="11">
        <v>0</v>
      </c>
      <c r="H2163" s="11">
        <v>171.67</v>
      </c>
      <c r="I2163" s="11">
        <f t="shared" si="68"/>
        <v>-32502.03</v>
      </c>
      <c r="J2163" s="12"/>
    </row>
    <row r="2164" spans="3:10" x14ac:dyDescent="0.3">
      <c r="C2164" s="8" t="s">
        <v>11</v>
      </c>
      <c r="D2164" s="9">
        <v>45838</v>
      </c>
      <c r="E2164" t="s">
        <v>1577</v>
      </c>
      <c r="F2164" s="10" t="s">
        <v>1652</v>
      </c>
      <c r="G2164" s="11">
        <v>0</v>
      </c>
      <c r="H2164" s="11">
        <v>907.71</v>
      </c>
      <c r="I2164" s="11">
        <f t="shared" si="68"/>
        <v>-33409.74</v>
      </c>
      <c r="J2164" s="12"/>
    </row>
    <row r="2165" spans="3:10" x14ac:dyDescent="0.3">
      <c r="C2165" s="8" t="s">
        <v>11</v>
      </c>
      <c r="D2165" s="9">
        <v>45838</v>
      </c>
      <c r="E2165" t="s">
        <v>1532</v>
      </c>
      <c r="F2165" s="10" t="s">
        <v>824</v>
      </c>
      <c r="G2165" s="11">
        <v>0</v>
      </c>
      <c r="H2165" s="11">
        <v>44.58</v>
      </c>
      <c r="I2165" s="11">
        <f t="shared" si="68"/>
        <v>-33454.32</v>
      </c>
      <c r="J2165" s="12"/>
    </row>
    <row r="2166" spans="3:10" x14ac:dyDescent="0.3">
      <c r="C2166" s="8" t="s">
        <v>11</v>
      </c>
      <c r="D2166" s="9">
        <v>45838</v>
      </c>
      <c r="E2166" t="s">
        <v>1446</v>
      </c>
      <c r="F2166" s="10" t="s">
        <v>1447</v>
      </c>
      <c r="G2166" s="11">
        <v>33454.32</v>
      </c>
      <c r="H2166" s="11">
        <v>0</v>
      </c>
      <c r="I2166" s="11">
        <f t="shared" si="68"/>
        <v>0</v>
      </c>
      <c r="J2166" s="12"/>
    </row>
    <row r="2167" spans="3:10" x14ac:dyDescent="0.3">
      <c r="C2167" s="8"/>
      <c r="D2167" s="9">
        <v>45839</v>
      </c>
      <c r="E2167" t="s">
        <v>1582</v>
      </c>
      <c r="F2167" s="10" t="s">
        <v>1450</v>
      </c>
      <c r="G2167" s="11">
        <v>0</v>
      </c>
      <c r="H2167" s="11">
        <v>68.459999999999994</v>
      </c>
      <c r="I2167" s="11">
        <f t="shared" si="68"/>
        <v>-68.459999999999994</v>
      </c>
      <c r="J2167" s="12"/>
    </row>
    <row r="2168" spans="3:10" x14ac:dyDescent="0.3">
      <c r="C2168" s="8"/>
      <c r="D2168" s="9">
        <v>45853</v>
      </c>
      <c r="E2168" t="s">
        <v>1653</v>
      </c>
      <c r="F2168" s="10" t="s">
        <v>947</v>
      </c>
      <c r="G2168" s="11">
        <v>0</v>
      </c>
      <c r="H2168" s="11">
        <v>299.37</v>
      </c>
      <c r="I2168" s="11">
        <f t="shared" si="68"/>
        <v>-367.83</v>
      </c>
      <c r="J2168" s="12"/>
    </row>
    <row r="2169" spans="3:10" x14ac:dyDescent="0.3">
      <c r="C2169" s="8"/>
      <c r="D2169" s="9">
        <v>45853</v>
      </c>
      <c r="E2169" t="s">
        <v>1576</v>
      </c>
      <c r="F2169" s="10" t="s">
        <v>1097</v>
      </c>
      <c r="G2169" s="11">
        <v>0</v>
      </c>
      <c r="H2169" s="11">
        <v>10.56</v>
      </c>
      <c r="I2169" s="11">
        <f t="shared" si="68"/>
        <v>-378.39</v>
      </c>
      <c r="J2169" s="12"/>
    </row>
    <row r="2170" spans="3:10" x14ac:dyDescent="0.3">
      <c r="C2170" s="8"/>
      <c r="D2170" s="9">
        <v>45853</v>
      </c>
      <c r="E2170" t="s">
        <v>1576</v>
      </c>
      <c r="F2170" s="10" t="s">
        <v>1099</v>
      </c>
      <c r="G2170" s="11">
        <v>0</v>
      </c>
      <c r="H2170" s="11">
        <v>15.41</v>
      </c>
      <c r="I2170" s="11">
        <f t="shared" si="68"/>
        <v>-393.8</v>
      </c>
      <c r="J2170" s="12"/>
    </row>
    <row r="2171" spans="3:10" x14ac:dyDescent="0.3">
      <c r="C2171" s="8"/>
      <c r="D2171" s="9">
        <v>45853</v>
      </c>
      <c r="E2171" t="s">
        <v>1576</v>
      </c>
      <c r="F2171" s="10" t="s">
        <v>1101</v>
      </c>
      <c r="G2171" s="11">
        <v>0</v>
      </c>
      <c r="H2171" s="11">
        <v>127.69</v>
      </c>
      <c r="I2171" s="11">
        <f t="shared" si="68"/>
        <v>-521.49</v>
      </c>
      <c r="J2171" s="12"/>
    </row>
    <row r="2172" spans="3:10" x14ac:dyDescent="0.3">
      <c r="C2172" s="8"/>
      <c r="D2172" s="9">
        <v>45853</v>
      </c>
      <c r="E2172" t="s">
        <v>1654</v>
      </c>
      <c r="F2172" s="10" t="s">
        <v>944</v>
      </c>
      <c r="G2172" s="11">
        <v>0</v>
      </c>
      <c r="H2172" s="11">
        <v>156.07</v>
      </c>
      <c r="I2172" s="11">
        <f t="shared" si="68"/>
        <v>-677.56</v>
      </c>
      <c r="J2172" s="12"/>
    </row>
    <row r="2173" spans="3:10" x14ac:dyDescent="0.3">
      <c r="C2173" s="8"/>
      <c r="D2173" s="9">
        <v>45853</v>
      </c>
      <c r="E2173" t="s">
        <v>1520</v>
      </c>
      <c r="F2173" s="10" t="s">
        <v>782</v>
      </c>
      <c r="G2173" s="11">
        <v>0</v>
      </c>
      <c r="H2173" s="11">
        <v>1535.56</v>
      </c>
      <c r="I2173" s="11">
        <f t="shared" si="68"/>
        <v>-2213.12</v>
      </c>
      <c r="J2173" s="12"/>
    </row>
    <row r="2174" spans="3:10" x14ac:dyDescent="0.3">
      <c r="C2174" s="8"/>
      <c r="D2174" s="9">
        <v>45853</v>
      </c>
      <c r="E2174" t="s">
        <v>1520</v>
      </c>
      <c r="F2174" s="10" t="s">
        <v>784</v>
      </c>
      <c r="G2174" s="11">
        <v>0</v>
      </c>
      <c r="H2174" s="11">
        <v>308.85000000000002</v>
      </c>
      <c r="I2174" s="11">
        <f t="shared" si="68"/>
        <v>-2521.9699999999998</v>
      </c>
      <c r="J2174" s="12"/>
    </row>
    <row r="2175" spans="3:10" x14ac:dyDescent="0.3">
      <c r="C2175" s="8"/>
      <c r="D2175" s="9">
        <v>45853</v>
      </c>
      <c r="E2175" t="s">
        <v>1655</v>
      </c>
      <c r="F2175" s="10" t="s">
        <v>723</v>
      </c>
      <c r="G2175" s="11">
        <v>0</v>
      </c>
      <c r="H2175" s="11">
        <v>449.31</v>
      </c>
      <c r="I2175" s="11">
        <f t="shared" si="68"/>
        <v>-2971.2799999999997</v>
      </c>
      <c r="J2175" s="12"/>
    </row>
    <row r="2176" spans="3:10" x14ac:dyDescent="0.3">
      <c r="C2176" s="8"/>
      <c r="D2176" s="9">
        <v>45853</v>
      </c>
      <c r="E2176" t="s">
        <v>1553</v>
      </c>
      <c r="F2176" s="10" t="s">
        <v>1176</v>
      </c>
      <c r="G2176" s="11">
        <v>0</v>
      </c>
      <c r="H2176" s="11">
        <v>134.69</v>
      </c>
      <c r="I2176" s="11">
        <f t="shared" si="68"/>
        <v>-3105.97</v>
      </c>
      <c r="J2176" s="12"/>
    </row>
    <row r="2177" spans="3:10" x14ac:dyDescent="0.3">
      <c r="C2177" s="8"/>
      <c r="D2177" s="9">
        <v>45853</v>
      </c>
      <c r="E2177" t="s">
        <v>1532</v>
      </c>
      <c r="F2177" s="10" t="s">
        <v>826</v>
      </c>
      <c r="G2177" s="11">
        <v>0</v>
      </c>
      <c r="H2177" s="11">
        <v>659.08</v>
      </c>
      <c r="I2177" s="11">
        <f t="shared" si="68"/>
        <v>-3765.0499999999997</v>
      </c>
      <c r="J2177" s="12"/>
    </row>
    <row r="2178" spans="3:10" x14ac:dyDescent="0.3">
      <c r="C2178" s="8"/>
      <c r="D2178" s="9">
        <v>45853</v>
      </c>
      <c r="E2178" t="s">
        <v>1587</v>
      </c>
      <c r="F2178" s="10" t="s">
        <v>1656</v>
      </c>
      <c r="G2178" s="11">
        <v>0</v>
      </c>
      <c r="H2178" s="11">
        <v>260.95999999999998</v>
      </c>
      <c r="I2178" s="11">
        <f t="shared" si="68"/>
        <v>-4026.0099999999998</v>
      </c>
      <c r="J2178" s="12"/>
    </row>
    <row r="2179" spans="3:10" x14ac:dyDescent="0.3">
      <c r="C2179" s="8"/>
      <c r="D2179" s="9">
        <v>45853</v>
      </c>
      <c r="E2179" t="s">
        <v>1600</v>
      </c>
      <c r="F2179" s="10" t="s">
        <v>1054</v>
      </c>
      <c r="G2179" s="11">
        <v>0</v>
      </c>
      <c r="H2179" s="11">
        <v>278.44</v>
      </c>
      <c r="I2179" s="11">
        <f t="shared" si="68"/>
        <v>-4304.45</v>
      </c>
      <c r="J2179" s="12"/>
    </row>
    <row r="2180" spans="3:10" x14ac:dyDescent="0.3">
      <c r="C2180" s="8"/>
      <c r="D2180" s="9">
        <v>45853</v>
      </c>
      <c r="E2180" t="s">
        <v>1541</v>
      </c>
      <c r="F2180" s="10" t="s">
        <v>852</v>
      </c>
      <c r="G2180" s="11">
        <v>0</v>
      </c>
      <c r="H2180" s="11">
        <v>67.430000000000007</v>
      </c>
      <c r="I2180" s="11">
        <f t="shared" si="68"/>
        <v>-4371.88</v>
      </c>
      <c r="J2180" s="12"/>
    </row>
    <row r="2181" spans="3:10" x14ac:dyDescent="0.3">
      <c r="C2181" s="8"/>
      <c r="D2181" s="9">
        <v>45853</v>
      </c>
      <c r="E2181" t="s">
        <v>1541</v>
      </c>
      <c r="F2181" s="10" t="s">
        <v>854</v>
      </c>
      <c r="G2181" s="11">
        <v>0</v>
      </c>
      <c r="H2181" s="11">
        <v>87.57</v>
      </c>
      <c r="I2181" s="11">
        <f t="shared" si="68"/>
        <v>-4459.45</v>
      </c>
      <c r="J2181" s="12"/>
    </row>
    <row r="2182" spans="3:10" x14ac:dyDescent="0.3">
      <c r="C2182" s="8"/>
      <c r="D2182" s="9">
        <v>45853</v>
      </c>
      <c r="E2182" t="s">
        <v>1520</v>
      </c>
      <c r="F2182" s="10" t="s">
        <v>786</v>
      </c>
      <c r="G2182" s="11">
        <v>0</v>
      </c>
      <c r="H2182" s="11">
        <v>316.60000000000002</v>
      </c>
      <c r="I2182" s="11">
        <f t="shared" si="68"/>
        <v>-4776.05</v>
      </c>
      <c r="J2182" s="12"/>
    </row>
    <row r="2183" spans="3:10" x14ac:dyDescent="0.3">
      <c r="C2183" s="8"/>
      <c r="D2183" s="9">
        <v>45854</v>
      </c>
      <c r="E2183" t="s">
        <v>1519</v>
      </c>
      <c r="F2183" s="10" t="s">
        <v>712</v>
      </c>
      <c r="G2183" s="11">
        <v>0</v>
      </c>
      <c r="H2183" s="11">
        <v>263.12</v>
      </c>
      <c r="I2183" s="11">
        <f t="shared" si="68"/>
        <v>-5039.17</v>
      </c>
      <c r="J2183" s="12"/>
    </row>
    <row r="2184" spans="3:10" x14ac:dyDescent="0.3">
      <c r="C2184" s="8"/>
      <c r="D2184" s="9">
        <v>45854</v>
      </c>
      <c r="E2184" t="s">
        <v>1535</v>
      </c>
      <c r="F2184" s="10" t="s">
        <v>739</v>
      </c>
      <c r="G2184" s="11">
        <v>0</v>
      </c>
      <c r="H2184" s="11">
        <v>251.82</v>
      </c>
      <c r="I2184" s="11">
        <f t="shared" si="68"/>
        <v>-5290.99</v>
      </c>
      <c r="J2184" s="12"/>
    </row>
    <row r="2185" spans="3:10" x14ac:dyDescent="0.3">
      <c r="C2185" s="8"/>
      <c r="D2185" s="9">
        <v>45854</v>
      </c>
      <c r="E2185" t="s">
        <v>1546</v>
      </c>
      <c r="F2185" s="10" t="s">
        <v>865</v>
      </c>
      <c r="G2185" s="11">
        <v>0</v>
      </c>
      <c r="H2185" s="11">
        <v>261.64999999999998</v>
      </c>
      <c r="I2185" s="11">
        <f t="shared" si="68"/>
        <v>-5552.6399999999994</v>
      </c>
      <c r="J2185" s="12"/>
    </row>
    <row r="2186" spans="3:10" x14ac:dyDescent="0.3">
      <c r="C2186" s="8"/>
      <c r="D2186" s="9">
        <v>45854</v>
      </c>
      <c r="E2186" t="s">
        <v>1525</v>
      </c>
      <c r="F2186" s="10" t="s">
        <v>1154</v>
      </c>
      <c r="G2186" s="11">
        <v>0</v>
      </c>
      <c r="H2186" s="11">
        <v>1183.3499999999999</v>
      </c>
      <c r="I2186" s="11">
        <f t="shared" si="68"/>
        <v>-6735.99</v>
      </c>
      <c r="J2186" s="12"/>
    </row>
    <row r="2187" spans="3:10" x14ac:dyDescent="0.3">
      <c r="C2187" s="8"/>
      <c r="D2187" s="9">
        <v>45854</v>
      </c>
      <c r="E2187" t="s">
        <v>1534</v>
      </c>
      <c r="F2187" s="10" t="s">
        <v>1166</v>
      </c>
      <c r="G2187" s="11">
        <v>0</v>
      </c>
      <c r="H2187" s="11">
        <v>38.11</v>
      </c>
      <c r="I2187" s="11">
        <f t="shared" si="68"/>
        <v>-6774.0999999999995</v>
      </c>
      <c r="J2187" s="12"/>
    </row>
    <row r="2188" spans="3:10" x14ac:dyDescent="0.3">
      <c r="C2188" s="8"/>
      <c r="D2188" s="9">
        <v>45855</v>
      </c>
      <c r="E2188" t="s">
        <v>1657</v>
      </c>
      <c r="F2188" s="10" t="s">
        <v>182</v>
      </c>
      <c r="G2188" s="11">
        <v>0</v>
      </c>
      <c r="H2188" s="11">
        <v>312.25</v>
      </c>
      <c r="I2188" s="11">
        <f t="shared" si="68"/>
        <v>-7086.3499999999995</v>
      </c>
      <c r="J2188" s="12"/>
    </row>
    <row r="2189" spans="3:10" x14ac:dyDescent="0.3">
      <c r="C2189" s="8"/>
      <c r="D2189" s="9">
        <v>45867</v>
      </c>
      <c r="E2189" t="s">
        <v>1658</v>
      </c>
      <c r="F2189" s="10" t="s">
        <v>536</v>
      </c>
      <c r="G2189" s="11">
        <v>0</v>
      </c>
      <c r="H2189" s="11">
        <v>178.93</v>
      </c>
      <c r="I2189" s="11">
        <f t="shared" si="68"/>
        <v>-7265.28</v>
      </c>
      <c r="J2189" s="12"/>
    </row>
    <row r="2190" spans="3:10" x14ac:dyDescent="0.3">
      <c r="C2190" s="8"/>
      <c r="D2190" s="9">
        <v>45869</v>
      </c>
      <c r="E2190" t="s">
        <v>1576</v>
      </c>
      <c r="F2190" s="10" t="s">
        <v>1103</v>
      </c>
      <c r="G2190" s="11">
        <v>0</v>
      </c>
      <c r="H2190" s="11">
        <v>20.79</v>
      </c>
      <c r="I2190" s="11">
        <f t="shared" si="68"/>
        <v>-7286.07</v>
      </c>
      <c r="J2190" s="12"/>
    </row>
    <row r="2191" spans="3:10" x14ac:dyDescent="0.3">
      <c r="C2191" s="8"/>
      <c r="D2191" s="9">
        <v>45869</v>
      </c>
      <c r="E2191" t="s">
        <v>1600</v>
      </c>
      <c r="F2191" s="10" t="s">
        <v>1056</v>
      </c>
      <c r="G2191" s="11">
        <v>0</v>
      </c>
      <c r="H2191" s="11">
        <v>212.31</v>
      </c>
      <c r="I2191" s="11">
        <f t="shared" si="68"/>
        <v>-7498.38</v>
      </c>
      <c r="J2191" s="12"/>
    </row>
    <row r="2192" spans="3:10" x14ac:dyDescent="0.3">
      <c r="C2192" s="8"/>
      <c r="D2192" s="9">
        <v>45869</v>
      </c>
      <c r="E2192" t="s">
        <v>1562</v>
      </c>
      <c r="F2192" s="10" t="s">
        <v>720</v>
      </c>
      <c r="G2192" s="11">
        <v>0</v>
      </c>
      <c r="H2192" s="11">
        <v>544.99</v>
      </c>
      <c r="I2192" s="11">
        <f t="shared" si="68"/>
        <v>-8043.37</v>
      </c>
      <c r="J2192" s="12"/>
    </row>
    <row r="2193" spans="3:10" x14ac:dyDescent="0.3">
      <c r="C2193" s="8"/>
      <c r="D2193" s="9">
        <v>45869</v>
      </c>
      <c r="E2193" t="s">
        <v>1525</v>
      </c>
      <c r="F2193" s="10" t="s">
        <v>1156</v>
      </c>
      <c r="G2193" s="11">
        <v>0</v>
      </c>
      <c r="H2193" s="11">
        <v>1743.24</v>
      </c>
      <c r="I2193" s="11">
        <f t="shared" ref="I2193:I2256" si="69">G2193-H2193+I2192</f>
        <v>-9786.61</v>
      </c>
      <c r="J2193" s="12"/>
    </row>
    <row r="2194" spans="3:10" x14ac:dyDescent="0.3">
      <c r="C2194" s="8"/>
      <c r="D2194" s="9">
        <v>45869</v>
      </c>
      <c r="E2194" t="s">
        <v>1659</v>
      </c>
      <c r="F2194" s="10" t="s">
        <v>1061</v>
      </c>
      <c r="G2194" s="11">
        <v>0</v>
      </c>
      <c r="H2194" s="11">
        <v>142.85</v>
      </c>
      <c r="I2194" s="11">
        <f t="shared" si="69"/>
        <v>-9929.4600000000009</v>
      </c>
      <c r="J2194" s="12"/>
    </row>
    <row r="2195" spans="3:10" x14ac:dyDescent="0.3">
      <c r="C2195" s="8"/>
      <c r="D2195" s="9">
        <v>45869</v>
      </c>
      <c r="E2195" t="s">
        <v>1655</v>
      </c>
      <c r="F2195" s="10" t="s">
        <v>725</v>
      </c>
      <c r="G2195" s="11">
        <v>0</v>
      </c>
      <c r="H2195" s="11">
        <v>118.86</v>
      </c>
      <c r="I2195" s="11">
        <f t="shared" si="69"/>
        <v>-10048.320000000002</v>
      </c>
      <c r="J2195" s="12"/>
    </row>
    <row r="2196" spans="3:10" x14ac:dyDescent="0.3">
      <c r="C2196" s="8"/>
      <c r="D2196" s="9">
        <v>45869</v>
      </c>
      <c r="E2196" t="s">
        <v>1653</v>
      </c>
      <c r="F2196" s="10" t="s">
        <v>949</v>
      </c>
      <c r="G2196" s="11">
        <v>0</v>
      </c>
      <c r="H2196" s="11">
        <v>407.67</v>
      </c>
      <c r="I2196" s="11">
        <f t="shared" si="69"/>
        <v>-10455.990000000002</v>
      </c>
      <c r="J2196" s="12"/>
    </row>
    <row r="2197" spans="3:10" x14ac:dyDescent="0.3">
      <c r="C2197" s="8"/>
      <c r="D2197" s="9">
        <v>45869</v>
      </c>
      <c r="E2197" t="s">
        <v>1520</v>
      </c>
      <c r="F2197" s="10" t="s">
        <v>788</v>
      </c>
      <c r="G2197" s="11">
        <v>0</v>
      </c>
      <c r="H2197" s="11">
        <v>165</v>
      </c>
      <c r="I2197" s="11">
        <f t="shared" si="69"/>
        <v>-10620.990000000002</v>
      </c>
      <c r="J2197" s="12"/>
    </row>
    <row r="2198" spans="3:10" x14ac:dyDescent="0.3">
      <c r="C2198" s="8"/>
      <c r="D2198" s="9">
        <v>45869</v>
      </c>
      <c r="E2198" t="s">
        <v>1643</v>
      </c>
      <c r="F2198" s="10" t="s">
        <v>872</v>
      </c>
      <c r="G2198" s="11">
        <v>0</v>
      </c>
      <c r="H2198" s="11">
        <v>145.35</v>
      </c>
      <c r="I2198" s="11">
        <f t="shared" si="69"/>
        <v>-10766.340000000002</v>
      </c>
      <c r="J2198" s="12"/>
    </row>
    <row r="2199" spans="3:10" x14ac:dyDescent="0.3">
      <c r="C2199" s="8"/>
      <c r="D2199" s="9">
        <v>45869</v>
      </c>
      <c r="E2199" t="s">
        <v>1613</v>
      </c>
      <c r="F2199" s="10" t="s">
        <v>959</v>
      </c>
      <c r="G2199" s="11">
        <v>0</v>
      </c>
      <c r="H2199" s="11">
        <v>192.53</v>
      </c>
      <c r="I2199" s="11">
        <f t="shared" si="69"/>
        <v>-10958.870000000003</v>
      </c>
      <c r="J2199" s="12"/>
    </row>
    <row r="2200" spans="3:10" x14ac:dyDescent="0.3">
      <c r="C2200" s="8"/>
      <c r="D2200" s="9">
        <v>45869</v>
      </c>
      <c r="E2200" t="s">
        <v>1523</v>
      </c>
      <c r="F2200" s="10" t="s">
        <v>1660</v>
      </c>
      <c r="G2200" s="11">
        <v>0</v>
      </c>
      <c r="H2200" s="11">
        <v>835.85</v>
      </c>
      <c r="I2200" s="11">
        <f t="shared" si="69"/>
        <v>-11794.720000000003</v>
      </c>
      <c r="J2200" s="12"/>
    </row>
    <row r="2201" spans="3:10" x14ac:dyDescent="0.3">
      <c r="C2201" s="8"/>
      <c r="D2201" s="9">
        <v>45869</v>
      </c>
      <c r="E2201" t="s">
        <v>1556</v>
      </c>
      <c r="F2201" s="10" t="s">
        <v>1035</v>
      </c>
      <c r="G2201" s="11">
        <v>0</v>
      </c>
      <c r="H2201" s="11">
        <v>145.06</v>
      </c>
      <c r="I2201" s="11">
        <f t="shared" si="69"/>
        <v>-11939.780000000002</v>
      </c>
      <c r="J2201" s="12"/>
    </row>
    <row r="2202" spans="3:10" x14ac:dyDescent="0.3">
      <c r="C2202" s="8"/>
      <c r="D2202" s="9">
        <v>45869</v>
      </c>
      <c r="E2202" t="s">
        <v>1541</v>
      </c>
      <c r="F2202" s="10" t="s">
        <v>856</v>
      </c>
      <c r="G2202" s="11">
        <v>0</v>
      </c>
      <c r="H2202" s="11">
        <v>2093.21</v>
      </c>
      <c r="I2202" s="11">
        <f t="shared" si="69"/>
        <v>-14032.990000000002</v>
      </c>
      <c r="J2202" s="12"/>
    </row>
    <row r="2203" spans="3:10" x14ac:dyDescent="0.3">
      <c r="C2203" s="8"/>
      <c r="D2203" s="9">
        <v>45869</v>
      </c>
      <c r="E2203" t="s">
        <v>1532</v>
      </c>
      <c r="F2203" s="10" t="s">
        <v>828</v>
      </c>
      <c r="G2203" s="11">
        <v>0</v>
      </c>
      <c r="H2203" s="11">
        <v>1484.74</v>
      </c>
      <c r="I2203" s="11">
        <f t="shared" si="69"/>
        <v>-15517.730000000001</v>
      </c>
      <c r="J2203" s="12"/>
    </row>
    <row r="2204" spans="3:10" x14ac:dyDescent="0.3">
      <c r="C2204" s="8"/>
      <c r="D2204" s="9">
        <v>45869</v>
      </c>
      <c r="E2204" t="s">
        <v>1583</v>
      </c>
      <c r="F2204" s="10" t="s">
        <v>1071</v>
      </c>
      <c r="G2204" s="11">
        <v>0</v>
      </c>
      <c r="H2204" s="11">
        <v>84.58</v>
      </c>
      <c r="I2204" s="11">
        <f t="shared" si="69"/>
        <v>-15602.310000000001</v>
      </c>
      <c r="J2204" s="12"/>
    </row>
    <row r="2205" spans="3:10" x14ac:dyDescent="0.3">
      <c r="C2205" s="8"/>
      <c r="D2205" s="9">
        <v>45869</v>
      </c>
      <c r="E2205" t="s">
        <v>1606</v>
      </c>
      <c r="F2205" s="10" t="s">
        <v>1123</v>
      </c>
      <c r="G2205" s="11">
        <v>0</v>
      </c>
      <c r="H2205" s="11">
        <v>112.19</v>
      </c>
      <c r="I2205" s="11">
        <f t="shared" si="69"/>
        <v>-15714.500000000002</v>
      </c>
      <c r="J2205" s="12"/>
    </row>
    <row r="2206" spans="3:10" x14ac:dyDescent="0.3">
      <c r="C2206" s="8"/>
      <c r="D2206" s="9">
        <v>45869</v>
      </c>
      <c r="E2206" t="s">
        <v>1529</v>
      </c>
      <c r="F2206" s="10" t="s">
        <v>1017</v>
      </c>
      <c r="G2206" s="11">
        <v>0</v>
      </c>
      <c r="H2206" s="11">
        <v>435.13</v>
      </c>
      <c r="I2206" s="11">
        <f t="shared" si="69"/>
        <v>-16149.630000000001</v>
      </c>
      <c r="J2206" s="12"/>
    </row>
    <row r="2207" spans="3:10" x14ac:dyDescent="0.3">
      <c r="C2207" s="8"/>
      <c r="D2207" s="9">
        <v>45869</v>
      </c>
      <c r="E2207" t="s">
        <v>1545</v>
      </c>
      <c r="F2207" s="10" t="s">
        <v>910</v>
      </c>
      <c r="G2207" s="11">
        <v>0</v>
      </c>
      <c r="H2207" s="11">
        <v>82.74</v>
      </c>
      <c r="I2207" s="11">
        <f t="shared" si="69"/>
        <v>-16232.37</v>
      </c>
      <c r="J2207" s="12"/>
    </row>
    <row r="2208" spans="3:10" x14ac:dyDescent="0.3">
      <c r="C2208" s="8"/>
      <c r="D2208" s="9">
        <v>45869</v>
      </c>
      <c r="E2208" t="s">
        <v>1552</v>
      </c>
      <c r="F2208" s="10" t="s">
        <v>698</v>
      </c>
      <c r="G2208" s="11">
        <v>0</v>
      </c>
      <c r="H2208" s="11">
        <v>1182.1199999999999</v>
      </c>
      <c r="I2208" s="11">
        <f t="shared" si="69"/>
        <v>-17414.490000000002</v>
      </c>
      <c r="J2208" s="12"/>
    </row>
    <row r="2209" spans="3:10" x14ac:dyDescent="0.3">
      <c r="C2209" s="8"/>
      <c r="D2209" s="9">
        <v>45869</v>
      </c>
      <c r="E2209" t="s">
        <v>1589</v>
      </c>
      <c r="F2209" s="10" t="s">
        <v>964</v>
      </c>
      <c r="G2209" s="11">
        <v>0</v>
      </c>
      <c r="H2209" s="11">
        <v>931.87</v>
      </c>
      <c r="I2209" s="11">
        <f t="shared" si="69"/>
        <v>-18346.36</v>
      </c>
      <c r="J2209" s="12"/>
    </row>
    <row r="2210" spans="3:10" x14ac:dyDescent="0.3">
      <c r="C2210" s="8"/>
      <c r="D2210" s="9">
        <v>45900</v>
      </c>
      <c r="E2210" t="s">
        <v>1552</v>
      </c>
      <c r="F2210" s="10" t="s">
        <v>700</v>
      </c>
      <c r="G2210" s="11">
        <v>0</v>
      </c>
      <c r="H2210" s="11">
        <v>1979.53</v>
      </c>
      <c r="I2210" s="11">
        <f t="shared" si="69"/>
        <v>-20325.89</v>
      </c>
      <c r="J2210" s="12"/>
    </row>
    <row r="2211" spans="3:10" x14ac:dyDescent="0.3">
      <c r="C2211" s="8"/>
      <c r="D2211" s="9">
        <v>45900</v>
      </c>
      <c r="E2211" t="s">
        <v>1661</v>
      </c>
      <c r="F2211" s="10" t="s">
        <v>799</v>
      </c>
      <c r="G2211" s="11">
        <v>0</v>
      </c>
      <c r="H2211" s="11">
        <v>49.14</v>
      </c>
      <c r="I2211" s="11">
        <f t="shared" si="69"/>
        <v>-20375.03</v>
      </c>
      <c r="J2211" s="12"/>
    </row>
    <row r="2212" spans="3:10" x14ac:dyDescent="0.3">
      <c r="C2212" s="8"/>
      <c r="D2212" s="9">
        <v>45900</v>
      </c>
      <c r="E2212" t="s">
        <v>1661</v>
      </c>
      <c r="F2212" s="10" t="s">
        <v>801</v>
      </c>
      <c r="G2212" s="11">
        <v>0</v>
      </c>
      <c r="H2212" s="11">
        <v>178.27</v>
      </c>
      <c r="I2212" s="11">
        <f t="shared" si="69"/>
        <v>-20553.3</v>
      </c>
      <c r="J2212" s="12"/>
    </row>
    <row r="2213" spans="3:10" x14ac:dyDescent="0.3">
      <c r="C2213" s="8"/>
      <c r="D2213" s="9">
        <v>45900</v>
      </c>
      <c r="E2213" t="s">
        <v>1566</v>
      </c>
      <c r="F2213" s="10" t="s">
        <v>1187</v>
      </c>
      <c r="G2213" s="11">
        <v>0</v>
      </c>
      <c r="H2213" s="11">
        <v>82.99</v>
      </c>
      <c r="I2213" s="11">
        <f t="shared" si="69"/>
        <v>-20636.29</v>
      </c>
      <c r="J2213" s="12"/>
    </row>
    <row r="2214" spans="3:10" x14ac:dyDescent="0.3">
      <c r="C2214" s="8"/>
      <c r="D2214" s="9">
        <v>45900</v>
      </c>
      <c r="E2214" t="s">
        <v>1537</v>
      </c>
      <c r="F2214" s="10" t="s">
        <v>977</v>
      </c>
      <c r="G2214" s="11">
        <v>0</v>
      </c>
      <c r="H2214" s="11">
        <v>324.91000000000003</v>
      </c>
      <c r="I2214" s="11">
        <f t="shared" si="69"/>
        <v>-20961.2</v>
      </c>
      <c r="J2214" s="12"/>
    </row>
    <row r="2215" spans="3:10" x14ac:dyDescent="0.3">
      <c r="C2215" s="8"/>
      <c r="D2215" s="9">
        <v>45900</v>
      </c>
      <c r="E2215" t="s">
        <v>1529</v>
      </c>
      <c r="F2215" s="10" t="s">
        <v>1019</v>
      </c>
      <c r="G2215" s="11">
        <v>0</v>
      </c>
      <c r="H2215" s="11">
        <v>115.26</v>
      </c>
      <c r="I2215" s="11">
        <f t="shared" si="69"/>
        <v>-21076.46</v>
      </c>
      <c r="J2215" s="12"/>
    </row>
    <row r="2216" spans="3:10" x14ac:dyDescent="0.3">
      <c r="C2216" s="8"/>
      <c r="D2216" s="9">
        <v>45900</v>
      </c>
      <c r="E2216" t="s">
        <v>1532</v>
      </c>
      <c r="F2216" s="10" t="s">
        <v>830</v>
      </c>
      <c r="G2216" s="11">
        <v>0</v>
      </c>
      <c r="H2216" s="11">
        <v>745.28</v>
      </c>
      <c r="I2216" s="11">
        <f t="shared" si="69"/>
        <v>-21821.739999999998</v>
      </c>
      <c r="J2216" s="12"/>
    </row>
    <row r="2217" spans="3:10" x14ac:dyDescent="0.3">
      <c r="C2217" s="8"/>
      <c r="D2217" s="9">
        <v>45900</v>
      </c>
      <c r="E2217" t="s">
        <v>1629</v>
      </c>
      <c r="F2217" s="10" t="s">
        <v>941</v>
      </c>
      <c r="G2217" s="11">
        <v>0</v>
      </c>
      <c r="H2217" s="11">
        <v>409.65</v>
      </c>
      <c r="I2217" s="11">
        <f t="shared" si="69"/>
        <v>-22231.39</v>
      </c>
      <c r="J2217" s="12"/>
    </row>
    <row r="2218" spans="3:10" x14ac:dyDescent="0.3">
      <c r="C2218" s="8"/>
      <c r="D2218" s="9">
        <v>45900</v>
      </c>
      <c r="E2218" t="s">
        <v>1553</v>
      </c>
      <c r="F2218" s="10" t="s">
        <v>1178</v>
      </c>
      <c r="G2218" s="11">
        <v>0</v>
      </c>
      <c r="H2218" s="11">
        <v>79.34</v>
      </c>
      <c r="I2218" s="11">
        <f t="shared" si="69"/>
        <v>-22310.73</v>
      </c>
      <c r="J2218" s="12"/>
    </row>
    <row r="2219" spans="3:10" x14ac:dyDescent="0.3">
      <c r="C2219" s="8"/>
      <c r="D2219" s="9">
        <v>45900</v>
      </c>
      <c r="E2219" t="s">
        <v>1662</v>
      </c>
      <c r="F2219" s="10" t="s">
        <v>1181</v>
      </c>
      <c r="G2219" s="11">
        <v>0</v>
      </c>
      <c r="H2219" s="11">
        <v>254.85</v>
      </c>
      <c r="I2219" s="11">
        <f t="shared" si="69"/>
        <v>-22565.579999999998</v>
      </c>
      <c r="J2219" s="12"/>
    </row>
    <row r="2220" spans="3:10" x14ac:dyDescent="0.3">
      <c r="C2220" s="8"/>
      <c r="D2220" s="9">
        <v>45900</v>
      </c>
      <c r="E2220" t="s">
        <v>1541</v>
      </c>
      <c r="F2220" s="10" t="s">
        <v>858</v>
      </c>
      <c r="G2220" s="11">
        <v>0</v>
      </c>
      <c r="H2220" s="11">
        <v>67.52</v>
      </c>
      <c r="I2220" s="11">
        <f t="shared" si="69"/>
        <v>-22633.1</v>
      </c>
      <c r="J2220" s="12"/>
    </row>
    <row r="2221" spans="3:10" x14ac:dyDescent="0.3">
      <c r="C2221" s="8"/>
      <c r="D2221" s="9">
        <v>45900</v>
      </c>
      <c r="E2221" t="s">
        <v>1541</v>
      </c>
      <c r="F2221" s="10" t="s">
        <v>860</v>
      </c>
      <c r="G2221" s="11">
        <v>0</v>
      </c>
      <c r="H2221" s="11">
        <v>126.78</v>
      </c>
      <c r="I2221" s="11">
        <f t="shared" si="69"/>
        <v>-22759.879999999997</v>
      </c>
      <c r="J2221" s="12"/>
    </row>
    <row r="2222" spans="3:10" x14ac:dyDescent="0.3">
      <c r="C2222" s="8"/>
      <c r="D2222" s="9">
        <v>45900</v>
      </c>
      <c r="E2222" t="s">
        <v>1545</v>
      </c>
      <c r="F2222" s="10" t="s">
        <v>912</v>
      </c>
      <c r="G2222" s="11">
        <v>0</v>
      </c>
      <c r="H2222" s="11">
        <v>107.12</v>
      </c>
      <c r="I2222" s="11">
        <f t="shared" si="69"/>
        <v>-22866.999999999996</v>
      </c>
      <c r="J2222" s="12"/>
    </row>
    <row r="2223" spans="3:10" x14ac:dyDescent="0.3">
      <c r="C2223" s="8"/>
      <c r="D2223" s="9">
        <v>45902</v>
      </c>
      <c r="E2223" t="s">
        <v>1536</v>
      </c>
      <c r="F2223" s="10" t="s">
        <v>297</v>
      </c>
      <c r="G2223" s="11">
        <v>0</v>
      </c>
      <c r="H2223" s="11">
        <v>243.6</v>
      </c>
      <c r="I2223" s="11">
        <f t="shared" si="69"/>
        <v>-23110.599999999995</v>
      </c>
      <c r="J2223" s="12"/>
    </row>
    <row r="2224" spans="3:10" x14ac:dyDescent="0.3">
      <c r="C2224" s="8"/>
      <c r="D2224" s="9">
        <v>45902</v>
      </c>
      <c r="E2224" t="s">
        <v>1658</v>
      </c>
      <c r="F2224" s="10" t="s">
        <v>539</v>
      </c>
      <c r="G2224" s="11">
        <v>0</v>
      </c>
      <c r="H2224" s="11">
        <v>151.03</v>
      </c>
      <c r="I2224" s="11">
        <f t="shared" si="69"/>
        <v>-23261.629999999994</v>
      </c>
      <c r="J2224" s="12"/>
    </row>
    <row r="2225" spans="3:10" x14ac:dyDescent="0.3">
      <c r="C2225" s="8"/>
      <c r="D2225" s="9">
        <v>45915</v>
      </c>
      <c r="E2225" t="s">
        <v>1526</v>
      </c>
      <c r="F2225" s="10" t="s">
        <v>1118</v>
      </c>
      <c r="G2225" s="11">
        <v>0</v>
      </c>
      <c r="H2225" s="11">
        <v>1135.4100000000001</v>
      </c>
      <c r="I2225" s="11">
        <f t="shared" si="69"/>
        <v>-24397.039999999994</v>
      </c>
      <c r="J2225" s="12"/>
    </row>
    <row r="2226" spans="3:10" x14ac:dyDescent="0.3">
      <c r="C2226" s="8"/>
      <c r="D2226" s="9">
        <v>45915</v>
      </c>
      <c r="E2226" t="s">
        <v>1520</v>
      </c>
      <c r="F2226" s="10" t="s">
        <v>790</v>
      </c>
      <c r="G2226" s="11">
        <v>0</v>
      </c>
      <c r="H2226" s="11">
        <v>1678.96</v>
      </c>
      <c r="I2226" s="11">
        <f t="shared" si="69"/>
        <v>-26075.999999999993</v>
      </c>
      <c r="J2226" s="12"/>
    </row>
    <row r="2227" spans="3:10" x14ac:dyDescent="0.3">
      <c r="C2227" s="8"/>
      <c r="D2227" s="9">
        <v>45915</v>
      </c>
      <c r="E2227" t="s">
        <v>1533</v>
      </c>
      <c r="F2227" s="10" t="s">
        <v>997</v>
      </c>
      <c r="G2227" s="11">
        <v>0</v>
      </c>
      <c r="H2227" s="11">
        <v>74.31</v>
      </c>
      <c r="I2227" s="11">
        <f t="shared" si="69"/>
        <v>-26150.309999999994</v>
      </c>
      <c r="J2227" s="12"/>
    </row>
    <row r="2228" spans="3:10" x14ac:dyDescent="0.3">
      <c r="C2228" s="8"/>
      <c r="D2228" s="9">
        <v>45915</v>
      </c>
      <c r="E2228" t="s">
        <v>1557</v>
      </c>
      <c r="F2228" s="10" t="s">
        <v>886</v>
      </c>
      <c r="G2228" s="11">
        <v>0</v>
      </c>
      <c r="H2228" s="11">
        <v>499.45</v>
      </c>
      <c r="I2228" s="11">
        <f t="shared" si="69"/>
        <v>-26649.759999999995</v>
      </c>
      <c r="J2228" s="12"/>
    </row>
    <row r="2229" spans="3:10" x14ac:dyDescent="0.3">
      <c r="C2229" s="8"/>
      <c r="D2229" s="9">
        <v>45915</v>
      </c>
      <c r="E2229" t="s">
        <v>1520</v>
      </c>
      <c r="F2229" s="10" t="s">
        <v>792</v>
      </c>
      <c r="G2229" s="11">
        <v>0</v>
      </c>
      <c r="H2229" s="11">
        <v>167.84</v>
      </c>
      <c r="I2229" s="11">
        <f t="shared" si="69"/>
        <v>-26817.599999999995</v>
      </c>
      <c r="J2229" s="12"/>
    </row>
    <row r="2230" spans="3:10" x14ac:dyDescent="0.3">
      <c r="C2230" s="8"/>
      <c r="D2230" s="9">
        <v>45915</v>
      </c>
      <c r="E2230" t="s">
        <v>1529</v>
      </c>
      <c r="F2230" s="10" t="s">
        <v>1021</v>
      </c>
      <c r="G2230" s="11">
        <v>0</v>
      </c>
      <c r="H2230" s="11">
        <v>218.09</v>
      </c>
      <c r="I2230" s="11">
        <f t="shared" si="69"/>
        <v>-27035.689999999995</v>
      </c>
      <c r="J2230" s="12"/>
    </row>
    <row r="2231" spans="3:10" x14ac:dyDescent="0.3">
      <c r="C2231" s="8"/>
      <c r="D2231" s="9">
        <v>45915</v>
      </c>
      <c r="E2231" t="s">
        <v>1663</v>
      </c>
      <c r="F2231" s="10" t="s">
        <v>1064</v>
      </c>
      <c r="G2231" s="11">
        <v>0</v>
      </c>
      <c r="H2231" s="11">
        <v>47.5</v>
      </c>
      <c r="I2231" s="11">
        <f t="shared" si="69"/>
        <v>-27083.189999999995</v>
      </c>
      <c r="J2231" s="12"/>
    </row>
    <row r="2232" spans="3:10" x14ac:dyDescent="0.3">
      <c r="C2232" s="8"/>
      <c r="D2232" s="9">
        <v>45915</v>
      </c>
      <c r="E2232" t="s">
        <v>1519</v>
      </c>
      <c r="F2232" s="10" t="s">
        <v>714</v>
      </c>
      <c r="G2232" s="11">
        <v>0</v>
      </c>
      <c r="H2232" s="11">
        <v>70.510000000000005</v>
      </c>
      <c r="I2232" s="11">
        <f t="shared" si="69"/>
        <v>-27153.699999999993</v>
      </c>
      <c r="J2232" s="12"/>
    </row>
    <row r="2233" spans="3:10" x14ac:dyDescent="0.3">
      <c r="C2233" s="8"/>
      <c r="D2233" s="9">
        <v>45915</v>
      </c>
      <c r="E2233" t="s">
        <v>1600</v>
      </c>
      <c r="F2233" s="10" t="s">
        <v>1058</v>
      </c>
      <c r="G2233" s="11">
        <v>0</v>
      </c>
      <c r="H2233" s="11">
        <v>958.19</v>
      </c>
      <c r="I2233" s="11">
        <f t="shared" si="69"/>
        <v>-28111.889999999992</v>
      </c>
      <c r="J2233" s="12"/>
    </row>
    <row r="2234" spans="3:10" x14ac:dyDescent="0.3">
      <c r="C2234" s="8"/>
      <c r="D2234" s="9">
        <v>45915</v>
      </c>
      <c r="E2234" t="s">
        <v>1664</v>
      </c>
      <c r="F2234" s="10" t="s">
        <v>1159</v>
      </c>
      <c r="G2234" s="11">
        <v>0</v>
      </c>
      <c r="H2234" s="11">
        <v>262.5</v>
      </c>
      <c r="I2234" s="11">
        <f t="shared" si="69"/>
        <v>-28374.389999999992</v>
      </c>
      <c r="J2234" s="12"/>
    </row>
    <row r="2235" spans="3:10" x14ac:dyDescent="0.3">
      <c r="C2235" s="8"/>
      <c r="D2235" s="9">
        <v>45915</v>
      </c>
      <c r="E2235" t="s">
        <v>1546</v>
      </c>
      <c r="F2235" s="10" t="s">
        <v>867</v>
      </c>
      <c r="G2235" s="11">
        <v>0</v>
      </c>
      <c r="H2235" s="11">
        <v>751.68</v>
      </c>
      <c r="I2235" s="11">
        <f t="shared" si="69"/>
        <v>-29126.069999999992</v>
      </c>
      <c r="J2235" s="12"/>
    </row>
    <row r="2236" spans="3:10" x14ac:dyDescent="0.3">
      <c r="C2236" s="8"/>
      <c r="D2236" s="9">
        <v>45915</v>
      </c>
      <c r="E2236" t="s">
        <v>1563</v>
      </c>
      <c r="F2236" s="10" t="s">
        <v>928</v>
      </c>
      <c r="G2236" s="11">
        <v>0</v>
      </c>
      <c r="H2236" s="11">
        <v>106.58</v>
      </c>
      <c r="I2236" s="11">
        <f t="shared" si="69"/>
        <v>-29232.649999999994</v>
      </c>
      <c r="J2236" s="12"/>
    </row>
    <row r="2237" spans="3:10" x14ac:dyDescent="0.3">
      <c r="C2237" s="8"/>
      <c r="D2237" s="9">
        <v>45915</v>
      </c>
      <c r="E2237" t="s">
        <v>1563</v>
      </c>
      <c r="F2237" s="10" t="s">
        <v>930</v>
      </c>
      <c r="G2237" s="11">
        <v>0</v>
      </c>
      <c r="H2237" s="11">
        <v>106.58</v>
      </c>
      <c r="I2237" s="11">
        <f t="shared" si="69"/>
        <v>-29339.229999999996</v>
      </c>
      <c r="J2237" s="12"/>
    </row>
    <row r="2238" spans="3:10" x14ac:dyDescent="0.3">
      <c r="C2238" s="8"/>
      <c r="D2238" s="9">
        <v>45915</v>
      </c>
      <c r="E2238" t="s">
        <v>1563</v>
      </c>
      <c r="F2238" s="10" t="s">
        <v>932</v>
      </c>
      <c r="G2238" s="11">
        <v>0</v>
      </c>
      <c r="H2238" s="11">
        <v>136.55000000000001</v>
      </c>
      <c r="I2238" s="11">
        <f t="shared" si="69"/>
        <v>-29475.779999999995</v>
      </c>
      <c r="J2238" s="12"/>
    </row>
    <row r="2239" spans="3:10" x14ac:dyDescent="0.3">
      <c r="C2239" s="8"/>
      <c r="D2239" s="9">
        <v>45915</v>
      </c>
      <c r="E2239" t="s">
        <v>1563</v>
      </c>
      <c r="F2239" s="10" t="s">
        <v>934</v>
      </c>
      <c r="G2239" s="11">
        <v>0</v>
      </c>
      <c r="H2239" s="11">
        <v>92.4</v>
      </c>
      <c r="I2239" s="11">
        <f t="shared" si="69"/>
        <v>-29568.179999999997</v>
      </c>
      <c r="J2239" s="12"/>
    </row>
    <row r="2240" spans="3:10" x14ac:dyDescent="0.3">
      <c r="C2240" s="8"/>
      <c r="D2240" s="9">
        <v>45915</v>
      </c>
      <c r="E2240" t="s">
        <v>1563</v>
      </c>
      <c r="F2240" s="10" t="s">
        <v>936</v>
      </c>
      <c r="G2240" s="11">
        <v>0</v>
      </c>
      <c r="H2240" s="11">
        <v>138</v>
      </c>
      <c r="I2240" s="11">
        <f t="shared" si="69"/>
        <v>-29706.179999999997</v>
      </c>
      <c r="J2240" s="12"/>
    </row>
    <row r="2241" spans="1:10" x14ac:dyDescent="0.3">
      <c r="C2241" s="8"/>
      <c r="D2241" s="9">
        <v>45916</v>
      </c>
      <c r="E2241" t="s">
        <v>1532</v>
      </c>
      <c r="F2241" s="10" t="s">
        <v>832</v>
      </c>
      <c r="G2241" s="11">
        <v>0</v>
      </c>
      <c r="H2241" s="11">
        <v>995.28</v>
      </c>
      <c r="I2241" s="11">
        <f t="shared" si="69"/>
        <v>-30701.459999999995</v>
      </c>
      <c r="J2241" s="12"/>
    </row>
    <row r="2242" spans="1:10" x14ac:dyDescent="0.3">
      <c r="C2242" s="8"/>
      <c r="D2242" s="9">
        <v>45916</v>
      </c>
      <c r="E2242" t="s">
        <v>1537</v>
      </c>
      <c r="F2242" s="10" t="s">
        <v>979</v>
      </c>
      <c r="G2242" s="11">
        <v>0</v>
      </c>
      <c r="H2242" s="11">
        <v>129.34</v>
      </c>
      <c r="I2242" s="11">
        <f t="shared" si="69"/>
        <v>-30830.799999999996</v>
      </c>
      <c r="J2242" s="12"/>
    </row>
    <row r="2243" spans="1:10" x14ac:dyDescent="0.3">
      <c r="C2243" s="8"/>
      <c r="D2243" s="9">
        <v>45917</v>
      </c>
      <c r="E2243" t="s">
        <v>1520</v>
      </c>
      <c r="F2243" s="10" t="s">
        <v>794</v>
      </c>
      <c r="G2243" s="11">
        <v>0</v>
      </c>
      <c r="H2243" s="11">
        <v>65.33</v>
      </c>
      <c r="I2243" s="11">
        <f t="shared" si="69"/>
        <v>-30896.129999999997</v>
      </c>
      <c r="J2243" s="12"/>
    </row>
    <row r="2244" spans="1:10" x14ac:dyDescent="0.3">
      <c r="C2244" s="8"/>
      <c r="D2244" s="9">
        <v>45917</v>
      </c>
      <c r="E2244" t="s">
        <v>1520</v>
      </c>
      <c r="F2244" s="10" t="s">
        <v>796</v>
      </c>
      <c r="G2244" s="11">
        <v>0</v>
      </c>
      <c r="H2244" s="11">
        <v>262.33</v>
      </c>
      <c r="I2244" s="11">
        <f t="shared" si="69"/>
        <v>-31158.46</v>
      </c>
      <c r="J2244" s="12"/>
    </row>
    <row r="2245" spans="1:10" x14ac:dyDescent="0.3">
      <c r="E2245" s="4" t="s">
        <v>20</v>
      </c>
      <c r="G2245" s="11">
        <f>SUM(G1936:G2244)</f>
        <v>64248.56</v>
      </c>
      <c r="H2245" s="11">
        <f>SUM(H1936:H2244)</f>
        <v>95407.020000000033</v>
      </c>
      <c r="I2245" s="11">
        <f>G2245-H2245</f>
        <v>-31158.460000000036</v>
      </c>
    </row>
    <row r="2247" spans="1:10" x14ac:dyDescent="0.3">
      <c r="A2247" s="5">
        <v>5510000</v>
      </c>
      <c r="B2247" s="6" t="s">
        <v>1665</v>
      </c>
      <c r="C2247" s="7"/>
      <c r="D2247" s="7"/>
      <c r="E2247" s="7"/>
      <c r="F2247" s="7"/>
      <c r="G2247" s="7"/>
      <c r="H2247" s="7"/>
      <c r="I2247" s="7"/>
      <c r="J2247" s="7"/>
    </row>
    <row r="2248" spans="1:10" x14ac:dyDescent="0.3">
      <c r="E2248" s="4" t="s">
        <v>22</v>
      </c>
      <c r="G2248" s="11">
        <v>0</v>
      </c>
      <c r="H2248" s="11">
        <v>5071.4399999999996</v>
      </c>
      <c r="I2248" s="11">
        <f>G2248-H2248</f>
        <v>-5071.4399999999996</v>
      </c>
    </row>
    <row r="2249" spans="1:10" x14ac:dyDescent="0.3">
      <c r="E2249" s="4" t="s">
        <v>20</v>
      </c>
      <c r="G2249" s="11">
        <f>G2248</f>
        <v>0</v>
      </c>
      <c r="H2249" s="11">
        <f>H2248</f>
        <v>5071.4399999999996</v>
      </c>
      <c r="I2249" s="11">
        <f>G2249-H2249</f>
        <v>-5071.4399999999996</v>
      </c>
    </row>
    <row r="2251" spans="1:10" x14ac:dyDescent="0.3">
      <c r="A2251" s="5">
        <v>5550000</v>
      </c>
      <c r="B2251" s="6" t="s">
        <v>1666</v>
      </c>
      <c r="C2251" s="7"/>
      <c r="D2251" s="7"/>
      <c r="E2251" s="7"/>
      <c r="F2251" s="7"/>
      <c r="G2251" s="7"/>
      <c r="H2251" s="7"/>
      <c r="I2251" s="7"/>
      <c r="J2251" s="7"/>
    </row>
    <row r="2252" spans="1:10" x14ac:dyDescent="0.3">
      <c r="C2252" s="8"/>
      <c r="D2252" s="9">
        <v>45806</v>
      </c>
      <c r="E2252" t="s">
        <v>1667</v>
      </c>
      <c r="F2252" s="10" t="s">
        <v>17</v>
      </c>
      <c r="G2252" s="11">
        <v>139.38</v>
      </c>
      <c r="H2252" s="11">
        <v>0</v>
      </c>
      <c r="I2252" s="11">
        <f>G2252-H2252</f>
        <v>139.38</v>
      </c>
      <c r="J2252" s="12">
        <v>5720001</v>
      </c>
    </row>
    <row r="2253" spans="1:10" x14ac:dyDescent="0.3">
      <c r="C2253" s="8"/>
      <c r="D2253" s="9">
        <v>45910</v>
      </c>
      <c r="E2253" t="s">
        <v>1668</v>
      </c>
      <c r="F2253" s="10" t="s">
        <v>17</v>
      </c>
      <c r="G2253" s="11">
        <v>730.24</v>
      </c>
      <c r="H2253" s="11">
        <v>0</v>
      </c>
      <c r="I2253" s="11">
        <f>G2253-H2253+I2252</f>
        <v>869.62</v>
      </c>
      <c r="J2253" s="12">
        <v>5720001</v>
      </c>
    </row>
    <row r="2254" spans="1:10" x14ac:dyDescent="0.3">
      <c r="E2254" s="4" t="s">
        <v>20</v>
      </c>
      <c r="G2254" s="11">
        <f>SUM(G2252:G2253)</f>
        <v>869.62</v>
      </c>
      <c r="H2254" s="11">
        <f>SUM(H2252:H2253)</f>
        <v>0</v>
      </c>
      <c r="I2254" s="11">
        <f>G2254-H2254</f>
        <v>869.62</v>
      </c>
    </row>
  </sheetData>
  <pageMargins left="0.75" right="0.75" top="1" bottom="1" header="0.5" footer="0.5"/>
  <pageSetup paperSize="9" fitToHeight="10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Cuentas corrientes</vt:lpstr>
      <vt:lpstr>'Cuentas corrientes'!Área_de_impresión</vt:lpstr>
      <vt:lpstr>'Cuentas corrientes'!Títulos_a_imprimir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usuario</cp:lastModifiedBy>
  <dcterms:created xsi:type="dcterms:W3CDTF">2025-10-03T08:12:21Z</dcterms:created>
  <dcterms:modified xsi:type="dcterms:W3CDTF">2025-10-03T08:12:21Z</dcterms:modified>
  <cp:category/>
</cp:coreProperties>
</file>
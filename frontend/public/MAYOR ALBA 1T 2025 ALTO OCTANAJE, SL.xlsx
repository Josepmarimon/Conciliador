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/>
  <mc:AlternateContent xmlns:mc="http://schemas.openxmlformats.org/markup-compatibility/2006">
    <mc:Choice Requires="x15">
      <x15ac:absPath xmlns:x15ac="http://schemas.microsoft.com/office/spreadsheetml/2010/11/ac" url="Z:\PROGRAMES\Expedientes empresas\Alto octanaje 108, SL\CONTABILIDAD\2025\MAYORES Y LISTADOS\"/>
    </mc:Choice>
  </mc:AlternateContent>
  <xr:revisionPtr revIDLastSave="0" documentId="13_ncr:1_{87EA5FDB-F3CD-42D0-AF1B-05BB9005ADE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ROVEEDORES" sheetId="2" r:id="rId1"/>
    <sheet name="CLIENTES" sheetId="3" r:id="rId2"/>
    <sheet name="OTRAS CUENTAS" sheetId="4" r:id="rId3"/>
  </sheets>
  <definedNames>
    <definedName name="_xlnm.Print_Area" localSheetId="0">PROVEEDORES!$A$1:$J$451</definedName>
    <definedName name="_xlnm.Print_Titles" localSheetId="0">PROVEEDORES!$1:$8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4" l="1"/>
  <c r="H362" i="4"/>
  <c r="G362" i="4"/>
  <c r="I362" i="4" s="1"/>
  <c r="I268" i="4"/>
  <c r="I269" i="4" s="1"/>
  <c r="I270" i="4" s="1"/>
  <c r="I271" i="4" s="1"/>
  <c r="I272" i="4" s="1"/>
  <c r="I273" i="4" s="1"/>
  <c r="I274" i="4" s="1"/>
  <c r="I275" i="4" s="1"/>
  <c r="I276" i="4" s="1"/>
  <c r="I277" i="4" s="1"/>
  <c r="I278" i="4" s="1"/>
  <c r="I279" i="4" s="1"/>
  <c r="I280" i="4" s="1"/>
  <c r="I281" i="4" s="1"/>
  <c r="I282" i="4" s="1"/>
  <c r="I283" i="4" s="1"/>
  <c r="I284" i="4" s="1"/>
  <c r="I285" i="4" s="1"/>
  <c r="I286" i="4" s="1"/>
  <c r="I287" i="4" s="1"/>
  <c r="I288" i="4" s="1"/>
  <c r="I289" i="4" s="1"/>
  <c r="I290" i="4" s="1"/>
  <c r="I291" i="4" s="1"/>
  <c r="I292" i="4" s="1"/>
  <c r="I293" i="4" s="1"/>
  <c r="I294" i="4" s="1"/>
  <c r="I295" i="4" s="1"/>
  <c r="I296" i="4" s="1"/>
  <c r="I297" i="4" s="1"/>
  <c r="I298" i="4" s="1"/>
  <c r="I299" i="4" s="1"/>
  <c r="I300" i="4" s="1"/>
  <c r="I301" i="4" s="1"/>
  <c r="I302" i="4" s="1"/>
  <c r="I303" i="4" s="1"/>
  <c r="I304" i="4" s="1"/>
  <c r="I305" i="4" s="1"/>
  <c r="I306" i="4" s="1"/>
  <c r="I307" i="4" s="1"/>
  <c r="I308" i="4" s="1"/>
  <c r="I309" i="4" s="1"/>
  <c r="I310" i="4" s="1"/>
  <c r="I311" i="4" s="1"/>
  <c r="I312" i="4" s="1"/>
  <c r="I313" i="4" s="1"/>
  <c r="I314" i="4" s="1"/>
  <c r="I315" i="4" s="1"/>
  <c r="I316" i="4" s="1"/>
  <c r="I317" i="4" s="1"/>
  <c r="I318" i="4" s="1"/>
  <c r="I319" i="4" s="1"/>
  <c r="I320" i="4" s="1"/>
  <c r="I321" i="4" s="1"/>
  <c r="I322" i="4" s="1"/>
  <c r="I323" i="4" s="1"/>
  <c r="I324" i="4" s="1"/>
  <c r="I325" i="4" s="1"/>
  <c r="I326" i="4" s="1"/>
  <c r="I327" i="4" s="1"/>
  <c r="I328" i="4" s="1"/>
  <c r="I329" i="4" s="1"/>
  <c r="I330" i="4" s="1"/>
  <c r="I331" i="4" s="1"/>
  <c r="I332" i="4" s="1"/>
  <c r="I333" i="4" s="1"/>
  <c r="I334" i="4" s="1"/>
  <c r="I335" i="4" s="1"/>
  <c r="I336" i="4" s="1"/>
  <c r="I337" i="4" s="1"/>
  <c r="I338" i="4" s="1"/>
  <c r="I339" i="4" s="1"/>
  <c r="I340" i="4" s="1"/>
  <c r="I341" i="4" s="1"/>
  <c r="I342" i="4" s="1"/>
  <c r="I343" i="4" s="1"/>
  <c r="I344" i="4" s="1"/>
  <c r="I345" i="4" s="1"/>
  <c r="I346" i="4" s="1"/>
  <c r="I347" i="4" s="1"/>
  <c r="I348" i="4" s="1"/>
  <c r="I349" i="4" s="1"/>
  <c r="I350" i="4" s="1"/>
  <c r="I351" i="4" s="1"/>
  <c r="I352" i="4" s="1"/>
  <c r="I353" i="4" s="1"/>
  <c r="I354" i="4" s="1"/>
  <c r="I355" i="4" s="1"/>
  <c r="I356" i="4" s="1"/>
  <c r="I357" i="4" s="1"/>
  <c r="I358" i="4" s="1"/>
  <c r="I359" i="4" s="1"/>
  <c r="I360" i="4" s="1"/>
  <c r="I361" i="4" s="1"/>
  <c r="H265" i="4"/>
  <c r="G265" i="4"/>
  <c r="I47" i="4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I133" i="4" s="1"/>
  <c r="I134" i="4" s="1"/>
  <c r="I135" i="4" s="1"/>
  <c r="I136" i="4" s="1"/>
  <c r="I137" i="4" s="1"/>
  <c r="I138" i="4" s="1"/>
  <c r="I139" i="4" s="1"/>
  <c r="I140" i="4" s="1"/>
  <c r="I141" i="4" s="1"/>
  <c r="I142" i="4" s="1"/>
  <c r="I143" i="4" s="1"/>
  <c r="I144" i="4" s="1"/>
  <c r="I145" i="4" s="1"/>
  <c r="I146" i="4" s="1"/>
  <c r="I147" i="4" s="1"/>
  <c r="I148" i="4" s="1"/>
  <c r="I149" i="4" s="1"/>
  <c r="I150" i="4" s="1"/>
  <c r="I151" i="4" s="1"/>
  <c r="I152" i="4" s="1"/>
  <c r="I153" i="4" s="1"/>
  <c r="I154" i="4" s="1"/>
  <c r="I155" i="4" s="1"/>
  <c r="I156" i="4" s="1"/>
  <c r="I157" i="4" s="1"/>
  <c r="I158" i="4" s="1"/>
  <c r="I159" i="4" s="1"/>
  <c r="I160" i="4" s="1"/>
  <c r="I161" i="4" s="1"/>
  <c r="I162" i="4" s="1"/>
  <c r="I163" i="4" s="1"/>
  <c r="I164" i="4" s="1"/>
  <c r="I165" i="4" s="1"/>
  <c r="I166" i="4" s="1"/>
  <c r="I167" i="4" s="1"/>
  <c r="I168" i="4" s="1"/>
  <c r="I169" i="4" s="1"/>
  <c r="I170" i="4" s="1"/>
  <c r="I171" i="4" s="1"/>
  <c r="I172" i="4" s="1"/>
  <c r="I173" i="4" s="1"/>
  <c r="I174" i="4" s="1"/>
  <c r="I175" i="4" s="1"/>
  <c r="I176" i="4" s="1"/>
  <c r="I177" i="4" s="1"/>
  <c r="I178" i="4" s="1"/>
  <c r="I179" i="4" s="1"/>
  <c r="I180" i="4" s="1"/>
  <c r="I181" i="4" s="1"/>
  <c r="I182" i="4" s="1"/>
  <c r="I183" i="4" s="1"/>
  <c r="I184" i="4" s="1"/>
  <c r="I185" i="4" s="1"/>
  <c r="I186" i="4" s="1"/>
  <c r="I187" i="4" s="1"/>
  <c r="I188" i="4" s="1"/>
  <c r="I189" i="4" s="1"/>
  <c r="I190" i="4" s="1"/>
  <c r="I191" i="4" s="1"/>
  <c r="I192" i="4" s="1"/>
  <c r="I193" i="4" s="1"/>
  <c r="I194" i="4" s="1"/>
  <c r="I195" i="4" s="1"/>
  <c r="I196" i="4" s="1"/>
  <c r="I197" i="4" s="1"/>
  <c r="I198" i="4" s="1"/>
  <c r="I199" i="4" s="1"/>
  <c r="I200" i="4" s="1"/>
  <c r="I201" i="4" s="1"/>
  <c r="I202" i="4" s="1"/>
  <c r="I203" i="4" s="1"/>
  <c r="I204" i="4" s="1"/>
  <c r="I205" i="4" s="1"/>
  <c r="I206" i="4" s="1"/>
  <c r="I207" i="4" s="1"/>
  <c r="I208" i="4" s="1"/>
  <c r="I209" i="4" s="1"/>
  <c r="I210" i="4" s="1"/>
  <c r="I211" i="4" s="1"/>
  <c r="I212" i="4" s="1"/>
  <c r="I213" i="4" s="1"/>
  <c r="I214" i="4" s="1"/>
  <c r="I215" i="4" s="1"/>
  <c r="I216" i="4" s="1"/>
  <c r="I217" i="4" s="1"/>
  <c r="I218" i="4" s="1"/>
  <c r="I219" i="4" s="1"/>
  <c r="I220" i="4" s="1"/>
  <c r="I221" i="4" s="1"/>
  <c r="I222" i="4" s="1"/>
  <c r="I223" i="4" s="1"/>
  <c r="I224" i="4" s="1"/>
  <c r="I225" i="4" s="1"/>
  <c r="I226" i="4" s="1"/>
  <c r="I227" i="4" s="1"/>
  <c r="I228" i="4" s="1"/>
  <c r="I229" i="4" s="1"/>
  <c r="I230" i="4" s="1"/>
  <c r="I231" i="4" s="1"/>
  <c r="I232" i="4" s="1"/>
  <c r="I233" i="4" s="1"/>
  <c r="I234" i="4" s="1"/>
  <c r="I235" i="4" s="1"/>
  <c r="I236" i="4" s="1"/>
  <c r="I237" i="4" s="1"/>
  <c r="I238" i="4" s="1"/>
  <c r="I239" i="4" s="1"/>
  <c r="I240" i="4" s="1"/>
  <c r="I241" i="4" s="1"/>
  <c r="I242" i="4" s="1"/>
  <c r="I243" i="4" s="1"/>
  <c r="I244" i="4" s="1"/>
  <c r="I245" i="4" s="1"/>
  <c r="I246" i="4" s="1"/>
  <c r="I247" i="4" s="1"/>
  <c r="I248" i="4" s="1"/>
  <c r="I249" i="4" s="1"/>
  <c r="I250" i="4" s="1"/>
  <c r="I251" i="4" s="1"/>
  <c r="I252" i="4" s="1"/>
  <c r="I253" i="4" s="1"/>
  <c r="I254" i="4" s="1"/>
  <c r="I255" i="4" s="1"/>
  <c r="I256" i="4" s="1"/>
  <c r="I257" i="4" s="1"/>
  <c r="I258" i="4" s="1"/>
  <c r="I259" i="4" s="1"/>
  <c r="I260" i="4" s="1"/>
  <c r="I261" i="4" s="1"/>
  <c r="I262" i="4" s="1"/>
  <c r="I263" i="4" s="1"/>
  <c r="I264" i="4" s="1"/>
  <c r="H44" i="4"/>
  <c r="G44" i="4"/>
  <c r="I43" i="4"/>
  <c r="H40" i="4"/>
  <c r="I40" i="4" s="1"/>
  <c r="G40" i="4"/>
  <c r="I34" i="4"/>
  <c r="I35" i="4" s="1"/>
  <c r="I36" i="4" s="1"/>
  <c r="I37" i="4" s="1"/>
  <c r="I38" i="4" s="1"/>
  <c r="I39" i="4" s="1"/>
  <c r="H31" i="4"/>
  <c r="G31" i="4"/>
  <c r="I31" i="4" s="1"/>
  <c r="I28" i="4"/>
  <c r="I29" i="4" s="1"/>
  <c r="I30" i="4" s="1"/>
  <c r="H25" i="4"/>
  <c r="G25" i="4"/>
  <c r="I15" i="4"/>
  <c r="I16" i="4" s="1"/>
  <c r="I17" i="4" s="1"/>
  <c r="I18" i="4" s="1"/>
  <c r="I19" i="4" s="1"/>
  <c r="I20" i="4" s="1"/>
  <c r="I21" i="4" s="1"/>
  <c r="I22" i="4" s="1"/>
  <c r="I23" i="4" s="1"/>
  <c r="I24" i="4" s="1"/>
  <c r="H12" i="4"/>
  <c r="G12" i="4"/>
  <c r="I12" i="4" s="1"/>
  <c r="I3" i="4"/>
  <c r="I4" i="4" s="1"/>
  <c r="I5" i="4" s="1"/>
  <c r="I6" i="4" s="1"/>
  <c r="I7" i="4" s="1"/>
  <c r="I8" i="4" s="1"/>
  <c r="I9" i="4" s="1"/>
  <c r="I10" i="4" s="1"/>
  <c r="I11" i="4" s="1"/>
  <c r="K53" i="2"/>
  <c r="K52" i="2"/>
  <c r="I28" i="2"/>
  <c r="I29" i="2" s="1"/>
  <c r="I30" i="2" s="1"/>
  <c r="I31" i="2" s="1"/>
  <c r="I32" i="2" s="1"/>
  <c r="I33" i="2" s="1"/>
  <c r="I34" i="2" s="1"/>
  <c r="K192" i="2"/>
  <c r="I257" i="3"/>
  <c r="H257" i="3"/>
  <c r="G257" i="3"/>
  <c r="I256" i="3"/>
  <c r="H253" i="3"/>
  <c r="G253" i="3"/>
  <c r="I251" i="3"/>
  <c r="I252" i="3" s="1"/>
  <c r="I248" i="3"/>
  <c r="H248" i="3"/>
  <c r="G248" i="3"/>
  <c r="I247" i="3"/>
  <c r="H244" i="3"/>
  <c r="G244" i="3"/>
  <c r="I244" i="3" s="1"/>
  <c r="I243" i="3"/>
  <c r="H240" i="3"/>
  <c r="G240" i="3"/>
  <c r="I238" i="3"/>
  <c r="I239" i="3" s="1"/>
  <c r="H235" i="3"/>
  <c r="I235" i="3" s="1"/>
  <c r="G235" i="3"/>
  <c r="I234" i="3"/>
  <c r="H231" i="3"/>
  <c r="G231" i="3"/>
  <c r="I231" i="3" s="1"/>
  <c r="I230" i="3"/>
  <c r="H227" i="3"/>
  <c r="G227" i="3"/>
  <c r="I227" i="3" s="1"/>
  <c r="I226" i="3"/>
  <c r="I223" i="3"/>
  <c r="H223" i="3"/>
  <c r="G223" i="3"/>
  <c r="I222" i="3"/>
  <c r="H219" i="3"/>
  <c r="G219" i="3"/>
  <c r="I219" i="3" s="1"/>
  <c r="I218" i="3"/>
  <c r="H215" i="3"/>
  <c r="G215" i="3"/>
  <c r="I215" i="3" s="1"/>
  <c r="I214" i="3"/>
  <c r="I211" i="3"/>
  <c r="H211" i="3"/>
  <c r="G211" i="3"/>
  <c r="I210" i="3"/>
  <c r="H207" i="3"/>
  <c r="G207" i="3"/>
  <c r="I207" i="3" s="1"/>
  <c r="I206" i="3"/>
  <c r="H203" i="3"/>
  <c r="I203" i="3" s="1"/>
  <c r="G203" i="3"/>
  <c r="I202" i="3"/>
  <c r="I199" i="3"/>
  <c r="H199" i="3"/>
  <c r="G199" i="3"/>
  <c r="I198" i="3"/>
  <c r="H195" i="3"/>
  <c r="G195" i="3"/>
  <c r="I195" i="3" s="1"/>
  <c r="I192" i="3"/>
  <c r="I193" i="3" s="1"/>
  <c r="I194" i="3" s="1"/>
  <c r="H189" i="3"/>
  <c r="G189" i="3"/>
  <c r="I189" i="3" s="1"/>
  <c r="I188" i="3"/>
  <c r="H185" i="3"/>
  <c r="G185" i="3"/>
  <c r="I183" i="3"/>
  <c r="I184" i="3" s="1"/>
  <c r="H180" i="3"/>
  <c r="G180" i="3"/>
  <c r="I180" i="3" s="1"/>
  <c r="I179" i="3"/>
  <c r="H176" i="3"/>
  <c r="I176" i="3" s="1"/>
  <c r="G176" i="3"/>
  <c r="I175" i="3"/>
  <c r="I172" i="3"/>
  <c r="H172" i="3"/>
  <c r="G172" i="3"/>
  <c r="I171" i="3"/>
  <c r="H168" i="3"/>
  <c r="G168" i="3"/>
  <c r="I168" i="3" s="1"/>
  <c r="I167" i="3"/>
  <c r="H164" i="3"/>
  <c r="G164" i="3"/>
  <c r="I162" i="3"/>
  <c r="I163" i="3" s="1"/>
  <c r="I161" i="3"/>
  <c r="H158" i="3"/>
  <c r="G158" i="3"/>
  <c r="I158" i="3" s="1"/>
  <c r="I157" i="3"/>
  <c r="H154" i="3"/>
  <c r="I154" i="3" s="1"/>
  <c r="G154" i="3"/>
  <c r="I151" i="3"/>
  <c r="I152" i="3" s="1"/>
  <c r="I153" i="3" s="1"/>
  <c r="H148" i="3"/>
  <c r="I148" i="3" s="1"/>
  <c r="G148" i="3"/>
  <c r="I145" i="3"/>
  <c r="I146" i="3" s="1"/>
  <c r="I147" i="3" s="1"/>
  <c r="H142" i="3"/>
  <c r="G142" i="3"/>
  <c r="I142" i="3" s="1"/>
  <c r="I139" i="3"/>
  <c r="I140" i="3" s="1"/>
  <c r="I141" i="3" s="1"/>
  <c r="I136" i="3"/>
  <c r="H136" i="3"/>
  <c r="G136" i="3"/>
  <c r="I135" i="3"/>
  <c r="H132" i="3"/>
  <c r="G132" i="3"/>
  <c r="I132" i="3" s="1"/>
  <c r="I131" i="3"/>
  <c r="H128" i="3"/>
  <c r="G128" i="3"/>
  <c r="I128" i="3" s="1"/>
  <c r="I123" i="3"/>
  <c r="I124" i="3" s="1"/>
  <c r="I125" i="3" s="1"/>
  <c r="I126" i="3" s="1"/>
  <c r="I127" i="3" s="1"/>
  <c r="H120" i="3"/>
  <c r="G120" i="3"/>
  <c r="I119" i="3"/>
  <c r="H116" i="3"/>
  <c r="G116" i="3"/>
  <c r="I116" i="3" s="1"/>
  <c r="I115" i="3"/>
  <c r="H112" i="3"/>
  <c r="I112" i="3" s="1"/>
  <c r="G112" i="3"/>
  <c r="I111" i="3"/>
  <c r="I110" i="3"/>
  <c r="H107" i="3"/>
  <c r="G107" i="3"/>
  <c r="I105" i="3"/>
  <c r="I106" i="3" s="1"/>
  <c r="I104" i="3"/>
  <c r="H101" i="3"/>
  <c r="G101" i="3"/>
  <c r="I101" i="3" s="1"/>
  <c r="I100" i="3"/>
  <c r="H97" i="3"/>
  <c r="I97" i="3" s="1"/>
  <c r="G97" i="3"/>
  <c r="I96" i="3"/>
  <c r="H93" i="3"/>
  <c r="G93" i="3"/>
  <c r="I93" i="3" s="1"/>
  <c r="I92" i="3"/>
  <c r="H89" i="3"/>
  <c r="G89" i="3"/>
  <c r="I89" i="3" s="1"/>
  <c r="I88" i="3"/>
  <c r="H85" i="3"/>
  <c r="I85" i="3" s="1"/>
  <c r="G85" i="3"/>
  <c r="I84" i="3"/>
  <c r="H81" i="3"/>
  <c r="G81" i="3"/>
  <c r="I81" i="3" s="1"/>
  <c r="I78" i="3"/>
  <c r="I79" i="3" s="1"/>
  <c r="I80" i="3" s="1"/>
  <c r="H75" i="3"/>
  <c r="G75" i="3"/>
  <c r="I75" i="3" s="1"/>
  <c r="I74" i="3"/>
  <c r="H71" i="3"/>
  <c r="G71" i="3"/>
  <c r="I71" i="3" s="1"/>
  <c r="I70" i="3"/>
  <c r="H67" i="3"/>
  <c r="G67" i="3"/>
  <c r="I65" i="3"/>
  <c r="I66" i="3" s="1"/>
  <c r="H62" i="3"/>
  <c r="G62" i="3"/>
  <c r="I55" i="3"/>
  <c r="I56" i="3" s="1"/>
  <c r="I57" i="3" s="1"/>
  <c r="I58" i="3" s="1"/>
  <c r="I59" i="3" s="1"/>
  <c r="I60" i="3" s="1"/>
  <c r="I61" i="3" s="1"/>
  <c r="I52" i="3"/>
  <c r="H52" i="3"/>
  <c r="G52" i="3"/>
  <c r="I51" i="3"/>
  <c r="H48" i="3"/>
  <c r="G48" i="3"/>
  <c r="I46" i="3"/>
  <c r="I47" i="3" s="1"/>
  <c r="H43" i="3"/>
  <c r="I43" i="3" s="1"/>
  <c r="G43" i="3"/>
  <c r="I40" i="3"/>
  <c r="I41" i="3" s="1"/>
  <c r="I42" i="3" s="1"/>
  <c r="H37" i="3"/>
  <c r="G37" i="3"/>
  <c r="I37" i="3" s="1"/>
  <c r="I35" i="3"/>
  <c r="I36" i="3" s="1"/>
  <c r="H32" i="3"/>
  <c r="G32" i="3"/>
  <c r="I32" i="3" s="1"/>
  <c r="I31" i="3"/>
  <c r="H28" i="3"/>
  <c r="G28" i="3"/>
  <c r="I28" i="3" s="1"/>
  <c r="I25" i="3"/>
  <c r="I26" i="3" s="1"/>
  <c r="I27" i="3" s="1"/>
  <c r="H22" i="3"/>
  <c r="I22" i="3" s="1"/>
  <c r="G22" i="3"/>
  <c r="I21" i="3"/>
  <c r="H18" i="3"/>
  <c r="G18" i="3"/>
  <c r="I18" i="3" s="1"/>
  <c r="I15" i="3"/>
  <c r="I16" i="3" s="1"/>
  <c r="I17" i="3" s="1"/>
  <c r="H12" i="3"/>
  <c r="G12" i="3"/>
  <c r="I12" i="3" s="1"/>
  <c r="I11" i="3"/>
  <c r="H8" i="3"/>
  <c r="G8" i="3"/>
  <c r="I7" i="3"/>
  <c r="H4" i="3"/>
  <c r="I4" i="3" s="1"/>
  <c r="G4" i="3"/>
  <c r="I3" i="3"/>
  <c r="I10" i="2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H193" i="2"/>
  <c r="G193" i="2"/>
  <c r="I193" i="2" s="1"/>
  <c r="I191" i="2"/>
  <c r="I192" i="2" s="1"/>
  <c r="H188" i="2"/>
  <c r="G188" i="2"/>
  <c r="I185" i="2"/>
  <c r="I186" i="2" s="1"/>
  <c r="I187" i="2" s="1"/>
  <c r="H182" i="2"/>
  <c r="G182" i="2"/>
  <c r="I172" i="2"/>
  <c r="I173" i="2" s="1"/>
  <c r="I174" i="2" s="1"/>
  <c r="I175" i="2" s="1"/>
  <c r="I176" i="2" s="1"/>
  <c r="I177" i="2" s="1"/>
  <c r="I178" i="2" s="1"/>
  <c r="I179" i="2" s="1"/>
  <c r="I180" i="2" s="1"/>
  <c r="I181" i="2" s="1"/>
  <c r="H169" i="2"/>
  <c r="G169" i="2"/>
  <c r="I162" i="2"/>
  <c r="I163" i="2" s="1"/>
  <c r="I164" i="2" s="1"/>
  <c r="I165" i="2" s="1"/>
  <c r="I166" i="2" s="1"/>
  <c r="I167" i="2" s="1"/>
  <c r="I168" i="2" s="1"/>
  <c r="H159" i="2"/>
  <c r="G159" i="2"/>
  <c r="I152" i="2"/>
  <c r="I153" i="2" s="1"/>
  <c r="I154" i="2" s="1"/>
  <c r="I155" i="2" s="1"/>
  <c r="I156" i="2" s="1"/>
  <c r="I157" i="2" s="1"/>
  <c r="I158" i="2" s="1"/>
  <c r="H149" i="2"/>
  <c r="G149" i="2"/>
  <c r="I147" i="2"/>
  <c r="I148" i="2" s="1"/>
  <c r="I146" i="2"/>
  <c r="H143" i="2"/>
  <c r="G143" i="2"/>
  <c r="I142" i="2"/>
  <c r="H139" i="2"/>
  <c r="G139" i="2"/>
  <c r="I139" i="2" s="1"/>
  <c r="I136" i="2"/>
  <c r="I137" i="2" s="1"/>
  <c r="I138" i="2" s="1"/>
  <c r="H133" i="2"/>
  <c r="G133" i="2"/>
  <c r="I132" i="2"/>
  <c r="H129" i="2"/>
  <c r="G129" i="2"/>
  <c r="I127" i="2"/>
  <c r="I128" i="2" s="1"/>
  <c r="H124" i="2"/>
  <c r="G124" i="2"/>
  <c r="I121" i="2"/>
  <c r="I122" i="2" s="1"/>
  <c r="I123" i="2" s="1"/>
  <c r="H118" i="2"/>
  <c r="G118" i="2"/>
  <c r="I118" i="2" s="1"/>
  <c r="I117" i="2"/>
  <c r="H114" i="2"/>
  <c r="G114" i="2"/>
  <c r="I112" i="2"/>
  <c r="I113" i="2" s="1"/>
  <c r="H109" i="2"/>
  <c r="G109" i="2"/>
  <c r="I93" i="2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H90" i="2"/>
  <c r="G90" i="2"/>
  <c r="I80" i="2"/>
  <c r="I81" i="2" s="1"/>
  <c r="I82" i="2" s="1"/>
  <c r="I83" i="2" s="1"/>
  <c r="I84" i="2" s="1"/>
  <c r="I85" i="2" s="1"/>
  <c r="I86" i="2" s="1"/>
  <c r="I87" i="2" s="1"/>
  <c r="I88" i="2" s="1"/>
  <c r="I89" i="2" s="1"/>
  <c r="H77" i="2"/>
  <c r="G77" i="2"/>
  <c r="I74" i="2"/>
  <c r="I75" i="2" s="1"/>
  <c r="I76" i="2" s="1"/>
  <c r="H71" i="2"/>
  <c r="G71" i="2"/>
  <c r="I35" i="2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H25" i="2"/>
  <c r="G25" i="2"/>
  <c r="I25" i="4" l="1"/>
  <c r="J25" i="4"/>
  <c r="K25" i="4" s="1"/>
  <c r="I44" i="4"/>
  <c r="I265" i="4"/>
  <c r="I182" i="2"/>
  <c r="I143" i="2"/>
  <c r="I149" i="2"/>
  <c r="I188" i="2"/>
  <c r="I253" i="3"/>
  <c r="I240" i="3"/>
  <c r="I185" i="3"/>
  <c r="I164" i="3"/>
  <c r="I120" i="3"/>
  <c r="I107" i="3"/>
  <c r="I67" i="3"/>
  <c r="I62" i="3"/>
  <c r="I48" i="3"/>
  <c r="I8" i="3"/>
  <c r="I169" i="2"/>
  <c r="I77" i="2"/>
  <c r="I124" i="2"/>
  <c r="I71" i="2"/>
  <c r="I109" i="2"/>
  <c r="I129" i="2"/>
  <c r="I159" i="2"/>
  <c r="I90" i="2"/>
  <c r="I114" i="2"/>
  <c r="I133" i="2"/>
  <c r="I25" i="2"/>
</calcChain>
</file>

<file path=xl/sharedStrings.xml><?xml version="1.0" encoding="utf-8"?>
<sst xmlns="http://schemas.openxmlformats.org/spreadsheetml/2006/main" count="1460" uniqueCount="775">
  <si>
    <t>Cuenta</t>
  </si>
  <si>
    <t>Descripción</t>
  </si>
  <si>
    <t>Punt.</t>
  </si>
  <si>
    <t>Fecha</t>
  </si>
  <si>
    <t>Concepto</t>
  </si>
  <si>
    <t>Documento</t>
  </si>
  <si>
    <t>Debe</t>
  </si>
  <si>
    <t>Haber</t>
  </si>
  <si>
    <t>Saldo</t>
  </si>
  <si>
    <t>NEUMATICOS ANDRES SA</t>
  </si>
  <si>
    <t>Saldos anteriores</t>
  </si>
  <si>
    <t>NEUMATICOS ANDR_A/287335_31-</t>
  </si>
  <si>
    <t>A/287335</t>
  </si>
  <si>
    <t>Sí</t>
  </si>
  <si>
    <t>PAGO FRA. A/337748 DE NEUMAT</t>
  </si>
  <si>
    <t>A/337748</t>
  </si>
  <si>
    <t>NEUMATICOS ANDR_A/5620_15-01</t>
  </si>
  <si>
    <t>A/5620</t>
  </si>
  <si>
    <t>PAGO FRA. A/351756 DE NEUMAT</t>
  </si>
  <si>
    <t>A/351756</t>
  </si>
  <si>
    <t>NEUMATICOS ANDR_A/19178_31-0</t>
  </si>
  <si>
    <t>A/19178</t>
  </si>
  <si>
    <t>PAGO FRA. A/5620 DE NEUMATIC</t>
  </si>
  <si>
    <t>NEUMATICOS ANDR_A/35093_15-0</t>
  </si>
  <si>
    <t>A/35093</t>
  </si>
  <si>
    <t>NEUMATICOS ANDR_A/51466_28-0</t>
  </si>
  <si>
    <t>A/51466</t>
  </si>
  <si>
    <t>PAGO FRA. A/19178 DE NEUMATI</t>
  </si>
  <si>
    <t>NEUMATICOS ANDR_A/65440_15-0</t>
  </si>
  <si>
    <t>A/65440</t>
  </si>
  <si>
    <t>PAGO FRA. A/35093 DE NEUMATI</t>
  </si>
  <si>
    <t>NEUMATICOS ANDR_A/81494_31-0</t>
  </si>
  <si>
    <t>A/81494</t>
  </si>
  <si>
    <t>PAGO FRA. A/51466 DE NEUMATI</t>
  </si>
  <si>
    <t>PAGO FRA. A/65440 DE NEUMATI</t>
  </si>
  <si>
    <t>Total cuenta</t>
  </si>
  <si>
    <t>AD BOSCH RECANVIS, SL</t>
  </si>
  <si>
    <t>AD BOSCH RECANV_FAB24055451_</t>
  </si>
  <si>
    <t>AB24055451</t>
  </si>
  <si>
    <t>AD BOSCH RECANV_FAB24050040_</t>
  </si>
  <si>
    <t>AB24050040</t>
  </si>
  <si>
    <t>AD BOSCH REC.S.L.</t>
  </si>
  <si>
    <t>AB25001800</t>
  </si>
  <si>
    <t>PAGO FRA. AB24058666 DE AD B</t>
  </si>
  <si>
    <t>AB24058666</t>
  </si>
  <si>
    <t>PAGO FRA. AB24060677 DE AD B</t>
  </si>
  <si>
    <t>AB24060677</t>
  </si>
  <si>
    <t>AD BOSCH RECANV_FAB25001800_</t>
  </si>
  <si>
    <t>AD BOSCH RECANV_FAB25005221_</t>
  </si>
  <si>
    <t>AB25005221</t>
  </si>
  <si>
    <t/>
  </si>
  <si>
    <t>PAGO FRA. AB24063811 DE AD B</t>
  </si>
  <si>
    <t>AB24063811</t>
  </si>
  <si>
    <t>PAGO FRA. AB25001800 DE AD B</t>
  </si>
  <si>
    <t>AD BOSCH RECANV_FAB25007292_</t>
  </si>
  <si>
    <t>AB25007292</t>
  </si>
  <si>
    <t>AD BOSCH RECANV_FAB25010595_</t>
  </si>
  <si>
    <t>AB25010595</t>
  </si>
  <si>
    <t>AD BOSCH RECANV_FAB25010793_</t>
  </si>
  <si>
    <t>AB25010793</t>
  </si>
  <si>
    <t>AD BOSCH RECANV_FAB25010794_</t>
  </si>
  <si>
    <t>AB25010794</t>
  </si>
  <si>
    <t>PAGO FRA. AB25005221 DE AD B</t>
  </si>
  <si>
    <t>AD BOSCH RECANV_FAB25012644_</t>
  </si>
  <si>
    <t>AB25012644</t>
  </si>
  <si>
    <t>PAGO FRA. AB25007292 DE AD B</t>
  </si>
  <si>
    <t>AD BOSCH RECANV_FAB25016035_</t>
  </si>
  <si>
    <t>AB25016035</t>
  </si>
  <si>
    <t>PAGO FRA. AB25010595 DE AD B</t>
  </si>
  <si>
    <t>PAGO FRA. AB25012644 DE AD B</t>
  </si>
  <si>
    <t>RT TRANSMISIONES, SL</t>
  </si>
  <si>
    <t>fra recibida 09-12-24</t>
  </si>
  <si>
    <t>3678</t>
  </si>
  <si>
    <t>RT TRANSMISIONES</t>
  </si>
  <si>
    <t>MOTORECAMBIO MEGA CB</t>
  </si>
  <si>
    <t>MOTORECAMBIO ME_#F241623_05-</t>
  </si>
  <si>
    <t>#F241623</t>
  </si>
  <si>
    <t>RECAMBIOS MEGA</t>
  </si>
  <si>
    <t>MOTORECAMBIO ME_#F251712_30-</t>
  </si>
  <si>
    <t>#F251712</t>
  </si>
  <si>
    <t>PAGO FRA. 1F251716 DE MOTORE</t>
  </si>
  <si>
    <t>1F251716</t>
  </si>
  <si>
    <t>MOTORECAMBIO ME_#F251716_03-</t>
  </si>
  <si>
    <t>#F251716</t>
  </si>
  <si>
    <t>PAGO FRA. 2F251716 DE MOTORE</t>
  </si>
  <si>
    <t>2F251716</t>
  </si>
  <si>
    <t>MOTORECAMBIO ME_#F251738_25-</t>
  </si>
  <si>
    <t>#F251738</t>
  </si>
  <si>
    <t>PAGO FRA. 3F251738 DE MOTORE</t>
  </si>
  <si>
    <t>3F251738</t>
  </si>
  <si>
    <t>DATACOL HISPANIA SL</t>
  </si>
  <si>
    <t>PAGO FRA. 100096245 DE DATAC</t>
  </si>
  <si>
    <t>100096245</t>
  </si>
  <si>
    <t>DATACOL HISPANI_100001528_14</t>
  </si>
  <si>
    <t>100001528</t>
  </si>
  <si>
    <t>PAGO FRA. 100099753 DE DATAC</t>
  </si>
  <si>
    <t>100099753</t>
  </si>
  <si>
    <t>DATACOL HISPANI_100004875_27</t>
  </si>
  <si>
    <t>100004875</t>
  </si>
  <si>
    <t>DATACOL HISPANI_100006361_30</t>
  </si>
  <si>
    <t>100006361</t>
  </si>
  <si>
    <t>DATACOL HISPANI_100009720_07</t>
  </si>
  <si>
    <t>100009720</t>
  </si>
  <si>
    <t>PAGO FRA. 100001528 DE DATAC</t>
  </si>
  <si>
    <t>DATACOL HISPANI_100013095_19</t>
  </si>
  <si>
    <t>100013095</t>
  </si>
  <si>
    <t>PAGO FRA. 100004875 DE DATAC</t>
  </si>
  <si>
    <t>PAGO FRA. 100006361 DE DATAC</t>
  </si>
  <si>
    <t>DATACOL HISPANI_100018439_06</t>
  </si>
  <si>
    <t>100018439</t>
  </si>
  <si>
    <t>PAGO FRA. 100009720 DE DATAC</t>
  </si>
  <si>
    <t>DATACOL HISPANI_100022309_19</t>
  </si>
  <si>
    <t>100022309</t>
  </si>
  <si>
    <t>PAGO FRA. 100013095 DE DATAC</t>
  </si>
  <si>
    <t>PAGO FRA. 100018439 DE DATAC</t>
  </si>
  <si>
    <t>AUTODOC SE</t>
  </si>
  <si>
    <t>AUTODOC SE_91751716_31-10-20</t>
  </si>
  <si>
    <t>91751716</t>
  </si>
  <si>
    <t>AUTODOC</t>
  </si>
  <si>
    <t>MOTOSCOOT.NET</t>
  </si>
  <si>
    <t>MOTOSCOOT.NET_#100250484_21-</t>
  </si>
  <si>
    <t>#100250484</t>
  </si>
  <si>
    <t>AMAZON EU SARL SUCURSAL EN ESP</t>
  </si>
  <si>
    <t>AMAZON EU SARL _288320-44531</t>
  </si>
  <si>
    <t>20-4453113</t>
  </si>
  <si>
    <t>AMAZON</t>
  </si>
  <si>
    <t>DESGUACES LA TORRE SA</t>
  </si>
  <si>
    <t>DESGUACES LA TO_153965_29-03</t>
  </si>
  <si>
    <t>153965</t>
  </si>
  <si>
    <t>DESGUACES LA TO_153966_29-03</t>
  </si>
  <si>
    <t>153966</t>
  </si>
  <si>
    <t>ENGIMEK SOLUTIONS, SLU</t>
  </si>
  <si>
    <t>ENGIMEK SOLUTIO_2025/27_31-0</t>
  </si>
  <si>
    <t>2025/27</t>
  </si>
  <si>
    <t>FERRER SERRAT, HANNA</t>
  </si>
  <si>
    <t>KEY POWER</t>
  </si>
  <si>
    <t>FERRER SERRAT, _000178_03-03</t>
  </si>
  <si>
    <t>000178</t>
  </si>
  <si>
    <t>MB RAMOMOTO</t>
  </si>
  <si>
    <t>MB RAMOMOTO_7229_24-03-2025</t>
  </si>
  <si>
    <t>7229</t>
  </si>
  <si>
    <t>PATRICIO GARCIA I CIA, C.B.</t>
  </si>
  <si>
    <t>Importe factura recibida.</t>
  </si>
  <si>
    <t>2</t>
  </si>
  <si>
    <t>PATRICIO GARCIA_4_01-02-2025</t>
  </si>
  <si>
    <t>4</t>
  </si>
  <si>
    <t>PATRICIO GARCIA_6_01-03-2025</t>
  </si>
  <si>
    <t>6</t>
  </si>
  <si>
    <t>RECICLATGES 3 MARESME, SL</t>
  </si>
  <si>
    <t>PAGO FRA. 000319 DE RECICLAT</t>
  </si>
  <si>
    <t>000319</t>
  </si>
  <si>
    <t>RECICLATGES 3 M_000319_23-01</t>
  </si>
  <si>
    <t>RECICLATGES 3 M_000630_25-02</t>
  </si>
  <si>
    <t>000630</t>
  </si>
  <si>
    <t>RECICLATGES 3 M_000932_21-03</t>
  </si>
  <si>
    <t>000932</t>
  </si>
  <si>
    <t>ENDESA ENERGIA SA</t>
  </si>
  <si>
    <t>ENDESA ENERGIA _25CON0005244</t>
  </si>
  <si>
    <t>N000524457</t>
  </si>
  <si>
    <t>PAGO FRA. N000524457 DE ENDE</t>
  </si>
  <si>
    <t>ENDESA ENERGIA _25CON0056272</t>
  </si>
  <si>
    <t>N005627202</t>
  </si>
  <si>
    <t>PAGO FRA. N005627202 DE ENDE</t>
  </si>
  <si>
    <t>ENDESA ENERGIA _25CON0106857</t>
  </si>
  <si>
    <t>N010685768</t>
  </si>
  <si>
    <t>PAGO FRA. N010685768 DE ENDE</t>
  </si>
  <si>
    <t>ENDESA ENERGIA S.</t>
  </si>
  <si>
    <t>CONNECTION SOFT SERVICE SL</t>
  </si>
  <si>
    <t>CONNECTION SOFT_20245086_01-</t>
  </si>
  <si>
    <t>20245086</t>
  </si>
  <si>
    <t>CONNECTION SOFT_20245632_01-</t>
  </si>
  <si>
    <t>20245632</t>
  </si>
  <si>
    <t>CONNECTION SOFT_20246175_01-</t>
  </si>
  <si>
    <t>20246175</t>
  </si>
  <si>
    <t>CONNECTION SOFT_20250405_01-</t>
  </si>
  <si>
    <t>20250405</t>
  </si>
  <si>
    <t>PAGO FRA. 20245086 DE CONNEC</t>
  </si>
  <si>
    <t>CONNECTION SOFT_20250961_01-</t>
  </si>
  <si>
    <t>20250961</t>
  </si>
  <si>
    <t>TRAMICAR XXI, SL</t>
  </si>
  <si>
    <t>TRAMICAR XXI, S_TR240001200_</t>
  </si>
  <si>
    <t>R240001200</t>
  </si>
  <si>
    <t>PAGO FRA. R240001200 DE TRAM</t>
  </si>
  <si>
    <t>TRAMICAR XXI, S_TR250000247_</t>
  </si>
  <si>
    <t>R250000247</t>
  </si>
  <si>
    <t>SOTO MARTIN, ANTONIO</t>
  </si>
  <si>
    <t>Modulo ABS Leon</t>
  </si>
  <si>
    <t>SOTO MARTIN, AN_410-25_04-03</t>
  </si>
  <si>
    <t>410-25</t>
  </si>
  <si>
    <t>BARRUFET CRUZ, ROSA</t>
  </si>
  <si>
    <t>BARRUFET CRUZ, _2024000240_0</t>
  </si>
  <si>
    <t>2024000240</t>
  </si>
  <si>
    <t>WIRA SORZA, DOUGLAS</t>
  </si>
  <si>
    <t>WIRA SORZA, DOU_2024000319_0</t>
  </si>
  <si>
    <t>2024000319</t>
  </si>
  <si>
    <t>POLICART FERNANDEZ, JOSE</t>
  </si>
  <si>
    <t>POLICART FERNAN_2024000301_3</t>
  </si>
  <si>
    <t>2024000301</t>
  </si>
  <si>
    <t>JMV CONSULTORIA Y SERVICIOS TE</t>
  </si>
  <si>
    <t>JMV CONSULTORIA_2024000284_2</t>
  </si>
  <si>
    <t>2024000284</t>
  </si>
  <si>
    <t>JMV CONSULTORIA_2024000445_2</t>
  </si>
  <si>
    <t>2024000445</t>
  </si>
  <si>
    <t>ON</t>
  </si>
  <si>
    <t>PEREZ LOPEZ, MARI</t>
  </si>
  <si>
    <t>PEREZ LOPEZ, MA_2024000388_0</t>
  </si>
  <si>
    <t>2024000388</t>
  </si>
  <si>
    <t>RODRIGUEZ VASCO, ALBA</t>
  </si>
  <si>
    <t>Abonos</t>
  </si>
  <si>
    <t>TRASPASO</t>
  </si>
  <si>
    <t>SOTO, CARLES</t>
  </si>
  <si>
    <t>SOTO, CARLES_2024000332_12-0</t>
  </si>
  <si>
    <t>2024000332</t>
  </si>
  <si>
    <t>SERRANO, ANGEL</t>
  </si>
  <si>
    <t>SERRANO, ANGEL_2024000267_16</t>
  </si>
  <si>
    <t>2024000267</t>
  </si>
  <si>
    <t>SERRANO, ANGEL_2024000271_16</t>
  </si>
  <si>
    <t>2024000271</t>
  </si>
  <si>
    <t>MORALES MORALES, DIEGO</t>
  </si>
  <si>
    <t>MORALES MORALES_2024000345_1</t>
  </si>
  <si>
    <t>2024000345</t>
  </si>
  <si>
    <t>MORALES MORALES_2024000380_0</t>
  </si>
  <si>
    <t>2024000380</t>
  </si>
  <si>
    <t>ROLDAN CAMACHO, PABLO</t>
  </si>
  <si>
    <t>ROLDAN CAMACHO,_2024000369_2</t>
  </si>
  <si>
    <t>2024000369</t>
  </si>
  <si>
    <t>COBRO FRA. 2024000369 DE ROL</t>
  </si>
  <si>
    <t>REQUENA SARRIA, ANTONIO</t>
  </si>
  <si>
    <t>REQUENA SARRIA,_2024000395_1</t>
  </si>
  <si>
    <t>2024000395</t>
  </si>
  <si>
    <t>OCON ARROYO, ALEX</t>
  </si>
  <si>
    <t>OCON ARROYO, AL_2024000275_2</t>
  </si>
  <si>
    <t>2024000275</t>
  </si>
  <si>
    <t>OCON ARROYO, AL_2024000335_1</t>
  </si>
  <si>
    <t>2024000335</t>
  </si>
  <si>
    <t>OCON ARROYO, AL_2024000412_1</t>
  </si>
  <si>
    <t>2024000412</t>
  </si>
  <si>
    <t>LOPEZ ILARI, IRINA</t>
  </si>
  <si>
    <t>LOPEZ ILARI, IR_2024000377_0</t>
  </si>
  <si>
    <t>2024000377</t>
  </si>
  <si>
    <t>GARCIA, JAVIER</t>
  </si>
  <si>
    <t>GARCIA, JAVIER_2024000448_31</t>
  </si>
  <si>
    <t>2024000448</t>
  </si>
  <si>
    <t>PENUELA CIDONCHA, ERIKA</t>
  </si>
  <si>
    <t>DIAZ, KEVIN</t>
  </si>
  <si>
    <t>DIAZ, KEVIN_2024000353_20-02</t>
  </si>
  <si>
    <t>2024000353</t>
  </si>
  <si>
    <t>DIAZ, KEVIN_2024000376_03-03</t>
  </si>
  <si>
    <t>2024000376</t>
  </si>
  <si>
    <t>PAREJA, CRISTOBAL</t>
  </si>
  <si>
    <t>PAREJA, CRISTOB_2024000291_2</t>
  </si>
  <si>
    <t>2024000291</t>
  </si>
  <si>
    <t>GONZALO FUENTE, ANGEL</t>
  </si>
  <si>
    <t>GONZALO FUENTE,_2024000245_0</t>
  </si>
  <si>
    <t>2024000245</t>
  </si>
  <si>
    <t>RUIZ, GREGORIO</t>
  </si>
  <si>
    <t>RUIZ, GREGORIO_2024000337_13</t>
  </si>
  <si>
    <t>2024000337</t>
  </si>
  <si>
    <t>SANCHEZ, JUAN CARLOS</t>
  </si>
  <si>
    <t>SANCHEZ, JUAN C_2024000286_2</t>
  </si>
  <si>
    <t>2024000286</t>
  </si>
  <si>
    <t>KADARI, ABDELLAH</t>
  </si>
  <si>
    <t>KADARI, ABDELLA_2024000236_0</t>
  </si>
  <si>
    <t>2024000236</t>
  </si>
  <si>
    <t>PIETX, ENRIC</t>
  </si>
  <si>
    <t>PIETX, ENRIC_2024000244_08-0</t>
  </si>
  <si>
    <t>2024000244</t>
  </si>
  <si>
    <t>PIETX, ENRIC_2024000249_08-0</t>
  </si>
  <si>
    <t>2024000249</t>
  </si>
  <si>
    <t>ELBOUZIDI, MOHAMED</t>
  </si>
  <si>
    <t>ELBOUZIDI, MOHA_2024000246_0</t>
  </si>
  <si>
    <t>2024000246</t>
  </si>
  <si>
    <t>ELBOUZIDI, MOHA_2024000252_0</t>
  </si>
  <si>
    <t>2024000252</t>
  </si>
  <si>
    <t>GOMEZ SANCHEZ, JUAN</t>
  </si>
  <si>
    <t>GOMEZ SANCHEZ, _2024000248_0</t>
  </si>
  <si>
    <t>2024000248</t>
  </si>
  <si>
    <t>RODRIGUEZ GONZALEZ, LUIS</t>
  </si>
  <si>
    <t>RODRIGUEZ GONZA_2024000255_1</t>
  </si>
  <si>
    <t>2024000255</t>
  </si>
  <si>
    <t>FUSTERIA AGUDO, SL</t>
  </si>
  <si>
    <t>FUSTERIA AGUDO,_2024000257_1</t>
  </si>
  <si>
    <t>2024000257</t>
  </si>
  <si>
    <t>FUSTERIA AGUDO,_2024000352_2</t>
  </si>
  <si>
    <t>2024000352</t>
  </si>
  <si>
    <t>FUSTERIA AGUDO,_2024000361_2</t>
  </si>
  <si>
    <t>2024000361</t>
  </si>
  <si>
    <t>RAMOS, JOAN MANUEL</t>
  </si>
  <si>
    <t>RAMOS, JOAN MAN_2024000259_1</t>
  </si>
  <si>
    <t>2024000259</t>
  </si>
  <si>
    <t>SANFILIPPO, MAURICIO</t>
  </si>
  <si>
    <t>SANFILIPPO, MAU_2024000441_2</t>
  </si>
  <si>
    <t>2024000441</t>
  </si>
  <si>
    <t>CORNELLAS ILLA, JORDI</t>
  </si>
  <si>
    <t>CORNELLAS ILLA,_2024000431_2</t>
  </si>
  <si>
    <t>2024000431</t>
  </si>
  <si>
    <t>407-416-415-420-431</t>
  </si>
  <si>
    <t>ANGEL RAMIRO, MIGUEL</t>
  </si>
  <si>
    <t>ANGEL RAMIRO, M_2024000265_1</t>
  </si>
  <si>
    <t>2024000265</t>
  </si>
  <si>
    <t>ANGEL RAMIRO, M_2024000437_2</t>
  </si>
  <si>
    <t>2024000437</t>
  </si>
  <si>
    <t>MIRA LANDALUZE, OLAIA</t>
  </si>
  <si>
    <t>MIRA LANDALUZE,_2024000274_2</t>
  </si>
  <si>
    <t>2024000274</t>
  </si>
  <si>
    <t>MIRA LANDALUZE,_2024000446_2</t>
  </si>
  <si>
    <t>2024000446</t>
  </si>
  <si>
    <t>Miquel Cerezo Cordoba</t>
  </si>
  <si>
    <t>CAMACHO, DANIEL</t>
  </si>
  <si>
    <t>CAMACHO, DANIEL_2024000261_1</t>
  </si>
  <si>
    <t>2024000261</t>
  </si>
  <si>
    <t>CARRENO, RAMON</t>
  </si>
  <si>
    <t>CARRENO, RAMON_2024000262_14</t>
  </si>
  <si>
    <t>2024000262</t>
  </si>
  <si>
    <t>CARRENO, RAMON_2024000408_17</t>
  </si>
  <si>
    <t>2024000408</t>
  </si>
  <si>
    <t>PELAEZ MARTOS, FRANCISCO</t>
  </si>
  <si>
    <t>PELAEZ MARTOS, _2024000390_0</t>
  </si>
  <si>
    <t>2024000390</t>
  </si>
  <si>
    <t>SANTIAGO ALCALA, JUAN</t>
  </si>
  <si>
    <t>SANTIAGO ALCALA_2024000272_2</t>
  </si>
  <si>
    <t>2024000272</t>
  </si>
  <si>
    <t>DURO GONZALEZ, ALFONSO</t>
  </si>
  <si>
    <t>DURO GONZALEZ, _2024000273_2</t>
  </si>
  <si>
    <t>2024000273</t>
  </si>
  <si>
    <t>ESARGUE, LAURA</t>
  </si>
  <si>
    <t>ESARGUE, LAURA_2024000279_22</t>
  </si>
  <si>
    <t>2024000279</t>
  </si>
  <si>
    <t>VICENTE, SERGIO</t>
  </si>
  <si>
    <t>VICENTE, SERGIO_2024000290_2</t>
  </si>
  <si>
    <t>2024000290</t>
  </si>
  <si>
    <t>VICENTE, SERGIO_2024000316_0</t>
  </si>
  <si>
    <t>2024000316</t>
  </si>
  <si>
    <t>CIDONCHA, MONTSERRAT</t>
  </si>
  <si>
    <t>CIDONCHA, MONTS_2024000305_0</t>
  </si>
  <si>
    <t>2024000305</t>
  </si>
  <si>
    <t>SANAHUJA, ENRIQUE</t>
  </si>
  <si>
    <t>SANAHUJA, ENRIQ_2024000306_0</t>
  </si>
  <si>
    <t>2024000306</t>
  </si>
  <si>
    <t>SANAHUJA, ENRIQ_2024000381_0</t>
  </si>
  <si>
    <t>2024000381</t>
  </si>
  <si>
    <t>379-381-382-385-392</t>
  </si>
  <si>
    <t>FERNANDEZ, MATIAS</t>
  </si>
  <si>
    <t>FERNANDEZ, MATI_2024000307_0</t>
  </si>
  <si>
    <t>2024000307</t>
  </si>
  <si>
    <t>MORA, LOURDES</t>
  </si>
  <si>
    <t>MORA, LOURDES_2024000313_05-</t>
  </si>
  <si>
    <t>2024000313</t>
  </si>
  <si>
    <t>VARGAS, CESAR</t>
  </si>
  <si>
    <t>VARGAS, CESAR_2024000314_05-</t>
  </si>
  <si>
    <t>2024000314</t>
  </si>
  <si>
    <t>MARTIN, JUAN</t>
  </si>
  <si>
    <t>MARTIN, JUAN_2024000328_11-0</t>
  </si>
  <si>
    <t>2024000328</t>
  </si>
  <si>
    <t>MANUEL</t>
  </si>
  <si>
    <t>MANUEL_2024000334_12-02-2025</t>
  </si>
  <si>
    <t>2024000334</t>
  </si>
  <si>
    <t>SOLER, AIDA</t>
  </si>
  <si>
    <t>SOLER, AIDA_2024000336_13-02</t>
  </si>
  <si>
    <t>2024000336</t>
  </si>
  <si>
    <t>EGAROPTIC, FRAN</t>
  </si>
  <si>
    <t>EGAROPTIC, FRAN_2024000338_1</t>
  </si>
  <si>
    <t>2024000338</t>
  </si>
  <si>
    <t>ZARCONI, JAFIR</t>
  </si>
  <si>
    <t>ZARCONI, JAFIR_2024000342_17</t>
  </si>
  <si>
    <t>2024000342</t>
  </si>
  <si>
    <t>AISLAMIENTOS Y MANIPULADOS, SL</t>
  </si>
  <si>
    <t>AISLAMIENTOS Y _2024000355_2</t>
  </si>
  <si>
    <t>2024000355</t>
  </si>
  <si>
    <t>SOARES TORRUBIA, GABRIEL</t>
  </si>
  <si>
    <t>SOARES TORRUBIA_2024000356_2</t>
  </si>
  <si>
    <t>2024000356</t>
  </si>
  <si>
    <t>PINO, SERGIO</t>
  </si>
  <si>
    <t>PINO, SERGIO_2024000360_25-0</t>
  </si>
  <si>
    <t>2024000360</t>
  </si>
  <si>
    <t>INGRESO CAJERO</t>
  </si>
  <si>
    <t>DANIEL DI BENEDETTTO, CARLOS</t>
  </si>
  <si>
    <t>DANIEL DI BENED_2024000366_2</t>
  </si>
  <si>
    <t>2024000366</t>
  </si>
  <si>
    <t>AD BOSCH RECANV_2024000368_2</t>
  </si>
  <si>
    <t>2024000368</t>
  </si>
  <si>
    <t>CASTELLANO ARTACHO, ABRAHAM</t>
  </si>
  <si>
    <t>CASTELLANO ARTA_2024000389_0</t>
  </si>
  <si>
    <t>2024000389</t>
  </si>
  <si>
    <t>NABIL</t>
  </si>
  <si>
    <t>NABIL_2024000422_21-03-2025</t>
  </si>
  <si>
    <t>2024000422</t>
  </si>
  <si>
    <t>REMUNERACIONES PENDIENTES DE P</t>
  </si>
  <si>
    <t>Nomina</t>
  </si>
  <si>
    <t>Importe Líquido</t>
  </si>
  <si>
    <t>RESTR. EN ESPECIE</t>
  </si>
  <si>
    <t>PAGO TRASPASOS</t>
  </si>
  <si>
    <t>RETRIB. ESPECIE</t>
  </si>
  <si>
    <t>HACIENDA PÚBLICA, ACREEDORA PO</t>
  </si>
  <si>
    <t>I.V.A. MODELO 303</t>
  </si>
  <si>
    <t>Modelo 303 1 Trimestre</t>
  </si>
  <si>
    <t>HP, ACREED. RETEN. PRACTICADAS</t>
  </si>
  <si>
    <t>Reten./PATRICIO GARCIA I CIA</t>
  </si>
  <si>
    <t>I.R.P.F. MOD. 115</t>
  </si>
  <si>
    <t>I.R.P.F. MOD.111</t>
  </si>
  <si>
    <t>HP,ACREED. IMPUESTO SOCIEDADES</t>
  </si>
  <si>
    <t>HACIENDA PÚBLICA, IVA REPERCUT</t>
  </si>
  <si>
    <t>IVA R./REAL RAMON, ERIC</t>
  </si>
  <si>
    <t>54</t>
  </si>
  <si>
    <t>IVA R./VALVERDE, RODRIGO</t>
  </si>
  <si>
    <t>2024000234</t>
  </si>
  <si>
    <t>IVA R./ROPERO, MARC</t>
  </si>
  <si>
    <t>2024000235</t>
  </si>
  <si>
    <t>IVA R./KADARI, ABDELLAH</t>
  </si>
  <si>
    <t>IVA R./JOVENTENY, FELIP</t>
  </si>
  <si>
    <t>2024000237</t>
  </si>
  <si>
    <t>IVA R./ROPERO CRUZ, RAFAEL</t>
  </si>
  <si>
    <t>2024000238</t>
  </si>
  <si>
    <t>IVA R./JORDI</t>
  </si>
  <si>
    <t>2024000239</t>
  </si>
  <si>
    <t>IVA R./BARRUFET CRUZ, ROSA</t>
  </si>
  <si>
    <t>IVA R./REIG, PLACID</t>
  </si>
  <si>
    <t>2024000241</t>
  </si>
  <si>
    <t>IVA R./CEREZO CORDOBA, ANNA</t>
  </si>
  <si>
    <t>2024000242</t>
  </si>
  <si>
    <t>IVA R./MARTIN, CRISTINA</t>
  </si>
  <si>
    <t>2024000243</t>
  </si>
  <si>
    <t>IVA R./PIETX, ENRIC</t>
  </si>
  <si>
    <t>IVA R./GONZALO FUENTE, ANGEL</t>
  </si>
  <si>
    <t>IVA R./ELBOUZIDI, MOHAMED</t>
  </si>
  <si>
    <t>IVA R./SANCHEZ, QUERALT</t>
  </si>
  <si>
    <t>2024000247</t>
  </si>
  <si>
    <t>IVA R./GOMEZ SANCHEZ, JUAN</t>
  </si>
  <si>
    <t>IVA R./TEIXIDO, MARIA VICTOR</t>
  </si>
  <si>
    <t>2024000250</t>
  </si>
  <si>
    <t>IVA R./TEJEDA NAVARRETE, ROB</t>
  </si>
  <si>
    <t>2024000251</t>
  </si>
  <si>
    <t>IVA R./OLESA LOGISTICA I DIS</t>
  </si>
  <si>
    <t>2024000253</t>
  </si>
  <si>
    <t>IVA R./EXPOSITO, JOSE LUIS</t>
  </si>
  <si>
    <t>2024000254</t>
  </si>
  <si>
    <t>IVA R./RODRIGUEZ GONZALEZ, L</t>
  </si>
  <si>
    <t>2024000256</t>
  </si>
  <si>
    <t>IVA R./FUSTERIA AGUDO, SL</t>
  </si>
  <si>
    <t>IVA R./HERNANDEZ, CARLOS</t>
  </si>
  <si>
    <t>2024000258</t>
  </si>
  <si>
    <t>IVA R./RAMOS, JOAN MANUEL</t>
  </si>
  <si>
    <t>IVA R./LEONARDO SANCHEZ, LUC</t>
  </si>
  <si>
    <t>2024000260</t>
  </si>
  <si>
    <t>IVA R./CAMACHO, DANIEL</t>
  </si>
  <si>
    <t>IVA R./CARRENO, RAMON</t>
  </si>
  <si>
    <t>IVA R./JIMMY</t>
  </si>
  <si>
    <t>2024000263</t>
  </si>
  <si>
    <t>IVA R./LLICADPO APARICIO, XA</t>
  </si>
  <si>
    <t>2024000264</t>
  </si>
  <si>
    <t>IVA R./ANGEL RAMIRO, MIGUEL</t>
  </si>
  <si>
    <t>IVA R./FERNANDEZ VILCHES, JO</t>
  </si>
  <si>
    <t>2024000266</t>
  </si>
  <si>
    <t>IVA R./SERRANO, ANGEL</t>
  </si>
  <si>
    <t>IVA R./SOLA CAMINS, MONTSERR</t>
  </si>
  <si>
    <t>2024000268</t>
  </si>
  <si>
    <t>IVA R./CAMPOS SANCHEZ, JOSEP</t>
  </si>
  <si>
    <t>2024000269</t>
  </si>
  <si>
    <t>IVA R./AGUDO VOLTA, MIRIAM</t>
  </si>
  <si>
    <t>2024000270</t>
  </si>
  <si>
    <t>IVA R./SANTIAGO ALCALA, JUAN</t>
  </si>
  <si>
    <t>IVA R./DURO GONZALEZ, ALFONS</t>
  </si>
  <si>
    <t>IVA R./MIRA LANDALUZE, OLAIA</t>
  </si>
  <si>
    <t>IVA R./OCON ARROYO, ALEX</t>
  </si>
  <si>
    <t>IVA R./GOMEZ, ALBA</t>
  </si>
  <si>
    <t>2024000276</t>
  </si>
  <si>
    <t>IVA R./PARERA, ESTEVE</t>
  </si>
  <si>
    <t>2024000277</t>
  </si>
  <si>
    <t>IVA R./MUNOZ, DAVID</t>
  </si>
  <si>
    <t>2024000278</t>
  </si>
  <si>
    <t>IVA R./ESARGUE, LAURA</t>
  </si>
  <si>
    <t>IVA R./ARIAS CARVALLO, MARCO</t>
  </si>
  <si>
    <t>2024000280</t>
  </si>
  <si>
    <t>IVA R./TONIN, MELISSA</t>
  </si>
  <si>
    <t>2024000281</t>
  </si>
  <si>
    <t>IVA R./ROJAS, AUGUSTO</t>
  </si>
  <si>
    <t>2024000282</t>
  </si>
  <si>
    <t>IVA R./CARRION ORTEGA, SERGI</t>
  </si>
  <si>
    <t>2024000283</t>
  </si>
  <si>
    <t>IVA R./JMV CONSULTORIA Y SER</t>
  </si>
  <si>
    <t>IVA R./FLORES ABAD, VICTORIO</t>
  </si>
  <si>
    <t>2024000285</t>
  </si>
  <si>
    <t>IVA R./SANCHEZ, JUAN CARLOS</t>
  </si>
  <si>
    <t>IVA R./VILLUELA RIVERO, ESTH</t>
  </si>
  <si>
    <t>2024000287</t>
  </si>
  <si>
    <t>IVA R./MARTINEZ FILLOLA, AGU</t>
  </si>
  <si>
    <t>2024000288</t>
  </si>
  <si>
    <t>IVA R./FARRERAS PALLARES, BE</t>
  </si>
  <si>
    <t>2024000289</t>
  </si>
  <si>
    <t>IVA R./VICENTE, SERGIO</t>
  </si>
  <si>
    <t>IVA R./PAREJA, CRISTOBAL</t>
  </si>
  <si>
    <t>IVA R./CAMS SEGURIDAD</t>
  </si>
  <si>
    <t>2024000292</t>
  </si>
  <si>
    <t>2024000293</t>
  </si>
  <si>
    <t>IVA R./MARTOS BURGUENO, FRAN</t>
  </si>
  <si>
    <t>2024000294</t>
  </si>
  <si>
    <t>IVA R./GUILERA, ROBERT</t>
  </si>
  <si>
    <t>2024000295</t>
  </si>
  <si>
    <t>IVA R./CORDERO LOBATO, FRANC</t>
  </si>
  <si>
    <t>2024000296</t>
  </si>
  <si>
    <t>IVA R./ANTONIO ALMIJO, JUAN</t>
  </si>
  <si>
    <t>2024000297</t>
  </si>
  <si>
    <t>2024000298</t>
  </si>
  <si>
    <t>2024000299</t>
  </si>
  <si>
    <t>2024000300</t>
  </si>
  <si>
    <t>IVA R./POLICART FERNANDEZ, J</t>
  </si>
  <si>
    <t>2024000302</t>
  </si>
  <si>
    <t>IVA R./SOBERVIO, DAVID</t>
  </si>
  <si>
    <t>2024000303</t>
  </si>
  <si>
    <t>IVA R./ROS, RAMON</t>
  </si>
  <si>
    <t>2024000304</t>
  </si>
  <si>
    <t>IVA R./CIDONCHA, MONTSERRAT</t>
  </si>
  <si>
    <t>IVA R./SANAHUJA, ENRIQUE</t>
  </si>
  <si>
    <t>IVA R./FERNANDEZ, MATIAS</t>
  </si>
  <si>
    <t>IVA R./SOLID MODULAR, SL</t>
  </si>
  <si>
    <t>2024000308</t>
  </si>
  <si>
    <t>IVA R./NAVAS, ROSA</t>
  </si>
  <si>
    <t>2024000309</t>
  </si>
  <si>
    <t>2024000310</t>
  </si>
  <si>
    <t>2024000311</t>
  </si>
  <si>
    <t>IVA R./JUNIPER MANAGEMENT</t>
  </si>
  <si>
    <t>2024000312</t>
  </si>
  <si>
    <t>IVA R./MORA, LOURDES</t>
  </si>
  <si>
    <t>IVA R./VARGAS, CESAR</t>
  </si>
  <si>
    <t>IVA R./BACARDIT HERNANDO, MA</t>
  </si>
  <si>
    <t>2024000315</t>
  </si>
  <si>
    <t>IVA R./GOMEZ GIMENEZ, GINES</t>
  </si>
  <si>
    <t>2024000317</t>
  </si>
  <si>
    <t>IVA R./MANUEL</t>
  </si>
  <si>
    <t>2024000318</t>
  </si>
  <si>
    <t>IVA R./WIRA SORZA, DOUGLAS</t>
  </si>
  <si>
    <t>IVA R./GARZZOLA, FABIO</t>
  </si>
  <si>
    <t>2024000320</t>
  </si>
  <si>
    <t>IVA R./ZURITA, ADRIAN</t>
  </si>
  <si>
    <t>2024000321</t>
  </si>
  <si>
    <t>IVA R./LOPEZ, ANTONIO</t>
  </si>
  <si>
    <t>2024000322</t>
  </si>
  <si>
    <t>2024000323</t>
  </si>
  <si>
    <t>IVA R./FELIP RASCO, GABRIEL</t>
  </si>
  <si>
    <t>2024000324</t>
  </si>
  <si>
    <t>2024000325</t>
  </si>
  <si>
    <t>IVA R./MONDEO, CARLOS</t>
  </si>
  <si>
    <t>2024000326</t>
  </si>
  <si>
    <t>IVA R./PAREJA RAMIREZ, CLOE</t>
  </si>
  <si>
    <t>2024000327</t>
  </si>
  <si>
    <t>IVA R./MARTIN, JUAN</t>
  </si>
  <si>
    <t>IVA R./VALDERRAMA, MARGARITA</t>
  </si>
  <si>
    <t>2024000329</t>
  </si>
  <si>
    <t>IVA R./WIJIA, CHEN</t>
  </si>
  <si>
    <t>2024000330</t>
  </si>
  <si>
    <t>IVA R./SOLUCIONES CARPINTERI</t>
  </si>
  <si>
    <t>2024000331</t>
  </si>
  <si>
    <t>IVA R./SOTO, CARLES</t>
  </si>
  <si>
    <t>IVA R./JAMES, AARON</t>
  </si>
  <si>
    <t>2024000333</t>
  </si>
  <si>
    <t>IVA R./SOLER, AIDA</t>
  </si>
  <si>
    <t>IVA R./RUIZ, GREGORIO</t>
  </si>
  <si>
    <t>IVA R./EGAROPTIC, FRAN</t>
  </si>
  <si>
    <t>IVA R./CRIADO, JOSE MARIA</t>
  </si>
  <si>
    <t>2024000339</t>
  </si>
  <si>
    <t>IVA R./MAS, TONI</t>
  </si>
  <si>
    <t>2024000340</t>
  </si>
  <si>
    <t>IVA R./GONZALEZ, NICOLE</t>
  </si>
  <si>
    <t>2024000341</t>
  </si>
  <si>
    <t>IVA R./ZARCONI, JAFIR</t>
  </si>
  <si>
    <t>IVA R./MESA, ANTONIO</t>
  </si>
  <si>
    <t>2024000343</t>
  </si>
  <si>
    <t>IVA R./MARTIN, JUANJO</t>
  </si>
  <si>
    <t>2024000344</t>
  </si>
  <si>
    <t>IVA R./MORALES MORALES, DIEG</t>
  </si>
  <si>
    <t>IVA R./ACEDO COLVILLO, DAVID</t>
  </si>
  <si>
    <t>2024000346</t>
  </si>
  <si>
    <t>2024000347</t>
  </si>
  <si>
    <t>IVA R./CAMES FERNANDEZ, FRAN</t>
  </si>
  <si>
    <t>2024000348</t>
  </si>
  <si>
    <t>IVA R./HERRERO ROURE, ERNEST</t>
  </si>
  <si>
    <t>2024000349</t>
  </si>
  <si>
    <t>2024000350</t>
  </si>
  <si>
    <t>IVA R./CABEZAS MARTINEZ, ALE</t>
  </si>
  <si>
    <t>2024000351</t>
  </si>
  <si>
    <t>IVA R./DIAZ, KEVIN</t>
  </si>
  <si>
    <t>2024000354</t>
  </si>
  <si>
    <t>IVA R./AISLAMIENTOS Y MANIPU</t>
  </si>
  <si>
    <t>IVA R./SOARES TORRUBIA, GABR</t>
  </si>
  <si>
    <t>IVA R./BUISAN MARTINEZ, ANGE</t>
  </si>
  <si>
    <t>2024000357</t>
  </si>
  <si>
    <t>IVA R./BUENAVISTA ABRIL, FEL</t>
  </si>
  <si>
    <t>2024000358</t>
  </si>
  <si>
    <t>IVA R./GARI CARRERAS, CLAUDI</t>
  </si>
  <si>
    <t>2024000359</t>
  </si>
  <si>
    <t>IVA R./PINO, SERGIO</t>
  </si>
  <si>
    <t>2024000362</t>
  </si>
  <si>
    <t>2024000363</t>
  </si>
  <si>
    <t>IVA R./RUBIO, RAMONA</t>
  </si>
  <si>
    <t>2024000364</t>
  </si>
  <si>
    <t>IVA R./GARCIA, HUGO</t>
  </si>
  <si>
    <t>2024000365</t>
  </si>
  <si>
    <t>IVA R./DANIEL DI BENEDETTTO,</t>
  </si>
  <si>
    <t>IVA R./AD BOSCH RECANVIS, SL</t>
  </si>
  <si>
    <t>IVA R./ROLDAN CAMACHO, PABLO</t>
  </si>
  <si>
    <t>IVA R./CIDONCHA CARDENAS, OL</t>
  </si>
  <si>
    <t>2024000370</t>
  </si>
  <si>
    <t>IVA R./LARA, MANUEL</t>
  </si>
  <si>
    <t>2024000371</t>
  </si>
  <si>
    <t>IVA R./NAVARRO, XAVIER</t>
  </si>
  <si>
    <t>2024000372</t>
  </si>
  <si>
    <t>IVA R./LOPEZ ILARI, IRINA</t>
  </si>
  <si>
    <t>IVA R./GALLARDO, CRISTINA</t>
  </si>
  <si>
    <t>2024000373</t>
  </si>
  <si>
    <t>2024000374</t>
  </si>
  <si>
    <t>IVA R./CUBILLOS PALMA, SOFIA</t>
  </si>
  <si>
    <t>2024000375</t>
  </si>
  <si>
    <t>2024000378</t>
  </si>
  <si>
    <t>IVA R./ABDELKADER, MERIEM</t>
  </si>
  <si>
    <t>2024000379</t>
  </si>
  <si>
    <t>2024000382</t>
  </si>
  <si>
    <t>IVA R./SOLER, XAVI</t>
  </si>
  <si>
    <t>2024000383</t>
  </si>
  <si>
    <t>IVA R./PASTOR BASICA, ENRIQU</t>
  </si>
  <si>
    <t>2024000384</t>
  </si>
  <si>
    <t>IVA R./RODRIGUEZ, JORDI</t>
  </si>
  <si>
    <t>2024000385</t>
  </si>
  <si>
    <t>2024000386</t>
  </si>
  <si>
    <t>2024000387</t>
  </si>
  <si>
    <t>IVA R./PEREZ LOPEZ, MARI</t>
  </si>
  <si>
    <t>IVA R./CASTELLANO ARTACHO, A</t>
  </si>
  <si>
    <t>IVA R./MARTIN GARCIA, ALEJAN</t>
  </si>
  <si>
    <t>2024000391</t>
  </si>
  <si>
    <t>IVA R./TURCIOS SANCHEZ, JESU</t>
  </si>
  <si>
    <t>2024000392</t>
  </si>
  <si>
    <t>IVA R./PELAEZ MARTOS, FRANCI</t>
  </si>
  <si>
    <t>IVA R./ALEMANY FERRADA, MARI</t>
  </si>
  <si>
    <t>2024000393</t>
  </si>
  <si>
    <t>IVA R./SOBLAS MARTIN, ISAAC</t>
  </si>
  <si>
    <t>2024000394</t>
  </si>
  <si>
    <t>IVA R./REQUENA SARRIA, ANTON</t>
  </si>
  <si>
    <t>IVA R./RABANAL MARTINEZ, PAB</t>
  </si>
  <si>
    <t>2024000396</t>
  </si>
  <si>
    <t>IVA R./MONTANA, TONI</t>
  </si>
  <si>
    <t>2024000397</t>
  </si>
  <si>
    <t>IVA R./GOMEZ, MARC</t>
  </si>
  <si>
    <t>2024000398</t>
  </si>
  <si>
    <t>IVA R./FLORES, JUAN MIGUEL</t>
  </si>
  <si>
    <t>2024000399</t>
  </si>
  <si>
    <t>IVA R./SOLER JANE, CARLES</t>
  </si>
  <si>
    <t>2024000400</t>
  </si>
  <si>
    <t>IVA R./DURA DIAZ, ISRAEL</t>
  </si>
  <si>
    <t>2024000401</t>
  </si>
  <si>
    <t>IVA R./LILLO GUIMERA, EMMA</t>
  </si>
  <si>
    <t>2024000402</t>
  </si>
  <si>
    <t>IVA R./REINADO ORDONEZ, SERG</t>
  </si>
  <si>
    <t>2024000403</t>
  </si>
  <si>
    <t>IVA R./AVILA, MARIO</t>
  </si>
  <si>
    <t>2024000404</t>
  </si>
  <si>
    <t>2024000405</t>
  </si>
  <si>
    <t>2024000406</t>
  </si>
  <si>
    <t>IVA R./LAURA</t>
  </si>
  <si>
    <t>2024000407</t>
  </si>
  <si>
    <t>IVA R./GUILLEN, WERNER</t>
  </si>
  <si>
    <t>2024000409</t>
  </si>
  <si>
    <t>2024000410</t>
  </si>
  <si>
    <t>IVA R./BALDRIS, ELIAS</t>
  </si>
  <si>
    <t>2024000411</t>
  </si>
  <si>
    <t>2024000413</t>
  </si>
  <si>
    <t>IVA R./ROJAS MOYA, JOSE</t>
  </si>
  <si>
    <t>2024000415</t>
  </si>
  <si>
    <t>IVA R./INTERIORISME CASAS, S</t>
  </si>
  <si>
    <t>2024000416</t>
  </si>
  <si>
    <t>2024000418</t>
  </si>
  <si>
    <t>IVA R./SERRA, ALEIX</t>
  </si>
  <si>
    <t>2024000417</t>
  </si>
  <si>
    <t>IVA R./ARIZA, FRANCISCO</t>
  </si>
  <si>
    <t>2024000419</t>
  </si>
  <si>
    <t>IVA R./VIDAL, AMADEU</t>
  </si>
  <si>
    <t>2024000420</t>
  </si>
  <si>
    <t>IVA R./VICARIO, SONIA</t>
  </si>
  <si>
    <t>2024000421</t>
  </si>
  <si>
    <t>IVA R./NABIL</t>
  </si>
  <si>
    <t>IVA R./PALLARES, ALBERTO</t>
  </si>
  <si>
    <t>2024000423</t>
  </si>
  <si>
    <t>2024000424</t>
  </si>
  <si>
    <t>2024000425</t>
  </si>
  <si>
    <t>IVA R./FABREGAT TAPIAS, RAMO</t>
  </si>
  <si>
    <t>2024000426</t>
  </si>
  <si>
    <t>IVA R./GODOY BUENO, DANIEL</t>
  </si>
  <si>
    <t>2024000427</t>
  </si>
  <si>
    <t>IVA R./CORNELLAS ILLA, JORDI</t>
  </si>
  <si>
    <t>2024000432</t>
  </si>
  <si>
    <t>2024000433</t>
  </si>
  <si>
    <t>IVA R./GARCIA PEREZ, SILVIA</t>
  </si>
  <si>
    <t>2024000434</t>
  </si>
  <si>
    <t>2024000435</t>
  </si>
  <si>
    <t>2024000436</t>
  </si>
  <si>
    <t>IVA R./REMM MULTIMARCA, SL</t>
  </si>
  <si>
    <t>2024000428</t>
  </si>
  <si>
    <t>2024000429</t>
  </si>
  <si>
    <t>2024000430</t>
  </si>
  <si>
    <t>2024000438</t>
  </si>
  <si>
    <t>IVA R./NASSIRI, MOHAMED</t>
  </si>
  <si>
    <t>2024000439</t>
  </si>
  <si>
    <t>2024000440</t>
  </si>
  <si>
    <t>IVA R./SORRIBUS, EDUARDO</t>
  </si>
  <si>
    <t>2024000442</t>
  </si>
  <si>
    <t>2024000443</t>
  </si>
  <si>
    <t>2024000444</t>
  </si>
  <si>
    <t>IVA R./SANFILIPPO, MAURICIO</t>
  </si>
  <si>
    <t>2024000447</t>
  </si>
  <si>
    <t>IVA R./GARCIA, JAVIER</t>
  </si>
  <si>
    <t>IVA R./GOMEZ, CARLOS</t>
  </si>
  <si>
    <t>2024000449</t>
  </si>
  <si>
    <t>PARTIDAS PENDIENTES DE APLICAC</t>
  </si>
  <si>
    <t>Ignacio maria martin</t>
  </si>
  <si>
    <t>INGRESO CAJERO audi peugeot</t>
  </si>
  <si>
    <t>DESGUACES</t>
  </si>
  <si>
    <t>MIQUEL ANGEL PAR.</t>
  </si>
  <si>
    <t>ITV SANT FRUITOS</t>
  </si>
  <si>
    <t>Bmw audi focus c4 cordobacli</t>
  </si>
  <si>
    <t>DISPRONE S.L.</t>
  </si>
  <si>
    <t>Action 6008</t>
  </si>
  <si>
    <t>Xfera Móviles</t>
  </si>
  <si>
    <t>MOTO2, SERENA, ATOS, CLIO, P</t>
  </si>
  <si>
    <t>TRINIDAD FERNANDEZ TORO</t>
  </si>
  <si>
    <t>C4, LEON, MITSU,GETZ,DACIA,M</t>
  </si>
  <si>
    <t>TERRANEA</t>
  </si>
  <si>
    <t>Xfera Moviles</t>
  </si>
  <si>
    <t>TURBO NOROESTE</t>
  </si>
  <si>
    <t>OLESA DE MONTSERR</t>
  </si>
  <si>
    <t>DIAGNOSTIC CENTER</t>
  </si>
  <si>
    <t>Alejandro Penuela Cidoncha</t>
  </si>
  <si>
    <t>SANPUMBMMOTOSKOCADA3C4376</t>
  </si>
  <si>
    <t>UAB ATOMIS</t>
  </si>
  <si>
    <t>ON 363627027 1003</t>
  </si>
  <si>
    <t>400-401</t>
  </si>
  <si>
    <t>Pantalones Wurth</t>
  </si>
  <si>
    <t>RECTIFICADORA LLOBREGAT, SA</t>
  </si>
  <si>
    <t>CURSOS DE FORMACION</t>
  </si>
  <si>
    <t>BARBARROJA STICKE</t>
  </si>
  <si>
    <t>ES BONAREA OLESA</t>
  </si>
  <si>
    <t>SUMHIFLEX, S.L.</t>
  </si>
  <si>
    <t>OVOKO.ES</t>
  </si>
  <si>
    <t>ANTONIO MADRID CA</t>
  </si>
  <si>
    <t>OLESA MONTSERRAT</t>
  </si>
  <si>
    <t>DESGUACES LA TORR</t>
  </si>
  <si>
    <t>ON 363627027 0104</t>
  </si>
  <si>
    <t>ON 363627027 0804</t>
  </si>
  <si>
    <t>Cidoncha castillo, justo</t>
  </si>
  <si>
    <t>458-464-465-mauricio</t>
  </si>
  <si>
    <t>Yoigo</t>
  </si>
  <si>
    <t>Cuentas corrientes.</t>
  </si>
  <si>
    <t>Empresa: ALTO OCTANAJE 108, SL</t>
  </si>
  <si>
    <t>Período: de 01/01/2025 a 31/12/2025</t>
  </si>
  <si>
    <t>Fecha: 02/06/2025</t>
  </si>
  <si>
    <t>PROVEEDORES</t>
  </si>
  <si>
    <t>OTRAS CUENTAS</t>
  </si>
  <si>
    <t>CLIENTES</t>
  </si>
  <si>
    <t>FALTA FACTURA</t>
  </si>
  <si>
    <t>FALTA COBRO</t>
  </si>
  <si>
    <t>COBRADA 2 VECES</t>
  </si>
  <si>
    <t>FALTA PAGO</t>
  </si>
  <si>
    <t>PAGADO DE MAS</t>
  </si>
  <si>
    <t>AD BOSCH RECANV_FAB24055435_</t>
  </si>
  <si>
    <t>AB24055435</t>
  </si>
  <si>
    <t>AD BOSCH RECANV_FAB24058666_</t>
  </si>
  <si>
    <t>AD BOSCH RECANV_FAB24060677_</t>
  </si>
  <si>
    <t>AD BOSCH RECANV_FAB24063811_</t>
  </si>
  <si>
    <t>23 giros de 170,83 + final 170,91</t>
  </si>
  <si>
    <t>6 giros de 209,33</t>
  </si>
  <si>
    <t>FALTA ABRIL</t>
  </si>
  <si>
    <t>7 DE 146,93</t>
  </si>
  <si>
    <t>arreglado 2t</t>
  </si>
  <si>
    <t>COBRADO DE MAS</t>
  </si>
  <si>
    <t>LOS 140,18 LO HAN PAGADO ELLOS DE SUS CUENTAS</t>
  </si>
  <si>
    <t>arreglar eva</t>
  </si>
  <si>
    <t>A QUE FACTURA PERTENECE?</t>
  </si>
  <si>
    <t>A QUE CORRESPONDE?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</si>
</sst>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00000"/>
    <numFmt numFmtId="165" formatCode="dd/mm/yyyy;dd/mm/yyyy;"/>
    <numFmt numFmtId="166" formatCode="#,##0.00;[Red]\-#,##0.00;0"/>
    <numFmt numFmtId="167" formatCode="#,##0.00_ ;[Red]\-#,##0.00\ "/>
    <numFmt numFmtId="170" formatCode="d/m/yy;@"/>
  </numFmts>
  <fonts count="6" x14ac:knownFonts="1">
    <font>
      <sz val="11"/>
      <color theme="1"/>
      <name val="Calibri"/>
      <family val="2"/>
    </font>
    <font>
      <b/>
      <i/>
      <sz val="18"/>
      <color theme="1"/>
      <name val="Arial"/>
      <family val="2"/>
    </font>
    <font>
      <b/>
      <sz val="11"/>
      <color theme="1"/>
      <name val="Calibri"/>
      <family val="2"/>
    </font>
    <font>
      <i/>
      <sz val="10"/>
      <color theme="1"/>
      <name val="Arial"/>
      <family val="2"/>
    </font>
    <font>
      <b/>
      <sz val="48"/>
      <color theme="1"/>
      <name val="Calibri"/>
      <family val="2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C0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51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right"/>
    </xf>
    <xf numFmtId="0" fontId="2" fillId="0" borderId="0" xfId="0" applyFont="1"/>
    <xf numFmtId="164" fontId="2" fillId="3" borderId="0" xfId="0" applyNumberFormat="1" applyFont="1" applyFill="1"/>
    <xf numFmtId="0" fontId="2" fillId="3" borderId="0" xfId="0" applyFont="1" applyFill="1"/>
    <xf numFmtId="0" fontId="0" fillId="3" borderId="0" xfId="0" applyFill="1"/>
    <xf numFmtId="166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0" fontId="0" fillId="0" borderId="0" xfId="0" quotePrefix="1" applyAlignment="1">
      <alignment horizontal="left"/>
    </xf>
    <xf numFmtId="164" fontId="0" fillId="0" borderId="0" xfId="0" applyNumberFormat="1"/>
    <xf numFmtId="0" fontId="1" fillId="0" borderId="0" xfId="0" applyFont="1" applyAlignment="1">
      <alignment horizontal="left"/>
    </xf>
    <xf numFmtId="166" fontId="0" fillId="4" borderId="0" xfId="0" applyNumberFormat="1" applyFill="1"/>
    <xf numFmtId="164" fontId="2" fillId="5" borderId="0" xfId="0" applyNumberFormat="1" applyFont="1" applyFill="1"/>
    <xf numFmtId="166" fontId="0" fillId="5" borderId="0" xfId="0" applyNumberFormat="1" applyFill="1"/>
    <xf numFmtId="0" fontId="0" fillId="5" borderId="0" xfId="0" applyFill="1"/>
    <xf numFmtId="0" fontId="0" fillId="5" borderId="0" xfId="0" applyFill="1" applyAlignment="1">
      <alignment horizontal="center"/>
    </xf>
    <xf numFmtId="165" fontId="0" fillId="5" borderId="0" xfId="0" applyNumberFormat="1" applyFill="1"/>
    <xf numFmtId="0" fontId="0" fillId="5" borderId="0" xfId="0" quotePrefix="1" applyFill="1" applyAlignment="1">
      <alignment horizontal="left"/>
    </xf>
    <xf numFmtId="164" fontId="0" fillId="5" borderId="0" xfId="0" applyNumberFormat="1" applyFill="1"/>
    <xf numFmtId="0" fontId="4" fillId="4" borderId="2" xfId="0" applyFont="1" applyFill="1" applyBorder="1" applyAlignment="1">
      <alignment horizontal="center" vertical="center"/>
    </xf>
    <xf numFmtId="164" fontId="2" fillId="6" borderId="0" xfId="0" applyNumberFormat="1" applyFont="1" applyFill="1"/>
    <xf numFmtId="166" fontId="0" fillId="7" borderId="0" xfId="0" applyNumberFormat="1" applyFill="1"/>
    <xf numFmtId="164" fontId="2" fillId="7" borderId="0" xfId="0" applyNumberFormat="1" applyFont="1" applyFill="1"/>
    <xf numFmtId="167" fontId="2" fillId="7" borderId="0" xfId="0" applyNumberFormat="1" applyFont="1" applyFill="1"/>
    <xf numFmtId="165" fontId="0" fillId="8" borderId="0" xfId="0" applyNumberFormat="1" applyFill="1"/>
    <xf numFmtId="0" fontId="0" fillId="8" borderId="0" xfId="0" applyFill="1"/>
    <xf numFmtId="0" fontId="0" fillId="8" borderId="0" xfId="0" quotePrefix="1" applyFill="1" applyAlignment="1">
      <alignment horizontal="left"/>
    </xf>
    <xf numFmtId="166" fontId="0" fillId="8" borderId="0" xfId="0" applyNumberFormat="1" applyFill="1"/>
    <xf numFmtId="43" fontId="0" fillId="0" borderId="0" xfId="1" applyFont="1"/>
    <xf numFmtId="0" fontId="2" fillId="5" borderId="0" xfId="0" applyFont="1" applyFill="1"/>
    <xf numFmtId="166" fontId="0" fillId="6" borderId="0" xfId="0" applyNumberFormat="1" applyFill="1"/>
    <xf numFmtId="166" fontId="0" fillId="9" borderId="0" xfId="0" applyNumberFormat="1" applyFill="1"/>
    <xf numFmtId="167" fontId="0" fillId="9" borderId="0" xfId="0" applyNumberFormat="1" applyFill="1"/>
    <xf numFmtId="166" fontId="0" fillId="10" borderId="0" xfId="0" applyNumberFormat="1" applyFill="1"/>
    <xf numFmtId="164" fontId="2" fillId="9" borderId="0" xfId="0" applyNumberFormat="1" applyFont="1" applyFill="1"/>
    <xf numFmtId="167" fontId="2" fillId="9" borderId="0" xfId="0" applyNumberFormat="1" applyFont="1" applyFill="1"/>
    <xf numFmtId="164" fontId="2" fillId="10" borderId="0" xfId="0" applyNumberFormat="1" applyFont="1" applyFill="1"/>
    <xf numFmtId="167" fontId="2" fillId="10" borderId="0" xfId="0" applyNumberFormat="1" applyFont="1" applyFill="1"/>
    <xf numFmtId="166" fontId="0" fillId="11" borderId="0" xfId="0" applyNumberFormat="1" applyFill="1"/>
    <xf numFmtId="170" fontId="0" fillId="11" borderId="0" xfId="1" applyNumberFormat="1" applyFont="1" applyFill="1"/>
    <xf numFmtId="166" fontId="0" fillId="12" borderId="0" xfId="0" applyNumberFormat="1" applyFill="1"/>
    <xf numFmtId="43" fontId="0" fillId="12" borderId="0" xfId="1" applyFont="1" applyFill="1"/>
    <xf numFmtId="167" fontId="2" fillId="12" borderId="0" xfId="0" applyNumberFormat="1" applyFont="1" applyFill="1"/>
    <xf numFmtId="0" fontId="2" fillId="12" borderId="0" xfId="0" applyFont="1" applyFill="1"/>
    <xf numFmtId="0" fontId="2" fillId="9" borderId="0" xfId="0" applyFont="1" applyFill="1"/>
    <xf numFmtId="164" fontId="2" fillId="13" borderId="0" xfId="0" applyNumberFormat="1" applyFont="1" applyFill="1"/>
    <xf numFmtId="0" fontId="2" fillId="13" borderId="0" xfId="0" applyFont="1" applyFill="1"/>
    <xf numFmtId="0" fontId="2" fillId="7" borderId="0" xfId="0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052BF-97A1-4DEE-89B5-08F5B82EC91E}">
  <sheetPr>
    <pageSetUpPr fitToPage="1"/>
  </sheetPr>
  <dimension ref="A1:L193"/>
  <sheetViews>
    <sheetView tabSelected="1" topLeftCell="A8" workbookViewId="0">
      <pane xSplit="2" topLeftCell="C1" activePane="topRight" state="frozen"/>
      <selection pane="topRight" activeCell="K83" sqref="K83"/>
    </sheetView>
  </sheetViews>
  <sheetFormatPr baseColWidth="10" defaultColWidth="9.140625" defaultRowHeight="15" x14ac:dyDescent="0.25"/>
  <cols>
    <col min="1" max="1" width="9.28515625" customWidth="1"/>
    <col min="2" max="2" width="33.7109375" customWidth="1"/>
    <col min="3" max="3" width="5.7109375" customWidth="1"/>
    <col min="4" max="4" width="11" customWidth="1"/>
    <col min="5" max="5" width="31.5703125" customWidth="1"/>
    <col min="6" max="6" width="11.7109375" customWidth="1"/>
    <col min="7" max="8" width="9.140625" bestFit="1" customWidth="1"/>
    <col min="9" max="9" width="9.85546875" hidden="1" customWidth="1"/>
    <col min="10" max="10" width="15.5703125" customWidth="1"/>
  </cols>
  <sheetData>
    <row r="1" spans="1:10" ht="23.25" x14ac:dyDescent="0.35">
      <c r="A1" s="13" t="s">
        <v>748</v>
      </c>
    </row>
    <row r="3" spans="1:10" x14ac:dyDescent="0.25">
      <c r="A3" s="4" t="s">
        <v>749</v>
      </c>
    </row>
    <row r="4" spans="1:10" x14ac:dyDescent="0.25">
      <c r="A4" s="4" t="s">
        <v>750</v>
      </c>
    </row>
    <row r="5" spans="1:10" x14ac:dyDescent="0.25">
      <c r="A5" s="4" t="s">
        <v>751</v>
      </c>
    </row>
    <row r="7" spans="1:10" ht="16.5" thickTop="1" thickBot="1" x14ac:dyDescent="0.3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3" t="s">
        <v>6</v>
      </c>
      <c r="H7" s="3" t="s">
        <v>7</v>
      </c>
      <c r="I7" s="3" t="s">
        <v>8</v>
      </c>
      <c r="J7" s="2"/>
    </row>
    <row r="8" spans="1:10" ht="45.75" customHeight="1" thickTop="1" x14ac:dyDescent="0.25">
      <c r="A8" s="22" t="s">
        <v>752</v>
      </c>
      <c r="B8" s="22"/>
      <c r="C8" s="22"/>
      <c r="D8" s="22"/>
      <c r="E8" s="22"/>
      <c r="F8" s="22"/>
      <c r="G8" s="22"/>
      <c r="H8" s="22"/>
      <c r="I8" s="22"/>
      <c r="J8" s="22"/>
    </row>
    <row r="9" spans="1:10" hidden="1" x14ac:dyDescent="0.25">
      <c r="A9" s="5">
        <v>40000002</v>
      </c>
      <c r="B9" s="6" t="s">
        <v>9</v>
      </c>
      <c r="C9" s="7"/>
      <c r="D9" s="7"/>
      <c r="E9" s="7"/>
      <c r="F9" s="7"/>
      <c r="G9" s="7"/>
      <c r="H9" s="7"/>
      <c r="I9" s="7"/>
      <c r="J9" s="7"/>
    </row>
    <row r="10" spans="1:10" hidden="1" x14ac:dyDescent="0.25">
      <c r="E10" s="4" t="s">
        <v>10</v>
      </c>
      <c r="G10" s="8">
        <v>0</v>
      </c>
      <c r="H10" s="8">
        <v>844.34</v>
      </c>
      <c r="I10" s="8">
        <f>G10-H10</f>
        <v>-844.34</v>
      </c>
    </row>
    <row r="11" spans="1:10" hidden="1" x14ac:dyDescent="0.25">
      <c r="C11" s="9"/>
      <c r="D11" s="10">
        <v>45658</v>
      </c>
      <c r="E11" t="s">
        <v>11</v>
      </c>
      <c r="F11" s="11" t="s">
        <v>12</v>
      </c>
      <c r="G11" s="8">
        <v>0</v>
      </c>
      <c r="H11" s="8">
        <v>1398.88</v>
      </c>
      <c r="I11" s="8">
        <f t="shared" ref="I11:I24" si="0">G11-H11+I10</f>
        <v>-2243.2200000000003</v>
      </c>
      <c r="J11" s="12"/>
    </row>
    <row r="12" spans="1:10" hidden="1" x14ac:dyDescent="0.25">
      <c r="C12" s="9" t="s">
        <v>13</v>
      </c>
      <c r="D12" s="10">
        <v>45671</v>
      </c>
      <c r="E12" t="s">
        <v>14</v>
      </c>
      <c r="F12" s="11" t="s">
        <v>15</v>
      </c>
      <c r="G12" s="8">
        <v>1245.22</v>
      </c>
      <c r="H12" s="8">
        <v>0</v>
      </c>
      <c r="I12" s="8">
        <f t="shared" si="0"/>
        <v>-998.00000000000023</v>
      </c>
      <c r="J12" s="12"/>
    </row>
    <row r="13" spans="1:10" hidden="1" x14ac:dyDescent="0.25">
      <c r="C13" s="9"/>
      <c r="D13" s="10">
        <v>45672</v>
      </c>
      <c r="E13" t="s">
        <v>16</v>
      </c>
      <c r="F13" s="11" t="s">
        <v>17</v>
      </c>
      <c r="G13" s="8">
        <v>0</v>
      </c>
      <c r="H13" s="8">
        <v>1327.19</v>
      </c>
      <c r="I13" s="8">
        <f t="shared" si="0"/>
        <v>-2325.1900000000005</v>
      </c>
      <c r="J13" s="12"/>
    </row>
    <row r="14" spans="1:10" hidden="1" x14ac:dyDescent="0.25">
      <c r="C14" s="9" t="s">
        <v>13</v>
      </c>
      <c r="D14" s="10">
        <v>45687</v>
      </c>
      <c r="E14" t="s">
        <v>18</v>
      </c>
      <c r="F14" s="11" t="s">
        <v>19</v>
      </c>
      <c r="G14" s="8">
        <v>998</v>
      </c>
      <c r="H14" s="8">
        <v>0</v>
      </c>
      <c r="I14" s="8">
        <f t="shared" si="0"/>
        <v>-1327.1900000000005</v>
      </c>
      <c r="J14" s="12"/>
    </row>
    <row r="15" spans="1:10" hidden="1" x14ac:dyDescent="0.25">
      <c r="C15" s="9"/>
      <c r="D15" s="10">
        <v>45688</v>
      </c>
      <c r="E15" t="s">
        <v>20</v>
      </c>
      <c r="F15" s="11" t="s">
        <v>21</v>
      </c>
      <c r="G15" s="8">
        <v>0</v>
      </c>
      <c r="H15" s="8">
        <v>1183.51</v>
      </c>
      <c r="I15" s="8">
        <f t="shared" si="0"/>
        <v>-2510.7000000000007</v>
      </c>
      <c r="J15" s="12"/>
    </row>
    <row r="16" spans="1:10" hidden="1" x14ac:dyDescent="0.25">
      <c r="C16" s="9" t="s">
        <v>13</v>
      </c>
      <c r="D16" s="10">
        <v>45702</v>
      </c>
      <c r="E16" t="s">
        <v>22</v>
      </c>
      <c r="F16" s="11" t="s">
        <v>17</v>
      </c>
      <c r="G16" s="8">
        <v>1327.19</v>
      </c>
      <c r="H16" s="8">
        <v>0</v>
      </c>
      <c r="I16" s="8">
        <f t="shared" si="0"/>
        <v>-1183.5100000000007</v>
      </c>
      <c r="J16" s="12"/>
    </row>
    <row r="17" spans="1:10" hidden="1" x14ac:dyDescent="0.25">
      <c r="C17" s="9"/>
      <c r="D17" s="10">
        <v>45703</v>
      </c>
      <c r="E17" t="s">
        <v>23</v>
      </c>
      <c r="F17" s="11" t="s">
        <v>24</v>
      </c>
      <c r="G17" s="8">
        <v>0</v>
      </c>
      <c r="H17" s="8">
        <v>1025.3499999999999</v>
      </c>
      <c r="I17" s="8">
        <f t="shared" si="0"/>
        <v>-2208.8600000000006</v>
      </c>
      <c r="J17" s="12"/>
    </row>
    <row r="18" spans="1:10" hidden="1" x14ac:dyDescent="0.25">
      <c r="C18" s="9"/>
      <c r="D18" s="10">
        <v>45716</v>
      </c>
      <c r="E18" t="s">
        <v>25</v>
      </c>
      <c r="F18" s="11" t="s">
        <v>26</v>
      </c>
      <c r="G18" s="8">
        <v>0</v>
      </c>
      <c r="H18" s="8">
        <v>316.37</v>
      </c>
      <c r="I18" s="8">
        <f t="shared" si="0"/>
        <v>-2525.2300000000005</v>
      </c>
      <c r="J18" s="12"/>
    </row>
    <row r="19" spans="1:10" hidden="1" x14ac:dyDescent="0.25">
      <c r="C19" s="9" t="s">
        <v>13</v>
      </c>
      <c r="D19" s="10">
        <v>45719</v>
      </c>
      <c r="E19" t="s">
        <v>27</v>
      </c>
      <c r="F19" s="11" t="s">
        <v>21</v>
      </c>
      <c r="G19" s="8">
        <v>1183.51</v>
      </c>
      <c r="H19" s="8">
        <v>0</v>
      </c>
      <c r="I19" s="8">
        <f t="shared" si="0"/>
        <v>-1341.7200000000005</v>
      </c>
      <c r="J19" s="12"/>
    </row>
    <row r="20" spans="1:10" hidden="1" x14ac:dyDescent="0.25">
      <c r="C20" s="9"/>
      <c r="D20" s="10">
        <v>45731</v>
      </c>
      <c r="E20" t="s">
        <v>28</v>
      </c>
      <c r="F20" s="11" t="s">
        <v>29</v>
      </c>
      <c r="G20" s="8">
        <v>0</v>
      </c>
      <c r="H20" s="8">
        <v>725.71</v>
      </c>
      <c r="I20" s="8">
        <f t="shared" si="0"/>
        <v>-2067.4300000000003</v>
      </c>
      <c r="J20" s="12"/>
    </row>
    <row r="21" spans="1:10" hidden="1" x14ac:dyDescent="0.25">
      <c r="C21" s="9" t="s">
        <v>13</v>
      </c>
      <c r="D21" s="10">
        <v>45733</v>
      </c>
      <c r="E21" t="s">
        <v>30</v>
      </c>
      <c r="F21" s="11" t="s">
        <v>24</v>
      </c>
      <c r="G21" s="8">
        <v>1025.3499999999999</v>
      </c>
      <c r="H21" s="8">
        <v>0</v>
      </c>
      <c r="I21" s="8">
        <f t="shared" si="0"/>
        <v>-1042.0800000000004</v>
      </c>
      <c r="J21" s="12"/>
    </row>
    <row r="22" spans="1:10" hidden="1" x14ac:dyDescent="0.25">
      <c r="C22" s="9"/>
      <c r="D22" s="10">
        <v>45747</v>
      </c>
      <c r="E22" t="s">
        <v>31</v>
      </c>
      <c r="F22" s="11" t="s">
        <v>32</v>
      </c>
      <c r="G22" s="8">
        <v>0</v>
      </c>
      <c r="H22" s="8">
        <v>477.64</v>
      </c>
      <c r="I22" s="8">
        <f t="shared" si="0"/>
        <v>-1519.7200000000003</v>
      </c>
      <c r="J22" s="12"/>
    </row>
    <row r="23" spans="1:10" hidden="1" x14ac:dyDescent="0.25">
      <c r="C23" s="9" t="s">
        <v>13</v>
      </c>
      <c r="D23" s="10">
        <v>45747</v>
      </c>
      <c r="E23" t="s">
        <v>33</v>
      </c>
      <c r="F23" s="11" t="s">
        <v>26</v>
      </c>
      <c r="G23" s="8">
        <v>316.37</v>
      </c>
      <c r="H23" s="8">
        <v>0</v>
      </c>
      <c r="I23" s="8">
        <f t="shared" si="0"/>
        <v>-1203.3500000000004</v>
      </c>
      <c r="J23" s="12"/>
    </row>
    <row r="24" spans="1:10" hidden="1" x14ac:dyDescent="0.25">
      <c r="C24" s="9" t="s">
        <v>13</v>
      </c>
      <c r="D24" s="10">
        <v>45761</v>
      </c>
      <c r="E24" t="s">
        <v>34</v>
      </c>
      <c r="F24" s="11" t="s">
        <v>29</v>
      </c>
      <c r="G24" s="8">
        <v>725.71</v>
      </c>
      <c r="H24" s="8">
        <v>0</v>
      </c>
      <c r="I24" s="8">
        <f t="shared" si="0"/>
        <v>-477.64000000000033</v>
      </c>
      <c r="J24" s="12"/>
    </row>
    <row r="25" spans="1:10" hidden="1" x14ac:dyDescent="0.25">
      <c r="E25" s="4" t="s">
        <v>35</v>
      </c>
      <c r="G25" s="8">
        <f>SUM(G10:G24)</f>
        <v>6821.35</v>
      </c>
      <c r="H25" s="8">
        <f>SUM(H10:H24)</f>
        <v>7298.9900000000007</v>
      </c>
      <c r="I25" s="8">
        <f>G25-H25</f>
        <v>-477.64000000000033</v>
      </c>
    </row>
    <row r="26" spans="1:10" hidden="1" x14ac:dyDescent="0.25"/>
    <row r="27" spans="1:10" ht="17.25" customHeight="1" x14ac:dyDescent="0.25">
      <c r="A27" s="5">
        <v>40000004</v>
      </c>
      <c r="B27" s="6" t="s">
        <v>36</v>
      </c>
      <c r="C27" s="7"/>
      <c r="D27" s="7"/>
      <c r="E27" s="7"/>
      <c r="F27" s="7"/>
      <c r="G27" s="7"/>
      <c r="H27" s="7"/>
      <c r="I27" s="7"/>
      <c r="J27" s="7"/>
    </row>
    <row r="28" spans="1:10" hidden="1" x14ac:dyDescent="0.25">
      <c r="C28" s="9"/>
      <c r="D28" s="27">
        <v>45611</v>
      </c>
      <c r="E28" s="28" t="s">
        <v>760</v>
      </c>
      <c r="F28" s="29" t="s">
        <v>761</v>
      </c>
      <c r="G28" s="30">
        <v>0</v>
      </c>
      <c r="H28" s="43">
        <v>1028.5</v>
      </c>
      <c r="I28" s="30">
        <f>I27+G28-H28</f>
        <v>-1028.5</v>
      </c>
      <c r="J28" s="44" t="s">
        <v>768</v>
      </c>
    </row>
    <row r="29" spans="1:10" hidden="1" x14ac:dyDescent="0.25">
      <c r="C29" s="9"/>
      <c r="D29" s="27">
        <v>45626</v>
      </c>
      <c r="E29" s="28" t="s">
        <v>762</v>
      </c>
      <c r="F29" s="29" t="s">
        <v>44</v>
      </c>
      <c r="G29" s="30">
        <v>0</v>
      </c>
      <c r="H29" s="24">
        <v>1487.72</v>
      </c>
      <c r="I29" s="30">
        <f t="shared" ref="I29:I34" si="1">I28+G29-H29</f>
        <v>-2516.2200000000003</v>
      </c>
      <c r="J29" s="12"/>
    </row>
    <row r="30" spans="1:10" x14ac:dyDescent="0.25">
      <c r="C30" s="9"/>
      <c r="D30" s="27">
        <v>45628</v>
      </c>
      <c r="E30" s="28" t="s">
        <v>41</v>
      </c>
      <c r="F30" s="29" t="s">
        <v>52</v>
      </c>
      <c r="G30" s="30">
        <v>209.33</v>
      </c>
      <c r="H30" s="30">
        <v>0</v>
      </c>
      <c r="I30" s="30">
        <f t="shared" si="1"/>
        <v>-2306.8900000000003</v>
      </c>
      <c r="J30" s="15" t="s">
        <v>755</v>
      </c>
    </row>
    <row r="31" spans="1:10" hidden="1" x14ac:dyDescent="0.25">
      <c r="C31" s="9"/>
      <c r="D31" s="27">
        <v>45641</v>
      </c>
      <c r="E31" s="28" t="s">
        <v>763</v>
      </c>
      <c r="F31" s="29" t="s">
        <v>46</v>
      </c>
      <c r="G31" s="30">
        <v>0</v>
      </c>
      <c r="H31" s="24">
        <v>1464.51</v>
      </c>
      <c r="I31" s="30">
        <f t="shared" si="1"/>
        <v>-3771.4000000000005</v>
      </c>
      <c r="J31" s="12"/>
    </row>
    <row r="32" spans="1:10" hidden="1" x14ac:dyDescent="0.25">
      <c r="C32" s="9"/>
      <c r="D32" s="27">
        <v>45642</v>
      </c>
      <c r="E32" s="28" t="s">
        <v>41</v>
      </c>
      <c r="F32" s="29" t="s">
        <v>52</v>
      </c>
      <c r="G32" s="43">
        <v>146.93</v>
      </c>
      <c r="H32" s="30">
        <v>0</v>
      </c>
      <c r="I32" s="30">
        <f t="shared" si="1"/>
        <v>-3624.4700000000007</v>
      </c>
      <c r="J32" s="12"/>
    </row>
    <row r="33" spans="3:12" x14ac:dyDescent="0.25">
      <c r="C33" s="9"/>
      <c r="D33" s="27">
        <v>45642</v>
      </c>
      <c r="E33" s="28" t="s">
        <v>41</v>
      </c>
      <c r="F33" s="29" t="s">
        <v>52</v>
      </c>
      <c r="G33" s="30">
        <v>861</v>
      </c>
      <c r="H33" s="30">
        <v>0</v>
      </c>
      <c r="I33" s="30">
        <f t="shared" si="1"/>
        <v>-2763.4700000000007</v>
      </c>
      <c r="J33" s="15" t="s">
        <v>755</v>
      </c>
    </row>
    <row r="34" spans="3:12" hidden="1" x14ac:dyDescent="0.25">
      <c r="C34" s="9"/>
      <c r="D34" s="27">
        <v>45657</v>
      </c>
      <c r="E34" s="28" t="s">
        <v>764</v>
      </c>
      <c r="F34" s="29" t="s">
        <v>52</v>
      </c>
      <c r="G34" s="30">
        <v>0</v>
      </c>
      <c r="H34" s="24">
        <v>770.31</v>
      </c>
      <c r="I34" s="30">
        <f t="shared" si="1"/>
        <v>-3533.7800000000007</v>
      </c>
      <c r="J34" s="12"/>
    </row>
    <row r="35" spans="3:12" hidden="1" x14ac:dyDescent="0.25">
      <c r="E35" s="4" t="s">
        <v>10</v>
      </c>
      <c r="G35" s="8">
        <v>0</v>
      </c>
      <c r="H35" s="8">
        <v>3533.78</v>
      </c>
      <c r="I35" s="8">
        <f>G35-H35</f>
        <v>-3533.78</v>
      </c>
    </row>
    <row r="36" spans="3:12" hidden="1" x14ac:dyDescent="0.25">
      <c r="C36" s="9"/>
      <c r="D36" s="10">
        <v>45658</v>
      </c>
      <c r="E36" t="s">
        <v>37</v>
      </c>
      <c r="F36" s="11" t="s">
        <v>38</v>
      </c>
      <c r="G36" s="8">
        <v>0</v>
      </c>
      <c r="H36" s="16">
        <v>4961</v>
      </c>
      <c r="I36" s="8">
        <f t="shared" ref="I36:I70" si="2">G36-H36+I35</f>
        <v>-8494.7800000000007</v>
      </c>
      <c r="J36" s="15" t="s">
        <v>765</v>
      </c>
      <c r="K36" s="32"/>
      <c r="L36" s="32"/>
    </row>
    <row r="37" spans="3:12" hidden="1" x14ac:dyDescent="0.25">
      <c r="C37" s="9"/>
      <c r="D37" s="10">
        <v>45658</v>
      </c>
      <c r="E37" t="s">
        <v>39</v>
      </c>
      <c r="F37" s="11" t="s">
        <v>40</v>
      </c>
      <c r="G37" s="8">
        <v>0</v>
      </c>
      <c r="H37" s="33">
        <v>1255.98</v>
      </c>
      <c r="I37" s="8">
        <f t="shared" si="2"/>
        <v>-9750.76</v>
      </c>
      <c r="J37" s="23" t="s">
        <v>766</v>
      </c>
    </row>
    <row r="38" spans="3:12" hidden="1" x14ac:dyDescent="0.25">
      <c r="C38" s="9" t="s">
        <v>13</v>
      </c>
      <c r="D38" s="10">
        <v>45658</v>
      </c>
      <c r="E38" t="s">
        <v>41</v>
      </c>
      <c r="F38" s="11" t="s">
        <v>42</v>
      </c>
      <c r="G38" s="33">
        <v>209.33</v>
      </c>
      <c r="H38" s="8">
        <v>0</v>
      </c>
      <c r="I38" s="8">
        <f t="shared" si="2"/>
        <v>-9541.43</v>
      </c>
      <c r="J38" s="12"/>
    </row>
    <row r="39" spans="3:12" hidden="1" x14ac:dyDescent="0.25">
      <c r="C39" s="9" t="s">
        <v>13</v>
      </c>
      <c r="D39" s="10">
        <v>45658</v>
      </c>
      <c r="E39" t="s">
        <v>43</v>
      </c>
      <c r="F39" s="11" t="s">
        <v>44</v>
      </c>
      <c r="G39" s="24">
        <v>1487.72</v>
      </c>
      <c r="H39" s="8">
        <v>0</v>
      </c>
      <c r="I39" s="8">
        <f t="shared" si="2"/>
        <v>-8053.71</v>
      </c>
      <c r="J39" s="12"/>
    </row>
    <row r="40" spans="3:12" hidden="1" x14ac:dyDescent="0.25">
      <c r="C40" s="9" t="s">
        <v>13</v>
      </c>
      <c r="D40" s="10">
        <v>45671</v>
      </c>
      <c r="E40" t="s">
        <v>41</v>
      </c>
      <c r="F40" s="11" t="s">
        <v>42</v>
      </c>
      <c r="G40" s="43">
        <v>146.93</v>
      </c>
      <c r="H40" s="8">
        <v>0</v>
      </c>
      <c r="I40" s="8">
        <f t="shared" si="2"/>
        <v>-7906.78</v>
      </c>
      <c r="J40" s="12"/>
    </row>
    <row r="41" spans="3:12" hidden="1" x14ac:dyDescent="0.25">
      <c r="C41" s="9" t="s">
        <v>13</v>
      </c>
      <c r="D41" s="10">
        <v>45671</v>
      </c>
      <c r="E41" t="s">
        <v>45</v>
      </c>
      <c r="F41" s="11" t="s">
        <v>46</v>
      </c>
      <c r="G41" s="43">
        <v>1464.51</v>
      </c>
      <c r="H41" s="8">
        <v>0</v>
      </c>
      <c r="I41" s="8">
        <f t="shared" si="2"/>
        <v>-6442.2699999999995</v>
      </c>
      <c r="J41" s="12"/>
    </row>
    <row r="42" spans="3:12" hidden="1" x14ac:dyDescent="0.25">
      <c r="C42" s="9"/>
      <c r="D42" s="10">
        <v>45672</v>
      </c>
      <c r="E42" t="s">
        <v>47</v>
      </c>
      <c r="F42" s="11" t="s">
        <v>42</v>
      </c>
      <c r="G42" s="43">
        <v>0</v>
      </c>
      <c r="H42" s="24">
        <v>1907.67</v>
      </c>
      <c r="I42" s="8">
        <f t="shared" si="2"/>
        <v>-8349.9399999999987</v>
      </c>
      <c r="J42" s="12"/>
    </row>
    <row r="43" spans="3:12" hidden="1" x14ac:dyDescent="0.25">
      <c r="C43" s="9" t="s">
        <v>13</v>
      </c>
      <c r="D43" s="10">
        <v>45672</v>
      </c>
      <c r="E43" t="s">
        <v>41</v>
      </c>
      <c r="F43" s="11" t="s">
        <v>42</v>
      </c>
      <c r="G43" s="43">
        <v>170.83</v>
      </c>
      <c r="H43" s="8">
        <v>0</v>
      </c>
      <c r="I43" s="8">
        <f t="shared" si="2"/>
        <v>-8179.1099999999988</v>
      </c>
      <c r="J43" s="12"/>
    </row>
    <row r="44" spans="3:12" hidden="1" x14ac:dyDescent="0.25">
      <c r="C44" s="9"/>
      <c r="D44" s="10">
        <v>45688</v>
      </c>
      <c r="E44" t="s">
        <v>48</v>
      </c>
      <c r="F44" s="11" t="s">
        <v>49</v>
      </c>
      <c r="G44" s="43">
        <v>0</v>
      </c>
      <c r="H44" s="24">
        <v>1618.88</v>
      </c>
      <c r="I44" s="8">
        <f t="shared" si="2"/>
        <v>-9797.989999999998</v>
      </c>
      <c r="J44" s="12"/>
    </row>
    <row r="45" spans="3:12" hidden="1" x14ac:dyDescent="0.25">
      <c r="C45" s="9" t="s">
        <v>13</v>
      </c>
      <c r="D45" s="10">
        <v>45689</v>
      </c>
      <c r="E45" t="s">
        <v>41</v>
      </c>
      <c r="F45" s="11" t="s">
        <v>50</v>
      </c>
      <c r="G45" s="43">
        <v>209.33</v>
      </c>
      <c r="H45" s="8">
        <v>0</v>
      </c>
      <c r="I45" s="8">
        <f t="shared" si="2"/>
        <v>-9588.659999999998</v>
      </c>
      <c r="J45" s="12"/>
    </row>
    <row r="46" spans="3:12" hidden="1" x14ac:dyDescent="0.25">
      <c r="C46" s="9" t="s">
        <v>13</v>
      </c>
      <c r="D46" s="10">
        <v>45689</v>
      </c>
      <c r="E46" t="s">
        <v>51</v>
      </c>
      <c r="F46" s="11" t="s">
        <v>52</v>
      </c>
      <c r="G46" s="43">
        <v>770.31</v>
      </c>
      <c r="H46" s="8">
        <v>0</v>
      </c>
      <c r="I46" s="8">
        <f t="shared" si="2"/>
        <v>-8818.3499999999985</v>
      </c>
      <c r="J46" s="12"/>
    </row>
    <row r="47" spans="3:12" hidden="1" x14ac:dyDescent="0.25">
      <c r="C47" s="9" t="s">
        <v>13</v>
      </c>
      <c r="D47" s="10">
        <v>45701</v>
      </c>
      <c r="E47" t="s">
        <v>41</v>
      </c>
      <c r="F47" s="11" t="s">
        <v>50</v>
      </c>
      <c r="G47" s="43">
        <v>146.93</v>
      </c>
      <c r="H47" s="8">
        <v>0</v>
      </c>
      <c r="I47" s="8">
        <f t="shared" si="2"/>
        <v>-8671.4199999999983</v>
      </c>
      <c r="J47" s="12"/>
    </row>
    <row r="48" spans="3:12" hidden="1" x14ac:dyDescent="0.25">
      <c r="C48" s="9" t="s">
        <v>13</v>
      </c>
      <c r="D48" s="10">
        <v>45702</v>
      </c>
      <c r="E48" t="s">
        <v>53</v>
      </c>
      <c r="F48" s="11" t="s">
        <v>42</v>
      </c>
      <c r="G48" s="24">
        <v>1907.67</v>
      </c>
      <c r="H48" s="8">
        <v>0</v>
      </c>
      <c r="I48" s="8">
        <f t="shared" si="2"/>
        <v>-6763.7499999999982</v>
      </c>
      <c r="J48" s="12"/>
    </row>
    <row r="49" spans="3:11" hidden="1" x14ac:dyDescent="0.25">
      <c r="C49" s="9"/>
      <c r="D49" s="10">
        <v>45703</v>
      </c>
      <c r="E49" t="s">
        <v>54</v>
      </c>
      <c r="F49" s="11" t="s">
        <v>55</v>
      </c>
      <c r="G49" s="8">
        <v>0</v>
      </c>
      <c r="H49" s="24">
        <v>1003.45</v>
      </c>
      <c r="I49" s="8">
        <f t="shared" si="2"/>
        <v>-7767.199999999998</v>
      </c>
      <c r="J49" s="12"/>
    </row>
    <row r="50" spans="3:11" hidden="1" x14ac:dyDescent="0.25">
      <c r="C50" s="9" t="s">
        <v>13</v>
      </c>
      <c r="D50" s="10">
        <v>45705</v>
      </c>
      <c r="E50" t="s">
        <v>41</v>
      </c>
      <c r="F50" s="11" t="s">
        <v>50</v>
      </c>
      <c r="G50" s="16">
        <v>170.83</v>
      </c>
      <c r="H50" s="8">
        <v>0</v>
      </c>
      <c r="I50" s="8">
        <f t="shared" si="2"/>
        <v>-7596.3699999999981</v>
      </c>
      <c r="J50" s="12"/>
    </row>
    <row r="51" spans="3:11" hidden="1" x14ac:dyDescent="0.25">
      <c r="C51" s="9"/>
      <c r="D51" s="10">
        <v>45716</v>
      </c>
      <c r="E51" t="s">
        <v>56</v>
      </c>
      <c r="F51" s="11" t="s">
        <v>57</v>
      </c>
      <c r="G51" s="8">
        <v>0</v>
      </c>
      <c r="H51" s="24">
        <v>1697.81</v>
      </c>
      <c r="I51" s="8">
        <f t="shared" si="2"/>
        <v>-9294.1799999999985</v>
      </c>
      <c r="J51" s="12"/>
    </row>
    <row r="52" spans="3:11" hidden="1" x14ac:dyDescent="0.25">
      <c r="C52" s="9"/>
      <c r="D52" s="10">
        <v>45716</v>
      </c>
      <c r="E52" t="s">
        <v>58</v>
      </c>
      <c r="F52" s="11" t="s">
        <v>59</v>
      </c>
      <c r="G52" s="8">
        <v>0</v>
      </c>
      <c r="H52" s="34">
        <v>1139.1099999999999</v>
      </c>
      <c r="I52" s="8">
        <f t="shared" si="2"/>
        <v>-10433.289999999999</v>
      </c>
      <c r="J52" s="37" t="s">
        <v>767</v>
      </c>
      <c r="K52" s="38">
        <f>G64-H52</f>
        <v>-569.54999999999995</v>
      </c>
    </row>
    <row r="53" spans="3:11" hidden="1" x14ac:dyDescent="0.25">
      <c r="C53" s="9"/>
      <c r="D53" s="10">
        <v>45716</v>
      </c>
      <c r="E53" t="s">
        <v>60</v>
      </c>
      <c r="F53" s="11" t="s">
        <v>61</v>
      </c>
      <c r="G53" s="8">
        <v>0</v>
      </c>
      <c r="H53" s="36">
        <v>1067.7</v>
      </c>
      <c r="I53" s="8">
        <f t="shared" si="2"/>
        <v>-11500.99</v>
      </c>
      <c r="J53" s="39" t="s">
        <v>767</v>
      </c>
      <c r="K53" s="40">
        <f>G63-H53</f>
        <v>-533.85</v>
      </c>
    </row>
    <row r="54" spans="3:11" hidden="1" x14ac:dyDescent="0.25">
      <c r="C54" s="9" t="s">
        <v>13</v>
      </c>
      <c r="D54" s="10">
        <v>45717</v>
      </c>
      <c r="E54" t="s">
        <v>41</v>
      </c>
      <c r="F54" s="11" t="s">
        <v>50</v>
      </c>
      <c r="G54" s="33">
        <v>209.33</v>
      </c>
      <c r="H54" s="8">
        <v>0</v>
      </c>
      <c r="I54" s="8">
        <f t="shared" si="2"/>
        <v>-11291.66</v>
      </c>
      <c r="J54" s="12"/>
    </row>
    <row r="55" spans="3:11" hidden="1" x14ac:dyDescent="0.25">
      <c r="C55" s="9" t="s">
        <v>13</v>
      </c>
      <c r="D55" s="10">
        <v>45717</v>
      </c>
      <c r="E55" t="s">
        <v>62</v>
      </c>
      <c r="F55" s="11" t="s">
        <v>49</v>
      </c>
      <c r="G55" s="24">
        <v>1618.88</v>
      </c>
      <c r="H55" s="8">
        <v>0</v>
      </c>
      <c r="I55" s="8">
        <f t="shared" si="2"/>
        <v>-9672.7799999999988</v>
      </c>
      <c r="J55" s="12"/>
    </row>
    <row r="56" spans="3:11" x14ac:dyDescent="0.25">
      <c r="C56" s="9"/>
      <c r="D56" s="10">
        <v>45728</v>
      </c>
      <c r="E56" t="s">
        <v>41</v>
      </c>
      <c r="F56" s="11" t="s">
        <v>50</v>
      </c>
      <c r="G56" s="8">
        <v>960.59</v>
      </c>
      <c r="H56" s="8">
        <v>0</v>
      </c>
      <c r="I56" s="8">
        <f t="shared" si="2"/>
        <v>-8712.1899999999987</v>
      </c>
      <c r="J56" s="15" t="s">
        <v>755</v>
      </c>
    </row>
    <row r="57" spans="3:11" hidden="1" x14ac:dyDescent="0.25">
      <c r="C57" s="9"/>
      <c r="D57" s="10">
        <v>45731</v>
      </c>
      <c r="E57" t="s">
        <v>63</v>
      </c>
      <c r="F57" s="11" t="s">
        <v>64</v>
      </c>
      <c r="G57" s="8">
        <v>0</v>
      </c>
      <c r="H57" s="24">
        <v>2247.4299999999998</v>
      </c>
      <c r="I57" s="8">
        <f t="shared" si="2"/>
        <v>-10959.619999999999</v>
      </c>
      <c r="J57" s="12"/>
    </row>
    <row r="58" spans="3:11" hidden="1" x14ac:dyDescent="0.25">
      <c r="C58" s="9" t="s">
        <v>13</v>
      </c>
      <c r="D58" s="10">
        <v>45733</v>
      </c>
      <c r="E58" t="s">
        <v>41</v>
      </c>
      <c r="F58" s="11" t="s">
        <v>50</v>
      </c>
      <c r="G58" s="43">
        <v>146.93</v>
      </c>
      <c r="H58" s="8">
        <v>0</v>
      </c>
      <c r="I58" s="8">
        <f t="shared" si="2"/>
        <v>-10812.689999999999</v>
      </c>
      <c r="J58" s="12"/>
    </row>
    <row r="59" spans="3:11" hidden="1" x14ac:dyDescent="0.25">
      <c r="C59" s="9" t="s">
        <v>13</v>
      </c>
      <c r="D59" s="10">
        <v>45733</v>
      </c>
      <c r="E59" t="s">
        <v>41</v>
      </c>
      <c r="F59" s="11" t="s">
        <v>50</v>
      </c>
      <c r="G59" s="43">
        <v>170.83</v>
      </c>
      <c r="H59" s="8">
        <v>0</v>
      </c>
      <c r="I59" s="8">
        <f t="shared" si="2"/>
        <v>-10641.859999999999</v>
      </c>
      <c r="J59" s="12"/>
    </row>
    <row r="60" spans="3:11" hidden="1" x14ac:dyDescent="0.25">
      <c r="C60" s="9" t="s">
        <v>13</v>
      </c>
      <c r="D60" s="10">
        <v>45733</v>
      </c>
      <c r="E60" t="s">
        <v>65</v>
      </c>
      <c r="F60" s="11" t="s">
        <v>55</v>
      </c>
      <c r="G60" s="43">
        <v>1003.45</v>
      </c>
      <c r="H60" s="8">
        <v>0</v>
      </c>
      <c r="I60" s="8">
        <f t="shared" si="2"/>
        <v>-9638.409999999998</v>
      </c>
      <c r="J60" s="12"/>
    </row>
    <row r="61" spans="3:11" hidden="1" x14ac:dyDescent="0.25">
      <c r="C61" s="9"/>
      <c r="D61" s="10">
        <v>45747</v>
      </c>
      <c r="E61" t="s">
        <v>66</v>
      </c>
      <c r="F61" s="11" t="s">
        <v>67</v>
      </c>
      <c r="G61" s="43">
        <v>0</v>
      </c>
      <c r="H61" s="41">
        <v>2119.87</v>
      </c>
      <c r="I61" s="8">
        <f t="shared" si="2"/>
        <v>-11758.279999999999</v>
      </c>
      <c r="J61" s="42">
        <v>45777</v>
      </c>
    </row>
    <row r="62" spans="3:11" hidden="1" x14ac:dyDescent="0.25">
      <c r="C62" s="9" t="s">
        <v>13</v>
      </c>
      <c r="D62" s="10">
        <v>45748</v>
      </c>
      <c r="E62" t="s">
        <v>41</v>
      </c>
      <c r="F62" s="11" t="s">
        <v>50</v>
      </c>
      <c r="G62" s="43">
        <v>209.33</v>
      </c>
      <c r="H62" s="8">
        <v>0</v>
      </c>
      <c r="I62" s="8">
        <f t="shared" si="2"/>
        <v>-11548.949999999999</v>
      </c>
      <c r="J62" s="12"/>
    </row>
    <row r="63" spans="3:11" hidden="1" x14ac:dyDescent="0.25">
      <c r="C63" s="9" t="s">
        <v>13</v>
      </c>
      <c r="D63" s="10">
        <v>45748</v>
      </c>
      <c r="E63" t="s">
        <v>41</v>
      </c>
      <c r="F63" s="11" t="s">
        <v>50</v>
      </c>
      <c r="G63" s="43">
        <v>533.85</v>
      </c>
      <c r="H63" s="8">
        <v>0</v>
      </c>
      <c r="I63" s="8">
        <f t="shared" si="2"/>
        <v>-11015.099999999999</v>
      </c>
      <c r="J63" s="12"/>
    </row>
    <row r="64" spans="3:11" hidden="1" x14ac:dyDescent="0.25">
      <c r="C64" s="9" t="s">
        <v>13</v>
      </c>
      <c r="D64" s="10">
        <v>45748</v>
      </c>
      <c r="E64" t="s">
        <v>41</v>
      </c>
      <c r="F64" s="11" t="s">
        <v>50</v>
      </c>
      <c r="G64" s="43">
        <v>569.55999999999995</v>
      </c>
      <c r="H64" s="8">
        <v>0</v>
      </c>
      <c r="I64" s="8">
        <f t="shared" si="2"/>
        <v>-10445.539999999999</v>
      </c>
      <c r="J64" s="12"/>
    </row>
    <row r="65" spans="1:10" hidden="1" x14ac:dyDescent="0.25">
      <c r="C65" s="9" t="s">
        <v>13</v>
      </c>
      <c r="D65" s="10">
        <v>45748</v>
      </c>
      <c r="E65" t="s">
        <v>68</v>
      </c>
      <c r="F65" s="11" t="s">
        <v>57</v>
      </c>
      <c r="G65" s="43">
        <v>1697.81</v>
      </c>
      <c r="H65" s="8">
        <v>0</v>
      </c>
      <c r="I65" s="8">
        <f t="shared" si="2"/>
        <v>-8747.73</v>
      </c>
      <c r="J65" s="12"/>
    </row>
    <row r="66" spans="1:10" hidden="1" x14ac:dyDescent="0.25">
      <c r="C66" s="9" t="s">
        <v>13</v>
      </c>
      <c r="D66" s="10">
        <v>45761</v>
      </c>
      <c r="E66" t="s">
        <v>41</v>
      </c>
      <c r="F66" s="11" t="s">
        <v>50</v>
      </c>
      <c r="G66" s="43">
        <v>146.93</v>
      </c>
      <c r="H66" s="8">
        <v>0</v>
      </c>
      <c r="I66" s="8">
        <f t="shared" si="2"/>
        <v>-8600.7999999999993</v>
      </c>
      <c r="J66" s="12"/>
    </row>
    <row r="67" spans="1:10" hidden="1" x14ac:dyDescent="0.25">
      <c r="C67" s="9"/>
      <c r="D67" s="10">
        <v>45761</v>
      </c>
      <c r="E67" t="s">
        <v>41</v>
      </c>
      <c r="F67" s="11" t="s">
        <v>50</v>
      </c>
      <c r="G67" s="8">
        <v>381.19</v>
      </c>
      <c r="H67" s="8">
        <v>0</v>
      </c>
      <c r="I67" s="8">
        <f t="shared" si="2"/>
        <v>-8219.6099999999988</v>
      </c>
      <c r="J67" s="15" t="s">
        <v>755</v>
      </c>
    </row>
    <row r="68" spans="1:10" hidden="1" x14ac:dyDescent="0.25">
      <c r="C68" s="9"/>
      <c r="D68" s="10">
        <v>45761</v>
      </c>
      <c r="E68" t="s">
        <v>69</v>
      </c>
      <c r="F68" s="11" t="s">
        <v>64</v>
      </c>
      <c r="G68" s="24">
        <v>2247.4299999999998</v>
      </c>
      <c r="H68" s="8">
        <v>0</v>
      </c>
      <c r="I68" s="8">
        <f t="shared" si="2"/>
        <v>-5972.1799999999985</v>
      </c>
      <c r="J68" s="12"/>
    </row>
    <row r="69" spans="1:10" hidden="1" x14ac:dyDescent="0.25">
      <c r="C69" s="9"/>
      <c r="D69" s="10">
        <v>45762</v>
      </c>
      <c r="E69" t="s">
        <v>41</v>
      </c>
      <c r="F69" s="11" t="s">
        <v>50</v>
      </c>
      <c r="G69" s="16">
        <v>170.83</v>
      </c>
      <c r="H69" s="8">
        <v>0</v>
      </c>
      <c r="I69" s="8">
        <f t="shared" si="2"/>
        <v>-5801.3499999999985</v>
      </c>
      <c r="J69" s="12"/>
    </row>
    <row r="70" spans="1:10" hidden="1" x14ac:dyDescent="0.25">
      <c r="C70" s="9"/>
      <c r="D70" s="10">
        <v>45762</v>
      </c>
      <c r="E70" t="s">
        <v>41</v>
      </c>
      <c r="F70" s="11" t="s">
        <v>50</v>
      </c>
      <c r="G70" s="8">
        <v>703.5</v>
      </c>
      <c r="H70" s="8">
        <v>0</v>
      </c>
      <c r="I70" s="8">
        <f t="shared" si="2"/>
        <v>-5097.8499999999985</v>
      </c>
      <c r="J70" s="15" t="s">
        <v>755</v>
      </c>
    </row>
    <row r="71" spans="1:10" hidden="1" x14ac:dyDescent="0.25">
      <c r="E71" s="4" t="s">
        <v>35</v>
      </c>
      <c r="G71" s="8">
        <f>SUM(G35:G70)</f>
        <v>17454.830000000002</v>
      </c>
      <c r="H71" s="8">
        <f>SUM(H35:H70)</f>
        <v>22552.68</v>
      </c>
      <c r="I71" s="8">
        <f>G71-H71</f>
        <v>-5097.8499999999985</v>
      </c>
    </row>
    <row r="73" spans="1:10" hidden="1" x14ac:dyDescent="0.25">
      <c r="A73" s="5">
        <v>40000006</v>
      </c>
      <c r="B73" s="6" t="s">
        <v>70</v>
      </c>
      <c r="C73" s="7"/>
      <c r="D73" s="7"/>
      <c r="E73" s="7"/>
      <c r="F73" s="7"/>
      <c r="G73" s="7"/>
      <c r="H73" s="7"/>
      <c r="I73" s="7"/>
      <c r="J73" s="7"/>
    </row>
    <row r="74" spans="1:10" hidden="1" x14ac:dyDescent="0.25">
      <c r="E74" s="4" t="s">
        <v>10</v>
      </c>
      <c r="G74" s="8">
        <v>432.58</v>
      </c>
      <c r="H74" s="8">
        <v>0</v>
      </c>
      <c r="I74" s="8">
        <f>G74-H74</f>
        <v>432.58</v>
      </c>
    </row>
    <row r="75" spans="1:10" hidden="1" x14ac:dyDescent="0.25">
      <c r="C75" s="9"/>
      <c r="D75" s="10">
        <v>45658</v>
      </c>
      <c r="E75" t="s">
        <v>71</v>
      </c>
      <c r="F75" s="11" t="s">
        <v>72</v>
      </c>
      <c r="G75" s="8">
        <v>0</v>
      </c>
      <c r="H75" s="8">
        <v>432.58</v>
      </c>
      <c r="I75" s="8">
        <f>G75-H75+I74</f>
        <v>0</v>
      </c>
      <c r="J75" s="12"/>
    </row>
    <row r="76" spans="1:10" hidden="1" x14ac:dyDescent="0.25">
      <c r="C76" s="9"/>
      <c r="D76" s="10">
        <v>45749</v>
      </c>
      <c r="E76" t="s">
        <v>73</v>
      </c>
      <c r="F76" s="11" t="s">
        <v>72</v>
      </c>
      <c r="G76" s="8">
        <v>322.76</v>
      </c>
      <c r="H76" s="8">
        <v>0</v>
      </c>
      <c r="I76" s="8">
        <f>G76-H76+I75</f>
        <v>322.76</v>
      </c>
      <c r="J76" s="12"/>
    </row>
    <row r="77" spans="1:10" hidden="1" x14ac:dyDescent="0.25">
      <c r="E77" s="4" t="s">
        <v>35</v>
      </c>
      <c r="G77" s="8">
        <f>SUM(G74:G76)</f>
        <v>755.33999999999992</v>
      </c>
      <c r="H77" s="8">
        <f>SUM(H74:H76)</f>
        <v>432.58</v>
      </c>
      <c r="I77" s="8">
        <f>G77-H77</f>
        <v>322.75999999999993</v>
      </c>
    </row>
    <row r="78" spans="1:10" hidden="1" x14ac:dyDescent="0.25"/>
    <row r="79" spans="1:10" x14ac:dyDescent="0.25">
      <c r="A79" s="5">
        <v>40000007</v>
      </c>
      <c r="B79" s="6" t="s">
        <v>74</v>
      </c>
      <c r="C79" s="7"/>
      <c r="D79" s="7"/>
      <c r="E79" s="7"/>
      <c r="F79" s="7"/>
      <c r="G79" s="7"/>
      <c r="H79" s="7"/>
      <c r="I79" s="7"/>
      <c r="J79" s="7"/>
    </row>
    <row r="80" spans="1:10" hidden="1" x14ac:dyDescent="0.25">
      <c r="E80" s="4" t="s">
        <v>10</v>
      </c>
      <c r="G80" s="14">
        <v>22.34</v>
      </c>
      <c r="H80" s="14">
        <v>0</v>
      </c>
      <c r="I80" s="8">
        <f>G80-H80</f>
        <v>22.34</v>
      </c>
    </row>
    <row r="81" spans="1:10" hidden="1" x14ac:dyDescent="0.25">
      <c r="C81" s="9"/>
      <c r="D81" s="10">
        <v>45658</v>
      </c>
      <c r="E81" t="s">
        <v>75</v>
      </c>
      <c r="F81" s="11" t="s">
        <v>76</v>
      </c>
      <c r="G81" s="14">
        <v>0</v>
      </c>
      <c r="H81" s="14">
        <v>22.33</v>
      </c>
      <c r="I81" s="8">
        <f t="shared" ref="I81:I89" si="3">G81-H81+I80</f>
        <v>1.0000000000001563E-2</v>
      </c>
      <c r="J81" s="12"/>
    </row>
    <row r="82" spans="1:10" x14ac:dyDescent="0.25">
      <c r="C82" s="9"/>
      <c r="D82" s="10">
        <v>45672</v>
      </c>
      <c r="E82" t="s">
        <v>77</v>
      </c>
      <c r="F82" s="11" t="s">
        <v>50</v>
      </c>
      <c r="G82" s="8">
        <v>12</v>
      </c>
      <c r="H82" s="8">
        <v>0</v>
      </c>
      <c r="I82" s="8">
        <f t="shared" si="3"/>
        <v>12.010000000000002</v>
      </c>
      <c r="J82" s="15" t="s">
        <v>755</v>
      </c>
    </row>
    <row r="83" spans="1:10" x14ac:dyDescent="0.25">
      <c r="C83" s="9"/>
      <c r="D83" s="10">
        <v>45672</v>
      </c>
      <c r="E83" t="s">
        <v>77</v>
      </c>
      <c r="F83" s="11" t="s">
        <v>50</v>
      </c>
      <c r="G83" s="8">
        <v>52</v>
      </c>
      <c r="H83" s="8">
        <v>0</v>
      </c>
      <c r="I83" s="8">
        <f t="shared" si="3"/>
        <v>64.010000000000005</v>
      </c>
      <c r="J83" s="15" t="s">
        <v>755</v>
      </c>
    </row>
    <row r="84" spans="1:10" hidden="1" x14ac:dyDescent="0.25">
      <c r="C84" s="9"/>
      <c r="D84" s="10">
        <v>45687</v>
      </c>
      <c r="E84" t="s">
        <v>78</v>
      </c>
      <c r="F84" s="11" t="s">
        <v>79</v>
      </c>
      <c r="G84" s="14">
        <v>0</v>
      </c>
      <c r="H84" s="14">
        <v>57.18</v>
      </c>
      <c r="I84" s="8">
        <f t="shared" si="3"/>
        <v>6.8300000000000054</v>
      </c>
      <c r="J84" s="12"/>
    </row>
    <row r="85" spans="1:10" hidden="1" x14ac:dyDescent="0.25">
      <c r="C85" s="9"/>
      <c r="D85" s="10">
        <v>45687</v>
      </c>
      <c r="E85" t="s">
        <v>80</v>
      </c>
      <c r="F85" s="11" t="s">
        <v>81</v>
      </c>
      <c r="G85" s="14">
        <v>57.18</v>
      </c>
      <c r="H85" s="14">
        <v>0</v>
      </c>
      <c r="I85" s="8">
        <f t="shared" si="3"/>
        <v>64.010000000000005</v>
      </c>
      <c r="J85" s="12"/>
    </row>
    <row r="86" spans="1:10" hidden="1" x14ac:dyDescent="0.25">
      <c r="C86" s="9"/>
      <c r="D86" s="10">
        <v>45691</v>
      </c>
      <c r="E86" t="s">
        <v>82</v>
      </c>
      <c r="F86" s="11" t="s">
        <v>83</v>
      </c>
      <c r="G86" s="14">
        <v>0</v>
      </c>
      <c r="H86" s="14">
        <v>57.18</v>
      </c>
      <c r="I86" s="8">
        <f t="shared" si="3"/>
        <v>6.8300000000000054</v>
      </c>
      <c r="J86" s="12"/>
    </row>
    <row r="87" spans="1:10" hidden="1" x14ac:dyDescent="0.25">
      <c r="C87" s="9"/>
      <c r="D87" s="10">
        <v>45691</v>
      </c>
      <c r="E87" t="s">
        <v>84</v>
      </c>
      <c r="F87" s="11" t="s">
        <v>85</v>
      </c>
      <c r="G87" s="14">
        <v>57.18</v>
      </c>
      <c r="H87" s="14">
        <v>0</v>
      </c>
      <c r="I87" s="8">
        <f t="shared" si="3"/>
        <v>64.010000000000005</v>
      </c>
      <c r="J87" s="12"/>
    </row>
    <row r="88" spans="1:10" hidden="1" x14ac:dyDescent="0.25">
      <c r="C88" s="9"/>
      <c r="D88" s="10">
        <v>45713</v>
      </c>
      <c r="E88" t="s">
        <v>86</v>
      </c>
      <c r="F88" s="11" t="s">
        <v>87</v>
      </c>
      <c r="G88" s="14">
        <v>0</v>
      </c>
      <c r="H88" s="14">
        <v>58.99</v>
      </c>
      <c r="I88" s="8">
        <f t="shared" si="3"/>
        <v>5.0200000000000031</v>
      </c>
      <c r="J88" s="12"/>
    </row>
    <row r="89" spans="1:10" hidden="1" x14ac:dyDescent="0.25">
      <c r="C89" s="9"/>
      <c r="D89" s="10">
        <v>45713</v>
      </c>
      <c r="E89" t="s">
        <v>88</v>
      </c>
      <c r="F89" s="11" t="s">
        <v>89</v>
      </c>
      <c r="G89" s="14">
        <v>58.99</v>
      </c>
      <c r="H89" s="14">
        <v>0</v>
      </c>
      <c r="I89" s="8">
        <f t="shared" si="3"/>
        <v>64.010000000000005</v>
      </c>
      <c r="J89" s="12"/>
    </row>
    <row r="90" spans="1:10" hidden="1" x14ac:dyDescent="0.25">
      <c r="E90" s="4" t="s">
        <v>35</v>
      </c>
      <c r="G90" s="8">
        <f>SUM(G80:G89)</f>
        <v>259.69</v>
      </c>
      <c r="H90" s="8">
        <f>SUM(H80:H89)</f>
        <v>195.68</v>
      </c>
      <c r="I90" s="8">
        <f>G90-H90</f>
        <v>64.009999999999991</v>
      </c>
    </row>
    <row r="92" spans="1:10" hidden="1" x14ac:dyDescent="0.25">
      <c r="A92" s="5">
        <v>40000014</v>
      </c>
      <c r="B92" s="6" t="s">
        <v>90</v>
      </c>
      <c r="C92" s="7"/>
      <c r="D92" s="7"/>
      <c r="E92" s="7"/>
      <c r="F92" s="7"/>
      <c r="G92" s="7"/>
      <c r="H92" s="7"/>
      <c r="I92" s="7"/>
      <c r="J92" s="7"/>
    </row>
    <row r="93" spans="1:10" hidden="1" x14ac:dyDescent="0.25">
      <c r="E93" s="4" t="s">
        <v>10</v>
      </c>
      <c r="G93" s="8">
        <v>0</v>
      </c>
      <c r="H93" s="16">
        <v>560.55999999999995</v>
      </c>
      <c r="I93" s="8">
        <f>G93-H93</f>
        <v>-560.55999999999995</v>
      </c>
    </row>
    <row r="94" spans="1:10" hidden="1" x14ac:dyDescent="0.25">
      <c r="C94" s="9"/>
      <c r="D94" s="10">
        <v>45659</v>
      </c>
      <c r="E94" t="s">
        <v>91</v>
      </c>
      <c r="F94" s="11" t="s">
        <v>92</v>
      </c>
      <c r="G94" s="16">
        <v>196.07</v>
      </c>
      <c r="H94" s="8">
        <v>0</v>
      </c>
      <c r="I94" s="8">
        <f t="shared" ref="I94:I108" si="4">G94-H94+I93</f>
        <v>-364.48999999999995</v>
      </c>
      <c r="J94" s="12"/>
    </row>
    <row r="95" spans="1:10" hidden="1" x14ac:dyDescent="0.25">
      <c r="C95" s="9"/>
      <c r="D95" s="10">
        <v>45671</v>
      </c>
      <c r="E95" t="s">
        <v>93</v>
      </c>
      <c r="F95" s="11" t="s">
        <v>94</v>
      </c>
      <c r="G95" s="8">
        <v>0</v>
      </c>
      <c r="H95" s="16">
        <v>214.72</v>
      </c>
      <c r="I95" s="8">
        <f t="shared" si="4"/>
        <v>-579.20999999999992</v>
      </c>
      <c r="J95" s="12"/>
    </row>
    <row r="96" spans="1:10" hidden="1" x14ac:dyDescent="0.25">
      <c r="C96" s="9"/>
      <c r="D96" s="10">
        <v>45674</v>
      </c>
      <c r="E96" t="s">
        <v>95</v>
      </c>
      <c r="F96" s="11" t="s">
        <v>96</v>
      </c>
      <c r="G96" s="16">
        <v>364.49</v>
      </c>
      <c r="H96" s="8">
        <v>0</v>
      </c>
      <c r="I96" s="8">
        <f t="shared" si="4"/>
        <v>-214.71999999999991</v>
      </c>
      <c r="J96" s="12"/>
    </row>
    <row r="97" spans="1:10" hidden="1" x14ac:dyDescent="0.25">
      <c r="C97" s="9"/>
      <c r="D97" s="10">
        <v>45684</v>
      </c>
      <c r="E97" t="s">
        <v>97</v>
      </c>
      <c r="F97" s="11" t="s">
        <v>98</v>
      </c>
      <c r="G97" s="8">
        <v>0</v>
      </c>
      <c r="H97" s="16">
        <v>470.23</v>
      </c>
      <c r="I97" s="8">
        <f t="shared" si="4"/>
        <v>-684.94999999999993</v>
      </c>
      <c r="J97" s="12"/>
    </row>
    <row r="98" spans="1:10" hidden="1" x14ac:dyDescent="0.25">
      <c r="C98" s="9"/>
      <c r="D98" s="10">
        <v>45687</v>
      </c>
      <c r="E98" t="s">
        <v>99</v>
      </c>
      <c r="F98" s="11" t="s">
        <v>100</v>
      </c>
      <c r="G98" s="8">
        <v>0</v>
      </c>
      <c r="H98" s="16">
        <v>31.46</v>
      </c>
      <c r="I98" s="8">
        <f t="shared" si="4"/>
        <v>-716.41</v>
      </c>
      <c r="J98" s="12"/>
    </row>
    <row r="99" spans="1:10" hidden="1" x14ac:dyDescent="0.25">
      <c r="C99" s="9"/>
      <c r="D99" s="10">
        <v>45695</v>
      </c>
      <c r="E99" t="s">
        <v>101</v>
      </c>
      <c r="F99" s="11" t="s">
        <v>102</v>
      </c>
      <c r="G99" s="8">
        <v>0</v>
      </c>
      <c r="H99" s="16">
        <v>72.900000000000006</v>
      </c>
      <c r="I99" s="8">
        <f t="shared" si="4"/>
        <v>-789.31</v>
      </c>
      <c r="J99" s="12"/>
    </row>
    <row r="100" spans="1:10" hidden="1" x14ac:dyDescent="0.25">
      <c r="C100" s="9"/>
      <c r="D100" s="10">
        <v>45701</v>
      </c>
      <c r="E100" t="s">
        <v>103</v>
      </c>
      <c r="F100" s="11" t="s">
        <v>94</v>
      </c>
      <c r="G100" s="16">
        <v>214.72</v>
      </c>
      <c r="H100" s="8">
        <v>0</v>
      </c>
      <c r="I100" s="8">
        <f t="shared" si="4"/>
        <v>-574.58999999999992</v>
      </c>
      <c r="J100" s="12"/>
    </row>
    <row r="101" spans="1:10" hidden="1" x14ac:dyDescent="0.25">
      <c r="C101" s="9"/>
      <c r="D101" s="10">
        <v>45707</v>
      </c>
      <c r="E101" t="s">
        <v>104</v>
      </c>
      <c r="F101" s="11" t="s">
        <v>105</v>
      </c>
      <c r="G101" s="8">
        <v>0</v>
      </c>
      <c r="H101" s="16">
        <v>194.41</v>
      </c>
      <c r="I101" s="8">
        <f t="shared" si="4"/>
        <v>-768.99999999999989</v>
      </c>
      <c r="J101" s="12"/>
    </row>
    <row r="102" spans="1:10" hidden="1" x14ac:dyDescent="0.25">
      <c r="C102" s="9"/>
      <c r="D102" s="10">
        <v>45717</v>
      </c>
      <c r="E102" t="s">
        <v>106</v>
      </c>
      <c r="F102" s="11" t="s">
        <v>98</v>
      </c>
      <c r="G102" s="16">
        <v>470.23</v>
      </c>
      <c r="H102" s="8">
        <v>0</v>
      </c>
      <c r="I102" s="8">
        <f t="shared" si="4"/>
        <v>-298.76999999999987</v>
      </c>
      <c r="J102" s="12"/>
    </row>
    <row r="103" spans="1:10" hidden="1" x14ac:dyDescent="0.25">
      <c r="C103" s="9"/>
      <c r="D103" s="10">
        <v>45719</v>
      </c>
      <c r="E103" t="s">
        <v>107</v>
      </c>
      <c r="F103" s="11" t="s">
        <v>100</v>
      </c>
      <c r="G103" s="16">
        <v>31.46</v>
      </c>
      <c r="H103" s="8">
        <v>0</v>
      </c>
      <c r="I103" s="8">
        <f t="shared" si="4"/>
        <v>-267.30999999999989</v>
      </c>
      <c r="J103" s="12"/>
    </row>
    <row r="104" spans="1:10" hidden="1" x14ac:dyDescent="0.25">
      <c r="C104" s="9"/>
      <c r="D104" s="10">
        <v>45722</v>
      </c>
      <c r="E104" t="s">
        <v>108</v>
      </c>
      <c r="F104" s="11" t="s">
        <v>109</v>
      </c>
      <c r="G104" s="16">
        <v>0</v>
      </c>
      <c r="H104" s="16">
        <v>90.39</v>
      </c>
      <c r="I104" s="8">
        <f t="shared" si="4"/>
        <v>-357.69999999999987</v>
      </c>
      <c r="J104" s="12"/>
    </row>
    <row r="105" spans="1:10" hidden="1" x14ac:dyDescent="0.25">
      <c r="C105" s="9"/>
      <c r="D105" s="10">
        <v>45726</v>
      </c>
      <c r="E105" t="s">
        <v>110</v>
      </c>
      <c r="F105" s="11" t="s">
        <v>102</v>
      </c>
      <c r="G105" s="16">
        <v>72.900000000000006</v>
      </c>
      <c r="H105" s="8">
        <v>0</v>
      </c>
      <c r="I105" s="8">
        <f t="shared" si="4"/>
        <v>-284.79999999999984</v>
      </c>
      <c r="J105" s="12"/>
    </row>
    <row r="106" spans="1:10" hidden="1" x14ac:dyDescent="0.25">
      <c r="C106" s="9"/>
      <c r="D106" s="10">
        <v>45735</v>
      </c>
      <c r="E106" t="s">
        <v>111</v>
      </c>
      <c r="F106" s="11" t="s">
        <v>112</v>
      </c>
      <c r="G106" s="8">
        <v>0</v>
      </c>
      <c r="H106" s="8">
        <v>177.99</v>
      </c>
      <c r="I106" s="8">
        <f t="shared" si="4"/>
        <v>-462.78999999999985</v>
      </c>
      <c r="J106" s="12"/>
    </row>
    <row r="107" spans="1:10" hidden="1" x14ac:dyDescent="0.25">
      <c r="C107" s="9"/>
      <c r="D107" s="10">
        <v>45737</v>
      </c>
      <c r="E107" t="s">
        <v>113</v>
      </c>
      <c r="F107" s="11" t="s">
        <v>105</v>
      </c>
      <c r="G107" s="16">
        <v>194.41</v>
      </c>
      <c r="H107" s="8">
        <v>0</v>
      </c>
      <c r="I107" s="8">
        <f t="shared" si="4"/>
        <v>-268.37999999999988</v>
      </c>
      <c r="J107" s="12"/>
    </row>
    <row r="108" spans="1:10" hidden="1" x14ac:dyDescent="0.25">
      <c r="C108" s="9"/>
      <c r="D108" s="10">
        <v>45754</v>
      </c>
      <c r="E108" t="s">
        <v>114</v>
      </c>
      <c r="F108" s="11" t="s">
        <v>109</v>
      </c>
      <c r="G108" s="16">
        <v>90.39</v>
      </c>
      <c r="H108" s="8">
        <v>0</v>
      </c>
      <c r="I108" s="8">
        <f t="shared" si="4"/>
        <v>-177.9899999999999</v>
      </c>
      <c r="J108" s="12"/>
    </row>
    <row r="109" spans="1:10" hidden="1" x14ac:dyDescent="0.25">
      <c r="E109" s="4" t="s">
        <v>35</v>
      </c>
      <c r="G109" s="8">
        <f>SUM(G93:G108)</f>
        <v>1634.6700000000003</v>
      </c>
      <c r="H109" s="8">
        <f>SUM(H93:H108)</f>
        <v>1812.6600000000003</v>
      </c>
      <c r="I109" s="8">
        <f>G109-H109</f>
        <v>-177.99</v>
      </c>
    </row>
    <row r="110" spans="1:10" hidden="1" x14ac:dyDescent="0.25"/>
    <row r="111" spans="1:10" ht="15.75" customHeight="1" x14ac:dyDescent="0.25">
      <c r="A111" s="5">
        <v>40000020</v>
      </c>
      <c r="B111" s="6" t="s">
        <v>115</v>
      </c>
      <c r="C111" s="7"/>
      <c r="D111" s="7"/>
      <c r="E111" s="7"/>
      <c r="F111" s="7"/>
      <c r="G111" s="7"/>
      <c r="H111" s="7"/>
      <c r="I111" s="7"/>
      <c r="J111" s="7"/>
    </row>
    <row r="112" spans="1:10" hidden="1" x14ac:dyDescent="0.25">
      <c r="C112" s="9"/>
      <c r="D112" s="10">
        <v>45658</v>
      </c>
      <c r="E112" t="s">
        <v>116</v>
      </c>
      <c r="F112" s="11" t="s">
        <v>117</v>
      </c>
      <c r="G112" s="8">
        <v>81.680000000000007</v>
      </c>
      <c r="H112" s="8">
        <v>81.680000000000007</v>
      </c>
      <c r="I112" s="8">
        <f>G112-H112</f>
        <v>0</v>
      </c>
      <c r="J112" s="23" t="s">
        <v>758</v>
      </c>
    </row>
    <row r="113" spans="1:10" x14ac:dyDescent="0.25">
      <c r="C113" s="9"/>
      <c r="D113" s="10">
        <v>45745</v>
      </c>
      <c r="E113" t="s">
        <v>118</v>
      </c>
      <c r="F113" s="11" t="s">
        <v>50</v>
      </c>
      <c r="G113" s="8">
        <v>177.93</v>
      </c>
      <c r="H113" s="8">
        <v>0</v>
      </c>
      <c r="I113" s="8">
        <f>G113-H113+I112</f>
        <v>177.93</v>
      </c>
      <c r="J113" s="15" t="s">
        <v>755</v>
      </c>
    </row>
    <row r="114" spans="1:10" hidden="1" x14ac:dyDescent="0.25">
      <c r="E114" s="4" t="s">
        <v>35</v>
      </c>
      <c r="G114" s="8">
        <f>SUM(G112:G113)</f>
        <v>259.61</v>
      </c>
      <c r="H114" s="8">
        <f>SUM(H112:H113)</f>
        <v>81.680000000000007</v>
      </c>
      <c r="I114" s="8">
        <f>G114-H114</f>
        <v>177.93</v>
      </c>
    </row>
    <row r="116" spans="1:10" hidden="1" x14ac:dyDescent="0.25">
      <c r="A116" s="5">
        <v>40000021</v>
      </c>
      <c r="B116" s="6" t="s">
        <v>119</v>
      </c>
      <c r="C116" s="7"/>
      <c r="D116" s="7"/>
      <c r="E116" s="7"/>
      <c r="F116" s="7"/>
      <c r="G116" s="7"/>
      <c r="H116" s="7"/>
      <c r="I116" s="7"/>
      <c r="J116" s="7"/>
    </row>
    <row r="117" spans="1:10" hidden="1" x14ac:dyDescent="0.25">
      <c r="C117" s="9"/>
      <c r="D117" s="10">
        <v>45658</v>
      </c>
      <c r="E117" t="s">
        <v>120</v>
      </c>
      <c r="F117" s="11" t="s">
        <v>121</v>
      </c>
      <c r="G117" s="8">
        <v>341.14</v>
      </c>
      <c r="H117" s="8">
        <v>341.14</v>
      </c>
      <c r="I117" s="8">
        <f>G117-H117</f>
        <v>0</v>
      </c>
      <c r="J117" s="12"/>
    </row>
    <row r="118" spans="1:10" hidden="1" x14ac:dyDescent="0.25">
      <c r="E118" s="4" t="s">
        <v>35</v>
      </c>
      <c r="G118" s="8">
        <f>G117</f>
        <v>341.14</v>
      </c>
      <c r="H118" s="8">
        <f>H117</f>
        <v>341.14</v>
      </c>
      <c r="I118" s="8">
        <f>G118-H118</f>
        <v>0</v>
      </c>
    </row>
    <row r="119" spans="1:10" hidden="1" x14ac:dyDescent="0.25"/>
    <row r="120" spans="1:10" x14ac:dyDescent="0.25">
      <c r="A120" s="5">
        <v>40000022</v>
      </c>
      <c r="B120" s="6" t="s">
        <v>122</v>
      </c>
      <c r="C120" s="7"/>
      <c r="D120" s="7"/>
      <c r="E120" s="7"/>
      <c r="F120" s="7"/>
      <c r="G120" s="7"/>
      <c r="H120" s="7"/>
      <c r="I120" s="7"/>
      <c r="J120" s="7"/>
    </row>
    <row r="121" spans="1:10" hidden="1" x14ac:dyDescent="0.25">
      <c r="C121" s="9"/>
      <c r="D121" s="10">
        <v>45658</v>
      </c>
      <c r="E121" t="s">
        <v>123</v>
      </c>
      <c r="F121" s="11" t="s">
        <v>124</v>
      </c>
      <c r="G121" s="8">
        <v>84.19</v>
      </c>
      <c r="H121" s="8">
        <v>84.19</v>
      </c>
      <c r="I121" s="8">
        <f>G121-H121</f>
        <v>0</v>
      </c>
      <c r="J121" s="12"/>
    </row>
    <row r="122" spans="1:10" x14ac:dyDescent="0.25">
      <c r="C122" s="9"/>
      <c r="D122" s="10">
        <v>45672</v>
      </c>
      <c r="E122" t="s">
        <v>125</v>
      </c>
      <c r="F122" s="11" t="s">
        <v>124</v>
      </c>
      <c r="G122" s="8">
        <v>12.98</v>
      </c>
      <c r="H122" s="8">
        <v>0</v>
      </c>
      <c r="I122" s="8">
        <f>G122-H122+I121</f>
        <v>12.98</v>
      </c>
      <c r="J122" s="15" t="s">
        <v>755</v>
      </c>
    </row>
    <row r="123" spans="1:10" x14ac:dyDescent="0.25">
      <c r="C123" s="9"/>
      <c r="D123" s="10">
        <v>45734</v>
      </c>
      <c r="E123" t="s">
        <v>125</v>
      </c>
      <c r="F123" s="11" t="s">
        <v>124</v>
      </c>
      <c r="G123" s="8">
        <v>17.57</v>
      </c>
      <c r="H123" s="8">
        <v>0</v>
      </c>
      <c r="I123" s="8">
        <f>G123-H123+I122</f>
        <v>30.55</v>
      </c>
      <c r="J123" s="15" t="s">
        <v>755</v>
      </c>
    </row>
    <row r="124" spans="1:10" hidden="1" x14ac:dyDescent="0.25">
      <c r="E124" s="4" t="s">
        <v>35</v>
      </c>
      <c r="G124" s="8">
        <f>SUM(G121:G123)</f>
        <v>114.74000000000001</v>
      </c>
      <c r="H124" s="8">
        <f>SUM(H121:H123)</f>
        <v>84.19</v>
      </c>
      <c r="I124" s="8">
        <f>G124-H124</f>
        <v>30.550000000000011</v>
      </c>
    </row>
    <row r="126" spans="1:10" x14ac:dyDescent="0.25">
      <c r="A126" s="5">
        <v>40000024</v>
      </c>
      <c r="B126" s="6" t="s">
        <v>126</v>
      </c>
      <c r="C126" s="7"/>
      <c r="D126" s="7"/>
      <c r="E126" s="7"/>
      <c r="F126" s="7"/>
      <c r="G126" s="7"/>
      <c r="H126" s="7"/>
      <c r="I126" s="7"/>
      <c r="J126" s="7"/>
    </row>
    <row r="127" spans="1:10" x14ac:dyDescent="0.25">
      <c r="C127" s="9"/>
      <c r="D127" s="10">
        <v>45745</v>
      </c>
      <c r="E127" t="s">
        <v>127</v>
      </c>
      <c r="F127" s="11" t="s">
        <v>128</v>
      </c>
      <c r="G127" s="8">
        <v>0</v>
      </c>
      <c r="H127" s="8">
        <v>59.99</v>
      </c>
      <c r="I127" s="8">
        <f>G127-H127</f>
        <v>-59.99</v>
      </c>
      <c r="J127" s="23" t="s">
        <v>758</v>
      </c>
    </row>
    <row r="128" spans="1:10" x14ac:dyDescent="0.25">
      <c r="C128" s="9"/>
      <c r="D128" s="10">
        <v>45745</v>
      </c>
      <c r="E128" t="s">
        <v>129</v>
      </c>
      <c r="F128" s="11" t="s">
        <v>130</v>
      </c>
      <c r="G128" s="8">
        <v>0</v>
      </c>
      <c r="H128" s="8">
        <v>80.010000000000005</v>
      </c>
      <c r="I128" s="8">
        <f>G128-H128+I127</f>
        <v>-140</v>
      </c>
      <c r="J128" s="23" t="s">
        <v>758</v>
      </c>
    </row>
    <row r="129" spans="1:10" hidden="1" x14ac:dyDescent="0.25">
      <c r="E129" s="4" t="s">
        <v>35</v>
      </c>
      <c r="G129" s="8">
        <f>SUM(G127:G128)</f>
        <v>0</v>
      </c>
      <c r="H129" s="8">
        <f>SUM(H127:H128)</f>
        <v>140</v>
      </c>
      <c r="I129" s="8">
        <f>G129-H129</f>
        <v>-140</v>
      </c>
    </row>
    <row r="131" spans="1:10" x14ac:dyDescent="0.25">
      <c r="A131" s="5">
        <v>40000025</v>
      </c>
      <c r="B131" s="6" t="s">
        <v>131</v>
      </c>
      <c r="C131" s="7"/>
      <c r="D131" s="7"/>
      <c r="E131" s="7"/>
      <c r="F131" s="7"/>
      <c r="G131" s="7"/>
      <c r="H131" s="7"/>
      <c r="I131" s="7"/>
      <c r="J131" s="7"/>
    </row>
    <row r="132" spans="1:10" x14ac:dyDescent="0.25">
      <c r="C132" s="9"/>
      <c r="D132" s="10">
        <v>45747</v>
      </c>
      <c r="E132" t="s">
        <v>132</v>
      </c>
      <c r="F132" s="11" t="s">
        <v>133</v>
      </c>
      <c r="G132" s="8">
        <v>0</v>
      </c>
      <c r="H132" s="8">
        <v>3601.99</v>
      </c>
      <c r="I132" s="8">
        <f>G132-H132</f>
        <v>-3601.99</v>
      </c>
      <c r="J132" s="23" t="s">
        <v>758</v>
      </c>
    </row>
    <row r="133" spans="1:10" hidden="1" x14ac:dyDescent="0.25">
      <c r="E133" s="4" t="s">
        <v>35</v>
      </c>
      <c r="G133" s="8">
        <f>G132</f>
        <v>0</v>
      </c>
      <c r="H133" s="8">
        <f>H132</f>
        <v>3601.99</v>
      </c>
      <c r="I133" s="8">
        <f>G133-H133</f>
        <v>-3601.99</v>
      </c>
    </row>
    <row r="135" spans="1:10" x14ac:dyDescent="0.25">
      <c r="A135" s="5">
        <v>40000027</v>
      </c>
      <c r="B135" s="6" t="s">
        <v>134</v>
      </c>
      <c r="C135" s="7"/>
      <c r="D135" s="7"/>
      <c r="E135" s="7"/>
      <c r="F135" s="7"/>
      <c r="G135" s="7"/>
      <c r="H135" s="7"/>
      <c r="I135" s="7"/>
      <c r="J135" s="7"/>
    </row>
    <row r="136" spans="1:10" x14ac:dyDescent="0.25">
      <c r="C136" s="9"/>
      <c r="D136" s="10">
        <v>45706</v>
      </c>
      <c r="E136" t="s">
        <v>135</v>
      </c>
      <c r="F136" s="11" t="s">
        <v>50</v>
      </c>
      <c r="G136" s="8">
        <v>9</v>
      </c>
      <c r="H136" s="8">
        <v>0</v>
      </c>
      <c r="I136" s="8">
        <f>G136-H136</f>
        <v>9</v>
      </c>
      <c r="J136" s="15" t="s">
        <v>755</v>
      </c>
    </row>
    <row r="137" spans="1:10" hidden="1" x14ac:dyDescent="0.25">
      <c r="C137" s="9"/>
      <c r="D137" s="10">
        <v>45719</v>
      </c>
      <c r="E137" t="s">
        <v>136</v>
      </c>
      <c r="F137" s="11" t="s">
        <v>137</v>
      </c>
      <c r="G137" s="8">
        <v>0</v>
      </c>
      <c r="H137" s="8">
        <v>210</v>
      </c>
      <c r="I137" s="8">
        <f>G137-H137+I136</f>
        <v>-201</v>
      </c>
      <c r="J137" s="12"/>
    </row>
    <row r="138" spans="1:10" hidden="1" x14ac:dyDescent="0.25">
      <c r="C138" s="9"/>
      <c r="D138" s="10">
        <v>45719</v>
      </c>
      <c r="E138" t="s">
        <v>135</v>
      </c>
      <c r="F138" s="11" t="s">
        <v>50</v>
      </c>
      <c r="G138" s="8">
        <v>210</v>
      </c>
      <c r="H138" s="8">
        <v>0</v>
      </c>
      <c r="I138" s="8">
        <f>G138-H138+I137</f>
        <v>9</v>
      </c>
      <c r="J138" s="12"/>
    </row>
    <row r="139" spans="1:10" hidden="1" x14ac:dyDescent="0.25">
      <c r="E139" s="4" t="s">
        <v>35</v>
      </c>
      <c r="G139" s="8">
        <f>SUM(G136:G138)</f>
        <v>219</v>
      </c>
      <c r="H139" s="8">
        <f>SUM(H136:H138)</f>
        <v>210</v>
      </c>
      <c r="I139" s="8">
        <f>G139-H139</f>
        <v>9</v>
      </c>
    </row>
    <row r="141" spans="1:10" x14ac:dyDescent="0.25">
      <c r="A141" s="5">
        <v>40000029</v>
      </c>
      <c r="B141" s="6" t="s">
        <v>138</v>
      </c>
      <c r="C141" s="7"/>
      <c r="D141" s="7"/>
      <c r="E141" s="7"/>
      <c r="F141" s="7"/>
      <c r="G141" s="7"/>
      <c r="H141" s="7"/>
      <c r="I141" s="7"/>
      <c r="J141" s="7"/>
    </row>
    <row r="142" spans="1:10" x14ac:dyDescent="0.25">
      <c r="C142" s="9"/>
      <c r="D142" s="10">
        <v>45740</v>
      </c>
      <c r="E142" t="s">
        <v>139</v>
      </c>
      <c r="F142" s="11" t="s">
        <v>140</v>
      </c>
      <c r="G142" s="8">
        <v>0</v>
      </c>
      <c r="H142" s="8">
        <v>569.99</v>
      </c>
      <c r="I142" s="8">
        <f>G142-H142</f>
        <v>-569.99</v>
      </c>
      <c r="J142" s="23" t="s">
        <v>758</v>
      </c>
    </row>
    <row r="143" spans="1:10" hidden="1" x14ac:dyDescent="0.25">
      <c r="E143" s="4" t="s">
        <v>35</v>
      </c>
      <c r="G143" s="8">
        <f>G142</f>
        <v>0</v>
      </c>
      <c r="H143" s="8">
        <f>H142</f>
        <v>569.99</v>
      </c>
      <c r="I143" s="8">
        <f>G143-H143</f>
        <v>-569.99</v>
      </c>
    </row>
    <row r="145" spans="1:10" x14ac:dyDescent="0.25">
      <c r="A145" s="5">
        <v>41000004</v>
      </c>
      <c r="B145" s="6" t="s">
        <v>141</v>
      </c>
      <c r="C145" s="7"/>
      <c r="D145" s="7"/>
      <c r="E145" s="7"/>
      <c r="F145" s="7"/>
      <c r="G145" s="7"/>
      <c r="H145" s="7"/>
      <c r="I145" s="7"/>
      <c r="J145" s="7"/>
    </row>
    <row r="146" spans="1:10" x14ac:dyDescent="0.25">
      <c r="C146" s="9"/>
      <c r="D146" s="10">
        <v>45658</v>
      </c>
      <c r="E146" t="s">
        <v>142</v>
      </c>
      <c r="F146" s="11" t="s">
        <v>143</v>
      </c>
      <c r="G146" s="8">
        <v>0</v>
      </c>
      <c r="H146" s="8">
        <v>765</v>
      </c>
      <c r="I146" s="8">
        <f>G146-H146</f>
        <v>-765</v>
      </c>
      <c r="J146" s="23" t="s">
        <v>758</v>
      </c>
    </row>
    <row r="147" spans="1:10" x14ac:dyDescent="0.25">
      <c r="C147" s="9"/>
      <c r="D147" s="10">
        <v>45689</v>
      </c>
      <c r="E147" t="s">
        <v>144</v>
      </c>
      <c r="F147" s="11" t="s">
        <v>145</v>
      </c>
      <c r="G147" s="8">
        <v>0</v>
      </c>
      <c r="H147" s="8">
        <v>765</v>
      </c>
      <c r="I147" s="8">
        <f>G147-H147+I146</f>
        <v>-1530</v>
      </c>
      <c r="J147" s="23" t="s">
        <v>758</v>
      </c>
    </row>
    <row r="148" spans="1:10" x14ac:dyDescent="0.25">
      <c r="C148" s="9"/>
      <c r="D148" s="10">
        <v>45717</v>
      </c>
      <c r="E148" t="s">
        <v>146</v>
      </c>
      <c r="F148" s="11" t="s">
        <v>147</v>
      </c>
      <c r="G148" s="8">
        <v>0</v>
      </c>
      <c r="H148" s="8">
        <v>765</v>
      </c>
      <c r="I148" s="8">
        <f>G148-H148+I147</f>
        <v>-2295</v>
      </c>
      <c r="J148" s="23" t="s">
        <v>758</v>
      </c>
    </row>
    <row r="149" spans="1:10" hidden="1" x14ac:dyDescent="0.25">
      <c r="E149" s="4" t="s">
        <v>35</v>
      </c>
      <c r="G149" s="8">
        <f>SUM(G146:G148)</f>
        <v>0</v>
      </c>
      <c r="H149" s="8">
        <f>SUM(H146:H148)</f>
        <v>2295</v>
      </c>
      <c r="I149" s="8">
        <f>G149-H149</f>
        <v>-2295</v>
      </c>
    </row>
    <row r="151" spans="1:10" x14ac:dyDescent="0.25">
      <c r="A151" s="5">
        <v>41000006</v>
      </c>
      <c r="B151" s="6" t="s">
        <v>148</v>
      </c>
      <c r="C151" s="7"/>
      <c r="D151" s="7"/>
      <c r="E151" s="7"/>
      <c r="F151" s="7"/>
      <c r="G151" s="7"/>
      <c r="H151" s="7"/>
      <c r="I151" s="7"/>
      <c r="J151" s="7"/>
    </row>
    <row r="152" spans="1:10" x14ac:dyDescent="0.25">
      <c r="C152" s="9"/>
      <c r="D152" s="10">
        <v>45658</v>
      </c>
      <c r="E152" t="s">
        <v>149</v>
      </c>
      <c r="F152" s="11" t="s">
        <v>150</v>
      </c>
      <c r="G152" s="8">
        <v>39.49</v>
      </c>
      <c r="H152" s="8">
        <v>0</v>
      </c>
      <c r="I152" s="8">
        <f>G152-H152</f>
        <v>39.49</v>
      </c>
      <c r="J152" s="15" t="s">
        <v>755</v>
      </c>
    </row>
    <row r="153" spans="1:10" hidden="1" x14ac:dyDescent="0.25">
      <c r="C153" s="9"/>
      <c r="D153" s="10">
        <v>45680</v>
      </c>
      <c r="E153" t="s">
        <v>151</v>
      </c>
      <c r="F153" s="11" t="s">
        <v>150</v>
      </c>
      <c r="G153" s="8">
        <v>0</v>
      </c>
      <c r="H153" s="8">
        <v>39.49</v>
      </c>
      <c r="I153" s="8">
        <f t="shared" ref="I153:I158" si="5">G153-H153+I152</f>
        <v>0</v>
      </c>
      <c r="J153" s="12"/>
    </row>
    <row r="154" spans="1:10" hidden="1" x14ac:dyDescent="0.25">
      <c r="C154" s="9"/>
      <c r="D154" s="10">
        <v>45689</v>
      </c>
      <c r="E154" t="s">
        <v>149</v>
      </c>
      <c r="F154" s="11" t="s">
        <v>150</v>
      </c>
      <c r="G154" s="8">
        <v>39.49</v>
      </c>
      <c r="H154" s="8">
        <v>0</v>
      </c>
      <c r="I154" s="8">
        <f t="shared" si="5"/>
        <v>39.49</v>
      </c>
      <c r="J154" s="12"/>
    </row>
    <row r="155" spans="1:10" hidden="1" x14ac:dyDescent="0.25">
      <c r="C155" s="9"/>
      <c r="D155" s="10">
        <v>45713</v>
      </c>
      <c r="E155" t="s">
        <v>152</v>
      </c>
      <c r="F155" s="11" t="s">
        <v>153</v>
      </c>
      <c r="G155" s="8">
        <v>0</v>
      </c>
      <c r="H155" s="8">
        <v>39.49</v>
      </c>
      <c r="I155" s="8">
        <f t="shared" si="5"/>
        <v>0</v>
      </c>
      <c r="J155" s="12"/>
    </row>
    <row r="156" spans="1:10" hidden="1" x14ac:dyDescent="0.25">
      <c r="C156" s="9"/>
      <c r="D156" s="10">
        <v>45720</v>
      </c>
      <c r="E156" t="s">
        <v>149</v>
      </c>
      <c r="F156" s="11" t="s">
        <v>150</v>
      </c>
      <c r="G156" s="8">
        <v>39.49</v>
      </c>
      <c r="H156" s="8">
        <v>0</v>
      </c>
      <c r="I156" s="8">
        <f t="shared" si="5"/>
        <v>39.49</v>
      </c>
      <c r="J156" s="12"/>
    </row>
    <row r="157" spans="1:10" hidden="1" x14ac:dyDescent="0.25">
      <c r="C157" s="9"/>
      <c r="D157" s="10">
        <v>45737</v>
      </c>
      <c r="E157" t="s">
        <v>154</v>
      </c>
      <c r="F157" s="11" t="s">
        <v>155</v>
      </c>
      <c r="G157" s="8">
        <v>0</v>
      </c>
      <c r="H157" s="8">
        <v>39.49</v>
      </c>
      <c r="I157" s="8">
        <f t="shared" si="5"/>
        <v>0</v>
      </c>
      <c r="J157" s="12"/>
    </row>
    <row r="158" spans="1:10" hidden="1" x14ac:dyDescent="0.25">
      <c r="C158" s="9"/>
      <c r="D158" s="10">
        <v>45742</v>
      </c>
      <c r="E158" t="s">
        <v>149</v>
      </c>
      <c r="F158" s="11" t="s">
        <v>150</v>
      </c>
      <c r="G158" s="8">
        <v>39.49</v>
      </c>
      <c r="H158" s="8">
        <v>0</v>
      </c>
      <c r="I158" s="8">
        <f t="shared" si="5"/>
        <v>39.49</v>
      </c>
      <c r="J158" s="12"/>
    </row>
    <row r="159" spans="1:10" hidden="1" x14ac:dyDescent="0.25">
      <c r="E159" s="4" t="s">
        <v>35</v>
      </c>
      <c r="G159" s="8">
        <f>SUM(G152:G158)</f>
        <v>157.96</v>
      </c>
      <c r="H159" s="8">
        <f>SUM(H152:H158)</f>
        <v>118.47</v>
      </c>
      <c r="I159" s="8">
        <f>G159-H159</f>
        <v>39.490000000000009</v>
      </c>
    </row>
    <row r="161" spans="1:10" hidden="1" x14ac:dyDescent="0.25">
      <c r="A161" s="5">
        <v>41000008</v>
      </c>
      <c r="B161" s="6" t="s">
        <v>156</v>
      </c>
      <c r="C161" s="7"/>
      <c r="D161" s="7"/>
      <c r="E161" s="7"/>
      <c r="F161" s="7"/>
      <c r="G161" s="7"/>
      <c r="H161" s="7"/>
      <c r="I161" s="7"/>
      <c r="J161" s="7"/>
    </row>
    <row r="162" spans="1:10" hidden="1" x14ac:dyDescent="0.25">
      <c r="C162" s="9"/>
      <c r="D162" s="10">
        <v>45664</v>
      </c>
      <c r="E162" t="s">
        <v>157</v>
      </c>
      <c r="F162" s="11" t="s">
        <v>158</v>
      </c>
      <c r="G162" s="8">
        <v>0</v>
      </c>
      <c r="H162" s="8">
        <v>126.74</v>
      </c>
      <c r="I162" s="8">
        <f>G162-H162</f>
        <v>-126.74</v>
      </c>
      <c r="J162" s="12"/>
    </row>
    <row r="163" spans="1:10" hidden="1" x14ac:dyDescent="0.25">
      <c r="C163" s="9"/>
      <c r="D163" s="10">
        <v>45672</v>
      </c>
      <c r="E163" t="s">
        <v>159</v>
      </c>
      <c r="F163" s="11" t="s">
        <v>158</v>
      </c>
      <c r="G163" s="8">
        <v>126.74</v>
      </c>
      <c r="H163" s="8">
        <v>0</v>
      </c>
      <c r="I163" s="8">
        <f t="shared" ref="I163:I168" si="6">G163-H163+I162</f>
        <v>0</v>
      </c>
      <c r="J163" s="12"/>
    </row>
    <row r="164" spans="1:10" hidden="1" x14ac:dyDescent="0.25">
      <c r="C164" s="9"/>
      <c r="D164" s="10">
        <v>45694</v>
      </c>
      <c r="E164" t="s">
        <v>160</v>
      </c>
      <c r="F164" s="11" t="s">
        <v>161</v>
      </c>
      <c r="G164" s="8">
        <v>0</v>
      </c>
      <c r="H164" s="8">
        <v>162.33000000000001</v>
      </c>
      <c r="I164" s="8">
        <f t="shared" si="6"/>
        <v>-162.33000000000001</v>
      </c>
      <c r="J164" s="12"/>
    </row>
    <row r="165" spans="1:10" hidden="1" x14ac:dyDescent="0.25">
      <c r="C165" s="9"/>
      <c r="D165" s="10">
        <v>45702</v>
      </c>
      <c r="E165" t="s">
        <v>162</v>
      </c>
      <c r="F165" s="11" t="s">
        <v>161</v>
      </c>
      <c r="G165" s="8">
        <v>162.33000000000001</v>
      </c>
      <c r="H165" s="8">
        <v>0</v>
      </c>
      <c r="I165" s="8">
        <f t="shared" si="6"/>
        <v>0</v>
      </c>
      <c r="J165" s="12"/>
    </row>
    <row r="166" spans="1:10" hidden="1" x14ac:dyDescent="0.25">
      <c r="C166" s="9"/>
      <c r="D166" s="10">
        <v>45722</v>
      </c>
      <c r="E166" t="s">
        <v>163</v>
      </c>
      <c r="F166" s="11" t="s">
        <v>164</v>
      </c>
      <c r="G166" s="8">
        <v>0</v>
      </c>
      <c r="H166" s="8">
        <v>168.43</v>
      </c>
      <c r="I166" s="8">
        <f t="shared" si="6"/>
        <v>-168.43</v>
      </c>
      <c r="J166" s="12"/>
    </row>
    <row r="167" spans="1:10" hidden="1" x14ac:dyDescent="0.25">
      <c r="C167" s="9"/>
      <c r="D167" s="10">
        <v>45730</v>
      </c>
      <c r="E167" t="s">
        <v>165</v>
      </c>
      <c r="F167" s="11" t="s">
        <v>164</v>
      </c>
      <c r="G167" s="8">
        <v>168.43</v>
      </c>
      <c r="H167" s="8">
        <v>0</v>
      </c>
      <c r="I167" s="8">
        <f t="shared" si="6"/>
        <v>0</v>
      </c>
      <c r="J167" s="12"/>
    </row>
    <row r="168" spans="1:10" hidden="1" x14ac:dyDescent="0.25">
      <c r="C168" s="9"/>
      <c r="D168" s="10">
        <v>45762</v>
      </c>
      <c r="E168" t="s">
        <v>166</v>
      </c>
      <c r="F168" s="11" t="s">
        <v>158</v>
      </c>
      <c r="G168" s="8">
        <v>148.71</v>
      </c>
      <c r="H168" s="8">
        <v>0</v>
      </c>
      <c r="I168" s="8">
        <f t="shared" si="6"/>
        <v>148.71</v>
      </c>
      <c r="J168" s="12"/>
    </row>
    <row r="169" spans="1:10" hidden="1" x14ac:dyDescent="0.25">
      <c r="E169" s="4" t="s">
        <v>35</v>
      </c>
      <c r="G169" s="8">
        <f>SUM(G162:G168)</f>
        <v>606.21</v>
      </c>
      <c r="H169" s="8">
        <f>SUM(H162:H168)</f>
        <v>457.5</v>
      </c>
      <c r="I169" s="8">
        <f>G169-H169</f>
        <v>148.71000000000004</v>
      </c>
    </row>
    <row r="170" spans="1:10" hidden="1" x14ac:dyDescent="0.25"/>
    <row r="171" spans="1:10" x14ac:dyDescent="0.25">
      <c r="A171" s="5">
        <v>41000009</v>
      </c>
      <c r="B171" s="6" t="s">
        <v>167</v>
      </c>
      <c r="C171" s="7"/>
      <c r="D171" s="7"/>
      <c r="E171" s="7"/>
      <c r="F171" s="7"/>
      <c r="G171" s="7"/>
      <c r="H171" s="7"/>
      <c r="I171" s="7"/>
      <c r="J171" s="7"/>
    </row>
    <row r="172" spans="1:10" hidden="1" x14ac:dyDescent="0.25">
      <c r="E172" s="4" t="s">
        <v>10</v>
      </c>
      <c r="G172" s="8">
        <v>127.05</v>
      </c>
      <c r="H172" s="8">
        <v>0</v>
      </c>
      <c r="I172" s="8">
        <f>G172-H172</f>
        <v>127.05</v>
      </c>
    </row>
    <row r="173" spans="1:10" hidden="1" x14ac:dyDescent="0.25">
      <c r="C173" s="9"/>
      <c r="D173" s="10">
        <v>45658</v>
      </c>
      <c r="E173" t="s">
        <v>168</v>
      </c>
      <c r="F173" s="11" t="s">
        <v>169</v>
      </c>
      <c r="G173" s="8">
        <v>0</v>
      </c>
      <c r="H173" s="8">
        <v>42.35</v>
      </c>
      <c r="I173" s="8">
        <f t="shared" ref="I173:I181" si="7">G173-H173+I172</f>
        <v>84.699999999999989</v>
      </c>
      <c r="J173" s="12"/>
    </row>
    <row r="174" spans="1:10" hidden="1" x14ac:dyDescent="0.25">
      <c r="C174" s="9"/>
      <c r="D174" s="10">
        <v>45658</v>
      </c>
      <c r="E174" t="s">
        <v>170</v>
      </c>
      <c r="F174" s="11" t="s">
        <v>171</v>
      </c>
      <c r="G174" s="8">
        <v>0</v>
      </c>
      <c r="H174" s="8">
        <v>42.35</v>
      </c>
      <c r="I174" s="8">
        <f t="shared" si="7"/>
        <v>42.349999999999987</v>
      </c>
      <c r="J174" s="12"/>
    </row>
    <row r="175" spans="1:10" hidden="1" x14ac:dyDescent="0.25">
      <c r="C175" s="9"/>
      <c r="D175" s="10">
        <v>45658</v>
      </c>
      <c r="E175" t="s">
        <v>172</v>
      </c>
      <c r="F175" s="11" t="s">
        <v>173</v>
      </c>
      <c r="G175" s="8">
        <v>0</v>
      </c>
      <c r="H175" s="8">
        <v>42.35</v>
      </c>
      <c r="I175" s="8">
        <f t="shared" si="7"/>
        <v>0</v>
      </c>
      <c r="J175" s="12"/>
    </row>
    <row r="176" spans="1:10" hidden="1" x14ac:dyDescent="0.25">
      <c r="C176" s="9"/>
      <c r="D176" s="10">
        <v>45658</v>
      </c>
      <c r="E176" t="s">
        <v>174</v>
      </c>
      <c r="F176" s="11" t="s">
        <v>175</v>
      </c>
      <c r="G176" s="8">
        <v>0</v>
      </c>
      <c r="H176" s="8">
        <v>42.35</v>
      </c>
      <c r="I176" s="8">
        <f t="shared" si="7"/>
        <v>-42.35</v>
      </c>
      <c r="J176" s="12"/>
    </row>
    <row r="177" spans="1:11" hidden="1" x14ac:dyDescent="0.25">
      <c r="C177" s="9"/>
      <c r="D177" s="10">
        <v>45663</v>
      </c>
      <c r="E177" t="s">
        <v>176</v>
      </c>
      <c r="F177" s="11" t="s">
        <v>169</v>
      </c>
      <c r="G177" s="8">
        <v>42.35</v>
      </c>
      <c r="H177" s="8">
        <v>0</v>
      </c>
      <c r="I177" s="8">
        <f t="shared" si="7"/>
        <v>0</v>
      </c>
      <c r="J177" s="12"/>
    </row>
    <row r="178" spans="1:11" hidden="1" x14ac:dyDescent="0.25">
      <c r="C178" s="9"/>
      <c r="D178" s="10">
        <v>45689</v>
      </c>
      <c r="E178" t="s">
        <v>177</v>
      </c>
      <c r="F178" s="11" t="s">
        <v>178</v>
      </c>
      <c r="G178" s="8">
        <v>0</v>
      </c>
      <c r="H178" s="8">
        <v>42.35</v>
      </c>
      <c r="I178" s="8">
        <f t="shared" si="7"/>
        <v>-42.35</v>
      </c>
      <c r="J178" s="12"/>
    </row>
    <row r="179" spans="1:11" hidden="1" x14ac:dyDescent="0.25">
      <c r="C179" s="9"/>
      <c r="D179" s="10">
        <v>45693</v>
      </c>
      <c r="E179" t="s">
        <v>176</v>
      </c>
      <c r="F179" s="11" t="s">
        <v>169</v>
      </c>
      <c r="G179" s="8">
        <v>42.35</v>
      </c>
      <c r="H179" s="8">
        <v>0</v>
      </c>
      <c r="I179" s="8">
        <f t="shared" si="7"/>
        <v>0</v>
      </c>
      <c r="J179" s="12"/>
    </row>
    <row r="180" spans="1:11" x14ac:dyDescent="0.25">
      <c r="C180" s="9"/>
      <c r="D180" s="10">
        <v>45721</v>
      </c>
      <c r="E180" t="s">
        <v>176</v>
      </c>
      <c r="F180" s="11" t="s">
        <v>169</v>
      </c>
      <c r="G180" s="8">
        <v>42.35</v>
      </c>
      <c r="H180" s="8">
        <v>0</v>
      </c>
      <c r="I180" s="8">
        <f t="shared" si="7"/>
        <v>42.35</v>
      </c>
      <c r="J180" s="15" t="s">
        <v>755</v>
      </c>
    </row>
    <row r="181" spans="1:11" hidden="1" x14ac:dyDescent="0.25">
      <c r="C181" s="9"/>
      <c r="D181" s="10">
        <v>45754</v>
      </c>
      <c r="E181" t="s">
        <v>176</v>
      </c>
      <c r="F181" s="11" t="s">
        <v>169</v>
      </c>
      <c r="G181" s="8">
        <v>42.35</v>
      </c>
      <c r="H181" s="8">
        <v>0</v>
      </c>
      <c r="I181" s="8">
        <f t="shared" si="7"/>
        <v>84.7</v>
      </c>
      <c r="J181" s="12"/>
    </row>
    <row r="182" spans="1:11" hidden="1" x14ac:dyDescent="0.25">
      <c r="E182" s="4" t="s">
        <v>35</v>
      </c>
      <c r="G182" s="8">
        <f>SUM(G172:G181)</f>
        <v>296.45</v>
      </c>
      <c r="H182" s="8">
        <f>SUM(H172:H181)</f>
        <v>211.75</v>
      </c>
      <c r="I182" s="8">
        <f>G182-H182</f>
        <v>84.699999999999989</v>
      </c>
    </row>
    <row r="184" spans="1:11" hidden="1" x14ac:dyDescent="0.25">
      <c r="A184" s="5">
        <v>41000015</v>
      </c>
      <c r="B184" s="6" t="s">
        <v>179</v>
      </c>
      <c r="C184" s="7"/>
      <c r="D184" s="7"/>
      <c r="E184" s="7"/>
      <c r="F184" s="7"/>
      <c r="G184" s="7"/>
      <c r="H184" s="7"/>
      <c r="I184" s="7"/>
      <c r="J184" s="7"/>
    </row>
    <row r="185" spans="1:11" hidden="1" x14ac:dyDescent="0.25">
      <c r="C185" s="9"/>
      <c r="D185" s="10">
        <v>45658</v>
      </c>
      <c r="E185" t="s">
        <v>180</v>
      </c>
      <c r="F185" s="11" t="s">
        <v>181</v>
      </c>
      <c r="G185" s="8">
        <v>0</v>
      </c>
      <c r="H185" s="8">
        <v>119.37</v>
      </c>
      <c r="I185" s="8">
        <f>G185-H185</f>
        <v>-119.37</v>
      </c>
      <c r="J185" s="12"/>
    </row>
    <row r="186" spans="1:11" hidden="1" x14ac:dyDescent="0.25">
      <c r="C186" s="9"/>
      <c r="D186" s="10">
        <v>45683</v>
      </c>
      <c r="E186" t="s">
        <v>182</v>
      </c>
      <c r="F186" s="11" t="s">
        <v>181</v>
      </c>
      <c r="G186" s="8">
        <v>119.37</v>
      </c>
      <c r="H186" s="8">
        <v>0</v>
      </c>
      <c r="I186" s="8">
        <f>G186-H186+I185</f>
        <v>0</v>
      </c>
      <c r="J186" s="12"/>
    </row>
    <row r="187" spans="1:11" hidden="1" x14ac:dyDescent="0.25">
      <c r="C187" s="9"/>
      <c r="D187" s="10">
        <v>45694</v>
      </c>
      <c r="E187" t="s">
        <v>183</v>
      </c>
      <c r="F187" s="11" t="s">
        <v>184</v>
      </c>
      <c r="G187" s="8">
        <v>119.37</v>
      </c>
      <c r="H187" s="8">
        <v>119.37</v>
      </c>
      <c r="I187" s="8">
        <f>G187-H187+I186</f>
        <v>0</v>
      </c>
      <c r="J187" s="12"/>
    </row>
    <row r="188" spans="1:11" hidden="1" x14ac:dyDescent="0.25">
      <c r="E188" s="4" t="s">
        <v>35</v>
      </c>
      <c r="G188" s="8">
        <f>SUM(G185:G187)</f>
        <v>238.74</v>
      </c>
      <c r="H188" s="8">
        <f>SUM(H185:H187)</f>
        <v>238.74</v>
      </c>
      <c r="I188" s="8">
        <f>G188-H188</f>
        <v>0</v>
      </c>
    </row>
    <row r="189" spans="1:11" hidden="1" x14ac:dyDescent="0.25"/>
    <row r="190" spans="1:11" x14ac:dyDescent="0.25">
      <c r="A190" s="5">
        <v>41000016</v>
      </c>
      <c r="B190" s="6" t="s">
        <v>185</v>
      </c>
      <c r="C190" s="7"/>
      <c r="D190" s="7"/>
      <c r="E190" s="7"/>
      <c r="F190" s="7"/>
      <c r="G190" s="7"/>
      <c r="H190" s="7"/>
      <c r="I190" s="7"/>
      <c r="J190" s="7"/>
    </row>
    <row r="191" spans="1:11" x14ac:dyDescent="0.25">
      <c r="C191" s="9"/>
      <c r="D191" s="10">
        <v>45709</v>
      </c>
      <c r="E191" t="s">
        <v>186</v>
      </c>
      <c r="F191" s="11" t="s">
        <v>50</v>
      </c>
      <c r="G191" s="24">
        <v>859.1</v>
      </c>
      <c r="H191" s="8">
        <v>0</v>
      </c>
      <c r="I191" s="8">
        <f>G191-H191</f>
        <v>859.1</v>
      </c>
      <c r="J191" s="12"/>
    </row>
    <row r="192" spans="1:11" x14ac:dyDescent="0.25">
      <c r="C192" s="9"/>
      <c r="D192" s="10">
        <v>45720</v>
      </c>
      <c r="E192" t="s">
        <v>187</v>
      </c>
      <c r="F192" s="11" t="s">
        <v>188</v>
      </c>
      <c r="G192" s="8">
        <v>0</v>
      </c>
      <c r="H192" s="24">
        <v>834.9</v>
      </c>
      <c r="I192" s="8">
        <f>G192-H192+I191</f>
        <v>24.200000000000045</v>
      </c>
      <c r="J192" s="25" t="s">
        <v>759</v>
      </c>
      <c r="K192" s="26">
        <f>G191-H192</f>
        <v>24.200000000000045</v>
      </c>
    </row>
    <row r="193" spans="5:9" hidden="1" x14ac:dyDescent="0.25">
      <c r="E193" s="4" t="s">
        <v>35</v>
      </c>
      <c r="G193" s="8">
        <f>SUM(G191:G192)</f>
        <v>859.1</v>
      </c>
      <c r="H193" s="8">
        <f>SUM(H191:H192)</f>
        <v>834.9</v>
      </c>
      <c r="I193" s="8">
        <f>G193-H193</f>
        <v>24.200000000000045</v>
      </c>
    </row>
  </sheetData>
  <mergeCells count="1">
    <mergeCell ref="A8:J8"/>
  </mergeCells>
  <pageMargins left="0.75" right="0.75" top="1" bottom="1" header="0.5" footer="0.5"/>
  <pageSetup paperSize="9" fitToHeight="10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0D272-DF22-45D4-8AF8-18B78450C34C}">
  <dimension ref="A1:J257"/>
  <sheetViews>
    <sheetView workbookViewId="0">
      <selection activeCell="K27" sqref="K27"/>
    </sheetView>
  </sheetViews>
  <sheetFormatPr baseColWidth="10" defaultRowHeight="15" x14ac:dyDescent="0.25"/>
  <cols>
    <col min="5" max="5" width="32.28515625" bestFit="1" customWidth="1"/>
    <col min="9" max="9" width="0" hidden="1" customWidth="1"/>
    <col min="10" max="10" width="17.42578125" customWidth="1"/>
  </cols>
  <sheetData>
    <row r="1" spans="1:10" ht="45.75" customHeight="1" thickTop="1" x14ac:dyDescent="0.25">
      <c r="A1" s="22" t="s">
        <v>754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idden="1" x14ac:dyDescent="0.25">
      <c r="A2" s="5">
        <v>43000002</v>
      </c>
      <c r="B2" s="6" t="s">
        <v>189</v>
      </c>
      <c r="C2" s="7"/>
      <c r="D2" s="7"/>
      <c r="E2" s="7"/>
      <c r="F2" s="7"/>
      <c r="G2" s="7"/>
      <c r="H2" s="7"/>
      <c r="I2" s="7"/>
      <c r="J2" s="7"/>
    </row>
    <row r="3" spans="1:10" hidden="1" x14ac:dyDescent="0.25">
      <c r="C3" s="9"/>
      <c r="D3" s="10">
        <v>45660</v>
      </c>
      <c r="E3" t="s">
        <v>190</v>
      </c>
      <c r="F3" s="11" t="s">
        <v>191</v>
      </c>
      <c r="G3" s="8">
        <v>90.02</v>
      </c>
      <c r="H3" s="8">
        <v>90.02</v>
      </c>
      <c r="I3" s="8">
        <f>G3-H3</f>
        <v>0</v>
      </c>
      <c r="J3" s="12"/>
    </row>
    <row r="4" spans="1:10" hidden="1" x14ac:dyDescent="0.25">
      <c r="E4" s="4" t="s">
        <v>35</v>
      </c>
      <c r="G4" s="8">
        <f>G3</f>
        <v>90.02</v>
      </c>
      <c r="H4" s="8">
        <f>H3</f>
        <v>90.02</v>
      </c>
      <c r="I4" s="8">
        <f>G4-H4</f>
        <v>0</v>
      </c>
    </row>
    <row r="5" spans="1:10" hidden="1" x14ac:dyDescent="0.25"/>
    <row r="6" spans="1:10" hidden="1" x14ac:dyDescent="0.25">
      <c r="A6" s="5">
        <v>43000007</v>
      </c>
      <c r="B6" s="6" t="s">
        <v>192</v>
      </c>
      <c r="C6" s="7"/>
      <c r="D6" s="7"/>
      <c r="E6" s="7"/>
      <c r="F6" s="7"/>
      <c r="G6" s="7"/>
      <c r="H6" s="7"/>
      <c r="I6" s="7"/>
      <c r="J6" s="7"/>
    </row>
    <row r="7" spans="1:10" hidden="1" x14ac:dyDescent="0.25">
      <c r="C7" s="9"/>
      <c r="D7" s="10">
        <v>45694</v>
      </c>
      <c r="E7" t="s">
        <v>193</v>
      </c>
      <c r="F7" s="11" t="s">
        <v>194</v>
      </c>
      <c r="G7" s="8">
        <v>38.01</v>
      </c>
      <c r="H7" s="8">
        <v>38.01</v>
      </c>
      <c r="I7" s="8">
        <f>G7-H7</f>
        <v>0</v>
      </c>
      <c r="J7" s="12"/>
    </row>
    <row r="8" spans="1:10" hidden="1" x14ac:dyDescent="0.25">
      <c r="E8" s="4" t="s">
        <v>35</v>
      </c>
      <c r="G8" s="8">
        <f>G7</f>
        <v>38.01</v>
      </c>
      <c r="H8" s="8">
        <f>H7</f>
        <v>38.01</v>
      </c>
      <c r="I8" s="8">
        <f>G8-H8</f>
        <v>0</v>
      </c>
    </row>
    <row r="9" spans="1:10" hidden="1" x14ac:dyDescent="0.25"/>
    <row r="10" spans="1:10" x14ac:dyDescent="0.25">
      <c r="A10" s="5">
        <v>43000011</v>
      </c>
      <c r="B10" s="6" t="s">
        <v>195</v>
      </c>
      <c r="C10" s="7"/>
      <c r="D10" s="7"/>
      <c r="E10" s="7"/>
      <c r="F10" s="7"/>
      <c r="G10" s="7"/>
      <c r="H10" s="7"/>
      <c r="I10" s="7"/>
      <c r="J10" s="7"/>
    </row>
    <row r="11" spans="1:10" x14ac:dyDescent="0.25">
      <c r="C11" s="9"/>
      <c r="D11" s="10">
        <v>45688</v>
      </c>
      <c r="E11" t="s">
        <v>196</v>
      </c>
      <c r="F11" s="11" t="s">
        <v>197</v>
      </c>
      <c r="G11" s="8">
        <v>148.08000000000001</v>
      </c>
      <c r="H11" s="8">
        <v>0</v>
      </c>
      <c r="I11" s="8">
        <f>G11-H11</f>
        <v>148.08000000000001</v>
      </c>
      <c r="J11" s="15" t="s">
        <v>756</v>
      </c>
    </row>
    <row r="12" spans="1:10" hidden="1" x14ac:dyDescent="0.25">
      <c r="E12" s="4" t="s">
        <v>35</v>
      </c>
      <c r="G12" s="8">
        <f>G11</f>
        <v>148.08000000000001</v>
      </c>
      <c r="H12" s="8">
        <f>H11</f>
        <v>0</v>
      </c>
      <c r="I12" s="8">
        <f>G12-H12</f>
        <v>148.08000000000001</v>
      </c>
    </row>
    <row r="14" spans="1:10" x14ac:dyDescent="0.25">
      <c r="A14" s="5">
        <v>43000017</v>
      </c>
      <c r="B14" s="6" t="s">
        <v>198</v>
      </c>
      <c r="C14" s="7"/>
      <c r="D14" s="7"/>
      <c r="E14" s="7"/>
      <c r="F14" s="7"/>
      <c r="G14" s="7"/>
      <c r="H14" s="7"/>
      <c r="I14" s="7"/>
      <c r="J14" s="7"/>
    </row>
    <row r="15" spans="1:10" x14ac:dyDescent="0.25">
      <c r="C15" s="9"/>
      <c r="D15" s="10">
        <v>45679</v>
      </c>
      <c r="E15" t="s">
        <v>199</v>
      </c>
      <c r="F15" s="11" t="s">
        <v>200</v>
      </c>
      <c r="G15" s="8">
        <v>222.83</v>
      </c>
      <c r="H15" s="8">
        <v>0</v>
      </c>
      <c r="I15" s="8">
        <f>G15-H15</f>
        <v>222.83</v>
      </c>
      <c r="J15" s="15" t="s">
        <v>756</v>
      </c>
    </row>
    <row r="16" spans="1:10" hidden="1" x14ac:dyDescent="0.25">
      <c r="C16" s="9"/>
      <c r="D16" s="10">
        <v>45744</v>
      </c>
      <c r="E16" t="s">
        <v>201</v>
      </c>
      <c r="F16" s="11" t="s">
        <v>202</v>
      </c>
      <c r="G16" s="16">
        <v>154.88</v>
      </c>
      <c r="H16" s="16">
        <v>0</v>
      </c>
      <c r="I16" s="8">
        <f>G16-H16+I15</f>
        <v>377.71000000000004</v>
      </c>
      <c r="J16" s="12"/>
    </row>
    <row r="17" spans="1:10" hidden="1" x14ac:dyDescent="0.25">
      <c r="C17" s="9" t="s">
        <v>13</v>
      </c>
      <c r="D17" s="10">
        <v>45745</v>
      </c>
      <c r="E17" t="s">
        <v>203</v>
      </c>
      <c r="F17" s="11" t="s">
        <v>50</v>
      </c>
      <c r="G17" s="16">
        <v>0</v>
      </c>
      <c r="H17" s="16">
        <v>154.88</v>
      </c>
      <c r="I17" s="8">
        <f>G17-H17+I16</f>
        <v>222.83000000000004</v>
      </c>
      <c r="J17" s="12"/>
    </row>
    <row r="18" spans="1:10" hidden="1" x14ac:dyDescent="0.25">
      <c r="E18" s="4" t="s">
        <v>35</v>
      </c>
      <c r="G18" s="8">
        <f>SUM(G15:G17)</f>
        <v>377.71000000000004</v>
      </c>
      <c r="H18" s="8">
        <f>SUM(H15:H17)</f>
        <v>154.88</v>
      </c>
      <c r="I18" s="8">
        <f>G18-H18</f>
        <v>222.83000000000004</v>
      </c>
    </row>
    <row r="20" spans="1:10" hidden="1" x14ac:dyDescent="0.25">
      <c r="A20" s="5">
        <v>43000019</v>
      </c>
      <c r="B20" s="6" t="s">
        <v>204</v>
      </c>
      <c r="C20" s="7"/>
      <c r="D20" s="7"/>
      <c r="E20" s="7"/>
      <c r="F20" s="7"/>
      <c r="G20" s="7"/>
      <c r="H20" s="7"/>
      <c r="I20" s="7"/>
      <c r="J20" s="7"/>
    </row>
    <row r="21" spans="1:10" hidden="1" x14ac:dyDescent="0.25">
      <c r="C21" s="9"/>
      <c r="D21" s="10">
        <v>45722</v>
      </c>
      <c r="E21" t="s">
        <v>205</v>
      </c>
      <c r="F21" s="11" t="s">
        <v>206</v>
      </c>
      <c r="G21" s="8">
        <v>184.48</v>
      </c>
      <c r="H21" s="8">
        <v>184.48</v>
      </c>
      <c r="I21" s="8">
        <f>G21-H21</f>
        <v>0</v>
      </c>
      <c r="J21" s="12"/>
    </row>
    <row r="22" spans="1:10" hidden="1" x14ac:dyDescent="0.25">
      <c r="E22" s="4" t="s">
        <v>35</v>
      </c>
      <c r="G22" s="8">
        <f>G21</f>
        <v>184.48</v>
      </c>
      <c r="H22" s="8">
        <f>H21</f>
        <v>184.48</v>
      </c>
      <c r="I22" s="8">
        <f>G22-H22</f>
        <v>0</v>
      </c>
    </row>
    <row r="23" spans="1:10" hidden="1" x14ac:dyDescent="0.25"/>
    <row r="24" spans="1:10" x14ac:dyDescent="0.25">
      <c r="A24" s="5">
        <v>43000027</v>
      </c>
      <c r="B24" s="6" t="s">
        <v>207</v>
      </c>
      <c r="C24" s="7"/>
      <c r="D24" s="7"/>
      <c r="E24" s="7"/>
      <c r="F24" s="7"/>
      <c r="G24" s="7"/>
      <c r="H24" s="7"/>
      <c r="I24" s="7"/>
      <c r="J24" s="7"/>
    </row>
    <row r="25" spans="1:10" hidden="1" x14ac:dyDescent="0.25">
      <c r="E25" s="4" t="s">
        <v>10</v>
      </c>
      <c r="G25" s="16">
        <v>0</v>
      </c>
      <c r="H25" s="16">
        <v>132.99</v>
      </c>
      <c r="I25" s="8">
        <f>G25-H25</f>
        <v>-132.99</v>
      </c>
    </row>
    <row r="26" spans="1:10" hidden="1" x14ac:dyDescent="0.25">
      <c r="C26" s="9" t="s">
        <v>13</v>
      </c>
      <c r="D26" s="10">
        <v>45719</v>
      </c>
      <c r="E26" t="s">
        <v>208</v>
      </c>
      <c r="F26" s="11" t="s">
        <v>50</v>
      </c>
      <c r="G26" s="16">
        <v>132.99</v>
      </c>
      <c r="H26" s="16">
        <v>0</v>
      </c>
      <c r="I26" s="8">
        <f>G26-H26+I25</f>
        <v>0</v>
      </c>
      <c r="J26" s="12"/>
    </row>
    <row r="27" spans="1:10" x14ac:dyDescent="0.25">
      <c r="C27" s="9"/>
      <c r="D27" s="10">
        <v>45722</v>
      </c>
      <c r="E27" t="s">
        <v>209</v>
      </c>
      <c r="F27" s="11" t="s">
        <v>50</v>
      </c>
      <c r="G27" s="8">
        <v>0</v>
      </c>
      <c r="H27" s="8">
        <v>81.97</v>
      </c>
      <c r="I27" s="8">
        <f>G27-H27+I26</f>
        <v>-81.97</v>
      </c>
      <c r="J27" s="23" t="s">
        <v>755</v>
      </c>
    </row>
    <row r="28" spans="1:10" hidden="1" x14ac:dyDescent="0.25">
      <c r="E28" s="4" t="s">
        <v>35</v>
      </c>
      <c r="G28" s="8">
        <f>SUM(G25:G27)</f>
        <v>132.99</v>
      </c>
      <c r="H28" s="8">
        <f>SUM(H25:H27)</f>
        <v>214.96</v>
      </c>
      <c r="I28" s="8">
        <f>G28-H28</f>
        <v>-81.97</v>
      </c>
    </row>
    <row r="30" spans="1:10" x14ac:dyDescent="0.25">
      <c r="A30" s="5">
        <v>43000043</v>
      </c>
      <c r="B30" s="6" t="s">
        <v>210</v>
      </c>
      <c r="C30" s="7"/>
      <c r="D30" s="7"/>
      <c r="E30" s="7"/>
      <c r="F30" s="7"/>
      <c r="G30" s="7"/>
      <c r="H30" s="7"/>
      <c r="I30" s="7"/>
      <c r="J30" s="7"/>
    </row>
    <row r="31" spans="1:10" x14ac:dyDescent="0.25">
      <c r="C31" s="9"/>
      <c r="D31" s="10">
        <v>45700</v>
      </c>
      <c r="E31" t="s">
        <v>211</v>
      </c>
      <c r="F31" s="11" t="s">
        <v>212</v>
      </c>
      <c r="G31" s="8">
        <v>186.24</v>
      </c>
      <c r="H31" s="8">
        <v>0</v>
      </c>
      <c r="I31" s="8">
        <f>G31-H31</f>
        <v>186.24</v>
      </c>
      <c r="J31" s="15" t="s">
        <v>756</v>
      </c>
    </row>
    <row r="32" spans="1:10" hidden="1" x14ac:dyDescent="0.25">
      <c r="E32" s="4" t="s">
        <v>35</v>
      </c>
      <c r="G32" s="8">
        <f>G31</f>
        <v>186.24</v>
      </c>
      <c r="H32" s="8">
        <f>H31</f>
        <v>0</v>
      </c>
      <c r="I32" s="8">
        <f>G32-H32</f>
        <v>186.24</v>
      </c>
    </row>
    <row r="34" spans="1:10" hidden="1" x14ac:dyDescent="0.25">
      <c r="A34" s="5">
        <v>43000045</v>
      </c>
      <c r="B34" s="6" t="s">
        <v>213</v>
      </c>
      <c r="C34" s="7"/>
      <c r="D34" s="7"/>
      <c r="E34" s="7"/>
      <c r="F34" s="7"/>
      <c r="G34" s="7"/>
      <c r="H34" s="7"/>
      <c r="I34" s="7"/>
      <c r="J34" s="7"/>
    </row>
    <row r="35" spans="1:10" hidden="1" x14ac:dyDescent="0.25">
      <c r="C35" s="9"/>
      <c r="D35" s="10">
        <v>45673</v>
      </c>
      <c r="E35" t="s">
        <v>214</v>
      </c>
      <c r="F35" s="11" t="s">
        <v>215</v>
      </c>
      <c r="G35" s="8">
        <v>50</v>
      </c>
      <c r="H35" s="8">
        <v>200.02</v>
      </c>
      <c r="I35" s="8">
        <f>G35-H35</f>
        <v>-150.02000000000001</v>
      </c>
      <c r="J35" s="12"/>
    </row>
    <row r="36" spans="1:10" hidden="1" x14ac:dyDescent="0.25">
      <c r="C36" s="9"/>
      <c r="D36" s="10">
        <v>45673</v>
      </c>
      <c r="E36" t="s">
        <v>216</v>
      </c>
      <c r="F36" s="11" t="s">
        <v>217</v>
      </c>
      <c r="G36" s="8">
        <v>150.02000000000001</v>
      </c>
      <c r="H36" s="8">
        <v>0</v>
      </c>
      <c r="I36" s="8">
        <f>G36-H36+I35</f>
        <v>0</v>
      </c>
      <c r="J36" s="12"/>
    </row>
    <row r="37" spans="1:10" hidden="1" x14ac:dyDescent="0.25">
      <c r="E37" s="4" t="s">
        <v>35</v>
      </c>
      <c r="G37" s="8">
        <f>SUM(G35:G36)</f>
        <v>200.02</v>
      </c>
      <c r="H37" s="8">
        <f>SUM(H35:H36)</f>
        <v>200.02</v>
      </c>
      <c r="I37" s="8">
        <f>G37-H37</f>
        <v>0</v>
      </c>
    </row>
    <row r="38" spans="1:10" hidden="1" x14ac:dyDescent="0.25"/>
    <row r="39" spans="1:10" hidden="1" x14ac:dyDescent="0.25">
      <c r="A39" s="5">
        <v>43000046</v>
      </c>
      <c r="B39" s="6" t="s">
        <v>218</v>
      </c>
      <c r="C39" s="7"/>
      <c r="D39" s="7"/>
      <c r="E39" s="7"/>
      <c r="F39" s="7"/>
      <c r="G39" s="7"/>
      <c r="H39" s="7"/>
      <c r="I39" s="7"/>
      <c r="J39" s="7"/>
    </row>
    <row r="40" spans="1:10" hidden="1" x14ac:dyDescent="0.25">
      <c r="C40" s="9"/>
      <c r="D40" s="10">
        <v>45706</v>
      </c>
      <c r="E40" t="s">
        <v>219</v>
      </c>
      <c r="F40" s="11" t="s">
        <v>220</v>
      </c>
      <c r="G40" s="8">
        <v>20.010000000000002</v>
      </c>
      <c r="H40" s="8">
        <v>20</v>
      </c>
      <c r="I40" s="8">
        <f>G40-H40</f>
        <v>1.0000000000001563E-2</v>
      </c>
      <c r="J40" s="12"/>
    </row>
    <row r="41" spans="1:10" hidden="1" x14ac:dyDescent="0.25">
      <c r="C41" s="9"/>
      <c r="D41" s="10">
        <v>45720</v>
      </c>
      <c r="E41" t="s">
        <v>221</v>
      </c>
      <c r="F41" s="11" t="s">
        <v>222</v>
      </c>
      <c r="G41" s="16">
        <v>25</v>
      </c>
      <c r="H41" s="16">
        <v>0.01</v>
      </c>
      <c r="I41" s="8">
        <f>G41-H41+I40</f>
        <v>25</v>
      </c>
      <c r="J41" s="12"/>
    </row>
    <row r="42" spans="1:10" hidden="1" x14ac:dyDescent="0.25">
      <c r="C42" s="9" t="s">
        <v>13</v>
      </c>
      <c r="D42" s="10">
        <v>45721</v>
      </c>
      <c r="E42" t="s">
        <v>203</v>
      </c>
      <c r="F42" s="11" t="s">
        <v>50</v>
      </c>
      <c r="G42" s="16">
        <v>0</v>
      </c>
      <c r="H42" s="16">
        <v>25</v>
      </c>
      <c r="I42" s="8">
        <f>G42-H42+I41</f>
        <v>0</v>
      </c>
      <c r="J42" s="12"/>
    </row>
    <row r="43" spans="1:10" hidden="1" x14ac:dyDescent="0.25">
      <c r="E43" s="4" t="s">
        <v>35</v>
      </c>
      <c r="G43" s="8">
        <f>SUM(G40:G42)</f>
        <v>45.010000000000005</v>
      </c>
      <c r="H43" s="8">
        <f>SUM(H40:H42)</f>
        <v>45.010000000000005</v>
      </c>
      <c r="I43" s="8">
        <f>G43-H43</f>
        <v>0</v>
      </c>
    </row>
    <row r="44" spans="1:10" hidden="1" x14ac:dyDescent="0.25"/>
    <row r="45" spans="1:10" hidden="1" x14ac:dyDescent="0.25">
      <c r="A45" s="5">
        <v>43000050</v>
      </c>
      <c r="B45" s="6" t="s">
        <v>223</v>
      </c>
      <c r="C45" s="7"/>
      <c r="D45" s="7"/>
      <c r="E45" s="7"/>
      <c r="F45" s="7"/>
      <c r="G45" s="7"/>
      <c r="H45" s="7"/>
      <c r="I45" s="7"/>
      <c r="J45" s="7"/>
    </row>
    <row r="46" spans="1:10" hidden="1" x14ac:dyDescent="0.25">
      <c r="C46" s="9"/>
      <c r="D46" s="10">
        <v>45716</v>
      </c>
      <c r="E46" t="s">
        <v>224</v>
      </c>
      <c r="F46" s="11" t="s">
        <v>225</v>
      </c>
      <c r="G46" s="8">
        <v>159.63999999999999</v>
      </c>
      <c r="H46" s="8">
        <v>0</v>
      </c>
      <c r="I46" s="8">
        <f>G46-H46</f>
        <v>159.63999999999999</v>
      </c>
      <c r="J46" s="12"/>
    </row>
    <row r="47" spans="1:10" hidden="1" x14ac:dyDescent="0.25">
      <c r="C47" s="9" t="s">
        <v>13</v>
      </c>
      <c r="D47" s="10">
        <v>45719</v>
      </c>
      <c r="E47" t="s">
        <v>226</v>
      </c>
      <c r="F47" s="11" t="s">
        <v>225</v>
      </c>
      <c r="G47" s="8">
        <v>0</v>
      </c>
      <c r="H47" s="8">
        <v>159.63999999999999</v>
      </c>
      <c r="I47" s="8">
        <f>G47-H47+I46</f>
        <v>0</v>
      </c>
      <c r="J47" s="12"/>
    </row>
    <row r="48" spans="1:10" hidden="1" x14ac:dyDescent="0.25">
      <c r="E48" s="4" t="s">
        <v>35</v>
      </c>
      <c r="G48" s="8">
        <f>SUM(G46:G47)</f>
        <v>159.63999999999999</v>
      </c>
      <c r="H48" s="8">
        <f>SUM(H46:H47)</f>
        <v>159.63999999999999</v>
      </c>
      <c r="I48" s="8">
        <f>G48-H48</f>
        <v>0</v>
      </c>
    </row>
    <row r="49" spans="1:10" hidden="1" x14ac:dyDescent="0.25"/>
    <row r="50" spans="1:10" hidden="1" x14ac:dyDescent="0.25">
      <c r="A50" s="5">
        <v>43000066</v>
      </c>
      <c r="B50" s="6" t="s">
        <v>227</v>
      </c>
      <c r="C50" s="7"/>
      <c r="D50" s="7"/>
      <c r="E50" s="7"/>
      <c r="F50" s="7"/>
      <c r="G50" s="7"/>
      <c r="H50" s="7"/>
      <c r="I50" s="7"/>
      <c r="J50" s="7"/>
    </row>
    <row r="51" spans="1:10" hidden="1" x14ac:dyDescent="0.25">
      <c r="C51" s="9"/>
      <c r="D51" s="10">
        <v>45727</v>
      </c>
      <c r="E51" t="s">
        <v>228</v>
      </c>
      <c r="F51" s="11" t="s">
        <v>229</v>
      </c>
      <c r="G51" s="8">
        <v>100.43</v>
      </c>
      <c r="H51" s="8">
        <v>100.43</v>
      </c>
      <c r="I51" s="8">
        <f>G51-H51</f>
        <v>0</v>
      </c>
      <c r="J51" s="12"/>
    </row>
    <row r="52" spans="1:10" hidden="1" x14ac:dyDescent="0.25">
      <c r="E52" s="4" t="s">
        <v>35</v>
      </c>
      <c r="G52" s="8">
        <f>G51</f>
        <v>100.43</v>
      </c>
      <c r="H52" s="8">
        <f>H51</f>
        <v>100.43</v>
      </c>
      <c r="I52" s="8">
        <f>G52-H52</f>
        <v>0</v>
      </c>
    </row>
    <row r="53" spans="1:10" hidden="1" x14ac:dyDescent="0.25"/>
    <row r="54" spans="1:10" hidden="1" x14ac:dyDescent="0.25">
      <c r="A54" s="5">
        <v>43000090</v>
      </c>
      <c r="B54" s="6" t="s">
        <v>230</v>
      </c>
      <c r="C54" s="7"/>
      <c r="D54" s="7"/>
      <c r="E54" s="7"/>
      <c r="F54" s="7"/>
      <c r="G54" s="7"/>
      <c r="H54" s="7"/>
      <c r="I54" s="7"/>
      <c r="J54" s="7"/>
    </row>
    <row r="55" spans="1:10" hidden="1" x14ac:dyDescent="0.25">
      <c r="E55" s="4" t="s">
        <v>10</v>
      </c>
      <c r="G55" s="8">
        <v>0.01</v>
      </c>
      <c r="H55" s="8">
        <v>0.01</v>
      </c>
      <c r="I55" s="8">
        <f>G55-H55</f>
        <v>0</v>
      </c>
    </row>
    <row r="56" spans="1:10" hidden="1" x14ac:dyDescent="0.25">
      <c r="C56" s="9"/>
      <c r="D56" s="10">
        <v>45678</v>
      </c>
      <c r="E56" t="s">
        <v>231</v>
      </c>
      <c r="F56" s="11" t="s">
        <v>232</v>
      </c>
      <c r="G56" s="16">
        <v>83.25</v>
      </c>
      <c r="H56" s="16">
        <v>0</v>
      </c>
      <c r="I56" s="8">
        <f t="shared" ref="I56:I61" si="0">G56-H56+I55</f>
        <v>83.25</v>
      </c>
      <c r="J56" s="12"/>
    </row>
    <row r="57" spans="1:10" hidden="1" x14ac:dyDescent="0.25">
      <c r="C57" s="9" t="s">
        <v>13</v>
      </c>
      <c r="D57" s="10">
        <v>45679</v>
      </c>
      <c r="E57" t="s">
        <v>203</v>
      </c>
      <c r="F57" s="11" t="s">
        <v>50</v>
      </c>
      <c r="G57" s="16">
        <v>0</v>
      </c>
      <c r="H57" s="16">
        <v>83.25</v>
      </c>
      <c r="I57" s="8">
        <f t="shared" si="0"/>
        <v>0</v>
      </c>
      <c r="J57" s="12"/>
    </row>
    <row r="58" spans="1:10" hidden="1" x14ac:dyDescent="0.25">
      <c r="C58" s="9"/>
      <c r="D58" s="10">
        <v>45701</v>
      </c>
      <c r="E58" t="s">
        <v>233</v>
      </c>
      <c r="F58" s="11" t="s">
        <v>234</v>
      </c>
      <c r="G58" s="16">
        <v>113.41</v>
      </c>
      <c r="H58" s="16">
        <v>0</v>
      </c>
      <c r="I58" s="8">
        <f t="shared" si="0"/>
        <v>113.41</v>
      </c>
      <c r="J58" s="12"/>
    </row>
    <row r="59" spans="1:10" hidden="1" x14ac:dyDescent="0.25">
      <c r="C59" s="9" t="s">
        <v>13</v>
      </c>
      <c r="D59" s="10">
        <v>45702</v>
      </c>
      <c r="E59" t="s">
        <v>203</v>
      </c>
      <c r="F59" s="11" t="s">
        <v>50</v>
      </c>
      <c r="G59" s="16">
        <v>0</v>
      </c>
      <c r="H59" s="16">
        <v>113.41</v>
      </c>
      <c r="I59" s="8">
        <f t="shared" si="0"/>
        <v>0</v>
      </c>
      <c r="J59" s="12"/>
    </row>
    <row r="60" spans="1:10" hidden="1" x14ac:dyDescent="0.25">
      <c r="C60" s="9"/>
      <c r="D60" s="10">
        <v>45733</v>
      </c>
      <c r="E60" t="s">
        <v>235</v>
      </c>
      <c r="F60" s="11" t="s">
        <v>236</v>
      </c>
      <c r="G60" s="16">
        <v>25</v>
      </c>
      <c r="H60" s="16">
        <v>0</v>
      </c>
      <c r="I60" s="8">
        <f t="shared" si="0"/>
        <v>25</v>
      </c>
      <c r="J60" s="12"/>
    </row>
    <row r="61" spans="1:10" hidden="1" x14ac:dyDescent="0.25">
      <c r="C61" s="9" t="s">
        <v>13</v>
      </c>
      <c r="D61" s="10">
        <v>45734</v>
      </c>
      <c r="E61" t="s">
        <v>203</v>
      </c>
      <c r="F61" s="11" t="s">
        <v>50</v>
      </c>
      <c r="G61" s="16">
        <v>0</v>
      </c>
      <c r="H61" s="16">
        <v>25</v>
      </c>
      <c r="I61" s="8">
        <f t="shared" si="0"/>
        <v>0</v>
      </c>
      <c r="J61" s="12"/>
    </row>
    <row r="62" spans="1:10" hidden="1" x14ac:dyDescent="0.25">
      <c r="E62" s="4" t="s">
        <v>35</v>
      </c>
      <c r="G62" s="8">
        <f>SUM(G55:G61)</f>
        <v>221.67000000000002</v>
      </c>
      <c r="H62" s="8">
        <f>SUM(H55:H61)</f>
        <v>221.67000000000002</v>
      </c>
      <c r="I62" s="8">
        <f>G62-H62</f>
        <v>0</v>
      </c>
    </row>
    <row r="63" spans="1:10" hidden="1" x14ac:dyDescent="0.25"/>
    <row r="64" spans="1:10" hidden="1" x14ac:dyDescent="0.25">
      <c r="A64" s="5">
        <v>43000091</v>
      </c>
      <c r="B64" s="6" t="s">
        <v>237</v>
      </c>
      <c r="C64" s="7"/>
      <c r="D64" s="7"/>
      <c r="E64" s="7"/>
      <c r="F64" s="7"/>
      <c r="G64" s="7"/>
      <c r="H64" s="7"/>
      <c r="I64" s="7"/>
      <c r="J64" s="7"/>
    </row>
    <row r="65" spans="1:10" hidden="1" x14ac:dyDescent="0.25">
      <c r="E65" s="4" t="s">
        <v>10</v>
      </c>
      <c r="G65" s="8">
        <v>0.06</v>
      </c>
      <c r="H65" s="8">
        <v>25.06</v>
      </c>
      <c r="I65" s="8">
        <f>G65-H65</f>
        <v>-25</v>
      </c>
    </row>
    <row r="66" spans="1:10" hidden="1" x14ac:dyDescent="0.25">
      <c r="C66" s="9"/>
      <c r="D66" s="10">
        <v>45719</v>
      </c>
      <c r="E66" t="s">
        <v>238</v>
      </c>
      <c r="F66" s="11" t="s">
        <v>239</v>
      </c>
      <c r="G66" s="8">
        <v>25</v>
      </c>
      <c r="H66" s="8">
        <v>0</v>
      </c>
      <c r="I66" s="8">
        <f>G66-H66+I65</f>
        <v>0</v>
      </c>
      <c r="J66" s="12"/>
    </row>
    <row r="67" spans="1:10" hidden="1" x14ac:dyDescent="0.25">
      <c r="E67" s="4" t="s">
        <v>35</v>
      </c>
      <c r="G67" s="8">
        <f>SUM(G65:G66)</f>
        <v>25.06</v>
      </c>
      <c r="H67" s="8">
        <f>SUM(H65:H66)</f>
        <v>25.06</v>
      </c>
      <c r="I67" s="8">
        <f>G67-H67</f>
        <v>0</v>
      </c>
    </row>
    <row r="68" spans="1:10" hidden="1" x14ac:dyDescent="0.25"/>
    <row r="69" spans="1:10" hidden="1" x14ac:dyDescent="0.25">
      <c r="A69" s="5">
        <v>43000104</v>
      </c>
      <c r="B69" s="6" t="s">
        <v>240</v>
      </c>
      <c r="C69" s="7"/>
      <c r="D69" s="7"/>
      <c r="E69" s="7"/>
      <c r="F69" s="7"/>
      <c r="G69" s="7"/>
      <c r="H69" s="7"/>
      <c r="I69" s="7"/>
      <c r="J69" s="7"/>
    </row>
    <row r="70" spans="1:10" hidden="1" x14ac:dyDescent="0.25">
      <c r="C70" s="9"/>
      <c r="D70" s="10">
        <v>45747</v>
      </c>
      <c r="E70" t="s">
        <v>241</v>
      </c>
      <c r="F70" s="11" t="s">
        <v>242</v>
      </c>
      <c r="G70" s="8">
        <v>10.01</v>
      </c>
      <c r="H70" s="8">
        <v>10.01</v>
      </c>
      <c r="I70" s="8">
        <f>G70-H70</f>
        <v>0</v>
      </c>
      <c r="J70" s="12"/>
    </row>
    <row r="71" spans="1:10" hidden="1" x14ac:dyDescent="0.25">
      <c r="E71" s="4" t="s">
        <v>35</v>
      </c>
      <c r="G71" s="8">
        <f>G70</f>
        <v>10.01</v>
      </c>
      <c r="H71" s="8">
        <f>H70</f>
        <v>10.01</v>
      </c>
      <c r="I71" s="8">
        <f>G71-H71</f>
        <v>0</v>
      </c>
    </row>
    <row r="72" spans="1:10" hidden="1" x14ac:dyDescent="0.25"/>
    <row r="73" spans="1:10" x14ac:dyDescent="0.25">
      <c r="A73" s="5">
        <v>43000105</v>
      </c>
      <c r="B73" s="6" t="s">
        <v>243</v>
      </c>
      <c r="C73" s="7"/>
      <c r="D73" s="7"/>
      <c r="E73" s="7"/>
      <c r="F73" s="7"/>
      <c r="G73" s="7"/>
      <c r="H73" s="7"/>
      <c r="I73" s="7"/>
      <c r="J73" s="7"/>
    </row>
    <row r="74" spans="1:10" x14ac:dyDescent="0.25">
      <c r="E74" s="4" t="s">
        <v>10</v>
      </c>
      <c r="G74" s="8">
        <v>130.12</v>
      </c>
      <c r="H74" s="8">
        <v>0</v>
      </c>
      <c r="I74" s="8">
        <f>G74-H74</f>
        <v>130.12</v>
      </c>
      <c r="J74" s="15" t="s">
        <v>756</v>
      </c>
    </row>
    <row r="75" spans="1:10" hidden="1" x14ac:dyDescent="0.25">
      <c r="E75" s="4" t="s">
        <v>35</v>
      </c>
      <c r="G75" s="8">
        <f>G74</f>
        <v>130.12</v>
      </c>
      <c r="H75" s="8">
        <f>H74</f>
        <v>0</v>
      </c>
      <c r="I75" s="8">
        <f>G75-H75</f>
        <v>130.12</v>
      </c>
    </row>
    <row r="77" spans="1:10" x14ac:dyDescent="0.25">
      <c r="A77" s="5">
        <v>43000149</v>
      </c>
      <c r="B77" s="6" t="s">
        <v>244</v>
      </c>
      <c r="C77" s="7"/>
      <c r="D77" s="7"/>
      <c r="E77" s="7"/>
      <c r="F77" s="7"/>
      <c r="G77" s="7"/>
      <c r="H77" s="7"/>
      <c r="I77" s="7"/>
      <c r="J77" s="7"/>
    </row>
    <row r="78" spans="1:10" hidden="1" x14ac:dyDescent="0.25">
      <c r="C78" s="9"/>
      <c r="D78" s="10">
        <v>45708</v>
      </c>
      <c r="E78" t="s">
        <v>245</v>
      </c>
      <c r="F78" s="11" t="s">
        <v>246</v>
      </c>
      <c r="G78" s="16">
        <v>55.06</v>
      </c>
      <c r="H78" s="16">
        <v>0</v>
      </c>
      <c r="I78" s="8">
        <f>G78-H78</f>
        <v>55.06</v>
      </c>
      <c r="J78" s="12"/>
    </row>
    <row r="79" spans="1:10" hidden="1" x14ac:dyDescent="0.25">
      <c r="C79" s="9" t="s">
        <v>13</v>
      </c>
      <c r="D79" s="10">
        <v>45713</v>
      </c>
      <c r="E79" t="s">
        <v>203</v>
      </c>
      <c r="F79" s="11" t="s">
        <v>50</v>
      </c>
      <c r="G79" s="16">
        <v>0</v>
      </c>
      <c r="H79" s="16">
        <v>55.06</v>
      </c>
      <c r="I79" s="8">
        <f>G79-H79+I78</f>
        <v>0</v>
      </c>
      <c r="J79" s="12"/>
    </row>
    <row r="80" spans="1:10" x14ac:dyDescent="0.25">
      <c r="C80" s="9"/>
      <c r="D80" s="10">
        <v>45719</v>
      </c>
      <c r="E80" t="s">
        <v>247</v>
      </c>
      <c r="F80" s="11" t="s">
        <v>248</v>
      </c>
      <c r="G80" s="8">
        <v>206</v>
      </c>
      <c r="H80" s="8">
        <v>0</v>
      </c>
      <c r="I80" s="8">
        <f>G80-H80+I79</f>
        <v>206</v>
      </c>
      <c r="J80" s="15" t="s">
        <v>756</v>
      </c>
    </row>
    <row r="81" spans="1:10" hidden="1" x14ac:dyDescent="0.25">
      <c r="E81" s="4" t="s">
        <v>35</v>
      </c>
      <c r="G81" s="8">
        <f>SUM(G78:G80)</f>
        <v>261.06</v>
      </c>
      <c r="H81" s="8">
        <f>SUM(H78:H80)</f>
        <v>55.06</v>
      </c>
      <c r="I81" s="8">
        <f>G81-H81</f>
        <v>206</v>
      </c>
    </row>
    <row r="83" spans="1:10" hidden="1" x14ac:dyDescent="0.25">
      <c r="A83" s="5">
        <v>43000151</v>
      </c>
      <c r="B83" s="6" t="s">
        <v>249</v>
      </c>
      <c r="C83" s="7"/>
      <c r="D83" s="7"/>
      <c r="E83" s="7"/>
      <c r="F83" s="7"/>
      <c r="G83" s="7"/>
      <c r="H83" s="7"/>
      <c r="I83" s="7"/>
      <c r="J83" s="7"/>
    </row>
    <row r="84" spans="1:10" hidden="1" x14ac:dyDescent="0.25">
      <c r="C84" s="9"/>
      <c r="D84" s="10">
        <v>45684</v>
      </c>
      <c r="E84" t="s">
        <v>250</v>
      </c>
      <c r="F84" s="11" t="s">
        <v>251</v>
      </c>
      <c r="G84" s="8">
        <v>10.01</v>
      </c>
      <c r="H84" s="8">
        <v>10.01</v>
      </c>
      <c r="I84" s="8">
        <f>G84-H84</f>
        <v>0</v>
      </c>
      <c r="J84" s="12"/>
    </row>
    <row r="85" spans="1:10" hidden="1" x14ac:dyDescent="0.25">
      <c r="E85" s="4" t="s">
        <v>35</v>
      </c>
      <c r="G85" s="8">
        <f>G84</f>
        <v>10.01</v>
      </c>
      <c r="H85" s="8">
        <f>H84</f>
        <v>10.01</v>
      </c>
      <c r="I85" s="8">
        <f>G85-H85</f>
        <v>0</v>
      </c>
    </row>
    <row r="86" spans="1:10" hidden="1" x14ac:dyDescent="0.25"/>
    <row r="87" spans="1:10" x14ac:dyDescent="0.25">
      <c r="A87" s="5">
        <v>43000157</v>
      </c>
      <c r="B87" s="6" t="s">
        <v>252</v>
      </c>
      <c r="C87" s="7"/>
      <c r="D87" s="7"/>
      <c r="E87" s="7"/>
      <c r="F87" s="7"/>
      <c r="G87" s="7"/>
      <c r="H87" s="7"/>
      <c r="I87" s="7"/>
      <c r="J87" s="7"/>
    </row>
    <row r="88" spans="1:10" x14ac:dyDescent="0.25">
      <c r="C88" s="9"/>
      <c r="D88" s="10">
        <v>45665</v>
      </c>
      <c r="E88" t="s">
        <v>253</v>
      </c>
      <c r="F88" s="11" t="s">
        <v>254</v>
      </c>
      <c r="G88" s="8">
        <v>379.34</v>
      </c>
      <c r="H88" s="8">
        <v>0</v>
      </c>
      <c r="I88" s="8">
        <f>G88-H88</f>
        <v>379.34</v>
      </c>
      <c r="J88" s="15" t="s">
        <v>756</v>
      </c>
    </row>
    <row r="89" spans="1:10" hidden="1" x14ac:dyDescent="0.25">
      <c r="E89" s="4" t="s">
        <v>35</v>
      </c>
      <c r="G89" s="8">
        <f>G88</f>
        <v>379.34</v>
      </c>
      <c r="H89" s="8">
        <f>H88</f>
        <v>0</v>
      </c>
      <c r="I89" s="8">
        <f>G89-H89</f>
        <v>379.34</v>
      </c>
    </row>
    <row r="91" spans="1:10" x14ac:dyDescent="0.25">
      <c r="A91" s="5">
        <v>43000174</v>
      </c>
      <c r="B91" s="6" t="s">
        <v>255</v>
      </c>
      <c r="C91" s="7"/>
      <c r="D91" s="7"/>
      <c r="E91" s="7"/>
      <c r="F91" s="7"/>
      <c r="G91" s="7"/>
      <c r="H91" s="7"/>
      <c r="I91" s="7"/>
      <c r="J91" s="7"/>
    </row>
    <row r="92" spans="1:10" x14ac:dyDescent="0.25">
      <c r="C92" s="9"/>
      <c r="D92" s="10">
        <v>45701</v>
      </c>
      <c r="E92" t="s">
        <v>256</v>
      </c>
      <c r="F92" s="11" t="s">
        <v>257</v>
      </c>
      <c r="G92" s="8">
        <v>144.24</v>
      </c>
      <c r="H92" s="8">
        <v>0</v>
      </c>
      <c r="I92" s="8">
        <f>G92-H92</f>
        <v>144.24</v>
      </c>
      <c r="J92" s="15" t="s">
        <v>756</v>
      </c>
    </row>
    <row r="93" spans="1:10" hidden="1" x14ac:dyDescent="0.25">
      <c r="E93" s="4" t="s">
        <v>35</v>
      </c>
      <c r="G93" s="8">
        <f>G92</f>
        <v>144.24</v>
      </c>
      <c r="H93" s="8">
        <f>H92</f>
        <v>0</v>
      </c>
      <c r="I93" s="8">
        <f>G93-H93</f>
        <v>144.24</v>
      </c>
    </row>
    <row r="95" spans="1:10" hidden="1" x14ac:dyDescent="0.25">
      <c r="A95" s="5">
        <v>43000175</v>
      </c>
      <c r="B95" s="6" t="s">
        <v>258</v>
      </c>
      <c r="C95" s="7"/>
      <c r="D95" s="7"/>
      <c r="E95" s="7"/>
      <c r="F95" s="7"/>
      <c r="G95" s="7"/>
      <c r="H95" s="7"/>
      <c r="I95" s="7"/>
      <c r="J95" s="7"/>
    </row>
    <row r="96" spans="1:10" hidden="1" x14ac:dyDescent="0.25">
      <c r="C96" s="9"/>
      <c r="D96" s="10">
        <v>45680</v>
      </c>
      <c r="E96" t="s">
        <v>259</v>
      </c>
      <c r="F96" s="11" t="s">
        <v>260</v>
      </c>
      <c r="G96" s="8">
        <v>30.01</v>
      </c>
      <c r="H96" s="8">
        <v>30.01</v>
      </c>
      <c r="I96" s="8">
        <f>G96-H96</f>
        <v>0</v>
      </c>
      <c r="J96" s="12"/>
    </row>
    <row r="97" spans="1:10" hidden="1" x14ac:dyDescent="0.25">
      <c r="E97" s="4" t="s">
        <v>35</v>
      </c>
      <c r="G97" s="8">
        <f>G96</f>
        <v>30.01</v>
      </c>
      <c r="H97" s="8">
        <f>H96</f>
        <v>30.01</v>
      </c>
      <c r="I97" s="8">
        <f>G97-H97</f>
        <v>0</v>
      </c>
    </row>
    <row r="98" spans="1:10" hidden="1" x14ac:dyDescent="0.25"/>
    <row r="99" spans="1:10" x14ac:dyDescent="0.25">
      <c r="A99" s="5">
        <v>43000177</v>
      </c>
      <c r="B99" s="6" t="s">
        <v>261</v>
      </c>
      <c r="C99" s="7"/>
      <c r="D99" s="7"/>
      <c r="E99" s="7"/>
      <c r="F99" s="7"/>
      <c r="G99" s="7"/>
      <c r="H99" s="7"/>
      <c r="I99" s="7"/>
      <c r="J99" s="7"/>
    </row>
    <row r="100" spans="1:10" x14ac:dyDescent="0.25">
      <c r="C100" s="9"/>
      <c r="D100" s="10">
        <v>45660</v>
      </c>
      <c r="E100" t="s">
        <v>262</v>
      </c>
      <c r="F100" s="11" t="s">
        <v>263</v>
      </c>
      <c r="G100" s="8">
        <v>151.25</v>
      </c>
      <c r="H100" s="8">
        <v>0</v>
      </c>
      <c r="I100" s="8">
        <f>G100-H100</f>
        <v>151.25</v>
      </c>
      <c r="J100" s="15" t="s">
        <v>756</v>
      </c>
    </row>
    <row r="101" spans="1:10" hidden="1" x14ac:dyDescent="0.25">
      <c r="E101" s="4" t="s">
        <v>35</v>
      </c>
      <c r="G101" s="8">
        <f>G100</f>
        <v>151.25</v>
      </c>
      <c r="H101" s="8">
        <f>H100</f>
        <v>0</v>
      </c>
      <c r="I101" s="8">
        <f>G101-H101</f>
        <v>151.25</v>
      </c>
    </row>
    <row r="103" spans="1:10" hidden="1" x14ac:dyDescent="0.25">
      <c r="A103" s="5">
        <v>43000182</v>
      </c>
      <c r="B103" s="6" t="s">
        <v>264</v>
      </c>
      <c r="C103" s="7"/>
      <c r="D103" s="7"/>
      <c r="E103" s="7"/>
      <c r="F103" s="7"/>
      <c r="G103" s="7"/>
      <c r="H103" s="7"/>
      <c r="I103" s="7"/>
      <c r="J103" s="7"/>
    </row>
    <row r="104" spans="1:10" hidden="1" x14ac:dyDescent="0.25">
      <c r="C104" s="9"/>
      <c r="D104" s="10">
        <v>45665</v>
      </c>
      <c r="E104" t="s">
        <v>265</v>
      </c>
      <c r="F104" s="11" t="s">
        <v>266</v>
      </c>
      <c r="G104" s="16">
        <v>221.16</v>
      </c>
      <c r="H104" s="8">
        <v>0</v>
      </c>
      <c r="I104" s="8">
        <f>G104-H104</f>
        <v>221.16</v>
      </c>
      <c r="J104" s="12"/>
    </row>
    <row r="105" spans="1:10" hidden="1" x14ac:dyDescent="0.25">
      <c r="C105" s="9"/>
      <c r="D105" s="10">
        <v>45665</v>
      </c>
      <c r="E105" t="s">
        <v>267</v>
      </c>
      <c r="F105" s="11" t="s">
        <v>268</v>
      </c>
      <c r="G105" s="8">
        <v>10.01</v>
      </c>
      <c r="H105" s="8">
        <v>10.01</v>
      </c>
      <c r="I105" s="8">
        <f>G105-H105+I104</f>
        <v>221.16</v>
      </c>
      <c r="J105" s="12"/>
    </row>
    <row r="106" spans="1:10" hidden="1" x14ac:dyDescent="0.25">
      <c r="C106" s="9" t="s">
        <v>13</v>
      </c>
      <c r="D106" s="10">
        <v>45666</v>
      </c>
      <c r="E106" t="s">
        <v>203</v>
      </c>
      <c r="F106" s="11" t="s">
        <v>50</v>
      </c>
      <c r="G106" s="8">
        <v>0</v>
      </c>
      <c r="H106" s="16">
        <v>221.16</v>
      </c>
      <c r="I106" s="8">
        <f>G106-H106+I105</f>
        <v>0</v>
      </c>
      <c r="J106" s="12"/>
    </row>
    <row r="107" spans="1:10" hidden="1" x14ac:dyDescent="0.25">
      <c r="E107" s="4" t="s">
        <v>35</v>
      </c>
      <c r="G107" s="8">
        <f>SUM(G104:G106)</f>
        <v>231.17</v>
      </c>
      <c r="H107" s="8">
        <f>SUM(H104:H106)</f>
        <v>231.17</v>
      </c>
      <c r="I107" s="8">
        <f>G107-H107</f>
        <v>0</v>
      </c>
    </row>
    <row r="108" spans="1:10" hidden="1" x14ac:dyDescent="0.25"/>
    <row r="109" spans="1:10" x14ac:dyDescent="0.25">
      <c r="A109" s="5">
        <v>43000183</v>
      </c>
      <c r="B109" s="6" t="s">
        <v>269</v>
      </c>
      <c r="C109" s="7"/>
      <c r="D109" s="7"/>
      <c r="E109" s="7"/>
      <c r="F109" s="7"/>
      <c r="G109" s="7"/>
      <c r="H109" s="7"/>
      <c r="I109" s="7"/>
      <c r="J109" s="7"/>
    </row>
    <row r="110" spans="1:10" x14ac:dyDescent="0.25">
      <c r="C110" s="9"/>
      <c r="D110" s="10">
        <v>45665</v>
      </c>
      <c r="E110" t="s">
        <v>270</v>
      </c>
      <c r="F110" s="11" t="s">
        <v>271</v>
      </c>
      <c r="G110" s="8">
        <v>441.78</v>
      </c>
      <c r="H110" s="8">
        <v>0</v>
      </c>
      <c r="I110" s="8">
        <f>G110-H110</f>
        <v>441.78</v>
      </c>
      <c r="J110" s="15" t="s">
        <v>756</v>
      </c>
    </row>
    <row r="111" spans="1:10" hidden="1" x14ac:dyDescent="0.25">
      <c r="C111" s="9"/>
      <c r="D111" s="10">
        <v>45666</v>
      </c>
      <c r="E111" t="s">
        <v>272</v>
      </c>
      <c r="F111" s="11" t="s">
        <v>273</v>
      </c>
      <c r="G111" s="8">
        <v>30.01</v>
      </c>
      <c r="H111" s="8">
        <v>30.01</v>
      </c>
      <c r="I111" s="8">
        <f>G111-H111+I110</f>
        <v>441.78</v>
      </c>
      <c r="J111" s="12"/>
    </row>
    <row r="112" spans="1:10" hidden="1" x14ac:dyDescent="0.25">
      <c r="E112" s="4" t="s">
        <v>35</v>
      </c>
      <c r="G112" s="8">
        <f>SUM(G110:G111)</f>
        <v>471.78999999999996</v>
      </c>
      <c r="H112" s="8">
        <f>SUM(H110:H111)</f>
        <v>30.01</v>
      </c>
      <c r="I112" s="8">
        <f>G112-H112</f>
        <v>441.78</v>
      </c>
    </row>
    <row r="114" spans="1:10" x14ac:dyDescent="0.25">
      <c r="A114" s="5">
        <v>43000184</v>
      </c>
      <c r="B114" s="6" t="s">
        <v>274</v>
      </c>
      <c r="C114" s="7"/>
      <c r="D114" s="7"/>
      <c r="E114" s="7"/>
      <c r="F114" s="7"/>
      <c r="G114" s="7"/>
      <c r="H114" s="7"/>
      <c r="I114" s="7"/>
      <c r="J114" s="7"/>
    </row>
    <row r="115" spans="1:10" x14ac:dyDescent="0.25">
      <c r="C115" s="9"/>
      <c r="D115" s="10">
        <v>45665</v>
      </c>
      <c r="E115" t="s">
        <v>275</v>
      </c>
      <c r="F115" s="11" t="s">
        <v>276</v>
      </c>
      <c r="G115" s="8">
        <v>78.92</v>
      </c>
      <c r="H115" s="8">
        <v>0</v>
      </c>
      <c r="I115" s="8">
        <f>G115-H115</f>
        <v>78.92</v>
      </c>
      <c r="J115" s="15" t="s">
        <v>756</v>
      </c>
    </row>
    <row r="116" spans="1:10" hidden="1" x14ac:dyDescent="0.25">
      <c r="E116" s="4" t="s">
        <v>35</v>
      </c>
      <c r="G116" s="8">
        <f>G115</f>
        <v>78.92</v>
      </c>
      <c r="H116" s="8">
        <f>H115</f>
        <v>0</v>
      </c>
      <c r="I116" s="8">
        <f>G116-H116</f>
        <v>78.92</v>
      </c>
    </row>
    <row r="118" spans="1:10" hidden="1" x14ac:dyDescent="0.25">
      <c r="A118" s="5">
        <v>43000188</v>
      </c>
      <c r="B118" s="6" t="s">
        <v>277</v>
      </c>
      <c r="C118" s="7"/>
      <c r="D118" s="7"/>
      <c r="E118" s="7"/>
      <c r="F118" s="7"/>
      <c r="G118" s="7"/>
      <c r="H118" s="7"/>
      <c r="I118" s="7"/>
      <c r="J118" s="7"/>
    </row>
    <row r="119" spans="1:10" hidden="1" x14ac:dyDescent="0.25">
      <c r="C119" s="9"/>
      <c r="D119" s="10">
        <v>45667</v>
      </c>
      <c r="E119" t="s">
        <v>278</v>
      </c>
      <c r="F119" s="11" t="s">
        <v>279</v>
      </c>
      <c r="G119" s="8">
        <v>47.73</v>
      </c>
      <c r="H119" s="8">
        <v>47.73</v>
      </c>
      <c r="I119" s="8">
        <f>G119-H119</f>
        <v>0</v>
      </c>
      <c r="J119" s="12"/>
    </row>
    <row r="120" spans="1:10" hidden="1" x14ac:dyDescent="0.25">
      <c r="E120" s="4" t="s">
        <v>35</v>
      </c>
      <c r="G120" s="8">
        <f>G119</f>
        <v>47.73</v>
      </c>
      <c r="H120" s="8">
        <f>H119</f>
        <v>47.73</v>
      </c>
      <c r="I120" s="8">
        <f>G120-H120</f>
        <v>0</v>
      </c>
    </row>
    <row r="121" spans="1:10" hidden="1" x14ac:dyDescent="0.25"/>
    <row r="122" spans="1:10" x14ac:dyDescent="0.25">
      <c r="A122" s="5">
        <v>43000189</v>
      </c>
      <c r="B122" s="6" t="s">
        <v>280</v>
      </c>
      <c r="C122" s="7"/>
      <c r="D122" s="7"/>
      <c r="E122" s="7"/>
      <c r="F122" s="7"/>
      <c r="G122" s="7"/>
      <c r="H122" s="7"/>
      <c r="I122" s="7"/>
      <c r="J122" s="7"/>
    </row>
    <row r="123" spans="1:10" hidden="1" x14ac:dyDescent="0.25">
      <c r="C123" s="9"/>
      <c r="D123" s="10">
        <v>45670</v>
      </c>
      <c r="E123" t="s">
        <v>281</v>
      </c>
      <c r="F123" s="11" t="s">
        <v>282</v>
      </c>
      <c r="G123" s="16">
        <v>1342.13</v>
      </c>
      <c r="H123" s="16">
        <v>0</v>
      </c>
      <c r="I123" s="8">
        <f>G123-H123</f>
        <v>1342.13</v>
      </c>
      <c r="J123" s="12"/>
    </row>
    <row r="124" spans="1:10" hidden="1" x14ac:dyDescent="0.25">
      <c r="C124" s="9" t="s">
        <v>13</v>
      </c>
      <c r="D124" s="10">
        <v>45672</v>
      </c>
      <c r="E124" t="s">
        <v>203</v>
      </c>
      <c r="F124" s="11" t="s">
        <v>50</v>
      </c>
      <c r="G124" s="16">
        <v>0</v>
      </c>
      <c r="H124" s="16">
        <v>1342.13</v>
      </c>
      <c r="I124" s="8">
        <f>G124-H124+I123</f>
        <v>0</v>
      </c>
      <c r="J124" s="12"/>
    </row>
    <row r="125" spans="1:10" x14ac:dyDescent="0.25">
      <c r="C125" s="9"/>
      <c r="D125" s="10">
        <v>45708</v>
      </c>
      <c r="E125" t="s">
        <v>283</v>
      </c>
      <c r="F125" s="11" t="s">
        <v>284</v>
      </c>
      <c r="G125" s="8">
        <v>246.71</v>
      </c>
      <c r="H125" s="8">
        <v>0</v>
      </c>
      <c r="I125" s="8">
        <f>G125-H125+I124</f>
        <v>246.71</v>
      </c>
      <c r="J125" s="15" t="s">
        <v>756</v>
      </c>
    </row>
    <row r="126" spans="1:10" hidden="1" x14ac:dyDescent="0.25">
      <c r="C126" s="9"/>
      <c r="D126" s="10">
        <v>45714</v>
      </c>
      <c r="E126" t="s">
        <v>285</v>
      </c>
      <c r="F126" s="11" t="s">
        <v>286</v>
      </c>
      <c r="G126" s="16">
        <v>272.87</v>
      </c>
      <c r="H126" s="16">
        <v>0</v>
      </c>
      <c r="I126" s="8">
        <f>G126-H126+I125</f>
        <v>519.58000000000004</v>
      </c>
      <c r="J126" s="12"/>
    </row>
    <row r="127" spans="1:10" hidden="1" x14ac:dyDescent="0.25">
      <c r="C127" s="9" t="s">
        <v>13</v>
      </c>
      <c r="D127" s="10">
        <v>45715</v>
      </c>
      <c r="E127" t="s">
        <v>203</v>
      </c>
      <c r="F127" s="11" t="s">
        <v>50</v>
      </c>
      <c r="G127" s="16">
        <v>0</v>
      </c>
      <c r="H127" s="16">
        <v>272.87</v>
      </c>
      <c r="I127" s="8">
        <f>G127-H127+I126</f>
        <v>246.71000000000004</v>
      </c>
      <c r="J127" s="12"/>
    </row>
    <row r="128" spans="1:10" hidden="1" x14ac:dyDescent="0.25">
      <c r="E128" s="4" t="s">
        <v>35</v>
      </c>
      <c r="G128" s="8">
        <f>SUM(G123:G127)</f>
        <v>1861.71</v>
      </c>
      <c r="H128" s="8">
        <f>SUM(H123:H127)</f>
        <v>1615</v>
      </c>
      <c r="I128" s="8">
        <f>G128-H128</f>
        <v>246.71000000000004</v>
      </c>
    </row>
    <row r="130" spans="1:10" x14ac:dyDescent="0.25">
      <c r="A130" s="5">
        <v>43000191</v>
      </c>
      <c r="B130" s="6" t="s">
        <v>287</v>
      </c>
      <c r="C130" s="7"/>
      <c r="D130" s="7"/>
      <c r="E130" s="7"/>
      <c r="F130" s="7"/>
      <c r="G130" s="7"/>
      <c r="H130" s="7"/>
      <c r="I130" s="7"/>
      <c r="J130" s="7"/>
    </row>
    <row r="131" spans="1:10" x14ac:dyDescent="0.25">
      <c r="C131" s="9"/>
      <c r="D131" s="10">
        <v>45670</v>
      </c>
      <c r="E131" t="s">
        <v>288</v>
      </c>
      <c r="F131" s="11" t="s">
        <v>289</v>
      </c>
      <c r="G131" s="8">
        <v>146.28</v>
      </c>
      <c r="H131" s="8">
        <v>0</v>
      </c>
      <c r="I131" s="8">
        <f>G131-H131</f>
        <v>146.28</v>
      </c>
      <c r="J131" s="15" t="s">
        <v>756</v>
      </c>
    </row>
    <row r="132" spans="1:10" hidden="1" x14ac:dyDescent="0.25">
      <c r="E132" s="4" t="s">
        <v>35</v>
      </c>
      <c r="G132" s="8">
        <f>G131</f>
        <v>146.28</v>
      </c>
      <c r="H132" s="8">
        <f>H131</f>
        <v>0</v>
      </c>
      <c r="I132" s="8">
        <f>G132-H132</f>
        <v>146.28</v>
      </c>
    </row>
    <row r="134" spans="1:10" x14ac:dyDescent="0.25">
      <c r="A134" s="5">
        <v>43000192</v>
      </c>
      <c r="B134" s="6" t="s">
        <v>290</v>
      </c>
      <c r="C134" s="7"/>
      <c r="D134" s="7"/>
      <c r="E134" s="7"/>
      <c r="F134" s="7"/>
      <c r="G134" s="7"/>
      <c r="H134" s="7"/>
      <c r="I134" s="7"/>
      <c r="J134" s="7"/>
    </row>
    <row r="135" spans="1:10" x14ac:dyDescent="0.25">
      <c r="C135" s="9"/>
      <c r="D135" s="10">
        <v>45744</v>
      </c>
      <c r="E135" t="s">
        <v>291</v>
      </c>
      <c r="F135" s="11" t="s">
        <v>292</v>
      </c>
      <c r="G135" s="8">
        <v>2020.41</v>
      </c>
      <c r="H135" s="8">
        <v>0</v>
      </c>
      <c r="I135" s="8">
        <f>G135-H135</f>
        <v>2020.41</v>
      </c>
      <c r="J135" s="15" t="s">
        <v>756</v>
      </c>
    </row>
    <row r="136" spans="1:10" hidden="1" x14ac:dyDescent="0.25">
      <c r="E136" s="4" t="s">
        <v>35</v>
      </c>
      <c r="G136" s="8">
        <f>G135</f>
        <v>2020.41</v>
      </c>
      <c r="H136" s="8">
        <f>H135</f>
        <v>0</v>
      </c>
      <c r="I136" s="8">
        <f>G136-H136</f>
        <v>2020.41</v>
      </c>
    </row>
    <row r="138" spans="1:10" x14ac:dyDescent="0.25">
      <c r="A138" s="5">
        <v>43000193</v>
      </c>
      <c r="B138" s="6" t="s">
        <v>293</v>
      </c>
      <c r="C138" s="7"/>
      <c r="D138" s="7"/>
      <c r="E138" s="7"/>
      <c r="F138" s="7"/>
      <c r="G138" s="7"/>
      <c r="H138" s="7"/>
      <c r="I138" s="7"/>
      <c r="J138" s="7"/>
    </row>
    <row r="139" spans="1:10" x14ac:dyDescent="0.25">
      <c r="C139" s="9"/>
      <c r="D139" s="10">
        <v>45741</v>
      </c>
      <c r="E139" t="s">
        <v>294</v>
      </c>
      <c r="F139" s="11" t="s">
        <v>295</v>
      </c>
      <c r="G139" s="16">
        <v>202.64</v>
      </c>
      <c r="H139" s="16">
        <v>0</v>
      </c>
      <c r="I139" s="8">
        <f>G139-H139</f>
        <v>202.64</v>
      </c>
      <c r="J139" s="12"/>
    </row>
    <row r="140" spans="1:10" x14ac:dyDescent="0.25">
      <c r="C140" s="9"/>
      <c r="D140" s="10">
        <v>45742</v>
      </c>
      <c r="E140" t="s">
        <v>203</v>
      </c>
      <c r="F140" s="11" t="s">
        <v>50</v>
      </c>
      <c r="G140" s="16">
        <v>0</v>
      </c>
      <c r="H140" s="16">
        <v>202.64</v>
      </c>
      <c r="I140" s="8">
        <f>G140-H140+I139</f>
        <v>0</v>
      </c>
      <c r="J140" s="12"/>
    </row>
    <row r="141" spans="1:10" x14ac:dyDescent="0.25">
      <c r="C141" s="9"/>
      <c r="D141" s="10">
        <v>45749</v>
      </c>
      <c r="E141" t="s">
        <v>296</v>
      </c>
      <c r="F141" s="11" t="s">
        <v>50</v>
      </c>
      <c r="G141" s="8">
        <v>0</v>
      </c>
      <c r="H141" s="8">
        <v>202.64</v>
      </c>
      <c r="I141" s="8">
        <f>G141-H141+I140</f>
        <v>-202.64</v>
      </c>
      <c r="J141" s="23" t="s">
        <v>757</v>
      </c>
    </row>
    <row r="142" spans="1:10" hidden="1" x14ac:dyDescent="0.25">
      <c r="E142" s="4" t="s">
        <v>35</v>
      </c>
      <c r="G142" s="8">
        <f>SUM(G139:G141)</f>
        <v>202.64</v>
      </c>
      <c r="H142" s="8">
        <f>SUM(H139:H141)</f>
        <v>405.28</v>
      </c>
      <c r="I142" s="8">
        <f>G142-H142</f>
        <v>-202.64</v>
      </c>
    </row>
    <row r="144" spans="1:10" hidden="1" x14ac:dyDescent="0.25">
      <c r="A144" s="5">
        <v>43000196</v>
      </c>
      <c r="B144" s="6" t="s">
        <v>297</v>
      </c>
      <c r="C144" s="7"/>
      <c r="D144" s="7"/>
      <c r="E144" s="7"/>
      <c r="F144" s="7"/>
      <c r="G144" s="7"/>
      <c r="H144" s="7"/>
      <c r="I144" s="7"/>
      <c r="J144" s="7"/>
    </row>
    <row r="145" spans="1:10" hidden="1" x14ac:dyDescent="0.25">
      <c r="C145" s="9"/>
      <c r="D145" s="10">
        <v>45671</v>
      </c>
      <c r="E145" t="s">
        <v>298</v>
      </c>
      <c r="F145" s="11" t="s">
        <v>299</v>
      </c>
      <c r="G145" s="16">
        <v>369.22</v>
      </c>
      <c r="H145" s="16">
        <v>0</v>
      </c>
      <c r="I145" s="8">
        <f>G145-H145</f>
        <v>369.22</v>
      </c>
      <c r="J145" s="12"/>
    </row>
    <row r="146" spans="1:10" hidden="1" x14ac:dyDescent="0.25">
      <c r="C146" s="9" t="s">
        <v>13</v>
      </c>
      <c r="D146" s="10">
        <v>45672</v>
      </c>
      <c r="E146" t="s">
        <v>203</v>
      </c>
      <c r="F146" s="11" t="s">
        <v>50</v>
      </c>
      <c r="G146" s="16">
        <v>0</v>
      </c>
      <c r="H146" s="16">
        <v>369.22</v>
      </c>
      <c r="I146" s="8">
        <f>G146-H146+I145</f>
        <v>0</v>
      </c>
      <c r="J146" s="12"/>
    </row>
    <row r="147" spans="1:10" hidden="1" x14ac:dyDescent="0.25">
      <c r="C147" s="9"/>
      <c r="D147" s="10">
        <v>45741</v>
      </c>
      <c r="E147" t="s">
        <v>300</v>
      </c>
      <c r="F147" s="11" t="s">
        <v>301</v>
      </c>
      <c r="G147" s="8">
        <v>30.01</v>
      </c>
      <c r="H147" s="8">
        <v>30.01</v>
      </c>
      <c r="I147" s="8">
        <f>G147-H147+I146</f>
        <v>0</v>
      </c>
      <c r="J147" s="12"/>
    </row>
    <row r="148" spans="1:10" hidden="1" x14ac:dyDescent="0.25">
      <c r="E148" s="4" t="s">
        <v>35</v>
      </c>
      <c r="G148" s="8">
        <f>SUM(G145:G147)</f>
        <v>399.23</v>
      </c>
      <c r="H148" s="8">
        <f>SUM(H145:H147)</f>
        <v>399.23</v>
      </c>
      <c r="I148" s="8">
        <f>G148-H148</f>
        <v>0</v>
      </c>
    </row>
    <row r="149" spans="1:10" hidden="1" x14ac:dyDescent="0.25"/>
    <row r="150" spans="1:10" x14ac:dyDescent="0.25">
      <c r="A150" s="5">
        <v>43000200</v>
      </c>
      <c r="B150" s="6" t="s">
        <v>302</v>
      </c>
      <c r="C150" s="7"/>
      <c r="D150" s="7"/>
      <c r="E150" s="7"/>
      <c r="F150" s="7"/>
      <c r="G150" s="7"/>
      <c r="H150" s="7"/>
      <c r="I150" s="7"/>
      <c r="J150" s="7"/>
    </row>
    <row r="151" spans="1:10" x14ac:dyDescent="0.25">
      <c r="C151" s="9"/>
      <c r="D151" s="10">
        <v>45678</v>
      </c>
      <c r="E151" t="s">
        <v>303</v>
      </c>
      <c r="F151" s="11" t="s">
        <v>304</v>
      </c>
      <c r="G151" s="8">
        <v>97.13</v>
      </c>
      <c r="H151" s="8">
        <v>0</v>
      </c>
      <c r="I151" s="8">
        <f>G151-H151</f>
        <v>97.13</v>
      </c>
      <c r="J151" s="15" t="s">
        <v>756</v>
      </c>
    </row>
    <row r="152" spans="1:10" hidden="1" x14ac:dyDescent="0.25">
      <c r="C152" s="9"/>
      <c r="D152" s="10">
        <v>45744</v>
      </c>
      <c r="E152" t="s">
        <v>305</v>
      </c>
      <c r="F152" s="11" t="s">
        <v>306</v>
      </c>
      <c r="G152" s="16">
        <v>404.52</v>
      </c>
      <c r="H152" s="16">
        <v>0</v>
      </c>
      <c r="I152" s="8">
        <f>G152-H152+I151</f>
        <v>501.65</v>
      </c>
      <c r="J152" s="12"/>
    </row>
    <row r="153" spans="1:10" hidden="1" x14ac:dyDescent="0.25">
      <c r="C153" s="9" t="s">
        <v>13</v>
      </c>
      <c r="D153" s="10">
        <v>45748</v>
      </c>
      <c r="E153" t="s">
        <v>307</v>
      </c>
      <c r="F153" s="11" t="s">
        <v>50</v>
      </c>
      <c r="G153" s="16">
        <v>0</v>
      </c>
      <c r="H153" s="16">
        <v>404.52</v>
      </c>
      <c r="I153" s="8">
        <f>G153-H153+I152</f>
        <v>97.13</v>
      </c>
      <c r="J153" s="12"/>
    </row>
    <row r="154" spans="1:10" hidden="1" x14ac:dyDescent="0.25">
      <c r="E154" s="4" t="s">
        <v>35</v>
      </c>
      <c r="G154" s="8">
        <f>SUM(G151:G153)</f>
        <v>501.65</v>
      </c>
      <c r="H154" s="8">
        <f>SUM(H151:H153)</f>
        <v>404.52</v>
      </c>
      <c r="I154" s="8">
        <f>G154-H154</f>
        <v>97.13</v>
      </c>
    </row>
    <row r="156" spans="1:10" x14ac:dyDescent="0.25">
      <c r="A156" s="5">
        <v>43000202</v>
      </c>
      <c r="B156" s="6" t="s">
        <v>308</v>
      </c>
      <c r="C156" s="7"/>
      <c r="D156" s="7"/>
      <c r="E156" s="7"/>
      <c r="F156" s="7"/>
      <c r="G156" s="7"/>
      <c r="H156" s="7"/>
      <c r="I156" s="7"/>
      <c r="J156" s="7"/>
    </row>
    <row r="157" spans="1:10" x14ac:dyDescent="0.25">
      <c r="C157" s="9"/>
      <c r="D157" s="10">
        <v>45671</v>
      </c>
      <c r="E157" t="s">
        <v>309</v>
      </c>
      <c r="F157" s="11" t="s">
        <v>310</v>
      </c>
      <c r="G157" s="8">
        <v>274.62</v>
      </c>
      <c r="H157" s="8">
        <v>0</v>
      </c>
      <c r="I157" s="8">
        <f>G157-H157</f>
        <v>274.62</v>
      </c>
      <c r="J157" s="15" t="s">
        <v>756</v>
      </c>
    </row>
    <row r="158" spans="1:10" hidden="1" x14ac:dyDescent="0.25">
      <c r="E158" s="4" t="s">
        <v>35</v>
      </c>
      <c r="G158" s="8">
        <f>G157</f>
        <v>274.62</v>
      </c>
      <c r="H158" s="8">
        <f>H157</f>
        <v>0</v>
      </c>
      <c r="I158" s="8">
        <f>G158-H158</f>
        <v>274.62</v>
      </c>
    </row>
    <row r="160" spans="1:10" x14ac:dyDescent="0.25">
      <c r="A160" s="5">
        <v>43000203</v>
      </c>
      <c r="B160" s="6" t="s">
        <v>311</v>
      </c>
      <c r="C160" s="7"/>
      <c r="D160" s="7"/>
      <c r="E160" s="7"/>
      <c r="F160" s="7"/>
      <c r="G160" s="7"/>
      <c r="H160" s="7"/>
      <c r="I160" s="7"/>
      <c r="J160" s="7"/>
    </row>
    <row r="161" spans="1:10" x14ac:dyDescent="0.25">
      <c r="C161" s="9"/>
      <c r="D161" s="10">
        <v>45671</v>
      </c>
      <c r="E161" t="s">
        <v>312</v>
      </c>
      <c r="F161" s="11" t="s">
        <v>313</v>
      </c>
      <c r="G161" s="8">
        <v>196.26</v>
      </c>
      <c r="H161" s="8">
        <v>0</v>
      </c>
      <c r="I161" s="8">
        <f>G161-H161</f>
        <v>196.26</v>
      </c>
      <c r="J161" s="15" t="s">
        <v>756</v>
      </c>
    </row>
    <row r="162" spans="1:10" hidden="1" x14ac:dyDescent="0.25">
      <c r="C162" s="9" t="s">
        <v>13</v>
      </c>
      <c r="D162" s="10">
        <v>45731</v>
      </c>
      <c r="E162" t="s">
        <v>203</v>
      </c>
      <c r="F162" s="11" t="s">
        <v>50</v>
      </c>
      <c r="G162" s="16">
        <v>0</v>
      </c>
      <c r="H162" s="16">
        <v>25</v>
      </c>
      <c r="I162" s="8">
        <f>G162-H162+I161</f>
        <v>171.26</v>
      </c>
      <c r="J162" s="12"/>
    </row>
    <row r="163" spans="1:10" hidden="1" x14ac:dyDescent="0.25">
      <c r="C163" s="9"/>
      <c r="D163" s="10">
        <v>45733</v>
      </c>
      <c r="E163" t="s">
        <v>314</v>
      </c>
      <c r="F163" s="11" t="s">
        <v>315</v>
      </c>
      <c r="G163" s="16">
        <v>25</v>
      </c>
      <c r="H163" s="16">
        <v>0</v>
      </c>
      <c r="I163" s="8">
        <f>G163-H163+I162</f>
        <v>196.26</v>
      </c>
      <c r="J163" s="12"/>
    </row>
    <row r="164" spans="1:10" hidden="1" x14ac:dyDescent="0.25">
      <c r="E164" s="4" t="s">
        <v>35</v>
      </c>
      <c r="G164" s="8">
        <f>SUM(G161:G163)</f>
        <v>221.26</v>
      </c>
      <c r="H164" s="8">
        <f>SUM(H161:H163)</f>
        <v>25</v>
      </c>
      <c r="I164" s="8">
        <f>G164-H164</f>
        <v>196.26</v>
      </c>
    </row>
    <row r="166" spans="1:10" x14ac:dyDescent="0.25">
      <c r="A166" s="5">
        <v>43000206</v>
      </c>
      <c r="B166" s="6" t="s">
        <v>316</v>
      </c>
      <c r="C166" s="7"/>
      <c r="D166" s="7"/>
      <c r="E166" s="7"/>
      <c r="F166" s="7"/>
      <c r="G166" s="7"/>
      <c r="H166" s="7"/>
      <c r="I166" s="7"/>
      <c r="J166" s="7"/>
    </row>
    <row r="167" spans="1:10" x14ac:dyDescent="0.25">
      <c r="C167" s="9"/>
      <c r="D167" s="10">
        <v>45723</v>
      </c>
      <c r="E167" t="s">
        <v>317</v>
      </c>
      <c r="F167" s="11" t="s">
        <v>318</v>
      </c>
      <c r="G167" s="8">
        <v>1039.1600000000001</v>
      </c>
      <c r="H167" s="8">
        <v>0</v>
      </c>
      <c r="I167" s="8">
        <f>G167-H167</f>
        <v>1039.1600000000001</v>
      </c>
      <c r="J167" s="15" t="s">
        <v>756</v>
      </c>
    </row>
    <row r="168" spans="1:10" hidden="1" x14ac:dyDescent="0.25">
      <c r="E168" s="4" t="s">
        <v>35</v>
      </c>
      <c r="G168" s="8">
        <f>G167</f>
        <v>1039.1600000000001</v>
      </c>
      <c r="H168" s="8">
        <f>H167</f>
        <v>0</v>
      </c>
      <c r="I168" s="8">
        <f>G168-H168</f>
        <v>1039.1600000000001</v>
      </c>
    </row>
    <row r="170" spans="1:10" x14ac:dyDescent="0.25">
      <c r="A170" s="5">
        <v>43000209</v>
      </c>
      <c r="B170" s="6" t="s">
        <v>319</v>
      </c>
      <c r="C170" s="7"/>
      <c r="D170" s="7"/>
      <c r="E170" s="7"/>
      <c r="F170" s="7"/>
      <c r="G170" s="7"/>
      <c r="H170" s="7"/>
      <c r="I170" s="7"/>
      <c r="J170" s="7"/>
    </row>
    <row r="171" spans="1:10" x14ac:dyDescent="0.25">
      <c r="C171" s="9"/>
      <c r="D171" s="10">
        <v>45677</v>
      </c>
      <c r="E171" t="s">
        <v>320</v>
      </c>
      <c r="F171" s="11" t="s">
        <v>321</v>
      </c>
      <c r="G171" s="8">
        <v>705.89</v>
      </c>
      <c r="H171" s="8">
        <v>0</v>
      </c>
      <c r="I171" s="8">
        <f>G171-H171</f>
        <v>705.89</v>
      </c>
      <c r="J171" s="15" t="s">
        <v>756</v>
      </c>
    </row>
    <row r="172" spans="1:10" hidden="1" x14ac:dyDescent="0.25">
      <c r="E172" s="4" t="s">
        <v>35</v>
      </c>
      <c r="G172" s="8">
        <f>G171</f>
        <v>705.89</v>
      </c>
      <c r="H172" s="8">
        <f>H171</f>
        <v>0</v>
      </c>
      <c r="I172" s="8">
        <f>G172-H172</f>
        <v>705.89</v>
      </c>
    </row>
    <row r="174" spans="1:10" x14ac:dyDescent="0.25">
      <c r="A174" s="5">
        <v>43000210</v>
      </c>
      <c r="B174" s="6" t="s">
        <v>322</v>
      </c>
      <c r="C174" s="7"/>
      <c r="D174" s="7"/>
      <c r="E174" s="7"/>
      <c r="F174" s="7"/>
      <c r="G174" s="7"/>
      <c r="H174" s="7"/>
      <c r="I174" s="7"/>
      <c r="J174" s="7"/>
    </row>
    <row r="175" spans="1:10" x14ac:dyDescent="0.25">
      <c r="C175" s="9"/>
      <c r="D175" s="10">
        <v>45678</v>
      </c>
      <c r="E175" t="s">
        <v>323</v>
      </c>
      <c r="F175" s="11" t="s">
        <v>324</v>
      </c>
      <c r="G175" s="8">
        <v>125.8</v>
      </c>
      <c r="H175" s="8">
        <v>0</v>
      </c>
      <c r="I175" s="8">
        <f>G175-H175</f>
        <v>125.8</v>
      </c>
      <c r="J175" s="15" t="s">
        <v>756</v>
      </c>
    </row>
    <row r="176" spans="1:10" hidden="1" x14ac:dyDescent="0.25">
      <c r="E176" s="4" t="s">
        <v>35</v>
      </c>
      <c r="G176" s="8">
        <f>G175</f>
        <v>125.8</v>
      </c>
      <c r="H176" s="8">
        <f>H175</f>
        <v>0</v>
      </c>
      <c r="I176" s="8">
        <f>G176-H176</f>
        <v>125.8</v>
      </c>
    </row>
    <row r="178" spans="1:10" x14ac:dyDescent="0.25">
      <c r="A178" s="5">
        <v>43000211</v>
      </c>
      <c r="B178" s="6" t="s">
        <v>325</v>
      </c>
      <c r="C178" s="7"/>
      <c r="D178" s="7"/>
      <c r="E178" s="7"/>
      <c r="F178" s="7"/>
      <c r="G178" s="7"/>
      <c r="H178" s="7"/>
      <c r="I178" s="7"/>
      <c r="J178" s="7"/>
    </row>
    <row r="179" spans="1:10" x14ac:dyDescent="0.25">
      <c r="C179" s="9"/>
      <c r="D179" s="10">
        <v>45679</v>
      </c>
      <c r="E179" t="s">
        <v>326</v>
      </c>
      <c r="F179" s="11" t="s">
        <v>327</v>
      </c>
      <c r="G179" s="8">
        <v>537.39</v>
      </c>
      <c r="H179" s="8">
        <v>0</v>
      </c>
      <c r="I179" s="8">
        <f>G179-H179</f>
        <v>537.39</v>
      </c>
      <c r="J179" s="15" t="s">
        <v>756</v>
      </c>
    </row>
    <row r="180" spans="1:10" hidden="1" x14ac:dyDescent="0.25">
      <c r="E180" s="4" t="s">
        <v>35</v>
      </c>
      <c r="G180" s="8">
        <f>G179</f>
        <v>537.39</v>
      </c>
      <c r="H180" s="8">
        <f>H179</f>
        <v>0</v>
      </c>
      <c r="I180" s="8">
        <f>G180-H180</f>
        <v>537.39</v>
      </c>
    </row>
    <row r="182" spans="1:10" x14ac:dyDescent="0.25">
      <c r="A182" s="5">
        <v>43000213</v>
      </c>
      <c r="B182" s="6" t="s">
        <v>328</v>
      </c>
      <c r="C182" s="7"/>
      <c r="D182" s="7"/>
      <c r="E182" s="7"/>
      <c r="F182" s="7"/>
      <c r="G182" s="7"/>
      <c r="H182" s="7"/>
      <c r="I182" s="7"/>
      <c r="J182" s="7"/>
    </row>
    <row r="183" spans="1:10" x14ac:dyDescent="0.25">
      <c r="C183" s="9"/>
      <c r="D183" s="10">
        <v>45684</v>
      </c>
      <c r="E183" t="s">
        <v>329</v>
      </c>
      <c r="F183" s="11" t="s">
        <v>330</v>
      </c>
      <c r="G183" s="8">
        <v>417.73</v>
      </c>
      <c r="H183" s="8">
        <v>0</v>
      </c>
      <c r="I183" s="8">
        <f>G183-H183</f>
        <v>417.73</v>
      </c>
      <c r="J183" s="15" t="s">
        <v>756</v>
      </c>
    </row>
    <row r="184" spans="1:10" s="17" customFormat="1" hidden="1" x14ac:dyDescent="0.25">
      <c r="C184" s="18"/>
      <c r="D184" s="19">
        <v>45694</v>
      </c>
      <c r="E184" s="17" t="s">
        <v>331</v>
      </c>
      <c r="F184" s="20" t="s">
        <v>332</v>
      </c>
      <c r="G184" s="16">
        <v>10.01</v>
      </c>
      <c r="H184" s="16">
        <v>10.01</v>
      </c>
      <c r="I184" s="16">
        <f>G184-H184+I183</f>
        <v>417.73</v>
      </c>
      <c r="J184" s="21"/>
    </row>
    <row r="185" spans="1:10" hidden="1" x14ac:dyDescent="0.25">
      <c r="E185" s="4" t="s">
        <v>35</v>
      </c>
      <c r="G185" s="8">
        <f>SUM(G183:G184)</f>
        <v>427.74</v>
      </c>
      <c r="H185" s="8">
        <f>SUM(H183:H184)</f>
        <v>10.01</v>
      </c>
      <c r="I185" s="8">
        <f>G185-H185</f>
        <v>417.73</v>
      </c>
    </row>
    <row r="187" spans="1:10" x14ac:dyDescent="0.25">
      <c r="A187" s="5">
        <v>43000218</v>
      </c>
      <c r="B187" s="6" t="s">
        <v>333</v>
      </c>
      <c r="C187" s="7"/>
      <c r="D187" s="7"/>
      <c r="E187" s="7"/>
      <c r="F187" s="7"/>
      <c r="G187" s="7"/>
      <c r="H187" s="7"/>
      <c r="I187" s="7"/>
      <c r="J187" s="7"/>
    </row>
    <row r="188" spans="1:10" x14ac:dyDescent="0.25">
      <c r="C188" s="9"/>
      <c r="D188" s="10">
        <v>45691</v>
      </c>
      <c r="E188" t="s">
        <v>334</v>
      </c>
      <c r="F188" s="11" t="s">
        <v>335</v>
      </c>
      <c r="G188" s="8">
        <v>677.35</v>
      </c>
      <c r="H188" s="8">
        <v>0</v>
      </c>
      <c r="I188" s="8">
        <f>G188-H188</f>
        <v>677.35</v>
      </c>
      <c r="J188" s="15" t="s">
        <v>756</v>
      </c>
    </row>
    <row r="189" spans="1:10" hidden="1" x14ac:dyDescent="0.25">
      <c r="E189" s="4" t="s">
        <v>35</v>
      </c>
      <c r="G189" s="8">
        <f>G188</f>
        <v>677.35</v>
      </c>
      <c r="H189" s="8">
        <f>H188</f>
        <v>0</v>
      </c>
      <c r="I189" s="8">
        <f>G189-H189</f>
        <v>677.35</v>
      </c>
    </row>
    <row r="191" spans="1:10" x14ac:dyDescent="0.25">
      <c r="A191" s="5">
        <v>43000219</v>
      </c>
      <c r="B191" s="6" t="s">
        <v>336</v>
      </c>
      <c r="C191" s="7"/>
      <c r="D191" s="7"/>
      <c r="E191" s="7"/>
      <c r="F191" s="7"/>
      <c r="G191" s="7"/>
      <c r="H191" s="7"/>
      <c r="I191" s="7"/>
      <c r="J191" s="7"/>
    </row>
    <row r="192" spans="1:10" x14ac:dyDescent="0.25">
      <c r="C192" s="9"/>
      <c r="D192" s="10">
        <v>45692</v>
      </c>
      <c r="E192" t="s">
        <v>337</v>
      </c>
      <c r="F192" s="11" t="s">
        <v>338</v>
      </c>
      <c r="G192" s="8">
        <v>377.74</v>
      </c>
      <c r="H192" s="8">
        <v>0</v>
      </c>
      <c r="I192" s="8">
        <f>G192-H192</f>
        <v>377.74</v>
      </c>
      <c r="J192" s="15" t="s">
        <v>756</v>
      </c>
    </row>
    <row r="193" spans="1:10" hidden="1" x14ac:dyDescent="0.25">
      <c r="C193" s="9"/>
      <c r="D193" s="10">
        <v>45720</v>
      </c>
      <c r="E193" t="s">
        <v>339</v>
      </c>
      <c r="F193" s="11" t="s">
        <v>340</v>
      </c>
      <c r="G193" s="16">
        <v>180.2</v>
      </c>
      <c r="H193" s="16">
        <v>0</v>
      </c>
      <c r="I193" s="8">
        <f>G193-H193+I192</f>
        <v>557.94000000000005</v>
      </c>
      <c r="J193" s="12"/>
    </row>
    <row r="194" spans="1:10" hidden="1" x14ac:dyDescent="0.25">
      <c r="C194" s="9"/>
      <c r="D194" s="10">
        <v>45727</v>
      </c>
      <c r="E194" t="s">
        <v>341</v>
      </c>
      <c r="F194" s="11" t="s">
        <v>50</v>
      </c>
      <c r="G194" s="16">
        <v>0</v>
      </c>
      <c r="H194" s="16">
        <v>180.2</v>
      </c>
      <c r="I194" s="8">
        <f>G194-H194+I193</f>
        <v>377.74000000000007</v>
      </c>
      <c r="J194" s="12"/>
    </row>
    <row r="195" spans="1:10" hidden="1" x14ac:dyDescent="0.25">
      <c r="E195" s="4" t="s">
        <v>35</v>
      </c>
      <c r="G195" s="8">
        <f>SUM(G192:G194)</f>
        <v>557.94000000000005</v>
      </c>
      <c r="H195" s="8">
        <f>SUM(H192:H194)</f>
        <v>180.2</v>
      </c>
      <c r="I195" s="8">
        <f>G195-H195</f>
        <v>377.74000000000007</v>
      </c>
    </row>
    <row r="197" spans="1:10" x14ac:dyDescent="0.25">
      <c r="A197" s="5">
        <v>43000220</v>
      </c>
      <c r="B197" s="6" t="s">
        <v>342</v>
      </c>
      <c r="C197" s="7"/>
      <c r="D197" s="7"/>
      <c r="E197" s="7"/>
      <c r="F197" s="7"/>
      <c r="G197" s="7"/>
      <c r="H197" s="7"/>
      <c r="I197" s="7"/>
      <c r="J197" s="7"/>
    </row>
    <row r="198" spans="1:10" x14ac:dyDescent="0.25">
      <c r="C198" s="9"/>
      <c r="D198" s="10">
        <v>45692</v>
      </c>
      <c r="E198" t="s">
        <v>343</v>
      </c>
      <c r="F198" s="11" t="s">
        <v>344</v>
      </c>
      <c r="G198" s="8">
        <v>160.02000000000001</v>
      </c>
      <c r="H198" s="8">
        <v>0</v>
      </c>
      <c r="I198" s="8">
        <f>G198-H198</f>
        <v>160.02000000000001</v>
      </c>
      <c r="J198" s="15" t="s">
        <v>756</v>
      </c>
    </row>
    <row r="199" spans="1:10" hidden="1" x14ac:dyDescent="0.25">
      <c r="E199" s="4" t="s">
        <v>35</v>
      </c>
      <c r="G199" s="8">
        <f>G198</f>
        <v>160.02000000000001</v>
      </c>
      <c r="H199" s="8">
        <f>H198</f>
        <v>0</v>
      </c>
      <c r="I199" s="8">
        <f>G199-H199</f>
        <v>160.02000000000001</v>
      </c>
    </row>
    <row r="201" spans="1:10" x14ac:dyDescent="0.25">
      <c r="A201" s="5">
        <v>43000223</v>
      </c>
      <c r="B201" s="6" t="s">
        <v>345</v>
      </c>
      <c r="C201" s="7"/>
      <c r="D201" s="7"/>
      <c r="E201" s="7"/>
      <c r="F201" s="7"/>
      <c r="G201" s="7"/>
      <c r="H201" s="7"/>
      <c r="I201" s="7"/>
      <c r="J201" s="7"/>
    </row>
    <row r="202" spans="1:10" x14ac:dyDescent="0.25">
      <c r="C202" s="9"/>
      <c r="D202" s="10">
        <v>45693</v>
      </c>
      <c r="E202" t="s">
        <v>346</v>
      </c>
      <c r="F202" s="11" t="s">
        <v>347</v>
      </c>
      <c r="G202" s="8">
        <v>224.46</v>
      </c>
      <c r="H202" s="8">
        <v>0</v>
      </c>
      <c r="I202" s="8">
        <f>G202-H202</f>
        <v>224.46</v>
      </c>
      <c r="J202" s="15" t="s">
        <v>756</v>
      </c>
    </row>
    <row r="203" spans="1:10" hidden="1" x14ac:dyDescent="0.25">
      <c r="E203" s="4" t="s">
        <v>35</v>
      </c>
      <c r="G203" s="8">
        <f>G202</f>
        <v>224.46</v>
      </c>
      <c r="H203" s="8">
        <f>H202</f>
        <v>0</v>
      </c>
      <c r="I203" s="8">
        <f>G203-H203</f>
        <v>224.46</v>
      </c>
    </row>
    <row r="205" spans="1:10" x14ac:dyDescent="0.25">
      <c r="A205" s="5">
        <v>43000224</v>
      </c>
      <c r="B205" s="6" t="s">
        <v>348</v>
      </c>
      <c r="C205" s="7"/>
      <c r="D205" s="7"/>
      <c r="E205" s="7"/>
      <c r="F205" s="7"/>
      <c r="G205" s="7"/>
      <c r="H205" s="7"/>
      <c r="I205" s="7"/>
      <c r="J205" s="7"/>
    </row>
    <row r="206" spans="1:10" x14ac:dyDescent="0.25">
      <c r="C206" s="9"/>
      <c r="D206" s="10">
        <v>45693</v>
      </c>
      <c r="E206" t="s">
        <v>349</v>
      </c>
      <c r="F206" s="11" t="s">
        <v>350</v>
      </c>
      <c r="G206" s="8">
        <v>567.71</v>
      </c>
      <c r="H206" s="8">
        <v>0</v>
      </c>
      <c r="I206" s="8">
        <f>G206-H206</f>
        <v>567.71</v>
      </c>
      <c r="J206" s="15" t="s">
        <v>756</v>
      </c>
    </row>
    <row r="207" spans="1:10" hidden="1" x14ac:dyDescent="0.25">
      <c r="E207" s="4" t="s">
        <v>35</v>
      </c>
      <c r="G207" s="8">
        <f>G206</f>
        <v>567.71</v>
      </c>
      <c r="H207" s="8">
        <f>H206</f>
        <v>0</v>
      </c>
      <c r="I207" s="8">
        <f>G207-H207</f>
        <v>567.71</v>
      </c>
    </row>
    <row r="209" spans="1:10" x14ac:dyDescent="0.25">
      <c r="A209" s="5">
        <v>43000231</v>
      </c>
      <c r="B209" s="6" t="s">
        <v>351</v>
      </c>
      <c r="C209" s="7"/>
      <c r="D209" s="7"/>
      <c r="E209" s="7"/>
      <c r="F209" s="7"/>
      <c r="G209" s="7"/>
      <c r="H209" s="7"/>
      <c r="I209" s="7"/>
      <c r="J209" s="7"/>
    </row>
    <row r="210" spans="1:10" x14ac:dyDescent="0.25">
      <c r="C210" s="9"/>
      <c r="D210" s="10">
        <v>45699</v>
      </c>
      <c r="E210" t="s">
        <v>352</v>
      </c>
      <c r="F210" s="11" t="s">
        <v>353</v>
      </c>
      <c r="G210" s="8">
        <v>135.1</v>
      </c>
      <c r="H210" s="8">
        <v>0</v>
      </c>
      <c r="I210" s="8">
        <f>G210-H210</f>
        <v>135.1</v>
      </c>
      <c r="J210" s="15" t="s">
        <v>756</v>
      </c>
    </row>
    <row r="211" spans="1:10" hidden="1" x14ac:dyDescent="0.25">
      <c r="E211" s="4" t="s">
        <v>35</v>
      </c>
      <c r="G211" s="8">
        <f>G210</f>
        <v>135.1</v>
      </c>
      <c r="H211" s="8">
        <f>H210</f>
        <v>0</v>
      </c>
      <c r="I211" s="8">
        <f>G211-H211</f>
        <v>135.1</v>
      </c>
    </row>
    <row r="213" spans="1:10" x14ac:dyDescent="0.25">
      <c r="A213" s="5">
        <v>43000234</v>
      </c>
      <c r="B213" s="6" t="s">
        <v>354</v>
      </c>
      <c r="C213" s="7"/>
      <c r="D213" s="7"/>
      <c r="E213" s="7"/>
      <c r="F213" s="7"/>
      <c r="G213" s="7"/>
      <c r="H213" s="7"/>
      <c r="I213" s="7"/>
      <c r="J213" s="7"/>
    </row>
    <row r="214" spans="1:10" x14ac:dyDescent="0.25">
      <c r="C214" s="9"/>
      <c r="D214" s="10">
        <v>45700</v>
      </c>
      <c r="E214" t="s">
        <v>355</v>
      </c>
      <c r="F214" s="11" t="s">
        <v>356</v>
      </c>
      <c r="G214" s="8">
        <v>1572.65</v>
      </c>
      <c r="H214" s="8">
        <v>0</v>
      </c>
      <c r="I214" s="8">
        <f>G214-H214</f>
        <v>1572.65</v>
      </c>
      <c r="J214" s="15" t="s">
        <v>756</v>
      </c>
    </row>
    <row r="215" spans="1:10" hidden="1" x14ac:dyDescent="0.25">
      <c r="E215" s="4" t="s">
        <v>35</v>
      </c>
      <c r="G215" s="8">
        <f>G214</f>
        <v>1572.65</v>
      </c>
      <c r="H215" s="8">
        <f>H214</f>
        <v>0</v>
      </c>
      <c r="I215" s="8">
        <f>G215-H215</f>
        <v>1572.65</v>
      </c>
    </row>
    <row r="217" spans="1:10" hidden="1" x14ac:dyDescent="0.25">
      <c r="A217" s="5">
        <v>43000235</v>
      </c>
      <c r="B217" s="6" t="s">
        <v>357</v>
      </c>
      <c r="C217" s="7"/>
      <c r="D217" s="7"/>
      <c r="E217" s="7"/>
      <c r="F217" s="7"/>
      <c r="G217" s="7"/>
      <c r="H217" s="7"/>
      <c r="I217" s="7"/>
      <c r="J217" s="7"/>
    </row>
    <row r="218" spans="1:10" hidden="1" x14ac:dyDescent="0.25">
      <c r="C218" s="9"/>
      <c r="D218" s="10">
        <v>45701</v>
      </c>
      <c r="E218" t="s">
        <v>358</v>
      </c>
      <c r="F218" s="11" t="s">
        <v>359</v>
      </c>
      <c r="G218" s="8">
        <v>59.99</v>
      </c>
      <c r="H218" s="8">
        <v>59.99</v>
      </c>
      <c r="I218" s="8">
        <f>G218-H218</f>
        <v>0</v>
      </c>
      <c r="J218" s="12"/>
    </row>
    <row r="219" spans="1:10" hidden="1" x14ac:dyDescent="0.25">
      <c r="E219" s="4" t="s">
        <v>35</v>
      </c>
      <c r="G219" s="8">
        <f>G218</f>
        <v>59.99</v>
      </c>
      <c r="H219" s="8">
        <f>H218</f>
        <v>59.99</v>
      </c>
      <c r="I219" s="8">
        <f>G219-H219</f>
        <v>0</v>
      </c>
    </row>
    <row r="220" spans="1:10" hidden="1" x14ac:dyDescent="0.25"/>
    <row r="221" spans="1:10" x14ac:dyDescent="0.25">
      <c r="A221" s="5">
        <v>43000236</v>
      </c>
      <c r="B221" s="6" t="s">
        <v>360</v>
      </c>
      <c r="C221" s="7"/>
      <c r="D221" s="7"/>
      <c r="E221" s="7"/>
      <c r="F221" s="7"/>
      <c r="G221" s="7"/>
      <c r="H221" s="7"/>
      <c r="I221" s="7"/>
      <c r="J221" s="7"/>
    </row>
    <row r="222" spans="1:10" x14ac:dyDescent="0.25">
      <c r="C222" s="9"/>
      <c r="D222" s="10">
        <v>45701</v>
      </c>
      <c r="E222" t="s">
        <v>361</v>
      </c>
      <c r="F222" s="11" t="s">
        <v>362</v>
      </c>
      <c r="G222" s="8">
        <v>231.42</v>
      </c>
      <c r="H222" s="8">
        <v>0</v>
      </c>
      <c r="I222" s="8">
        <f>G222-H222</f>
        <v>231.42</v>
      </c>
      <c r="J222" s="15" t="s">
        <v>756</v>
      </c>
    </row>
    <row r="223" spans="1:10" hidden="1" x14ac:dyDescent="0.25">
      <c r="E223" s="4" t="s">
        <v>35</v>
      </c>
      <c r="G223" s="8">
        <f>G222</f>
        <v>231.42</v>
      </c>
      <c r="H223" s="8">
        <f>H222</f>
        <v>0</v>
      </c>
      <c r="I223" s="8">
        <f>G223-H223</f>
        <v>231.42</v>
      </c>
    </row>
    <row r="225" spans="1:10" x14ac:dyDescent="0.25">
      <c r="A225" s="5">
        <v>43000240</v>
      </c>
      <c r="B225" s="6" t="s">
        <v>363</v>
      </c>
      <c r="C225" s="7"/>
      <c r="D225" s="7"/>
      <c r="E225" s="7"/>
      <c r="F225" s="7"/>
      <c r="G225" s="7"/>
      <c r="H225" s="7"/>
      <c r="I225" s="7"/>
      <c r="J225" s="7"/>
    </row>
    <row r="226" spans="1:10" x14ac:dyDescent="0.25">
      <c r="C226" s="9"/>
      <c r="D226" s="10">
        <v>45705</v>
      </c>
      <c r="E226" t="s">
        <v>364</v>
      </c>
      <c r="F226" s="11" t="s">
        <v>365</v>
      </c>
      <c r="G226" s="8">
        <v>92.57</v>
      </c>
      <c r="H226" s="8">
        <v>0</v>
      </c>
      <c r="I226" s="8">
        <f>G226-H226</f>
        <v>92.57</v>
      </c>
      <c r="J226" s="15" t="s">
        <v>756</v>
      </c>
    </row>
    <row r="227" spans="1:10" hidden="1" x14ac:dyDescent="0.25">
      <c r="E227" s="4" t="s">
        <v>35</v>
      </c>
      <c r="G227" s="8">
        <f>G226</f>
        <v>92.57</v>
      </c>
      <c r="H227" s="8">
        <f>H226</f>
        <v>0</v>
      </c>
      <c r="I227" s="8">
        <f>G227-H227</f>
        <v>92.57</v>
      </c>
    </row>
    <row r="229" spans="1:10" x14ac:dyDescent="0.25">
      <c r="A229" s="5">
        <v>43000245</v>
      </c>
      <c r="B229" s="6" t="s">
        <v>366</v>
      </c>
      <c r="C229" s="7"/>
      <c r="D229" s="7"/>
      <c r="E229" s="7"/>
      <c r="F229" s="7"/>
      <c r="G229" s="7"/>
      <c r="H229" s="7"/>
      <c r="I229" s="7"/>
      <c r="J229" s="7"/>
    </row>
    <row r="230" spans="1:10" x14ac:dyDescent="0.25">
      <c r="C230" s="9"/>
      <c r="D230" s="10">
        <v>45709</v>
      </c>
      <c r="E230" t="s">
        <v>367</v>
      </c>
      <c r="F230" s="11" t="s">
        <v>368</v>
      </c>
      <c r="G230" s="8">
        <v>25</v>
      </c>
      <c r="H230" s="8">
        <v>0</v>
      </c>
      <c r="I230" s="8">
        <f>G230-H230</f>
        <v>25</v>
      </c>
      <c r="J230" s="15" t="s">
        <v>756</v>
      </c>
    </row>
    <row r="231" spans="1:10" hidden="1" x14ac:dyDescent="0.25">
      <c r="E231" s="4" t="s">
        <v>35</v>
      </c>
      <c r="G231" s="8">
        <f>G230</f>
        <v>25</v>
      </c>
      <c r="H231" s="8">
        <f>H230</f>
        <v>0</v>
      </c>
      <c r="I231" s="8">
        <f>G231-H231</f>
        <v>25</v>
      </c>
    </row>
    <row r="233" spans="1:10" x14ac:dyDescent="0.25">
      <c r="A233" s="5">
        <v>43000246</v>
      </c>
      <c r="B233" s="6" t="s">
        <v>369</v>
      </c>
      <c r="C233" s="7"/>
      <c r="D233" s="7"/>
      <c r="E233" s="7"/>
      <c r="F233" s="7"/>
      <c r="G233" s="7"/>
      <c r="H233" s="7"/>
      <c r="I233" s="7"/>
      <c r="J233" s="7"/>
    </row>
    <row r="234" spans="1:10" x14ac:dyDescent="0.25">
      <c r="C234" s="9"/>
      <c r="D234" s="10">
        <v>45712</v>
      </c>
      <c r="E234" t="s">
        <v>370</v>
      </c>
      <c r="F234" s="11" t="s">
        <v>371</v>
      </c>
      <c r="G234" s="8">
        <v>322.32</v>
      </c>
      <c r="H234" s="8">
        <v>0</v>
      </c>
      <c r="I234" s="8">
        <f>G234-H234</f>
        <v>322.32</v>
      </c>
      <c r="J234" s="15" t="s">
        <v>756</v>
      </c>
    </row>
    <row r="235" spans="1:10" hidden="1" x14ac:dyDescent="0.25">
      <c r="E235" s="4" t="s">
        <v>35</v>
      </c>
      <c r="G235" s="8">
        <f>G234</f>
        <v>322.32</v>
      </c>
      <c r="H235" s="8">
        <f>H234</f>
        <v>0</v>
      </c>
      <c r="I235" s="8">
        <f>G235-H235</f>
        <v>322.32</v>
      </c>
    </row>
    <row r="237" spans="1:10" hidden="1" x14ac:dyDescent="0.25">
      <c r="A237" s="5">
        <v>43000250</v>
      </c>
      <c r="B237" s="6" t="s">
        <v>372</v>
      </c>
      <c r="C237" s="7"/>
      <c r="D237" s="7"/>
      <c r="E237" s="7"/>
      <c r="F237" s="7"/>
      <c r="G237" s="7"/>
      <c r="H237" s="7"/>
      <c r="I237" s="7"/>
      <c r="J237" s="7"/>
    </row>
    <row r="238" spans="1:10" hidden="1" x14ac:dyDescent="0.25">
      <c r="C238" s="9"/>
      <c r="D238" s="10">
        <v>45713</v>
      </c>
      <c r="E238" t="s">
        <v>373</v>
      </c>
      <c r="F238" s="11" t="s">
        <v>374</v>
      </c>
      <c r="G238" s="8">
        <v>879.14</v>
      </c>
      <c r="H238" s="8">
        <v>0</v>
      </c>
      <c r="I238" s="8">
        <f>G238-H238</f>
        <v>879.14</v>
      </c>
      <c r="J238" s="12"/>
    </row>
    <row r="239" spans="1:10" hidden="1" x14ac:dyDescent="0.25">
      <c r="C239" s="9" t="s">
        <v>13</v>
      </c>
      <c r="D239" s="10">
        <v>45719</v>
      </c>
      <c r="E239" t="s">
        <v>375</v>
      </c>
      <c r="F239" s="11" t="s">
        <v>50</v>
      </c>
      <c r="G239" s="8">
        <v>0</v>
      </c>
      <c r="H239" s="8">
        <v>879.14</v>
      </c>
      <c r="I239" s="8">
        <f>G239-H239+I238</f>
        <v>0</v>
      </c>
      <c r="J239" s="12"/>
    </row>
    <row r="240" spans="1:10" hidden="1" x14ac:dyDescent="0.25">
      <c r="E240" s="4" t="s">
        <v>35</v>
      </c>
      <c r="G240" s="8">
        <f>SUM(G238:G239)</f>
        <v>879.14</v>
      </c>
      <c r="H240" s="8">
        <f>SUM(H238:H239)</f>
        <v>879.14</v>
      </c>
      <c r="I240" s="8">
        <f>G240-H240</f>
        <v>0</v>
      </c>
    </row>
    <row r="241" spans="1:10" hidden="1" x14ac:dyDescent="0.25"/>
    <row r="242" spans="1:10" x14ac:dyDescent="0.25">
      <c r="A242" s="5">
        <v>43000253</v>
      </c>
      <c r="B242" s="6" t="s">
        <v>376</v>
      </c>
      <c r="C242" s="7"/>
      <c r="D242" s="7"/>
      <c r="E242" s="7"/>
      <c r="F242" s="7"/>
      <c r="G242" s="7"/>
      <c r="H242" s="7"/>
      <c r="I242" s="7"/>
      <c r="J242" s="7"/>
    </row>
    <row r="243" spans="1:10" x14ac:dyDescent="0.25">
      <c r="C243" s="9"/>
      <c r="D243" s="10">
        <v>45715</v>
      </c>
      <c r="E243" t="s">
        <v>377</v>
      </c>
      <c r="F243" s="11" t="s">
        <v>378</v>
      </c>
      <c r="G243" s="8">
        <v>25</v>
      </c>
      <c r="H243" s="8">
        <v>0</v>
      </c>
      <c r="I243" s="8">
        <f>G243-H243</f>
        <v>25</v>
      </c>
      <c r="J243" s="15" t="s">
        <v>756</v>
      </c>
    </row>
    <row r="244" spans="1:10" hidden="1" x14ac:dyDescent="0.25">
      <c r="E244" s="4" t="s">
        <v>35</v>
      </c>
      <c r="G244" s="8">
        <f>G243</f>
        <v>25</v>
      </c>
      <c r="H244" s="8">
        <f>H243</f>
        <v>0</v>
      </c>
      <c r="I244" s="8">
        <f>G244-H244</f>
        <v>25</v>
      </c>
    </row>
    <row r="246" spans="1:10" x14ac:dyDescent="0.25">
      <c r="A246" s="5">
        <v>43000254</v>
      </c>
      <c r="B246" s="6" t="s">
        <v>36</v>
      </c>
      <c r="C246" s="7"/>
      <c r="D246" s="7"/>
      <c r="E246" s="7"/>
      <c r="F246" s="7"/>
      <c r="G246" s="7"/>
      <c r="H246" s="7"/>
      <c r="I246" s="7"/>
      <c r="J246" s="7"/>
    </row>
    <row r="247" spans="1:10" x14ac:dyDescent="0.25">
      <c r="C247" s="9"/>
      <c r="D247" s="10">
        <v>45716</v>
      </c>
      <c r="E247" t="s">
        <v>379</v>
      </c>
      <c r="F247" s="11" t="s">
        <v>380</v>
      </c>
      <c r="G247" s="8">
        <v>245.03</v>
      </c>
      <c r="H247" s="8">
        <v>0</v>
      </c>
      <c r="I247" s="8">
        <f>G247-H247</f>
        <v>245.03</v>
      </c>
      <c r="J247" s="15" t="s">
        <v>756</v>
      </c>
    </row>
    <row r="248" spans="1:10" hidden="1" x14ac:dyDescent="0.25">
      <c r="E248" s="4" t="s">
        <v>35</v>
      </c>
      <c r="G248" s="8">
        <f>G247</f>
        <v>245.03</v>
      </c>
      <c r="H248" s="8">
        <f>H247</f>
        <v>0</v>
      </c>
      <c r="I248" s="8">
        <f>G248-H248</f>
        <v>245.03</v>
      </c>
    </row>
    <row r="250" spans="1:10" hidden="1" x14ac:dyDescent="0.25">
      <c r="A250" s="5">
        <v>43000263</v>
      </c>
      <c r="B250" s="6" t="s">
        <v>381</v>
      </c>
      <c r="C250" s="7"/>
      <c r="D250" s="7"/>
      <c r="E250" s="7"/>
      <c r="F250" s="7"/>
      <c r="G250" s="7"/>
      <c r="H250" s="7"/>
      <c r="I250" s="7"/>
      <c r="J250" s="7"/>
    </row>
    <row r="251" spans="1:10" hidden="1" x14ac:dyDescent="0.25">
      <c r="C251" s="9"/>
      <c r="D251" s="10">
        <v>45723</v>
      </c>
      <c r="E251" t="s">
        <v>382</v>
      </c>
      <c r="F251" s="11" t="s">
        <v>383</v>
      </c>
      <c r="G251" s="8">
        <v>1295.8</v>
      </c>
      <c r="H251" s="8">
        <v>0</v>
      </c>
      <c r="I251" s="8">
        <f>G251-H251</f>
        <v>1295.8</v>
      </c>
      <c r="J251" s="12"/>
    </row>
    <row r="252" spans="1:10" hidden="1" x14ac:dyDescent="0.25">
      <c r="C252" s="9" t="s">
        <v>13</v>
      </c>
      <c r="D252" s="10">
        <v>45749</v>
      </c>
      <c r="E252" t="s">
        <v>209</v>
      </c>
      <c r="F252" s="11" t="s">
        <v>50</v>
      </c>
      <c r="G252" s="8">
        <v>0</v>
      </c>
      <c r="H252" s="8">
        <v>1295.8</v>
      </c>
      <c r="I252" s="8">
        <f>G252-H252+I251</f>
        <v>0</v>
      </c>
      <c r="J252" s="12"/>
    </row>
    <row r="253" spans="1:10" ht="15" hidden="1" customHeight="1" x14ac:dyDescent="0.25">
      <c r="E253" s="4" t="s">
        <v>35</v>
      </c>
      <c r="G253" s="8">
        <f>SUM(G251:G252)</f>
        <v>1295.8</v>
      </c>
      <c r="H253" s="8">
        <f>SUM(H251:H252)</f>
        <v>1295.8</v>
      </c>
      <c r="I253" s="8">
        <f>G253-H253</f>
        <v>0</v>
      </c>
    </row>
    <row r="254" spans="1:10" hidden="1" x14ac:dyDescent="0.25"/>
    <row r="255" spans="1:10" x14ac:dyDescent="0.25">
      <c r="A255" s="5">
        <v>43000281</v>
      </c>
      <c r="B255" s="6" t="s">
        <v>384</v>
      </c>
      <c r="C255" s="7"/>
      <c r="D255" s="7"/>
      <c r="E255" s="7"/>
      <c r="F255" s="7"/>
      <c r="G255" s="7"/>
      <c r="H255" s="7"/>
      <c r="I255" s="7"/>
      <c r="J255" s="7"/>
    </row>
    <row r="256" spans="1:10" x14ac:dyDescent="0.25">
      <c r="C256" s="9"/>
      <c r="D256" s="10">
        <v>45737</v>
      </c>
      <c r="E256" t="s">
        <v>385</v>
      </c>
      <c r="F256" s="11" t="s">
        <v>386</v>
      </c>
      <c r="G256" s="8">
        <v>25</v>
      </c>
      <c r="H256" s="8">
        <v>0</v>
      </c>
      <c r="I256" s="8">
        <f>G256-H256</f>
        <v>25</v>
      </c>
      <c r="J256" s="15" t="s">
        <v>756</v>
      </c>
    </row>
    <row r="257" spans="5:9" hidden="1" x14ac:dyDescent="0.25">
      <c r="E257" s="4" t="s">
        <v>35</v>
      </c>
      <c r="G257" s="8">
        <f>G256</f>
        <v>25</v>
      </c>
      <c r="H257" s="8">
        <f>H256</f>
        <v>0</v>
      </c>
      <c r="I257" s="8">
        <f>G257-H257</f>
        <v>25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B89B7-1FD7-4F46-943D-54168F31B3F5}">
  <dimension ref="A1:M362"/>
  <sheetViews>
    <sheetView workbookViewId="0">
      <selection activeCell="M282" sqref="M282"/>
    </sheetView>
  </sheetViews>
  <sheetFormatPr baseColWidth="10" defaultRowHeight="15" x14ac:dyDescent="0.25"/>
  <cols>
    <col min="5" max="5" width="32.5703125" bestFit="1" customWidth="1"/>
    <col min="9" max="9" width="0" hidden="1" customWidth="1"/>
  </cols>
  <sheetData>
    <row r="1" spans="1:13" ht="45.75" customHeight="1" thickTop="1" x14ac:dyDescent="0.25">
      <c r="A1" s="22" t="s">
        <v>753</v>
      </c>
      <c r="B1" s="22"/>
      <c r="C1" s="22"/>
      <c r="D1" s="22"/>
      <c r="E1" s="22"/>
      <c r="F1" s="22"/>
      <c r="G1" s="22"/>
      <c r="H1" s="22"/>
      <c r="I1" s="22"/>
      <c r="J1" s="22"/>
    </row>
    <row r="2" spans="1:13" x14ac:dyDescent="0.25">
      <c r="A2" s="5">
        <v>46500000</v>
      </c>
      <c r="B2" s="6" t="s">
        <v>387</v>
      </c>
      <c r="C2" s="7"/>
      <c r="D2" s="7"/>
      <c r="E2" s="7"/>
      <c r="F2" s="7"/>
      <c r="G2" s="7"/>
      <c r="H2" s="7"/>
      <c r="I2" s="7"/>
      <c r="J2" s="7"/>
    </row>
    <row r="3" spans="1:13" hidden="1" x14ac:dyDescent="0.25">
      <c r="C3" s="9"/>
      <c r="D3" s="10">
        <v>45684</v>
      </c>
      <c r="E3" t="s">
        <v>388</v>
      </c>
      <c r="F3" s="11" t="s">
        <v>50</v>
      </c>
      <c r="G3" s="8">
        <v>1000</v>
      </c>
      <c r="H3" s="8">
        <v>0</v>
      </c>
      <c r="I3" s="8">
        <f>G3-H3</f>
        <v>1000</v>
      </c>
      <c r="J3" s="12"/>
    </row>
    <row r="4" spans="1:13" hidden="1" x14ac:dyDescent="0.25">
      <c r="C4" s="9"/>
      <c r="D4" s="10">
        <v>45684</v>
      </c>
      <c r="E4" t="s">
        <v>388</v>
      </c>
      <c r="F4" s="11" t="s">
        <v>50</v>
      </c>
      <c r="G4" s="8">
        <v>1000</v>
      </c>
      <c r="H4" s="8">
        <v>0</v>
      </c>
      <c r="I4" s="8">
        <f>G4-H4+I3</f>
        <v>2000</v>
      </c>
      <c r="J4" s="12"/>
    </row>
    <row r="5" spans="1:13" hidden="1" x14ac:dyDescent="0.25">
      <c r="C5" s="9"/>
      <c r="D5" s="10">
        <v>45688</v>
      </c>
      <c r="E5" t="s">
        <v>389</v>
      </c>
      <c r="F5" s="11" t="s">
        <v>50</v>
      </c>
      <c r="G5" s="8">
        <v>0</v>
      </c>
      <c r="H5" s="8">
        <v>2311.48</v>
      </c>
      <c r="I5" s="8">
        <f>G5-H5+I4</f>
        <v>-311.48</v>
      </c>
      <c r="J5" s="12"/>
    </row>
    <row r="6" spans="1:13" hidden="1" x14ac:dyDescent="0.25">
      <c r="C6" s="9"/>
      <c r="D6" s="10">
        <v>45715</v>
      </c>
      <c r="E6" t="s">
        <v>388</v>
      </c>
      <c r="F6" s="11" t="s">
        <v>50</v>
      </c>
      <c r="G6" s="8">
        <v>1000</v>
      </c>
      <c r="H6" s="8">
        <v>0</v>
      </c>
      <c r="I6" s="8">
        <f>G6-H6+I5</f>
        <v>688.52</v>
      </c>
      <c r="J6" s="12"/>
    </row>
    <row r="7" spans="1:13" hidden="1" x14ac:dyDescent="0.25">
      <c r="C7" s="9"/>
      <c r="D7" s="10">
        <v>45715</v>
      </c>
      <c r="E7" t="s">
        <v>388</v>
      </c>
      <c r="F7" s="11" t="s">
        <v>50</v>
      </c>
      <c r="G7" s="8">
        <v>1000</v>
      </c>
      <c r="H7" s="8">
        <v>0</v>
      </c>
      <c r="I7" s="8">
        <f>G7-H7+I6</f>
        <v>1688.52</v>
      </c>
      <c r="J7" s="12"/>
    </row>
    <row r="8" spans="1:13" hidden="1" x14ac:dyDescent="0.25">
      <c r="C8" s="9"/>
      <c r="D8" s="10">
        <v>45716</v>
      </c>
      <c r="E8" t="s">
        <v>389</v>
      </c>
      <c r="F8" s="11" t="s">
        <v>50</v>
      </c>
      <c r="G8" s="8">
        <v>0</v>
      </c>
      <c r="H8" s="8">
        <v>2311.48</v>
      </c>
      <c r="I8" s="8">
        <f>G8-H8+I7</f>
        <v>-622.96</v>
      </c>
      <c r="J8" s="12"/>
    </row>
    <row r="9" spans="1:13" hidden="1" x14ac:dyDescent="0.25">
      <c r="C9" s="9"/>
      <c r="D9" s="10">
        <v>45743</v>
      </c>
      <c r="E9" t="s">
        <v>388</v>
      </c>
      <c r="F9" s="11" t="s">
        <v>50</v>
      </c>
      <c r="G9" s="8">
        <v>1400</v>
      </c>
      <c r="H9" s="8">
        <v>0</v>
      </c>
      <c r="I9" s="8">
        <f>G9-H9+I8</f>
        <v>777.04</v>
      </c>
      <c r="J9" s="12"/>
    </row>
    <row r="10" spans="1:13" hidden="1" x14ac:dyDescent="0.25">
      <c r="C10" s="9"/>
      <c r="D10" s="10">
        <v>45743</v>
      </c>
      <c r="E10" t="s">
        <v>388</v>
      </c>
      <c r="F10" s="11" t="s">
        <v>50</v>
      </c>
      <c r="G10" s="8">
        <v>1400</v>
      </c>
      <c r="H10" s="8">
        <v>0</v>
      </c>
      <c r="I10" s="8">
        <f>G10-H10+I9</f>
        <v>2177.04</v>
      </c>
      <c r="J10" s="12"/>
    </row>
    <row r="11" spans="1:13" hidden="1" x14ac:dyDescent="0.25">
      <c r="C11" s="9"/>
      <c r="D11" s="10">
        <v>45747</v>
      </c>
      <c r="E11" t="s">
        <v>389</v>
      </c>
      <c r="F11" s="11" t="s">
        <v>50</v>
      </c>
      <c r="G11" s="8">
        <v>0</v>
      </c>
      <c r="H11" s="8">
        <v>2000</v>
      </c>
      <c r="I11" s="8">
        <f>G11-H11+I10</f>
        <v>177.03999999999996</v>
      </c>
      <c r="J11" s="12"/>
    </row>
    <row r="12" spans="1:13" x14ac:dyDescent="0.25">
      <c r="E12" s="4" t="s">
        <v>35</v>
      </c>
      <c r="G12" s="8">
        <f>SUM(G3:G11)</f>
        <v>6800</v>
      </c>
      <c r="H12" s="8">
        <f>SUM(H3:H11)</f>
        <v>6622.96</v>
      </c>
      <c r="I12" s="8">
        <f>G12-H12</f>
        <v>177.03999999999996</v>
      </c>
      <c r="J12" s="45">
        <f>G12-H12</f>
        <v>177.03999999999996</v>
      </c>
      <c r="K12" s="46" t="s">
        <v>770</v>
      </c>
      <c r="L12" s="46"/>
    </row>
    <row r="14" spans="1:13" hidden="1" x14ac:dyDescent="0.25">
      <c r="A14" s="5">
        <v>46500010</v>
      </c>
      <c r="B14" s="6" t="s">
        <v>390</v>
      </c>
      <c r="C14" s="7"/>
      <c r="D14" s="7"/>
      <c r="E14" s="7" t="s">
        <v>772</v>
      </c>
      <c r="F14" s="7"/>
      <c r="G14" s="7"/>
      <c r="H14" s="7"/>
      <c r="I14" s="7"/>
      <c r="J14" s="47" t="s">
        <v>771</v>
      </c>
      <c r="K14" s="47"/>
      <c r="L14" s="47"/>
      <c r="M14" s="47"/>
    </row>
    <row r="15" spans="1:13" hidden="1" x14ac:dyDescent="0.25">
      <c r="C15" s="9"/>
      <c r="D15" s="10">
        <v>45658</v>
      </c>
      <c r="E15" t="s">
        <v>209</v>
      </c>
      <c r="F15" s="11" t="s">
        <v>50</v>
      </c>
      <c r="G15" s="8">
        <v>652.82000000000005</v>
      </c>
      <c r="H15" s="8">
        <v>0</v>
      </c>
      <c r="I15" s="8">
        <f>G15-H15</f>
        <v>652.82000000000005</v>
      </c>
      <c r="J15" s="12"/>
    </row>
    <row r="16" spans="1:13" hidden="1" x14ac:dyDescent="0.25">
      <c r="C16" s="9"/>
      <c r="D16" s="10">
        <v>45662</v>
      </c>
      <c r="E16" t="s">
        <v>391</v>
      </c>
      <c r="F16" s="11" t="s">
        <v>50</v>
      </c>
      <c r="G16" s="8">
        <v>326.41000000000003</v>
      </c>
      <c r="H16" s="8">
        <v>0</v>
      </c>
      <c r="I16" s="8">
        <f>G16-H16+I15</f>
        <v>979.23</v>
      </c>
      <c r="J16" s="12"/>
    </row>
    <row r="17" spans="1:11" hidden="1" x14ac:dyDescent="0.25">
      <c r="C17" s="9"/>
      <c r="D17" s="10">
        <v>45662</v>
      </c>
      <c r="E17" t="s">
        <v>391</v>
      </c>
      <c r="F17" s="11" t="s">
        <v>50</v>
      </c>
      <c r="G17" s="8">
        <v>326.41000000000003</v>
      </c>
      <c r="H17" s="8">
        <v>0</v>
      </c>
      <c r="I17" s="8">
        <f>G17-H17+I16</f>
        <v>1305.6400000000001</v>
      </c>
      <c r="J17" s="12"/>
    </row>
    <row r="18" spans="1:11" hidden="1" x14ac:dyDescent="0.25">
      <c r="C18" s="9"/>
      <c r="D18" s="10">
        <v>45688</v>
      </c>
      <c r="E18" t="s">
        <v>392</v>
      </c>
      <c r="F18" s="11" t="s">
        <v>50</v>
      </c>
      <c r="G18" s="8">
        <v>0</v>
      </c>
      <c r="H18" s="8">
        <v>140.18</v>
      </c>
      <c r="I18" s="8">
        <f>G18-H18+I17</f>
        <v>1165.46</v>
      </c>
      <c r="J18" s="12"/>
    </row>
    <row r="19" spans="1:11" hidden="1" x14ac:dyDescent="0.25">
      <c r="C19" s="9"/>
      <c r="D19" s="10">
        <v>45693</v>
      </c>
      <c r="E19" t="s">
        <v>391</v>
      </c>
      <c r="F19" s="11" t="s">
        <v>50</v>
      </c>
      <c r="G19" s="8">
        <v>326.41000000000003</v>
      </c>
      <c r="H19" s="8">
        <v>0</v>
      </c>
      <c r="I19" s="8">
        <f>G19-H19+I18</f>
        <v>1491.8700000000001</v>
      </c>
      <c r="J19" s="12"/>
    </row>
    <row r="20" spans="1:11" hidden="1" x14ac:dyDescent="0.25">
      <c r="C20" s="9"/>
      <c r="D20" s="10">
        <v>45693</v>
      </c>
      <c r="E20" t="s">
        <v>391</v>
      </c>
      <c r="F20" s="11" t="s">
        <v>50</v>
      </c>
      <c r="G20" s="8">
        <v>326.41000000000003</v>
      </c>
      <c r="H20" s="8">
        <v>0</v>
      </c>
      <c r="I20" s="8">
        <f>G20-H20+I19</f>
        <v>1818.2800000000002</v>
      </c>
      <c r="J20" s="31"/>
    </row>
    <row r="21" spans="1:11" hidden="1" x14ac:dyDescent="0.25">
      <c r="C21" s="9"/>
      <c r="D21" s="10">
        <v>45716</v>
      </c>
      <c r="E21" t="s">
        <v>392</v>
      </c>
      <c r="F21" s="11" t="s">
        <v>50</v>
      </c>
      <c r="G21" s="8">
        <v>0</v>
      </c>
      <c r="H21" s="8">
        <v>140.18</v>
      </c>
      <c r="I21" s="8">
        <f>G21-H21+I20</f>
        <v>1678.1000000000001</v>
      </c>
      <c r="J21" s="12"/>
    </row>
    <row r="22" spans="1:11" hidden="1" x14ac:dyDescent="0.25">
      <c r="C22" s="9"/>
      <c r="D22" s="10">
        <v>45721</v>
      </c>
      <c r="E22" t="s">
        <v>391</v>
      </c>
      <c r="F22" s="11" t="s">
        <v>50</v>
      </c>
      <c r="G22" s="8">
        <v>326.41000000000003</v>
      </c>
      <c r="H22" s="8">
        <v>0</v>
      </c>
      <c r="I22" s="8">
        <f>G22-H22+I21</f>
        <v>2004.5100000000002</v>
      </c>
      <c r="J22" s="12"/>
    </row>
    <row r="23" spans="1:11" hidden="1" x14ac:dyDescent="0.25">
      <c r="C23" s="9"/>
      <c r="D23" s="10">
        <v>45721</v>
      </c>
      <c r="E23" t="s">
        <v>391</v>
      </c>
      <c r="F23" s="11" t="s">
        <v>50</v>
      </c>
      <c r="G23" s="8">
        <v>326.41000000000003</v>
      </c>
      <c r="H23" s="8">
        <v>0</v>
      </c>
      <c r="I23" s="8">
        <f>G23-H23+I22</f>
        <v>2330.92</v>
      </c>
      <c r="J23" s="12"/>
    </row>
    <row r="24" spans="1:11" hidden="1" x14ac:dyDescent="0.25">
      <c r="C24" s="9"/>
      <c r="D24" s="10">
        <v>45747</v>
      </c>
      <c r="E24" t="s">
        <v>392</v>
      </c>
      <c r="F24" s="11" t="s">
        <v>50</v>
      </c>
      <c r="G24" s="8">
        <v>0</v>
      </c>
      <c r="H24" s="8">
        <v>2786.5</v>
      </c>
      <c r="I24" s="8">
        <f>G24-H24+I23</f>
        <v>-455.57999999999993</v>
      </c>
      <c r="J24" s="12"/>
    </row>
    <row r="25" spans="1:11" hidden="1" x14ac:dyDescent="0.25">
      <c r="E25" s="4" t="s">
        <v>35</v>
      </c>
      <c r="G25" s="8">
        <f>SUM(G15:G24)</f>
        <v>2611.2800000000002</v>
      </c>
      <c r="H25" s="8">
        <f>SUM(H15:H24)</f>
        <v>3066.86</v>
      </c>
      <c r="I25" s="8">
        <f>G25-H25</f>
        <v>-455.57999999999993</v>
      </c>
      <c r="J25" s="35">
        <f>G25-H25</f>
        <v>-455.57999999999993</v>
      </c>
      <c r="K25">
        <f>J25/2</f>
        <v>-227.78999999999996</v>
      </c>
    </row>
    <row r="26" spans="1:11" hidden="1" x14ac:dyDescent="0.25"/>
    <row r="27" spans="1:11" hidden="1" x14ac:dyDescent="0.25">
      <c r="A27" s="5">
        <v>47500000</v>
      </c>
      <c r="B27" s="6" t="s">
        <v>393</v>
      </c>
      <c r="C27" s="7"/>
      <c r="D27" s="7"/>
      <c r="E27" s="7"/>
      <c r="F27" s="7"/>
      <c r="G27" s="7"/>
      <c r="H27" s="7"/>
      <c r="I27" s="7"/>
      <c r="J27" s="7"/>
    </row>
    <row r="28" spans="1:11" hidden="1" x14ac:dyDescent="0.25">
      <c r="E28" s="4" t="s">
        <v>10</v>
      </c>
      <c r="G28" s="8">
        <v>0</v>
      </c>
      <c r="H28" s="8">
        <v>3099.59</v>
      </c>
      <c r="I28" s="8">
        <f>G28-H28</f>
        <v>-3099.59</v>
      </c>
    </row>
    <row r="29" spans="1:11" hidden="1" x14ac:dyDescent="0.25">
      <c r="C29" s="9"/>
      <c r="D29" s="10">
        <v>45687</v>
      </c>
      <c r="E29" t="s">
        <v>394</v>
      </c>
      <c r="F29" s="11" t="s">
        <v>50</v>
      </c>
      <c r="G29" s="8">
        <v>3099.59</v>
      </c>
      <c r="H29" s="8">
        <v>0</v>
      </c>
      <c r="I29" s="8">
        <f>G29-H29+I28</f>
        <v>0</v>
      </c>
      <c r="J29" s="12"/>
    </row>
    <row r="30" spans="1:11" hidden="1" x14ac:dyDescent="0.25">
      <c r="C30" s="9"/>
      <c r="D30" s="10">
        <v>45747</v>
      </c>
      <c r="E30" t="s">
        <v>395</v>
      </c>
      <c r="F30" s="11" t="s">
        <v>145</v>
      </c>
      <c r="G30" s="8">
        <v>0</v>
      </c>
      <c r="H30" s="8">
        <v>1927.42</v>
      </c>
      <c r="I30" s="8">
        <f>G30-H30+I29</f>
        <v>-1927.42</v>
      </c>
      <c r="J30" s="12"/>
    </row>
    <row r="31" spans="1:11" hidden="1" x14ac:dyDescent="0.25">
      <c r="E31" s="4" t="s">
        <v>35</v>
      </c>
      <c r="G31" s="8">
        <f>SUM(G28:G30)</f>
        <v>3099.59</v>
      </c>
      <c r="H31" s="8">
        <f>SUM(H28:H30)</f>
        <v>5027.01</v>
      </c>
      <c r="I31" s="8">
        <f>G31-H31</f>
        <v>-1927.42</v>
      </c>
    </row>
    <row r="32" spans="1:11" hidden="1" x14ac:dyDescent="0.25"/>
    <row r="33" spans="1:10" hidden="1" x14ac:dyDescent="0.25">
      <c r="A33" s="5">
        <v>47510000</v>
      </c>
      <c r="B33" s="6" t="s">
        <v>396</v>
      </c>
      <c r="C33" s="7"/>
      <c r="D33" s="7"/>
      <c r="E33" s="7"/>
      <c r="F33" s="7"/>
      <c r="G33" s="7"/>
      <c r="H33" s="7"/>
      <c r="I33" s="7"/>
      <c r="J33" s="7"/>
    </row>
    <row r="34" spans="1:10" hidden="1" x14ac:dyDescent="0.25">
      <c r="E34" s="4" t="s">
        <v>10</v>
      </c>
      <c r="G34" s="8">
        <v>0</v>
      </c>
      <c r="H34" s="8">
        <v>1601.71</v>
      </c>
      <c r="I34" s="8">
        <f>G34-H34</f>
        <v>-1601.71</v>
      </c>
    </row>
    <row r="35" spans="1:10" hidden="1" x14ac:dyDescent="0.25">
      <c r="C35" s="9"/>
      <c r="D35" s="10">
        <v>45658</v>
      </c>
      <c r="E35" t="s">
        <v>397</v>
      </c>
      <c r="F35" s="11" t="s">
        <v>143</v>
      </c>
      <c r="G35" s="8">
        <v>0</v>
      </c>
      <c r="H35" s="8">
        <v>142.5</v>
      </c>
      <c r="I35" s="8">
        <f>G35-H35+I34</f>
        <v>-1744.21</v>
      </c>
      <c r="J35" s="12"/>
    </row>
    <row r="36" spans="1:10" hidden="1" x14ac:dyDescent="0.25">
      <c r="C36" s="9"/>
      <c r="D36" s="10">
        <v>45677</v>
      </c>
      <c r="E36" t="s">
        <v>398</v>
      </c>
      <c r="F36" s="11" t="s">
        <v>50</v>
      </c>
      <c r="G36" s="8">
        <v>427.5</v>
      </c>
      <c r="H36" s="8">
        <v>0</v>
      </c>
      <c r="I36" s="8">
        <f>G36-H36+I35</f>
        <v>-1316.71</v>
      </c>
      <c r="J36" s="12"/>
    </row>
    <row r="37" spans="1:10" hidden="1" x14ac:dyDescent="0.25">
      <c r="C37" s="9"/>
      <c r="D37" s="10">
        <v>45677</v>
      </c>
      <c r="E37" t="s">
        <v>399</v>
      </c>
      <c r="F37" s="11" t="s">
        <v>50</v>
      </c>
      <c r="G37" s="8">
        <v>1174.21</v>
      </c>
      <c r="H37" s="8">
        <v>0</v>
      </c>
      <c r="I37" s="8">
        <f>G37-H37+I36</f>
        <v>-142.5</v>
      </c>
      <c r="J37" s="12"/>
    </row>
    <row r="38" spans="1:10" hidden="1" x14ac:dyDescent="0.25">
      <c r="C38" s="9"/>
      <c r="D38" s="10">
        <v>45689</v>
      </c>
      <c r="E38" t="s">
        <v>397</v>
      </c>
      <c r="F38" s="11" t="s">
        <v>145</v>
      </c>
      <c r="G38" s="8">
        <v>0</v>
      </c>
      <c r="H38" s="8">
        <v>142.5</v>
      </c>
      <c r="I38" s="8">
        <f>G38-H38+I37</f>
        <v>-285</v>
      </c>
      <c r="J38" s="12"/>
    </row>
    <row r="39" spans="1:10" hidden="1" x14ac:dyDescent="0.25">
      <c r="C39" s="9"/>
      <c r="D39" s="10">
        <v>45717</v>
      </c>
      <c r="E39" t="s">
        <v>397</v>
      </c>
      <c r="F39" s="11" t="s">
        <v>147</v>
      </c>
      <c r="G39" s="8">
        <v>0</v>
      </c>
      <c r="H39" s="8">
        <v>142.5</v>
      </c>
      <c r="I39" s="8">
        <f>G39-H39+I38</f>
        <v>-427.5</v>
      </c>
      <c r="J39" s="12"/>
    </row>
    <row r="40" spans="1:10" hidden="1" x14ac:dyDescent="0.25">
      <c r="E40" s="4" t="s">
        <v>35</v>
      </c>
      <c r="G40" s="8">
        <f>SUM(G34:G39)</f>
        <v>1601.71</v>
      </c>
      <c r="H40" s="8">
        <f>SUM(H34:H39)</f>
        <v>2029.21</v>
      </c>
      <c r="I40" s="8">
        <f>G40-H40</f>
        <v>-427.5</v>
      </c>
    </row>
    <row r="41" spans="1:10" hidden="1" x14ac:dyDescent="0.25"/>
    <row r="42" spans="1:10" hidden="1" x14ac:dyDescent="0.25">
      <c r="A42" s="5">
        <v>47520000</v>
      </c>
      <c r="B42" s="6" t="s">
        <v>400</v>
      </c>
      <c r="C42" s="7"/>
      <c r="D42" s="7"/>
      <c r="E42" s="7"/>
      <c r="F42" s="7"/>
      <c r="G42" s="7"/>
      <c r="H42" s="7"/>
      <c r="I42" s="7"/>
      <c r="J42" s="7"/>
    </row>
    <row r="43" spans="1:10" hidden="1" x14ac:dyDescent="0.25">
      <c r="E43" s="4" t="s">
        <v>10</v>
      </c>
      <c r="G43" s="8">
        <v>0</v>
      </c>
      <c r="H43" s="8">
        <v>827.17</v>
      </c>
      <c r="I43" s="8">
        <f>G43-H43</f>
        <v>-827.17</v>
      </c>
    </row>
    <row r="44" spans="1:10" hidden="1" x14ac:dyDescent="0.25">
      <c r="E44" s="4" t="s">
        <v>35</v>
      </c>
      <c r="G44" s="8">
        <f>G43</f>
        <v>0</v>
      </c>
      <c r="H44" s="8">
        <f>H43</f>
        <v>827.17</v>
      </c>
      <c r="I44" s="8">
        <f>G44-H44</f>
        <v>-827.17</v>
      </c>
    </row>
    <row r="45" spans="1:10" hidden="1" x14ac:dyDescent="0.25"/>
    <row r="46" spans="1:10" hidden="1" x14ac:dyDescent="0.25">
      <c r="A46" s="5">
        <v>47700000</v>
      </c>
      <c r="B46" s="6" t="s">
        <v>401</v>
      </c>
      <c r="C46" s="7"/>
      <c r="D46" s="7"/>
      <c r="E46" s="7"/>
      <c r="F46" s="7"/>
      <c r="G46" s="7"/>
      <c r="H46" s="7"/>
      <c r="I46" s="7"/>
      <c r="J46" s="7" t="s">
        <v>769</v>
      </c>
    </row>
    <row r="47" spans="1:10" hidden="1" x14ac:dyDescent="0.25">
      <c r="E47" s="4" t="s">
        <v>10</v>
      </c>
      <c r="G47" s="8">
        <v>0</v>
      </c>
      <c r="H47" s="8">
        <v>156.66</v>
      </c>
      <c r="I47" s="8">
        <f>G47-H47</f>
        <v>-156.66</v>
      </c>
    </row>
    <row r="48" spans="1:10" hidden="1" x14ac:dyDescent="0.25">
      <c r="C48" s="9"/>
      <c r="D48" s="10">
        <v>45658</v>
      </c>
      <c r="E48" t="s">
        <v>402</v>
      </c>
      <c r="F48" s="11" t="s">
        <v>403</v>
      </c>
      <c r="G48" s="8">
        <v>0</v>
      </c>
      <c r="H48" s="8">
        <v>-156.66</v>
      </c>
      <c r="I48" s="8">
        <f>G48-H48+I47</f>
        <v>0</v>
      </c>
      <c r="J48" s="12"/>
    </row>
    <row r="49" spans="3:10" hidden="1" x14ac:dyDescent="0.25">
      <c r="C49" s="9"/>
      <c r="D49" s="10">
        <v>45658</v>
      </c>
      <c r="E49" t="s">
        <v>402</v>
      </c>
      <c r="F49" s="11" t="s">
        <v>403</v>
      </c>
      <c r="G49" s="8">
        <v>0</v>
      </c>
      <c r="H49" s="8">
        <v>156.66</v>
      </c>
      <c r="I49" s="8">
        <f>G49-H49+I48</f>
        <v>-156.66</v>
      </c>
      <c r="J49" s="12"/>
    </row>
    <row r="50" spans="3:10" hidden="1" x14ac:dyDescent="0.25">
      <c r="C50" s="9"/>
      <c r="D50" s="10">
        <v>45659</v>
      </c>
      <c r="E50" t="s">
        <v>404</v>
      </c>
      <c r="F50" s="11" t="s">
        <v>405</v>
      </c>
      <c r="G50" s="8">
        <v>0</v>
      </c>
      <c r="H50" s="8">
        <v>3.47</v>
      </c>
      <c r="I50" s="8">
        <f>G50-H50+I49</f>
        <v>-160.13</v>
      </c>
      <c r="J50" s="12"/>
    </row>
    <row r="51" spans="3:10" hidden="1" x14ac:dyDescent="0.25">
      <c r="C51" s="9"/>
      <c r="D51" s="10">
        <v>45659</v>
      </c>
      <c r="E51" t="s">
        <v>406</v>
      </c>
      <c r="F51" s="11" t="s">
        <v>407</v>
      </c>
      <c r="G51" s="8">
        <v>0</v>
      </c>
      <c r="H51" s="8">
        <v>65.38</v>
      </c>
      <c r="I51" s="8">
        <f>G51-H51+I50</f>
        <v>-225.51</v>
      </c>
      <c r="J51" s="12"/>
    </row>
    <row r="52" spans="3:10" hidden="1" x14ac:dyDescent="0.25">
      <c r="C52" s="9"/>
      <c r="D52" s="10">
        <v>45660</v>
      </c>
      <c r="E52" t="s">
        <v>408</v>
      </c>
      <c r="F52" s="11" t="s">
        <v>263</v>
      </c>
      <c r="G52" s="8">
        <v>0</v>
      </c>
      <c r="H52" s="8">
        <v>26.25</v>
      </c>
      <c r="I52" s="8">
        <f>G52-H52+I51</f>
        <v>-251.76</v>
      </c>
      <c r="J52" s="12"/>
    </row>
    <row r="53" spans="3:10" hidden="1" x14ac:dyDescent="0.25">
      <c r="C53" s="9"/>
      <c r="D53" s="10">
        <v>45660</v>
      </c>
      <c r="E53" t="s">
        <v>409</v>
      </c>
      <c r="F53" s="11" t="s">
        <v>410</v>
      </c>
      <c r="G53" s="8">
        <v>0</v>
      </c>
      <c r="H53" s="8">
        <v>97.26</v>
      </c>
      <c r="I53" s="8">
        <f>G53-H53+I52</f>
        <v>-349.02</v>
      </c>
      <c r="J53" s="12"/>
    </row>
    <row r="54" spans="3:10" hidden="1" x14ac:dyDescent="0.25">
      <c r="C54" s="9"/>
      <c r="D54" s="10">
        <v>45660</v>
      </c>
      <c r="E54" t="s">
        <v>411</v>
      </c>
      <c r="F54" s="11" t="s">
        <v>412</v>
      </c>
      <c r="G54" s="8">
        <v>0</v>
      </c>
      <c r="H54" s="8">
        <v>40.89</v>
      </c>
      <c r="I54" s="8">
        <f>G54-H54+I53</f>
        <v>-389.90999999999997</v>
      </c>
      <c r="J54" s="12"/>
    </row>
    <row r="55" spans="3:10" hidden="1" x14ac:dyDescent="0.25">
      <c r="C55" s="9"/>
      <c r="D55" s="10">
        <v>45660</v>
      </c>
      <c r="E55" t="s">
        <v>413</v>
      </c>
      <c r="F55" s="11" t="s">
        <v>414</v>
      </c>
      <c r="G55" s="8">
        <v>0</v>
      </c>
      <c r="H55" s="8">
        <v>17.850000000000001</v>
      </c>
      <c r="I55" s="8">
        <f>G55-H55+I54</f>
        <v>-407.76</v>
      </c>
      <c r="J55" s="12"/>
    </row>
    <row r="56" spans="3:10" hidden="1" x14ac:dyDescent="0.25">
      <c r="C56" s="9"/>
      <c r="D56" s="10">
        <v>45660</v>
      </c>
      <c r="E56" t="s">
        <v>415</v>
      </c>
      <c r="F56" s="11" t="s">
        <v>191</v>
      </c>
      <c r="G56" s="8">
        <v>0</v>
      </c>
      <c r="H56" s="8">
        <v>15.62</v>
      </c>
      <c r="I56" s="8">
        <f>G56-H56+I55</f>
        <v>-423.38</v>
      </c>
      <c r="J56" s="12"/>
    </row>
    <row r="57" spans="3:10" hidden="1" x14ac:dyDescent="0.25">
      <c r="C57" s="9"/>
      <c r="D57" s="10">
        <v>45664</v>
      </c>
      <c r="E57" t="s">
        <v>416</v>
      </c>
      <c r="F57" s="11" t="s">
        <v>417</v>
      </c>
      <c r="G57" s="8">
        <v>0</v>
      </c>
      <c r="H57" s="8">
        <v>39.9</v>
      </c>
      <c r="I57" s="8">
        <f>G57-H57+I56</f>
        <v>-463.28</v>
      </c>
      <c r="J57" s="12"/>
    </row>
    <row r="58" spans="3:10" hidden="1" x14ac:dyDescent="0.25">
      <c r="C58" s="9"/>
      <c r="D58" s="10">
        <v>45664</v>
      </c>
      <c r="E58" t="s">
        <v>418</v>
      </c>
      <c r="F58" s="11" t="s">
        <v>419</v>
      </c>
      <c r="G58" s="8">
        <v>0</v>
      </c>
      <c r="H58" s="8">
        <v>50.81</v>
      </c>
      <c r="I58" s="8">
        <f>G58-H58+I57</f>
        <v>-514.08999999999992</v>
      </c>
      <c r="J58" s="12"/>
    </row>
    <row r="59" spans="3:10" hidden="1" x14ac:dyDescent="0.25">
      <c r="C59" s="9"/>
      <c r="D59" s="10">
        <v>45664</v>
      </c>
      <c r="E59" t="s">
        <v>420</v>
      </c>
      <c r="F59" s="11" t="s">
        <v>421</v>
      </c>
      <c r="G59" s="8">
        <v>0</v>
      </c>
      <c r="H59" s="8">
        <v>24.52</v>
      </c>
      <c r="I59" s="8">
        <f>G59-H59+I58</f>
        <v>-538.6099999999999</v>
      </c>
      <c r="J59" s="12"/>
    </row>
    <row r="60" spans="3:10" hidden="1" x14ac:dyDescent="0.25">
      <c r="C60" s="9"/>
      <c r="D60" s="10">
        <v>45665</v>
      </c>
      <c r="E60" t="s">
        <v>422</v>
      </c>
      <c r="F60" s="11" t="s">
        <v>266</v>
      </c>
      <c r="G60" s="8">
        <v>0</v>
      </c>
      <c r="H60" s="8">
        <v>38.380000000000003</v>
      </c>
      <c r="I60" s="8">
        <f>G60-H60+I59</f>
        <v>-576.9899999999999</v>
      </c>
      <c r="J60" s="12"/>
    </row>
    <row r="61" spans="3:10" hidden="1" x14ac:dyDescent="0.25">
      <c r="C61" s="9"/>
      <c r="D61" s="10">
        <v>45665</v>
      </c>
      <c r="E61" t="s">
        <v>423</v>
      </c>
      <c r="F61" s="11" t="s">
        <v>254</v>
      </c>
      <c r="G61" s="8">
        <v>0</v>
      </c>
      <c r="H61" s="8">
        <v>65.84</v>
      </c>
      <c r="I61" s="8">
        <f>G61-H61+I60</f>
        <v>-642.82999999999993</v>
      </c>
      <c r="J61" s="12"/>
    </row>
    <row r="62" spans="3:10" hidden="1" x14ac:dyDescent="0.25">
      <c r="C62" s="9"/>
      <c r="D62" s="10">
        <v>45665</v>
      </c>
      <c r="E62" t="s">
        <v>424</v>
      </c>
      <c r="F62" s="11" t="s">
        <v>271</v>
      </c>
      <c r="G62" s="8">
        <v>0</v>
      </c>
      <c r="H62" s="8">
        <v>76.67</v>
      </c>
      <c r="I62" s="8">
        <f>G62-H62+I61</f>
        <v>-719.49999999999989</v>
      </c>
      <c r="J62" s="12"/>
    </row>
    <row r="63" spans="3:10" hidden="1" x14ac:dyDescent="0.25">
      <c r="C63" s="9"/>
      <c r="D63" s="10">
        <v>45665</v>
      </c>
      <c r="E63" t="s">
        <v>425</v>
      </c>
      <c r="F63" s="11" t="s">
        <v>426</v>
      </c>
      <c r="G63" s="8">
        <v>0</v>
      </c>
      <c r="H63" s="8">
        <v>16.72</v>
      </c>
      <c r="I63" s="8">
        <f>G63-H63+I62</f>
        <v>-736.21999999999991</v>
      </c>
      <c r="J63" s="12"/>
    </row>
    <row r="64" spans="3:10" hidden="1" x14ac:dyDescent="0.25">
      <c r="C64" s="9"/>
      <c r="D64" s="10">
        <v>45665</v>
      </c>
      <c r="E64" t="s">
        <v>427</v>
      </c>
      <c r="F64" s="11" t="s">
        <v>276</v>
      </c>
      <c r="G64" s="8">
        <v>0</v>
      </c>
      <c r="H64" s="8">
        <v>13.7</v>
      </c>
      <c r="I64" s="8">
        <f>G64-H64+I63</f>
        <v>-749.92</v>
      </c>
      <c r="J64" s="12"/>
    </row>
    <row r="65" spans="3:10" hidden="1" x14ac:dyDescent="0.25">
      <c r="C65" s="9"/>
      <c r="D65" s="10">
        <v>45665</v>
      </c>
      <c r="E65" t="s">
        <v>422</v>
      </c>
      <c r="F65" s="11" t="s">
        <v>268</v>
      </c>
      <c r="G65" s="8">
        <v>0</v>
      </c>
      <c r="H65" s="8">
        <v>1.74</v>
      </c>
      <c r="I65" s="8">
        <f>G65-H65+I64</f>
        <v>-751.66</v>
      </c>
      <c r="J65" s="12"/>
    </row>
    <row r="66" spans="3:10" hidden="1" x14ac:dyDescent="0.25">
      <c r="C66" s="9"/>
      <c r="D66" s="10">
        <v>45666</v>
      </c>
      <c r="E66" t="s">
        <v>428</v>
      </c>
      <c r="F66" s="11" t="s">
        <v>429</v>
      </c>
      <c r="G66" s="8">
        <v>0</v>
      </c>
      <c r="H66" s="8">
        <v>5.25</v>
      </c>
      <c r="I66" s="8">
        <f>G66-H66+I65</f>
        <v>-756.91</v>
      </c>
      <c r="J66" s="12"/>
    </row>
    <row r="67" spans="3:10" hidden="1" x14ac:dyDescent="0.25">
      <c r="C67" s="9"/>
      <c r="D67" s="10">
        <v>45666</v>
      </c>
      <c r="E67" t="s">
        <v>430</v>
      </c>
      <c r="F67" s="11" t="s">
        <v>431</v>
      </c>
      <c r="G67" s="8">
        <v>0</v>
      </c>
      <c r="H67" s="8">
        <v>45.56</v>
      </c>
      <c r="I67" s="8">
        <f>G67-H67+I66</f>
        <v>-802.47</v>
      </c>
      <c r="J67" s="12"/>
    </row>
    <row r="68" spans="3:10" hidden="1" x14ac:dyDescent="0.25">
      <c r="C68" s="9"/>
      <c r="D68" s="10">
        <v>45666</v>
      </c>
      <c r="E68" t="s">
        <v>424</v>
      </c>
      <c r="F68" s="11" t="s">
        <v>273</v>
      </c>
      <c r="G68" s="8">
        <v>0</v>
      </c>
      <c r="H68" s="8">
        <v>5.21</v>
      </c>
      <c r="I68" s="8">
        <f>G68-H68+I67</f>
        <v>-807.68000000000006</v>
      </c>
      <c r="J68" s="12"/>
    </row>
    <row r="69" spans="3:10" hidden="1" x14ac:dyDescent="0.25">
      <c r="C69" s="9"/>
      <c r="D69" s="10">
        <v>45667</v>
      </c>
      <c r="E69" t="s">
        <v>432</v>
      </c>
      <c r="F69" s="11" t="s">
        <v>433</v>
      </c>
      <c r="G69" s="8">
        <v>0</v>
      </c>
      <c r="H69" s="8">
        <v>4.34</v>
      </c>
      <c r="I69" s="8">
        <f>G69-H69+I68</f>
        <v>-812.0200000000001</v>
      </c>
      <c r="J69" s="12"/>
    </row>
    <row r="70" spans="3:10" hidden="1" x14ac:dyDescent="0.25">
      <c r="C70" s="9"/>
      <c r="D70" s="10">
        <v>45667</v>
      </c>
      <c r="E70" t="s">
        <v>434</v>
      </c>
      <c r="F70" s="11" t="s">
        <v>435</v>
      </c>
      <c r="G70" s="8">
        <v>0</v>
      </c>
      <c r="H70" s="8">
        <v>26.51</v>
      </c>
      <c r="I70" s="8">
        <f>G70-H70+I69</f>
        <v>-838.53000000000009</v>
      </c>
      <c r="J70" s="12"/>
    </row>
    <row r="71" spans="3:10" hidden="1" x14ac:dyDescent="0.25">
      <c r="C71" s="9"/>
      <c r="D71" s="10">
        <v>45667</v>
      </c>
      <c r="E71" t="s">
        <v>436</v>
      </c>
      <c r="F71" s="11" t="s">
        <v>279</v>
      </c>
      <c r="G71" s="8">
        <v>0</v>
      </c>
      <c r="H71" s="8">
        <v>8.2799999999999994</v>
      </c>
      <c r="I71" s="8">
        <f>G71-H71+I70</f>
        <v>-846.81000000000006</v>
      </c>
      <c r="J71" s="12"/>
    </row>
    <row r="72" spans="3:10" hidden="1" x14ac:dyDescent="0.25">
      <c r="C72" s="9"/>
      <c r="D72" s="10">
        <v>45670</v>
      </c>
      <c r="E72" t="s">
        <v>416</v>
      </c>
      <c r="F72" s="11" t="s">
        <v>437</v>
      </c>
      <c r="G72" s="8">
        <v>0</v>
      </c>
      <c r="H72" s="8">
        <v>4.34</v>
      </c>
      <c r="I72" s="8">
        <f>G72-H72+I71</f>
        <v>-851.15000000000009</v>
      </c>
      <c r="J72" s="12"/>
    </row>
    <row r="73" spans="3:10" hidden="1" x14ac:dyDescent="0.25">
      <c r="C73" s="9"/>
      <c r="D73" s="10">
        <v>45670</v>
      </c>
      <c r="E73" t="s">
        <v>438</v>
      </c>
      <c r="F73" s="11" t="s">
        <v>282</v>
      </c>
      <c r="G73" s="8">
        <v>0</v>
      </c>
      <c r="H73" s="8">
        <v>232.93</v>
      </c>
      <c r="I73" s="8">
        <f>G73-H73+I72</f>
        <v>-1084.0800000000002</v>
      </c>
      <c r="J73" s="12"/>
    </row>
    <row r="74" spans="3:10" hidden="1" x14ac:dyDescent="0.25">
      <c r="C74" s="9"/>
      <c r="D74" s="10">
        <v>45670</v>
      </c>
      <c r="E74" t="s">
        <v>439</v>
      </c>
      <c r="F74" s="11" t="s">
        <v>440</v>
      </c>
      <c r="G74" s="8">
        <v>0</v>
      </c>
      <c r="H74" s="8">
        <v>25.6</v>
      </c>
      <c r="I74" s="8">
        <f>G74-H74+I73</f>
        <v>-1109.68</v>
      </c>
      <c r="J74" s="12"/>
    </row>
    <row r="75" spans="3:10" hidden="1" x14ac:dyDescent="0.25">
      <c r="C75" s="9"/>
      <c r="D75" s="10">
        <v>45670</v>
      </c>
      <c r="E75" t="s">
        <v>441</v>
      </c>
      <c r="F75" s="11" t="s">
        <v>289</v>
      </c>
      <c r="G75" s="8">
        <v>0</v>
      </c>
      <c r="H75" s="8">
        <v>25.39</v>
      </c>
      <c r="I75" s="8">
        <f>G75-H75+I74</f>
        <v>-1135.0700000000002</v>
      </c>
      <c r="J75" s="12"/>
    </row>
    <row r="76" spans="3:10" hidden="1" x14ac:dyDescent="0.25">
      <c r="C76" s="9"/>
      <c r="D76" s="10">
        <v>45671</v>
      </c>
      <c r="E76" t="s">
        <v>442</v>
      </c>
      <c r="F76" s="11" t="s">
        <v>443</v>
      </c>
      <c r="G76" s="8">
        <v>0</v>
      </c>
      <c r="H76" s="8">
        <v>4.34</v>
      </c>
      <c r="I76" s="8">
        <f>G76-H76+I75</f>
        <v>-1139.4100000000001</v>
      </c>
      <c r="J76" s="12"/>
    </row>
    <row r="77" spans="3:10" hidden="1" x14ac:dyDescent="0.25">
      <c r="C77" s="9"/>
      <c r="D77" s="10">
        <v>45671</v>
      </c>
      <c r="E77" t="s">
        <v>444</v>
      </c>
      <c r="F77" s="11" t="s">
        <v>310</v>
      </c>
      <c r="G77" s="8">
        <v>0</v>
      </c>
      <c r="H77" s="8">
        <v>47.66</v>
      </c>
      <c r="I77" s="8">
        <f>G77-H77+I76</f>
        <v>-1187.0700000000002</v>
      </c>
      <c r="J77" s="12"/>
    </row>
    <row r="78" spans="3:10" hidden="1" x14ac:dyDescent="0.25">
      <c r="C78" s="9"/>
      <c r="D78" s="10">
        <v>45671</v>
      </c>
      <c r="E78" t="s">
        <v>445</v>
      </c>
      <c r="F78" s="11" t="s">
        <v>313</v>
      </c>
      <c r="G78" s="8">
        <v>0</v>
      </c>
      <c r="H78" s="8">
        <v>34.06</v>
      </c>
      <c r="I78" s="8">
        <f>G78-H78+I77</f>
        <v>-1221.1300000000001</v>
      </c>
      <c r="J78" s="12"/>
    </row>
    <row r="79" spans="3:10" hidden="1" x14ac:dyDescent="0.25">
      <c r="C79" s="9"/>
      <c r="D79" s="10">
        <v>45671</v>
      </c>
      <c r="E79" t="s">
        <v>446</v>
      </c>
      <c r="F79" s="11" t="s">
        <v>447</v>
      </c>
      <c r="G79" s="8">
        <v>0</v>
      </c>
      <c r="H79" s="8">
        <v>27.64</v>
      </c>
      <c r="I79" s="8">
        <f>G79-H79+I78</f>
        <v>-1248.7700000000002</v>
      </c>
      <c r="J79" s="12"/>
    </row>
    <row r="80" spans="3:10" hidden="1" x14ac:dyDescent="0.25">
      <c r="C80" s="9"/>
      <c r="D80" s="10">
        <v>45671</v>
      </c>
      <c r="E80" t="s">
        <v>448</v>
      </c>
      <c r="F80" s="11" t="s">
        <v>449</v>
      </c>
      <c r="G80" s="8">
        <v>0</v>
      </c>
      <c r="H80" s="8">
        <v>33.299999999999997</v>
      </c>
      <c r="I80" s="8">
        <f>G80-H80+I79</f>
        <v>-1282.0700000000002</v>
      </c>
      <c r="J80" s="12"/>
    </row>
    <row r="81" spans="3:10" hidden="1" x14ac:dyDescent="0.25">
      <c r="C81" s="9"/>
      <c r="D81" s="10">
        <v>45671</v>
      </c>
      <c r="E81" t="s">
        <v>450</v>
      </c>
      <c r="F81" s="11" t="s">
        <v>299</v>
      </c>
      <c r="G81" s="8">
        <v>0</v>
      </c>
      <c r="H81" s="8">
        <v>64.08</v>
      </c>
      <c r="I81" s="8">
        <f>G81-H81+I80</f>
        <v>-1346.15</v>
      </c>
      <c r="J81" s="12"/>
    </row>
    <row r="82" spans="3:10" hidden="1" x14ac:dyDescent="0.25">
      <c r="C82" s="9"/>
      <c r="D82" s="10">
        <v>45672</v>
      </c>
      <c r="E82" t="s">
        <v>451</v>
      </c>
      <c r="F82" s="11" t="s">
        <v>452</v>
      </c>
      <c r="G82" s="8">
        <v>0</v>
      </c>
      <c r="H82" s="8">
        <v>4.34</v>
      </c>
      <c r="I82" s="8">
        <f>G82-H82+I81</f>
        <v>-1350.49</v>
      </c>
      <c r="J82" s="12"/>
    </row>
    <row r="83" spans="3:10" hidden="1" x14ac:dyDescent="0.25">
      <c r="C83" s="9"/>
      <c r="D83" s="10">
        <v>45673</v>
      </c>
      <c r="E83" t="s">
        <v>453</v>
      </c>
      <c r="F83" s="11" t="s">
        <v>215</v>
      </c>
      <c r="G83" s="8">
        <v>0</v>
      </c>
      <c r="H83" s="8">
        <v>8.68</v>
      </c>
      <c r="I83" s="8">
        <f>G83-H83+I82</f>
        <v>-1359.17</v>
      </c>
      <c r="J83" s="12"/>
    </row>
    <row r="84" spans="3:10" hidden="1" x14ac:dyDescent="0.25">
      <c r="C84" s="9"/>
      <c r="D84" s="10">
        <v>45673</v>
      </c>
      <c r="E84" t="s">
        <v>454</v>
      </c>
      <c r="F84" s="11" t="s">
        <v>455</v>
      </c>
      <c r="G84" s="8">
        <v>0</v>
      </c>
      <c r="H84" s="8">
        <v>4.34</v>
      </c>
      <c r="I84" s="8">
        <f>G84-H84+I83</f>
        <v>-1363.51</v>
      </c>
      <c r="J84" s="12"/>
    </row>
    <row r="85" spans="3:10" hidden="1" x14ac:dyDescent="0.25">
      <c r="C85" s="9"/>
      <c r="D85" s="10">
        <v>45673</v>
      </c>
      <c r="E85" t="s">
        <v>456</v>
      </c>
      <c r="F85" s="11" t="s">
        <v>457</v>
      </c>
      <c r="G85" s="8">
        <v>0</v>
      </c>
      <c r="H85" s="8">
        <v>12.6</v>
      </c>
      <c r="I85" s="8">
        <f>G85-H85+I84</f>
        <v>-1376.11</v>
      </c>
      <c r="J85" s="12"/>
    </row>
    <row r="86" spans="3:10" hidden="1" x14ac:dyDescent="0.25">
      <c r="C86" s="9"/>
      <c r="D86" s="10">
        <v>45673</v>
      </c>
      <c r="E86" t="s">
        <v>458</v>
      </c>
      <c r="F86" s="11" t="s">
        <v>459</v>
      </c>
      <c r="G86" s="8">
        <v>0</v>
      </c>
      <c r="H86" s="8">
        <v>75.19</v>
      </c>
      <c r="I86" s="8">
        <f>G86-H86+I85</f>
        <v>-1451.3</v>
      </c>
      <c r="J86" s="12"/>
    </row>
    <row r="87" spans="3:10" hidden="1" x14ac:dyDescent="0.25">
      <c r="C87" s="9"/>
      <c r="D87" s="10">
        <v>45673</v>
      </c>
      <c r="E87" t="s">
        <v>453</v>
      </c>
      <c r="F87" s="11" t="s">
        <v>217</v>
      </c>
      <c r="G87" s="8">
        <v>0</v>
      </c>
      <c r="H87" s="8">
        <v>26.04</v>
      </c>
      <c r="I87" s="8">
        <f>G87-H87+I86</f>
        <v>-1477.34</v>
      </c>
      <c r="J87" s="12"/>
    </row>
    <row r="88" spans="3:10" hidden="1" x14ac:dyDescent="0.25">
      <c r="C88" s="9"/>
      <c r="D88" s="10">
        <v>45677</v>
      </c>
      <c r="E88" t="s">
        <v>460</v>
      </c>
      <c r="F88" s="11" t="s">
        <v>321</v>
      </c>
      <c r="G88" s="8">
        <v>0</v>
      </c>
      <c r="H88" s="8">
        <v>122.51</v>
      </c>
      <c r="I88" s="8">
        <f>G88-H88+I87</f>
        <v>-1599.85</v>
      </c>
      <c r="J88" s="12"/>
    </row>
    <row r="89" spans="3:10" hidden="1" x14ac:dyDescent="0.25">
      <c r="C89" s="9"/>
      <c r="D89" s="10">
        <v>45678</v>
      </c>
      <c r="E89" t="s">
        <v>461</v>
      </c>
      <c r="F89" s="11" t="s">
        <v>324</v>
      </c>
      <c r="G89" s="8">
        <v>0</v>
      </c>
      <c r="H89" s="8">
        <v>21.83</v>
      </c>
      <c r="I89" s="8">
        <f>G89-H89+I88</f>
        <v>-1621.6799999999998</v>
      </c>
      <c r="J89" s="12"/>
    </row>
    <row r="90" spans="3:10" hidden="1" x14ac:dyDescent="0.25">
      <c r="C90" s="9"/>
      <c r="D90" s="10">
        <v>45678</v>
      </c>
      <c r="E90" t="s">
        <v>462</v>
      </c>
      <c r="F90" s="11" t="s">
        <v>304</v>
      </c>
      <c r="G90" s="8">
        <v>0</v>
      </c>
      <c r="H90" s="8">
        <v>16.86</v>
      </c>
      <c r="I90" s="8">
        <f>G90-H90+I89</f>
        <v>-1638.5399999999997</v>
      </c>
      <c r="J90" s="12"/>
    </row>
    <row r="91" spans="3:10" hidden="1" x14ac:dyDescent="0.25">
      <c r="C91" s="9"/>
      <c r="D91" s="10">
        <v>45678</v>
      </c>
      <c r="E91" t="s">
        <v>463</v>
      </c>
      <c r="F91" s="11" t="s">
        <v>232</v>
      </c>
      <c r="G91" s="8">
        <v>0</v>
      </c>
      <c r="H91" s="8">
        <v>14.45</v>
      </c>
      <c r="I91" s="8">
        <f>G91-H91+I90</f>
        <v>-1652.9899999999998</v>
      </c>
      <c r="J91" s="12"/>
    </row>
    <row r="92" spans="3:10" hidden="1" x14ac:dyDescent="0.25">
      <c r="C92" s="9"/>
      <c r="D92" s="10">
        <v>45678</v>
      </c>
      <c r="E92" t="s">
        <v>464</v>
      </c>
      <c r="F92" s="11" t="s">
        <v>465</v>
      </c>
      <c r="G92" s="8">
        <v>0</v>
      </c>
      <c r="H92" s="8">
        <v>49.08</v>
      </c>
      <c r="I92" s="8">
        <f>G92-H92+I91</f>
        <v>-1702.0699999999997</v>
      </c>
      <c r="J92" s="12"/>
    </row>
    <row r="93" spans="3:10" hidden="1" x14ac:dyDescent="0.25">
      <c r="C93" s="9"/>
      <c r="D93" s="10">
        <v>45678</v>
      </c>
      <c r="E93" t="s">
        <v>466</v>
      </c>
      <c r="F93" s="11" t="s">
        <v>467</v>
      </c>
      <c r="G93" s="8">
        <v>0</v>
      </c>
      <c r="H93" s="8">
        <v>27.36</v>
      </c>
      <c r="I93" s="8">
        <f>G93-H93+I92</f>
        <v>-1729.4299999999996</v>
      </c>
      <c r="J93" s="12"/>
    </row>
    <row r="94" spans="3:10" hidden="1" x14ac:dyDescent="0.25">
      <c r="C94" s="9"/>
      <c r="D94" s="10">
        <v>45679</v>
      </c>
      <c r="E94" t="s">
        <v>468</v>
      </c>
      <c r="F94" s="11" t="s">
        <v>469</v>
      </c>
      <c r="G94" s="8">
        <v>0</v>
      </c>
      <c r="H94" s="8">
        <v>74.75</v>
      </c>
      <c r="I94" s="8">
        <f>G94-H94+I93</f>
        <v>-1804.1799999999996</v>
      </c>
      <c r="J94" s="12"/>
    </row>
    <row r="95" spans="3:10" hidden="1" x14ac:dyDescent="0.25">
      <c r="C95" s="9"/>
      <c r="D95" s="10">
        <v>45679</v>
      </c>
      <c r="E95" t="s">
        <v>470</v>
      </c>
      <c r="F95" s="11" t="s">
        <v>327</v>
      </c>
      <c r="G95" s="8">
        <v>0</v>
      </c>
      <c r="H95" s="8">
        <v>93.27</v>
      </c>
      <c r="I95" s="8">
        <f>G95-H95+I94</f>
        <v>-1897.4499999999996</v>
      </c>
      <c r="J95" s="12"/>
    </row>
    <row r="96" spans="3:10" hidden="1" x14ac:dyDescent="0.25">
      <c r="C96" s="9"/>
      <c r="D96" s="10">
        <v>45679</v>
      </c>
      <c r="E96" t="s">
        <v>471</v>
      </c>
      <c r="F96" s="11" t="s">
        <v>472</v>
      </c>
      <c r="G96" s="8">
        <v>0</v>
      </c>
      <c r="H96" s="8">
        <v>62.98</v>
      </c>
      <c r="I96" s="8">
        <f>G96-H96+I95</f>
        <v>-1960.4299999999996</v>
      </c>
      <c r="J96" s="12"/>
    </row>
    <row r="97" spans="3:10" hidden="1" x14ac:dyDescent="0.25">
      <c r="C97" s="9"/>
      <c r="D97" s="10">
        <v>45679</v>
      </c>
      <c r="E97" t="s">
        <v>473</v>
      </c>
      <c r="F97" s="11" t="s">
        <v>474</v>
      </c>
      <c r="G97" s="8">
        <v>0</v>
      </c>
      <c r="H97" s="8">
        <v>20.81</v>
      </c>
      <c r="I97" s="8">
        <f>G97-H97+I96</f>
        <v>-1981.2399999999996</v>
      </c>
      <c r="J97" s="12"/>
    </row>
    <row r="98" spans="3:10" hidden="1" x14ac:dyDescent="0.25">
      <c r="C98" s="9"/>
      <c r="D98" s="10">
        <v>45679</v>
      </c>
      <c r="E98" t="s">
        <v>475</v>
      </c>
      <c r="F98" s="11" t="s">
        <v>476</v>
      </c>
      <c r="G98" s="8">
        <v>0</v>
      </c>
      <c r="H98" s="8">
        <v>4.34</v>
      </c>
      <c r="I98" s="8">
        <f>G98-H98+I97</f>
        <v>-1985.5799999999995</v>
      </c>
      <c r="J98" s="12"/>
    </row>
    <row r="99" spans="3:10" hidden="1" x14ac:dyDescent="0.25">
      <c r="C99" s="9"/>
      <c r="D99" s="10">
        <v>45679</v>
      </c>
      <c r="E99" t="s">
        <v>477</v>
      </c>
      <c r="F99" s="11" t="s">
        <v>478</v>
      </c>
      <c r="G99" s="8">
        <v>0</v>
      </c>
      <c r="H99" s="8">
        <v>45.93</v>
      </c>
      <c r="I99" s="8">
        <f>G99-H99+I98</f>
        <v>-2031.5099999999995</v>
      </c>
      <c r="J99" s="12"/>
    </row>
    <row r="100" spans="3:10" hidden="1" x14ac:dyDescent="0.25">
      <c r="C100" s="9"/>
      <c r="D100" s="10">
        <v>45679</v>
      </c>
      <c r="E100" t="s">
        <v>479</v>
      </c>
      <c r="F100" s="11" t="s">
        <v>200</v>
      </c>
      <c r="G100" s="8">
        <v>0</v>
      </c>
      <c r="H100" s="8">
        <v>38.67</v>
      </c>
      <c r="I100" s="8">
        <f>G100-H100+I99</f>
        <v>-2070.1799999999994</v>
      </c>
      <c r="J100" s="12"/>
    </row>
    <row r="101" spans="3:10" hidden="1" x14ac:dyDescent="0.25">
      <c r="C101" s="9"/>
      <c r="D101" s="10">
        <v>45680</v>
      </c>
      <c r="E101" t="s">
        <v>480</v>
      </c>
      <c r="F101" s="11" t="s">
        <v>481</v>
      </c>
      <c r="G101" s="8">
        <v>0</v>
      </c>
      <c r="H101" s="8">
        <v>54.98</v>
      </c>
      <c r="I101" s="8">
        <f>G101-H101+I100</f>
        <v>-2125.1599999999994</v>
      </c>
      <c r="J101" s="12"/>
    </row>
    <row r="102" spans="3:10" hidden="1" x14ac:dyDescent="0.25">
      <c r="C102" s="9"/>
      <c r="D102" s="10">
        <v>45680</v>
      </c>
      <c r="E102" t="s">
        <v>482</v>
      </c>
      <c r="F102" s="11" t="s">
        <v>260</v>
      </c>
      <c r="G102" s="8">
        <v>0</v>
      </c>
      <c r="H102" s="8">
        <v>5.21</v>
      </c>
      <c r="I102" s="8">
        <f>G102-H102+I101</f>
        <v>-2130.3699999999994</v>
      </c>
      <c r="J102" s="12"/>
    </row>
    <row r="103" spans="3:10" hidden="1" x14ac:dyDescent="0.25">
      <c r="C103" s="9"/>
      <c r="D103" s="10">
        <v>45681</v>
      </c>
      <c r="E103" t="s">
        <v>483</v>
      </c>
      <c r="F103" s="11" t="s">
        <v>484</v>
      </c>
      <c r="G103" s="8">
        <v>0</v>
      </c>
      <c r="H103" s="8">
        <v>13.13</v>
      </c>
      <c r="I103" s="8">
        <f>G103-H103+I102</f>
        <v>-2143.4999999999995</v>
      </c>
      <c r="J103" s="12"/>
    </row>
    <row r="104" spans="3:10" hidden="1" x14ac:dyDescent="0.25">
      <c r="C104" s="9"/>
      <c r="D104" s="10">
        <v>45684</v>
      </c>
      <c r="E104" t="s">
        <v>485</v>
      </c>
      <c r="F104" s="11" t="s">
        <v>486</v>
      </c>
      <c r="G104" s="8">
        <v>0</v>
      </c>
      <c r="H104" s="8">
        <v>50.32</v>
      </c>
      <c r="I104" s="8">
        <f>G104-H104+I103</f>
        <v>-2193.8199999999997</v>
      </c>
      <c r="J104" s="12"/>
    </row>
    <row r="105" spans="3:10" hidden="1" x14ac:dyDescent="0.25">
      <c r="C105" s="9"/>
      <c r="D105" s="10">
        <v>45684</v>
      </c>
      <c r="E105" t="s">
        <v>487</v>
      </c>
      <c r="F105" s="11" t="s">
        <v>488</v>
      </c>
      <c r="G105" s="8">
        <v>0</v>
      </c>
      <c r="H105" s="8">
        <v>16.8</v>
      </c>
      <c r="I105" s="8">
        <f>G105-H105+I104</f>
        <v>-2210.62</v>
      </c>
      <c r="J105" s="12"/>
    </row>
    <row r="106" spans="3:10" hidden="1" x14ac:dyDescent="0.25">
      <c r="C106" s="9"/>
      <c r="D106" s="10">
        <v>45684</v>
      </c>
      <c r="E106" t="s">
        <v>489</v>
      </c>
      <c r="F106" s="11" t="s">
        <v>330</v>
      </c>
      <c r="G106" s="8">
        <v>0</v>
      </c>
      <c r="H106" s="8">
        <v>72.5</v>
      </c>
      <c r="I106" s="8">
        <f>G106-H106+I105</f>
        <v>-2283.12</v>
      </c>
      <c r="J106" s="12"/>
    </row>
    <row r="107" spans="3:10" hidden="1" x14ac:dyDescent="0.25">
      <c r="C107" s="9"/>
      <c r="D107" s="10">
        <v>45684</v>
      </c>
      <c r="E107" t="s">
        <v>490</v>
      </c>
      <c r="F107" s="11" t="s">
        <v>251</v>
      </c>
      <c r="G107" s="8">
        <v>0</v>
      </c>
      <c r="H107" s="8">
        <v>1.74</v>
      </c>
      <c r="I107" s="8">
        <f>G107-H107+I106</f>
        <v>-2284.8599999999997</v>
      </c>
      <c r="J107" s="12"/>
    </row>
    <row r="108" spans="3:10" hidden="1" x14ac:dyDescent="0.25">
      <c r="C108" s="9"/>
      <c r="D108" s="10">
        <v>45685</v>
      </c>
      <c r="E108" t="s">
        <v>491</v>
      </c>
      <c r="F108" s="11" t="s">
        <v>492</v>
      </c>
      <c r="G108" s="8">
        <v>0</v>
      </c>
      <c r="H108" s="8">
        <v>84.76</v>
      </c>
      <c r="I108" s="8">
        <f>G108-H108+I107</f>
        <v>-2369.62</v>
      </c>
      <c r="J108" s="12"/>
    </row>
    <row r="109" spans="3:10" hidden="1" x14ac:dyDescent="0.25">
      <c r="C109" s="9"/>
      <c r="D109" s="10">
        <v>45685</v>
      </c>
      <c r="E109" t="s">
        <v>471</v>
      </c>
      <c r="F109" s="11" t="s">
        <v>493</v>
      </c>
      <c r="G109" s="8">
        <v>0</v>
      </c>
      <c r="H109" s="8">
        <v>76.12</v>
      </c>
      <c r="I109" s="8">
        <f>G109-H109+I108</f>
        <v>-2445.7399999999998</v>
      </c>
      <c r="J109" s="12"/>
    </row>
    <row r="110" spans="3:10" hidden="1" x14ac:dyDescent="0.25">
      <c r="C110" s="9"/>
      <c r="D110" s="10">
        <v>45686</v>
      </c>
      <c r="E110" t="s">
        <v>494</v>
      </c>
      <c r="F110" s="11" t="s">
        <v>495</v>
      </c>
      <c r="G110" s="8">
        <v>0</v>
      </c>
      <c r="H110" s="8">
        <v>33.78</v>
      </c>
      <c r="I110" s="8">
        <f>G110-H110+I109</f>
        <v>-2479.52</v>
      </c>
      <c r="J110" s="12"/>
    </row>
    <row r="111" spans="3:10" hidden="1" x14ac:dyDescent="0.25">
      <c r="C111" s="9"/>
      <c r="D111" s="10">
        <v>45686</v>
      </c>
      <c r="E111" t="s">
        <v>496</v>
      </c>
      <c r="F111" s="11" t="s">
        <v>497</v>
      </c>
      <c r="G111" s="8">
        <v>0</v>
      </c>
      <c r="H111" s="8">
        <v>57.46</v>
      </c>
      <c r="I111" s="8">
        <f>G111-H111+I110</f>
        <v>-2536.98</v>
      </c>
      <c r="J111" s="12"/>
    </row>
    <row r="112" spans="3:10" hidden="1" x14ac:dyDescent="0.25">
      <c r="C112" s="9"/>
      <c r="D112" s="10">
        <v>45686</v>
      </c>
      <c r="E112" t="s">
        <v>498</v>
      </c>
      <c r="F112" s="11" t="s">
        <v>499</v>
      </c>
      <c r="G112" s="8">
        <v>0</v>
      </c>
      <c r="H112" s="8">
        <v>31.37</v>
      </c>
      <c r="I112" s="8">
        <f>G112-H112+I111</f>
        <v>-2568.35</v>
      </c>
      <c r="J112" s="12"/>
    </row>
    <row r="113" spans="3:10" hidden="1" x14ac:dyDescent="0.25">
      <c r="C113" s="9"/>
      <c r="D113" s="10">
        <v>45687</v>
      </c>
      <c r="E113" t="s">
        <v>500</v>
      </c>
      <c r="F113" s="11" t="s">
        <v>501</v>
      </c>
      <c r="G113" s="8">
        <v>0</v>
      </c>
      <c r="H113" s="8">
        <v>49.52</v>
      </c>
      <c r="I113" s="8">
        <f>G113-H113+I112</f>
        <v>-2617.87</v>
      </c>
      <c r="J113" s="12"/>
    </row>
    <row r="114" spans="3:10" hidden="1" x14ac:dyDescent="0.25">
      <c r="C114" s="9"/>
      <c r="D114" s="10">
        <v>45687</v>
      </c>
      <c r="E114" t="s">
        <v>428</v>
      </c>
      <c r="F114" s="11" t="s">
        <v>502</v>
      </c>
      <c r="G114" s="8">
        <v>0</v>
      </c>
      <c r="H114" s="8">
        <v>4.34</v>
      </c>
      <c r="I114" s="8">
        <f>G114-H114+I113</f>
        <v>-2622.21</v>
      </c>
      <c r="J114" s="12"/>
    </row>
    <row r="115" spans="3:10" hidden="1" x14ac:dyDescent="0.25">
      <c r="C115" s="9"/>
      <c r="D115" s="10">
        <v>45687</v>
      </c>
      <c r="E115" t="s">
        <v>480</v>
      </c>
      <c r="F115" s="11" t="s">
        <v>503</v>
      </c>
      <c r="G115" s="8">
        <v>0</v>
      </c>
      <c r="H115" s="8">
        <v>171.97</v>
      </c>
      <c r="I115" s="8">
        <f>G115-H115+I114</f>
        <v>-2794.18</v>
      </c>
      <c r="J115" s="12"/>
    </row>
    <row r="116" spans="3:10" hidden="1" x14ac:dyDescent="0.25">
      <c r="C116" s="9"/>
      <c r="D116" s="10">
        <v>45687</v>
      </c>
      <c r="E116" t="s">
        <v>471</v>
      </c>
      <c r="F116" s="11" t="s">
        <v>504</v>
      </c>
      <c r="G116" s="8">
        <v>0</v>
      </c>
      <c r="H116" s="8">
        <v>4.34</v>
      </c>
      <c r="I116" s="8">
        <f>G116-H116+I115</f>
        <v>-2798.52</v>
      </c>
      <c r="J116" s="12"/>
    </row>
    <row r="117" spans="3:10" hidden="1" x14ac:dyDescent="0.25">
      <c r="C117" s="9"/>
      <c r="D117" s="10">
        <v>45688</v>
      </c>
      <c r="E117" t="s">
        <v>505</v>
      </c>
      <c r="F117" s="11" t="s">
        <v>197</v>
      </c>
      <c r="G117" s="8">
        <v>0</v>
      </c>
      <c r="H117" s="8">
        <v>25.7</v>
      </c>
      <c r="I117" s="8">
        <f>G117-H117+I116</f>
        <v>-2824.22</v>
      </c>
      <c r="J117" s="12"/>
    </row>
    <row r="118" spans="3:10" hidden="1" x14ac:dyDescent="0.25">
      <c r="C118" s="9"/>
      <c r="D118" s="10">
        <v>45688</v>
      </c>
      <c r="E118" t="s">
        <v>464</v>
      </c>
      <c r="F118" s="11" t="s">
        <v>506</v>
      </c>
      <c r="G118" s="8">
        <v>0</v>
      </c>
      <c r="H118" s="8">
        <v>31.76</v>
      </c>
      <c r="I118" s="8">
        <f>G118-H118+I117</f>
        <v>-2855.98</v>
      </c>
      <c r="J118" s="12"/>
    </row>
    <row r="119" spans="3:10" hidden="1" x14ac:dyDescent="0.25">
      <c r="C119" s="9"/>
      <c r="D119" s="10">
        <v>45691</v>
      </c>
      <c r="E119" t="s">
        <v>507</v>
      </c>
      <c r="F119" s="11" t="s">
        <v>508</v>
      </c>
      <c r="G119" s="8">
        <v>0</v>
      </c>
      <c r="H119" s="8">
        <v>22.68</v>
      </c>
      <c r="I119" s="8">
        <f>G119-H119+I118</f>
        <v>-2878.66</v>
      </c>
      <c r="J119" s="12"/>
    </row>
    <row r="120" spans="3:10" hidden="1" x14ac:dyDescent="0.25">
      <c r="C120" s="9"/>
      <c r="D120" s="10">
        <v>45691</v>
      </c>
      <c r="E120" t="s">
        <v>509</v>
      </c>
      <c r="F120" s="11" t="s">
        <v>510</v>
      </c>
      <c r="G120" s="8">
        <v>0</v>
      </c>
      <c r="H120" s="8">
        <v>77.010000000000005</v>
      </c>
      <c r="I120" s="8">
        <f>G120-H120+I119</f>
        <v>-2955.67</v>
      </c>
      <c r="J120" s="12"/>
    </row>
    <row r="121" spans="3:10" hidden="1" x14ac:dyDescent="0.25">
      <c r="C121" s="9"/>
      <c r="D121" s="10">
        <v>45691</v>
      </c>
      <c r="E121" t="s">
        <v>511</v>
      </c>
      <c r="F121" s="11" t="s">
        <v>335</v>
      </c>
      <c r="G121" s="8">
        <v>0</v>
      </c>
      <c r="H121" s="8">
        <v>117.56</v>
      </c>
      <c r="I121" s="8">
        <f>G121-H121+I120</f>
        <v>-3073.23</v>
      </c>
      <c r="J121" s="12"/>
    </row>
    <row r="122" spans="3:10" hidden="1" x14ac:dyDescent="0.25">
      <c r="C122" s="9"/>
      <c r="D122" s="10">
        <v>45692</v>
      </c>
      <c r="E122" t="s">
        <v>512</v>
      </c>
      <c r="F122" s="11" t="s">
        <v>338</v>
      </c>
      <c r="G122" s="8">
        <v>0</v>
      </c>
      <c r="H122" s="8">
        <v>65.56</v>
      </c>
      <c r="I122" s="8">
        <f>G122-H122+I121</f>
        <v>-3138.79</v>
      </c>
      <c r="J122" s="12"/>
    </row>
    <row r="123" spans="3:10" hidden="1" x14ac:dyDescent="0.25">
      <c r="C123" s="9"/>
      <c r="D123" s="10">
        <v>45692</v>
      </c>
      <c r="E123" t="s">
        <v>513</v>
      </c>
      <c r="F123" s="11" t="s">
        <v>344</v>
      </c>
      <c r="G123" s="8">
        <v>0</v>
      </c>
      <c r="H123" s="8">
        <v>27.77</v>
      </c>
      <c r="I123" s="8">
        <f>G123-H123+I122</f>
        <v>-3166.56</v>
      </c>
      <c r="J123" s="12"/>
    </row>
    <row r="124" spans="3:10" hidden="1" x14ac:dyDescent="0.25">
      <c r="C124" s="9"/>
      <c r="D124" s="10">
        <v>45692</v>
      </c>
      <c r="E124" t="s">
        <v>514</v>
      </c>
      <c r="F124" s="11" t="s">
        <v>515</v>
      </c>
      <c r="G124" s="8">
        <v>0</v>
      </c>
      <c r="H124" s="8">
        <v>2.81</v>
      </c>
      <c r="I124" s="8">
        <f>G124-H124+I123</f>
        <v>-3169.37</v>
      </c>
      <c r="J124" s="12"/>
    </row>
    <row r="125" spans="3:10" hidden="1" x14ac:dyDescent="0.25">
      <c r="C125" s="9"/>
      <c r="D125" s="10">
        <v>45692</v>
      </c>
      <c r="E125" t="s">
        <v>516</v>
      </c>
      <c r="F125" s="11" t="s">
        <v>517</v>
      </c>
      <c r="G125" s="8">
        <v>0</v>
      </c>
      <c r="H125" s="8">
        <v>23.66</v>
      </c>
      <c r="I125" s="8">
        <f>G125-H125+I124</f>
        <v>-3193.0299999999997</v>
      </c>
      <c r="J125" s="12"/>
    </row>
    <row r="126" spans="3:10" hidden="1" x14ac:dyDescent="0.25">
      <c r="C126" s="9"/>
      <c r="D126" s="10">
        <v>45692</v>
      </c>
      <c r="E126" t="s">
        <v>494</v>
      </c>
      <c r="F126" s="11" t="s">
        <v>518</v>
      </c>
      <c r="G126" s="8">
        <v>0</v>
      </c>
      <c r="H126" s="8">
        <v>6.34</v>
      </c>
      <c r="I126" s="8">
        <f>G126-H126+I125</f>
        <v>-3199.37</v>
      </c>
      <c r="J126" s="12"/>
    </row>
    <row r="127" spans="3:10" hidden="1" x14ac:dyDescent="0.25">
      <c r="C127" s="9"/>
      <c r="D127" s="10">
        <v>45692</v>
      </c>
      <c r="E127" t="s">
        <v>473</v>
      </c>
      <c r="F127" s="11" t="s">
        <v>519</v>
      </c>
      <c r="G127" s="8">
        <v>0</v>
      </c>
      <c r="H127" s="8">
        <v>2.6</v>
      </c>
      <c r="I127" s="8">
        <f>G127-H127+I126</f>
        <v>-3201.97</v>
      </c>
      <c r="J127" s="12"/>
    </row>
    <row r="128" spans="3:10" hidden="1" x14ac:dyDescent="0.25">
      <c r="C128" s="9"/>
      <c r="D128" s="10">
        <v>45693</v>
      </c>
      <c r="E128" t="s">
        <v>520</v>
      </c>
      <c r="F128" s="11" t="s">
        <v>521</v>
      </c>
      <c r="G128" s="8">
        <v>0</v>
      </c>
      <c r="H128" s="8">
        <v>40.22</v>
      </c>
      <c r="I128" s="8">
        <f>G128-H128+I127</f>
        <v>-3242.1899999999996</v>
      </c>
      <c r="J128" s="12"/>
    </row>
    <row r="129" spans="3:10" hidden="1" x14ac:dyDescent="0.25">
      <c r="C129" s="9"/>
      <c r="D129" s="10">
        <v>45693</v>
      </c>
      <c r="E129" t="s">
        <v>522</v>
      </c>
      <c r="F129" s="11" t="s">
        <v>347</v>
      </c>
      <c r="G129" s="8">
        <v>0</v>
      </c>
      <c r="H129" s="8">
        <v>38.96</v>
      </c>
      <c r="I129" s="8">
        <f>G129-H129+I128</f>
        <v>-3281.1499999999996</v>
      </c>
      <c r="J129" s="12"/>
    </row>
    <row r="130" spans="3:10" hidden="1" x14ac:dyDescent="0.25">
      <c r="C130" s="9"/>
      <c r="D130" s="10">
        <v>45693</v>
      </c>
      <c r="E130" t="s">
        <v>523</v>
      </c>
      <c r="F130" s="11" t="s">
        <v>350</v>
      </c>
      <c r="G130" s="8">
        <v>0</v>
      </c>
      <c r="H130" s="8">
        <v>98.53</v>
      </c>
      <c r="I130" s="8">
        <f>G130-H130+I129</f>
        <v>-3379.68</v>
      </c>
      <c r="J130" s="12"/>
    </row>
    <row r="131" spans="3:10" hidden="1" x14ac:dyDescent="0.25">
      <c r="C131" s="9"/>
      <c r="D131" s="10">
        <v>45693</v>
      </c>
      <c r="E131" t="s">
        <v>524</v>
      </c>
      <c r="F131" s="11" t="s">
        <v>525</v>
      </c>
      <c r="G131" s="8">
        <v>0</v>
      </c>
      <c r="H131" s="8">
        <v>30.74</v>
      </c>
      <c r="I131" s="8">
        <f>G131-H131+I130</f>
        <v>-3410.4199999999996</v>
      </c>
      <c r="J131" s="12"/>
    </row>
    <row r="132" spans="3:10" hidden="1" x14ac:dyDescent="0.25">
      <c r="C132" s="9"/>
      <c r="D132" s="10">
        <v>45694</v>
      </c>
      <c r="E132" t="s">
        <v>489</v>
      </c>
      <c r="F132" s="11" t="s">
        <v>332</v>
      </c>
      <c r="G132" s="8">
        <v>0</v>
      </c>
      <c r="H132" s="8">
        <v>1.74</v>
      </c>
      <c r="I132" s="8">
        <f>G132-H132+I131</f>
        <v>-3412.1599999999994</v>
      </c>
      <c r="J132" s="12"/>
    </row>
    <row r="133" spans="3:10" hidden="1" x14ac:dyDescent="0.25">
      <c r="C133" s="9"/>
      <c r="D133" s="10">
        <v>45694</v>
      </c>
      <c r="E133" t="s">
        <v>526</v>
      </c>
      <c r="F133" s="11" t="s">
        <v>527</v>
      </c>
      <c r="G133" s="8">
        <v>0</v>
      </c>
      <c r="H133" s="8">
        <v>103.4</v>
      </c>
      <c r="I133" s="8">
        <f>G133-H133+I132</f>
        <v>-3515.5599999999995</v>
      </c>
      <c r="J133" s="12"/>
    </row>
    <row r="134" spans="3:10" hidden="1" x14ac:dyDescent="0.25">
      <c r="C134" s="9"/>
      <c r="D134" s="10">
        <v>45694</v>
      </c>
      <c r="E134" t="s">
        <v>528</v>
      </c>
      <c r="F134" s="11" t="s">
        <v>529</v>
      </c>
      <c r="G134" s="8">
        <v>0</v>
      </c>
      <c r="H134" s="8">
        <v>51.03</v>
      </c>
      <c r="I134" s="8">
        <f>G134-H134+I133</f>
        <v>-3566.5899999999997</v>
      </c>
      <c r="J134" s="12"/>
    </row>
    <row r="135" spans="3:10" hidden="1" x14ac:dyDescent="0.25">
      <c r="C135" s="9"/>
      <c r="D135" s="10">
        <v>45694</v>
      </c>
      <c r="E135" t="s">
        <v>530</v>
      </c>
      <c r="F135" s="11" t="s">
        <v>194</v>
      </c>
      <c r="G135" s="8">
        <v>0</v>
      </c>
      <c r="H135" s="8">
        <v>6.6</v>
      </c>
      <c r="I135" s="8">
        <f>G135-H135+I134</f>
        <v>-3573.1899999999996</v>
      </c>
      <c r="J135" s="12"/>
    </row>
    <row r="136" spans="3:10" hidden="1" x14ac:dyDescent="0.25">
      <c r="C136" s="9"/>
      <c r="D136" s="10">
        <v>45694</v>
      </c>
      <c r="E136" t="s">
        <v>531</v>
      </c>
      <c r="F136" s="11" t="s">
        <v>532</v>
      </c>
      <c r="G136" s="8">
        <v>0</v>
      </c>
      <c r="H136" s="8">
        <v>34.54</v>
      </c>
      <c r="I136" s="8">
        <f>G136-H136+I135</f>
        <v>-3607.7299999999996</v>
      </c>
      <c r="J136" s="12"/>
    </row>
    <row r="137" spans="3:10" hidden="1" x14ac:dyDescent="0.25">
      <c r="C137" s="9"/>
      <c r="D137" s="10">
        <v>45694</v>
      </c>
      <c r="E137" t="s">
        <v>533</v>
      </c>
      <c r="F137" s="11" t="s">
        <v>534</v>
      </c>
      <c r="G137" s="8">
        <v>0</v>
      </c>
      <c r="H137" s="8">
        <v>4.34</v>
      </c>
      <c r="I137" s="8">
        <f>G137-H137+I136</f>
        <v>-3612.0699999999997</v>
      </c>
      <c r="J137" s="12"/>
    </row>
    <row r="138" spans="3:10" hidden="1" x14ac:dyDescent="0.25">
      <c r="C138" s="9"/>
      <c r="D138" s="10">
        <v>45694</v>
      </c>
      <c r="E138" t="s">
        <v>535</v>
      </c>
      <c r="F138" s="11" t="s">
        <v>536</v>
      </c>
      <c r="G138" s="8">
        <v>0</v>
      </c>
      <c r="H138" s="8">
        <v>49.67</v>
      </c>
      <c r="I138" s="8">
        <f>G138-H138+I137</f>
        <v>-3661.74</v>
      </c>
      <c r="J138" s="12"/>
    </row>
    <row r="139" spans="3:10" hidden="1" x14ac:dyDescent="0.25">
      <c r="C139" s="9"/>
      <c r="D139" s="10">
        <v>45695</v>
      </c>
      <c r="E139" t="s">
        <v>533</v>
      </c>
      <c r="F139" s="11" t="s">
        <v>537</v>
      </c>
      <c r="G139" s="8">
        <v>0</v>
      </c>
      <c r="H139" s="8">
        <v>29.86</v>
      </c>
      <c r="I139" s="8">
        <f>G139-H139+I138</f>
        <v>-3691.6</v>
      </c>
      <c r="J139" s="12"/>
    </row>
    <row r="140" spans="3:10" hidden="1" x14ac:dyDescent="0.25">
      <c r="C140" s="9"/>
      <c r="D140" s="10">
        <v>45698</v>
      </c>
      <c r="E140" t="s">
        <v>538</v>
      </c>
      <c r="F140" s="11" t="s">
        <v>539</v>
      </c>
      <c r="G140" s="8">
        <v>0</v>
      </c>
      <c r="H140" s="8">
        <v>31.49</v>
      </c>
      <c r="I140" s="8">
        <f>G140-H140+I139</f>
        <v>-3723.0899999999997</v>
      </c>
      <c r="J140" s="12"/>
    </row>
    <row r="141" spans="3:10" hidden="1" x14ac:dyDescent="0.25">
      <c r="C141" s="9"/>
      <c r="D141" s="10">
        <v>45698</v>
      </c>
      <c r="E141" t="s">
        <v>454</v>
      </c>
      <c r="F141" s="11" t="s">
        <v>540</v>
      </c>
      <c r="G141" s="8">
        <v>0</v>
      </c>
      <c r="H141" s="8">
        <v>3.47</v>
      </c>
      <c r="I141" s="8">
        <f>G141-H141+I140</f>
        <v>-3726.5599999999995</v>
      </c>
      <c r="J141" s="12"/>
    </row>
    <row r="142" spans="3:10" hidden="1" x14ac:dyDescent="0.25">
      <c r="C142" s="9"/>
      <c r="D142" s="10">
        <v>45698</v>
      </c>
      <c r="E142" t="s">
        <v>541</v>
      </c>
      <c r="F142" s="11" t="s">
        <v>542</v>
      </c>
      <c r="G142" s="8">
        <v>0</v>
      </c>
      <c r="H142" s="8">
        <v>159.15</v>
      </c>
      <c r="I142" s="8">
        <f>G142-H142+I141</f>
        <v>-3885.7099999999996</v>
      </c>
      <c r="J142" s="12"/>
    </row>
    <row r="143" spans="3:10" hidden="1" x14ac:dyDescent="0.25">
      <c r="C143" s="9"/>
      <c r="D143" s="10">
        <v>45699</v>
      </c>
      <c r="E143" t="s">
        <v>543</v>
      </c>
      <c r="F143" s="11" t="s">
        <v>544</v>
      </c>
      <c r="G143" s="8">
        <v>0</v>
      </c>
      <c r="H143" s="8">
        <v>3.47</v>
      </c>
      <c r="I143" s="8">
        <f>G143-H143+I142</f>
        <v>-3889.1799999999994</v>
      </c>
      <c r="J143" s="12"/>
    </row>
    <row r="144" spans="3:10" hidden="1" x14ac:dyDescent="0.25">
      <c r="C144" s="9"/>
      <c r="D144" s="10">
        <v>45699</v>
      </c>
      <c r="E144" t="s">
        <v>545</v>
      </c>
      <c r="F144" s="11" t="s">
        <v>353</v>
      </c>
      <c r="G144" s="8">
        <v>0</v>
      </c>
      <c r="H144" s="8">
        <v>23.45</v>
      </c>
      <c r="I144" s="8">
        <f>G144-H144+I143</f>
        <v>-3912.6299999999992</v>
      </c>
      <c r="J144" s="12"/>
    </row>
    <row r="145" spans="3:10" hidden="1" x14ac:dyDescent="0.25">
      <c r="C145" s="9"/>
      <c r="D145" s="10">
        <v>45699</v>
      </c>
      <c r="E145" t="s">
        <v>546</v>
      </c>
      <c r="F145" s="11" t="s">
        <v>547</v>
      </c>
      <c r="G145" s="8">
        <v>0</v>
      </c>
      <c r="H145" s="8">
        <v>41.09</v>
      </c>
      <c r="I145" s="8">
        <f>G145-H145+I144</f>
        <v>-3953.7199999999993</v>
      </c>
      <c r="J145" s="12"/>
    </row>
    <row r="146" spans="3:10" hidden="1" x14ac:dyDescent="0.25">
      <c r="C146" s="9"/>
      <c r="D146" s="10">
        <v>45699</v>
      </c>
      <c r="E146" t="s">
        <v>548</v>
      </c>
      <c r="F146" s="11" t="s">
        <v>549</v>
      </c>
      <c r="G146" s="8">
        <v>0</v>
      </c>
      <c r="H146" s="8">
        <v>5.25</v>
      </c>
      <c r="I146" s="8">
        <f>G146-H146+I145</f>
        <v>-3958.9699999999993</v>
      </c>
      <c r="J146" s="12"/>
    </row>
    <row r="147" spans="3:10" hidden="1" x14ac:dyDescent="0.25">
      <c r="C147" s="9"/>
      <c r="D147" s="10">
        <v>45699</v>
      </c>
      <c r="E147" t="s">
        <v>550</v>
      </c>
      <c r="F147" s="11" t="s">
        <v>551</v>
      </c>
      <c r="G147" s="8">
        <v>0</v>
      </c>
      <c r="H147" s="8">
        <v>4.34</v>
      </c>
      <c r="I147" s="8">
        <f>G147-H147+I146</f>
        <v>-3963.3099999999995</v>
      </c>
      <c r="J147" s="12"/>
    </row>
    <row r="148" spans="3:10" hidden="1" x14ac:dyDescent="0.25">
      <c r="C148" s="9"/>
      <c r="D148" s="10">
        <v>45700</v>
      </c>
      <c r="E148" t="s">
        <v>552</v>
      </c>
      <c r="F148" s="11" t="s">
        <v>212</v>
      </c>
      <c r="G148" s="8">
        <v>0</v>
      </c>
      <c r="H148" s="8">
        <v>32.32</v>
      </c>
      <c r="I148" s="8">
        <f>G148-H148+I147</f>
        <v>-3995.6299999999997</v>
      </c>
      <c r="J148" s="12"/>
    </row>
    <row r="149" spans="3:10" hidden="1" x14ac:dyDescent="0.25">
      <c r="C149" s="9"/>
      <c r="D149" s="10">
        <v>45700</v>
      </c>
      <c r="E149" t="s">
        <v>553</v>
      </c>
      <c r="F149" s="11" t="s">
        <v>554</v>
      </c>
      <c r="G149" s="8">
        <v>0</v>
      </c>
      <c r="H149" s="8">
        <v>9.4499999999999993</v>
      </c>
      <c r="I149" s="8">
        <f>G149-H149+I148</f>
        <v>-4005.0799999999995</v>
      </c>
      <c r="J149" s="12"/>
    </row>
    <row r="150" spans="3:10" hidden="1" x14ac:dyDescent="0.25">
      <c r="C150" s="9"/>
      <c r="D150" s="10">
        <v>45700</v>
      </c>
      <c r="E150" t="s">
        <v>528</v>
      </c>
      <c r="F150" s="11" t="s">
        <v>356</v>
      </c>
      <c r="G150" s="8">
        <v>0</v>
      </c>
      <c r="H150" s="8">
        <v>272.94</v>
      </c>
      <c r="I150" s="8">
        <f>G150-H150+I149</f>
        <v>-4278.0199999999995</v>
      </c>
      <c r="J150" s="12"/>
    </row>
    <row r="151" spans="3:10" hidden="1" x14ac:dyDescent="0.25">
      <c r="C151" s="9"/>
      <c r="D151" s="10">
        <v>45701</v>
      </c>
      <c r="E151" t="s">
        <v>463</v>
      </c>
      <c r="F151" s="11" t="s">
        <v>234</v>
      </c>
      <c r="G151" s="8">
        <v>0</v>
      </c>
      <c r="H151" s="8">
        <v>19.68</v>
      </c>
      <c r="I151" s="8">
        <f>G151-H151+I150</f>
        <v>-4297.7</v>
      </c>
      <c r="J151" s="12"/>
    </row>
    <row r="152" spans="3:10" hidden="1" x14ac:dyDescent="0.25">
      <c r="C152" s="9"/>
      <c r="D152" s="10">
        <v>45701</v>
      </c>
      <c r="E152" t="s">
        <v>555</v>
      </c>
      <c r="F152" s="11" t="s">
        <v>359</v>
      </c>
      <c r="G152" s="8">
        <v>0</v>
      </c>
      <c r="H152" s="8">
        <v>10.41</v>
      </c>
      <c r="I152" s="8">
        <f>G152-H152+I151</f>
        <v>-4308.1099999999997</v>
      </c>
      <c r="J152" s="12"/>
    </row>
    <row r="153" spans="3:10" hidden="1" x14ac:dyDescent="0.25">
      <c r="C153" s="9"/>
      <c r="D153" s="10">
        <v>45701</v>
      </c>
      <c r="E153" t="s">
        <v>556</v>
      </c>
      <c r="F153" s="11" t="s">
        <v>257</v>
      </c>
      <c r="G153" s="8">
        <v>0</v>
      </c>
      <c r="H153" s="8">
        <v>25.03</v>
      </c>
      <c r="I153" s="8">
        <f>G153-H153+I152</f>
        <v>-4333.1399999999994</v>
      </c>
      <c r="J153" s="12"/>
    </row>
    <row r="154" spans="3:10" hidden="1" x14ac:dyDescent="0.25">
      <c r="C154" s="9"/>
      <c r="D154" s="10">
        <v>45701</v>
      </c>
      <c r="E154" t="s">
        <v>557</v>
      </c>
      <c r="F154" s="11" t="s">
        <v>362</v>
      </c>
      <c r="G154" s="8">
        <v>0</v>
      </c>
      <c r="H154" s="8">
        <v>40.159999999999997</v>
      </c>
      <c r="I154" s="8">
        <f>G154-H154+I153</f>
        <v>-4373.2999999999993</v>
      </c>
      <c r="J154" s="12"/>
    </row>
    <row r="155" spans="3:10" hidden="1" x14ac:dyDescent="0.25">
      <c r="C155" s="9"/>
      <c r="D155" s="10">
        <v>45701</v>
      </c>
      <c r="E155" t="s">
        <v>558</v>
      </c>
      <c r="F155" s="11" t="s">
        <v>559</v>
      </c>
      <c r="G155" s="8">
        <v>0</v>
      </c>
      <c r="H155" s="8">
        <v>3.47</v>
      </c>
      <c r="I155" s="8">
        <f>G155-H155+I154</f>
        <v>-4376.7699999999995</v>
      </c>
      <c r="J155" s="12"/>
    </row>
    <row r="156" spans="3:10" hidden="1" x14ac:dyDescent="0.25">
      <c r="C156" s="9"/>
      <c r="D156" s="10">
        <v>45701</v>
      </c>
      <c r="E156" t="s">
        <v>560</v>
      </c>
      <c r="F156" s="11" t="s">
        <v>561</v>
      </c>
      <c r="G156" s="8">
        <v>0</v>
      </c>
      <c r="H156" s="8">
        <v>81.430000000000007</v>
      </c>
      <c r="I156" s="8">
        <f>G156-H156+I155</f>
        <v>-4458.2</v>
      </c>
      <c r="J156" s="12"/>
    </row>
    <row r="157" spans="3:10" hidden="1" x14ac:dyDescent="0.25">
      <c r="C157" s="9"/>
      <c r="D157" s="10">
        <v>45701</v>
      </c>
      <c r="E157" t="s">
        <v>562</v>
      </c>
      <c r="F157" s="11" t="s">
        <v>563</v>
      </c>
      <c r="G157" s="8">
        <v>0</v>
      </c>
      <c r="H157" s="8">
        <v>3.4</v>
      </c>
      <c r="I157" s="8">
        <f>G157-H157+I156</f>
        <v>-4461.5999999999995</v>
      </c>
      <c r="J157" s="12"/>
    </row>
    <row r="158" spans="3:10" hidden="1" x14ac:dyDescent="0.25">
      <c r="C158" s="9"/>
      <c r="D158" s="10">
        <v>45705</v>
      </c>
      <c r="E158" t="s">
        <v>564</v>
      </c>
      <c r="F158" s="11" t="s">
        <v>365</v>
      </c>
      <c r="G158" s="8">
        <v>0</v>
      </c>
      <c r="H158" s="8">
        <v>16.07</v>
      </c>
      <c r="I158" s="8">
        <f>G158-H158+I157</f>
        <v>-4477.6699999999992</v>
      </c>
      <c r="J158" s="12"/>
    </row>
    <row r="159" spans="3:10" hidden="1" x14ac:dyDescent="0.25">
      <c r="C159" s="9"/>
      <c r="D159" s="10">
        <v>45705</v>
      </c>
      <c r="E159" t="s">
        <v>565</v>
      </c>
      <c r="F159" s="11" t="s">
        <v>566</v>
      </c>
      <c r="G159" s="8">
        <v>0</v>
      </c>
      <c r="H159" s="8">
        <v>18.28</v>
      </c>
      <c r="I159" s="8">
        <f>G159-H159+I158</f>
        <v>-4495.9499999999989</v>
      </c>
      <c r="J159" s="12"/>
    </row>
    <row r="160" spans="3:10" hidden="1" x14ac:dyDescent="0.25">
      <c r="C160" s="9"/>
      <c r="D160" s="10">
        <v>45705</v>
      </c>
      <c r="E160" t="s">
        <v>567</v>
      </c>
      <c r="F160" s="11" t="s">
        <v>568</v>
      </c>
      <c r="G160" s="8">
        <v>0</v>
      </c>
      <c r="H160" s="8">
        <v>11.95</v>
      </c>
      <c r="I160" s="8">
        <f>G160-H160+I159</f>
        <v>-4507.8999999999987</v>
      </c>
      <c r="J160" s="12"/>
    </row>
    <row r="161" spans="3:10" hidden="1" x14ac:dyDescent="0.25">
      <c r="C161" s="9"/>
      <c r="D161" s="10">
        <v>45706</v>
      </c>
      <c r="E161" t="s">
        <v>569</v>
      </c>
      <c r="F161" s="11" t="s">
        <v>220</v>
      </c>
      <c r="G161" s="8">
        <v>0</v>
      </c>
      <c r="H161" s="8">
        <v>3.47</v>
      </c>
      <c r="I161" s="8">
        <f>G161-H161+I160</f>
        <v>-4511.369999999999</v>
      </c>
      <c r="J161" s="12"/>
    </row>
    <row r="162" spans="3:10" hidden="1" x14ac:dyDescent="0.25">
      <c r="C162" s="9"/>
      <c r="D162" s="10">
        <v>45706</v>
      </c>
      <c r="E162" t="s">
        <v>570</v>
      </c>
      <c r="F162" s="11" t="s">
        <v>571</v>
      </c>
      <c r="G162" s="8">
        <v>0</v>
      </c>
      <c r="H162" s="8">
        <v>4.7300000000000004</v>
      </c>
      <c r="I162" s="8">
        <f>G162-H162+I161</f>
        <v>-4516.0999999999985</v>
      </c>
      <c r="J162" s="12"/>
    </row>
    <row r="163" spans="3:10" hidden="1" x14ac:dyDescent="0.25">
      <c r="C163" s="9"/>
      <c r="D163" s="10">
        <v>45706</v>
      </c>
      <c r="E163" t="s">
        <v>553</v>
      </c>
      <c r="F163" s="11" t="s">
        <v>572</v>
      </c>
      <c r="G163" s="8">
        <v>0</v>
      </c>
      <c r="H163" s="8">
        <v>62.45</v>
      </c>
      <c r="I163" s="8">
        <f>G163-H163+I162</f>
        <v>-4578.5499999999984</v>
      </c>
      <c r="J163" s="12"/>
    </row>
    <row r="164" spans="3:10" hidden="1" x14ac:dyDescent="0.25">
      <c r="C164" s="9"/>
      <c r="D164" s="10">
        <v>45706</v>
      </c>
      <c r="E164" t="s">
        <v>573</v>
      </c>
      <c r="F164" s="11" t="s">
        <v>574</v>
      </c>
      <c r="G164" s="8">
        <v>0</v>
      </c>
      <c r="H164" s="8">
        <v>16.2</v>
      </c>
      <c r="I164" s="8">
        <f>G164-H164+I163</f>
        <v>-4594.7499999999982</v>
      </c>
      <c r="J164" s="12"/>
    </row>
    <row r="165" spans="3:10" hidden="1" x14ac:dyDescent="0.25">
      <c r="C165" s="9"/>
      <c r="D165" s="10">
        <v>45707</v>
      </c>
      <c r="E165" t="s">
        <v>575</v>
      </c>
      <c r="F165" s="11" t="s">
        <v>576</v>
      </c>
      <c r="G165" s="8">
        <v>0</v>
      </c>
      <c r="H165" s="8">
        <v>4.34</v>
      </c>
      <c r="I165" s="8">
        <f>G165-H165+I164</f>
        <v>-4599.0899999999983</v>
      </c>
      <c r="J165" s="12"/>
    </row>
    <row r="166" spans="3:10" hidden="1" x14ac:dyDescent="0.25">
      <c r="C166" s="9"/>
      <c r="D166" s="10">
        <v>45707</v>
      </c>
      <c r="E166" t="s">
        <v>533</v>
      </c>
      <c r="F166" s="11" t="s">
        <v>577</v>
      </c>
      <c r="G166" s="8">
        <v>0</v>
      </c>
      <c r="H166" s="8">
        <v>23.63</v>
      </c>
      <c r="I166" s="8">
        <f>G166-H166+I165</f>
        <v>-4622.7199999999984</v>
      </c>
      <c r="J166" s="12"/>
    </row>
    <row r="167" spans="3:10" hidden="1" x14ac:dyDescent="0.25">
      <c r="C167" s="9"/>
      <c r="D167" s="10">
        <v>45707</v>
      </c>
      <c r="E167" t="s">
        <v>578</v>
      </c>
      <c r="F167" s="11" t="s">
        <v>579</v>
      </c>
      <c r="G167" s="8">
        <v>0</v>
      </c>
      <c r="H167" s="8">
        <v>62.27</v>
      </c>
      <c r="I167" s="8">
        <f>G167-H167+I166</f>
        <v>-4684.9899999999989</v>
      </c>
      <c r="J167" s="12"/>
    </row>
    <row r="168" spans="3:10" hidden="1" x14ac:dyDescent="0.25">
      <c r="C168" s="9"/>
      <c r="D168" s="10">
        <v>45708</v>
      </c>
      <c r="E168" t="s">
        <v>438</v>
      </c>
      <c r="F168" s="11" t="s">
        <v>284</v>
      </c>
      <c r="G168" s="8">
        <v>0</v>
      </c>
      <c r="H168" s="8">
        <v>42.82</v>
      </c>
      <c r="I168" s="8">
        <f>G168-H168+I167</f>
        <v>-4727.8099999999986</v>
      </c>
      <c r="J168" s="12"/>
    </row>
    <row r="169" spans="3:10" hidden="1" x14ac:dyDescent="0.25">
      <c r="C169" s="9"/>
      <c r="D169" s="10">
        <v>45708</v>
      </c>
      <c r="E169" t="s">
        <v>580</v>
      </c>
      <c r="F169" s="11" t="s">
        <v>246</v>
      </c>
      <c r="G169" s="8">
        <v>0</v>
      </c>
      <c r="H169" s="8">
        <v>9.56</v>
      </c>
      <c r="I169" s="8">
        <f>G169-H169+I168</f>
        <v>-4737.369999999999</v>
      </c>
      <c r="J169" s="12"/>
    </row>
    <row r="170" spans="3:10" hidden="1" x14ac:dyDescent="0.25">
      <c r="C170" s="9"/>
      <c r="D170" s="10">
        <v>45709</v>
      </c>
      <c r="E170" t="s">
        <v>570</v>
      </c>
      <c r="F170" s="11" t="s">
        <v>581</v>
      </c>
      <c r="G170" s="8">
        <v>0</v>
      </c>
      <c r="H170" s="8">
        <v>88.33</v>
      </c>
      <c r="I170" s="8">
        <f>G170-H170+I169</f>
        <v>-4825.6999999999989</v>
      </c>
      <c r="J170" s="12"/>
    </row>
    <row r="171" spans="3:10" hidden="1" x14ac:dyDescent="0.25">
      <c r="C171" s="9"/>
      <c r="D171" s="10">
        <v>45709</v>
      </c>
      <c r="E171" t="s">
        <v>582</v>
      </c>
      <c r="F171" s="11" t="s">
        <v>368</v>
      </c>
      <c r="G171" s="8">
        <v>0</v>
      </c>
      <c r="H171" s="8">
        <v>4.34</v>
      </c>
      <c r="I171" s="8">
        <f>G171-H171+I170</f>
        <v>-4830.0399999999991</v>
      </c>
      <c r="J171" s="12"/>
    </row>
    <row r="172" spans="3:10" hidden="1" x14ac:dyDescent="0.25">
      <c r="C172" s="9"/>
      <c r="D172" s="10">
        <v>45712</v>
      </c>
      <c r="E172" t="s">
        <v>583</v>
      </c>
      <c r="F172" s="11" t="s">
        <v>371</v>
      </c>
      <c r="G172" s="8">
        <v>0</v>
      </c>
      <c r="H172" s="8">
        <v>55.94</v>
      </c>
      <c r="I172" s="8">
        <f>G172-H172+I171</f>
        <v>-4885.9799999999987</v>
      </c>
      <c r="J172" s="12"/>
    </row>
    <row r="173" spans="3:10" hidden="1" x14ac:dyDescent="0.25">
      <c r="C173" s="9"/>
      <c r="D173" s="10">
        <v>45712</v>
      </c>
      <c r="E173" t="s">
        <v>584</v>
      </c>
      <c r="F173" s="11" t="s">
        <v>585</v>
      </c>
      <c r="G173" s="8">
        <v>0</v>
      </c>
      <c r="H173" s="8">
        <v>31.91</v>
      </c>
      <c r="I173" s="8">
        <f>G173-H173+I172</f>
        <v>-4917.8899999999985</v>
      </c>
      <c r="J173" s="12"/>
    </row>
    <row r="174" spans="3:10" hidden="1" x14ac:dyDescent="0.25">
      <c r="C174" s="9"/>
      <c r="D174" s="10">
        <v>45712</v>
      </c>
      <c r="E174" t="s">
        <v>586</v>
      </c>
      <c r="F174" s="11" t="s">
        <v>587</v>
      </c>
      <c r="G174" s="8">
        <v>0</v>
      </c>
      <c r="H174" s="8">
        <v>25.99</v>
      </c>
      <c r="I174" s="8">
        <f>G174-H174+I173</f>
        <v>-4943.8799999999983</v>
      </c>
      <c r="J174" s="12"/>
    </row>
    <row r="175" spans="3:10" hidden="1" x14ac:dyDescent="0.25">
      <c r="C175" s="9"/>
      <c r="D175" s="10">
        <v>45713</v>
      </c>
      <c r="E175" t="s">
        <v>588</v>
      </c>
      <c r="F175" s="11" t="s">
        <v>589</v>
      </c>
      <c r="G175" s="8">
        <v>0</v>
      </c>
      <c r="H175" s="8">
        <v>22.09</v>
      </c>
      <c r="I175" s="8">
        <f>G175-H175+I174</f>
        <v>-4965.9699999999984</v>
      </c>
      <c r="J175" s="12"/>
    </row>
    <row r="176" spans="3:10" hidden="1" x14ac:dyDescent="0.25">
      <c r="C176" s="9"/>
      <c r="D176" s="10">
        <v>45713</v>
      </c>
      <c r="E176" t="s">
        <v>590</v>
      </c>
      <c r="F176" s="11" t="s">
        <v>374</v>
      </c>
      <c r="G176" s="8">
        <v>0</v>
      </c>
      <c r="H176" s="8">
        <v>152.58000000000001</v>
      </c>
      <c r="I176" s="8">
        <f>G176-H176+I175</f>
        <v>-5118.5499999999984</v>
      </c>
      <c r="J176" s="12"/>
    </row>
    <row r="177" spans="3:10" hidden="1" x14ac:dyDescent="0.25">
      <c r="C177" s="9"/>
      <c r="D177" s="10">
        <v>45714</v>
      </c>
      <c r="E177" t="s">
        <v>438</v>
      </c>
      <c r="F177" s="11" t="s">
        <v>286</v>
      </c>
      <c r="G177" s="8">
        <v>0</v>
      </c>
      <c r="H177" s="8">
        <v>47.36</v>
      </c>
      <c r="I177" s="8">
        <f>G177-H177+I176</f>
        <v>-5165.909999999998</v>
      </c>
      <c r="J177" s="12"/>
    </row>
    <row r="178" spans="3:10" hidden="1" x14ac:dyDescent="0.25">
      <c r="C178" s="9"/>
      <c r="D178" s="10">
        <v>45714</v>
      </c>
      <c r="E178" t="s">
        <v>553</v>
      </c>
      <c r="F178" s="11" t="s">
        <v>591</v>
      </c>
      <c r="G178" s="8">
        <v>0</v>
      </c>
      <c r="H178" s="8">
        <v>47.72</v>
      </c>
      <c r="I178" s="8">
        <f>G178-H178+I177</f>
        <v>-5213.6299999999983</v>
      </c>
      <c r="J178" s="12"/>
    </row>
    <row r="179" spans="3:10" hidden="1" x14ac:dyDescent="0.25">
      <c r="C179" s="9"/>
      <c r="D179" s="10">
        <v>45714</v>
      </c>
      <c r="E179" t="s">
        <v>446</v>
      </c>
      <c r="F179" s="11" t="s">
        <v>592</v>
      </c>
      <c r="G179" s="8">
        <v>0</v>
      </c>
      <c r="H179" s="8">
        <v>28.93</v>
      </c>
      <c r="I179" s="8">
        <f>G179-H179+I178</f>
        <v>-5242.5599999999986</v>
      </c>
      <c r="J179" s="12"/>
    </row>
    <row r="180" spans="3:10" hidden="1" x14ac:dyDescent="0.25">
      <c r="C180" s="9"/>
      <c r="D180" s="10">
        <v>45715</v>
      </c>
      <c r="E180" t="s">
        <v>593</v>
      </c>
      <c r="F180" s="11" t="s">
        <v>594</v>
      </c>
      <c r="G180" s="8">
        <v>0</v>
      </c>
      <c r="H180" s="8">
        <v>20.99</v>
      </c>
      <c r="I180" s="8">
        <f>G180-H180+I179</f>
        <v>-5263.5499999999984</v>
      </c>
      <c r="J180" s="12"/>
    </row>
    <row r="181" spans="3:10" hidden="1" x14ac:dyDescent="0.25">
      <c r="C181" s="9"/>
      <c r="D181" s="10">
        <v>45715</v>
      </c>
      <c r="E181" t="s">
        <v>595</v>
      </c>
      <c r="F181" s="11" t="s">
        <v>596</v>
      </c>
      <c r="G181" s="8">
        <v>0</v>
      </c>
      <c r="H181" s="8">
        <v>27.72</v>
      </c>
      <c r="I181" s="8">
        <f>G181-H181+I180</f>
        <v>-5291.2699999999986</v>
      </c>
      <c r="J181" s="12"/>
    </row>
    <row r="182" spans="3:10" hidden="1" x14ac:dyDescent="0.25">
      <c r="C182" s="9"/>
      <c r="D182" s="10">
        <v>45715</v>
      </c>
      <c r="E182" t="s">
        <v>597</v>
      </c>
      <c r="F182" s="11" t="s">
        <v>378</v>
      </c>
      <c r="G182" s="8">
        <v>0</v>
      </c>
      <c r="H182" s="8">
        <v>4.34</v>
      </c>
      <c r="I182" s="8">
        <f>G182-H182+I181</f>
        <v>-5295.6099999999988</v>
      </c>
      <c r="J182" s="12"/>
    </row>
    <row r="183" spans="3:10" hidden="1" x14ac:dyDescent="0.25">
      <c r="C183" s="9"/>
      <c r="D183" s="10">
        <v>45716</v>
      </c>
      <c r="E183" t="s">
        <v>598</v>
      </c>
      <c r="F183" s="11" t="s">
        <v>380</v>
      </c>
      <c r="G183" s="8">
        <v>0</v>
      </c>
      <c r="H183" s="8">
        <v>42.53</v>
      </c>
      <c r="I183" s="8">
        <f>G183-H183+I182</f>
        <v>-5338.1399999999985</v>
      </c>
      <c r="J183" s="12"/>
    </row>
    <row r="184" spans="3:10" hidden="1" x14ac:dyDescent="0.25">
      <c r="C184" s="9"/>
      <c r="D184" s="10">
        <v>45716</v>
      </c>
      <c r="E184" t="s">
        <v>599</v>
      </c>
      <c r="F184" s="11" t="s">
        <v>225</v>
      </c>
      <c r="G184" s="8">
        <v>0</v>
      </c>
      <c r="H184" s="8">
        <v>27.71</v>
      </c>
      <c r="I184" s="8">
        <f>G184-H184+I183</f>
        <v>-5365.8499999999985</v>
      </c>
      <c r="J184" s="12"/>
    </row>
    <row r="185" spans="3:10" hidden="1" x14ac:dyDescent="0.25">
      <c r="C185" s="9"/>
      <c r="D185" s="10">
        <v>45716</v>
      </c>
      <c r="E185" t="s">
        <v>600</v>
      </c>
      <c r="F185" s="11" t="s">
        <v>601</v>
      </c>
      <c r="G185" s="8">
        <v>0</v>
      </c>
      <c r="H185" s="8">
        <v>156.1</v>
      </c>
      <c r="I185" s="8">
        <f>G185-H185+I184</f>
        <v>-5521.9499999999989</v>
      </c>
      <c r="J185" s="12"/>
    </row>
    <row r="186" spans="3:10" hidden="1" x14ac:dyDescent="0.25">
      <c r="C186" s="9"/>
      <c r="D186" s="10">
        <v>45716</v>
      </c>
      <c r="E186" t="s">
        <v>602</v>
      </c>
      <c r="F186" s="11" t="s">
        <v>603</v>
      </c>
      <c r="G186" s="8">
        <v>0</v>
      </c>
      <c r="H186" s="8">
        <v>4.34</v>
      </c>
      <c r="I186" s="8">
        <f>G186-H186+I185</f>
        <v>-5526.2899999999991</v>
      </c>
      <c r="J186" s="12"/>
    </row>
    <row r="187" spans="3:10" hidden="1" x14ac:dyDescent="0.25">
      <c r="C187" s="9"/>
      <c r="D187" s="10">
        <v>45716</v>
      </c>
      <c r="E187" t="s">
        <v>604</v>
      </c>
      <c r="F187" s="11" t="s">
        <v>605</v>
      </c>
      <c r="G187" s="8">
        <v>0</v>
      </c>
      <c r="H187" s="8">
        <v>29.39</v>
      </c>
      <c r="I187" s="8">
        <f>G187-H187+I186</f>
        <v>-5555.6799999999994</v>
      </c>
      <c r="J187" s="12"/>
    </row>
    <row r="188" spans="3:10" hidden="1" x14ac:dyDescent="0.25">
      <c r="C188" s="9"/>
      <c r="D188" s="10">
        <v>45719</v>
      </c>
      <c r="E188" t="s">
        <v>606</v>
      </c>
      <c r="F188" s="11" t="s">
        <v>239</v>
      </c>
      <c r="G188" s="8">
        <v>0</v>
      </c>
      <c r="H188" s="8">
        <v>4.34</v>
      </c>
      <c r="I188" s="8">
        <f>G188-H188+I187</f>
        <v>-5560.0199999999995</v>
      </c>
      <c r="J188" s="12"/>
    </row>
    <row r="189" spans="3:10" hidden="1" x14ac:dyDescent="0.25">
      <c r="C189" s="9"/>
      <c r="D189" s="10">
        <v>45719</v>
      </c>
      <c r="E189" t="s">
        <v>607</v>
      </c>
      <c r="F189" s="11" t="s">
        <v>608</v>
      </c>
      <c r="G189" s="8">
        <v>0</v>
      </c>
      <c r="H189" s="8">
        <v>179.42</v>
      </c>
      <c r="I189" s="8">
        <f>G189-H189+I188</f>
        <v>-5739.44</v>
      </c>
      <c r="J189" s="12"/>
    </row>
    <row r="190" spans="3:10" hidden="1" x14ac:dyDescent="0.25">
      <c r="C190" s="9"/>
      <c r="D190" s="10">
        <v>45719</v>
      </c>
      <c r="E190" t="s">
        <v>464</v>
      </c>
      <c r="F190" s="11" t="s">
        <v>609</v>
      </c>
      <c r="G190" s="8">
        <v>0</v>
      </c>
      <c r="H190" s="8">
        <v>18.57</v>
      </c>
      <c r="I190" s="8">
        <f>G190-H190+I189</f>
        <v>-5758.0099999999993</v>
      </c>
      <c r="J190" s="12"/>
    </row>
    <row r="191" spans="3:10" hidden="1" x14ac:dyDescent="0.25">
      <c r="C191" s="9"/>
      <c r="D191" s="10">
        <v>45719</v>
      </c>
      <c r="E191" t="s">
        <v>610</v>
      </c>
      <c r="F191" s="11" t="s">
        <v>611</v>
      </c>
      <c r="G191" s="8">
        <v>0</v>
      </c>
      <c r="H191" s="8">
        <v>33.1</v>
      </c>
      <c r="I191" s="8">
        <f>G191-H191+I190</f>
        <v>-5791.11</v>
      </c>
      <c r="J191" s="12"/>
    </row>
    <row r="192" spans="3:10" hidden="1" x14ac:dyDescent="0.25">
      <c r="C192" s="9"/>
      <c r="D192" s="10">
        <v>45719</v>
      </c>
      <c r="E192" t="s">
        <v>580</v>
      </c>
      <c r="F192" s="11" t="s">
        <v>248</v>
      </c>
      <c r="G192" s="8">
        <v>0</v>
      </c>
      <c r="H192" s="8">
        <v>35.75</v>
      </c>
      <c r="I192" s="8">
        <f>G192-H192+I191</f>
        <v>-5826.86</v>
      </c>
      <c r="J192" s="12"/>
    </row>
    <row r="193" spans="3:10" hidden="1" x14ac:dyDescent="0.25">
      <c r="C193" s="9"/>
      <c r="D193" s="10">
        <v>45720</v>
      </c>
      <c r="E193" t="s">
        <v>466</v>
      </c>
      <c r="F193" s="11" t="s">
        <v>612</v>
      </c>
      <c r="G193" s="8">
        <v>0</v>
      </c>
      <c r="H193" s="8">
        <v>4.34</v>
      </c>
      <c r="I193" s="8">
        <f>G193-H193+I192</f>
        <v>-5831.2</v>
      </c>
      <c r="J193" s="12"/>
    </row>
    <row r="194" spans="3:10" hidden="1" x14ac:dyDescent="0.25">
      <c r="C194" s="9"/>
      <c r="D194" s="10">
        <v>45720</v>
      </c>
      <c r="E194" t="s">
        <v>613</v>
      </c>
      <c r="F194" s="11" t="s">
        <v>614</v>
      </c>
      <c r="G194" s="8">
        <v>0</v>
      </c>
      <c r="H194" s="8">
        <v>8.68</v>
      </c>
      <c r="I194" s="8">
        <f>G194-H194+I193</f>
        <v>-5839.88</v>
      </c>
      <c r="J194" s="12"/>
    </row>
    <row r="195" spans="3:10" hidden="1" x14ac:dyDescent="0.25">
      <c r="C195" s="9"/>
      <c r="D195" s="10">
        <v>45720</v>
      </c>
      <c r="E195" t="s">
        <v>569</v>
      </c>
      <c r="F195" s="11" t="s">
        <v>222</v>
      </c>
      <c r="G195" s="8">
        <v>0</v>
      </c>
      <c r="H195" s="8">
        <v>4.34</v>
      </c>
      <c r="I195" s="8">
        <f>G195-H195+I194</f>
        <v>-5844.22</v>
      </c>
      <c r="J195" s="12"/>
    </row>
    <row r="196" spans="3:10" hidden="1" x14ac:dyDescent="0.25">
      <c r="C196" s="9"/>
      <c r="D196" s="10">
        <v>45720</v>
      </c>
      <c r="E196" t="s">
        <v>512</v>
      </c>
      <c r="F196" s="11" t="s">
        <v>340</v>
      </c>
      <c r="G196" s="8">
        <v>0</v>
      </c>
      <c r="H196" s="8">
        <v>12.6</v>
      </c>
      <c r="I196" s="8">
        <f>G196-H196+I195</f>
        <v>-5856.8200000000006</v>
      </c>
      <c r="J196" s="12"/>
    </row>
    <row r="197" spans="3:10" hidden="1" x14ac:dyDescent="0.25">
      <c r="C197" s="9"/>
      <c r="D197" s="10">
        <v>45721</v>
      </c>
      <c r="E197" t="s">
        <v>485</v>
      </c>
      <c r="F197" s="11" t="s">
        <v>615</v>
      </c>
      <c r="G197" s="8">
        <v>0</v>
      </c>
      <c r="H197" s="8">
        <v>95.19</v>
      </c>
      <c r="I197" s="8">
        <f>G197-H197+I196</f>
        <v>-5952.01</v>
      </c>
      <c r="J197" s="12"/>
    </row>
    <row r="198" spans="3:10" hidden="1" x14ac:dyDescent="0.25">
      <c r="C198" s="9"/>
      <c r="D198" s="10">
        <v>45721</v>
      </c>
      <c r="E198" t="s">
        <v>616</v>
      </c>
      <c r="F198" s="11" t="s">
        <v>617</v>
      </c>
      <c r="G198" s="8">
        <v>0</v>
      </c>
      <c r="H198" s="8">
        <v>174.96</v>
      </c>
      <c r="I198" s="8">
        <f>G198-H198+I197</f>
        <v>-6126.97</v>
      </c>
      <c r="J198" s="12"/>
    </row>
    <row r="199" spans="3:10" hidden="1" x14ac:dyDescent="0.25">
      <c r="C199" s="9"/>
      <c r="D199" s="10">
        <v>45721</v>
      </c>
      <c r="E199" t="s">
        <v>618</v>
      </c>
      <c r="F199" s="11" t="s">
        <v>619</v>
      </c>
      <c r="G199" s="8">
        <v>0</v>
      </c>
      <c r="H199" s="8">
        <v>98.76</v>
      </c>
      <c r="I199" s="8">
        <f>G199-H199+I198</f>
        <v>-6225.7300000000005</v>
      </c>
      <c r="J199" s="12"/>
    </row>
    <row r="200" spans="3:10" hidden="1" x14ac:dyDescent="0.25">
      <c r="C200" s="9"/>
      <c r="D200" s="10">
        <v>45721</v>
      </c>
      <c r="E200" t="s">
        <v>620</v>
      </c>
      <c r="F200" s="11" t="s">
        <v>621</v>
      </c>
      <c r="G200" s="8">
        <v>0</v>
      </c>
      <c r="H200" s="8">
        <v>62.42</v>
      </c>
      <c r="I200" s="8">
        <f>G200-H200+I199</f>
        <v>-6288.1500000000005</v>
      </c>
      <c r="J200" s="12"/>
    </row>
    <row r="201" spans="3:10" hidden="1" x14ac:dyDescent="0.25">
      <c r="C201" s="9"/>
      <c r="D201" s="10">
        <v>45722</v>
      </c>
      <c r="E201" t="s">
        <v>543</v>
      </c>
      <c r="F201" s="11" t="s">
        <v>622</v>
      </c>
      <c r="G201" s="8">
        <v>0</v>
      </c>
      <c r="H201" s="8">
        <v>4.34</v>
      </c>
      <c r="I201" s="8">
        <f>G201-H201+I200</f>
        <v>-6292.4900000000007</v>
      </c>
      <c r="J201" s="12"/>
    </row>
    <row r="202" spans="3:10" hidden="1" x14ac:dyDescent="0.25">
      <c r="C202" s="9"/>
      <c r="D202" s="10">
        <v>45722</v>
      </c>
      <c r="E202" t="s">
        <v>528</v>
      </c>
      <c r="F202" s="11" t="s">
        <v>623</v>
      </c>
      <c r="G202" s="8">
        <v>0</v>
      </c>
      <c r="H202" s="8">
        <v>158.03</v>
      </c>
      <c r="I202" s="8">
        <f>G202-H202+I201</f>
        <v>-6450.52</v>
      </c>
      <c r="J202" s="12"/>
    </row>
    <row r="203" spans="3:10" hidden="1" x14ac:dyDescent="0.25">
      <c r="C203" s="9"/>
      <c r="D203" s="10">
        <v>45722</v>
      </c>
      <c r="E203" t="s">
        <v>624</v>
      </c>
      <c r="F203" s="11" t="s">
        <v>206</v>
      </c>
      <c r="G203" s="8">
        <v>0</v>
      </c>
      <c r="H203" s="8">
        <v>32.020000000000003</v>
      </c>
      <c r="I203" s="8">
        <f>G203-H203+I202</f>
        <v>-6482.5400000000009</v>
      </c>
      <c r="J203" s="12"/>
    </row>
    <row r="204" spans="3:10" hidden="1" x14ac:dyDescent="0.25">
      <c r="C204" s="9"/>
      <c r="D204" s="10">
        <v>45723</v>
      </c>
      <c r="E204" t="s">
        <v>625</v>
      </c>
      <c r="F204" s="11" t="s">
        <v>383</v>
      </c>
      <c r="G204" s="8">
        <v>0</v>
      </c>
      <c r="H204" s="8">
        <v>224.89</v>
      </c>
      <c r="I204" s="8">
        <f>G204-H204+I203</f>
        <v>-6707.4300000000012</v>
      </c>
      <c r="J204" s="12"/>
    </row>
    <row r="205" spans="3:10" hidden="1" x14ac:dyDescent="0.25">
      <c r="C205" s="9"/>
      <c r="D205" s="10">
        <v>45723</v>
      </c>
      <c r="E205" t="s">
        <v>626</v>
      </c>
      <c r="F205" s="11" t="s">
        <v>627</v>
      </c>
      <c r="G205" s="8">
        <v>0</v>
      </c>
      <c r="H205" s="8">
        <v>23.47</v>
      </c>
      <c r="I205" s="8">
        <f>G205-H205+I204</f>
        <v>-6730.9000000000015</v>
      </c>
      <c r="J205" s="12"/>
    </row>
    <row r="206" spans="3:10" hidden="1" x14ac:dyDescent="0.25">
      <c r="C206" s="9"/>
      <c r="D206" s="10">
        <v>45723</v>
      </c>
      <c r="E206" t="s">
        <v>628</v>
      </c>
      <c r="F206" s="11" t="s">
        <v>629</v>
      </c>
      <c r="G206" s="8">
        <v>0</v>
      </c>
      <c r="H206" s="8">
        <v>25.78</v>
      </c>
      <c r="I206" s="8">
        <f>G206-H206+I205</f>
        <v>-6756.6800000000012</v>
      </c>
      <c r="J206" s="12"/>
    </row>
    <row r="207" spans="3:10" hidden="1" x14ac:dyDescent="0.25">
      <c r="C207" s="9"/>
      <c r="D207" s="10">
        <v>45723</v>
      </c>
      <c r="E207" t="s">
        <v>630</v>
      </c>
      <c r="F207" s="11" t="s">
        <v>318</v>
      </c>
      <c r="G207" s="8">
        <v>0</v>
      </c>
      <c r="H207" s="8">
        <v>180.35</v>
      </c>
      <c r="I207" s="8">
        <f>G207-H207+I206</f>
        <v>-6937.0300000000016</v>
      </c>
      <c r="J207" s="12"/>
    </row>
    <row r="208" spans="3:10" hidden="1" x14ac:dyDescent="0.25">
      <c r="C208" s="9"/>
      <c r="D208" s="10">
        <v>45726</v>
      </c>
      <c r="E208" t="s">
        <v>631</v>
      </c>
      <c r="F208" s="11" t="s">
        <v>632</v>
      </c>
      <c r="G208" s="8">
        <v>0</v>
      </c>
      <c r="H208" s="8">
        <v>42.82</v>
      </c>
      <c r="I208" s="8">
        <f>G208-H208+I207</f>
        <v>-6979.8500000000013</v>
      </c>
      <c r="J208" s="12"/>
    </row>
    <row r="209" spans="3:10" hidden="1" x14ac:dyDescent="0.25">
      <c r="C209" s="9"/>
      <c r="D209" s="10">
        <v>45727</v>
      </c>
      <c r="E209" t="s">
        <v>633</v>
      </c>
      <c r="F209" s="11" t="s">
        <v>634</v>
      </c>
      <c r="G209" s="8">
        <v>0</v>
      </c>
      <c r="H209" s="8">
        <v>22.99</v>
      </c>
      <c r="I209" s="8">
        <f>G209-H209+I208</f>
        <v>-7002.8400000000011</v>
      </c>
      <c r="J209" s="12"/>
    </row>
    <row r="210" spans="3:10" hidden="1" x14ac:dyDescent="0.25">
      <c r="C210" s="9"/>
      <c r="D210" s="10">
        <v>45727</v>
      </c>
      <c r="E210" t="s">
        <v>635</v>
      </c>
      <c r="F210" s="11" t="s">
        <v>229</v>
      </c>
      <c r="G210" s="8">
        <v>0</v>
      </c>
      <c r="H210" s="8">
        <v>17.43</v>
      </c>
      <c r="I210" s="8">
        <f>G210-H210+I209</f>
        <v>-7020.2700000000013</v>
      </c>
      <c r="J210" s="12"/>
    </row>
    <row r="211" spans="3:10" hidden="1" x14ac:dyDescent="0.25">
      <c r="C211" s="9"/>
      <c r="D211" s="10">
        <v>45727</v>
      </c>
      <c r="E211" t="s">
        <v>636</v>
      </c>
      <c r="F211" s="11" t="s">
        <v>637</v>
      </c>
      <c r="G211" s="8">
        <v>0</v>
      </c>
      <c r="H211" s="8">
        <v>79.540000000000006</v>
      </c>
      <c r="I211" s="8">
        <f>G211-H211+I210</f>
        <v>-7099.8100000000013</v>
      </c>
      <c r="J211" s="12"/>
    </row>
    <row r="212" spans="3:10" hidden="1" x14ac:dyDescent="0.25">
      <c r="C212" s="9"/>
      <c r="D212" s="10">
        <v>45727</v>
      </c>
      <c r="E212" t="s">
        <v>638</v>
      </c>
      <c r="F212" s="11" t="s">
        <v>639</v>
      </c>
      <c r="G212" s="8">
        <v>0</v>
      </c>
      <c r="H212" s="8">
        <v>5.92</v>
      </c>
      <c r="I212" s="8">
        <f>G212-H212+I211</f>
        <v>-7105.7300000000014</v>
      </c>
      <c r="J212" s="12"/>
    </row>
    <row r="213" spans="3:10" hidden="1" x14ac:dyDescent="0.25">
      <c r="C213" s="9"/>
      <c r="D213" s="10">
        <v>45727</v>
      </c>
      <c r="E213" t="s">
        <v>640</v>
      </c>
      <c r="F213" s="11" t="s">
        <v>641</v>
      </c>
      <c r="G213" s="8">
        <v>0</v>
      </c>
      <c r="H213" s="8">
        <v>68.66</v>
      </c>
      <c r="I213" s="8">
        <f>G213-H213+I212</f>
        <v>-7174.3900000000012</v>
      </c>
      <c r="J213" s="12"/>
    </row>
    <row r="214" spans="3:10" hidden="1" x14ac:dyDescent="0.25">
      <c r="C214" s="9"/>
      <c r="D214" s="10">
        <v>45728</v>
      </c>
      <c r="E214" t="s">
        <v>642</v>
      </c>
      <c r="F214" s="11" t="s">
        <v>643</v>
      </c>
      <c r="G214" s="8">
        <v>0</v>
      </c>
      <c r="H214" s="8">
        <v>245.83</v>
      </c>
      <c r="I214" s="8">
        <f>G214-H214+I213</f>
        <v>-7420.2200000000012</v>
      </c>
      <c r="J214" s="12"/>
    </row>
    <row r="215" spans="3:10" hidden="1" x14ac:dyDescent="0.25">
      <c r="C215" s="9"/>
      <c r="D215" s="10">
        <v>45728</v>
      </c>
      <c r="E215" t="s">
        <v>644</v>
      </c>
      <c r="F215" s="11" t="s">
        <v>645</v>
      </c>
      <c r="G215" s="8">
        <v>0</v>
      </c>
      <c r="H215" s="8">
        <v>59.75</v>
      </c>
      <c r="I215" s="8">
        <f>G215-H215+I214</f>
        <v>-7479.9700000000012</v>
      </c>
      <c r="J215" s="12"/>
    </row>
    <row r="216" spans="3:10" hidden="1" x14ac:dyDescent="0.25">
      <c r="C216" s="9"/>
      <c r="D216" s="10">
        <v>45728</v>
      </c>
      <c r="E216" t="s">
        <v>646</v>
      </c>
      <c r="F216" s="11" t="s">
        <v>647</v>
      </c>
      <c r="G216" s="8">
        <v>0</v>
      </c>
      <c r="H216" s="8">
        <v>48.54</v>
      </c>
      <c r="I216" s="8">
        <f>G216-H216+I215</f>
        <v>-7528.5100000000011</v>
      </c>
      <c r="J216" s="12"/>
    </row>
    <row r="217" spans="3:10" hidden="1" x14ac:dyDescent="0.25">
      <c r="C217" s="9"/>
      <c r="D217" s="10">
        <v>45728</v>
      </c>
      <c r="E217" t="s">
        <v>648</v>
      </c>
      <c r="F217" s="11" t="s">
        <v>649</v>
      </c>
      <c r="G217" s="8">
        <v>0</v>
      </c>
      <c r="H217" s="8">
        <v>4.34</v>
      </c>
      <c r="I217" s="8">
        <f>G217-H217+I216</f>
        <v>-7532.8500000000013</v>
      </c>
      <c r="J217" s="12"/>
    </row>
    <row r="218" spans="3:10" hidden="1" x14ac:dyDescent="0.25">
      <c r="C218" s="9"/>
      <c r="D218" s="10">
        <v>45729</v>
      </c>
      <c r="E218" t="s">
        <v>650</v>
      </c>
      <c r="F218" s="11" t="s">
        <v>651</v>
      </c>
      <c r="G218" s="8">
        <v>0</v>
      </c>
      <c r="H218" s="8">
        <v>12.94</v>
      </c>
      <c r="I218" s="8">
        <f>G218-H218+I217</f>
        <v>-7545.7900000000009</v>
      </c>
      <c r="J218" s="12"/>
    </row>
    <row r="219" spans="3:10" hidden="1" x14ac:dyDescent="0.25">
      <c r="C219" s="9"/>
      <c r="D219" s="10">
        <v>45729</v>
      </c>
      <c r="E219" t="s">
        <v>652</v>
      </c>
      <c r="F219" s="11" t="s">
        <v>653</v>
      </c>
      <c r="G219" s="8">
        <v>0</v>
      </c>
      <c r="H219" s="8">
        <v>65.52</v>
      </c>
      <c r="I219" s="8">
        <f>G219-H219+I218</f>
        <v>-7611.3100000000013</v>
      </c>
      <c r="J219" s="12"/>
    </row>
    <row r="220" spans="3:10" hidden="1" x14ac:dyDescent="0.25">
      <c r="C220" s="9"/>
      <c r="D220" s="10">
        <v>45730</v>
      </c>
      <c r="E220" t="s">
        <v>528</v>
      </c>
      <c r="F220" s="11" t="s">
        <v>654</v>
      </c>
      <c r="G220" s="8">
        <v>0</v>
      </c>
      <c r="H220" s="8">
        <v>23.21</v>
      </c>
      <c r="I220" s="8">
        <f>G220-H220+I219</f>
        <v>-7634.5200000000013</v>
      </c>
      <c r="J220" s="12"/>
    </row>
    <row r="221" spans="3:10" hidden="1" x14ac:dyDescent="0.25">
      <c r="C221" s="9"/>
      <c r="D221" s="10">
        <v>45730</v>
      </c>
      <c r="E221" t="s">
        <v>464</v>
      </c>
      <c r="F221" s="11" t="s">
        <v>655</v>
      </c>
      <c r="G221" s="8">
        <v>0</v>
      </c>
      <c r="H221" s="8">
        <v>13.37</v>
      </c>
      <c r="I221" s="8">
        <f>G221-H221+I220</f>
        <v>-7647.8900000000012</v>
      </c>
      <c r="J221" s="12"/>
    </row>
    <row r="222" spans="3:10" hidden="1" x14ac:dyDescent="0.25">
      <c r="C222" s="9"/>
      <c r="D222" s="10">
        <v>45730</v>
      </c>
      <c r="E222" t="s">
        <v>656</v>
      </c>
      <c r="F222" s="11" t="s">
        <v>657</v>
      </c>
      <c r="G222" s="8">
        <v>0</v>
      </c>
      <c r="H222" s="8">
        <v>30.71</v>
      </c>
      <c r="I222" s="8">
        <f>G222-H222+I221</f>
        <v>-7678.6000000000013</v>
      </c>
      <c r="J222" s="12"/>
    </row>
    <row r="223" spans="3:10" hidden="1" x14ac:dyDescent="0.25">
      <c r="C223" s="9"/>
      <c r="D223" s="10">
        <v>45733</v>
      </c>
      <c r="E223" t="s">
        <v>445</v>
      </c>
      <c r="F223" s="11" t="s">
        <v>315</v>
      </c>
      <c r="G223" s="8">
        <v>0</v>
      </c>
      <c r="H223" s="8">
        <v>4.34</v>
      </c>
      <c r="I223" s="8">
        <f>G223-H223+I222</f>
        <v>-7682.9400000000014</v>
      </c>
      <c r="J223" s="12"/>
    </row>
    <row r="224" spans="3:10" hidden="1" x14ac:dyDescent="0.25">
      <c r="C224" s="9"/>
      <c r="D224" s="10">
        <v>45733</v>
      </c>
      <c r="E224" t="s">
        <v>658</v>
      </c>
      <c r="F224" s="11" t="s">
        <v>659</v>
      </c>
      <c r="G224" s="8">
        <v>0</v>
      </c>
      <c r="H224" s="8">
        <v>4.34</v>
      </c>
      <c r="I224" s="8">
        <f>G224-H224+I223</f>
        <v>-7687.2800000000016</v>
      </c>
      <c r="J224" s="12"/>
    </row>
    <row r="225" spans="3:10" hidden="1" x14ac:dyDescent="0.25">
      <c r="C225" s="9"/>
      <c r="D225" s="10">
        <v>45733</v>
      </c>
      <c r="E225" t="s">
        <v>416</v>
      </c>
      <c r="F225" s="11" t="s">
        <v>660</v>
      </c>
      <c r="G225" s="8">
        <v>0</v>
      </c>
      <c r="H225" s="8">
        <v>4.34</v>
      </c>
      <c r="I225" s="8">
        <f>G225-H225+I224</f>
        <v>-7691.6200000000017</v>
      </c>
      <c r="J225" s="12"/>
    </row>
    <row r="226" spans="3:10" hidden="1" x14ac:dyDescent="0.25">
      <c r="C226" s="9"/>
      <c r="D226" s="10">
        <v>45733</v>
      </c>
      <c r="E226" t="s">
        <v>661</v>
      </c>
      <c r="F226" s="11" t="s">
        <v>662</v>
      </c>
      <c r="G226" s="8">
        <v>0</v>
      </c>
      <c r="H226" s="8">
        <v>33.799999999999997</v>
      </c>
      <c r="I226" s="8">
        <f>G226-H226+I225</f>
        <v>-7725.4200000000019</v>
      </c>
      <c r="J226" s="12"/>
    </row>
    <row r="227" spans="3:10" hidden="1" x14ac:dyDescent="0.25">
      <c r="C227" s="9"/>
      <c r="D227" s="10">
        <v>45733</v>
      </c>
      <c r="E227" t="s">
        <v>463</v>
      </c>
      <c r="F227" s="11" t="s">
        <v>236</v>
      </c>
      <c r="G227" s="8">
        <v>0</v>
      </c>
      <c r="H227" s="8">
        <v>4.34</v>
      </c>
      <c r="I227" s="8">
        <f>G227-H227+I226</f>
        <v>-7729.760000000002</v>
      </c>
      <c r="J227" s="12"/>
    </row>
    <row r="228" spans="3:10" hidden="1" x14ac:dyDescent="0.25">
      <c r="C228" s="9"/>
      <c r="D228" s="10">
        <v>45733</v>
      </c>
      <c r="E228" t="s">
        <v>604</v>
      </c>
      <c r="F228" s="11" t="s">
        <v>663</v>
      </c>
      <c r="G228" s="8">
        <v>0</v>
      </c>
      <c r="H228" s="8">
        <v>47.86</v>
      </c>
      <c r="I228" s="8">
        <f>G228-H228+I227</f>
        <v>-7777.6200000000017</v>
      </c>
      <c r="J228" s="12"/>
    </row>
    <row r="229" spans="3:10" hidden="1" x14ac:dyDescent="0.25">
      <c r="C229" s="9"/>
      <c r="D229" s="10">
        <v>45734</v>
      </c>
      <c r="E229" t="s">
        <v>664</v>
      </c>
      <c r="F229" s="11" t="s">
        <v>665</v>
      </c>
      <c r="G229" s="8">
        <v>0</v>
      </c>
      <c r="H229" s="8">
        <v>8.4</v>
      </c>
      <c r="I229" s="8">
        <f>G229-H229+I228</f>
        <v>-7786.0200000000013</v>
      </c>
      <c r="J229" s="12"/>
    </row>
    <row r="230" spans="3:10" hidden="1" x14ac:dyDescent="0.25">
      <c r="C230" s="9"/>
      <c r="D230" s="10">
        <v>45734</v>
      </c>
      <c r="E230" t="s">
        <v>666</v>
      </c>
      <c r="F230" s="11" t="s">
        <v>667</v>
      </c>
      <c r="G230" s="8">
        <v>0</v>
      </c>
      <c r="H230" s="8">
        <v>45.26</v>
      </c>
      <c r="I230" s="8">
        <f>G230-H230+I229</f>
        <v>-7831.2800000000016</v>
      </c>
      <c r="J230" s="12"/>
    </row>
    <row r="231" spans="3:10" hidden="1" x14ac:dyDescent="0.25">
      <c r="C231" s="9"/>
      <c r="D231" s="10">
        <v>45736</v>
      </c>
      <c r="E231" t="s">
        <v>567</v>
      </c>
      <c r="F231" s="11" t="s">
        <v>668</v>
      </c>
      <c r="G231" s="8">
        <v>0</v>
      </c>
      <c r="H231" s="8">
        <v>222.83</v>
      </c>
      <c r="I231" s="8">
        <f>G231-H231+I230</f>
        <v>-8054.1100000000015</v>
      </c>
      <c r="J231" s="12"/>
    </row>
    <row r="232" spans="3:10" hidden="1" x14ac:dyDescent="0.25">
      <c r="C232" s="9"/>
      <c r="D232" s="10">
        <v>45736</v>
      </c>
      <c r="E232" t="s">
        <v>669</v>
      </c>
      <c r="F232" s="11" t="s">
        <v>670</v>
      </c>
      <c r="G232" s="8">
        <v>0</v>
      </c>
      <c r="H232" s="8">
        <v>4.34</v>
      </c>
      <c r="I232" s="8">
        <f>G232-H232+I231</f>
        <v>-8058.4500000000016</v>
      </c>
      <c r="J232" s="12"/>
    </row>
    <row r="233" spans="3:10" hidden="1" x14ac:dyDescent="0.25">
      <c r="C233" s="9"/>
      <c r="D233" s="10">
        <v>45736</v>
      </c>
      <c r="E233" t="s">
        <v>671</v>
      </c>
      <c r="F233" s="11" t="s">
        <v>672</v>
      </c>
      <c r="G233" s="8">
        <v>0</v>
      </c>
      <c r="H233" s="8">
        <v>95.43</v>
      </c>
      <c r="I233" s="8">
        <f>G233-H233+I232</f>
        <v>-8153.8800000000019</v>
      </c>
      <c r="J233" s="12"/>
    </row>
    <row r="234" spans="3:10" hidden="1" x14ac:dyDescent="0.25">
      <c r="C234" s="9"/>
      <c r="D234" s="10">
        <v>45736</v>
      </c>
      <c r="E234" t="s">
        <v>673</v>
      </c>
      <c r="F234" s="11" t="s">
        <v>674</v>
      </c>
      <c r="G234" s="8">
        <v>0</v>
      </c>
      <c r="H234" s="8">
        <v>25.55</v>
      </c>
      <c r="I234" s="8">
        <f>G234-H234+I233</f>
        <v>-8179.4300000000021</v>
      </c>
      <c r="J234" s="12"/>
    </row>
    <row r="235" spans="3:10" hidden="1" x14ac:dyDescent="0.25">
      <c r="C235" s="9"/>
      <c r="D235" s="10">
        <v>45736</v>
      </c>
      <c r="E235" t="s">
        <v>675</v>
      </c>
      <c r="F235" s="11" t="s">
        <v>676</v>
      </c>
      <c r="G235" s="8">
        <v>0</v>
      </c>
      <c r="H235" s="8">
        <v>47.78</v>
      </c>
      <c r="I235" s="8">
        <f>G235-H235+I234</f>
        <v>-8227.2100000000028</v>
      </c>
      <c r="J235" s="12"/>
    </row>
    <row r="236" spans="3:10" hidden="1" x14ac:dyDescent="0.25">
      <c r="C236" s="9"/>
      <c r="D236" s="10">
        <v>45737</v>
      </c>
      <c r="E236" t="s">
        <v>677</v>
      </c>
      <c r="F236" s="11" t="s">
        <v>386</v>
      </c>
      <c r="G236" s="8">
        <v>0</v>
      </c>
      <c r="H236" s="8">
        <v>4.34</v>
      </c>
      <c r="I236" s="8">
        <f>G236-H236+I235</f>
        <v>-8231.5500000000029</v>
      </c>
      <c r="J236" s="12"/>
    </row>
    <row r="237" spans="3:10" hidden="1" x14ac:dyDescent="0.25">
      <c r="C237" s="9"/>
      <c r="D237" s="10">
        <v>45737</v>
      </c>
      <c r="E237" t="s">
        <v>678</v>
      </c>
      <c r="F237" s="11" t="s">
        <v>679</v>
      </c>
      <c r="G237" s="8">
        <v>0</v>
      </c>
      <c r="H237" s="8">
        <v>5.25</v>
      </c>
      <c r="I237" s="8">
        <f>G237-H237+I236</f>
        <v>-8236.8000000000029</v>
      </c>
      <c r="J237" s="12"/>
    </row>
    <row r="238" spans="3:10" hidden="1" x14ac:dyDescent="0.25">
      <c r="C238" s="9"/>
      <c r="D238" s="10">
        <v>45740</v>
      </c>
      <c r="E238" t="s">
        <v>487</v>
      </c>
      <c r="F238" s="11" t="s">
        <v>680</v>
      </c>
      <c r="G238" s="8">
        <v>0</v>
      </c>
      <c r="H238" s="8">
        <v>38.880000000000003</v>
      </c>
      <c r="I238" s="8">
        <f>G238-H238+I237</f>
        <v>-8275.6800000000021</v>
      </c>
      <c r="J238" s="12"/>
    </row>
    <row r="239" spans="3:10" hidden="1" x14ac:dyDescent="0.25">
      <c r="C239" s="9"/>
      <c r="D239" s="10">
        <v>45740</v>
      </c>
      <c r="E239" t="s">
        <v>413</v>
      </c>
      <c r="F239" s="11" t="s">
        <v>681</v>
      </c>
      <c r="G239" s="8">
        <v>0</v>
      </c>
      <c r="H239" s="8">
        <v>5.25</v>
      </c>
      <c r="I239" s="8">
        <f>G239-H239+I238</f>
        <v>-8280.9300000000021</v>
      </c>
      <c r="J239" s="12"/>
    </row>
    <row r="240" spans="3:10" hidden="1" x14ac:dyDescent="0.25">
      <c r="C240" s="9"/>
      <c r="D240" s="10">
        <v>45740</v>
      </c>
      <c r="E240" t="s">
        <v>682</v>
      </c>
      <c r="F240" s="11" t="s">
        <v>683</v>
      </c>
      <c r="G240" s="8">
        <v>0</v>
      </c>
      <c r="H240" s="8">
        <v>33.78</v>
      </c>
      <c r="I240" s="8">
        <f>G240-H240+I239</f>
        <v>-8314.7100000000028</v>
      </c>
      <c r="J240" s="12"/>
    </row>
    <row r="241" spans="3:10" hidden="1" x14ac:dyDescent="0.25">
      <c r="C241" s="9"/>
      <c r="D241" s="10">
        <v>45740</v>
      </c>
      <c r="E241" t="s">
        <v>684</v>
      </c>
      <c r="F241" s="11" t="s">
        <v>685</v>
      </c>
      <c r="G241" s="8">
        <v>0</v>
      </c>
      <c r="H241" s="8">
        <v>42.53</v>
      </c>
      <c r="I241" s="8">
        <f>G241-H241+I240</f>
        <v>-8357.2400000000034</v>
      </c>
      <c r="J241" s="12"/>
    </row>
    <row r="242" spans="3:10" hidden="1" x14ac:dyDescent="0.25">
      <c r="C242" s="9"/>
      <c r="D242" s="10">
        <v>45741</v>
      </c>
      <c r="E242" t="s">
        <v>686</v>
      </c>
      <c r="F242" s="11" t="s">
        <v>295</v>
      </c>
      <c r="G242" s="8">
        <v>0</v>
      </c>
      <c r="H242" s="8">
        <v>35.17</v>
      </c>
      <c r="I242" s="8">
        <f>G242-H242+I241</f>
        <v>-8392.4100000000035</v>
      </c>
      <c r="J242" s="12"/>
    </row>
    <row r="243" spans="3:10" hidden="1" x14ac:dyDescent="0.25">
      <c r="C243" s="9"/>
      <c r="D243" s="10">
        <v>45741</v>
      </c>
      <c r="E243" t="s">
        <v>671</v>
      </c>
      <c r="F243" s="11" t="s">
        <v>687</v>
      </c>
      <c r="G243" s="8">
        <v>0</v>
      </c>
      <c r="H243" s="8">
        <v>20.56</v>
      </c>
      <c r="I243" s="8">
        <f>G243-H243+I242</f>
        <v>-8412.970000000003</v>
      </c>
      <c r="J243" s="12"/>
    </row>
    <row r="244" spans="3:10" hidden="1" x14ac:dyDescent="0.25">
      <c r="C244" s="9"/>
      <c r="D244" s="10">
        <v>45741</v>
      </c>
      <c r="E244" t="s">
        <v>409</v>
      </c>
      <c r="F244" s="11" t="s">
        <v>688</v>
      </c>
      <c r="G244" s="8">
        <v>0</v>
      </c>
      <c r="H244" s="8">
        <v>4.34</v>
      </c>
      <c r="I244" s="8">
        <f>G244-H244+I243</f>
        <v>-8417.3100000000031</v>
      </c>
      <c r="J244" s="12"/>
    </row>
    <row r="245" spans="3:10" hidden="1" x14ac:dyDescent="0.25">
      <c r="C245" s="9"/>
      <c r="D245" s="10">
        <v>45741</v>
      </c>
      <c r="E245" t="s">
        <v>689</v>
      </c>
      <c r="F245" s="11" t="s">
        <v>690</v>
      </c>
      <c r="G245" s="8">
        <v>0</v>
      </c>
      <c r="H245" s="8">
        <v>34.869999999999997</v>
      </c>
      <c r="I245" s="8">
        <f>G245-H245+I244</f>
        <v>-8452.1800000000039</v>
      </c>
      <c r="J245" s="12"/>
    </row>
    <row r="246" spans="3:10" hidden="1" x14ac:dyDescent="0.25">
      <c r="C246" s="9"/>
      <c r="D246" s="10">
        <v>45741</v>
      </c>
      <c r="E246" t="s">
        <v>650</v>
      </c>
      <c r="F246" s="11" t="s">
        <v>691</v>
      </c>
      <c r="G246" s="8">
        <v>0</v>
      </c>
      <c r="H246" s="8">
        <v>47.89</v>
      </c>
      <c r="I246" s="8">
        <f>G246-H246+I245</f>
        <v>-8500.0700000000033</v>
      </c>
      <c r="J246" s="12"/>
    </row>
    <row r="247" spans="3:10" hidden="1" x14ac:dyDescent="0.25">
      <c r="C247" s="9"/>
      <c r="D247" s="10">
        <v>45741</v>
      </c>
      <c r="E247" t="s">
        <v>618</v>
      </c>
      <c r="F247" s="11" t="s">
        <v>692</v>
      </c>
      <c r="G247" s="8">
        <v>0</v>
      </c>
      <c r="H247" s="8">
        <v>47.2</v>
      </c>
      <c r="I247" s="8">
        <f>G247-H247+I246</f>
        <v>-8547.2700000000041</v>
      </c>
      <c r="J247" s="12"/>
    </row>
    <row r="248" spans="3:10" hidden="1" x14ac:dyDescent="0.25">
      <c r="C248" s="9"/>
      <c r="D248" s="10">
        <v>45741</v>
      </c>
      <c r="E248" t="s">
        <v>450</v>
      </c>
      <c r="F248" s="11" t="s">
        <v>301</v>
      </c>
      <c r="G248" s="8">
        <v>0</v>
      </c>
      <c r="H248" s="8">
        <v>5.21</v>
      </c>
      <c r="I248" s="8">
        <f>G248-H248+I247</f>
        <v>-8552.4800000000032</v>
      </c>
      <c r="J248" s="12"/>
    </row>
    <row r="249" spans="3:10" hidden="1" x14ac:dyDescent="0.25">
      <c r="C249" s="9"/>
      <c r="D249" s="10">
        <v>45741</v>
      </c>
      <c r="E249" t="s">
        <v>693</v>
      </c>
      <c r="F249" s="11" t="s">
        <v>694</v>
      </c>
      <c r="G249" s="8">
        <v>0</v>
      </c>
      <c r="H249" s="8">
        <v>6.94</v>
      </c>
      <c r="I249" s="8">
        <f>G249-H249+I248</f>
        <v>-8559.4200000000037</v>
      </c>
      <c r="J249" s="12"/>
    </row>
    <row r="250" spans="3:10" hidden="1" x14ac:dyDescent="0.25">
      <c r="C250" s="9"/>
      <c r="D250" s="10">
        <v>45741</v>
      </c>
      <c r="E250" t="s">
        <v>610</v>
      </c>
      <c r="F250" s="11" t="s">
        <v>695</v>
      </c>
      <c r="G250" s="8">
        <v>0</v>
      </c>
      <c r="H250" s="8">
        <v>4.34</v>
      </c>
      <c r="I250" s="8">
        <f>G250-H250+I249</f>
        <v>-8563.7600000000039</v>
      </c>
      <c r="J250" s="12"/>
    </row>
    <row r="251" spans="3:10" hidden="1" x14ac:dyDescent="0.25">
      <c r="C251" s="9"/>
      <c r="D251" s="10">
        <v>45741</v>
      </c>
      <c r="E251" t="s">
        <v>646</v>
      </c>
      <c r="F251" s="11" t="s">
        <v>696</v>
      </c>
      <c r="G251" s="8">
        <v>0</v>
      </c>
      <c r="H251" s="8">
        <v>4.34</v>
      </c>
      <c r="I251" s="8">
        <f>G251-H251+I250</f>
        <v>-8568.100000000004</v>
      </c>
      <c r="J251" s="12"/>
    </row>
    <row r="252" spans="3:10" hidden="1" x14ac:dyDescent="0.25">
      <c r="C252" s="9"/>
      <c r="D252" s="10">
        <v>45742</v>
      </c>
      <c r="E252" t="s">
        <v>528</v>
      </c>
      <c r="F252" s="11" t="s">
        <v>697</v>
      </c>
      <c r="G252" s="8">
        <v>0</v>
      </c>
      <c r="H252" s="8">
        <v>102.2</v>
      </c>
      <c r="I252" s="8">
        <f>G252-H252+I251</f>
        <v>-8670.3000000000047</v>
      </c>
      <c r="J252" s="12"/>
    </row>
    <row r="253" spans="3:10" hidden="1" x14ac:dyDescent="0.25">
      <c r="C253" s="9"/>
      <c r="D253" s="10">
        <v>45743</v>
      </c>
      <c r="E253" t="s">
        <v>698</v>
      </c>
      <c r="F253" s="11" t="s">
        <v>699</v>
      </c>
      <c r="G253" s="8">
        <v>0</v>
      </c>
      <c r="H253" s="8">
        <v>8.06</v>
      </c>
      <c r="I253" s="8">
        <f>G253-H253+I252</f>
        <v>-8678.3600000000042</v>
      </c>
      <c r="J253" s="12"/>
    </row>
    <row r="254" spans="3:10" hidden="1" x14ac:dyDescent="0.25">
      <c r="C254" s="9"/>
      <c r="D254" s="10">
        <v>45743</v>
      </c>
      <c r="E254" t="s">
        <v>684</v>
      </c>
      <c r="F254" s="11" t="s">
        <v>700</v>
      </c>
      <c r="G254" s="8">
        <v>0</v>
      </c>
      <c r="H254" s="8">
        <v>27.04</v>
      </c>
      <c r="I254" s="8">
        <f>G254-H254+I253</f>
        <v>-8705.4000000000051</v>
      </c>
      <c r="J254" s="12"/>
    </row>
    <row r="255" spans="3:10" hidden="1" x14ac:dyDescent="0.25">
      <c r="C255" s="9"/>
      <c r="D255" s="10">
        <v>45744</v>
      </c>
      <c r="E255" t="s">
        <v>701</v>
      </c>
      <c r="F255" s="11" t="s">
        <v>702</v>
      </c>
      <c r="G255" s="8">
        <v>0</v>
      </c>
      <c r="H255" s="8">
        <v>4.34</v>
      </c>
      <c r="I255" s="8">
        <f>G255-H255+I254</f>
        <v>-8709.7400000000052</v>
      </c>
      <c r="J255" s="12"/>
    </row>
    <row r="256" spans="3:10" hidden="1" x14ac:dyDescent="0.25">
      <c r="C256" s="9"/>
      <c r="D256" s="10">
        <v>45744</v>
      </c>
      <c r="E256" t="s">
        <v>656</v>
      </c>
      <c r="F256" s="11" t="s">
        <v>703</v>
      </c>
      <c r="G256" s="8">
        <v>0</v>
      </c>
      <c r="H256" s="8">
        <v>4.34</v>
      </c>
      <c r="I256" s="8">
        <f>G256-H256+I255</f>
        <v>-8714.0800000000054</v>
      </c>
      <c r="J256" s="12"/>
    </row>
    <row r="257" spans="1:12" hidden="1" x14ac:dyDescent="0.25">
      <c r="C257" s="9"/>
      <c r="D257" s="10">
        <v>45744</v>
      </c>
      <c r="E257" t="s">
        <v>468</v>
      </c>
      <c r="F257" s="11" t="s">
        <v>704</v>
      </c>
      <c r="G257" s="8">
        <v>0</v>
      </c>
      <c r="H257" s="8">
        <v>2.6</v>
      </c>
      <c r="I257" s="8">
        <f>G257-H257+I256</f>
        <v>-8716.6800000000057</v>
      </c>
      <c r="J257" s="12"/>
    </row>
    <row r="258" spans="1:12" hidden="1" x14ac:dyDescent="0.25">
      <c r="C258" s="9"/>
      <c r="D258" s="10">
        <v>45744</v>
      </c>
      <c r="E258" t="s">
        <v>479</v>
      </c>
      <c r="F258" s="11" t="s">
        <v>202</v>
      </c>
      <c r="G258" s="8">
        <v>0</v>
      </c>
      <c r="H258" s="8">
        <v>26.88</v>
      </c>
      <c r="I258" s="8">
        <f>G258-H258+I257</f>
        <v>-8743.5600000000049</v>
      </c>
      <c r="J258" s="12"/>
    </row>
    <row r="259" spans="1:12" hidden="1" x14ac:dyDescent="0.25">
      <c r="C259" s="9"/>
      <c r="D259" s="10">
        <v>45744</v>
      </c>
      <c r="E259" t="s">
        <v>462</v>
      </c>
      <c r="F259" s="11" t="s">
        <v>306</v>
      </c>
      <c r="G259" s="8">
        <v>0</v>
      </c>
      <c r="H259" s="8">
        <v>70.209999999999994</v>
      </c>
      <c r="I259" s="8">
        <f>G259-H259+I258</f>
        <v>-8813.7700000000041</v>
      </c>
      <c r="J259" s="12"/>
    </row>
    <row r="260" spans="1:12" hidden="1" x14ac:dyDescent="0.25">
      <c r="C260" s="9"/>
      <c r="D260" s="10">
        <v>45744</v>
      </c>
      <c r="E260" t="s">
        <v>705</v>
      </c>
      <c r="F260" s="11" t="s">
        <v>292</v>
      </c>
      <c r="G260" s="8">
        <v>0</v>
      </c>
      <c r="H260" s="8">
        <v>350.65</v>
      </c>
      <c r="I260" s="8">
        <f>G260-H260+I259</f>
        <v>-9164.4200000000037</v>
      </c>
      <c r="J260" s="12"/>
    </row>
    <row r="261" spans="1:12" hidden="1" x14ac:dyDescent="0.25">
      <c r="C261" s="9"/>
      <c r="D261" s="10">
        <v>45747</v>
      </c>
      <c r="E261" t="s">
        <v>550</v>
      </c>
      <c r="F261" s="11" t="s">
        <v>706</v>
      </c>
      <c r="G261" s="8">
        <v>0</v>
      </c>
      <c r="H261" s="8">
        <v>3.15</v>
      </c>
      <c r="I261" s="8">
        <f>G261-H261+I260</f>
        <v>-9167.5700000000033</v>
      </c>
      <c r="J261" s="12"/>
    </row>
    <row r="262" spans="1:12" hidden="1" x14ac:dyDescent="0.25">
      <c r="C262" s="9"/>
      <c r="D262" s="10">
        <v>45747</v>
      </c>
      <c r="E262" t="s">
        <v>707</v>
      </c>
      <c r="F262" s="11" t="s">
        <v>242</v>
      </c>
      <c r="G262" s="8">
        <v>0</v>
      </c>
      <c r="H262" s="8">
        <v>1.74</v>
      </c>
      <c r="I262" s="8">
        <f>G262-H262+I261</f>
        <v>-9169.3100000000031</v>
      </c>
      <c r="J262" s="12"/>
    </row>
    <row r="263" spans="1:12" hidden="1" x14ac:dyDescent="0.25">
      <c r="C263" s="9"/>
      <c r="D263" s="10">
        <v>45747</v>
      </c>
      <c r="E263" t="s">
        <v>708</v>
      </c>
      <c r="F263" s="11" t="s">
        <v>709</v>
      </c>
      <c r="G263" s="8">
        <v>0</v>
      </c>
      <c r="H263" s="8">
        <v>58.54</v>
      </c>
      <c r="I263" s="8">
        <f>G263-H263+I262</f>
        <v>-9227.850000000004</v>
      </c>
      <c r="J263" s="12"/>
    </row>
    <row r="264" spans="1:12" hidden="1" x14ac:dyDescent="0.25">
      <c r="C264" s="9"/>
      <c r="D264" s="10">
        <v>45747</v>
      </c>
      <c r="E264" t="s">
        <v>395</v>
      </c>
      <c r="F264" s="11" t="s">
        <v>145</v>
      </c>
      <c r="G264" s="8">
        <v>9071.19</v>
      </c>
      <c r="H264" s="8">
        <v>0</v>
      </c>
      <c r="I264" s="8">
        <f>G264-H264+I263</f>
        <v>-156.66000000000349</v>
      </c>
      <c r="J264" s="12"/>
    </row>
    <row r="265" spans="1:12" hidden="1" x14ac:dyDescent="0.25">
      <c r="E265" s="4" t="s">
        <v>35</v>
      </c>
      <c r="G265" s="8">
        <f>SUM(G47:G264)</f>
        <v>9071.19</v>
      </c>
      <c r="H265" s="8">
        <f>SUM(H47:H264)</f>
        <v>9227.850000000004</v>
      </c>
      <c r="I265" s="8">
        <f>G265-H265</f>
        <v>-156.66000000000349</v>
      </c>
    </row>
    <row r="266" spans="1:12" hidden="1" x14ac:dyDescent="0.25"/>
    <row r="267" spans="1:12" x14ac:dyDescent="0.25">
      <c r="A267" s="5">
        <v>55500000</v>
      </c>
      <c r="B267" s="6" t="s">
        <v>710</v>
      </c>
      <c r="C267" s="7"/>
      <c r="D267" s="7"/>
      <c r="E267" s="7"/>
      <c r="F267" s="7"/>
      <c r="G267" s="7"/>
      <c r="H267" s="7"/>
      <c r="I267" s="7"/>
      <c r="J267" s="7"/>
    </row>
    <row r="268" spans="1:12" hidden="1" x14ac:dyDescent="0.25">
      <c r="E268" s="4" t="s">
        <v>10</v>
      </c>
      <c r="G268" s="8">
        <v>1604.13</v>
      </c>
      <c r="H268" s="8">
        <v>0</v>
      </c>
      <c r="I268" s="8">
        <f>G268-H268</f>
        <v>1604.13</v>
      </c>
    </row>
    <row r="269" spans="1:12" hidden="1" x14ac:dyDescent="0.25">
      <c r="C269" s="9"/>
      <c r="D269" s="10">
        <v>45658</v>
      </c>
      <c r="E269" t="s">
        <v>116</v>
      </c>
      <c r="F269" s="11" t="s">
        <v>117</v>
      </c>
      <c r="G269" s="8">
        <v>0</v>
      </c>
      <c r="H269" s="8">
        <v>81.680000000000007</v>
      </c>
      <c r="I269" s="8">
        <f>G269-H269+I268</f>
        <v>1522.45</v>
      </c>
      <c r="J269" s="12"/>
    </row>
    <row r="270" spans="1:12" hidden="1" x14ac:dyDescent="0.25">
      <c r="C270" s="9"/>
      <c r="D270" s="10">
        <v>45658</v>
      </c>
      <c r="E270" t="s">
        <v>120</v>
      </c>
      <c r="F270" s="11" t="s">
        <v>121</v>
      </c>
      <c r="G270" s="8">
        <v>0</v>
      </c>
      <c r="H270" s="8">
        <v>341.14</v>
      </c>
      <c r="I270" s="8">
        <f>G270-H270+I269</f>
        <v>1181.31</v>
      </c>
      <c r="J270" s="12"/>
    </row>
    <row r="271" spans="1:12" hidden="1" x14ac:dyDescent="0.25">
      <c r="C271" s="9"/>
      <c r="D271" s="10">
        <v>45658</v>
      </c>
      <c r="E271" t="s">
        <v>123</v>
      </c>
      <c r="F271" s="11" t="s">
        <v>124</v>
      </c>
      <c r="G271" s="8">
        <v>0</v>
      </c>
      <c r="H271" s="8">
        <v>84.19</v>
      </c>
      <c r="I271" s="8">
        <f>G271-H271+I270</f>
        <v>1097.1199999999999</v>
      </c>
      <c r="J271" s="12"/>
    </row>
    <row r="272" spans="1:12" x14ac:dyDescent="0.25">
      <c r="C272" s="9"/>
      <c r="D272" s="10">
        <v>45658</v>
      </c>
      <c r="E272" t="s">
        <v>203</v>
      </c>
      <c r="F272" s="11" t="s">
        <v>50</v>
      </c>
      <c r="G272" s="8">
        <v>0</v>
      </c>
      <c r="H272" s="8">
        <v>641.54</v>
      </c>
      <c r="I272" s="8">
        <f>G272-H272+I271</f>
        <v>455.57999999999993</v>
      </c>
      <c r="J272" s="48" t="s">
        <v>773</v>
      </c>
      <c r="K272" s="49"/>
      <c r="L272" s="49"/>
    </row>
    <row r="273" spans="3:12" x14ac:dyDescent="0.25">
      <c r="C273" s="9"/>
      <c r="D273" s="10">
        <v>45658</v>
      </c>
      <c r="E273" t="s">
        <v>203</v>
      </c>
      <c r="F273" s="11" t="s">
        <v>50</v>
      </c>
      <c r="G273" s="8">
        <v>0</v>
      </c>
      <c r="H273" s="8">
        <v>270.22000000000003</v>
      </c>
      <c r="I273" s="8">
        <f>G273-H273+I272</f>
        <v>185.3599999999999</v>
      </c>
      <c r="J273" s="48" t="s">
        <v>773</v>
      </c>
      <c r="K273" s="49"/>
      <c r="L273" s="49"/>
    </row>
    <row r="274" spans="3:12" x14ac:dyDescent="0.25">
      <c r="C274" s="9"/>
      <c r="D274" s="10">
        <v>45658</v>
      </c>
      <c r="E274" t="s">
        <v>203</v>
      </c>
      <c r="F274" s="11" t="s">
        <v>50</v>
      </c>
      <c r="G274" s="8">
        <v>0</v>
      </c>
      <c r="H274" s="8">
        <v>495.06</v>
      </c>
      <c r="I274" s="8">
        <f>G274-H274+I273</f>
        <v>-309.7000000000001</v>
      </c>
      <c r="J274" s="48" t="s">
        <v>773</v>
      </c>
      <c r="K274" s="49"/>
      <c r="L274" s="49"/>
    </row>
    <row r="275" spans="3:12" x14ac:dyDescent="0.25">
      <c r="C275" s="9"/>
      <c r="D275" s="10">
        <v>45658</v>
      </c>
      <c r="E275" t="s">
        <v>711</v>
      </c>
      <c r="F275" s="11" t="s">
        <v>50</v>
      </c>
      <c r="G275" s="8">
        <v>0</v>
      </c>
      <c r="H275" s="8">
        <v>420.84</v>
      </c>
      <c r="I275" s="8">
        <f>G275-H275+I274</f>
        <v>-730.54000000000008</v>
      </c>
      <c r="J275" s="48" t="s">
        <v>773</v>
      </c>
      <c r="K275" s="49"/>
      <c r="L275" s="49"/>
    </row>
    <row r="276" spans="3:12" hidden="1" x14ac:dyDescent="0.25">
      <c r="C276" s="9"/>
      <c r="D276" s="10">
        <v>45658</v>
      </c>
      <c r="E276" t="s">
        <v>209</v>
      </c>
      <c r="F276" s="11" t="s">
        <v>50</v>
      </c>
      <c r="G276" s="8">
        <v>0</v>
      </c>
      <c r="H276" s="8">
        <v>326.41000000000003</v>
      </c>
      <c r="I276" s="8">
        <f>G276-H276+I275</f>
        <v>-1056.95</v>
      </c>
      <c r="J276" s="12"/>
    </row>
    <row r="277" spans="3:12" hidden="1" x14ac:dyDescent="0.25">
      <c r="C277" s="9"/>
      <c r="D277" s="10">
        <v>45658</v>
      </c>
      <c r="E277" t="s">
        <v>209</v>
      </c>
      <c r="F277" s="11" t="s">
        <v>50</v>
      </c>
      <c r="G277" s="8">
        <v>0</v>
      </c>
      <c r="H277" s="8">
        <v>326.41000000000003</v>
      </c>
      <c r="I277" s="8">
        <f>G277-H277+I276</f>
        <v>-1383.3600000000001</v>
      </c>
      <c r="J277" s="12"/>
    </row>
    <row r="278" spans="3:12" x14ac:dyDescent="0.25">
      <c r="C278" s="9"/>
      <c r="D278" s="10">
        <v>45659</v>
      </c>
      <c r="E278" t="s">
        <v>712</v>
      </c>
      <c r="F278" s="11" t="s">
        <v>50</v>
      </c>
      <c r="G278" s="8">
        <v>0</v>
      </c>
      <c r="H278" s="8">
        <v>650</v>
      </c>
      <c r="I278" s="8">
        <f>G278-H278+I277</f>
        <v>-2033.3600000000001</v>
      </c>
      <c r="J278" s="48" t="s">
        <v>773</v>
      </c>
      <c r="K278" s="49"/>
      <c r="L278" s="49"/>
    </row>
    <row r="279" spans="3:12" x14ac:dyDescent="0.25">
      <c r="C279" s="9"/>
      <c r="D279" s="10">
        <v>45659</v>
      </c>
      <c r="E279" t="s">
        <v>713</v>
      </c>
      <c r="F279" s="11" t="s">
        <v>50</v>
      </c>
      <c r="G279" s="8">
        <v>474.99</v>
      </c>
      <c r="H279" s="8">
        <v>0</v>
      </c>
      <c r="I279" s="8">
        <f>G279-H279+I278</f>
        <v>-1558.3700000000001</v>
      </c>
      <c r="J279" s="15" t="s">
        <v>755</v>
      </c>
      <c r="K279" s="32"/>
    </row>
    <row r="280" spans="3:12" x14ac:dyDescent="0.25">
      <c r="C280" s="9"/>
      <c r="D280" s="10">
        <v>45660</v>
      </c>
      <c r="E280" t="s">
        <v>714</v>
      </c>
      <c r="F280" s="11" t="s">
        <v>50</v>
      </c>
      <c r="G280" s="8">
        <v>804.57</v>
      </c>
      <c r="H280" s="8">
        <v>0</v>
      </c>
      <c r="I280" s="8">
        <f>G280-H280+I279</f>
        <v>-753.80000000000007</v>
      </c>
      <c r="J280" s="15" t="s">
        <v>755</v>
      </c>
      <c r="K280" s="32"/>
    </row>
    <row r="281" spans="3:12" x14ac:dyDescent="0.25">
      <c r="C281" s="9"/>
      <c r="D281" s="10">
        <v>45664</v>
      </c>
      <c r="E281" t="s">
        <v>715</v>
      </c>
      <c r="F281" s="11" t="s">
        <v>50</v>
      </c>
      <c r="G281" s="8">
        <v>18.600000000000001</v>
      </c>
      <c r="H281" s="8">
        <v>0</v>
      </c>
      <c r="I281" s="8">
        <f>G281-H281+I280</f>
        <v>-735.2</v>
      </c>
      <c r="J281" s="15" t="s">
        <v>755</v>
      </c>
      <c r="K281" s="32"/>
    </row>
    <row r="282" spans="3:12" x14ac:dyDescent="0.25">
      <c r="C282" s="9"/>
      <c r="D282" s="10">
        <v>45671</v>
      </c>
      <c r="E282" t="s">
        <v>716</v>
      </c>
      <c r="F282" s="11" t="s">
        <v>50</v>
      </c>
      <c r="G282" s="8">
        <v>0</v>
      </c>
      <c r="H282" s="8">
        <v>1720</v>
      </c>
      <c r="I282" s="8">
        <f>G282-H282+I281</f>
        <v>-2455.1999999999998</v>
      </c>
      <c r="J282" s="48" t="s">
        <v>773</v>
      </c>
      <c r="K282" s="49"/>
      <c r="L282" s="49"/>
    </row>
    <row r="283" spans="3:12" x14ac:dyDescent="0.25">
      <c r="C283" s="9"/>
      <c r="D283" s="10">
        <v>45673</v>
      </c>
      <c r="E283" t="s">
        <v>717</v>
      </c>
      <c r="F283" s="11" t="s">
        <v>50</v>
      </c>
      <c r="G283" s="8">
        <v>391.46</v>
      </c>
      <c r="H283" s="8">
        <v>0</v>
      </c>
      <c r="I283" s="8">
        <f>G283-H283+I282</f>
        <v>-2063.7399999999998</v>
      </c>
      <c r="J283" s="15" t="s">
        <v>755</v>
      </c>
      <c r="K283" s="32"/>
    </row>
    <row r="284" spans="3:12" x14ac:dyDescent="0.25">
      <c r="C284" s="9"/>
      <c r="D284" s="10">
        <v>45674</v>
      </c>
      <c r="E284" t="s">
        <v>718</v>
      </c>
      <c r="F284" s="11" t="s">
        <v>50</v>
      </c>
      <c r="G284" s="8">
        <v>39.29</v>
      </c>
      <c r="H284" s="8">
        <v>0</v>
      </c>
      <c r="I284" s="8">
        <f>G284-H284+I283</f>
        <v>-2024.4499999999998</v>
      </c>
      <c r="J284" s="15" t="s">
        <v>755</v>
      </c>
      <c r="K284" s="32"/>
    </row>
    <row r="285" spans="3:12" x14ac:dyDescent="0.25">
      <c r="C285" s="9"/>
      <c r="D285" s="10">
        <v>45674</v>
      </c>
      <c r="E285" t="s">
        <v>719</v>
      </c>
      <c r="F285" s="11" t="s">
        <v>50</v>
      </c>
      <c r="G285" s="8">
        <v>67</v>
      </c>
      <c r="H285" s="8">
        <v>0</v>
      </c>
      <c r="I285" s="8">
        <f>G285-H285+I284</f>
        <v>-1957.4499999999998</v>
      </c>
      <c r="J285" s="15" t="s">
        <v>755</v>
      </c>
      <c r="K285" s="32"/>
    </row>
    <row r="286" spans="3:12" x14ac:dyDescent="0.25">
      <c r="C286" s="9"/>
      <c r="D286" s="10">
        <v>45682</v>
      </c>
      <c r="E286" t="s">
        <v>720</v>
      </c>
      <c r="F286" s="11" t="s">
        <v>50</v>
      </c>
      <c r="G286" s="8">
        <v>0</v>
      </c>
      <c r="H286" s="8">
        <v>2030</v>
      </c>
      <c r="I286" s="8">
        <f>G286-H286+I285</f>
        <v>-3987.45</v>
      </c>
      <c r="J286" s="48" t="s">
        <v>773</v>
      </c>
      <c r="K286" s="49"/>
      <c r="L286" s="49"/>
    </row>
    <row r="287" spans="3:12" x14ac:dyDescent="0.25">
      <c r="C287" s="9"/>
      <c r="D287" s="10">
        <v>45683</v>
      </c>
      <c r="E287" t="s">
        <v>721</v>
      </c>
      <c r="F287" s="11" t="s">
        <v>50</v>
      </c>
      <c r="G287" s="8">
        <v>800</v>
      </c>
      <c r="H287" s="8">
        <v>0</v>
      </c>
      <c r="I287" s="8">
        <f>G287-H287+I286</f>
        <v>-3187.45</v>
      </c>
      <c r="J287" s="15" t="s">
        <v>755</v>
      </c>
      <c r="K287" s="32"/>
    </row>
    <row r="288" spans="3:12" x14ac:dyDescent="0.25">
      <c r="C288" s="9"/>
      <c r="D288" s="10">
        <v>45684</v>
      </c>
      <c r="E288" t="s">
        <v>715</v>
      </c>
      <c r="F288" s="11" t="s">
        <v>50</v>
      </c>
      <c r="G288" s="8">
        <v>35.14</v>
      </c>
      <c r="H288" s="8">
        <v>0</v>
      </c>
      <c r="I288" s="8">
        <f>G288-H288+I287</f>
        <v>-3152.31</v>
      </c>
      <c r="J288" s="15" t="s">
        <v>755</v>
      </c>
      <c r="K288" s="32"/>
    </row>
    <row r="289" spans="3:12" x14ac:dyDescent="0.25">
      <c r="C289" s="9"/>
      <c r="D289" s="10">
        <v>45689</v>
      </c>
      <c r="E289" t="s">
        <v>203</v>
      </c>
      <c r="F289" s="11" t="s">
        <v>50</v>
      </c>
      <c r="G289" s="8">
        <v>0</v>
      </c>
      <c r="H289" s="8">
        <v>160</v>
      </c>
      <c r="I289" s="8">
        <f>G289-H289+I288</f>
        <v>-3312.31</v>
      </c>
      <c r="J289" s="48" t="s">
        <v>773</v>
      </c>
      <c r="K289" s="49"/>
      <c r="L289" s="49"/>
    </row>
    <row r="290" spans="3:12" x14ac:dyDescent="0.25">
      <c r="C290" s="9"/>
      <c r="D290" s="10">
        <v>45691</v>
      </c>
      <c r="E290" t="s">
        <v>714</v>
      </c>
      <c r="F290" s="11" t="s">
        <v>50</v>
      </c>
      <c r="G290" s="8">
        <v>804.57</v>
      </c>
      <c r="H290" s="8">
        <v>0</v>
      </c>
      <c r="I290" s="8">
        <f>G290-H290+I289</f>
        <v>-2507.7399999999998</v>
      </c>
      <c r="J290" s="15" t="s">
        <v>755</v>
      </c>
      <c r="K290" s="32"/>
    </row>
    <row r="291" spans="3:12" x14ac:dyDescent="0.25">
      <c r="C291" s="9"/>
      <c r="D291" s="10">
        <v>45691</v>
      </c>
      <c r="E291" t="s">
        <v>715</v>
      </c>
      <c r="F291" s="11" t="s">
        <v>50</v>
      </c>
      <c r="G291" s="8">
        <v>35.14</v>
      </c>
      <c r="H291" s="8">
        <v>0</v>
      </c>
      <c r="I291" s="8">
        <f>G291-H291+I290</f>
        <v>-2472.6</v>
      </c>
      <c r="J291" s="15" t="s">
        <v>755</v>
      </c>
      <c r="K291" s="32"/>
    </row>
    <row r="292" spans="3:12" x14ac:dyDescent="0.25">
      <c r="C292" s="9"/>
      <c r="D292" s="10">
        <v>45694</v>
      </c>
      <c r="E292" t="s">
        <v>183</v>
      </c>
      <c r="F292" s="11" t="s">
        <v>184</v>
      </c>
      <c r="G292" s="8">
        <v>0</v>
      </c>
      <c r="H292" s="8">
        <v>119.37</v>
      </c>
      <c r="I292" s="8">
        <f>G292-H292+I291</f>
        <v>-2591.9699999999998</v>
      </c>
      <c r="J292" s="48" t="s">
        <v>773</v>
      </c>
      <c r="K292" s="49"/>
      <c r="L292" s="49"/>
    </row>
    <row r="293" spans="3:12" x14ac:dyDescent="0.25">
      <c r="C293" s="9"/>
      <c r="D293" s="10">
        <v>45694</v>
      </c>
      <c r="E293" t="s">
        <v>722</v>
      </c>
      <c r="F293" s="11" t="s">
        <v>50</v>
      </c>
      <c r="G293" s="8">
        <v>0</v>
      </c>
      <c r="H293" s="8">
        <v>2370</v>
      </c>
      <c r="I293" s="8">
        <f>G293-H293+I292</f>
        <v>-4961.9699999999993</v>
      </c>
      <c r="J293" s="48" t="s">
        <v>773</v>
      </c>
      <c r="K293" s="49"/>
      <c r="L293" s="49"/>
    </row>
    <row r="294" spans="3:12" x14ac:dyDescent="0.25">
      <c r="C294" s="9"/>
      <c r="D294" s="10">
        <v>45694</v>
      </c>
      <c r="E294" t="s">
        <v>375</v>
      </c>
      <c r="F294" s="11" t="s">
        <v>50</v>
      </c>
      <c r="G294" s="8">
        <v>0</v>
      </c>
      <c r="H294" s="8">
        <v>50</v>
      </c>
      <c r="I294" s="8">
        <f>G294-H294+I293</f>
        <v>-5011.9699999999993</v>
      </c>
      <c r="J294" s="48" t="s">
        <v>773</v>
      </c>
      <c r="K294" s="49"/>
      <c r="L294" s="49"/>
    </row>
    <row r="295" spans="3:12" x14ac:dyDescent="0.25">
      <c r="C295" s="9"/>
      <c r="D295" s="10">
        <v>45696</v>
      </c>
      <c r="E295" t="s">
        <v>723</v>
      </c>
      <c r="F295" s="11" t="s">
        <v>50</v>
      </c>
      <c r="G295" s="8">
        <v>151.18</v>
      </c>
      <c r="H295" s="8">
        <v>0</v>
      </c>
      <c r="I295" s="8">
        <f>G295-H295+I294</f>
        <v>-4860.7899999999991</v>
      </c>
      <c r="J295" s="15" t="s">
        <v>755</v>
      </c>
      <c r="K295" s="32"/>
    </row>
    <row r="296" spans="3:12" x14ac:dyDescent="0.25">
      <c r="C296" s="9"/>
      <c r="D296" s="10">
        <v>45699</v>
      </c>
      <c r="E296" t="s">
        <v>723</v>
      </c>
      <c r="F296" s="11" t="s">
        <v>50</v>
      </c>
      <c r="G296" s="8">
        <v>29.26</v>
      </c>
      <c r="H296" s="8">
        <v>0</v>
      </c>
      <c r="I296" s="8">
        <f>G296-H296+I295</f>
        <v>-4831.5299999999988</v>
      </c>
      <c r="J296" s="15" t="s">
        <v>755</v>
      </c>
      <c r="K296" s="32"/>
    </row>
    <row r="297" spans="3:12" x14ac:dyDescent="0.25">
      <c r="C297" s="9"/>
      <c r="D297" s="10">
        <v>45699</v>
      </c>
      <c r="E297" t="s">
        <v>715</v>
      </c>
      <c r="F297" s="11" t="s">
        <v>50</v>
      </c>
      <c r="G297" s="8">
        <v>47.35</v>
      </c>
      <c r="H297" s="8">
        <v>0</v>
      </c>
      <c r="I297" s="8">
        <f>G297-H297+I296</f>
        <v>-4784.1799999999985</v>
      </c>
      <c r="J297" s="15" t="s">
        <v>755</v>
      </c>
      <c r="K297" s="32"/>
    </row>
    <row r="298" spans="3:12" x14ac:dyDescent="0.25">
      <c r="C298" s="9"/>
      <c r="D298" s="10">
        <v>45702</v>
      </c>
      <c r="E298" t="s">
        <v>203</v>
      </c>
      <c r="F298" s="11" t="s">
        <v>50</v>
      </c>
      <c r="G298" s="8">
        <v>0</v>
      </c>
      <c r="H298" s="8">
        <v>81.42</v>
      </c>
      <c r="I298" s="8">
        <f>G298-H298+I297</f>
        <v>-4865.5999999999985</v>
      </c>
      <c r="J298" s="48" t="s">
        <v>773</v>
      </c>
      <c r="K298" s="49"/>
      <c r="L298" s="49"/>
    </row>
    <row r="299" spans="3:12" x14ac:dyDescent="0.25">
      <c r="C299" s="9"/>
      <c r="D299" s="10">
        <v>45702</v>
      </c>
      <c r="E299" t="s">
        <v>724</v>
      </c>
      <c r="F299" s="11" t="s">
        <v>50</v>
      </c>
      <c r="G299" s="8">
        <v>67</v>
      </c>
      <c r="H299" s="8">
        <v>0</v>
      </c>
      <c r="I299" s="8">
        <f>G299-H299+I298</f>
        <v>-4798.5999999999985</v>
      </c>
      <c r="J299" s="15" t="s">
        <v>755</v>
      </c>
      <c r="K299" s="32"/>
    </row>
    <row r="300" spans="3:12" x14ac:dyDescent="0.25">
      <c r="C300" s="9"/>
      <c r="D300" s="10">
        <v>45706</v>
      </c>
      <c r="E300" t="s">
        <v>203</v>
      </c>
      <c r="F300" s="11" t="s">
        <v>50</v>
      </c>
      <c r="G300" s="8">
        <v>0</v>
      </c>
      <c r="H300" s="8">
        <v>1600</v>
      </c>
      <c r="I300" s="8">
        <f>G300-H300+I299</f>
        <v>-6398.5999999999985</v>
      </c>
      <c r="J300" s="48" t="s">
        <v>773</v>
      </c>
      <c r="K300" s="49"/>
      <c r="L300" s="49"/>
    </row>
    <row r="301" spans="3:12" x14ac:dyDescent="0.25">
      <c r="C301" s="9"/>
      <c r="D301" s="10">
        <v>45712</v>
      </c>
      <c r="E301" t="s">
        <v>725</v>
      </c>
      <c r="F301" s="11" t="s">
        <v>50</v>
      </c>
      <c r="G301" s="8">
        <v>205.7</v>
      </c>
      <c r="H301" s="8">
        <v>0</v>
      </c>
      <c r="I301" s="8">
        <f>G301-H301+I300</f>
        <v>-6192.8999999999987</v>
      </c>
      <c r="J301" s="15" t="s">
        <v>755</v>
      </c>
      <c r="K301" s="32"/>
    </row>
    <row r="302" spans="3:12" x14ac:dyDescent="0.25">
      <c r="C302" s="9"/>
      <c r="D302" s="10">
        <v>45713</v>
      </c>
      <c r="E302" t="s">
        <v>726</v>
      </c>
      <c r="F302" s="11" t="s">
        <v>50</v>
      </c>
      <c r="G302" s="8">
        <v>9.4700000000000006</v>
      </c>
      <c r="H302" s="8">
        <v>0</v>
      </c>
      <c r="I302" s="8">
        <f>G302-H302+I301</f>
        <v>-6183.4299999999985</v>
      </c>
      <c r="J302" s="15" t="s">
        <v>755</v>
      </c>
      <c r="K302" s="32"/>
    </row>
    <row r="303" spans="3:12" x14ac:dyDescent="0.25">
      <c r="C303" s="9"/>
      <c r="D303" s="10">
        <v>45715</v>
      </c>
      <c r="E303" t="s">
        <v>727</v>
      </c>
      <c r="F303" s="11" t="s">
        <v>50</v>
      </c>
      <c r="G303" s="8">
        <v>341.22</v>
      </c>
      <c r="H303" s="8">
        <v>0</v>
      </c>
      <c r="I303" s="8">
        <f>G303-H303+I302</f>
        <v>-5842.2099999999982</v>
      </c>
      <c r="J303" s="15" t="s">
        <v>755</v>
      </c>
      <c r="K303" s="32"/>
    </row>
    <row r="304" spans="3:12" x14ac:dyDescent="0.25">
      <c r="C304" s="9"/>
      <c r="D304" s="10">
        <v>45716</v>
      </c>
      <c r="E304" t="s">
        <v>203</v>
      </c>
      <c r="F304" s="11" t="s">
        <v>50</v>
      </c>
      <c r="G304" s="8">
        <v>0</v>
      </c>
      <c r="H304" s="8">
        <v>20</v>
      </c>
      <c r="I304" s="8">
        <f>G304-H304+I303</f>
        <v>-5862.2099999999982</v>
      </c>
      <c r="J304" s="48" t="s">
        <v>773</v>
      </c>
      <c r="K304" s="49"/>
      <c r="L304" s="49"/>
    </row>
    <row r="305" spans="3:12" x14ac:dyDescent="0.25">
      <c r="C305" s="9"/>
      <c r="D305" s="10">
        <v>45719</v>
      </c>
      <c r="E305" t="s">
        <v>714</v>
      </c>
      <c r="F305" s="11" t="s">
        <v>50</v>
      </c>
      <c r="G305" s="8">
        <v>804.57</v>
      </c>
      <c r="H305" s="8">
        <v>0</v>
      </c>
      <c r="I305" s="8">
        <f>G305-H305+I304</f>
        <v>-5057.6399999999985</v>
      </c>
      <c r="J305" s="15" t="s">
        <v>755</v>
      </c>
      <c r="K305" s="32"/>
    </row>
    <row r="306" spans="3:12" x14ac:dyDescent="0.25">
      <c r="C306" s="9"/>
      <c r="D306" s="10">
        <v>45719</v>
      </c>
      <c r="E306" t="s">
        <v>715</v>
      </c>
      <c r="F306" s="11" t="s">
        <v>50</v>
      </c>
      <c r="G306" s="8">
        <v>47.35</v>
      </c>
      <c r="H306" s="8">
        <v>0</v>
      </c>
      <c r="I306" s="8">
        <f>G306-H306+I305</f>
        <v>-5010.2899999999981</v>
      </c>
      <c r="J306" s="25" t="s">
        <v>774</v>
      </c>
      <c r="K306" s="50"/>
    </row>
    <row r="307" spans="3:12" x14ac:dyDescent="0.25">
      <c r="C307" s="9"/>
      <c r="D307" s="10">
        <v>45719</v>
      </c>
      <c r="E307" t="s">
        <v>728</v>
      </c>
      <c r="F307" s="11" t="s">
        <v>50</v>
      </c>
      <c r="G307" s="8">
        <v>0</v>
      </c>
      <c r="H307" s="8">
        <v>130.12</v>
      </c>
      <c r="I307" s="8">
        <f>G307-H307+I306</f>
        <v>-5140.409999999998</v>
      </c>
      <c r="J307" s="48" t="s">
        <v>773</v>
      </c>
      <c r="K307" s="49"/>
      <c r="L307" s="49"/>
    </row>
    <row r="308" spans="3:12" x14ac:dyDescent="0.25">
      <c r="C308" s="9"/>
      <c r="D308" s="10">
        <v>45719</v>
      </c>
      <c r="E308" t="s">
        <v>726</v>
      </c>
      <c r="F308" s="11" t="s">
        <v>50</v>
      </c>
      <c r="G308" s="8">
        <v>15</v>
      </c>
      <c r="H308" s="8">
        <v>0</v>
      </c>
      <c r="I308" s="8">
        <f>G308-H308+I307</f>
        <v>-5125.409999999998</v>
      </c>
      <c r="J308" s="15" t="s">
        <v>755</v>
      </c>
      <c r="K308" s="32"/>
    </row>
    <row r="309" spans="3:12" x14ac:dyDescent="0.25">
      <c r="C309" s="9"/>
      <c r="D309" s="10">
        <v>45720</v>
      </c>
      <c r="E309" t="s">
        <v>729</v>
      </c>
      <c r="F309" s="11" t="s">
        <v>50</v>
      </c>
      <c r="G309" s="8">
        <v>0</v>
      </c>
      <c r="H309" s="8">
        <v>1430</v>
      </c>
      <c r="I309" s="8">
        <f>G309-H309+I308</f>
        <v>-6555.409999999998</v>
      </c>
      <c r="J309" s="48" t="s">
        <v>773</v>
      </c>
      <c r="K309" s="49"/>
      <c r="L309" s="49"/>
    </row>
    <row r="310" spans="3:12" x14ac:dyDescent="0.25">
      <c r="C310" s="9"/>
      <c r="D310" s="10">
        <v>45720</v>
      </c>
      <c r="E310" t="s">
        <v>715</v>
      </c>
      <c r="F310" s="11" t="s">
        <v>50</v>
      </c>
      <c r="G310" s="8">
        <v>35.14</v>
      </c>
      <c r="H310" s="8">
        <v>0</v>
      </c>
      <c r="I310" s="8">
        <f>G310-H310+I309</f>
        <v>-6520.2699999999977</v>
      </c>
      <c r="J310" s="15" t="s">
        <v>755</v>
      </c>
      <c r="K310" s="32"/>
    </row>
    <row r="311" spans="3:12" x14ac:dyDescent="0.25">
      <c r="C311" s="9"/>
      <c r="D311" s="10">
        <v>45721</v>
      </c>
      <c r="E311" t="s">
        <v>724</v>
      </c>
      <c r="F311" s="11" t="s">
        <v>50</v>
      </c>
      <c r="G311" s="8">
        <v>67</v>
      </c>
      <c r="H311" s="8">
        <v>0</v>
      </c>
      <c r="I311" s="8">
        <f>G311-H311+I310</f>
        <v>-6453.2699999999977</v>
      </c>
      <c r="J311" s="15" t="s">
        <v>755</v>
      </c>
      <c r="K311" s="32"/>
    </row>
    <row r="312" spans="3:12" x14ac:dyDescent="0.25">
      <c r="C312" s="9"/>
      <c r="D312" s="10">
        <v>45722</v>
      </c>
      <c r="E312" t="s">
        <v>730</v>
      </c>
      <c r="F312" s="11" t="s">
        <v>50</v>
      </c>
      <c r="G312" s="8">
        <v>18.149999999999999</v>
      </c>
      <c r="H312" s="8">
        <v>0</v>
      </c>
      <c r="I312" s="8">
        <f>G312-H312+I311</f>
        <v>-6435.1199999999981</v>
      </c>
      <c r="J312" s="15" t="s">
        <v>755</v>
      </c>
      <c r="K312" s="32"/>
    </row>
    <row r="313" spans="3:12" x14ac:dyDescent="0.25">
      <c r="C313" s="9"/>
      <c r="D313" s="10">
        <v>45722</v>
      </c>
      <c r="E313" t="s">
        <v>307</v>
      </c>
      <c r="F313" s="11" t="s">
        <v>50</v>
      </c>
      <c r="G313" s="8">
        <v>0</v>
      </c>
      <c r="H313" s="8">
        <v>18.149999999999999</v>
      </c>
      <c r="I313" s="8">
        <f>G313-H313+I312</f>
        <v>-6453.2699999999977</v>
      </c>
      <c r="J313" s="48" t="s">
        <v>773</v>
      </c>
      <c r="K313" s="49"/>
      <c r="L313" s="49"/>
    </row>
    <row r="314" spans="3:12" x14ac:dyDescent="0.25">
      <c r="C314" s="9"/>
      <c r="D314" s="10">
        <v>45726</v>
      </c>
      <c r="E314" t="s">
        <v>715</v>
      </c>
      <c r="F314" s="11" t="s">
        <v>50</v>
      </c>
      <c r="G314" s="8">
        <v>39.380000000000003</v>
      </c>
      <c r="H314" s="8">
        <v>0</v>
      </c>
      <c r="I314" s="8">
        <f>G314-H314+I313</f>
        <v>-6413.8899999999976</v>
      </c>
      <c r="J314" s="15" t="s">
        <v>755</v>
      </c>
      <c r="K314" s="32"/>
    </row>
    <row r="315" spans="3:12" x14ac:dyDescent="0.25">
      <c r="C315" s="9"/>
      <c r="D315" s="10">
        <v>45726</v>
      </c>
      <c r="E315" t="s">
        <v>723</v>
      </c>
      <c r="F315" s="11" t="s">
        <v>50</v>
      </c>
      <c r="G315" s="8">
        <v>38.39</v>
      </c>
      <c r="H315" s="8">
        <v>0</v>
      </c>
      <c r="I315" s="8">
        <f>G315-H315+I314</f>
        <v>-6375.4999999999973</v>
      </c>
      <c r="J315" s="15" t="s">
        <v>755</v>
      </c>
      <c r="K315" s="32"/>
    </row>
    <row r="316" spans="3:12" x14ac:dyDescent="0.25">
      <c r="C316" s="9"/>
      <c r="D316" s="10">
        <v>45727</v>
      </c>
      <c r="E316" t="s">
        <v>731</v>
      </c>
      <c r="F316" s="11" t="s">
        <v>50</v>
      </c>
      <c r="G316" s="8">
        <v>0</v>
      </c>
      <c r="H316" s="8">
        <v>25</v>
      </c>
      <c r="I316" s="8">
        <f>G316-H316+I315</f>
        <v>-6400.4999999999973</v>
      </c>
      <c r="J316" s="48" t="s">
        <v>773</v>
      </c>
      <c r="K316" s="49"/>
      <c r="L316" s="49"/>
    </row>
    <row r="317" spans="3:12" x14ac:dyDescent="0.25">
      <c r="C317" s="9"/>
      <c r="D317" s="10">
        <v>45727</v>
      </c>
      <c r="E317" t="s">
        <v>341</v>
      </c>
      <c r="F317" s="11" t="s">
        <v>50</v>
      </c>
      <c r="G317" s="8">
        <v>26.9</v>
      </c>
      <c r="H317" s="8">
        <v>0</v>
      </c>
      <c r="I317" s="8">
        <f>G317-H317+I316</f>
        <v>-6373.5999999999976</v>
      </c>
      <c r="J317" s="15" t="s">
        <v>755</v>
      </c>
      <c r="K317" s="32"/>
    </row>
    <row r="318" spans="3:12" x14ac:dyDescent="0.25">
      <c r="C318" s="9"/>
      <c r="D318" s="10">
        <v>45728</v>
      </c>
      <c r="E318" t="s">
        <v>732</v>
      </c>
      <c r="F318" s="11" t="s">
        <v>50</v>
      </c>
      <c r="G318" s="8">
        <v>0</v>
      </c>
      <c r="H318" s="8">
        <v>26.05</v>
      </c>
      <c r="I318" s="8">
        <f>G318-H318+I317</f>
        <v>-6399.6499999999978</v>
      </c>
      <c r="J318" s="48" t="s">
        <v>773</v>
      </c>
      <c r="K318" s="49"/>
      <c r="L318" s="49"/>
    </row>
    <row r="319" spans="3:12" x14ac:dyDescent="0.25">
      <c r="C319" s="9"/>
      <c r="D319" s="10">
        <v>45729</v>
      </c>
      <c r="E319" t="s">
        <v>733</v>
      </c>
      <c r="F319" s="11" t="s">
        <v>50</v>
      </c>
      <c r="G319" s="8">
        <v>90</v>
      </c>
      <c r="H319" s="8">
        <v>0</v>
      </c>
      <c r="I319" s="8">
        <f>G319-H319+I318</f>
        <v>-6309.6499999999978</v>
      </c>
      <c r="J319" s="15" t="s">
        <v>755</v>
      </c>
      <c r="K319" s="32"/>
    </row>
    <row r="320" spans="3:12" x14ac:dyDescent="0.25">
      <c r="C320" s="9"/>
      <c r="D320" s="10">
        <v>45729</v>
      </c>
      <c r="E320" t="s">
        <v>734</v>
      </c>
      <c r="F320" s="11" t="s">
        <v>50</v>
      </c>
      <c r="G320" s="8">
        <v>744.96</v>
      </c>
      <c r="H320" s="8">
        <v>0</v>
      </c>
      <c r="I320" s="8">
        <f>G320-H320+I319</f>
        <v>-5564.6899999999978</v>
      </c>
      <c r="J320" s="15" t="s">
        <v>755</v>
      </c>
      <c r="K320" s="32"/>
    </row>
    <row r="321" spans="3:12" x14ac:dyDescent="0.25">
      <c r="C321" s="9"/>
      <c r="D321" s="10">
        <v>45731</v>
      </c>
      <c r="E321" t="s">
        <v>203</v>
      </c>
      <c r="F321" s="11" t="s">
        <v>50</v>
      </c>
      <c r="G321" s="8">
        <v>0</v>
      </c>
      <c r="H321" s="8">
        <v>25</v>
      </c>
      <c r="I321" s="8">
        <f>G321-H321+I320</f>
        <v>-5589.6899999999978</v>
      </c>
      <c r="J321" s="48" t="s">
        <v>773</v>
      </c>
      <c r="K321" s="49"/>
      <c r="L321" s="49"/>
    </row>
    <row r="322" spans="3:12" x14ac:dyDescent="0.25">
      <c r="C322" s="9"/>
      <c r="D322" s="10">
        <v>45733</v>
      </c>
      <c r="E322" t="s">
        <v>735</v>
      </c>
      <c r="F322" s="11" t="s">
        <v>50</v>
      </c>
      <c r="G322" s="8">
        <v>341.29</v>
      </c>
      <c r="H322" s="8">
        <v>0</v>
      </c>
      <c r="I322" s="8">
        <f>G322-H322+I321</f>
        <v>-5248.3999999999978</v>
      </c>
      <c r="J322" s="15" t="s">
        <v>755</v>
      </c>
      <c r="K322" s="32"/>
    </row>
    <row r="323" spans="3:12" x14ac:dyDescent="0.25">
      <c r="C323" s="9"/>
      <c r="D323" s="10">
        <v>45733</v>
      </c>
      <c r="E323" t="s">
        <v>736</v>
      </c>
      <c r="F323" s="11" t="s">
        <v>50</v>
      </c>
      <c r="G323" s="8">
        <v>329.12</v>
      </c>
      <c r="H323" s="8">
        <v>0</v>
      </c>
      <c r="I323" s="8">
        <f>G323-H323+I322</f>
        <v>-4919.2799999999979</v>
      </c>
      <c r="J323" s="15" t="s">
        <v>755</v>
      </c>
      <c r="K323" s="32"/>
    </row>
    <row r="324" spans="3:12" x14ac:dyDescent="0.25">
      <c r="C324" s="9"/>
      <c r="D324" s="10">
        <v>45733</v>
      </c>
      <c r="E324" t="s">
        <v>737</v>
      </c>
      <c r="F324" s="11" t="s">
        <v>50</v>
      </c>
      <c r="G324" s="8">
        <v>10</v>
      </c>
      <c r="H324" s="8">
        <v>0</v>
      </c>
      <c r="I324" s="8">
        <f>G324-H324+I323</f>
        <v>-4909.2799999999979</v>
      </c>
      <c r="J324" s="15" t="s">
        <v>755</v>
      </c>
      <c r="K324" s="32"/>
    </row>
    <row r="325" spans="3:12" x14ac:dyDescent="0.25">
      <c r="C325" s="9"/>
      <c r="D325" s="10">
        <v>45736</v>
      </c>
      <c r="E325" t="s">
        <v>738</v>
      </c>
      <c r="F325" s="11" t="s">
        <v>50</v>
      </c>
      <c r="G325" s="8">
        <v>134.47</v>
      </c>
      <c r="H325" s="8">
        <v>0</v>
      </c>
      <c r="I325" s="8">
        <f>G325-H325+I324</f>
        <v>-4774.8099999999977</v>
      </c>
      <c r="J325" s="15" t="s">
        <v>755</v>
      </c>
      <c r="K325" s="32"/>
    </row>
    <row r="326" spans="3:12" x14ac:dyDescent="0.25">
      <c r="C326" s="9"/>
      <c r="D326" s="10">
        <v>45740</v>
      </c>
      <c r="E326" t="s">
        <v>739</v>
      </c>
      <c r="F326" s="11" t="s">
        <v>50</v>
      </c>
      <c r="G326" s="8">
        <v>573.98</v>
      </c>
      <c r="H326" s="8">
        <v>0</v>
      </c>
      <c r="I326" s="8">
        <f>G326-H326+I325</f>
        <v>-4200.8299999999981</v>
      </c>
      <c r="J326" s="15" t="s">
        <v>755</v>
      </c>
      <c r="K326" s="32"/>
    </row>
    <row r="327" spans="3:12" x14ac:dyDescent="0.25">
      <c r="C327" s="9"/>
      <c r="D327" s="10">
        <v>45742</v>
      </c>
      <c r="E327" t="s">
        <v>740</v>
      </c>
      <c r="F327" s="11" t="s">
        <v>50</v>
      </c>
      <c r="G327" s="8">
        <v>2.84</v>
      </c>
      <c r="H327" s="8">
        <v>0</v>
      </c>
      <c r="I327" s="8">
        <f>G327-H327+I326</f>
        <v>-4197.989999999998</v>
      </c>
      <c r="J327" s="15" t="s">
        <v>755</v>
      </c>
      <c r="K327" s="32"/>
    </row>
    <row r="328" spans="3:12" x14ac:dyDescent="0.25">
      <c r="C328" s="9"/>
      <c r="D328" s="10">
        <v>45742</v>
      </c>
      <c r="E328" t="s">
        <v>741</v>
      </c>
      <c r="F328" s="11" t="s">
        <v>50</v>
      </c>
      <c r="G328" s="8">
        <v>11.1</v>
      </c>
      <c r="H328" s="8">
        <v>0</v>
      </c>
      <c r="I328" s="8">
        <f>G328-H328+I327</f>
        <v>-4186.8899999999976</v>
      </c>
      <c r="J328" s="15" t="s">
        <v>755</v>
      </c>
      <c r="K328" s="32"/>
    </row>
    <row r="329" spans="3:12" x14ac:dyDescent="0.25">
      <c r="C329" s="9"/>
      <c r="D329" s="10">
        <v>45744</v>
      </c>
      <c r="E329" t="s">
        <v>742</v>
      </c>
      <c r="F329" s="11" t="s">
        <v>50</v>
      </c>
      <c r="G329" s="8">
        <v>140</v>
      </c>
      <c r="H329" s="8">
        <v>0</v>
      </c>
      <c r="I329" s="8">
        <f>G329-H329+I328</f>
        <v>-4046.8899999999976</v>
      </c>
      <c r="J329" s="15" t="s">
        <v>755</v>
      </c>
      <c r="K329" s="32"/>
    </row>
    <row r="330" spans="3:12" x14ac:dyDescent="0.25">
      <c r="C330" s="9"/>
      <c r="D330" s="10">
        <v>45747</v>
      </c>
      <c r="E330" t="s">
        <v>738</v>
      </c>
      <c r="F330" s="11" t="s">
        <v>50</v>
      </c>
      <c r="G330" s="8">
        <v>103.25</v>
      </c>
      <c r="H330" s="8">
        <v>0</v>
      </c>
      <c r="I330" s="8">
        <f>G330-H330+I329</f>
        <v>-3943.6399999999976</v>
      </c>
      <c r="J330" s="15" t="s">
        <v>755</v>
      </c>
      <c r="K330" s="32"/>
    </row>
    <row r="331" spans="3:12" x14ac:dyDescent="0.25">
      <c r="C331" s="9"/>
      <c r="D331" s="10">
        <v>45749</v>
      </c>
      <c r="E331" t="s">
        <v>714</v>
      </c>
      <c r="F331" s="11" t="s">
        <v>50</v>
      </c>
      <c r="G331" s="8">
        <v>804.57</v>
      </c>
      <c r="H331" s="8">
        <v>0</v>
      </c>
      <c r="I331" s="8">
        <f>G331-H331+I330</f>
        <v>-3139.0699999999974</v>
      </c>
      <c r="J331" s="15" t="s">
        <v>755</v>
      </c>
      <c r="K331" s="32"/>
    </row>
    <row r="332" spans="3:12" hidden="1" x14ac:dyDescent="0.25">
      <c r="C332" s="9"/>
      <c r="D332" s="10">
        <v>45749</v>
      </c>
      <c r="E332" t="s">
        <v>743</v>
      </c>
      <c r="F332" s="11" t="s">
        <v>50</v>
      </c>
      <c r="G332" s="8">
        <v>0</v>
      </c>
      <c r="H332" s="8">
        <v>348.29</v>
      </c>
      <c r="I332" s="8">
        <f>G332-H332+I331</f>
        <v>-3487.3599999999974</v>
      </c>
      <c r="J332" s="12"/>
    </row>
    <row r="333" spans="3:12" hidden="1" x14ac:dyDescent="0.25">
      <c r="C333" s="9"/>
      <c r="D333" s="10">
        <v>45749</v>
      </c>
      <c r="E333" t="s">
        <v>296</v>
      </c>
      <c r="F333" s="11" t="s">
        <v>50</v>
      </c>
      <c r="G333" s="8">
        <v>145.97999999999999</v>
      </c>
      <c r="H333" s="8">
        <v>0</v>
      </c>
      <c r="I333" s="8">
        <f>G333-H333+I332</f>
        <v>-3341.3799999999974</v>
      </c>
      <c r="J333" s="12"/>
    </row>
    <row r="334" spans="3:12" hidden="1" x14ac:dyDescent="0.25">
      <c r="C334" s="9"/>
      <c r="D334" s="10">
        <v>45750</v>
      </c>
      <c r="E334" t="s">
        <v>203</v>
      </c>
      <c r="F334" s="11" t="s">
        <v>50</v>
      </c>
      <c r="G334" s="8">
        <v>0</v>
      </c>
      <c r="H334" s="8">
        <v>438.96</v>
      </c>
      <c r="I334" s="8">
        <f>G334-H334+I333</f>
        <v>-3780.3399999999974</v>
      </c>
      <c r="J334" s="12"/>
    </row>
    <row r="335" spans="3:12" hidden="1" x14ac:dyDescent="0.25">
      <c r="C335" s="9"/>
      <c r="D335" s="10">
        <v>45750</v>
      </c>
      <c r="E335" t="s">
        <v>203</v>
      </c>
      <c r="F335" s="11" t="s">
        <v>50</v>
      </c>
      <c r="G335" s="8">
        <v>0</v>
      </c>
      <c r="H335" s="8">
        <v>25</v>
      </c>
      <c r="I335" s="8">
        <f>G335-H335+I334</f>
        <v>-3805.3399999999974</v>
      </c>
      <c r="J335" s="12"/>
    </row>
    <row r="336" spans="3:12" hidden="1" x14ac:dyDescent="0.25">
      <c r="C336" s="9"/>
      <c r="D336" s="10">
        <v>45750</v>
      </c>
      <c r="E336" t="s">
        <v>203</v>
      </c>
      <c r="F336" s="11" t="s">
        <v>50</v>
      </c>
      <c r="G336" s="8">
        <v>0</v>
      </c>
      <c r="H336" s="8">
        <v>484.27</v>
      </c>
      <c r="I336" s="8">
        <f>G336-H336+I335</f>
        <v>-4289.6099999999969</v>
      </c>
      <c r="J336" s="12"/>
    </row>
    <row r="337" spans="3:10" hidden="1" x14ac:dyDescent="0.25">
      <c r="C337" s="9"/>
      <c r="D337" s="10">
        <v>45750</v>
      </c>
      <c r="E337" t="s">
        <v>203</v>
      </c>
      <c r="F337" s="11" t="s">
        <v>50</v>
      </c>
      <c r="G337" s="8">
        <v>0</v>
      </c>
      <c r="H337" s="8">
        <v>65</v>
      </c>
      <c r="I337" s="8">
        <f>G337-H337+I336</f>
        <v>-4354.6099999999969</v>
      </c>
      <c r="J337" s="12"/>
    </row>
    <row r="338" spans="3:10" hidden="1" x14ac:dyDescent="0.25">
      <c r="C338" s="9"/>
      <c r="D338" s="10">
        <v>45751</v>
      </c>
      <c r="E338" t="s">
        <v>203</v>
      </c>
      <c r="F338" s="11" t="s">
        <v>50</v>
      </c>
      <c r="G338" s="8">
        <v>0</v>
      </c>
      <c r="H338" s="8">
        <v>273.36</v>
      </c>
      <c r="I338" s="8">
        <f>G338-H338+I337</f>
        <v>-4627.9699999999966</v>
      </c>
      <c r="J338" s="12"/>
    </row>
    <row r="339" spans="3:10" hidden="1" x14ac:dyDescent="0.25">
      <c r="C339" s="9"/>
      <c r="D339" s="10">
        <v>45751</v>
      </c>
      <c r="E339" t="s">
        <v>203</v>
      </c>
      <c r="F339" s="11" t="s">
        <v>50</v>
      </c>
      <c r="G339" s="8">
        <v>0</v>
      </c>
      <c r="H339" s="8">
        <v>108.9</v>
      </c>
      <c r="I339" s="8">
        <f>G339-H339+I338</f>
        <v>-4736.8699999999963</v>
      </c>
      <c r="J339" s="12"/>
    </row>
    <row r="340" spans="3:10" hidden="1" x14ac:dyDescent="0.25">
      <c r="C340" s="9"/>
      <c r="D340" s="10">
        <v>45752</v>
      </c>
      <c r="E340" t="s">
        <v>203</v>
      </c>
      <c r="F340" s="11" t="s">
        <v>50</v>
      </c>
      <c r="G340" s="8">
        <v>0</v>
      </c>
      <c r="H340" s="8">
        <v>10</v>
      </c>
      <c r="I340" s="8">
        <f>G340-H340+I339</f>
        <v>-4746.8699999999963</v>
      </c>
      <c r="J340" s="12"/>
    </row>
    <row r="341" spans="3:10" hidden="1" x14ac:dyDescent="0.25">
      <c r="C341" s="9"/>
      <c r="D341" s="10">
        <v>45752</v>
      </c>
      <c r="E341" t="s">
        <v>203</v>
      </c>
      <c r="F341" s="11" t="s">
        <v>50</v>
      </c>
      <c r="G341" s="8">
        <v>0</v>
      </c>
      <c r="H341" s="8">
        <v>270.48</v>
      </c>
      <c r="I341" s="8">
        <f>G341-H341+I340</f>
        <v>-5017.3499999999967</v>
      </c>
      <c r="J341" s="12"/>
    </row>
    <row r="342" spans="3:10" hidden="1" x14ac:dyDescent="0.25">
      <c r="C342" s="9"/>
      <c r="D342" s="10">
        <v>45752</v>
      </c>
      <c r="E342" t="s">
        <v>203</v>
      </c>
      <c r="F342" s="11" t="s">
        <v>50</v>
      </c>
      <c r="G342" s="8">
        <v>0</v>
      </c>
      <c r="H342" s="8">
        <v>83.79</v>
      </c>
      <c r="I342" s="8">
        <f>G342-H342+I341</f>
        <v>-5101.1399999999967</v>
      </c>
      <c r="J342" s="12"/>
    </row>
    <row r="343" spans="3:10" hidden="1" x14ac:dyDescent="0.25">
      <c r="C343" s="9"/>
      <c r="D343" s="10">
        <v>45752</v>
      </c>
      <c r="E343" t="s">
        <v>203</v>
      </c>
      <c r="F343" s="11" t="s">
        <v>50</v>
      </c>
      <c r="G343" s="8">
        <v>0</v>
      </c>
      <c r="H343" s="8">
        <v>1087.92</v>
      </c>
      <c r="I343" s="8">
        <f>G343-H343+I342</f>
        <v>-6189.0599999999968</v>
      </c>
      <c r="J343" s="12"/>
    </row>
    <row r="344" spans="3:10" hidden="1" x14ac:dyDescent="0.25">
      <c r="C344" s="9"/>
      <c r="D344" s="10">
        <v>45755</v>
      </c>
      <c r="E344" t="s">
        <v>203</v>
      </c>
      <c r="F344" s="11" t="s">
        <v>50</v>
      </c>
      <c r="G344" s="8">
        <v>0</v>
      </c>
      <c r="H344" s="8">
        <v>30.01</v>
      </c>
      <c r="I344" s="8">
        <f>G344-H344+I343</f>
        <v>-6219.069999999997</v>
      </c>
      <c r="J344" s="12"/>
    </row>
    <row r="345" spans="3:10" hidden="1" x14ac:dyDescent="0.25">
      <c r="C345" s="9"/>
      <c r="D345" s="10">
        <v>45755</v>
      </c>
      <c r="E345" t="s">
        <v>203</v>
      </c>
      <c r="F345" s="11" t="s">
        <v>50</v>
      </c>
      <c r="G345" s="8">
        <v>0</v>
      </c>
      <c r="H345" s="8">
        <v>25</v>
      </c>
      <c r="I345" s="8">
        <f>G345-H345+I344</f>
        <v>-6244.069999999997</v>
      </c>
      <c r="J345" s="12"/>
    </row>
    <row r="346" spans="3:10" hidden="1" x14ac:dyDescent="0.25">
      <c r="C346" s="9"/>
      <c r="D346" s="10">
        <v>45755</v>
      </c>
      <c r="E346" t="s">
        <v>203</v>
      </c>
      <c r="F346" s="11" t="s">
        <v>50</v>
      </c>
      <c r="G346" s="8">
        <v>0</v>
      </c>
      <c r="H346" s="8">
        <v>15</v>
      </c>
      <c r="I346" s="8">
        <f>G346-H346+I345</f>
        <v>-6259.069999999997</v>
      </c>
      <c r="J346" s="12"/>
    </row>
    <row r="347" spans="3:10" hidden="1" x14ac:dyDescent="0.25">
      <c r="C347" s="9"/>
      <c r="D347" s="10">
        <v>45755</v>
      </c>
      <c r="E347" t="s">
        <v>203</v>
      </c>
      <c r="F347" s="11" t="s">
        <v>50</v>
      </c>
      <c r="G347" s="8">
        <v>0</v>
      </c>
      <c r="H347" s="8">
        <v>25</v>
      </c>
      <c r="I347" s="8">
        <f>G347-H347+I346</f>
        <v>-6284.069999999997</v>
      </c>
      <c r="J347" s="12"/>
    </row>
    <row r="348" spans="3:10" hidden="1" x14ac:dyDescent="0.25">
      <c r="C348" s="9"/>
      <c r="D348" s="10">
        <v>45756</v>
      </c>
      <c r="E348" t="s">
        <v>744</v>
      </c>
      <c r="F348" s="11" t="s">
        <v>50</v>
      </c>
      <c r="G348" s="8">
        <v>0</v>
      </c>
      <c r="H348" s="8">
        <v>177.99</v>
      </c>
      <c r="I348" s="8">
        <f>G348-H348+I347</f>
        <v>-6462.0599999999968</v>
      </c>
      <c r="J348" s="12"/>
    </row>
    <row r="349" spans="3:10" hidden="1" x14ac:dyDescent="0.25">
      <c r="C349" s="9"/>
      <c r="D349" s="10">
        <v>45757</v>
      </c>
      <c r="E349" t="s">
        <v>203</v>
      </c>
      <c r="F349" s="11" t="s">
        <v>50</v>
      </c>
      <c r="G349" s="8">
        <v>0</v>
      </c>
      <c r="H349" s="8">
        <v>87.73</v>
      </c>
      <c r="I349" s="8">
        <f>G349-H349+I348</f>
        <v>-6549.7899999999963</v>
      </c>
      <c r="J349" s="12"/>
    </row>
    <row r="350" spans="3:10" hidden="1" x14ac:dyDescent="0.25">
      <c r="C350" s="9"/>
      <c r="D350" s="10">
        <v>45757</v>
      </c>
      <c r="E350" t="s">
        <v>203</v>
      </c>
      <c r="F350" s="11" t="s">
        <v>50</v>
      </c>
      <c r="G350" s="8">
        <v>0</v>
      </c>
      <c r="H350" s="8">
        <v>599.04999999999995</v>
      </c>
      <c r="I350" s="8">
        <f>G350-H350+I349</f>
        <v>-7148.8399999999965</v>
      </c>
      <c r="J350" s="12"/>
    </row>
    <row r="351" spans="3:10" hidden="1" x14ac:dyDescent="0.25">
      <c r="C351" s="9"/>
      <c r="D351" s="10">
        <v>45757</v>
      </c>
      <c r="E351" t="s">
        <v>745</v>
      </c>
      <c r="F351" s="11" t="s">
        <v>50</v>
      </c>
      <c r="G351" s="8">
        <v>0</v>
      </c>
      <c r="H351" s="8">
        <v>311.51</v>
      </c>
      <c r="I351" s="8">
        <f>G351-H351+I350</f>
        <v>-7460.3499999999967</v>
      </c>
      <c r="J351" s="12"/>
    </row>
    <row r="352" spans="3:10" hidden="1" x14ac:dyDescent="0.25">
      <c r="C352" s="9"/>
      <c r="D352" s="10">
        <v>45758</v>
      </c>
      <c r="E352" t="s">
        <v>203</v>
      </c>
      <c r="F352" s="11" t="s">
        <v>50</v>
      </c>
      <c r="G352" s="8">
        <v>0</v>
      </c>
      <c r="H352" s="8">
        <v>25</v>
      </c>
      <c r="I352" s="8">
        <f>G352-H352+I351</f>
        <v>-7485.3499999999967</v>
      </c>
      <c r="J352" s="12"/>
    </row>
    <row r="353" spans="3:10" hidden="1" x14ac:dyDescent="0.25">
      <c r="C353" s="9"/>
      <c r="D353" s="10">
        <v>45758</v>
      </c>
      <c r="E353" t="s">
        <v>203</v>
      </c>
      <c r="F353" s="11" t="s">
        <v>50</v>
      </c>
      <c r="G353" s="8">
        <v>0</v>
      </c>
      <c r="H353" s="8">
        <v>10</v>
      </c>
      <c r="I353" s="8">
        <f>G353-H353+I352</f>
        <v>-7495.3499999999967</v>
      </c>
      <c r="J353" s="12"/>
    </row>
    <row r="354" spans="3:10" hidden="1" x14ac:dyDescent="0.25">
      <c r="C354" s="9"/>
      <c r="D354" s="10">
        <v>45758</v>
      </c>
      <c r="E354" t="s">
        <v>203</v>
      </c>
      <c r="F354" s="11" t="s">
        <v>50</v>
      </c>
      <c r="G354" s="8">
        <v>0</v>
      </c>
      <c r="H354" s="8">
        <v>254.92</v>
      </c>
      <c r="I354" s="8">
        <f>G354-H354+I353</f>
        <v>-7750.2699999999968</v>
      </c>
      <c r="J354" s="12"/>
    </row>
    <row r="355" spans="3:10" hidden="1" x14ac:dyDescent="0.25">
      <c r="C355" s="9"/>
      <c r="D355" s="10">
        <v>45758</v>
      </c>
      <c r="E355" t="s">
        <v>203</v>
      </c>
      <c r="F355" s="11" t="s">
        <v>50</v>
      </c>
      <c r="G355" s="8">
        <v>0</v>
      </c>
      <c r="H355" s="8">
        <v>284.3</v>
      </c>
      <c r="I355" s="8">
        <f>G355-H355+I354</f>
        <v>-8034.569999999997</v>
      </c>
      <c r="J355" s="12"/>
    </row>
    <row r="356" spans="3:10" hidden="1" x14ac:dyDescent="0.25">
      <c r="C356" s="9"/>
      <c r="D356" s="10">
        <v>45758</v>
      </c>
      <c r="E356" t="s">
        <v>737</v>
      </c>
      <c r="F356" s="11" t="s">
        <v>50</v>
      </c>
      <c r="G356" s="8">
        <v>5</v>
      </c>
      <c r="H356" s="8">
        <v>0</v>
      </c>
      <c r="I356" s="8">
        <f>G356-H356+I355</f>
        <v>-8029.569999999997</v>
      </c>
      <c r="J356" s="12"/>
    </row>
    <row r="357" spans="3:10" hidden="1" x14ac:dyDescent="0.25">
      <c r="C357" s="9"/>
      <c r="D357" s="10">
        <v>45758</v>
      </c>
      <c r="E357" t="s">
        <v>746</v>
      </c>
      <c r="F357" s="11" t="s">
        <v>292</v>
      </c>
      <c r="G357" s="8">
        <v>0</v>
      </c>
      <c r="H357" s="8">
        <v>2870</v>
      </c>
      <c r="I357" s="8">
        <f>G357-H357+I356</f>
        <v>-10899.569999999996</v>
      </c>
      <c r="J357" s="12"/>
    </row>
    <row r="358" spans="3:10" hidden="1" x14ac:dyDescent="0.25">
      <c r="C358" s="9"/>
      <c r="D358" s="10">
        <v>45760</v>
      </c>
      <c r="E358" t="s">
        <v>747</v>
      </c>
      <c r="F358" s="11" t="s">
        <v>50</v>
      </c>
      <c r="G358" s="8">
        <v>69</v>
      </c>
      <c r="H358" s="8">
        <v>0</v>
      </c>
      <c r="I358" s="8">
        <f>G358-H358+I357</f>
        <v>-10830.569999999996</v>
      </c>
      <c r="J358" s="12"/>
    </row>
    <row r="359" spans="3:10" hidden="1" x14ac:dyDescent="0.25">
      <c r="C359" s="9"/>
      <c r="D359" s="10">
        <v>45762</v>
      </c>
      <c r="E359" t="s">
        <v>203</v>
      </c>
      <c r="F359" s="11" t="s">
        <v>50</v>
      </c>
      <c r="G359" s="8">
        <v>0</v>
      </c>
      <c r="H359" s="8">
        <v>129.85</v>
      </c>
      <c r="I359" s="8">
        <f>G359-H359+I358</f>
        <v>-10960.419999999996</v>
      </c>
      <c r="J359" s="12"/>
    </row>
    <row r="360" spans="3:10" hidden="1" x14ac:dyDescent="0.25">
      <c r="C360" s="9"/>
      <c r="D360" s="10">
        <v>45762</v>
      </c>
      <c r="E360" t="s">
        <v>203</v>
      </c>
      <c r="F360" s="11" t="s">
        <v>50</v>
      </c>
      <c r="G360" s="8">
        <v>0</v>
      </c>
      <c r="H360" s="8">
        <v>192.51</v>
      </c>
      <c r="I360" s="8">
        <f>G360-H360+I359</f>
        <v>-11152.929999999997</v>
      </c>
      <c r="J360" s="12"/>
    </row>
    <row r="361" spans="3:10" hidden="1" x14ac:dyDescent="0.25">
      <c r="C361" s="9"/>
      <c r="D361" s="10">
        <v>45762</v>
      </c>
      <c r="E361" t="s">
        <v>203</v>
      </c>
      <c r="F361" s="11" t="s">
        <v>50</v>
      </c>
      <c r="G361" s="8">
        <v>0</v>
      </c>
      <c r="H361" s="8">
        <v>35</v>
      </c>
      <c r="I361" s="8">
        <f>G361-H361+I360</f>
        <v>-11187.929999999997</v>
      </c>
      <c r="J361" s="12"/>
    </row>
    <row r="362" spans="3:10" hidden="1" x14ac:dyDescent="0.25">
      <c r="E362" s="4" t="s">
        <v>35</v>
      </c>
      <c r="G362" s="8">
        <f>SUM(G268:G361)</f>
        <v>10523.510000000002</v>
      </c>
      <c r="H362" s="8">
        <f>SUM(H268:H361)</f>
        <v>21711.439999999991</v>
      </c>
      <c r="I362" s="8">
        <f>G362-H362</f>
        <v>-11187.929999999989</v>
      </c>
    </row>
  </sheetData>
  <mergeCells count="1">
    <mergeCell ref="A1:J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PROVEEDORES</vt:lpstr>
      <vt:lpstr>CLIENTES</vt:lpstr>
      <vt:lpstr>OTRAS CUENTAS</vt:lpstr>
      <vt:lpstr>PROVEEDORES!Área_de_impresión</vt:lpstr>
      <vt:lpstr>PROVEEDORES!Títulos_a_imprimir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</cp:lastModifiedBy>
  <cp:lastPrinted>2025-06-02T12:57:34Z</cp:lastPrinted>
  <dcterms:created xsi:type="dcterms:W3CDTF">2025-06-02T12:24:42Z</dcterms:created>
  <dcterms:modified xsi:type="dcterms:W3CDTF">2025-06-03T08:33:56Z</dcterms:modified>
  <cp:category/>
</cp:coreProperties>
</file>